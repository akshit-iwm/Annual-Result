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BD10AFD-50ED-4617-8F6D-6840DE21A29A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1" i="1" l="1"/>
  <c r="AA8" i="1" l="1"/>
  <c r="AB5" i="1" s="1"/>
  <c r="Z8" i="1"/>
  <c r="AA5" i="1" s="1"/>
  <c r="Y8" i="1"/>
  <c r="X8" i="1"/>
  <c r="W8" i="1"/>
  <c r="V8" i="1"/>
  <c r="U8" i="1"/>
  <c r="V5" i="1" s="1"/>
  <c r="CM10" i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CM5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BP9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BM5" i="1"/>
  <c r="X9" i="1" l="1"/>
  <c r="V9" i="1"/>
  <c r="Y9" i="1"/>
  <c r="W9" i="1"/>
  <c r="Z9" i="1"/>
  <c r="W5" i="1"/>
  <c r="AA9" i="1"/>
  <c r="X5" i="1"/>
  <c r="Y5" i="1"/>
  <c r="Z5" i="1"/>
  <c r="CL251" i="1" l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8" i="1"/>
  <c r="AB16" i="1"/>
  <c r="AC16" i="1"/>
  <c r="AD16" i="1"/>
  <c r="AE16" i="1"/>
  <c r="AB29" i="1"/>
  <c r="AC29" i="1"/>
  <c r="AD29" i="1"/>
  <c r="AE29" i="1"/>
  <c r="AE28" i="1"/>
  <c r="AD28" i="1"/>
  <c r="AC28" i="1"/>
  <c r="AB28" i="1"/>
  <c r="AJ221" i="1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B86" i="2"/>
  <c r="AA147" i="1" s="1"/>
  <c r="AE89" i="2"/>
  <c r="AB26" i="2"/>
  <c r="AD68" i="2"/>
  <c r="AB47" i="2"/>
  <c r="AA136" i="1" s="1"/>
  <c r="AF82" i="2"/>
  <c r="AF88" i="2"/>
  <c r="AE67" i="2"/>
  <c r="AF76" i="2"/>
  <c r="AD93" i="2"/>
  <c r="AB5" i="2"/>
  <c r="AB13" i="2"/>
  <c r="AA31" i="1" s="1"/>
  <c r="AB21" i="2"/>
  <c r="AB29" i="2"/>
  <c r="AA54" i="1" s="1"/>
  <c r="AB40" i="2"/>
  <c r="AB48" i="2"/>
  <c r="AA137" i="1" s="1"/>
  <c r="AB56" i="2"/>
  <c r="AA139" i="1" s="1"/>
  <c r="AE12" i="2"/>
  <c r="AE24" i="2"/>
  <c r="AE36" i="2"/>
  <c r="AE51" i="2"/>
  <c r="AB1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57" i="1" s="1"/>
  <c r="AB85" i="2"/>
  <c r="AA182" i="1" s="1"/>
  <c r="AB93" i="2"/>
  <c r="AA184" i="1" s="1"/>
  <c r="AB105" i="2"/>
  <c r="AD15" i="2"/>
  <c r="AD50" i="2"/>
  <c r="AC10" i="2"/>
  <c r="AC34" i="2"/>
  <c r="AE60" i="2"/>
  <c r="AE72" i="2"/>
  <c r="AE84" i="2"/>
  <c r="AC99" i="2"/>
  <c r="AF30" i="2"/>
  <c r="AB62" i="2"/>
  <c r="AA143" i="1" s="1"/>
  <c r="AD67" i="2"/>
  <c r="AD83" i="2"/>
  <c r="AD99" i="2"/>
  <c r="AE54" i="2"/>
  <c r="AE87" i="2"/>
  <c r="AE23" i="2"/>
  <c r="AD73" i="2"/>
  <c r="AD89" i="2"/>
  <c r="AD109" i="2"/>
  <c r="AE69" i="2"/>
  <c r="AE93" i="2"/>
  <c r="AF105" i="2"/>
  <c r="AC93" i="2"/>
  <c r="AF18" i="2"/>
  <c r="AF53" i="2"/>
  <c r="AE13" i="2"/>
  <c r="AE40" i="2"/>
  <c r="AC85" i="2"/>
  <c r="AB32" i="2"/>
  <c r="AA52" i="1" s="1"/>
  <c r="AB68" i="2"/>
  <c r="AA148" i="1" s="1"/>
  <c r="AB84" i="2"/>
  <c r="AB104" i="2"/>
  <c r="AE61" i="2"/>
  <c r="AC88" i="2"/>
  <c r="AC36" i="2"/>
  <c r="AB74" i="2"/>
  <c r="AB90" i="2"/>
  <c r="AB110" i="2"/>
  <c r="AA74" i="1" s="1"/>
  <c r="AC70" i="2"/>
  <c r="AC94" i="2"/>
  <c r="AB42" i="2"/>
  <c r="AA130" i="1" s="1"/>
  <c r="AB50" i="2"/>
  <c r="AA161" i="1" s="1"/>
  <c r="AB58" i="2"/>
  <c r="AE74" i="2"/>
  <c r="AF86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C61" i="2"/>
  <c r="AC73" i="2"/>
  <c r="AE106" i="2"/>
  <c r="AF64" i="2"/>
  <c r="AC15" i="2"/>
  <c r="AC27" i="2"/>
  <c r="AC42" i="2"/>
  <c r="AC54" i="2"/>
  <c r="AB14" i="2"/>
  <c r="AA27" i="1" s="1"/>
  <c r="AB30" i="2"/>
  <c r="AA46" i="1" s="1"/>
  <c r="AB49" i="2"/>
  <c r="AA175" i="1" s="1"/>
  <c r="AD62" i="2"/>
  <c r="AD70" i="2"/>
  <c r="AD78" i="2"/>
  <c r="AD86" i="2"/>
  <c r="AD94" i="2"/>
  <c r="AD106" i="2"/>
  <c r="AE96" i="2"/>
  <c r="AB20" i="2"/>
  <c r="AB55" i="2"/>
  <c r="AC14" i="2"/>
  <c r="AC41" i="2"/>
  <c r="AE62" i="2"/>
  <c r="AE86" i="2"/>
  <c r="AC107" i="2"/>
  <c r="AB7" i="2"/>
  <c r="AA16" i="1" s="1"/>
  <c r="AB15" i="2"/>
  <c r="AA30" i="1" s="1"/>
  <c r="AB23" i="2"/>
  <c r="AA42" i="1" s="1"/>
  <c r="AB31" i="2"/>
  <c r="AD35" i="2"/>
  <c r="AE91" i="2"/>
  <c r="AF92" i="2"/>
  <c r="AC9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44" i="1" s="1"/>
  <c r="AB71" i="2"/>
  <c r="AA152" i="1" s="1"/>
  <c r="AB79" i="2"/>
  <c r="AA158" i="1" s="1"/>
  <c r="AB87" i="2"/>
  <c r="AA138" i="1" s="1"/>
  <c r="AB95" i="2"/>
  <c r="AA183" i="1" s="1"/>
  <c r="AB107" i="2"/>
  <c r="AA85" i="1" s="1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55" i="2"/>
  <c r="AC74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F26" i="2"/>
  <c r="AD59" i="2"/>
  <c r="AC18" i="2"/>
  <c r="AC45" i="2"/>
  <c r="AE64" i="2"/>
  <c r="AE76" i="2"/>
  <c r="AE88" i="2"/>
  <c r="AB8" i="2"/>
  <c r="AB43" i="2"/>
  <c r="AA131" i="1" s="1"/>
  <c r="AE15" i="2"/>
  <c r="AB72" i="2"/>
  <c r="AA154" i="1" s="1"/>
  <c r="AB88" i="2"/>
  <c r="AB108" i="2"/>
  <c r="AA86" i="1" s="1"/>
  <c r="AE71" i="2"/>
  <c r="AE95" i="2"/>
  <c r="AE58" i="2"/>
  <c r="AB78" i="2"/>
  <c r="AA172" i="1" s="1"/>
  <c r="AB94" i="2"/>
  <c r="AE11" i="2"/>
  <c r="AE77" i="2"/>
  <c r="AE105" i="2"/>
  <c r="AC90" i="2"/>
  <c r="AF70" i="2"/>
  <c r="AE42" i="2"/>
  <c r="AE97" i="2"/>
  <c r="AB9" i="2"/>
  <c r="AB17" i="2"/>
  <c r="AA28" i="1" s="1"/>
  <c r="AB25" i="2"/>
  <c r="AA43" i="1" s="1"/>
  <c r="AB33" i="2"/>
  <c r="AA53" i="1" s="1"/>
  <c r="AB44" i="2"/>
  <c r="AB52" i="2"/>
  <c r="AA163" i="1" s="1"/>
  <c r="AE6" i="2"/>
  <c r="AE18" i="2"/>
  <c r="AE30" i="2"/>
  <c r="AE45" i="2"/>
  <c r="AE57" i="2"/>
  <c r="AB18" i="2"/>
  <c r="AA32" i="1" s="1"/>
  <c r="AB34" i="2"/>
  <c r="AB53" i="2"/>
  <c r="AD64" i="2"/>
  <c r="AD72" i="2"/>
  <c r="AD80" i="2"/>
  <c r="AD88" i="2"/>
  <c r="AD96" i="2"/>
  <c r="AD108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C24" i="2"/>
  <c r="AC78" i="2"/>
  <c r="AC106" i="2"/>
  <c r="AE50" i="2"/>
  <c r="AF104" i="2"/>
  <c r="AF19" i="2"/>
  <c r="AF35" i="2"/>
  <c r="AF46" i="2"/>
  <c r="AE10" i="2"/>
  <c r="AE34" i="2"/>
  <c r="AB83" i="2"/>
  <c r="AA176" i="1" s="1"/>
  <c r="AE56" i="2"/>
  <c r="AE94" i="2"/>
  <c r="AC32" i="2"/>
  <c r="AC108" i="2"/>
  <c r="AD69" i="2"/>
  <c r="AC62" i="2"/>
  <c r="AC86" i="2"/>
  <c r="AE82" i="2"/>
  <c r="AC95" i="2"/>
  <c r="AF60" i="2"/>
  <c r="AB80" i="2"/>
  <c r="AA159" i="1" s="1"/>
  <c r="AE83" i="2"/>
  <c r="AD60" i="2"/>
  <c r="AD76" i="2"/>
  <c r="AD92" i="2"/>
  <c r="AB12" i="2"/>
  <c r="AA22" i="1" s="1"/>
  <c r="AE33" i="2"/>
  <c r="AC71" i="2"/>
  <c r="AE98" i="2"/>
  <c r="AD61" i="2"/>
  <c r="AC51" i="2"/>
  <c r="AC20" i="2"/>
  <c r="AF72" i="2"/>
  <c r="AF108" i="2"/>
  <c r="AD65" i="2"/>
  <c r="AE73" i="2"/>
  <c r="AC92" i="2"/>
  <c r="AC8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55" i="1" s="1"/>
  <c r="AB81" i="2"/>
  <c r="AB89" i="2"/>
  <c r="AB97" i="2"/>
  <c r="AB109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E27" i="2"/>
  <c r="AE81" i="2"/>
  <c r="AE109" i="2"/>
  <c r="AB46" i="2"/>
  <c r="AB6" i="2"/>
  <c r="AA15" i="1" s="1"/>
  <c r="AB22" i="2"/>
  <c r="AB41" i="2"/>
  <c r="AA129" i="1" s="1"/>
  <c r="AD66" i="2"/>
  <c r="AD82" i="2"/>
  <c r="AD98" i="2"/>
  <c r="AD110" i="2"/>
  <c r="AF6" i="2"/>
  <c r="AB64" i="2"/>
  <c r="AA145" i="1" s="1"/>
  <c r="AC26" i="2"/>
  <c r="AC53" i="2"/>
  <c r="AE80" i="2"/>
  <c r="AE92" i="2"/>
  <c r="AD19" i="2"/>
  <c r="AD54" i="2"/>
  <c r="AF94" i="2"/>
  <c r="AE19" i="2"/>
  <c r="AE79" i="2"/>
  <c r="AF68" i="2"/>
  <c r="AF84" i="2"/>
  <c r="AE85" i="2"/>
  <c r="AF22" i="2"/>
  <c r="AD95" i="2"/>
  <c r="AC80" i="2"/>
  <c r="AD85" i="2"/>
  <c r="AD105" i="2"/>
  <c r="AE70" i="2"/>
  <c r="AC64" i="2"/>
  <c r="AB96" i="2"/>
  <c r="AE35" i="2"/>
  <c r="AB70" i="2"/>
  <c r="AE65" i="2"/>
  <c r="AB45" i="2"/>
  <c r="AA134" i="1" s="1"/>
  <c r="AD84" i="2"/>
  <c r="AD104" i="2"/>
  <c r="AC59" i="2"/>
  <c r="AC83" i="2"/>
  <c r="AF66" i="2"/>
  <c r="AF98" i="2"/>
  <c r="AC84" i="2"/>
  <c r="AC66" i="2"/>
  <c r="AD77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F34" i="2"/>
  <c r="AD63" i="2"/>
  <c r="AE25" i="2"/>
  <c r="AE52" i="2"/>
  <c r="AC67" i="2"/>
  <c r="AC79" i="2"/>
  <c r="AC91" i="2"/>
  <c r="AB16" i="2"/>
  <c r="AB51" i="2"/>
  <c r="AA162" i="1" s="1"/>
  <c r="AC47" i="2"/>
  <c r="AB76" i="2"/>
  <c r="AA156" i="1" s="1"/>
  <c r="AB92" i="2"/>
  <c r="AC16" i="2"/>
  <c r="AC76" i="2"/>
  <c r="AC104" i="2"/>
  <c r="AB66" i="2"/>
  <c r="AB82" i="2"/>
  <c r="AB98" i="2"/>
  <c r="AC43" i="2"/>
  <c r="AC82" i="2"/>
  <c r="AC110" i="2"/>
  <c r="AB11" i="2"/>
  <c r="AA20" i="1" s="1"/>
  <c r="AB19" i="2"/>
  <c r="AA29" i="1" s="1"/>
  <c r="AB27" i="2"/>
  <c r="AA39" i="1" s="1"/>
  <c r="AB35" i="2"/>
  <c r="AA58" i="1" s="1"/>
  <c r="AB54" i="2"/>
  <c r="AA165" i="1" s="1"/>
  <c r="AC9" i="2"/>
  <c r="AC21" i="2"/>
  <c r="AC33" i="2"/>
  <c r="AC48" i="2"/>
  <c r="AB57" i="2"/>
  <c r="AA167" i="1" s="1"/>
  <c r="AD74" i="2"/>
  <c r="AD90" i="2"/>
  <c r="AB36" i="2"/>
  <c r="AE107" i="2"/>
  <c r="AE46" i="2"/>
  <c r="AF11" i="2"/>
  <c r="AF54" i="2"/>
  <c r="AE49" i="2"/>
  <c r="AF24" i="2"/>
  <c r="AB59" i="2"/>
  <c r="AB67" i="2"/>
  <c r="AA149" i="1" s="1"/>
  <c r="AB91" i="2"/>
  <c r="AE5" i="2"/>
  <c r="AC69" i="2"/>
  <c r="AF57" i="2"/>
  <c r="AD79" i="2"/>
  <c r="AB24" i="2"/>
  <c r="AE7" i="2"/>
  <c r="AE68" i="2"/>
  <c r="AF78" i="2"/>
  <c r="AF27" i="2"/>
  <c r="AE22" i="2"/>
  <c r="AF8" i="2"/>
  <c r="AF43" i="2"/>
  <c r="AB75" i="2"/>
  <c r="AA171" i="1" s="1"/>
  <c r="AB99" i="2"/>
  <c r="AD7" i="2"/>
  <c r="AD42" i="2"/>
  <c r="AE29" i="2"/>
  <c r="AC81" i="2"/>
  <c r="AE59" i="2"/>
  <c r="AB106" i="2"/>
  <c r="AA84" i="1" s="1"/>
  <c r="AE9" i="2"/>
  <c r="AD27" i="2"/>
  <c r="AF106" i="2"/>
  <c r="AA195" i="1" l="1"/>
  <c r="AA192" i="1"/>
  <c r="AA160" i="1"/>
  <c r="AA191" i="1"/>
  <c r="AA185" i="1"/>
  <c r="AA194" i="1"/>
  <c r="AA264" i="1"/>
  <c r="AA17" i="1"/>
  <c r="AA243" i="1"/>
  <c r="AA206" i="1"/>
  <c r="AA265" i="1"/>
  <c r="AA132" i="1"/>
  <c r="AA146" i="1"/>
  <c r="AA150" i="1" s="1"/>
  <c r="AA33" i="1"/>
  <c r="AA34" i="1" s="1"/>
  <c r="AA173" i="1"/>
  <c r="AA140" i="1"/>
  <c r="AA166" i="1"/>
  <c r="AA168" i="1" s="1"/>
  <c r="AB112" i="2"/>
  <c r="AA80" i="1" s="1"/>
  <c r="AB113" i="2"/>
  <c r="AA81" i="1" s="1"/>
  <c r="AB111" i="2"/>
  <c r="AF111" i="2"/>
  <c r="AF112" i="2"/>
  <c r="AF113" i="2"/>
  <c r="B1" i="9"/>
  <c r="AE111" i="2"/>
  <c r="AC112" i="2"/>
  <c r="AC113" i="2"/>
  <c r="AD111" i="2"/>
  <c r="AE112" i="2"/>
  <c r="A1" i="9"/>
  <c r="AD112" i="2"/>
  <c r="AE113" i="2"/>
  <c r="AD113" i="2"/>
  <c r="AC111" i="2"/>
  <c r="L1" i="9"/>
  <c r="AA40" i="1" l="1"/>
  <c r="AA193" i="1"/>
  <c r="AA256" i="1"/>
  <c r="AA23" i="1"/>
  <c r="AA105" i="1"/>
  <c r="AA260" i="1"/>
  <c r="AA258" i="1"/>
  <c r="AA141" i="1"/>
  <c r="AA180" i="1"/>
  <c r="AA121" i="1" s="1"/>
  <c r="AA197" i="1"/>
  <c r="AA196" i="1" s="1"/>
  <c r="AA44" i="1"/>
  <c r="AA187" i="1"/>
  <c r="AA169" i="1"/>
  <c r="AA177" i="1" s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K251" i="1"/>
  <c r="CK148" i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H164" i="1"/>
  <c r="CJ251" i="1"/>
  <c r="Z251" i="1"/>
  <c r="AA178" i="1" l="1"/>
  <c r="AA35" i="1"/>
  <c r="AA24" i="1"/>
  <c r="AA198" i="1"/>
  <c r="CI251" i="1"/>
  <c r="CG148" i="1"/>
  <c r="CG251" i="1"/>
  <c r="CH251" i="1"/>
  <c r="AB20" i="1"/>
  <c r="AC20" i="1"/>
  <c r="AD20" i="1"/>
  <c r="AE20" i="1"/>
  <c r="AB21" i="1"/>
  <c r="AC21" i="1"/>
  <c r="AD21" i="1"/>
  <c r="AE21" i="1"/>
  <c r="AB31" i="1"/>
  <c r="AC31" i="1"/>
  <c r="AD31" i="1"/>
  <c r="AE31" i="1"/>
  <c r="AB32" i="1"/>
  <c r="AC32" i="1"/>
  <c r="AD32" i="1"/>
  <c r="AE32" i="1"/>
  <c r="AB54" i="1"/>
  <c r="AC54" i="1"/>
  <c r="AD54" i="1"/>
  <c r="AE54" i="1"/>
  <c r="AB171" i="1"/>
  <c r="AC171" i="1"/>
  <c r="AD171" i="1"/>
  <c r="AE171" i="1"/>
  <c r="AB185" i="1"/>
  <c r="AC185" i="1"/>
  <c r="AD185" i="1"/>
  <c r="AE185" i="1"/>
  <c r="CE148" i="1"/>
  <c r="CE251" i="1"/>
  <c r="CF251" i="1"/>
  <c r="AI209" i="1"/>
  <c r="AI214" i="1"/>
  <c r="AI218" i="1"/>
  <c r="AI221" i="1"/>
  <c r="AI251" i="1"/>
  <c r="Y251" i="1"/>
  <c r="AM148" i="1"/>
  <c r="AO148" i="1"/>
  <c r="AQ148" i="1"/>
  <c r="AS148" i="1"/>
  <c r="AU148" i="1"/>
  <c r="AW148" i="1"/>
  <c r="AY148" i="1"/>
  <c r="BA148" i="1"/>
  <c r="BC148" i="1"/>
  <c r="BE148" i="1"/>
  <c r="BG148" i="1"/>
  <c r="BI148" i="1"/>
  <c r="BK148" i="1"/>
  <c r="BM148" i="1"/>
  <c r="BO148" i="1"/>
  <c r="BQ148" i="1"/>
  <c r="BS148" i="1"/>
  <c r="BU148" i="1"/>
  <c r="BW148" i="1"/>
  <c r="BY148" i="1"/>
  <c r="CA148" i="1"/>
  <c r="CC148" i="1"/>
  <c r="CD251" i="1"/>
  <c r="CC251" i="1"/>
  <c r="AJ251" i="1"/>
  <c r="AK251" i="1"/>
  <c r="AL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24" i="1" l="1"/>
  <c r="AA36" i="1"/>
  <c r="AA41" i="1"/>
  <c r="AA244" i="1"/>
  <c r="AA245" i="1" s="1"/>
  <c r="Y1" i="1"/>
  <c r="Z1" i="1" s="1"/>
  <c r="AA62" i="1" l="1"/>
  <c r="AA45" i="1"/>
  <c r="AA1" i="1"/>
  <c r="AB1" i="1" s="1"/>
  <c r="AC1" i="1" s="1"/>
  <c r="AD1" i="1" s="1"/>
  <c r="AE1" i="1" s="1"/>
  <c r="AA48" i="1" l="1"/>
  <c r="AA47" i="1"/>
  <c r="A1" i="3"/>
  <c r="AA49" i="1" l="1"/>
  <c r="AA257" i="1" s="1"/>
  <c r="AA246" i="1"/>
  <c r="AA55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22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J14" i="3"/>
  <c r="BN28" i="3"/>
  <c r="BT37" i="3"/>
  <c r="BP40" i="3"/>
  <c r="BG40" i="3"/>
  <c r="BF17" i="3"/>
  <c r="CL28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16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21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53" i="1" s="1"/>
  <c r="BG11" i="3"/>
  <c r="BE28" i="3"/>
  <c r="BJ8" i="3"/>
  <c r="BF28" i="3"/>
  <c r="CL39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AA41" i="2"/>
  <c r="BD11" i="3"/>
  <c r="BD19" i="3"/>
  <c r="AA16" i="2"/>
  <c r="AA5" i="2"/>
  <c r="Z10" i="2"/>
  <c r="AA71" i="2"/>
  <c r="Z98" i="2"/>
  <c r="Z99" i="2"/>
  <c r="BA12" i="3"/>
  <c r="BC21" i="3"/>
  <c r="AA27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15" i="1" s="1"/>
  <c r="CL7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BA37" i="3"/>
  <c r="AA23" i="2"/>
  <c r="BA13" i="3"/>
  <c r="Y59" i="2"/>
  <c r="AA67" i="2"/>
  <c r="AA83" i="2"/>
  <c r="BA46" i="3"/>
  <c r="Z60" i="2"/>
  <c r="AA107" i="2"/>
  <c r="BD20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Y44" i="2"/>
  <c r="Y78" i="2"/>
  <c r="Z46" i="2"/>
  <c r="Y84" i="2"/>
  <c r="BA14" i="3"/>
  <c r="BA21" i="3"/>
  <c r="BA38" i="3"/>
  <c r="BB40" i="3"/>
  <c r="EX11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9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B25" i="3"/>
  <c r="Z79" i="2"/>
  <c r="BA35" i="3"/>
  <c r="AA104" i="2"/>
  <c r="AA34" i="2"/>
  <c r="BC9" i="3"/>
  <c r="AA43" i="2"/>
  <c r="Y69" i="2"/>
  <c r="Y107" i="2"/>
  <c r="Z41" i="2"/>
  <c r="FD14" i="4" a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0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52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D23" i="3"/>
  <c r="Z25" i="2"/>
  <c r="AA8" i="2"/>
  <c r="Z44" i="2"/>
  <c r="Z19" i="2"/>
  <c r="BD6" i="3"/>
  <c r="BA42" i="3"/>
  <c r="Z57" i="2"/>
  <c r="AA96" i="2"/>
  <c r="Y7" i="2"/>
  <c r="Y86" i="2"/>
  <c r="BD40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42" i="1" s="1"/>
  <c r="BG5" i="3"/>
  <c r="BK25" i="3"/>
  <c r="BF18" i="3"/>
  <c r="CL32" i="1" s="1"/>
  <c r="BP92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8" i="1" s="1"/>
  <c r="BJ12" i="3"/>
  <c r="BL31" i="3"/>
  <c r="BH19" i="3"/>
  <c r="BL17" i="3"/>
  <c r="BP6" i="3"/>
  <c r="BP8" i="3"/>
  <c r="BG32" i="3"/>
  <c r="BL8" i="3"/>
  <c r="BF25" i="3"/>
  <c r="CL43" i="1" s="1"/>
  <c r="BH42" i="3"/>
  <c r="BE18" i="3"/>
  <c r="BI34" i="3"/>
  <c r="BL35" i="3"/>
  <c r="Y83" i="2"/>
  <c r="Y88" i="2"/>
  <c r="Y28" i="2"/>
  <c r="C4" i="2"/>
  <c r="BQ9" i="3"/>
  <c r="BQ15" i="3"/>
  <c r="BQ21" i="3"/>
  <c r="BQ27" i="3"/>
  <c r="BQ33" i="3"/>
  <c r="BQ39" i="3"/>
  <c r="BQ56" i="3"/>
  <c r="BU9" i="3"/>
  <c r="BU15" i="3"/>
  <c r="BU21" i="3"/>
  <c r="BU27" i="3"/>
  <c r="BQ10" i="3"/>
  <c r="BQ16" i="3"/>
  <c r="BQ22" i="3"/>
  <c r="BQ28" i="3"/>
  <c r="BQ34" i="3"/>
  <c r="BQ40" i="3"/>
  <c r="BR5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71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7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BU33" i="3"/>
  <c r="BK26" i="3"/>
  <c r="BG27" i="3"/>
  <c r="BV27" i="3"/>
  <c r="BS11" i="3"/>
  <c r="BO36" i="3"/>
  <c r="BF27" i="3"/>
  <c r="BT12" i="3"/>
  <c r="BK12" i="3"/>
  <c r="BJ13" i="3"/>
  <c r="BN8" i="3"/>
  <c r="BF24" i="3"/>
  <c r="BN9" i="3"/>
  <c r="BK35" i="3"/>
  <c r="Y94" i="2"/>
  <c r="AA105" i="2"/>
  <c r="BD22" i="3"/>
  <c r="BD29" i="3"/>
  <c r="AA30" i="2"/>
  <c r="Z70" i="2"/>
  <c r="BD10" i="3"/>
  <c r="BB46" i="3"/>
  <c r="Y47" i="2"/>
  <c r="AA13" i="2"/>
  <c r="AA82" i="2"/>
  <c r="BC36" i="3"/>
  <c r="BC33" i="3"/>
  <c r="BC5" i="3"/>
  <c r="Z8" i="2"/>
  <c r="Z93" i="2"/>
  <c r="AA15" i="2"/>
  <c r="EY7" i="4" a="1"/>
  <c r="EY13" i="4" a="1"/>
  <c r="FE9" i="4" a="1"/>
  <c r="EX6" i="4" a="1"/>
  <c r="EZ9" i="4" a="1"/>
  <c r="Z43" i="2"/>
  <c r="FF11" i="4" a="1"/>
  <c r="EX9" i="4" a="1"/>
  <c r="FB11" i="4" a="1"/>
  <c r="FF5" i="4" a="1"/>
  <c r="Z5" i="2"/>
  <c r="AA85" i="2"/>
  <c r="BD25" i="3"/>
  <c r="BB23" i="3"/>
  <c r="AA45" i="2"/>
  <c r="FD12" i="4" a="1"/>
  <c r="BC46" i="3"/>
  <c r="EZ11" i="4" a="1"/>
  <c r="FB12" i="4" a="1"/>
  <c r="FE7" i="4" a="1"/>
  <c r="FF7" i="4" a="1"/>
  <c r="Y71" i="2"/>
  <c r="BB33" i="3"/>
  <c r="BB34" i="3"/>
  <c r="FF15" i="4" a="1"/>
  <c r="FA11" i="4" a="1"/>
  <c r="EY12" i="4" a="1"/>
  <c r="FA13" i="4" a="1"/>
  <c r="BP13" i="3"/>
  <c r="BP20" i="3"/>
  <c r="BA45" i="3"/>
  <c r="Z86" i="2"/>
  <c r="EY6" i="4" a="1"/>
  <c r="BM30" i="3"/>
  <c r="AB39" i="3"/>
  <c r="AA81" i="2"/>
  <c r="Z59" i="2"/>
  <c r="AA49" i="2"/>
  <c r="FC8" i="4" a="1"/>
  <c r="Y95" i="2"/>
  <c r="EX13" i="4" a="1"/>
  <c r="BO6" i="3"/>
  <c r="BK36" i="3"/>
  <c r="BF32" i="3"/>
  <c r="Z35" i="2"/>
  <c r="EY14" i="4" a="1"/>
  <c r="FF8" i="4" a="1"/>
  <c r="BU39" i="3"/>
  <c r="BG28" i="3"/>
  <c r="BK29" i="3"/>
  <c r="BR28" i="3"/>
  <c r="BO12" i="3"/>
  <c r="BO37" i="3"/>
  <c r="BF29" i="3"/>
  <c r="CL46" i="1" s="1"/>
  <c r="BT16" i="3"/>
  <c r="BE13" i="3"/>
  <c r="BF15" i="3"/>
  <c r="CL31" i="1" s="1"/>
  <c r="BH15" i="3"/>
  <c r="BN36" i="3"/>
  <c r="BJ11" i="3"/>
  <c r="BG37" i="3"/>
  <c r="Z76" i="2"/>
  <c r="AA78" i="2"/>
  <c r="BB32" i="3"/>
  <c r="BD13" i="3"/>
  <c r="AA79" i="2"/>
  <c r="AA26" i="2"/>
  <c r="BA32" i="3"/>
  <c r="AA88" i="2"/>
  <c r="Z92" i="2"/>
  <c r="AA99" i="2"/>
  <c r="X6" i="2"/>
  <c r="BB7" i="3"/>
  <c r="BC34" i="3"/>
  <c r="BD31" i="3"/>
  <c r="BA25" i="3"/>
  <c r="Y97" i="2"/>
  <c r="FA7" i="4" a="1"/>
  <c r="BD17" i="3"/>
  <c r="EZ8" i="4" a="1"/>
  <c r="FE14" i="4" a="1"/>
  <c r="FD13" i="4" a="1"/>
  <c r="FB15" i="4" a="1"/>
  <c r="Z63" i="2"/>
  <c r="BQ62" i="3"/>
  <c r="BM29" i="3"/>
  <c r="BG31" i="3"/>
  <c r="BV28" i="3"/>
  <c r="BS12" i="3"/>
  <c r="BS38" i="3"/>
  <c r="BF31" i="3"/>
  <c r="BT20" i="3"/>
  <c r="BI13" i="3"/>
  <c r="BL16" i="3"/>
  <c r="BL21" i="3"/>
  <c r="BL9" i="3"/>
  <c r="BF13" i="3"/>
  <c r="BI38" i="3"/>
  <c r="AA17" i="2"/>
  <c r="Y99" i="2"/>
  <c r="BD21" i="3"/>
  <c r="AA87" i="2"/>
  <c r="Z80" i="2"/>
  <c r="BC7" i="3"/>
  <c r="Z6" i="2"/>
  <c r="AA65" i="2"/>
  <c r="AA33" i="2"/>
  <c r="BA24" i="3"/>
  <c r="Z82" i="2"/>
  <c r="Z20" i="2"/>
  <c r="BD8" i="3"/>
  <c r="Y41" i="2"/>
  <c r="Y64" i="2"/>
  <c r="AA66" i="2"/>
  <c r="BG26" i="3"/>
  <c r="BI16" i="3"/>
  <c r="Y23" i="2"/>
  <c r="BB41" i="3"/>
  <c r="BA15" i="3"/>
  <c r="FE16" i="4" a="1"/>
  <c r="EY11" i="4" a="1"/>
  <c r="EY15" i="4" a="1"/>
  <c r="BU66" i="3"/>
  <c r="BO30" i="3"/>
  <c r="BR10" i="3"/>
  <c r="BN5" i="3"/>
  <c r="BJ24" i="3"/>
  <c r="BV33" i="3"/>
  <c r="BS17" i="3"/>
  <c r="BT21" i="3"/>
  <c r="BM6" i="3"/>
  <c r="BP33" i="3"/>
  <c r="BI17" i="3"/>
  <c r="BL32" i="3"/>
  <c r="BF14" i="3"/>
  <c r="CL30" i="1" s="1"/>
  <c r="BT9" i="3"/>
  <c r="BH26" i="3"/>
  <c r="BJ40" i="3"/>
  <c r="Z48" i="2"/>
  <c r="Z13" i="2"/>
  <c r="BC32" i="3"/>
  <c r="Z107" i="2"/>
  <c r="Y80" i="2"/>
  <c r="AA58" i="2"/>
  <c r="BA36" i="3"/>
  <c r="AA56" i="2"/>
  <c r="Y92" i="2"/>
  <c r="Z45" i="2"/>
  <c r="BB13" i="3"/>
  <c r="Y48" i="2"/>
  <c r="BB31" i="3"/>
  <c r="BA18" i="3"/>
  <c r="BC26" i="3"/>
  <c r="Z26" i="2"/>
  <c r="BD27" i="3"/>
  <c r="FD5" i="4" a="1"/>
  <c r="AA42" i="2"/>
  <c r="BS24" i="3"/>
  <c r="BD46" i="3"/>
  <c r="Y18" i="2"/>
  <c r="FA9" i="4" a="1"/>
  <c r="BD12" i="3"/>
  <c r="AA59" i="2"/>
  <c r="EY16" i="4" a="1"/>
  <c r="BN30" i="3"/>
  <c r="BB21" i="3"/>
  <c r="Y66" i="2"/>
  <c r="AA57" i="2"/>
  <c r="FB9" i="4" a="1"/>
  <c r="BV10" i="3"/>
  <c r="BJ7" i="3"/>
  <c r="BJ32" i="3"/>
  <c r="BR34" i="3"/>
  <c r="BO18" i="3"/>
  <c r="BT27" i="3"/>
  <c r="BI8" i="3"/>
  <c r="BP41" i="3"/>
  <c r="BM17" i="3"/>
  <c r="BH34" i="3"/>
  <c r="BL15" i="3"/>
  <c r="BT13" i="3"/>
  <c r="BJ27" i="3"/>
  <c r="BH45" i="3"/>
  <c r="Y104" i="2"/>
  <c r="Z64" i="2"/>
  <c r="BB30" i="3"/>
  <c r="Z11" i="2"/>
  <c r="Z90" i="2"/>
  <c r="BC22" i="3"/>
  <c r="BK22" i="3"/>
  <c r="BK5" i="3"/>
  <c r="BA16" i="3"/>
  <c r="BC29" i="3"/>
  <c r="AA89" i="2"/>
  <c r="Y67" i="2"/>
  <c r="Z52" i="2"/>
  <c r="FC13" i="4" a="1"/>
  <c r="BH28" i="3"/>
  <c r="BP29" i="3"/>
  <c r="BP26" i="3"/>
  <c r="AA9" i="2"/>
  <c r="Y31" i="2"/>
  <c r="Z88" i="2"/>
  <c r="FA8" i="4" a="1"/>
  <c r="FB13" i="4" a="1"/>
  <c r="FE11" i="4" a="1"/>
  <c r="Z16" i="2"/>
  <c r="Z78" i="2"/>
  <c r="FA16" i="4" a="1"/>
  <c r="BM8" i="3"/>
  <c r="BG21" i="3"/>
  <c r="W6" i="2"/>
  <c r="BB8" i="3"/>
  <c r="BC35" i="3"/>
  <c r="EX5" i="4" a="1"/>
  <c r="FC11" i="4" a="1"/>
  <c r="BR11" i="3"/>
  <c r="BF9" i="3"/>
  <c r="BN38" i="3"/>
  <c r="BV34" i="3"/>
  <c r="BS18" i="3"/>
  <c r="BT33" i="3"/>
  <c r="BK9" i="3"/>
  <c r="BP21" i="3"/>
  <c r="BG18" i="3"/>
  <c r="BN35" i="3"/>
  <c r="BH17" i="3"/>
  <c r="BT19" i="3"/>
  <c r="BL28" i="3"/>
  <c r="BH7" i="3"/>
  <c r="Y46" i="2"/>
  <c r="AA47" i="2"/>
  <c r="BC27" i="3"/>
  <c r="Y43" i="2"/>
  <c r="Y62" i="2"/>
  <c r="Y61" i="2"/>
  <c r="BB5" i="3"/>
  <c r="Y96" i="2"/>
  <c r="AA98" i="2"/>
  <c r="Y90" i="2"/>
  <c r="BA8" i="3"/>
  <c r="Z65" i="2"/>
  <c r="BD38" i="3"/>
  <c r="Y27" i="2"/>
  <c r="BC40" i="3"/>
  <c r="Y63" i="2"/>
  <c r="FE5" i="4" a="1"/>
  <c r="FC7" i="4" a="1"/>
  <c r="FC16" i="4" a="1"/>
  <c r="FF6" i="4" a="1"/>
  <c r="FC15" i="4" a="1"/>
  <c r="FA14" i="4" a="1"/>
  <c r="BO24" i="3"/>
  <c r="BD9" i="3"/>
  <c r="Y29" i="2"/>
  <c r="FB8" i="4" a="1"/>
  <c r="EX7" i="4" a="1"/>
  <c r="BV16" i="3"/>
  <c r="BC42" i="3"/>
  <c r="AA92" i="2"/>
  <c r="BG8" i="3"/>
  <c r="BO39" i="3"/>
  <c r="BJ25" i="3"/>
  <c r="BV15" i="3"/>
  <c r="BV39" i="3"/>
  <c r="BS23" i="3"/>
  <c r="BP42" i="3"/>
  <c r="BK27" i="3"/>
  <c r="BP45" i="3"/>
  <c r="BG22" i="3"/>
  <c r="BG13" i="3"/>
  <c r="BH33" i="3"/>
  <c r="BP14" i="3"/>
  <c r="BF45" i="3"/>
  <c r="CL70" i="1" s="1"/>
  <c r="AA14" i="2"/>
  <c r="Y35" i="2"/>
  <c r="BD39" i="3"/>
  <c r="Y9" i="2"/>
  <c r="AA86" i="2"/>
  <c r="Z12" i="2"/>
  <c r="BA41" i="3"/>
  <c r="AA20" i="2"/>
  <c r="Z94" i="2"/>
  <c r="AA32" i="2"/>
  <c r="AV10" i="3"/>
  <c r="Z83" i="2"/>
  <c r="BA10" i="3"/>
  <c r="Y52" i="2"/>
  <c r="BD5" i="3"/>
  <c r="Z17" i="2"/>
  <c r="FC14" i="4" a="1"/>
  <c r="EZ14" i="4" a="1"/>
  <c r="FD6" i="4" a="1"/>
  <c r="EZ15" i="4" a="1"/>
  <c r="EX14" i="4" a="1"/>
  <c r="FD9" i="4" a="1"/>
  <c r="BS40" i="3"/>
  <c r="BL26" i="3"/>
  <c r="BR16" i="3"/>
  <c r="BR40" i="3"/>
  <c r="BG29" i="3"/>
  <c r="BM14" i="3"/>
  <c r="BN34" i="3"/>
  <c r="FE8" i="4" a="1"/>
  <c r="BS41" i="3"/>
  <c r="BE23" i="3"/>
  <c r="BJ36" i="3"/>
  <c r="BI6" i="3"/>
  <c r="BC18" i="3"/>
  <c r="BA23" i="3"/>
  <c r="Z42" i="2"/>
  <c r="BR22" i="3"/>
  <c r="BG35" i="3"/>
  <c r="BB15" i="3"/>
  <c r="BC13" i="3"/>
  <c r="Y45" i="2"/>
  <c r="Z71" i="2"/>
  <c r="BT41" i="3"/>
  <c r="BG7" i="3"/>
  <c r="BV21" i="3"/>
  <c r="BS5" i="3"/>
  <c r="BS29" i="3"/>
  <c r="BE45" i="3"/>
  <c r="BF26" i="3"/>
  <c r="CL54" i="1" s="1"/>
  <c r="BM7" i="3"/>
  <c r="BE35" i="3"/>
  <c r="BK33" i="3"/>
  <c r="BL25" i="3"/>
  <c r="BI33" i="3"/>
  <c r="BK19" i="3"/>
  <c r="AA40" i="2"/>
  <c r="Z108" i="2"/>
  <c r="BC37" i="3"/>
  <c r="BC12" i="3"/>
  <c r="Y19" i="2"/>
  <c r="Y91" i="2"/>
  <c r="BC28" i="3"/>
  <c r="BA28" i="3"/>
  <c r="Z31" i="2"/>
  <c r="Y55" i="2"/>
  <c r="Y30" i="2"/>
  <c r="BB27" i="3"/>
  <c r="BT6" i="3"/>
  <c r="BI10" i="3"/>
  <c r="BV22" i="3"/>
  <c r="BS6" i="3"/>
  <c r="BS30" i="3"/>
  <c r="BN7" i="3"/>
  <c r="BH37" i="3"/>
  <c r="BK8" i="3"/>
  <c r="BG38" i="3"/>
  <c r="BM36" i="3"/>
  <c r="BJ38" i="3"/>
  <c r="BM35" i="3"/>
  <c r="BE22" i="3"/>
  <c r="AA61" i="2"/>
  <c r="AA29" i="2"/>
  <c r="BD18" i="3"/>
  <c r="BB37" i="3"/>
  <c r="AA48" i="2"/>
  <c r="AA63" i="2"/>
  <c r="BB16" i="3"/>
  <c r="BC45" i="3"/>
  <c r="Y8" i="2"/>
  <c r="AA46" i="2"/>
  <c r="Z105" i="2"/>
  <c r="BA33" i="3"/>
  <c r="BD16" i="3"/>
  <c r="Z27" i="2"/>
  <c r="Y79" i="2"/>
  <c r="Y105" i="2"/>
  <c r="Y53" i="2"/>
  <c r="FC9" i="4" a="1"/>
  <c r="FA15" i="4" a="1"/>
  <c r="FE6" i="4" a="1"/>
  <c r="FB6" i="4" a="1"/>
  <c r="EX12" i="4" a="1"/>
  <c r="FB7" i="4" a="1"/>
  <c r="Z23" i="2"/>
  <c r="Y81" i="2"/>
  <c r="AA97" i="2"/>
  <c r="AA50" i="2"/>
  <c r="Y5" i="2"/>
  <c r="BC6" i="3"/>
  <c r="BB28" i="3"/>
  <c r="FC12" i="4" a="1"/>
  <c r="BV40" i="3"/>
  <c r="BH6" i="3"/>
  <c r="BK34" i="3"/>
  <c r="Z66" i="2"/>
  <c r="AA51" i="2"/>
  <c r="BB45" i="3"/>
  <c r="Z61" i="2"/>
  <c r="AA21" i="2"/>
  <c r="Z56" i="2"/>
  <c r="BP57" i="3" l="1"/>
  <c r="AA205" i="1"/>
  <c r="AA207" i="1" s="1"/>
  <c r="AA61" i="1"/>
  <c r="AA59" i="1"/>
  <c r="CL6" i="1"/>
  <c r="CP6" i="1" s="1"/>
  <c r="CT6" i="1" s="1"/>
  <c r="CX6" i="1" s="1"/>
  <c r="DB6" i="1" s="1"/>
  <c r="CL11" i="1"/>
  <c r="CL265" i="1"/>
  <c r="CL206" i="1"/>
  <c r="CL17" i="1"/>
  <c r="CL243" i="1"/>
  <c r="CL264" i="1"/>
  <c r="CL72" i="1"/>
  <c r="CL33" i="1"/>
  <c r="CK53" i="1"/>
  <c r="CK70" i="1"/>
  <c r="CK42" i="1"/>
  <c r="CK71" i="1"/>
  <c r="CK21" i="1"/>
  <c r="CK32" i="1"/>
  <c r="CK28" i="1"/>
  <c r="CK54" i="1"/>
  <c r="CK20" i="1"/>
  <c r="CK29" i="1"/>
  <c r="CK46" i="1"/>
  <c r="CK15" i="1"/>
  <c r="CK7" i="1" s="1"/>
  <c r="CK22" i="1"/>
  <c r="CK43" i="1"/>
  <c r="CK39" i="1"/>
  <c r="CK31" i="1"/>
  <c r="CK58" i="1"/>
  <c r="CK27" i="1"/>
  <c r="CK16" i="1"/>
  <c r="CK30" i="1"/>
  <c r="CK52" i="1"/>
  <c r="Z54" i="1"/>
  <c r="CH52" i="1"/>
  <c r="CH22" i="1"/>
  <c r="X138" i="1"/>
  <c r="X166" i="1" s="1"/>
  <c r="Z134" i="1"/>
  <c r="CH134" i="1" s="1"/>
  <c r="CI134" i="1" s="1"/>
  <c r="Z30" i="1"/>
  <c r="Z167" i="1"/>
  <c r="CH167" i="1" s="1"/>
  <c r="CH46" i="1"/>
  <c r="CJ52" i="1"/>
  <c r="CJ16" i="1"/>
  <c r="X74" i="1"/>
  <c r="Y130" i="1"/>
  <c r="X54" i="1"/>
  <c r="Y28" i="1"/>
  <c r="X144" i="1"/>
  <c r="X129" i="1"/>
  <c r="Y129" i="1"/>
  <c r="Y16" i="1"/>
  <c r="Z183" i="1"/>
  <c r="Z85" i="1"/>
  <c r="Y162" i="1"/>
  <c r="Y144" i="1"/>
  <c r="X165" i="1"/>
  <c r="Y131" i="1"/>
  <c r="Y184" i="1"/>
  <c r="CI53" i="1"/>
  <c r="Y172" i="1"/>
  <c r="Z171" i="1"/>
  <c r="X32" i="1"/>
  <c r="CH39" i="1"/>
  <c r="CH206" i="1" s="1"/>
  <c r="CJ30" i="1"/>
  <c r="CI54" i="1"/>
  <c r="CJ31" i="1"/>
  <c r="CH42" i="1"/>
  <c r="CG43" i="1"/>
  <c r="X158" i="1"/>
  <c r="Y139" i="1"/>
  <c r="X85" i="1"/>
  <c r="Z43" i="1"/>
  <c r="Z176" i="1"/>
  <c r="CH176" i="1" s="1"/>
  <c r="CI176" i="1" s="1"/>
  <c r="X183" i="1"/>
  <c r="Y53" i="1"/>
  <c r="Z175" i="1"/>
  <c r="CH175" i="1" s="1"/>
  <c r="CI175" i="1" s="1"/>
  <c r="Y163" i="1"/>
  <c r="X163" i="1"/>
  <c r="X39" i="1"/>
  <c r="Z149" i="1"/>
  <c r="CH149" i="1" s="1"/>
  <c r="CI149" i="1" s="1"/>
  <c r="CH20" i="1"/>
  <c r="CG32" i="1"/>
  <c r="CJ28" i="1"/>
  <c r="Y39" i="1"/>
  <c r="Y152" i="1"/>
  <c r="Z131" i="1"/>
  <c r="CH131" i="1" s="1"/>
  <c r="CJ21" i="1"/>
  <c r="CG52" i="1"/>
  <c r="CG42" i="1"/>
  <c r="CI15" i="1"/>
  <c r="CI7" i="1" s="1"/>
  <c r="CG20" i="1"/>
  <c r="CG29" i="1"/>
  <c r="CH53" i="1"/>
  <c r="CH15" i="1"/>
  <c r="CH7" i="1" s="1"/>
  <c r="CH58" i="1"/>
  <c r="CG22" i="1"/>
  <c r="CJ43" i="1"/>
  <c r="CI52" i="1"/>
  <c r="CJ27" i="1"/>
  <c r="CN27" i="1" s="1"/>
  <c r="CR27" i="1" s="1"/>
  <c r="CV27" i="1" s="1"/>
  <c r="CZ27" i="1" s="1"/>
  <c r="X147" i="1"/>
  <c r="X143" i="1" s="1"/>
  <c r="Y138" i="1"/>
  <c r="Y166" i="1" s="1"/>
  <c r="Z42" i="1"/>
  <c r="Y52" i="1"/>
  <c r="X149" i="1"/>
  <c r="Y176" i="1"/>
  <c r="X16" i="1"/>
  <c r="X184" i="1"/>
  <c r="Z39" i="1"/>
  <c r="Z206" i="1" s="1"/>
  <c r="X139" i="1"/>
  <c r="X137" i="1"/>
  <c r="CI42" i="1"/>
  <c r="CH21" i="1"/>
  <c r="CI29" i="1"/>
  <c r="CH54" i="1"/>
  <c r="CJ71" i="1"/>
  <c r="CI71" i="1" s="1"/>
  <c r="CH71" i="1" s="1"/>
  <c r="CG71" i="1" s="1"/>
  <c r="CF71" i="1" s="1"/>
  <c r="CE71" i="1" s="1"/>
  <c r="CD71" i="1" s="1"/>
  <c r="CC71" i="1" s="1"/>
  <c r="CB71" i="1" s="1"/>
  <c r="CA71" i="1" s="1"/>
  <c r="BZ71" i="1" s="1"/>
  <c r="BY71" i="1" s="1"/>
  <c r="BX71" i="1" s="1"/>
  <c r="BW71" i="1" s="1"/>
  <c r="BV71" i="1" s="1"/>
  <c r="BU71" i="1" s="1"/>
  <c r="BT71" i="1" s="1"/>
  <c r="BS71" i="1" s="1"/>
  <c r="BR71" i="1" s="1"/>
  <c r="BQ71" i="1" s="1"/>
  <c r="BP71" i="1" s="1"/>
  <c r="BO71" i="1" s="1"/>
  <c r="BN71" i="1" s="1"/>
  <c r="BM71" i="1" s="1"/>
  <c r="BL71" i="1" s="1"/>
  <c r="BK71" i="1" s="1"/>
  <c r="BJ71" i="1" s="1"/>
  <c r="BI71" i="1" s="1"/>
  <c r="BH71" i="1" s="1"/>
  <c r="BG71" i="1" s="1"/>
  <c r="BF71" i="1" s="1"/>
  <c r="BE71" i="1" s="1"/>
  <c r="BD71" i="1" s="1"/>
  <c r="BC71" i="1" s="1"/>
  <c r="BB71" i="1" s="1"/>
  <c r="BA71" i="1" s="1"/>
  <c r="AZ71" i="1" s="1"/>
  <c r="AY71" i="1" s="1"/>
  <c r="AX71" i="1" s="1"/>
  <c r="AW71" i="1" s="1"/>
  <c r="AV71" i="1" s="1"/>
  <c r="AU71" i="1" s="1"/>
  <c r="AT71" i="1" s="1"/>
  <c r="AS71" i="1" s="1"/>
  <c r="AR71" i="1" s="1"/>
  <c r="AQ71" i="1" s="1"/>
  <c r="AP71" i="1" s="1"/>
  <c r="AO71" i="1" s="1"/>
  <c r="AN71" i="1" s="1"/>
  <c r="AM71" i="1" s="1"/>
  <c r="AL71" i="1" s="1"/>
  <c r="AK71" i="1" s="1"/>
  <c r="AJ71" i="1" s="1"/>
  <c r="AI71" i="1" s="1"/>
  <c r="CG30" i="1"/>
  <c r="CJ39" i="1"/>
  <c r="CG21" i="1"/>
  <c r="Z53" i="1"/>
  <c r="Z163" i="1"/>
  <c r="CH163" i="1" s="1"/>
  <c r="X46" i="1"/>
  <c r="Z52" i="1"/>
  <c r="X157" i="1"/>
  <c r="Y134" i="1"/>
  <c r="X167" i="1"/>
  <c r="Z31" i="1"/>
  <c r="X134" i="1"/>
  <c r="Z145" i="1"/>
  <c r="CH145" i="1" s="1"/>
  <c r="CI145" i="1" s="1"/>
  <c r="Z152" i="1"/>
  <c r="Z22" i="1"/>
  <c r="X20" i="1"/>
  <c r="Y84" i="1"/>
  <c r="Y182" i="1"/>
  <c r="Z182" i="1"/>
  <c r="X136" i="1"/>
  <c r="Y58" i="1"/>
  <c r="Y32" i="1"/>
  <c r="Y171" i="1"/>
  <c r="Y173" i="1" s="1"/>
  <c r="Z130" i="1"/>
  <c r="CH130" i="1" s="1"/>
  <c r="CI130" i="1" s="1"/>
  <c r="Y42" i="1"/>
  <c r="Y167" i="1"/>
  <c r="Z86" i="1"/>
  <c r="Z155" i="1"/>
  <c r="CH155" i="1" s="1"/>
  <c r="Z139" i="1"/>
  <c r="CH139" i="1" s="1"/>
  <c r="CI139" i="1" s="1"/>
  <c r="Y155" i="1"/>
  <c r="Y15" i="1"/>
  <c r="CG53" i="1"/>
  <c r="CJ70" i="1"/>
  <c r="CI70" i="1" s="1"/>
  <c r="CH70" i="1" s="1"/>
  <c r="CG70" i="1" s="1"/>
  <c r="CF70" i="1" s="1"/>
  <c r="CE70" i="1" s="1"/>
  <c r="CD70" i="1" s="1"/>
  <c r="CC70" i="1" s="1"/>
  <c r="CB70" i="1" s="1"/>
  <c r="CA70" i="1" s="1"/>
  <c r="BZ70" i="1" s="1"/>
  <c r="BY70" i="1" s="1"/>
  <c r="BX70" i="1" s="1"/>
  <c r="BW70" i="1" s="1"/>
  <c r="BV70" i="1" s="1"/>
  <c r="BU70" i="1" s="1"/>
  <c r="BT70" i="1" s="1"/>
  <c r="BS70" i="1" s="1"/>
  <c r="BR70" i="1" s="1"/>
  <c r="BQ70" i="1" s="1"/>
  <c r="BP70" i="1" s="1"/>
  <c r="BO70" i="1" s="1"/>
  <c r="BN70" i="1" s="1"/>
  <c r="BM70" i="1" s="1"/>
  <c r="BL70" i="1" s="1"/>
  <c r="BK70" i="1" s="1"/>
  <c r="BJ70" i="1" s="1"/>
  <c r="BI70" i="1" s="1"/>
  <c r="BH70" i="1" s="1"/>
  <c r="BG70" i="1" s="1"/>
  <c r="BF70" i="1" s="1"/>
  <c r="BE70" i="1" s="1"/>
  <c r="BD70" i="1" s="1"/>
  <c r="BC70" i="1" s="1"/>
  <c r="BB70" i="1" s="1"/>
  <c r="BA70" i="1" s="1"/>
  <c r="AZ70" i="1" s="1"/>
  <c r="AY70" i="1" s="1"/>
  <c r="AX70" i="1" s="1"/>
  <c r="AW70" i="1" s="1"/>
  <c r="AV70" i="1" s="1"/>
  <c r="AU70" i="1" s="1"/>
  <c r="AT70" i="1" s="1"/>
  <c r="AS70" i="1" s="1"/>
  <c r="AR70" i="1" s="1"/>
  <c r="AQ70" i="1" s="1"/>
  <c r="AP70" i="1" s="1"/>
  <c r="AO70" i="1" s="1"/>
  <c r="AN70" i="1" s="1"/>
  <c r="AM70" i="1" s="1"/>
  <c r="AL70" i="1" s="1"/>
  <c r="AK70" i="1" s="1"/>
  <c r="AJ70" i="1" s="1"/>
  <c r="AI70" i="1" s="1"/>
  <c r="CH32" i="1"/>
  <c r="CH29" i="1"/>
  <c r="CJ53" i="1"/>
  <c r="CG39" i="1"/>
  <c r="CI58" i="1"/>
  <c r="CI46" i="1"/>
  <c r="CG58" i="1"/>
  <c r="CH30" i="1"/>
  <c r="CJ15" i="1"/>
  <c r="CJ7" i="1" s="1"/>
  <c r="CI30" i="1"/>
  <c r="CJ22" i="1"/>
  <c r="CJ20" i="1"/>
  <c r="CG15" i="1"/>
  <c r="CI28" i="1"/>
  <c r="CH27" i="1"/>
  <c r="CP27" i="1" s="1"/>
  <c r="CT27" i="1" s="1"/>
  <c r="CX27" i="1" s="1"/>
  <c r="DB27" i="1" s="1"/>
  <c r="CI39" i="1"/>
  <c r="CI206" i="1" s="1"/>
  <c r="CG31" i="1"/>
  <c r="X172" i="1"/>
  <c r="Y148" i="1"/>
  <c r="Y30" i="1"/>
  <c r="Z129" i="1"/>
  <c r="CH129" i="1" s="1"/>
  <c r="CI129" i="1" s="1"/>
  <c r="X43" i="1"/>
  <c r="Y147" i="1"/>
  <c r="Y143" i="1" s="1"/>
  <c r="Y54" i="1"/>
  <c r="Y22" i="1"/>
  <c r="X152" i="1"/>
  <c r="Y29" i="1"/>
  <c r="X30" i="1"/>
  <c r="X161" i="1"/>
  <c r="X84" i="1"/>
  <c r="Y159" i="1"/>
  <c r="Y183" i="1"/>
  <c r="Z156" i="1"/>
  <c r="CH156" i="1" s="1"/>
  <c r="Z144" i="1"/>
  <c r="CH144" i="1" s="1"/>
  <c r="Y158" i="1"/>
  <c r="Z20" i="1"/>
  <c r="Z15" i="1"/>
  <c r="Y157" i="1"/>
  <c r="Z58" i="1"/>
  <c r="Z161" i="1"/>
  <c r="CH161" i="1" s="1"/>
  <c r="Z147" i="1"/>
  <c r="CH147" i="1" s="1"/>
  <c r="CI147" i="1" s="1"/>
  <c r="Y20" i="1"/>
  <c r="Y175" i="1"/>
  <c r="X53" i="1"/>
  <c r="X159" i="1"/>
  <c r="Z158" i="1"/>
  <c r="CH158" i="1" s="1"/>
  <c r="Z46" i="1"/>
  <c r="Y27" i="1"/>
  <c r="X175" i="1"/>
  <c r="Z137" i="1"/>
  <c r="CH137" i="1" s="1"/>
  <c r="CI137" i="1" s="1"/>
  <c r="X86" i="1"/>
  <c r="X29" i="1"/>
  <c r="X130" i="1"/>
  <c r="Y74" i="1"/>
  <c r="Z84" i="1"/>
  <c r="X28" i="1"/>
  <c r="X131" i="1"/>
  <c r="Y85" i="1"/>
  <c r="Z138" i="1"/>
  <c r="Y43" i="1"/>
  <c r="Y136" i="1"/>
  <c r="X15" i="1"/>
  <c r="CI31" i="1"/>
  <c r="CJ46" i="1"/>
  <c r="CH31" i="1"/>
  <c r="CI21" i="1"/>
  <c r="CJ42" i="1"/>
  <c r="CI22" i="1"/>
  <c r="CI20" i="1"/>
  <c r="CG46" i="1"/>
  <c r="CG27" i="1"/>
  <c r="CH43" i="1"/>
  <c r="CI43" i="1"/>
  <c r="CI27" i="1"/>
  <c r="CM27" i="1" s="1"/>
  <c r="CQ27" i="1" s="1"/>
  <c r="CU27" i="1" s="1"/>
  <c r="CY27" i="1" s="1"/>
  <c r="CJ29" i="1"/>
  <c r="CJ32" i="1"/>
  <c r="CH28" i="1"/>
  <c r="CE46" i="1"/>
  <c r="CG54" i="1"/>
  <c r="CJ54" i="1"/>
  <c r="CG16" i="1"/>
  <c r="CG28" i="1"/>
  <c r="CI32" i="1"/>
  <c r="CJ58" i="1"/>
  <c r="CH16" i="1"/>
  <c r="CI16" i="1"/>
  <c r="Y154" i="1"/>
  <c r="X58" i="1"/>
  <c r="Z136" i="1"/>
  <c r="CH136" i="1" s="1"/>
  <c r="CI136" i="1" s="1"/>
  <c r="Y145" i="1"/>
  <c r="Y31" i="1"/>
  <c r="X52" i="1"/>
  <c r="Z184" i="1"/>
  <c r="X22" i="1"/>
  <c r="Y161" i="1"/>
  <c r="Z172" i="1"/>
  <c r="CH172" i="1" s="1"/>
  <c r="X154" i="1"/>
  <c r="Y165" i="1"/>
  <c r="Y46" i="1"/>
  <c r="Z16" i="1"/>
  <c r="Z162" i="1"/>
  <c r="CH162" i="1" s="1"/>
  <c r="Y86" i="1"/>
  <c r="X42" i="1"/>
  <c r="X148" i="1"/>
  <c r="Z148" i="1"/>
  <c r="CH148" i="1" s="1"/>
  <c r="CI148" i="1" s="1"/>
  <c r="Z159" i="1"/>
  <c r="CH159" i="1" s="1"/>
  <c r="X145" i="1"/>
  <c r="Z27" i="1"/>
  <c r="Z157" i="1"/>
  <c r="Z154" i="1"/>
  <c r="CH154" i="1" s="1"/>
  <c r="X171" i="1"/>
  <c r="X162" i="1"/>
  <c r="Y137" i="1"/>
  <c r="Z28" i="1"/>
  <c r="Z29" i="1"/>
  <c r="Z74" i="1"/>
  <c r="Z32" i="1"/>
  <c r="X156" i="1"/>
  <c r="Y149" i="1"/>
  <c r="Y156" i="1"/>
  <c r="X176" i="1"/>
  <c r="X31" i="1"/>
  <c r="X27" i="1"/>
  <c r="Z165" i="1"/>
  <c r="CH165" i="1" s="1"/>
  <c r="X155" i="1"/>
  <c r="X182" i="1"/>
  <c r="CH157" i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7" i="1" s="1"/>
  <c r="BB92" i="3"/>
  <c r="BB85" i="3"/>
  <c r="BB89" i="3"/>
  <c r="BG93" i="3"/>
  <c r="BH76" i="3"/>
  <c r="BF90" i="3"/>
  <c r="CL138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7" i="1" s="1"/>
  <c r="BF85" i="3"/>
  <c r="CL159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31" i="1" s="1"/>
  <c r="BJ84" i="3"/>
  <c r="BJ95" i="3"/>
  <c r="BJ94" i="3"/>
  <c r="BJ79" i="3"/>
  <c r="BH62" i="3"/>
  <c r="BU5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4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P50" i="3"/>
  <c r="BK70" i="3"/>
  <c r="BF87" i="3"/>
  <c r="CL164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76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36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BK84" i="3"/>
  <c r="BP67" i="3"/>
  <c r="BF79" i="3"/>
  <c r="CL155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6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0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4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47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BV4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5" i="1" s="1"/>
  <c r="CL195" i="1" s="1"/>
  <c r="BF66" i="3"/>
  <c r="CL163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81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GG14" i="4" a="1"/>
  <c r="FQ9" i="4" a="1"/>
  <c r="HA13" i="4" a="1"/>
  <c r="GF15" i="4" a="1"/>
  <c r="HD15" i="4" a="1"/>
  <c r="FZ16" i="4" a="1"/>
  <c r="GX16" i="4" a="1"/>
  <c r="GY14" i="4" a="1"/>
  <c r="FN12" i="4" a="1"/>
  <c r="HB14" i="4" a="1"/>
  <c r="GI14" i="4" a="1"/>
  <c r="GL12" i="4" a="1"/>
  <c r="BG59" i="3"/>
  <c r="BT49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1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2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8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2" i="1" s="1"/>
  <c r="BF82" i="3"/>
  <c r="CL157" i="1" s="1"/>
  <c r="CL192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E85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2" i="1" s="1"/>
  <c r="BB65" i="3"/>
  <c r="BB74" i="3"/>
  <c r="BB78" i="3"/>
  <c r="BG77" i="3"/>
  <c r="BH68" i="3"/>
  <c r="BF88" i="3"/>
  <c r="CL139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B48" i="3"/>
  <c r="BH73" i="3"/>
  <c r="BQ84" i="3"/>
  <c r="BN76" i="3"/>
  <c r="BS77" i="3"/>
  <c r="BU65" i="3"/>
  <c r="BR87" i="3"/>
  <c r="BV66" i="3"/>
  <c r="BN86" i="3"/>
  <c r="BN85" i="3"/>
  <c r="BO64" i="3"/>
  <c r="BG84" i="3"/>
  <c r="BE81" i="3"/>
  <c r="BF68" i="3"/>
  <c r="CL146" i="1" s="1"/>
  <c r="BJ80" i="3"/>
  <c r="BJ75" i="3"/>
  <c r="BK66" i="3"/>
  <c r="BK79" i="3"/>
  <c r="GR5" i="4" a="1"/>
  <c r="FR9" i="4" a="1"/>
  <c r="FT7" i="4" a="1"/>
  <c r="HA7" i="4" a="1"/>
  <c r="FX9" i="4" a="1"/>
  <c r="GF6" i="4" a="1"/>
  <c r="FV7" i="4" a="1"/>
  <c r="FS13" i="4" a="1"/>
  <c r="GP7" i="4" a="1"/>
  <c r="GW7" i="4" a="1"/>
  <c r="HB13" i="4" a="1"/>
  <c r="HC7" i="4" a="1"/>
  <c r="FX8" i="4" a="1"/>
  <c r="GN14" i="4" a="1"/>
  <c r="FL8" i="4" a="1"/>
  <c r="GJ8" i="4" a="1"/>
  <c r="GK14" i="4" a="1"/>
  <c r="GN11" i="4" a="1"/>
  <c r="BG74" i="3"/>
  <c r="BH88" i="3"/>
  <c r="BQ64" i="3"/>
  <c r="BO80" i="3"/>
  <c r="BS82" i="3"/>
  <c r="BU84" i="3"/>
  <c r="BR68" i="3"/>
  <c r="BT71" i="3"/>
  <c r="BN82" i="3"/>
  <c r="BN87" i="3"/>
  <c r="BO83" i="3"/>
  <c r="BG90" i="3"/>
  <c r="BI63" i="3"/>
  <c r="BF74" i="3"/>
  <c r="CL149" i="1" s="1"/>
  <c r="BJ96" i="3"/>
  <c r="BJ77" i="3"/>
  <c r="BK62" i="3"/>
  <c r="BK93" i="3"/>
  <c r="FN6" i="4" a="1"/>
  <c r="GH9" i="4" a="1"/>
  <c r="GH8" i="4" a="1"/>
  <c r="GQ8" i="4" a="1"/>
  <c r="GU11" i="4" a="1"/>
  <c r="HA6" i="4" a="1"/>
  <c r="HF8" i="4" a="1"/>
  <c r="GY13" i="4" a="1"/>
  <c r="FI8" i="4" a="1"/>
  <c r="GF8" i="4" a="1"/>
  <c r="FX14" i="4" a="1"/>
  <c r="GZ5" i="4" a="1"/>
  <c r="GV8" i="4" a="1"/>
  <c r="FJ15" i="4" a="1"/>
  <c r="HH5" i="4" a="1"/>
  <c r="HG8" i="4" a="1"/>
  <c r="FG15" i="4" a="1"/>
  <c r="GS11" i="4" a="1"/>
  <c r="HF12" i="4" a="1"/>
  <c r="GT7" i="4" a="1"/>
  <c r="FP12" i="4" a="1"/>
  <c r="FW13" i="4" a="1"/>
  <c r="FY14" i="4" a="1"/>
  <c r="GL9" i="4" a="1"/>
  <c r="FZ14" i="4" a="1"/>
  <c r="GP15" i="4" a="1"/>
  <c r="FR16" i="4" a="1"/>
  <c r="GT16" i="4" a="1"/>
  <c r="FV15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B93" i="3"/>
  <c r="GN15" i="4" a="1"/>
  <c r="BG57" i="3"/>
  <c r="BL55" i="3"/>
  <c r="BQ66" i="3"/>
  <c r="BO81" i="3"/>
  <c r="BS72" i="3"/>
  <c r="BU70" i="3"/>
  <c r="BV79" i="3"/>
  <c r="BT59" i="3"/>
  <c r="BN67" i="3"/>
  <c r="BP69" i="3"/>
  <c r="BO96" i="3"/>
  <c r="BH93" i="3"/>
  <c r="BI71" i="3"/>
  <c r="BF64" i="3"/>
  <c r="CL161" i="1" s="1"/>
  <c r="BJ89" i="3"/>
  <c r="BJ81" i="3"/>
  <c r="BK76" i="3"/>
  <c r="BK61" i="3"/>
  <c r="FU7" i="4" a="1"/>
  <c r="GX9" i="4" a="1"/>
  <c r="FO5" i="4" a="1"/>
  <c r="HC5" i="4" a="1"/>
  <c r="FQ12" i="4" a="1"/>
  <c r="GU7" i="4" a="1"/>
  <c r="GB9" i="4" a="1"/>
  <c r="GS14" i="4" a="1"/>
  <c r="HE5" i="4" a="1"/>
  <c r="HD8" i="4" a="1"/>
  <c r="GV14" i="4" a="1"/>
  <c r="FM7" i="4" a="1"/>
  <c r="FU9" i="4" a="1"/>
  <c r="GE6" i="4" a="1"/>
  <c r="GN7" i="4" a="1"/>
  <c r="GC9" i="4" a="1"/>
  <c r="GV5" i="4" a="1"/>
  <c r="HD11" i="4" a="1"/>
  <c r="FI13" i="4" a="1"/>
  <c r="FM8" i="4" a="1"/>
  <c r="FU12" i="4" a="1"/>
  <c r="FZ13" i="4" a="1"/>
  <c r="GB14" i="4" a="1"/>
  <c r="HC9" i="4" a="1"/>
  <c r="GE14" i="4" a="1"/>
  <c r="GR15" i="4" a="1"/>
  <c r="FT16" i="4" a="1"/>
  <c r="GV16" i="4" a="1"/>
  <c r="GP6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FI14" i="4" a="1"/>
  <c r="BC73" i="3"/>
  <c r="FT14" i="4" a="1"/>
  <c r="GD14" i="4" a="1"/>
  <c r="HD13" i="4" a="1"/>
  <c r="BD81" i="3"/>
  <c r="BM97" i="3"/>
  <c r="BL62" i="3"/>
  <c r="BQ95" i="3"/>
  <c r="BO94" i="3"/>
  <c r="BS57" i="3"/>
  <c r="BR49" i="3"/>
  <c r="BV67" i="3"/>
  <c r="BT88" i="3"/>
  <c r="BN54" i="3"/>
  <c r="BP79" i="3"/>
  <c r="BS66" i="3"/>
  <c r="BL54" i="3"/>
  <c r="BI79" i="3"/>
  <c r="BF96" i="3"/>
  <c r="CL175" i="1" s="1"/>
  <c r="BJ87" i="3"/>
  <c r="BK73" i="3"/>
  <c r="BK86" i="3"/>
  <c r="GE15" i="4" a="1"/>
  <c r="FO8" i="4" a="1"/>
  <c r="HH9" i="4" a="1"/>
  <c r="GA5" i="4" a="1"/>
  <c r="FY6" i="4" a="1"/>
  <c r="GI13" i="4" a="1"/>
  <c r="GO5" i="4" a="1"/>
  <c r="FP8" i="4" a="1"/>
  <c r="FO15" i="4" a="1"/>
  <c r="GK7" i="4" a="1"/>
  <c r="GT9" i="4" a="1"/>
  <c r="FZ15" i="4" a="1"/>
  <c r="GF7" i="4" a="1"/>
  <c r="HD9" i="4" a="1"/>
  <c r="FZ8" i="4" a="1"/>
  <c r="FJ8" i="4" a="1"/>
  <c r="FH11" i="4" a="1"/>
  <c r="FR8" i="4" a="1"/>
  <c r="FG12" i="4" a="1"/>
  <c r="FQ13" i="4" a="1"/>
  <c r="FK9" i="4" a="1"/>
  <c r="GC12" i="4" a="1"/>
  <c r="GE13" i="4" a="1"/>
  <c r="GJ14" i="4" a="1"/>
  <c r="FQ11" i="4" a="1"/>
  <c r="GP14" i="4" a="1"/>
  <c r="GV15" i="4" a="1"/>
  <c r="FV16" i="4" a="1"/>
  <c r="GZ16" i="4" a="1"/>
  <c r="GJ7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GZ14" i="4" a="1"/>
  <c r="GA14" i="4" a="1"/>
  <c r="BT93" i="3"/>
  <c r="HG7" i="4" a="1"/>
  <c r="FY7" i="4" a="1"/>
  <c r="GL16" i="4" a="1"/>
  <c r="GK13" i="4" a="1"/>
  <c r="FW16" i="4" a="1"/>
  <c r="GU16" i="4" a="1"/>
  <c r="GD8" i="4" a="1"/>
  <c r="HE15" i="4" a="1"/>
  <c r="BC79" i="3"/>
  <c r="BP47" i="3"/>
  <c r="BL75" i="3"/>
  <c r="BU78" i="3"/>
  <c r="BO70" i="3"/>
  <c r="BU56" i="3"/>
  <c r="BR76" i="3"/>
  <c r="BV68" i="3"/>
  <c r="BT64" i="3"/>
  <c r="BN75" i="3"/>
  <c r="BP85" i="3"/>
  <c r="BS74" i="3"/>
  <c r="BL85" i="3"/>
  <c r="BI60" i="3"/>
  <c r="BF70" i="3"/>
  <c r="CL145" i="1" s="1"/>
  <c r="BJ54" i="3"/>
  <c r="BK69" i="3"/>
  <c r="BK90" i="3"/>
  <c r="FM5" i="4" a="1"/>
  <c r="FY8" i="4" a="1"/>
  <c r="FW6" i="4" a="1"/>
  <c r="FH5" i="4" a="1"/>
  <c r="FL9" i="4" a="1"/>
  <c r="GC14" i="4" a="1"/>
  <c r="FK6" i="4" a="1"/>
  <c r="FJ9" i="4" a="1"/>
  <c r="FI7" i="4" a="1"/>
  <c r="FU8" i="4" a="1"/>
  <c r="HF9" i="4" a="1"/>
  <c r="GZ7" i="4" a="1"/>
  <c r="FG8" i="4" a="1"/>
  <c r="FN11" i="4" a="1"/>
  <c r="GD9" i="4" a="1"/>
  <c r="GA8" i="4" a="1"/>
  <c r="FT11" i="4" a="1"/>
  <c r="FN9" i="4" a="1"/>
  <c r="FJ12" i="4" a="1"/>
  <c r="FT13" i="4" a="1"/>
  <c r="FP9" i="4" a="1"/>
  <c r="GF12" i="4" a="1"/>
  <c r="GH13" i="4" a="1"/>
  <c r="GO14" i="4" a="1"/>
  <c r="GG11" i="4" a="1"/>
  <c r="GU14" i="4" a="1"/>
  <c r="GX15" i="4" a="1"/>
  <c r="FX16" i="4" a="1"/>
  <c r="HB16" i="4" a="1"/>
  <c r="FV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D71" i="3"/>
  <c r="HH16" i="4" a="1"/>
  <c r="HC14" i="4" a="1"/>
  <c r="BC95" i="3"/>
  <c r="BD66" i="3"/>
  <c r="HH15" i="4" a="1"/>
  <c r="HE13" i="4" a="1"/>
  <c r="GW15" i="4" a="1"/>
  <c r="BC59" i="3"/>
  <c r="BD56" i="3"/>
  <c r="FL11" i="4" a="1"/>
  <c r="HG14" i="4" a="1"/>
  <c r="BD69" i="3"/>
  <c r="FO13" i="4" a="1"/>
  <c r="BD48" i="3"/>
  <c r="BD55" i="3"/>
  <c r="BE86" i="3"/>
  <c r="BR93" i="3"/>
  <c r="BO72" i="3"/>
  <c r="BU57" i="3"/>
  <c r="BR55" i="3"/>
  <c r="BV91" i="3"/>
  <c r="BT70" i="3"/>
  <c r="BN64" i="3"/>
  <c r="BF81" i="3"/>
  <c r="CL156" i="1" s="1"/>
  <c r="CL191" i="1" s="1"/>
  <c r="BS79" i="3"/>
  <c r="BL73" i="3"/>
  <c r="BI87" i="3"/>
  <c r="BF56" i="3"/>
  <c r="CL129" i="1" s="1"/>
  <c r="BJ48" i="3"/>
  <c r="BK82" i="3"/>
  <c r="BK94" i="3"/>
  <c r="FS5" i="4" a="1"/>
  <c r="GM5" i="4" a="1"/>
  <c r="HE8" i="4" a="1"/>
  <c r="FV5" i="4" a="1"/>
  <c r="GJ9" i="4" a="1"/>
  <c r="HD14" i="4" a="1"/>
  <c r="GI6" i="4" a="1"/>
  <c r="GK9" i="4" a="1"/>
  <c r="GP8" i="4" a="1"/>
  <c r="GG8" i="4" a="1"/>
  <c r="FP11" i="4" a="1"/>
  <c r="GE5" i="4" a="1"/>
  <c r="FW8" i="4" a="1"/>
  <c r="GF11" i="4" a="1"/>
  <c r="FJ5" i="4" a="1"/>
  <c r="GO8" i="4" a="1"/>
  <c r="GD11" i="4" a="1"/>
  <c r="FG11" i="4" a="1"/>
  <c r="FO12" i="4" a="1"/>
  <c r="FY13" i="4" a="1"/>
  <c r="GI11" i="4" a="1"/>
  <c r="GK12" i="4" a="1"/>
  <c r="GP13" i="4" a="1"/>
  <c r="GR14" i="4" a="1"/>
  <c r="GR11" i="4" a="1"/>
  <c r="FL15" i="4" a="1"/>
  <c r="GZ15" i="4" a="1"/>
  <c r="GB16" i="4" a="1"/>
  <c r="HD16" i="4" a="1"/>
  <c r="HB8" i="4" a="1"/>
  <c r="FK14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GQ12" i="4" a="1"/>
  <c r="GY9" i="4" a="1"/>
  <c r="BD97" i="3"/>
  <c r="HB12" i="4" a="1"/>
  <c r="FS16" i="4" a="1"/>
  <c r="BC97" i="3"/>
  <c r="BD77" i="3"/>
  <c r="BU90" i="3"/>
  <c r="FH13" i="4" a="1"/>
  <c r="BC89" i="3"/>
  <c r="GR16" i="4" a="1"/>
  <c r="GG15" i="4" a="1"/>
  <c r="GY16" i="4" a="1"/>
  <c r="FS14" i="4" a="1"/>
  <c r="BD57" i="3"/>
  <c r="BP49" i="3"/>
  <c r="BE57" i="3"/>
  <c r="BR91" i="3"/>
  <c r="BO82" i="3"/>
  <c r="BU71" i="3"/>
  <c r="BR59" i="3"/>
  <c r="BV80" i="3"/>
  <c r="BT55" i="3"/>
  <c r="BN48" i="3"/>
  <c r="BF69" i="3"/>
  <c r="BS81" i="3"/>
  <c r="BE47" i="3"/>
  <c r="BI50" i="3"/>
  <c r="BJ74" i="3"/>
  <c r="BJ64" i="3"/>
  <c r="BK88" i="3"/>
  <c r="BK95" i="3"/>
  <c r="GC5" i="4" a="1"/>
  <c r="FI6" i="4" a="1"/>
  <c r="GI9" i="4" a="1"/>
  <c r="GC6" i="4" a="1"/>
  <c r="GX6" i="4" a="1"/>
  <c r="GO7" i="4" a="1"/>
  <c r="HB6" i="4" a="1"/>
  <c r="FJ11" i="4" a="1"/>
  <c r="GO9" i="4" a="1"/>
  <c r="GP5" i="4" a="1"/>
  <c r="FX11" i="4" a="1"/>
  <c r="FN5" i="4" a="1"/>
  <c r="GW8" i="4" a="1"/>
  <c r="GZ6" i="4" a="1"/>
  <c r="FR5" i="4" a="1"/>
  <c r="HF5" i="4" a="1"/>
  <c r="GO6" i="4" a="1"/>
  <c r="FK11" i="4" a="1"/>
  <c r="FW12" i="4" a="1"/>
  <c r="GB13" i="4" a="1"/>
  <c r="GL11" i="4" a="1"/>
  <c r="GN12" i="4" a="1"/>
  <c r="GU13" i="4" a="1"/>
  <c r="GW14" i="4" a="1"/>
  <c r="FK12" i="4" a="1"/>
  <c r="FP15" i="4" a="1"/>
  <c r="HB15" i="4" a="1"/>
  <c r="GD16" i="4" a="1"/>
  <c r="HF16" i="4" a="1"/>
  <c r="FV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GG13" i="4" a="1"/>
  <c r="GQ11" i="4" a="1"/>
  <c r="GV12" i="4" a="1"/>
  <c r="GX13" i="4" a="1"/>
  <c r="FS15" i="4" a="1"/>
  <c r="HF15" i="4" a="1"/>
  <c r="GF16" i="4" a="1"/>
  <c r="HG9" i="4" a="1"/>
  <c r="GC13" i="4" a="1"/>
  <c r="GA12" i="4" a="1"/>
  <c r="GU15" i="4" a="1"/>
  <c r="FQ16" i="4" a="1"/>
  <c r="GO16" i="4" a="1"/>
  <c r="BC61" i="3"/>
  <c r="GC15" i="4" a="1"/>
  <c r="BC48" i="3"/>
  <c r="BV63" i="3"/>
  <c r="BJ67" i="3"/>
  <c r="BK48" i="3"/>
  <c r="BK47" i="3"/>
  <c r="GQ13" i="4" a="1"/>
  <c r="HG6" i="4" a="1"/>
  <c r="FU5" i="4" a="1"/>
  <c r="GV6" i="4" a="1"/>
  <c r="FG7" i="4" a="1"/>
  <c r="FV13" i="4" a="1"/>
  <c r="FN13" i="4" a="1"/>
  <c r="GM12" i="4" a="1"/>
  <c r="GZ13" i="4" a="1"/>
  <c r="BI80" i="3"/>
  <c r="BI70" i="3"/>
  <c r="BV77" i="3"/>
  <c r="BS80" i="3"/>
  <c r="BU73" i="3"/>
  <c r="BR85" i="3"/>
  <c r="BV78" i="3"/>
  <c r="BT65" i="3"/>
  <c r="BN94" i="3"/>
  <c r="AA111" i="2"/>
  <c r="BS54" i="3"/>
  <c r="BE79" i="3"/>
  <c r="BM69" i="3"/>
  <c r="BJ82" i="3"/>
  <c r="BJ92" i="3"/>
  <c r="BK83" i="3"/>
  <c r="BK91" i="3"/>
  <c r="GB5" i="4" a="1"/>
  <c r="FG6" i="4" a="1"/>
  <c r="GJ12" i="4" a="1"/>
  <c r="GE7" i="4" a="1"/>
  <c r="GR7" i="4" a="1"/>
  <c r="GX8" i="4" a="1"/>
  <c r="FQ8" i="4" a="1"/>
  <c r="FV11" i="4" a="1"/>
  <c r="GI5" i="4" a="1"/>
  <c r="FL6" i="4" a="1"/>
  <c r="HD5" i="4" a="1"/>
  <c r="FZ5" i="4" a="1"/>
  <c r="GU5" i="4" a="1"/>
  <c r="GY7" i="4" a="1"/>
  <c r="GD5" i="4" a="1"/>
  <c r="GN5" i="4" a="1"/>
  <c r="FS7" i="4" a="1"/>
  <c r="FO11" i="4" a="1"/>
  <c r="FZ12" i="4" a="1"/>
  <c r="BC76" i="3"/>
  <c r="GH16" i="4" a="1"/>
  <c r="FU11" i="4" a="1"/>
  <c r="GL14" i="4" a="1"/>
  <c r="FN15" i="4" a="1"/>
  <c r="GQ16" i="4" a="1"/>
  <c r="BC92" i="3"/>
  <c r="GH7" i="4" a="1"/>
  <c r="FR7" i="4" a="1"/>
  <c r="HG11" i="4" a="1"/>
  <c r="GY12" i="4" a="1"/>
  <c r="BC80" i="3"/>
  <c r="GT8" i="4" a="1"/>
  <c r="BB91" i="3"/>
  <c r="BI76" i="3"/>
  <c r="BV49" i="3"/>
  <c r="BS63" i="3"/>
  <c r="BU83" i="3"/>
  <c r="BR84" i="3"/>
  <c r="BV86" i="3"/>
  <c r="BT85" i="3"/>
  <c r="BN96" i="3"/>
  <c r="Y112" i="2"/>
  <c r="BS58" i="3"/>
  <c r="BE89" i="3"/>
  <c r="BM47" i="3"/>
  <c r="BJ47" i="3"/>
  <c r="BJ50" i="3"/>
  <c r="BK75" i="3"/>
  <c r="BK65" i="3"/>
  <c r="HG5" i="4" a="1"/>
  <c r="HH6" i="4" a="1"/>
  <c r="HE12" i="4" a="1"/>
  <c r="GX7" i="4" a="1"/>
  <c r="FM9" i="4" a="1"/>
  <c r="GS9" i="4" a="1"/>
  <c r="GM8" i="4" a="1"/>
  <c r="GS5" i="4" a="1"/>
  <c r="GF5" i="4" a="1"/>
  <c r="FR6" i="4" a="1"/>
  <c r="GM11" i="4" a="1"/>
  <c r="GJ5" i="4" a="1"/>
  <c r="FT6" i="4" a="1"/>
  <c r="FY12" i="4" a="1"/>
  <c r="GY5" i="4" a="1"/>
  <c r="GW6" i="4" a="1"/>
  <c r="FL12" i="4" a="1"/>
  <c r="FS11" i="4" a="1"/>
  <c r="GE12" i="4" a="1"/>
  <c r="GR13" i="4" a="1"/>
  <c r="GT11" i="4" a="1"/>
  <c r="HA12" i="4" a="1"/>
  <c r="HC13" i="4" a="1"/>
  <c r="HE14" i="4" a="1"/>
  <c r="HE7" i="4" a="1"/>
  <c r="HG12" i="4" a="1"/>
  <c r="GC11" i="4" a="1"/>
  <c r="BR96" i="3"/>
  <c r="FQ7" i="4" a="1"/>
  <c r="FQ6" i="4" a="1"/>
  <c r="GG12" i="4" a="1"/>
  <c r="FT9" i="4" a="1"/>
  <c r="FG13" i="4" a="1"/>
  <c r="GF13" i="4" a="1"/>
  <c r="FJ16" i="4" a="1"/>
  <c r="FU15" i="4" a="1"/>
  <c r="FO14" i="4" a="1"/>
  <c r="GT12" i="4" a="1"/>
  <c r="GA16" i="4" a="1"/>
  <c r="BC64" i="3"/>
  <c r="BA80" i="3"/>
  <c r="BF49" i="3"/>
  <c r="CL80" i="1" s="1"/>
  <c r="BT94" i="3"/>
  <c r="BS73" i="3"/>
  <c r="BU96" i="3"/>
  <c r="BR82" i="3"/>
  <c r="BV89" i="3"/>
  <c r="BT86" i="3"/>
  <c r="BN47" i="3"/>
  <c r="Y111" i="2"/>
  <c r="BP65" i="3"/>
  <c r="BE65" i="3"/>
  <c r="BM87" i="3"/>
  <c r="BJ66" i="3"/>
  <c r="BJ63" i="3"/>
  <c r="BK59" i="3"/>
  <c r="BK97" i="3"/>
  <c r="FX6" i="4" a="1"/>
  <c r="GE9" i="4" a="1"/>
  <c r="GA13" i="4" a="1"/>
  <c r="GQ6" i="4" a="1"/>
  <c r="HB9" i="4" a="1"/>
  <c r="FG5" i="4" a="1"/>
  <c r="GY8" i="4" a="1"/>
  <c r="GK5" i="4" a="1"/>
  <c r="GT5" i="4" a="1"/>
  <c r="FK7" i="4" a="1"/>
  <c r="FI12" i="4" a="1"/>
  <c r="GK6" i="4" a="1"/>
  <c r="GR6" i="4" a="1"/>
  <c r="GZ12" i="4" a="1"/>
  <c r="GS6" i="4" a="1"/>
  <c r="HB7" i="4" a="1"/>
  <c r="GR12" i="4" a="1"/>
  <c r="GA11" i="4" a="1"/>
  <c r="GH12" i="4" a="1"/>
  <c r="GW13" i="4" a="1"/>
  <c r="HB11" i="4" a="1"/>
  <c r="HD12" i="4" a="1"/>
  <c r="HF13" i="4" a="1"/>
  <c r="FO6" i="4" a="1"/>
  <c r="FU13" i="4" a="1"/>
  <c r="GH15" i="4" a="1"/>
  <c r="FH16" i="4" a="1"/>
  <c r="GJ16" i="4" a="1"/>
  <c r="FS12" i="4" a="1"/>
  <c r="GJ11" i="4" a="1"/>
  <c r="GQ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Y113" i="2"/>
  <c r="BA57" i="3"/>
  <c r="BF54" i="3"/>
  <c r="BS95" i="3"/>
  <c r="BT62" i="3"/>
  <c r="BN70" i="3"/>
  <c r="BO54" i="3"/>
  <c r="BG68" i="3"/>
  <c r="BE67" i="3"/>
  <c r="BM83" i="3"/>
  <c r="BJ70" i="3"/>
  <c r="FH8" i="4" a="1"/>
  <c r="GL7" i="4" a="1"/>
  <c r="GE11" i="4" a="1"/>
  <c r="GJ15" i="4" a="1"/>
  <c r="HE11" i="4" a="1"/>
  <c r="FY15" i="4" a="1"/>
  <c r="HA15" i="4" a="1"/>
  <c r="BD64" i="3"/>
  <c r="FN16" i="4" a="1"/>
  <c r="BB70" i="3"/>
  <c r="BQ47" i="3"/>
  <c r="BQ86" i="3"/>
  <c r="BN65" i="3"/>
  <c r="BS60" i="3"/>
  <c r="BU95" i="3"/>
  <c r="BR79" i="3"/>
  <c r="BV73" i="3"/>
  <c r="BT66" i="3"/>
  <c r="BN81" i="3"/>
  <c r="BO61" i="3"/>
  <c r="BG48" i="3"/>
  <c r="BE69" i="3"/>
  <c r="BM63" i="3"/>
  <c r="BJ72" i="3"/>
  <c r="BJ69" i="3"/>
  <c r="BK80" i="3"/>
  <c r="BK96" i="3"/>
  <c r="HF7" i="4" a="1"/>
  <c r="HH7" i="4" a="1"/>
  <c r="HA14" i="4" a="1"/>
  <c r="GC7" i="4" a="1"/>
  <c r="GD7" i="4" a="1"/>
  <c r="GL5" i="4" a="1"/>
  <c r="GB6" i="4" a="1"/>
  <c r="GB12" i="4" a="1"/>
  <c r="FO7" i="4" a="1"/>
  <c r="HC6" i="4" a="1"/>
  <c r="HH12" i="4" a="1"/>
  <c r="FZ7" i="4" a="1"/>
  <c r="GG7" i="4" a="1"/>
  <c r="GT13" i="4" a="1"/>
  <c r="GM7" i="4" a="1"/>
  <c r="FK8" i="4" a="1"/>
  <c r="GL13" i="4" a="1"/>
  <c r="GK11" i="4" a="1"/>
  <c r="GX12" i="4" a="1"/>
  <c r="HE6" i="4" a="1"/>
  <c r="FH12" i="4" a="1"/>
  <c r="FJ13" i="4" a="1"/>
  <c r="FQ14" i="4" a="1"/>
  <c r="FN8" i="4" a="1"/>
  <c r="FJ14" i="4" a="1"/>
  <c r="GL15" i="4" a="1"/>
  <c r="FL16" i="4" a="1"/>
  <c r="GP16" i="4" a="1"/>
  <c r="FN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A65" i="3"/>
  <c r="HC12" i="4" a="1"/>
  <c r="GI7" i="4" a="1"/>
  <c r="FM12" i="4" a="1"/>
  <c r="FM15" i="4" a="1"/>
  <c r="Z112" i="2"/>
  <c r="CH152" i="1" l="1"/>
  <c r="CI152" i="1" s="1"/>
  <c r="AA214" i="1"/>
  <c r="CK33" i="1"/>
  <c r="X17" i="1"/>
  <c r="CO27" i="1"/>
  <c r="CS27" i="1" s="1"/>
  <c r="CH171" i="1"/>
  <c r="CH173" i="1" s="1"/>
  <c r="Y206" i="1"/>
  <c r="JP9" i="4" s="1"/>
  <c r="JP16" i="4" s="1"/>
  <c r="JO16" i="4" s="1"/>
  <c r="JO9" i="4" s="1"/>
  <c r="JN9" i="4" s="1"/>
  <c r="JN16" i="4" s="1"/>
  <c r="CG243" i="1"/>
  <c r="CG7" i="1"/>
  <c r="CK11" i="1"/>
  <c r="CK6" i="1"/>
  <c r="CO6" i="1" s="1"/>
  <c r="CS6" i="1" s="1"/>
  <c r="CW6" i="1" s="1"/>
  <c r="DA6" i="1" s="1"/>
  <c r="CH6" i="1"/>
  <c r="CL10" i="1" s="1"/>
  <c r="CH11" i="1"/>
  <c r="AA7" i="1"/>
  <c r="AA11" i="1" s="1"/>
  <c r="CI11" i="1"/>
  <c r="CI6" i="1"/>
  <c r="CJ11" i="1"/>
  <c r="CJ6" i="1"/>
  <c r="CN6" i="1" s="1"/>
  <c r="CR6" i="1" s="1"/>
  <c r="CV6" i="1" s="1"/>
  <c r="CZ6" i="1" s="1"/>
  <c r="CL34" i="1"/>
  <c r="X265" i="1"/>
  <c r="CL105" i="1"/>
  <c r="CL106" i="1" s="1"/>
  <c r="X264" i="1"/>
  <c r="CL132" i="1"/>
  <c r="CL168" i="1"/>
  <c r="CL197" i="1" s="1"/>
  <c r="CL196" i="1" s="1"/>
  <c r="CL23" i="1"/>
  <c r="X195" i="1"/>
  <c r="Y264" i="1"/>
  <c r="X192" i="1"/>
  <c r="Y195" i="1"/>
  <c r="Y191" i="1"/>
  <c r="X160" i="1"/>
  <c r="Y265" i="1"/>
  <c r="Y17" i="1"/>
  <c r="Y243" i="1"/>
  <c r="Z265" i="1"/>
  <c r="Z264" i="1"/>
  <c r="Z192" i="1"/>
  <c r="Z243" i="1"/>
  <c r="CH138" i="1"/>
  <c r="Z166" i="1"/>
  <c r="CL173" i="1"/>
  <c r="CL99" i="1"/>
  <c r="CL140" i="1"/>
  <c r="CL160" i="1"/>
  <c r="CL150" i="1"/>
  <c r="Z132" i="1"/>
  <c r="Y160" i="1"/>
  <c r="Y194" i="1" s="1"/>
  <c r="CK17" i="1"/>
  <c r="Y146" i="1"/>
  <c r="X185" i="1"/>
  <c r="Y33" i="1"/>
  <c r="Z195" i="1"/>
  <c r="Y185" i="1"/>
  <c r="Z173" i="1"/>
  <c r="CJ146" i="1"/>
  <c r="CK40" i="1" s="1"/>
  <c r="CJ166" i="1"/>
  <c r="KB16" i="4" s="1"/>
  <c r="CJ161" i="1"/>
  <c r="CJ171" i="1"/>
  <c r="CJ162" i="1"/>
  <c r="KC16" i="4" s="1"/>
  <c r="JU16" i="4" s="1"/>
  <c r="X80" i="1"/>
  <c r="KC7" i="4" s="1"/>
  <c r="CJ155" i="1"/>
  <c r="JY9" i="4" s="1"/>
  <c r="KA16" i="4" s="1"/>
  <c r="JS16" i="4" s="1"/>
  <c r="JX16" i="4" s="1"/>
  <c r="KB7" i="4" s="1"/>
  <c r="CJ130" i="1"/>
  <c r="CK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DA130" i="1" s="1"/>
  <c r="DB130" i="1" s="1"/>
  <c r="KE16" i="4" s="1"/>
  <c r="CJ152" i="1"/>
  <c r="KE9" i="4" s="1"/>
  <c r="CJ164" i="1"/>
  <c r="KC15" i="4" s="1"/>
  <c r="KA14" i="4" s="1"/>
  <c r="KF15" i="4" s="1"/>
  <c r="JY8" i="4" s="1"/>
  <c r="JZ9" i="4" s="1"/>
  <c r="CJ129" i="1"/>
  <c r="CK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J163" i="1"/>
  <c r="KH16" i="4" s="1"/>
  <c r="CJ175" i="1"/>
  <c r="CK175" i="1" s="1"/>
  <c r="CM175" i="1" s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CJ149" i="1"/>
  <c r="CK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JZ14" i="4" s="1"/>
  <c r="KF16" i="4" s="1"/>
  <c r="CJ137" i="1"/>
  <c r="CK137" i="1" s="1"/>
  <c r="CJ134" i="1"/>
  <c r="CK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KG16" i="4" s="1"/>
  <c r="CJ156" i="1"/>
  <c r="CJ191" i="1" s="1"/>
  <c r="CK191" i="1" s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KD16" i="4" s="1"/>
  <c r="JU9" i="4" s="1"/>
  <c r="CJ176" i="1"/>
  <c r="CK176" i="1" s="1"/>
  <c r="CM176" i="1" s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CJ131" i="1"/>
  <c r="CJ158" i="1"/>
  <c r="JQ14" i="4" s="1"/>
  <c r="JT16" i="4" s="1"/>
  <c r="JV9" i="4" s="1"/>
  <c r="JT9" i="4" s="1"/>
  <c r="CJ80" i="1"/>
  <c r="CG81" i="1"/>
  <c r="CJ145" i="1"/>
  <c r="CK145" i="1" s="1"/>
  <c r="CM145" i="1" s="1"/>
  <c r="CN145" i="1" s="1"/>
  <c r="CO145" i="1" s="1"/>
  <c r="CP145" i="1" s="1"/>
  <c r="CI80" i="1"/>
  <c r="CK80" i="1"/>
  <c r="CJ139" i="1"/>
  <c r="CK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KD9" i="4" s="1"/>
  <c r="CJ157" i="1"/>
  <c r="CJ192" i="1" s="1"/>
  <c r="CK192" i="1" s="1"/>
  <c r="CH81" i="1"/>
  <c r="KB9" i="4" s="1"/>
  <c r="Z81" i="1"/>
  <c r="CJ165" i="1"/>
  <c r="CJ195" i="1" s="1"/>
  <c r="CK195" i="1" s="1"/>
  <c r="CJ159" i="1"/>
  <c r="Y81" i="1"/>
  <c r="CI81" i="1"/>
  <c r="KG9" i="4" s="1"/>
  <c r="Z80" i="1"/>
  <c r="CJ172" i="1"/>
  <c r="JW9" i="4" s="1"/>
  <c r="KA9" i="4" s="1"/>
  <c r="JS9" i="4" s="1"/>
  <c r="JQ9" i="4" s="1"/>
  <c r="CK81" i="1"/>
  <c r="CJ154" i="1"/>
  <c r="CH80" i="1"/>
  <c r="CJ81" i="1"/>
  <c r="CJ167" i="1"/>
  <c r="CJ136" i="1"/>
  <c r="CK136" i="1" s="1"/>
  <c r="CM136" i="1" s="1"/>
  <c r="CG80" i="1"/>
  <c r="Z160" i="1"/>
  <c r="X243" i="1"/>
  <c r="Z143" i="1"/>
  <c r="X191" i="1"/>
  <c r="Z191" i="1"/>
  <c r="X206" i="1"/>
  <c r="CK105" i="1"/>
  <c r="CK72" i="1"/>
  <c r="CG206" i="1"/>
  <c r="CG265" i="1"/>
  <c r="Y168" i="1"/>
  <c r="CH265" i="1"/>
  <c r="CG264" i="1"/>
  <c r="X146" i="1"/>
  <c r="CH191" i="1"/>
  <c r="CI191" i="1" s="1"/>
  <c r="CI243" i="1"/>
  <c r="CI17" i="1"/>
  <c r="CJ105" i="1"/>
  <c r="Y214" i="1"/>
  <c r="Y192" i="1"/>
  <c r="CG17" i="1"/>
  <c r="Z185" i="1"/>
  <c r="Z17" i="1"/>
  <c r="X168" i="1"/>
  <c r="Y132" i="1"/>
  <c r="X140" i="1"/>
  <c r="X173" i="1"/>
  <c r="X132" i="1"/>
  <c r="X187" i="1" s="1"/>
  <c r="Y140" i="1"/>
  <c r="Z33" i="1"/>
  <c r="X33" i="1"/>
  <c r="CI144" i="1"/>
  <c r="CJ144" i="1" s="1"/>
  <c r="CH264" i="1"/>
  <c r="CJ33" i="1"/>
  <c r="CG33" i="1"/>
  <c r="CH17" i="1"/>
  <c r="CL18" i="1" s="1"/>
  <c r="CH33" i="1"/>
  <c r="CI264" i="1"/>
  <c r="CJ265" i="1"/>
  <c r="CH243" i="1"/>
  <c r="CJ243" i="1"/>
  <c r="CI265" i="1"/>
  <c r="CH192" i="1"/>
  <c r="CI192" i="1" s="1"/>
  <c r="CH195" i="1"/>
  <c r="CI195" i="1" s="1"/>
  <c r="CJ264" i="1"/>
  <c r="CJ17" i="1"/>
  <c r="Y80" i="1"/>
  <c r="X81" i="1"/>
  <c r="Z214" i="1"/>
  <c r="CI33" i="1"/>
  <c r="CI72" i="1"/>
  <c r="CJ206" i="1"/>
  <c r="Z140" i="1"/>
  <c r="CH72" i="1"/>
  <c r="CG72" i="1"/>
  <c r="CJ72" i="1"/>
  <c r="CH160" i="1"/>
  <c r="CH194" i="1" s="1"/>
  <c r="Z221" i="1"/>
  <c r="CH132" i="1"/>
  <c r="JP15" i="4"/>
  <c r="JP14" i="4"/>
  <c r="JP8" i="4"/>
  <c r="JP7" i="4"/>
  <c r="JP21" i="4"/>
  <c r="CJ84" i="1" s="1"/>
  <c r="CJ118" i="1" s="1"/>
  <c r="CJ114" i="1" s="1"/>
  <c r="JO21" i="4"/>
  <c r="CI84" i="1" s="1"/>
  <c r="CI118" i="1" s="1"/>
  <c r="CI114" i="1" s="1"/>
  <c r="JO7" i="4"/>
  <c r="JO15" i="4"/>
  <c r="JO14" i="4"/>
  <c r="JO8" i="4"/>
  <c r="JN21" i="4"/>
  <c r="CH84" i="1" s="1"/>
  <c r="CH118" i="1" s="1"/>
  <c r="CH114" i="1" s="1"/>
  <c r="JN15" i="4"/>
  <c r="JN14" i="4"/>
  <c r="JN7" i="4"/>
  <c r="JN8" i="4"/>
  <c r="CB20" i="1"/>
  <c r="KG21" i="4" l="1"/>
  <c r="JY16" i="4" s="1"/>
  <c r="JQ16" i="4" s="1"/>
  <c r="KH9" i="4" s="1"/>
  <c r="X105" i="1"/>
  <c r="CI221" i="1"/>
  <c r="X34" i="1"/>
  <c r="CI214" i="1"/>
  <c r="X23" i="1"/>
  <c r="CW27" i="1"/>
  <c r="DA27" i="1" s="1"/>
  <c r="Z146" i="1"/>
  <c r="CH143" i="1"/>
  <c r="Z187" i="1"/>
  <c r="AA219" i="1"/>
  <c r="Z260" i="1"/>
  <c r="AA221" i="1"/>
  <c r="Z194" i="1"/>
  <c r="AA208" i="1"/>
  <c r="AA18" i="1"/>
  <c r="AA200" i="1"/>
  <c r="AA261" i="1"/>
  <c r="AA218" i="1"/>
  <c r="KB21" i="4"/>
  <c r="JR16" i="4" s="1"/>
  <c r="JU21" i="4"/>
  <c r="JQ15" i="4" s="1"/>
  <c r="JZ16" i="4" s="1"/>
  <c r="KF9" i="4" s="1"/>
  <c r="AA6" i="1"/>
  <c r="CM6" i="1"/>
  <c r="CM11" i="1"/>
  <c r="CG11" i="1"/>
  <c r="CG6" i="1"/>
  <c r="CK10" i="1" s="1"/>
  <c r="CJ173" i="1"/>
  <c r="Y34" i="1"/>
  <c r="KG14" i="4"/>
  <c r="JR8" i="4"/>
  <c r="KA7" i="4"/>
  <c r="KA19" i="4" s="1"/>
  <c r="KH21" i="4"/>
  <c r="JV14" i="4"/>
  <c r="KD21" i="4"/>
  <c r="KA8" i="4"/>
  <c r="JT7" i="4"/>
  <c r="JX7" i="4"/>
  <c r="KD7" i="4"/>
  <c r="KH7" i="4"/>
  <c r="JZ21" i="4"/>
  <c r="KH15" i="4"/>
  <c r="X194" i="1"/>
  <c r="X193" i="1" s="1"/>
  <c r="Y208" i="1"/>
  <c r="Y200" i="1"/>
  <c r="Y23" i="1"/>
  <c r="Y105" i="1"/>
  <c r="Y18" i="1"/>
  <c r="CI138" i="1"/>
  <c r="CI140" i="1" s="1"/>
  <c r="CH140" i="1"/>
  <c r="CH166" i="1"/>
  <c r="CH168" i="1" s="1"/>
  <c r="Z168" i="1"/>
  <c r="AA209" i="1" s="1"/>
  <c r="Y150" i="1"/>
  <c r="Y40" i="1"/>
  <c r="CL24" i="1"/>
  <c r="CL35" i="1"/>
  <c r="CL260" i="1"/>
  <c r="CL258" i="1"/>
  <c r="CL141" i="1"/>
  <c r="CL180" i="1"/>
  <c r="CL121" i="1" s="1"/>
  <c r="CL194" i="1"/>
  <c r="CL169" i="1"/>
  <c r="CL177" i="1" s="1"/>
  <c r="CL178" i="1" s="1"/>
  <c r="JS15" i="4"/>
  <c r="JZ15" i="4"/>
  <c r="JT8" i="4"/>
  <c r="KF7" i="4"/>
  <c r="JY21" i="4"/>
  <c r="JQ21" i="4"/>
  <c r="CK84" i="1" s="1"/>
  <c r="CK118" i="1" s="1"/>
  <c r="CK114" i="1" s="1"/>
  <c r="JX14" i="4"/>
  <c r="JS8" i="4"/>
  <c r="JS20" i="4" s="1"/>
  <c r="JT21" i="4"/>
  <c r="JW14" i="4"/>
  <c r="KH8" i="4"/>
  <c r="KD8" i="4"/>
  <c r="KC8" i="4"/>
  <c r="KC20" i="4" s="1"/>
  <c r="KE7" i="4"/>
  <c r="JW7" i="4"/>
  <c r="KF8" i="4"/>
  <c r="KF20" i="4" s="1"/>
  <c r="KB8" i="4"/>
  <c r="JX8" i="4"/>
  <c r="KD15" i="4"/>
  <c r="KE21" i="4"/>
  <c r="CK18" i="1"/>
  <c r="X169" i="1"/>
  <c r="CJ143" i="1"/>
  <c r="CK143" i="1" s="1"/>
  <c r="CL200" i="1"/>
  <c r="CK23" i="1"/>
  <c r="CK34" i="1"/>
  <c r="CL19" i="1"/>
  <c r="CJ214" i="1"/>
  <c r="CK152" i="1"/>
  <c r="CI23" i="1"/>
  <c r="CL237" i="1"/>
  <c r="CK19" i="1"/>
  <c r="CL256" i="1"/>
  <c r="CJ160" i="1"/>
  <c r="CJ194" i="1" s="1"/>
  <c r="CJ150" i="1"/>
  <c r="JU8" i="4"/>
  <c r="KH14" i="4"/>
  <c r="JZ8" i="4"/>
  <c r="KG8" i="4"/>
  <c r="KA15" i="4"/>
  <c r="KB14" i="4"/>
  <c r="KB19" i="4" s="1"/>
  <c r="JU15" i="4"/>
  <c r="KE8" i="4"/>
  <c r="JS14" i="4"/>
  <c r="JT15" i="4"/>
  <c r="JW15" i="4"/>
  <c r="Z208" i="1"/>
  <c r="JX15" i="4"/>
  <c r="CJ140" i="1"/>
  <c r="CK106" i="1"/>
  <c r="JV7" i="4"/>
  <c r="JV15" i="4"/>
  <c r="KB15" i="4"/>
  <c r="JS7" i="4"/>
  <c r="JW8" i="4"/>
  <c r="KC14" i="4"/>
  <c r="KC19" i="4" s="1"/>
  <c r="JQ7" i="4"/>
  <c r="JQ19" i="4" s="1"/>
  <c r="CK85" i="1" s="1"/>
  <c r="CJ168" i="1"/>
  <c r="CJ197" i="1" s="1"/>
  <c r="CJ196" i="1" s="1"/>
  <c r="CK196" i="1" s="1"/>
  <c r="KG15" i="4"/>
  <c r="JR15" i="4"/>
  <c r="KG7" i="4"/>
  <c r="JU7" i="4"/>
  <c r="JY14" i="4"/>
  <c r="KF14" i="4"/>
  <c r="KE15" i="4"/>
  <c r="JV8" i="4"/>
  <c r="JU14" i="4"/>
  <c r="CJ132" i="1"/>
  <c r="KA21" i="4"/>
  <c r="KD14" i="4"/>
  <c r="JY15" i="4"/>
  <c r="JY20" i="4" s="1"/>
  <c r="JR7" i="4"/>
  <c r="JZ7" i="4"/>
  <c r="KE14" i="4"/>
  <c r="JS21" i="4"/>
  <c r="JY7" i="4"/>
  <c r="JR14" i="4"/>
  <c r="JR19" i="4" s="1"/>
  <c r="CL85" i="1" s="1"/>
  <c r="JT14" i="4"/>
  <c r="JU19" i="4"/>
  <c r="Z34" i="1"/>
  <c r="AB145" i="1"/>
  <c r="CQ145" i="1"/>
  <c r="CR145" i="1" s="1"/>
  <c r="CS145" i="1" s="1"/>
  <c r="CT145" i="1" s="1"/>
  <c r="CG34" i="1"/>
  <c r="CG23" i="1"/>
  <c r="X141" i="1"/>
  <c r="CI34" i="1"/>
  <c r="Y193" i="1"/>
  <c r="Y197" i="1"/>
  <c r="Y169" i="1"/>
  <c r="X150" i="1"/>
  <c r="X40" i="1"/>
  <c r="X260" i="1"/>
  <c r="Y221" i="1"/>
  <c r="JZ19" i="4"/>
  <c r="Z200" i="1"/>
  <c r="Z18" i="1"/>
  <c r="Z23" i="1"/>
  <c r="AA25" i="1" s="1"/>
  <c r="Z105" i="1"/>
  <c r="Y187" i="1"/>
  <c r="Y260" i="1"/>
  <c r="X44" i="1"/>
  <c r="X180" i="1"/>
  <c r="X121" i="1" s="1"/>
  <c r="CH99" i="1"/>
  <c r="CH101" i="1" s="1"/>
  <c r="X197" i="1"/>
  <c r="Y209" i="1"/>
  <c r="Y261" i="1"/>
  <c r="Y218" i="1"/>
  <c r="Y180" i="1"/>
  <c r="Y121" i="1" s="1"/>
  <c r="CK140" i="1"/>
  <c r="Y44" i="1"/>
  <c r="Y141" i="1"/>
  <c r="Z180" i="1"/>
  <c r="Z121" i="1" s="1"/>
  <c r="Z218" i="1"/>
  <c r="CI19" i="1"/>
  <c r="CJ23" i="1"/>
  <c r="CJ106" i="1"/>
  <c r="CJ109" i="1" s="1"/>
  <c r="CH34" i="1"/>
  <c r="CJ237" i="1"/>
  <c r="CJ19" i="1"/>
  <c r="CJ34" i="1"/>
  <c r="CH23" i="1"/>
  <c r="CL25" i="1" s="1"/>
  <c r="CH19" i="1"/>
  <c r="Z141" i="1"/>
  <c r="Z44" i="1"/>
  <c r="Z261" i="1"/>
  <c r="CH260" i="1"/>
  <c r="CM191" i="1"/>
  <c r="CN136" i="1"/>
  <c r="CM192" i="1"/>
  <c r="CM195" i="1"/>
  <c r="CX175" i="1"/>
  <c r="CX129" i="1"/>
  <c r="JP20" i="4"/>
  <c r="CJ86" i="1" s="1"/>
  <c r="JP19" i="4"/>
  <c r="CJ85" i="1" s="1"/>
  <c r="JO19" i="4"/>
  <c r="CI85" i="1" s="1"/>
  <c r="JO20" i="4"/>
  <c r="CI86" i="1" s="1"/>
  <c r="JN20" i="4"/>
  <c r="CH86" i="1" s="1"/>
  <c r="JN19" i="4"/>
  <c r="CH85" i="1" s="1"/>
  <c r="CH193" i="1"/>
  <c r="CI193" i="1" s="1"/>
  <c r="AA210" i="1" l="1"/>
  <c r="AA211" i="1" s="1"/>
  <c r="Z193" i="1"/>
  <c r="X35" i="1"/>
  <c r="X24" i="1"/>
  <c r="KH20" i="4"/>
  <c r="KG20" i="4"/>
  <c r="KE19" i="4"/>
  <c r="CI143" i="1"/>
  <c r="CI146" i="1" s="1"/>
  <c r="CJ40" i="1" s="1"/>
  <c r="Z150" i="1"/>
  <c r="AA215" i="1" s="1"/>
  <c r="AA213" i="1" s="1"/>
  <c r="AA225" i="1" s="1"/>
  <c r="Z40" i="1"/>
  <c r="CH146" i="1"/>
  <c r="AA217" i="1"/>
  <c r="AA222" i="1" s="1"/>
  <c r="AA223" i="1" s="1"/>
  <c r="KF21" i="4"/>
  <c r="JV16" i="4" s="1"/>
  <c r="JV21" i="4" s="1"/>
  <c r="JX9" i="4" s="1"/>
  <c r="JW16" i="4"/>
  <c r="JX19" i="4"/>
  <c r="JR20" i="4"/>
  <c r="CL86" i="1" s="1"/>
  <c r="CK221" i="1"/>
  <c r="KD20" i="4"/>
  <c r="KH19" i="4"/>
  <c r="JY19" i="4"/>
  <c r="CM7" i="1"/>
  <c r="AB6" i="1"/>
  <c r="AB10" i="1" s="1"/>
  <c r="CM8" i="1"/>
  <c r="CQ6" i="1"/>
  <c r="CN11" i="1"/>
  <c r="CO11" i="1" s="1"/>
  <c r="CK109" i="1"/>
  <c r="CJ256" i="1"/>
  <c r="JW19" i="4"/>
  <c r="JZ20" i="4"/>
  <c r="KA20" i="4"/>
  <c r="JU20" i="4"/>
  <c r="JT20" i="4"/>
  <c r="JW20" i="4"/>
  <c r="JX20" i="4"/>
  <c r="CJ261" i="1"/>
  <c r="JV19" i="4"/>
  <c r="JV20" i="4"/>
  <c r="KB20" i="4"/>
  <c r="KG19" i="4"/>
  <c r="KD19" i="4"/>
  <c r="JT19" i="4"/>
  <c r="Y177" i="1"/>
  <c r="Y215" i="1"/>
  <c r="Y213" i="1" s="1"/>
  <c r="Y210" i="1"/>
  <c r="CK26" i="1"/>
  <c r="Y25" i="1"/>
  <c r="Y35" i="1"/>
  <c r="Y24" i="1"/>
  <c r="CI218" i="1"/>
  <c r="CI261" i="1"/>
  <c r="CH180" i="1"/>
  <c r="CH141" i="1"/>
  <c r="CH197" i="1"/>
  <c r="CH169" i="1"/>
  <c r="Z197" i="1"/>
  <c r="Z169" i="1"/>
  <c r="Z209" i="1"/>
  <c r="Z210" i="1" s="1"/>
  <c r="Y258" i="1"/>
  <c r="Y256" i="1"/>
  <c r="CI24" i="1"/>
  <c r="CI35" i="1"/>
  <c r="CL244" i="1"/>
  <c r="CL245" i="1" s="1"/>
  <c r="CL41" i="1"/>
  <c r="CL45" i="1" s="1"/>
  <c r="CL36" i="1"/>
  <c r="CL193" i="1"/>
  <c r="CL198" i="1"/>
  <c r="CL26" i="1"/>
  <c r="CK35" i="1"/>
  <c r="CL262" i="1" s="1"/>
  <c r="CK24" i="1"/>
  <c r="KF19" i="4"/>
  <c r="KE20" i="4"/>
  <c r="CJ258" i="1"/>
  <c r="CK25" i="1"/>
  <c r="JS19" i="4"/>
  <c r="CL214" i="1"/>
  <c r="CK214" i="1"/>
  <c r="CL110" i="1"/>
  <c r="CL102" i="1"/>
  <c r="CL119" i="1"/>
  <c r="CL218" i="1"/>
  <c r="CL261" i="1"/>
  <c r="CJ260" i="1"/>
  <c r="CJ218" i="1"/>
  <c r="CJ99" i="1"/>
  <c r="CJ169" i="1"/>
  <c r="CJ177" i="1" s="1"/>
  <c r="CJ141" i="1"/>
  <c r="CK119" i="1"/>
  <c r="CK115" i="1" s="1"/>
  <c r="CK110" i="1"/>
  <c r="CU145" i="1"/>
  <c r="CV145" i="1" s="1"/>
  <c r="CW145" i="1" s="1"/>
  <c r="CX145" i="1" s="1"/>
  <c r="AC145" i="1"/>
  <c r="Z25" i="1"/>
  <c r="Z24" i="1"/>
  <c r="Z35" i="1"/>
  <c r="X256" i="1"/>
  <c r="X258" i="1"/>
  <c r="X177" i="1"/>
  <c r="X178" i="1" s="1"/>
  <c r="CH103" i="1"/>
  <c r="CG35" i="1"/>
  <c r="CG24" i="1"/>
  <c r="CK197" i="1"/>
  <c r="Y196" i="1"/>
  <c r="Y198" i="1"/>
  <c r="CM152" i="1"/>
  <c r="CJ193" i="1"/>
  <c r="CK193" i="1" s="1"/>
  <c r="CJ198" i="1"/>
  <c r="CH102" i="1"/>
  <c r="CI26" i="1"/>
  <c r="CH24" i="1"/>
  <c r="X196" i="1"/>
  <c r="X198" i="1"/>
  <c r="CM137" i="1"/>
  <c r="CJ26" i="1"/>
  <c r="CJ35" i="1"/>
  <c r="CJ24" i="1"/>
  <c r="CK218" i="1"/>
  <c r="CK261" i="1"/>
  <c r="CH35" i="1"/>
  <c r="CL37" i="1" s="1"/>
  <c r="CH26" i="1"/>
  <c r="CI44" i="1"/>
  <c r="CH121" i="1"/>
  <c r="Z198" i="1"/>
  <c r="AA201" i="1" s="1"/>
  <c r="AA202" i="1" s="1"/>
  <c r="Z196" i="1"/>
  <c r="Y124" i="1"/>
  <c r="Y41" i="1"/>
  <c r="Y36" i="1"/>
  <c r="Y244" i="1"/>
  <c r="Y245" i="1" s="1"/>
  <c r="CM34" i="1"/>
  <c r="CJ120" i="1"/>
  <c r="CJ116" i="1" s="1"/>
  <c r="CJ111" i="1"/>
  <c r="CH120" i="1"/>
  <c r="CH116" i="1" s="1"/>
  <c r="CI119" i="1"/>
  <c r="CI115" i="1" s="1"/>
  <c r="CH119" i="1"/>
  <c r="CH115" i="1" s="1"/>
  <c r="CI120" i="1"/>
  <c r="CI116" i="1" s="1"/>
  <c r="CJ119" i="1"/>
  <c r="CJ115" i="1" s="1"/>
  <c r="CJ110" i="1"/>
  <c r="CN192" i="1"/>
  <c r="CO136" i="1"/>
  <c r="CI194" i="1"/>
  <c r="CI158" i="1"/>
  <c r="CN195" i="1"/>
  <c r="CN191" i="1"/>
  <c r="CY129" i="1"/>
  <c r="CY175" i="1"/>
  <c r="CI41" i="1"/>
  <c r="CI244" i="1"/>
  <c r="CI245" i="1" s="1"/>
  <c r="CI36" i="1"/>
  <c r="Y178" i="1" l="1"/>
  <c r="Y262" i="1"/>
  <c r="Y263" i="1" s="1"/>
  <c r="X244" i="1"/>
  <c r="X245" i="1" s="1"/>
  <c r="X41" i="1"/>
  <c r="X124" i="1"/>
  <c r="X36" i="1"/>
  <c r="Z177" i="1"/>
  <c r="Z178" i="1" s="1"/>
  <c r="CL111" i="1"/>
  <c r="CL120" i="1"/>
  <c r="Z258" i="1"/>
  <c r="CL103" i="1"/>
  <c r="CI150" i="1"/>
  <c r="CJ215" i="1" s="1"/>
  <c r="CJ213" i="1" s="1"/>
  <c r="Z256" i="1"/>
  <c r="Z215" i="1"/>
  <c r="Z213" i="1" s="1"/>
  <c r="CI40" i="1"/>
  <c r="CH150" i="1"/>
  <c r="AA37" i="1"/>
  <c r="AA262" i="1"/>
  <c r="AA263" i="1" s="1"/>
  <c r="JX21" i="4"/>
  <c r="JQ8" i="4"/>
  <c r="JW21" i="4"/>
  <c r="KC9" i="4"/>
  <c r="KC21" i="4" s="1"/>
  <c r="Z201" i="1"/>
  <c r="Z202" i="1" s="1"/>
  <c r="Y37" i="1"/>
  <c r="CL122" i="1"/>
  <c r="CL115" i="1"/>
  <c r="CU6" i="1"/>
  <c r="AC6" i="1"/>
  <c r="AC10" i="1" s="1"/>
  <c r="CN5" i="1"/>
  <c r="CN7" i="1" s="1"/>
  <c r="CM9" i="1"/>
  <c r="CP11" i="1"/>
  <c r="CQ11" i="1"/>
  <c r="CM15" i="1"/>
  <c r="Y201" i="1"/>
  <c r="Y202" i="1" s="1"/>
  <c r="CH198" i="1"/>
  <c r="CL201" i="1" s="1"/>
  <c r="CH196" i="1"/>
  <c r="CI196" i="1" s="1"/>
  <c r="CL263" i="1"/>
  <c r="CL238" i="1"/>
  <c r="CL124" i="1"/>
  <c r="CL47" i="1"/>
  <c r="CL48" i="1"/>
  <c r="CK41" i="1"/>
  <c r="CK45" i="1" s="1"/>
  <c r="CK36" i="1"/>
  <c r="CL38" i="1"/>
  <c r="CK38" i="1"/>
  <c r="CJ101" i="1"/>
  <c r="CJ103" i="1"/>
  <c r="CJ102" i="1"/>
  <c r="CI45" i="1"/>
  <c r="CJ178" i="1"/>
  <c r="CI262" i="1"/>
  <c r="CI263" i="1" s="1"/>
  <c r="CK124" i="1"/>
  <c r="Z41" i="1"/>
  <c r="Z124" i="1"/>
  <c r="Z262" i="1"/>
  <c r="Z263" i="1" s="1"/>
  <c r="CG36" i="1"/>
  <c r="CG41" i="1"/>
  <c r="CG45" i="1" s="1"/>
  <c r="CG244" i="1"/>
  <c r="CG245" i="1" s="1"/>
  <c r="CK37" i="1"/>
  <c r="Z37" i="1"/>
  <c r="Z36" i="1"/>
  <c r="Z244" i="1"/>
  <c r="Z245" i="1" s="1"/>
  <c r="CY145" i="1"/>
  <c r="CZ145" i="1" s="1"/>
  <c r="DA145" i="1" s="1"/>
  <c r="DB145" i="1" s="1"/>
  <c r="AE145" i="1" s="1"/>
  <c r="AD145" i="1"/>
  <c r="CM214" i="1"/>
  <c r="CN152" i="1"/>
  <c r="CM24" i="1"/>
  <c r="CK194" i="1"/>
  <c r="CK198" i="1" s="1"/>
  <c r="CM196" i="1"/>
  <c r="CJ38" i="1"/>
  <c r="CJ262" i="1"/>
  <c r="CJ263" i="1" s="1"/>
  <c r="CJ244" i="1"/>
  <c r="CJ245" i="1" s="1"/>
  <c r="CH36" i="1"/>
  <c r="CH41" i="1"/>
  <c r="CH45" i="1" s="1"/>
  <c r="CH38" i="1"/>
  <c r="CH262" i="1"/>
  <c r="CI38" i="1"/>
  <c r="CH244" i="1"/>
  <c r="CH245" i="1" s="1"/>
  <c r="CJ238" i="1"/>
  <c r="CJ124" i="1"/>
  <c r="CJ36" i="1"/>
  <c r="CJ41" i="1"/>
  <c r="CN137" i="1"/>
  <c r="CM140" i="1"/>
  <c r="CM261" i="1" s="1"/>
  <c r="CH122" i="1"/>
  <c r="CH123" i="1"/>
  <c r="CK206" i="1"/>
  <c r="CK144" i="1"/>
  <c r="Y62" i="1"/>
  <c r="Y45" i="1"/>
  <c r="CN34" i="1"/>
  <c r="CO34" i="1" s="1"/>
  <c r="CP136" i="1"/>
  <c r="CO191" i="1"/>
  <c r="CO192" i="1"/>
  <c r="CO195" i="1"/>
  <c r="CZ175" i="1"/>
  <c r="CZ129" i="1"/>
  <c r="CM52" i="1"/>
  <c r="CN52" i="1" s="1"/>
  <c r="CO52" i="1" s="1"/>
  <c r="CP52" i="1" s="1"/>
  <c r="CQ52" i="1" s="1"/>
  <c r="CR52" i="1" s="1"/>
  <c r="CS52" i="1" s="1"/>
  <c r="CT52" i="1" s="1"/>
  <c r="CU52" i="1" s="1"/>
  <c r="CM53" i="1"/>
  <c r="CL125" i="1" l="1"/>
  <c r="X45" i="1"/>
  <c r="X62" i="1"/>
  <c r="CL123" i="1"/>
  <c r="CL116" i="1"/>
  <c r="CI215" i="1"/>
  <c r="CI213" i="1" s="1"/>
  <c r="CH258" i="1"/>
  <c r="CH177" i="1"/>
  <c r="CH178" i="1" s="1"/>
  <c r="JQ20" i="4"/>
  <c r="CK86" i="1" s="1"/>
  <c r="JR9" i="4"/>
  <c r="JR21" i="4" s="1"/>
  <c r="CL84" i="1" s="1"/>
  <c r="CI47" i="1"/>
  <c r="CI48" i="1"/>
  <c r="CR11" i="1"/>
  <c r="CL126" i="1"/>
  <c r="CN8" i="1"/>
  <c r="CN15" i="1"/>
  <c r="CY6" i="1"/>
  <c r="AE6" i="1" s="1"/>
  <c r="AD6" i="1"/>
  <c r="AD10" i="1" s="1"/>
  <c r="CI197" i="1"/>
  <c r="CI164" i="1"/>
  <c r="CL49" i="1"/>
  <c r="CL257" i="1" s="1"/>
  <c r="CL246" i="1"/>
  <c r="CL55" i="1"/>
  <c r="CK47" i="1"/>
  <c r="CK48" i="1"/>
  <c r="CJ45" i="1"/>
  <c r="CJ47" i="1" s="1"/>
  <c r="CL62" i="1"/>
  <c r="CK146" i="1"/>
  <c r="CL144" i="1"/>
  <c r="CL143" i="1" s="1"/>
  <c r="Z45" i="1"/>
  <c r="Z62" i="1"/>
  <c r="CG48" i="1"/>
  <c r="CG47" i="1"/>
  <c r="CN214" i="1"/>
  <c r="CO152" i="1"/>
  <c r="CH47" i="1"/>
  <c r="CH48" i="1"/>
  <c r="CL50" i="1" s="1"/>
  <c r="CN196" i="1"/>
  <c r="CM197" i="1"/>
  <c r="CM193" i="1"/>
  <c r="CO137" i="1"/>
  <c r="CN140" i="1"/>
  <c r="CN261" i="1" s="1"/>
  <c r="CM218" i="1"/>
  <c r="Y47" i="1"/>
  <c r="Y48" i="1"/>
  <c r="X47" i="1"/>
  <c r="X48" i="1"/>
  <c r="CP34" i="1"/>
  <c r="CQ34" i="1" s="1"/>
  <c r="CR34" i="1" s="1"/>
  <c r="CS34" i="1" s="1"/>
  <c r="CN24" i="1"/>
  <c r="CP195" i="1"/>
  <c r="CP192" i="1"/>
  <c r="CP191" i="1"/>
  <c r="CQ136" i="1"/>
  <c r="DA129" i="1"/>
  <c r="DA175" i="1"/>
  <c r="CE72" i="1"/>
  <c r="AB52" i="1"/>
  <c r="AC52" i="1"/>
  <c r="CV52" i="1"/>
  <c r="CW52" i="1" s="1"/>
  <c r="CX52" i="1" s="1"/>
  <c r="CY52" i="1" s="1"/>
  <c r="AB42" i="1"/>
  <c r="CN53" i="1"/>
  <c r="CO53" i="1" s="1"/>
  <c r="CP53" i="1" s="1"/>
  <c r="CQ53" i="1" s="1"/>
  <c r="CK111" i="1" l="1"/>
  <c r="CK120" i="1"/>
  <c r="CK116" i="1" s="1"/>
  <c r="CL101" i="1"/>
  <c r="CL109" i="1"/>
  <c r="CL118" i="1"/>
  <c r="CL114" i="1" s="1"/>
  <c r="CS11" i="1"/>
  <c r="CT11" i="1" s="1"/>
  <c r="CI49" i="1"/>
  <c r="CI257" i="1" s="1"/>
  <c r="CI246" i="1"/>
  <c r="CI55" i="1"/>
  <c r="AE10" i="1"/>
  <c r="CO5" i="1"/>
  <c r="CN9" i="1"/>
  <c r="CJ48" i="1"/>
  <c r="CL239" i="1" s="1"/>
  <c r="CL40" i="1"/>
  <c r="CM40" i="1" s="1"/>
  <c r="CN40" i="1" s="1"/>
  <c r="CO40" i="1" s="1"/>
  <c r="CP40" i="1" s="1"/>
  <c r="CQ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CK150" i="1"/>
  <c r="CL215" i="1" s="1"/>
  <c r="CL213" i="1" s="1"/>
  <c r="CL205" i="1"/>
  <c r="CL207" i="1" s="1"/>
  <c r="CL73" i="1"/>
  <c r="CL59" i="1"/>
  <c r="CK55" i="1"/>
  <c r="CK49" i="1"/>
  <c r="CL51" i="1"/>
  <c r="CM143" i="1"/>
  <c r="CN143" i="1" s="1"/>
  <c r="CO143" i="1" s="1"/>
  <c r="CP143" i="1" s="1"/>
  <c r="CI131" i="1"/>
  <c r="Z48" i="1"/>
  <c r="Z47" i="1"/>
  <c r="CK50" i="1"/>
  <c r="CG49" i="1"/>
  <c r="CG257" i="1" s="1"/>
  <c r="CG246" i="1"/>
  <c r="CG55" i="1"/>
  <c r="CJ246" i="1"/>
  <c r="CJ55" i="1"/>
  <c r="CK51" i="1"/>
  <c r="CM47" i="1"/>
  <c r="CN47" i="1" s="1"/>
  <c r="CP152" i="1"/>
  <c r="CO214" i="1"/>
  <c r="CI51" i="1"/>
  <c r="CJ239" i="1"/>
  <c r="CH55" i="1"/>
  <c r="CH49" i="1"/>
  <c r="CH257" i="1" s="1"/>
  <c r="CH246" i="1"/>
  <c r="CH51" i="1"/>
  <c r="CN197" i="1"/>
  <c r="CO196" i="1"/>
  <c r="CM194" i="1"/>
  <c r="CM198" i="1" s="1"/>
  <c r="CN193" i="1"/>
  <c r="CP137" i="1"/>
  <c r="CO140" i="1"/>
  <c r="CO261" i="1" s="1"/>
  <c r="CN218" i="1"/>
  <c r="X246" i="1"/>
  <c r="X49" i="1"/>
  <c r="X257" i="1" s="1"/>
  <c r="Y50" i="1"/>
  <c r="X55" i="1"/>
  <c r="Y246" i="1"/>
  <c r="Y49" i="1"/>
  <c r="Y257" i="1" s="1"/>
  <c r="Y55" i="1"/>
  <c r="CO24" i="1"/>
  <c r="CP24" i="1" s="1"/>
  <c r="CT34" i="1"/>
  <c r="CB72" i="1"/>
  <c r="BL72" i="1"/>
  <c r="CR136" i="1"/>
  <c r="CQ191" i="1"/>
  <c r="CQ195" i="1"/>
  <c r="CC72" i="1"/>
  <c r="CQ192" i="1"/>
  <c r="DB129" i="1"/>
  <c r="DB175" i="1"/>
  <c r="AL72" i="1"/>
  <c r="CF72" i="1"/>
  <c r="CD72" i="1"/>
  <c r="BY72" i="1"/>
  <c r="BZ72" i="1"/>
  <c r="CA72" i="1"/>
  <c r="CI132" i="1"/>
  <c r="CI59" i="1"/>
  <c r="CI73" i="1"/>
  <c r="CI205" i="1"/>
  <c r="CI207" i="1" s="1"/>
  <c r="AD52" i="1"/>
  <c r="AB53" i="1"/>
  <c r="CZ52" i="1"/>
  <c r="DA52" i="1" s="1"/>
  <c r="DB52" i="1" s="1"/>
  <c r="AE52" i="1" s="1"/>
  <c r="AC42" i="1"/>
  <c r="CR53" i="1"/>
  <c r="CS53" i="1" s="1"/>
  <c r="CT53" i="1" s="1"/>
  <c r="CU53" i="1" s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T6" i="3"/>
  <c r="AT16" i="3"/>
  <c r="AT34" i="3"/>
  <c r="X6" i="6" a="1"/>
  <c r="ER13" i="4" a="1"/>
  <c r="EN14" i="4" a="1"/>
  <c r="ES11" i="4" a="1"/>
  <c r="AW42" i="3"/>
  <c r="AV9" i="3"/>
  <c r="EN16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AV15" i="3"/>
  <c r="AS42" i="3"/>
  <c r="EW12" i="4" a="1"/>
  <c r="T6" i="6" a="1"/>
  <c r="AX37" i="3"/>
  <c r="AZ13" i="3"/>
  <c r="AT39" i="3"/>
  <c r="AF11" i="3"/>
  <c r="AZ16" i="3"/>
  <c r="AF40" i="3"/>
  <c r="AY17" i="3"/>
  <c r="K5" i="6" a="1"/>
  <c r="AW10" i="3"/>
  <c r="AU26" i="3"/>
  <c r="AT6" i="6" a="1"/>
  <c r="AV12" i="3"/>
  <c r="EO9" i="4" a="1"/>
  <c r="EU6" i="4" a="1"/>
  <c r="EM8" i="4" a="1"/>
  <c r="EU5" i="4" a="1"/>
  <c r="EN9" i="4" a="1"/>
  <c r="EN12" i="4" a="1"/>
  <c r="AI6" i="6" a="1"/>
  <c r="AZ42" i="3"/>
  <c r="AZ8" i="3"/>
  <c r="AW31" i="3"/>
  <c r="AV7" i="3"/>
  <c r="AV34" i="3"/>
  <c r="AN5" i="6" a="1"/>
  <c r="AT19" i="3"/>
  <c r="EN5" i="4" a="1"/>
  <c r="ET6" i="4" a="1"/>
  <c r="EW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S6" i="6" a="1"/>
  <c r="EP5" i="4" a="1"/>
  <c r="EQ5" i="4" a="1"/>
  <c r="EU16" i="4" a="1"/>
  <c r="EU15" i="4" a="1"/>
  <c r="EO13" i="4" a="1"/>
  <c r="EL7" i="4" a="1"/>
  <c r="EV5" i="4" a="1"/>
  <c r="AF18" i="3"/>
  <c r="AL6" i="6" a="1"/>
  <c r="M5" i="6" a="1"/>
  <c r="EW16" i="4" a="1"/>
  <c r="EN13" i="4" a="1"/>
  <c r="EU13" i="4" a="1"/>
  <c r="EW7" i="4" a="1"/>
  <c r="AW37" i="3"/>
  <c r="AX21" i="3"/>
  <c r="AZ37" i="3"/>
  <c r="AS41" i="3"/>
  <c r="AF34" i="3"/>
  <c r="AS22" i="3"/>
  <c r="AP7" i="3"/>
  <c r="AF5" i="6" a="1"/>
  <c r="EO7" i="4" a="1"/>
  <c r="EO8" i="4" a="1"/>
  <c r="EO15" i="4" a="1"/>
  <c r="ES9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P9" i="4" a="1"/>
  <c r="ES6" i="4" a="1"/>
  <c r="EV6" i="4" a="1"/>
  <c r="ES14" i="4" a="1"/>
  <c r="ET5" i="4" a="1"/>
  <c r="EP7" i="4" a="1"/>
  <c r="EP14" i="4" a="1"/>
  <c r="EO5" i="4" a="1"/>
  <c r="EN15" i="4" a="1"/>
  <c r="AS35" i="3"/>
  <c r="AX36" i="3"/>
  <c r="AX22" i="3"/>
  <c r="AZ14" i="3"/>
  <c r="AT40" i="3"/>
  <c r="AT14" i="3"/>
  <c r="AX25" i="3"/>
  <c r="AS40" i="3"/>
  <c r="AS33" i="3"/>
  <c r="AW18" i="3"/>
  <c r="AT12" i="3"/>
  <c r="AX14" i="3"/>
  <c r="AS21" i="3"/>
  <c r="EU11" i="4" a="1"/>
  <c r="EV14" i="4" a="1"/>
  <c r="AU34" i="3"/>
  <c r="AW39" i="3"/>
  <c r="AY7" i="3"/>
  <c r="AW30" i="3"/>
  <c r="AU22" i="3"/>
  <c r="AZ7" i="3"/>
  <c r="AY23" i="3"/>
  <c r="C5" i="6" a="1"/>
  <c r="AW20" i="3"/>
  <c r="AX18" i="3"/>
  <c r="AY39" i="3"/>
  <c r="ER14" i="4" a="1"/>
  <c r="EW8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L11" i="4" a="1"/>
  <c r="EM16" i="4" a="1"/>
  <c r="EN8" i="4" a="1"/>
  <c r="EW13" i="4" a="1"/>
  <c r="ET7" i="4" a="1"/>
  <c r="EL15" i="4" a="1"/>
  <c r="AX29" i="3"/>
  <c r="AV39" i="3"/>
  <c r="C6" i="6" a="1"/>
  <c r="N6" i="6" a="1"/>
  <c r="AS38" i="3"/>
  <c r="AE5" i="6" a="1"/>
  <c r="AY9" i="3"/>
  <c r="AU14" i="3"/>
  <c r="AD5" i="6" a="1"/>
  <c r="AV19" i="3"/>
  <c r="AW24" i="3"/>
  <c r="AR5" i="6" a="1"/>
  <c r="EL8" i="4" a="1"/>
  <c r="AY30" i="3"/>
  <c r="AF30" i="3"/>
  <c r="AX5" i="3"/>
  <c r="AT29" i="3"/>
  <c r="AU40" i="3"/>
  <c r="AB5" i="6" a="1"/>
  <c r="AV27" i="3"/>
  <c r="AZ34" i="3"/>
  <c r="EU14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AS17" i="3"/>
  <c r="AV30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V5" i="6" a="1"/>
  <c r="AK5" i="6" a="1"/>
  <c r="AY5" i="3"/>
  <c r="F6" i="6" a="1"/>
  <c r="C6" i="4" a="1"/>
  <c r="EP6" i="4" a="1"/>
  <c r="ER15" i="4" a="1"/>
  <c r="EW11" i="4" a="1"/>
  <c r="AX35" i="3"/>
  <c r="AT5" i="6" a="1"/>
  <c r="AS6" i="3"/>
  <c r="AS13" i="3"/>
  <c r="AD6" i="6" a="1"/>
  <c r="AV13" i="3"/>
  <c r="EP15" i="4" a="1"/>
  <c r="EV7" i="4" a="1"/>
  <c r="I5" i="6" a="1"/>
  <c r="AU17" i="3"/>
  <c r="AS9" i="3"/>
  <c r="AV46" i="3"/>
  <c r="J5" i="6" a="1"/>
  <c r="AF38" i="3"/>
  <c r="AS23" i="3"/>
  <c r="AS16" i="3"/>
  <c r="AF15" i="3"/>
  <c r="AS31" i="3"/>
  <c r="D5" i="6" a="1"/>
  <c r="AC6" i="6" a="1"/>
  <c r="EN6" i="4" a="1"/>
  <c r="EQ7" i="4" a="1"/>
  <c r="AU25" i="3"/>
  <c r="AY24" i="3"/>
  <c r="AY40" i="3"/>
  <c r="O6" i="6" a="1"/>
  <c r="AV42" i="3"/>
  <c r="AT7" i="3"/>
  <c r="AS45" i="3"/>
  <c r="AW21" i="3"/>
  <c r="Z6" i="6" a="1"/>
  <c r="AR6" i="6" a="1"/>
  <c r="AL5" i="6" a="1"/>
  <c r="AX23" i="3"/>
  <c r="AZ5" i="3"/>
  <c r="G5" i="6" a="1"/>
  <c r="AV35" i="3"/>
  <c r="EQ6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U5" i="3"/>
  <c r="AZ11" i="3"/>
  <c r="AT35" i="3"/>
  <c r="J6" i="6" a="1"/>
  <c r="AU12" i="3"/>
  <c r="AX42" i="3"/>
  <c r="AZ46" i="3"/>
  <c r="AY15" i="3"/>
  <c r="AU7" i="3"/>
  <c r="AY42" i="3"/>
  <c r="ET12" i="4" a="1"/>
  <c r="EM5" i="4" a="1"/>
  <c r="ET15" i="4" a="1"/>
  <c r="EO6" i="4" a="1"/>
  <c r="EW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C5" i="3"/>
  <c r="AQ6" i="6" a="1"/>
  <c r="AZ24" i="3"/>
  <c r="AX9" i="3"/>
  <c r="AX46" i="3"/>
  <c r="AY37" i="3"/>
  <c r="ER11" i="4" a="1"/>
  <c r="EN7" i="4" a="1"/>
  <c r="EV13" i="4" a="1"/>
  <c r="EL13" i="4" a="1"/>
  <c r="EQ8" i="4" a="1"/>
  <c r="ES13" i="4" a="1"/>
  <c r="CU11" i="1" l="1"/>
  <c r="Z50" i="1"/>
  <c r="AA50" i="1"/>
  <c r="CK215" i="1"/>
  <c r="CK213" i="1" s="1"/>
  <c r="CL61" i="1"/>
  <c r="CJ49" i="1"/>
  <c r="CJ257" i="1" s="1"/>
  <c r="CJ51" i="1"/>
  <c r="CO7" i="1"/>
  <c r="CO8" i="1"/>
  <c r="CV11" i="1"/>
  <c r="Z246" i="1"/>
  <c r="Z49" i="1"/>
  <c r="Z257" i="1" s="1"/>
  <c r="Z55" i="1"/>
  <c r="CK59" i="1"/>
  <c r="CK73" i="1"/>
  <c r="AB143" i="1"/>
  <c r="CQ143" i="1"/>
  <c r="CR143" i="1" s="1"/>
  <c r="CS143" i="1" s="1"/>
  <c r="CT143" i="1" s="1"/>
  <c r="CJ61" i="1"/>
  <c r="CG205" i="1"/>
  <c r="CG207" i="1" s="1"/>
  <c r="CG59" i="1"/>
  <c r="CG73" i="1"/>
  <c r="CJ73" i="1"/>
  <c r="CJ205" i="1"/>
  <c r="CJ207" i="1" s="1"/>
  <c r="CJ59" i="1"/>
  <c r="CP214" i="1"/>
  <c r="CQ152" i="1"/>
  <c r="CH205" i="1"/>
  <c r="CH207" i="1" s="1"/>
  <c r="CH73" i="1"/>
  <c r="CH59" i="1"/>
  <c r="CP196" i="1"/>
  <c r="CO197" i="1"/>
  <c r="CN194" i="1"/>
  <c r="CN198" i="1" s="1"/>
  <c r="CO193" i="1"/>
  <c r="CQ137" i="1"/>
  <c r="CP140" i="1"/>
  <c r="CP261" i="1" s="1"/>
  <c r="CO218" i="1"/>
  <c r="BY29" i="1"/>
  <c r="CA16" i="1"/>
  <c r="CE29" i="1"/>
  <c r="CA29" i="1"/>
  <c r="CF29" i="1"/>
  <c r="CD29" i="1"/>
  <c r="BZ29" i="1"/>
  <c r="BL29" i="1"/>
  <c r="CC29" i="1"/>
  <c r="CB29" i="1"/>
  <c r="CF16" i="1"/>
  <c r="CD16" i="1"/>
  <c r="BY16" i="1"/>
  <c r="CE16" i="1"/>
  <c r="BZ16" i="1"/>
  <c r="CC16" i="1"/>
  <c r="CB16" i="1"/>
  <c r="BL16" i="1"/>
  <c r="Y205" i="1"/>
  <c r="Y207" i="1" s="1"/>
  <c r="Y211" i="1" s="1"/>
  <c r="Y225" i="1" s="1"/>
  <c r="Y219" i="1"/>
  <c r="Y217" i="1" s="1"/>
  <c r="Y61" i="1"/>
  <c r="Y59" i="1"/>
  <c r="X205" i="1"/>
  <c r="X207" i="1" s="1"/>
  <c r="X59" i="1"/>
  <c r="X61" i="1"/>
  <c r="Z205" i="1"/>
  <c r="Z207" i="1" s="1"/>
  <c r="Z211" i="1" s="1"/>
  <c r="Z225" i="1" s="1"/>
  <c r="Z219" i="1"/>
  <c r="Z217" i="1" s="1"/>
  <c r="Z61" i="1"/>
  <c r="Z59" i="1"/>
  <c r="CD32" i="1"/>
  <c r="CC52" i="1"/>
  <c r="CA15" i="1"/>
  <c r="CD46" i="1"/>
  <c r="AH7" i="6" s="1"/>
  <c r="CD42" i="1"/>
  <c r="CF43" i="1"/>
  <c r="BY52" i="1"/>
  <c r="BL52" i="1"/>
  <c r="CD53" i="1"/>
  <c r="AV7" i="6" s="1"/>
  <c r="CB27" i="1"/>
  <c r="R7" i="6" s="1"/>
  <c r="X7" i="6" s="1"/>
  <c r="CD52" i="1"/>
  <c r="CD22" i="1"/>
  <c r="V7" i="6" s="1"/>
  <c r="BY22" i="1"/>
  <c r="CB15" i="1"/>
  <c r="BY58" i="1"/>
  <c r="BL15" i="1"/>
  <c r="AW7" i="6" s="1"/>
  <c r="BY28" i="1"/>
  <c r="CA20" i="1"/>
  <c r="CB30" i="1"/>
  <c r="BZ43" i="1"/>
  <c r="O7" i="6" s="1"/>
  <c r="BL54" i="1"/>
  <c r="AQ7" i="6" s="1"/>
  <c r="CF15" i="1"/>
  <c r="CF7" i="1" s="1"/>
  <c r="JJ9" i="4" s="1"/>
  <c r="BY53" i="1"/>
  <c r="AM7" i="6" s="1"/>
  <c r="JM16" i="4" s="1"/>
  <c r="CF54" i="1"/>
  <c r="CA31" i="1"/>
  <c r="BL30" i="1"/>
  <c r="BL53" i="1"/>
  <c r="CF42" i="1"/>
  <c r="BL43" i="1"/>
  <c r="BZ52" i="1"/>
  <c r="CC32" i="1"/>
  <c r="CC28" i="1"/>
  <c r="JM9" i="4" s="1"/>
  <c r="CA28" i="1"/>
  <c r="JL16" i="4" s="1"/>
  <c r="BZ31" i="1"/>
  <c r="CB28" i="1"/>
  <c r="CC20" i="1"/>
  <c r="JK16" i="4" s="1"/>
  <c r="CA58" i="1"/>
  <c r="BZ21" i="1"/>
  <c r="CE22" i="1"/>
  <c r="CC21" i="1"/>
  <c r="C7" i="6" s="1"/>
  <c r="T7" i="6" s="1"/>
  <c r="BY31" i="1"/>
  <c r="CC53" i="1"/>
  <c r="CC15" i="1"/>
  <c r="CB42" i="1"/>
  <c r="JL9" i="4" s="1"/>
  <c r="CF46" i="1"/>
  <c r="AL7" i="6" s="1"/>
  <c r="BZ39" i="1"/>
  <c r="BZ206" i="1" s="1"/>
  <c r="BZ42" i="1"/>
  <c r="J7" i="6" s="1"/>
  <c r="BY54" i="1"/>
  <c r="Z7" i="6" s="1"/>
  <c r="BL27" i="1"/>
  <c r="CF20" i="1"/>
  <c r="CF30" i="1"/>
  <c r="BZ20" i="1"/>
  <c r="CA22" i="1"/>
  <c r="CD21" i="1"/>
  <c r="BL28" i="1"/>
  <c r="BY21" i="1"/>
  <c r="CE39" i="1"/>
  <c r="CE206" i="1" s="1"/>
  <c r="AD7" i="6" s="1"/>
  <c r="CF32" i="1"/>
  <c r="CE27" i="1"/>
  <c r="CA54" i="1"/>
  <c r="CD43" i="1"/>
  <c r="CB31" i="1"/>
  <c r="CD54" i="1"/>
  <c r="AP7" i="6" s="1"/>
  <c r="Y7" i="6" s="1"/>
  <c r="CA32" i="1"/>
  <c r="AA7" i="6" s="1"/>
  <c r="AJ7" i="6" s="1"/>
  <c r="BY15" i="1"/>
  <c r="BY7" i="1" s="1"/>
  <c r="BY30" i="1"/>
  <c r="CB46" i="1"/>
  <c r="CE32" i="1"/>
  <c r="I7" i="6" s="1"/>
  <c r="AK7" i="6" s="1"/>
  <c r="CE21" i="1"/>
  <c r="K7" i="6" s="1"/>
  <c r="F7" i="6" s="1"/>
  <c r="CB52" i="1"/>
  <c r="CF31" i="1"/>
  <c r="AC7" i="6" s="1"/>
  <c r="AE7" i="6" s="1"/>
  <c r="M7" i="6" s="1"/>
  <c r="Q7" i="6" s="1"/>
  <c r="CA53" i="1"/>
  <c r="BZ53" i="1"/>
  <c r="CA43" i="1"/>
  <c r="CF53" i="1"/>
  <c r="AU7" i="6" s="1"/>
  <c r="BL22" i="1"/>
  <c r="CE31" i="1"/>
  <c r="CB39" i="1"/>
  <c r="CB206" i="1" s="1"/>
  <c r="CC54" i="1"/>
  <c r="CC58" i="1"/>
  <c r="AX7" i="6" s="1"/>
  <c r="BZ30" i="1"/>
  <c r="AT7" i="6" s="1"/>
  <c r="S7" i="6" s="1"/>
  <c r="BY20" i="1"/>
  <c r="CE42" i="1"/>
  <c r="CA52" i="1"/>
  <c r="CB54" i="1"/>
  <c r="CA42" i="1"/>
  <c r="CF58" i="1"/>
  <c r="CF28" i="1"/>
  <c r="CA27" i="1"/>
  <c r="AN7" i="6" s="1"/>
  <c r="CE53" i="1"/>
  <c r="CC22" i="1"/>
  <c r="CE58" i="1"/>
  <c r="CF22" i="1"/>
  <c r="G7" i="6" s="1"/>
  <c r="BL39" i="1"/>
  <c r="AF7" i="6" s="1"/>
  <c r="CC27" i="1"/>
  <c r="CD27" i="1"/>
  <c r="JJ16" i="4" s="1"/>
  <c r="BY32" i="1"/>
  <c r="CB53" i="1"/>
  <c r="CE15" i="1"/>
  <c r="CE7" i="1" s="1"/>
  <c r="AB7" i="6" s="1"/>
  <c r="BL21" i="1"/>
  <c r="CD58" i="1"/>
  <c r="BY27" i="1"/>
  <c r="BZ22" i="1"/>
  <c r="CD28" i="1"/>
  <c r="L7" i="6" s="1"/>
  <c r="BL46" i="1"/>
  <c r="BZ15" i="1"/>
  <c r="CA39" i="1"/>
  <c r="BZ46" i="1"/>
  <c r="BY39" i="1"/>
  <c r="BY206" i="1" s="1"/>
  <c r="AI7" i="6" s="1"/>
  <c r="CC46" i="1"/>
  <c r="D7" i="6" s="1"/>
  <c r="BZ28" i="1"/>
  <c r="AG7" i="6" s="1"/>
  <c r="BZ27" i="1"/>
  <c r="BL58" i="1"/>
  <c r="W7" i="6" s="1"/>
  <c r="CB58" i="1"/>
  <c r="CE54" i="1"/>
  <c r="CF27" i="1"/>
  <c r="CC30" i="1"/>
  <c r="CD30" i="1"/>
  <c r="CE20" i="1"/>
  <c r="BY42" i="1"/>
  <c r="CC42" i="1"/>
  <c r="BZ58" i="1"/>
  <c r="AS7" i="6" s="1"/>
  <c r="BZ54" i="1"/>
  <c r="CE43" i="1"/>
  <c r="CD20" i="1"/>
  <c r="BL42" i="1"/>
  <c r="CB21" i="1"/>
  <c r="CC39" i="1"/>
  <c r="CC206" i="1" s="1"/>
  <c r="BY46" i="1"/>
  <c r="H7" i="6" s="1"/>
  <c r="CA30" i="1"/>
  <c r="BZ32" i="1"/>
  <c r="CD15" i="1"/>
  <c r="AR7" i="6" s="1"/>
  <c r="CF21" i="1"/>
  <c r="BL20" i="1"/>
  <c r="BL31" i="1"/>
  <c r="JK9" i="4" s="1"/>
  <c r="AO7" i="6" s="1"/>
  <c r="CA46" i="1"/>
  <c r="BL32" i="1"/>
  <c r="CA21" i="1"/>
  <c r="CE52" i="1"/>
  <c r="CD31" i="1"/>
  <c r="P7" i="6" s="1"/>
  <c r="E7" i="6" s="1"/>
  <c r="U7" i="6" s="1"/>
  <c r="CC31" i="1"/>
  <c r="AY7" i="6" s="1"/>
  <c r="CD39" i="1"/>
  <c r="CB22" i="1"/>
  <c r="CC43" i="1"/>
  <c r="CB43" i="1"/>
  <c r="CE30" i="1"/>
  <c r="CE28" i="1"/>
  <c r="CF39" i="1"/>
  <c r="CF206" i="1" s="1"/>
  <c r="CB32" i="1"/>
  <c r="BY43" i="1"/>
  <c r="CF52" i="1"/>
  <c r="N7" i="6" s="1"/>
  <c r="CO47" i="1"/>
  <c r="CP47" i="1" s="1"/>
  <c r="CU34" i="1"/>
  <c r="CQ24" i="1"/>
  <c r="CI141" i="1"/>
  <c r="CI99" i="1"/>
  <c r="CS136" i="1"/>
  <c r="CR192" i="1"/>
  <c r="CR195" i="1"/>
  <c r="CR191" i="1"/>
  <c r="CJ219" i="1"/>
  <c r="CJ217" i="1" s="1"/>
  <c r="CJ62" i="1"/>
  <c r="CI219" i="1"/>
  <c r="CI217" i="1" s="1"/>
  <c r="AC53" i="1"/>
  <c r="CV53" i="1"/>
  <c r="CW53" i="1" s="1"/>
  <c r="CX53" i="1" s="1"/>
  <c r="CY53" i="1" s="1"/>
  <c r="AD42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Y55" i="3"/>
  <c r="AZ84" i="3"/>
  <c r="AU72" i="3"/>
  <c r="AT71" i="3"/>
  <c r="AW89" i="3"/>
  <c r="AX89" i="3"/>
  <c r="AF49" i="3"/>
  <c r="AU58" i="3"/>
  <c r="AT92" i="3"/>
  <c r="AZ93" i="3"/>
  <c r="AZ49" i="3"/>
  <c r="AY85" i="3"/>
  <c r="AV84" i="3"/>
  <c r="AV71" i="3"/>
  <c r="AU63" i="3"/>
  <c r="AT86" i="3"/>
  <c r="AX62" i="3"/>
  <c r="AF88" i="3"/>
  <c r="AU70" i="3"/>
  <c r="AS92" i="3"/>
  <c r="AZ79" i="3"/>
  <c r="C97" i="3"/>
  <c r="AZ62" i="3"/>
  <c r="AV58" i="3"/>
  <c r="AZ90" i="3"/>
  <c r="AW65" i="3"/>
  <c r="AZ55" i="3"/>
  <c r="AS65" i="3"/>
  <c r="AV67" i="3"/>
  <c r="AF74" i="3"/>
  <c r="C57" i="3"/>
  <c r="AS94" i="3"/>
  <c r="AW81" i="3"/>
  <c r="AX97" i="3"/>
  <c r="AF96" i="3"/>
  <c r="AW83" i="3"/>
  <c r="AV56" i="3"/>
  <c r="AU67" i="3"/>
  <c r="AZ95" i="3"/>
  <c r="AY58" i="3"/>
  <c r="C81" i="3"/>
  <c r="AY67" i="3"/>
  <c r="C6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F86" i="3"/>
  <c r="AW96" i="3"/>
  <c r="AX66" i="3"/>
  <c r="AW63" i="3"/>
  <c r="AS73" i="3"/>
  <c r="AY71" i="3"/>
  <c r="C90" i="3"/>
  <c r="AZ82" i="3"/>
  <c r="C77" i="3"/>
  <c r="AT65" i="3"/>
  <c r="AX75" i="3"/>
  <c r="AY73" i="3"/>
  <c r="AS93" i="3"/>
  <c r="AY75" i="3"/>
  <c r="C54" i="3"/>
  <c r="AF81" i="3"/>
  <c r="AS75" i="3"/>
  <c r="C74" i="3"/>
  <c r="AF55" i="3"/>
  <c r="AX70" i="3"/>
  <c r="AT79" i="3"/>
  <c r="AS96" i="3"/>
  <c r="AF84" i="3"/>
  <c r="AZ91" i="3"/>
  <c r="AY92" i="3"/>
  <c r="C59" i="3"/>
  <c r="AU61" i="3"/>
  <c r="AU76" i="3"/>
  <c r="AS60" i="3"/>
  <c r="AY80" i="3"/>
  <c r="AF70" i="3"/>
  <c r="AS61" i="3"/>
  <c r="AU49" i="3"/>
  <c r="C64" i="3"/>
  <c r="AW66" i="3"/>
  <c r="AY63" i="3"/>
  <c r="AT56" i="3"/>
  <c r="C92" i="3"/>
  <c r="AS64" i="3"/>
  <c r="AT55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U74" i="3"/>
  <c r="AW79" i="3"/>
  <c r="AZ56" i="3"/>
  <c r="AZ48" i="3"/>
  <c r="AT85" i="3"/>
  <c r="AU62" i="3"/>
  <c r="AV50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W69" i="3"/>
  <c r="AF69" i="3"/>
  <c r="C94" i="3"/>
  <c r="AV85" i="3"/>
  <c r="AW54" i="3"/>
  <c r="AV89" i="3"/>
  <c r="AZ71" i="3"/>
  <c r="AY56" i="3"/>
  <c r="AU91" i="3"/>
  <c r="AW74" i="3"/>
  <c r="C67" i="3"/>
  <c r="AV97" i="3"/>
  <c r="AU77" i="3"/>
  <c r="AW62" i="3"/>
  <c r="AW87" i="3"/>
  <c r="AF60" i="3"/>
  <c r="AV87" i="3"/>
  <c r="AT63" i="3"/>
  <c r="AZ47" i="3"/>
  <c r="AX88" i="3"/>
  <c r="AU84" i="3"/>
  <c r="AU57" i="3"/>
  <c r="AF95" i="3"/>
  <c r="AS56" i="3"/>
  <c r="AW73" i="3"/>
  <c r="AW50" i="3"/>
  <c r="AZ57" i="3"/>
  <c r="AT50" i="3"/>
  <c r="AX94" i="3"/>
  <c r="AZ81" i="3"/>
  <c r="AX64" i="3"/>
  <c r="AS97" i="3"/>
  <c r="AU50" i="3"/>
  <c r="AZ87" i="3"/>
  <c r="AF90" i="3"/>
  <c r="AX83" i="3"/>
  <c r="AS59" i="3"/>
  <c r="AV80" i="3"/>
  <c r="AY87" i="3"/>
  <c r="C70" i="3"/>
  <c r="AZ61" i="3"/>
  <c r="AX69" i="3"/>
  <c r="C56" i="3"/>
  <c r="AV55" i="3"/>
  <c r="AU47" i="3"/>
  <c r="AT84" i="3"/>
  <c r="AF58" i="3"/>
  <c r="AT49" i="3"/>
  <c r="AF85" i="3"/>
  <c r="AX58" i="3"/>
  <c r="AY48" i="3"/>
  <c r="AW77" i="3"/>
  <c r="AX67" i="3"/>
  <c r="AX56" i="3"/>
  <c r="AW93" i="3"/>
  <c r="AV91" i="3"/>
  <c r="AT78" i="3"/>
  <c r="C61" i="3"/>
  <c r="AW55" i="3"/>
  <c r="AF76" i="3"/>
  <c r="AS63" i="3"/>
  <c r="AT75" i="3"/>
  <c r="AY96" i="3"/>
  <c r="AF65" i="3"/>
  <c r="AU90" i="3"/>
  <c r="AY59" i="3"/>
  <c r="AT93" i="3"/>
  <c r="AS71" i="3"/>
  <c r="AV62" i="3"/>
  <c r="AX86" i="3"/>
  <c r="AU64" i="3"/>
  <c r="C63" i="3"/>
  <c r="AT60" i="3"/>
  <c r="AZ59" i="3"/>
  <c r="AV86" i="3"/>
  <c r="AU8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S90" i="3"/>
  <c r="AZ63" i="3"/>
  <c r="AY49" i="3"/>
  <c r="AT47" i="3"/>
  <c r="AX79" i="3"/>
  <c r="AU48" i="3"/>
  <c r="AX82" i="3"/>
  <c r="AS89" i="3"/>
  <c r="AT83" i="3"/>
  <c r="AZ67" i="3"/>
  <c r="AZ76" i="3"/>
  <c r="AT91" i="3"/>
  <c r="AX95" i="3"/>
  <c r="AV94" i="3"/>
  <c r="AV95" i="3"/>
  <c r="C76" i="3"/>
  <c r="AV79" i="3"/>
  <c r="AW80" i="3"/>
  <c r="AW71" i="3"/>
  <c r="AY57" i="3"/>
  <c r="AV76" i="3"/>
  <c r="AV61" i="3"/>
  <c r="AX61" i="3"/>
  <c r="AU65" i="3"/>
  <c r="AF78" i="3"/>
  <c r="AT73" i="3"/>
  <c r="AW92" i="3"/>
  <c r="AX72" i="3"/>
  <c r="AX87" i="3"/>
  <c r="AY91" i="3"/>
  <c r="AX47" i="3"/>
  <c r="AU7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X60" i="3"/>
  <c r="AU71" i="3"/>
  <c r="AZ50" i="3"/>
  <c r="C69" i="3"/>
  <c r="C71" i="3"/>
  <c r="AU93" i="3"/>
  <c r="AT94" i="3"/>
  <c r="AU94" i="3"/>
  <c r="C95" i="3"/>
  <c r="AF75" i="3"/>
  <c r="AF71" i="3"/>
  <c r="AS62" i="3"/>
  <c r="AV63" i="3"/>
  <c r="AF82" i="3"/>
  <c r="AF79" i="3"/>
  <c r="AY90" i="3"/>
  <c r="AT81" i="3"/>
  <c r="AW84" i="3"/>
  <c r="AS95" i="3"/>
  <c r="AY60" i="3"/>
  <c r="AX78" i="3"/>
  <c r="AX59" i="3"/>
  <c r="C58" i="3"/>
  <c r="AS69" i="3"/>
  <c r="AS80" i="3"/>
  <c r="C96" i="3"/>
  <c r="AF47" i="3"/>
  <c r="AS88" i="3"/>
  <c r="AS81" i="3"/>
  <c r="C87" i="3"/>
  <c r="AY77" i="3"/>
  <c r="AY86" i="3"/>
  <c r="AT95" i="3"/>
  <c r="AU83" i="3"/>
  <c r="AT88" i="3"/>
  <c r="AY74" i="3"/>
  <c r="C78" i="3"/>
  <c r="CE11" i="1" l="1"/>
  <c r="CE6" i="1"/>
  <c r="Z7" i="1"/>
  <c r="Z11" i="1" s="1"/>
  <c r="CD243" i="1"/>
  <c r="CD7" i="1"/>
  <c r="BZ243" i="1"/>
  <c r="BZ7" i="1"/>
  <c r="CW11" i="1"/>
  <c r="BY6" i="1"/>
  <c r="BY11" i="1"/>
  <c r="CP5" i="1"/>
  <c r="CP7" i="1" s="1"/>
  <c r="CO9" i="1"/>
  <c r="CO15" i="1"/>
  <c r="AB7" i="1"/>
  <c r="AB11" i="1" s="1"/>
  <c r="CC243" i="1"/>
  <c r="CC7" i="1"/>
  <c r="CB243" i="1"/>
  <c r="CB7" i="1"/>
  <c r="CA243" i="1"/>
  <c r="CA7" i="1"/>
  <c r="CF11" i="1"/>
  <c r="CF6" i="1"/>
  <c r="CJ10" i="1" s="1"/>
  <c r="CL76" i="1"/>
  <c r="CL93" i="1" s="1"/>
  <c r="CK76" i="1"/>
  <c r="CK94" i="1" s="1"/>
  <c r="CJ76" i="1"/>
  <c r="AC143" i="1"/>
  <c r="CU143" i="1"/>
  <c r="CV143" i="1" s="1"/>
  <c r="CW143" i="1" s="1"/>
  <c r="CX143" i="1" s="1"/>
  <c r="CK93" i="1"/>
  <c r="CQ214" i="1"/>
  <c r="CR152" i="1"/>
  <c r="CQ196" i="1"/>
  <c r="CP197" i="1"/>
  <c r="CO194" i="1"/>
  <c r="CO198" i="1" s="1"/>
  <c r="CP193" i="1"/>
  <c r="CR137" i="1"/>
  <c r="CQ140" i="1"/>
  <c r="CQ261" i="1" s="1"/>
  <c r="CP218" i="1"/>
  <c r="BZ137" i="1"/>
  <c r="CA137" i="1" s="1"/>
  <c r="BL80" i="1"/>
  <c r="CF81" i="1"/>
  <c r="CB158" i="1"/>
  <c r="CC158" i="1" s="1"/>
  <c r="CD165" i="1"/>
  <c r="CD195" i="1" s="1"/>
  <c r="CE195" i="1" s="1"/>
  <c r="CB176" i="1"/>
  <c r="CC176" i="1" s="1"/>
  <c r="BL136" i="1"/>
  <c r="BM136" i="1" s="1"/>
  <c r="CD145" i="1"/>
  <c r="CD136" i="1"/>
  <c r="CE136" i="1" s="1"/>
  <c r="CF139" i="1"/>
  <c r="CG139" i="1" s="1"/>
  <c r="CB139" i="1"/>
  <c r="CC139" i="1" s="1"/>
  <c r="CB164" i="1"/>
  <c r="CC164" i="1" s="1"/>
  <c r="CB156" i="1"/>
  <c r="CB191" i="1" s="1"/>
  <c r="CC191" i="1" s="1"/>
  <c r="BZ165" i="1"/>
  <c r="BZ195" i="1" s="1"/>
  <c r="CA195" i="1" s="1"/>
  <c r="BZ176" i="1"/>
  <c r="CA176" i="1" s="1"/>
  <c r="BZ166" i="1"/>
  <c r="CA166" i="1" s="1"/>
  <c r="BZ172" i="1"/>
  <c r="BZ162" i="1"/>
  <c r="CA162" i="1" s="1"/>
  <c r="BZ144" i="1"/>
  <c r="BL157" i="1"/>
  <c r="BL192" i="1" s="1"/>
  <c r="BM192" i="1" s="1"/>
  <c r="BL165" i="1"/>
  <c r="BL195" i="1" s="1"/>
  <c r="BM195" i="1" s="1"/>
  <c r="BL134" i="1"/>
  <c r="BM134" i="1" s="1"/>
  <c r="CA80" i="1"/>
  <c r="CF80" i="1"/>
  <c r="CF158" i="1"/>
  <c r="CG158" i="1" s="1"/>
  <c r="CF145" i="1"/>
  <c r="CB81" i="1"/>
  <c r="CF156" i="1"/>
  <c r="CF191" i="1" s="1"/>
  <c r="CG191" i="1" s="1"/>
  <c r="CG156" i="1" s="1"/>
  <c r="CF134" i="1"/>
  <c r="CG134" i="1" s="1"/>
  <c r="CB161" i="1"/>
  <c r="CC161" i="1" s="1"/>
  <c r="CF176" i="1"/>
  <c r="CG176" i="1" s="1"/>
  <c r="CB137" i="1"/>
  <c r="CC137" i="1" s="1"/>
  <c r="CB175" i="1"/>
  <c r="CC175" i="1" s="1"/>
  <c r="CD81" i="1"/>
  <c r="CB171" i="1"/>
  <c r="CD157" i="1"/>
  <c r="CD192" i="1" s="1"/>
  <c r="CE192" i="1" s="1"/>
  <c r="CD134" i="1"/>
  <c r="CE134" i="1" s="1"/>
  <c r="BL137" i="1"/>
  <c r="CD143" i="1"/>
  <c r="CD163" i="1"/>
  <c r="CE163" i="1" s="1"/>
  <c r="CD171" i="1"/>
  <c r="CD154" i="1"/>
  <c r="CE154" i="1" s="1"/>
  <c r="CF152" i="1"/>
  <c r="CF138" i="1"/>
  <c r="CG138" i="1" s="1"/>
  <c r="CB154" i="1"/>
  <c r="CC154" i="1" s="1"/>
  <c r="BL166" i="1"/>
  <c r="BM166" i="1" s="1"/>
  <c r="BL175" i="1"/>
  <c r="BM175" i="1" s="1"/>
  <c r="BL176" i="1"/>
  <c r="CB138" i="1"/>
  <c r="CC138" i="1" s="1"/>
  <c r="CE81" i="1"/>
  <c r="BZ171" i="1"/>
  <c r="BZ175" i="1"/>
  <c r="CA175" i="1" s="1"/>
  <c r="BZ131" i="1"/>
  <c r="BZ139" i="1"/>
  <c r="CA139" i="1" s="1"/>
  <c r="CF157" i="1"/>
  <c r="CF192" i="1" s="1"/>
  <c r="CG192" i="1" s="1"/>
  <c r="CG157" i="1" s="1"/>
  <c r="CF144" i="1"/>
  <c r="CF161" i="1"/>
  <c r="CB131" i="1"/>
  <c r="CB157" i="1"/>
  <c r="CB192" i="1" s="1"/>
  <c r="CC192" i="1" s="1"/>
  <c r="CD172" i="1"/>
  <c r="CD164" i="1"/>
  <c r="CE164" i="1" s="1"/>
  <c r="CB80" i="1"/>
  <c r="BZ167" i="1"/>
  <c r="CA167" i="1" s="1"/>
  <c r="BZ145" i="1"/>
  <c r="BZ129" i="1"/>
  <c r="BZ159" i="1"/>
  <c r="CA159" i="1" s="1"/>
  <c r="BZ81" i="1"/>
  <c r="BZ136" i="1"/>
  <c r="CA136" i="1" s="1"/>
  <c r="BZ138" i="1"/>
  <c r="CA138" i="1" s="1"/>
  <c r="BZ154" i="1"/>
  <c r="CA154" i="1" s="1"/>
  <c r="BZ143" i="1"/>
  <c r="BL145" i="1"/>
  <c r="BL161" i="1"/>
  <c r="BM161" i="1" s="1"/>
  <c r="CF136" i="1"/>
  <c r="CF165" i="1"/>
  <c r="CF195" i="1" s="1"/>
  <c r="CG195" i="1" s="1"/>
  <c r="CG165" i="1" s="1"/>
  <c r="CD166" i="1"/>
  <c r="CE166" i="1" s="1"/>
  <c r="CF166" i="1"/>
  <c r="CG166" i="1" s="1"/>
  <c r="CB143" i="1"/>
  <c r="CB166" i="1"/>
  <c r="CC166" i="1" s="1"/>
  <c r="BY81" i="1"/>
  <c r="CD175" i="1"/>
  <c r="CE175" i="1" s="1"/>
  <c r="CD147" i="1"/>
  <c r="CE147" i="1" s="1"/>
  <c r="BL172" i="1"/>
  <c r="CB165" i="1"/>
  <c r="CB195" i="1" s="1"/>
  <c r="CC195" i="1" s="1"/>
  <c r="CB130" i="1"/>
  <c r="CC130" i="1" s="1"/>
  <c r="BL162" i="1"/>
  <c r="BM162" i="1" s="1"/>
  <c r="CD139" i="1"/>
  <c r="CE139" i="1" s="1"/>
  <c r="CD159" i="1"/>
  <c r="CE159" i="1" s="1"/>
  <c r="CD131" i="1"/>
  <c r="CD158" i="1"/>
  <c r="CE158" i="1" s="1"/>
  <c r="CD167" i="1"/>
  <c r="CE167" i="1" s="1"/>
  <c r="CD152" i="1"/>
  <c r="CE152" i="1" s="1"/>
  <c r="CF129" i="1"/>
  <c r="CF130" i="1"/>
  <c r="CG130" i="1" s="1"/>
  <c r="CF163" i="1"/>
  <c r="CG163" i="1" s="1"/>
  <c r="CF175" i="1"/>
  <c r="CG175" i="1" s="1"/>
  <c r="CB172" i="1"/>
  <c r="CB152" i="1"/>
  <c r="AI81" i="1"/>
  <c r="BL159" i="1"/>
  <c r="BM159" i="1" s="1"/>
  <c r="BL147" i="1"/>
  <c r="BM147" i="1" s="1"/>
  <c r="BL138" i="1"/>
  <c r="BM138" i="1" s="1"/>
  <c r="CB136" i="1"/>
  <c r="CC136" i="1" s="1"/>
  <c r="BL158" i="1"/>
  <c r="BM158" i="1" s="1"/>
  <c r="BZ147" i="1"/>
  <c r="CA147" i="1" s="1"/>
  <c r="BZ80" i="1"/>
  <c r="BL164" i="1"/>
  <c r="BM164" i="1" s="1"/>
  <c r="CB144" i="1"/>
  <c r="CF159" i="1"/>
  <c r="CG159" i="1" s="1"/>
  <c r="CB159" i="1"/>
  <c r="CC159" i="1" s="1"/>
  <c r="CD80" i="1"/>
  <c r="CC81" i="1"/>
  <c r="CD130" i="1"/>
  <c r="CE130" i="1" s="1"/>
  <c r="BL131" i="1"/>
  <c r="CD137" i="1"/>
  <c r="CE137" i="1" s="1"/>
  <c r="CF171" i="1"/>
  <c r="CF164" i="1"/>
  <c r="CG164" i="1" s="1"/>
  <c r="CE80" i="1"/>
  <c r="BZ157" i="1"/>
  <c r="BZ192" i="1" s="1"/>
  <c r="CA192" i="1" s="1"/>
  <c r="BZ134" i="1"/>
  <c r="CA134" i="1" s="1"/>
  <c r="BZ156" i="1"/>
  <c r="BZ191" i="1" s="1"/>
  <c r="CA191" i="1" s="1"/>
  <c r="BZ130" i="1"/>
  <c r="CA130" i="1" s="1"/>
  <c r="BZ161" i="1"/>
  <c r="BZ163" i="1"/>
  <c r="CA163" i="1" s="1"/>
  <c r="BZ158" i="1"/>
  <c r="CA158" i="1" s="1"/>
  <c r="BZ152" i="1"/>
  <c r="CA152" i="1" s="1"/>
  <c r="BZ164" i="1"/>
  <c r="CA164" i="1" s="1"/>
  <c r="BL167" i="1"/>
  <c r="BM167" i="1" s="1"/>
  <c r="BL156" i="1"/>
  <c r="BL191" i="1" s="1"/>
  <c r="BM191" i="1" s="1"/>
  <c r="BL143" i="1"/>
  <c r="BL144" i="1"/>
  <c r="CA81" i="1"/>
  <c r="CF167" i="1"/>
  <c r="CG167" i="1" s="1"/>
  <c r="CF162" i="1"/>
  <c r="CG162" i="1" s="1"/>
  <c r="CF172" i="1"/>
  <c r="CB129" i="1"/>
  <c r="CC129" i="1" s="1"/>
  <c r="CF143" i="1"/>
  <c r="CF131" i="1"/>
  <c r="CG131" i="1" s="1"/>
  <c r="CF137" i="1"/>
  <c r="CG137" i="1" s="1"/>
  <c r="CD138" i="1"/>
  <c r="CE138" i="1" s="1"/>
  <c r="CB167" i="1"/>
  <c r="CC167" i="1" s="1"/>
  <c r="CB147" i="1"/>
  <c r="CC147" i="1" s="1"/>
  <c r="CB163" i="1"/>
  <c r="CC163" i="1" s="1"/>
  <c r="CD129" i="1"/>
  <c r="BL152" i="1"/>
  <c r="CB145" i="1"/>
  <c r="BL139" i="1"/>
  <c r="BM139" i="1" s="1"/>
  <c r="CD144" i="1"/>
  <c r="CD156" i="1"/>
  <c r="CD191" i="1" s="1"/>
  <c r="CE191" i="1" s="1"/>
  <c r="CD162" i="1"/>
  <c r="CE162" i="1" s="1"/>
  <c r="CD161" i="1"/>
  <c r="CE161" i="1" s="1"/>
  <c r="CD176" i="1"/>
  <c r="CE176" i="1" s="1"/>
  <c r="CF147" i="1"/>
  <c r="CG147" i="1" s="1"/>
  <c r="CF154" i="1"/>
  <c r="CG154" i="1" s="1"/>
  <c r="CC80" i="1"/>
  <c r="CB162" i="1"/>
  <c r="CC162" i="1" s="1"/>
  <c r="CB134" i="1"/>
  <c r="CC134" i="1" s="1"/>
  <c r="BL171" i="1"/>
  <c r="BL129" i="1"/>
  <c r="BM129" i="1" s="1"/>
  <c r="BL163" i="1"/>
  <c r="BM163" i="1" s="1"/>
  <c r="BL154" i="1"/>
  <c r="BM154" i="1" s="1"/>
  <c r="BL130" i="1"/>
  <c r="BM130" i="1" s="1"/>
  <c r="BL265" i="1"/>
  <c r="CH105" i="1"/>
  <c r="CH106" i="1" s="1"/>
  <c r="CB149" i="1"/>
  <c r="CC149" i="1" s="1"/>
  <c r="CF149" i="1"/>
  <c r="CG149" i="1" s="1"/>
  <c r="CD149" i="1"/>
  <c r="CE149" i="1" s="1"/>
  <c r="BL149" i="1"/>
  <c r="BM149" i="1" s="1"/>
  <c r="BZ149" i="1"/>
  <c r="CA149" i="1" s="1"/>
  <c r="BL155" i="1"/>
  <c r="CD155" i="1"/>
  <c r="CB155" i="1"/>
  <c r="CF155" i="1"/>
  <c r="BZ155" i="1"/>
  <c r="CA264" i="1"/>
  <c r="JJ21" i="4"/>
  <c r="CD84" i="1" s="1"/>
  <c r="CD118" i="1" s="1"/>
  <c r="CD114" i="1" s="1"/>
  <c r="CA17" i="1"/>
  <c r="CA23" i="1" s="1"/>
  <c r="CA24" i="1" s="1"/>
  <c r="JK14" i="4"/>
  <c r="BL17" i="1"/>
  <c r="BL23" i="1" s="1"/>
  <c r="BY17" i="1"/>
  <c r="BY23" i="1" s="1"/>
  <c r="BL206" i="1"/>
  <c r="CF17" i="1"/>
  <c r="AA65" i="1" s="1"/>
  <c r="CF264" i="1"/>
  <c r="JL21" i="4"/>
  <c r="CF84" i="1" s="1"/>
  <c r="CF118" i="1" s="1"/>
  <c r="CF114" i="1" s="1"/>
  <c r="Y222" i="1"/>
  <c r="Y223" i="1" s="1"/>
  <c r="CF105" i="1"/>
  <c r="CF106" i="1" s="1"/>
  <c r="CB33" i="1"/>
  <c r="CE243" i="1"/>
  <c r="CC265" i="1"/>
  <c r="CA33" i="1"/>
  <c r="CE264" i="1"/>
  <c r="CC264" i="1"/>
  <c r="JM7" i="4"/>
  <c r="CA265" i="1"/>
  <c r="JJ8" i="4"/>
  <c r="Z222" i="1"/>
  <c r="Z223" i="1" s="1"/>
  <c r="CF33" i="1"/>
  <c r="BZ264" i="1"/>
  <c r="BZ17" i="1"/>
  <c r="CA206" i="1"/>
  <c r="CD265" i="1"/>
  <c r="CB105" i="1"/>
  <c r="CB106" i="1" s="1"/>
  <c r="JK21" i="4"/>
  <c r="CE84" i="1" s="1"/>
  <c r="CE118" i="1" s="1"/>
  <c r="CE114" i="1" s="1"/>
  <c r="JK15" i="4"/>
  <c r="CD264" i="1"/>
  <c r="JL14" i="4"/>
  <c r="CC33" i="1"/>
  <c r="BY33" i="1"/>
  <c r="CI105" i="1"/>
  <c r="CI106" i="1" s="1"/>
  <c r="CI109" i="1" s="1"/>
  <c r="CF243" i="1"/>
  <c r="BY265" i="1"/>
  <c r="JL8" i="4"/>
  <c r="CE33" i="1"/>
  <c r="BL264" i="1"/>
  <c r="CE105" i="1"/>
  <c r="CE106" i="1" s="1"/>
  <c r="CD17" i="1"/>
  <c r="CD23" i="1" s="1"/>
  <c r="CH25" i="1" s="1"/>
  <c r="CC17" i="1"/>
  <c r="CD206" i="1"/>
  <c r="CE17" i="1"/>
  <c r="CG105" i="1"/>
  <c r="CG106" i="1" s="1"/>
  <c r="CD105" i="1"/>
  <c r="CD106" i="1" s="1"/>
  <c r="CB17" i="1"/>
  <c r="CB23" i="1" s="1"/>
  <c r="CB264" i="1"/>
  <c r="CC105" i="1"/>
  <c r="CC106" i="1" s="1"/>
  <c r="JJ15" i="4"/>
  <c r="CB265" i="1"/>
  <c r="BY264" i="1"/>
  <c r="CD33" i="1"/>
  <c r="JM8" i="4"/>
  <c r="JL7" i="4"/>
  <c r="CF265" i="1"/>
  <c r="JJ7" i="4"/>
  <c r="JK8" i="4"/>
  <c r="JM21" i="4"/>
  <c r="CG84" i="1" s="1"/>
  <c r="CG118" i="1" s="1"/>
  <c r="CG114" i="1" s="1"/>
  <c r="BZ265" i="1"/>
  <c r="CE265" i="1"/>
  <c r="JK7" i="4"/>
  <c r="BL33" i="1"/>
  <c r="JL15" i="4"/>
  <c r="BZ33" i="1"/>
  <c r="JM14" i="4"/>
  <c r="JM15" i="4"/>
  <c r="JJ14" i="4"/>
  <c r="CQ47" i="1"/>
  <c r="CR47" i="1" s="1"/>
  <c r="CI101" i="1"/>
  <c r="CI103" i="1"/>
  <c r="CI102" i="1"/>
  <c r="CR24" i="1"/>
  <c r="CS24" i="1" s="1"/>
  <c r="CV34" i="1"/>
  <c r="CS192" i="1"/>
  <c r="CS195" i="1"/>
  <c r="CS191" i="1"/>
  <c r="CT136" i="1"/>
  <c r="AD53" i="1"/>
  <c r="CZ53" i="1"/>
  <c r="DA53" i="1" s="1"/>
  <c r="DB53" i="1" s="1"/>
  <c r="AE42" i="1"/>
  <c r="U15" i="1"/>
  <c r="V15" i="1"/>
  <c r="W15" i="1"/>
  <c r="CJ92" i="1" l="1"/>
  <c r="CJ93" i="1"/>
  <c r="CJ94" i="1"/>
  <c r="CK92" i="1"/>
  <c r="CL92" i="1"/>
  <c r="BZ6" i="1"/>
  <c r="BZ11" i="1"/>
  <c r="CL94" i="1"/>
  <c r="Y7" i="1"/>
  <c r="Y11" i="1" s="1"/>
  <c r="CA11" i="1"/>
  <c r="CA6" i="1"/>
  <c r="CD6" i="1"/>
  <c r="CH10" i="1" s="1"/>
  <c r="CD11" i="1"/>
  <c r="CP8" i="1"/>
  <c r="CP15" i="1"/>
  <c r="CB11" i="1"/>
  <c r="CB6" i="1"/>
  <c r="CF10" i="1" s="1"/>
  <c r="CI10" i="1"/>
  <c r="Z6" i="1"/>
  <c r="CX11" i="1"/>
  <c r="CC6" i="1"/>
  <c r="CG10" i="1" s="1"/>
  <c r="CC11" i="1"/>
  <c r="AD143" i="1"/>
  <c r="CY143" i="1"/>
  <c r="CZ143" i="1" s="1"/>
  <c r="DA143" i="1" s="1"/>
  <c r="DB143" i="1" s="1"/>
  <c r="AE143" i="1" s="1"/>
  <c r="CR214" i="1"/>
  <c r="CS152" i="1"/>
  <c r="CR196" i="1"/>
  <c r="CQ197" i="1"/>
  <c r="CP194" i="1"/>
  <c r="CP198" i="1" s="1"/>
  <c r="CQ193" i="1"/>
  <c r="CS137" i="1"/>
  <c r="CR140" i="1"/>
  <c r="CR261" i="1" s="1"/>
  <c r="CQ218" i="1"/>
  <c r="BZ173" i="1"/>
  <c r="BL173" i="1"/>
  <c r="CB214" i="1"/>
  <c r="CA129" i="1"/>
  <c r="BZ132" i="1"/>
  <c r="BZ99" i="1" s="1"/>
  <c r="BL132" i="1"/>
  <c r="BL99" i="1" s="1"/>
  <c r="CB173" i="1"/>
  <c r="CC221" i="1" s="1"/>
  <c r="CG136" i="1"/>
  <c r="CG140" i="1" s="1"/>
  <c r="CF140" i="1"/>
  <c r="CD146" i="1"/>
  <c r="CE40" i="1" s="1"/>
  <c r="CC152" i="1"/>
  <c r="CD214" i="1" s="1"/>
  <c r="CE129" i="1"/>
  <c r="CD132" i="1"/>
  <c r="CD99" i="1" s="1"/>
  <c r="CD101" i="1" s="1"/>
  <c r="BM152" i="1"/>
  <c r="BM214" i="1" s="1"/>
  <c r="CD173" i="1"/>
  <c r="CF214" i="1"/>
  <c r="CE140" i="1"/>
  <c r="BM137" i="1"/>
  <c r="BM140" i="1" s="1"/>
  <c r="BL140" i="1"/>
  <c r="CG152" i="1"/>
  <c r="CG161" i="1"/>
  <c r="CG168" i="1" s="1"/>
  <c r="CF168" i="1"/>
  <c r="CF197" i="1" s="1"/>
  <c r="CF196" i="1" s="1"/>
  <c r="CG129" i="1"/>
  <c r="CG132" i="1" s="1"/>
  <c r="CF132" i="1"/>
  <c r="CF99" i="1" s="1"/>
  <c r="CF101" i="1" s="1"/>
  <c r="CA161" i="1"/>
  <c r="BZ168" i="1"/>
  <c r="BZ197" i="1" s="1"/>
  <c r="BZ196" i="1" s="1"/>
  <c r="BZ146" i="1"/>
  <c r="BZ150" i="1" s="1"/>
  <c r="CA140" i="1"/>
  <c r="CB146" i="1"/>
  <c r="CF173" i="1"/>
  <c r="BL146" i="1"/>
  <c r="CF146" i="1"/>
  <c r="CF150" i="1" s="1"/>
  <c r="CC140" i="1"/>
  <c r="CB140" i="1"/>
  <c r="CE214" i="1"/>
  <c r="BZ140" i="1"/>
  <c r="CB168" i="1"/>
  <c r="CB197" i="1" s="1"/>
  <c r="CB196" i="1" s="1"/>
  <c r="BL168" i="1"/>
  <c r="BL197" i="1" s="1"/>
  <c r="BL196" i="1" s="1"/>
  <c r="CD168" i="1"/>
  <c r="CD197" i="1" s="1"/>
  <c r="CD196" i="1" s="1"/>
  <c r="CB132" i="1"/>
  <c r="CD140" i="1"/>
  <c r="CH109" i="1"/>
  <c r="CH110" i="1"/>
  <c r="CH111" i="1"/>
  <c r="BM155" i="1"/>
  <c r="BL160" i="1"/>
  <c r="CE155" i="1"/>
  <c r="CD160" i="1"/>
  <c r="CC155" i="1"/>
  <c r="CB160" i="1"/>
  <c r="CG155" i="1"/>
  <c r="CG160" i="1" s="1"/>
  <c r="CG194" i="1" s="1"/>
  <c r="CG193" i="1" s="1"/>
  <c r="CF160" i="1"/>
  <c r="CA155" i="1"/>
  <c r="BZ160" i="1"/>
  <c r="CD109" i="1"/>
  <c r="CA34" i="1"/>
  <c r="CA19" i="1"/>
  <c r="JK19" i="4"/>
  <c r="CE85" i="1" s="1"/>
  <c r="BL34" i="1"/>
  <c r="CC18" i="1"/>
  <c r="CC34" i="1"/>
  <c r="CI237" i="1"/>
  <c r="CF23" i="1"/>
  <c r="CG19" i="1"/>
  <c r="CJ18" i="1"/>
  <c r="BY34" i="1"/>
  <c r="JL20" i="4"/>
  <c r="CF86" i="1" s="1"/>
  <c r="CF111" i="1" s="1"/>
  <c r="BZ23" i="1"/>
  <c r="CD25" i="1" s="1"/>
  <c r="CF34" i="1"/>
  <c r="Y65" i="1"/>
  <c r="JJ19" i="4"/>
  <c r="CD85" i="1" s="1"/>
  <c r="CD119" i="1" s="1"/>
  <c r="CD115" i="1" s="1"/>
  <c r="JM20" i="4"/>
  <c r="CG86" i="1" s="1"/>
  <c r="CD34" i="1"/>
  <c r="JM19" i="4"/>
  <c r="CG85" i="1" s="1"/>
  <c r="CE165" i="1"/>
  <c r="CE168" i="1" s="1"/>
  <c r="CE197" i="1" s="1"/>
  <c r="CE196" i="1" s="1"/>
  <c r="CF109" i="1"/>
  <c r="JJ20" i="4"/>
  <c r="CD86" i="1" s="1"/>
  <c r="CD120" i="1" s="1"/>
  <c r="CD116" i="1" s="1"/>
  <c r="JL19" i="4"/>
  <c r="CF85" i="1" s="1"/>
  <c r="JK20" i="4"/>
  <c r="CE86" i="1" s="1"/>
  <c r="CE120" i="1" s="1"/>
  <c r="CE116" i="1" s="1"/>
  <c r="CA35" i="1"/>
  <c r="CA244" i="1" s="1"/>
  <c r="CA245" i="1" s="1"/>
  <c r="CD200" i="1"/>
  <c r="CD18" i="1"/>
  <c r="BZ19" i="1"/>
  <c r="CD237" i="1"/>
  <c r="BZ34" i="1"/>
  <c r="CE156" i="1"/>
  <c r="CE200" i="1"/>
  <c r="CG200" i="1"/>
  <c r="CF18" i="1"/>
  <c r="CH237" i="1"/>
  <c r="CJ200" i="1"/>
  <c r="CE34" i="1"/>
  <c r="CC23" i="1"/>
  <c r="CC26" i="1" s="1"/>
  <c r="CF237" i="1"/>
  <c r="CB19" i="1"/>
  <c r="CH256" i="1"/>
  <c r="Z65" i="1"/>
  <c r="CE18" i="1"/>
  <c r="CG109" i="1"/>
  <c r="CE109" i="1"/>
  <c r="CG237" i="1"/>
  <c r="CF19" i="1"/>
  <c r="CF200" i="1"/>
  <c r="CE237" i="1"/>
  <c r="CC19" i="1"/>
  <c r="CC237" i="1"/>
  <c r="CE157" i="1"/>
  <c r="CB34" i="1"/>
  <c r="CB24" i="1"/>
  <c r="CB35" i="1"/>
  <c r="CB26" i="1"/>
  <c r="CD35" i="1"/>
  <c r="CH37" i="1" s="1"/>
  <c r="CD19" i="1"/>
  <c r="CH18" i="1"/>
  <c r="CI200" i="1"/>
  <c r="CI110" i="1"/>
  <c r="CE23" i="1"/>
  <c r="CE26" i="1" s="1"/>
  <c r="CI18" i="1"/>
  <c r="CD24" i="1"/>
  <c r="CI111" i="1"/>
  <c r="CG18" i="1"/>
  <c r="CE19" i="1"/>
  <c r="CH200" i="1"/>
  <c r="CA214" i="1"/>
  <c r="BL24" i="1"/>
  <c r="BL35" i="1"/>
  <c r="BY24" i="1"/>
  <c r="BY35" i="1"/>
  <c r="CS47" i="1"/>
  <c r="CT24" i="1"/>
  <c r="CU24" i="1" s="1"/>
  <c r="CW34" i="1"/>
  <c r="CX34" i="1" s="1"/>
  <c r="CT191" i="1"/>
  <c r="CT195" i="1"/>
  <c r="CU136" i="1"/>
  <c r="CT192" i="1"/>
  <c r="AE53" i="1"/>
  <c r="V243" i="1"/>
  <c r="W243" i="1"/>
  <c r="U243" i="1"/>
  <c r="CF35" i="1" l="1"/>
  <c r="AA67" i="1" s="1"/>
  <c r="AA66" i="1"/>
  <c r="CD10" i="1"/>
  <c r="CY11" i="1"/>
  <c r="CC10" i="1"/>
  <c r="CC214" i="1"/>
  <c r="CE10" i="1"/>
  <c r="Y6" i="1"/>
  <c r="CQ5" i="1"/>
  <c r="CQ7" i="1" s="1"/>
  <c r="CP9" i="1"/>
  <c r="AB8" i="1"/>
  <c r="Z10" i="1"/>
  <c r="AA10" i="1"/>
  <c r="CZ11" i="1"/>
  <c r="DA11" i="1" s="1"/>
  <c r="CS214" i="1"/>
  <c r="CT152" i="1"/>
  <c r="CS196" i="1"/>
  <c r="CR197" i="1"/>
  <c r="CG261" i="1"/>
  <c r="CQ194" i="1"/>
  <c r="CQ198" i="1" s="1"/>
  <c r="CR193" i="1"/>
  <c r="CH214" i="1"/>
  <c r="CG214" i="1"/>
  <c r="CA221" i="1"/>
  <c r="BZ260" i="1"/>
  <c r="CT137" i="1"/>
  <c r="CS140" i="1"/>
  <c r="CS261" i="1" s="1"/>
  <c r="CD218" i="1"/>
  <c r="CF261" i="1"/>
  <c r="BM221" i="1"/>
  <c r="BL260" i="1"/>
  <c r="CF218" i="1"/>
  <c r="CF141" i="1"/>
  <c r="CR218" i="1"/>
  <c r="BL141" i="1"/>
  <c r="BL180" i="1"/>
  <c r="BL121" i="1" s="1"/>
  <c r="CA40" i="1"/>
  <c r="CA146" i="1"/>
  <c r="CB150" i="1"/>
  <c r="CC40" i="1"/>
  <c r="CC146" i="1"/>
  <c r="BZ180" i="1"/>
  <c r="BZ141" i="1"/>
  <c r="CF102" i="1"/>
  <c r="CD150" i="1"/>
  <c r="CE146" i="1"/>
  <c r="CE221" i="1"/>
  <c r="CD260" i="1"/>
  <c r="CA261" i="1"/>
  <c r="CA218" i="1"/>
  <c r="BM218" i="1"/>
  <c r="BM261" i="1"/>
  <c r="CH219" i="1"/>
  <c r="CG99" i="1"/>
  <c r="CG102" i="1" s="1"/>
  <c r="CG219" i="1"/>
  <c r="CG221" i="1"/>
  <c r="CF180" i="1"/>
  <c r="CF260" i="1"/>
  <c r="BM146" i="1"/>
  <c r="BM150" i="1" s="1"/>
  <c r="BL150" i="1"/>
  <c r="BL258" i="1" s="1"/>
  <c r="CG40" i="1"/>
  <c r="CG146" i="1"/>
  <c r="CH261" i="1"/>
  <c r="CH263" i="1" s="1"/>
  <c r="CH218" i="1"/>
  <c r="CG141" i="1"/>
  <c r="CG218" i="1"/>
  <c r="CB261" i="1"/>
  <c r="CB141" i="1"/>
  <c r="CB180" i="1"/>
  <c r="CB218" i="1"/>
  <c r="CB99" i="1"/>
  <c r="CB260" i="1"/>
  <c r="CC261" i="1"/>
  <c r="CC218" i="1"/>
  <c r="CE218" i="1"/>
  <c r="CD261" i="1"/>
  <c r="CD141" i="1"/>
  <c r="CD180" i="1"/>
  <c r="CE261" i="1"/>
  <c r="BL194" i="1"/>
  <c r="BL169" i="1"/>
  <c r="CD194" i="1"/>
  <c r="CD169" i="1"/>
  <c r="CB194" i="1"/>
  <c r="CB169" i="1"/>
  <c r="CF194" i="1"/>
  <c r="CF169" i="1"/>
  <c r="CF177" i="1" s="1"/>
  <c r="BZ194" i="1"/>
  <c r="BZ169" i="1"/>
  <c r="BZ177" i="1" s="1"/>
  <c r="CE110" i="1"/>
  <c r="CE119" i="1"/>
  <c r="CE115" i="1" s="1"/>
  <c r="BZ26" i="1"/>
  <c r="BZ35" i="1"/>
  <c r="BZ24" i="1"/>
  <c r="CA26" i="1"/>
  <c r="CG197" i="1"/>
  <c r="CH209" i="1"/>
  <c r="CG209" i="1"/>
  <c r="CJ25" i="1"/>
  <c r="CF24" i="1"/>
  <c r="CG26" i="1"/>
  <c r="CF25" i="1"/>
  <c r="BZ258" i="1"/>
  <c r="CF258" i="1"/>
  <c r="CF256" i="1"/>
  <c r="CF120" i="1"/>
  <c r="CF116" i="1" s="1"/>
  <c r="CF103" i="1"/>
  <c r="CG120" i="1"/>
  <c r="CG116" i="1" s="1"/>
  <c r="CG111" i="1"/>
  <c r="CG119" i="1"/>
  <c r="CG115" i="1" s="1"/>
  <c r="CG110" i="1"/>
  <c r="CF119" i="1"/>
  <c r="CF115" i="1" s="1"/>
  <c r="CF110" i="1"/>
  <c r="CG38" i="1"/>
  <c r="CI124" i="1"/>
  <c r="CG25" i="1"/>
  <c r="CC24" i="1"/>
  <c r="Y66" i="1"/>
  <c r="CC35" i="1"/>
  <c r="CC41" i="1" s="1"/>
  <c r="CC45" i="1" s="1"/>
  <c r="CD26" i="1"/>
  <c r="CC25" i="1"/>
  <c r="CD103" i="1"/>
  <c r="CD110" i="1"/>
  <c r="CE160" i="1"/>
  <c r="CD102" i="1"/>
  <c r="CE209" i="1"/>
  <c r="CG208" i="1"/>
  <c r="CD111" i="1"/>
  <c r="CF209" i="1"/>
  <c r="CA41" i="1"/>
  <c r="CA45" i="1" s="1"/>
  <c r="CA48" i="1" s="1"/>
  <c r="CA55" i="1" s="1"/>
  <c r="CA205" i="1" s="1"/>
  <c r="CA207" i="1" s="1"/>
  <c r="CI238" i="1"/>
  <c r="CA36" i="1"/>
  <c r="CG262" i="1"/>
  <c r="CE111" i="1"/>
  <c r="CF36" i="1"/>
  <c r="CF244" i="1"/>
  <c r="CF245" i="1" s="1"/>
  <c r="CJ37" i="1"/>
  <c r="CF41" i="1"/>
  <c r="CG169" i="1"/>
  <c r="CH208" i="1"/>
  <c r="CD36" i="1"/>
  <c r="CB36" i="1"/>
  <c r="CB244" i="1"/>
  <c r="CB245" i="1" s="1"/>
  <c r="CB41" i="1"/>
  <c r="CB45" i="1" s="1"/>
  <c r="CB38" i="1"/>
  <c r="CB262" i="1"/>
  <c r="CF37" i="1"/>
  <c r="CD244" i="1"/>
  <c r="CD245" i="1" s="1"/>
  <c r="CD41" i="1"/>
  <c r="CD45" i="1" s="1"/>
  <c r="CD48" i="1" s="1"/>
  <c r="CD246" i="1" s="1"/>
  <c r="CF26" i="1"/>
  <c r="CE25" i="1"/>
  <c r="CI25" i="1"/>
  <c r="Z66" i="1"/>
  <c r="CE35" i="1"/>
  <c r="CG238" i="1" s="1"/>
  <c r="CE24" i="1"/>
  <c r="BY41" i="1"/>
  <c r="BY45" i="1" s="1"/>
  <c r="BY36" i="1"/>
  <c r="BL41" i="1"/>
  <c r="BL45" i="1" s="1"/>
  <c r="BL36" i="1"/>
  <c r="CT47" i="1"/>
  <c r="CV24" i="1"/>
  <c r="CY34" i="1"/>
  <c r="CZ34" i="1" s="1"/>
  <c r="CU191" i="1"/>
  <c r="CV136" i="1"/>
  <c r="CU192" i="1"/>
  <c r="CU195" i="1"/>
  <c r="AB162" i="1"/>
  <c r="A1" i="1"/>
  <c r="DB11" i="1" l="1"/>
  <c r="AC5" i="1"/>
  <c r="AB9" i="1"/>
  <c r="CQ8" i="1"/>
  <c r="CQ15" i="1"/>
  <c r="CT214" i="1"/>
  <c r="CU152" i="1"/>
  <c r="CT196" i="1"/>
  <c r="CS197" i="1"/>
  <c r="CG263" i="1"/>
  <c r="CF178" i="1"/>
  <c r="CR194" i="1"/>
  <c r="CR198" i="1" s="1"/>
  <c r="CS193" i="1"/>
  <c r="CA150" i="1"/>
  <c r="CB40" i="1"/>
  <c r="CB177" i="1"/>
  <c r="CB178" i="1" s="1"/>
  <c r="CD177" i="1"/>
  <c r="CD178" i="1" s="1"/>
  <c r="CU137" i="1"/>
  <c r="CT140" i="1"/>
  <c r="CT261" i="1" s="1"/>
  <c r="CB258" i="1"/>
  <c r="CB256" i="1"/>
  <c r="CE150" i="1"/>
  <c r="CF40" i="1"/>
  <c r="CS218" i="1"/>
  <c r="CB263" i="1"/>
  <c r="CG217" i="1"/>
  <c r="BZ178" i="1"/>
  <c r="CD40" i="1"/>
  <c r="CC150" i="1"/>
  <c r="BZ121" i="1"/>
  <c r="CA44" i="1"/>
  <c r="CD256" i="1"/>
  <c r="CD258" i="1"/>
  <c r="CH217" i="1"/>
  <c r="CG101" i="1"/>
  <c r="CG103" i="1"/>
  <c r="CF121" i="1"/>
  <c r="CG44" i="1"/>
  <c r="CH40" i="1"/>
  <c r="CG150" i="1"/>
  <c r="CB121" i="1"/>
  <c r="CC44" i="1"/>
  <c r="CD121" i="1"/>
  <c r="CE44" i="1"/>
  <c r="CF193" i="1"/>
  <c r="CF198" i="1"/>
  <c r="CJ201" i="1" s="1"/>
  <c r="BL198" i="1"/>
  <c r="BL193" i="1"/>
  <c r="CD198" i="1"/>
  <c r="CD193" i="1"/>
  <c r="CB198" i="1"/>
  <c r="CB193" i="1"/>
  <c r="BZ193" i="1"/>
  <c r="BZ198" i="1"/>
  <c r="CG210" i="1"/>
  <c r="CG211" i="1" s="1"/>
  <c r="BZ36" i="1"/>
  <c r="BZ41" i="1"/>
  <c r="CA262" i="1"/>
  <c r="CA263" i="1" s="1"/>
  <c r="CA38" i="1"/>
  <c r="BZ244" i="1"/>
  <c r="BZ245" i="1" s="1"/>
  <c r="CD37" i="1"/>
  <c r="BZ38" i="1"/>
  <c r="BZ262" i="1"/>
  <c r="CB124" i="1"/>
  <c r="CH210" i="1"/>
  <c r="CH211" i="1" s="1"/>
  <c r="CD124" i="1"/>
  <c r="CC262" i="1"/>
  <c r="CC263" i="1" s="1"/>
  <c r="CE208" i="1"/>
  <c r="CE210" i="1" s="1"/>
  <c r="CE169" i="1"/>
  <c r="CG196" i="1"/>
  <c r="CG198" i="1"/>
  <c r="CC244" i="1"/>
  <c r="CC245" i="1" s="1"/>
  <c r="CG37" i="1"/>
  <c r="Y67" i="1"/>
  <c r="CC36" i="1"/>
  <c r="CC238" i="1"/>
  <c r="CD262" i="1"/>
  <c r="CD263" i="1" s="1"/>
  <c r="CC124" i="1"/>
  <c r="CD238" i="1"/>
  <c r="CC38" i="1"/>
  <c r="CD38" i="1"/>
  <c r="CC37" i="1"/>
  <c r="CC48" i="1"/>
  <c r="CC47" i="1"/>
  <c r="CF45" i="1"/>
  <c r="CI62" i="1"/>
  <c r="CE194" i="1"/>
  <c r="CF208" i="1"/>
  <c r="CF210" i="1" s="1"/>
  <c r="CA47" i="1"/>
  <c r="CA73" i="1"/>
  <c r="CA131" i="1"/>
  <c r="CA132" i="1" s="1"/>
  <c r="CA99" i="1" s="1"/>
  <c r="CH50" i="1"/>
  <c r="CD47" i="1"/>
  <c r="CA59" i="1"/>
  <c r="CA246" i="1"/>
  <c r="CA49" i="1"/>
  <c r="CA257" i="1" s="1"/>
  <c r="CD49" i="1"/>
  <c r="CD257" i="1" s="1"/>
  <c r="CF124" i="1"/>
  <c r="CD62" i="1"/>
  <c r="CD55" i="1"/>
  <c r="CD59" i="1" s="1"/>
  <c r="CE38" i="1"/>
  <c r="CE124" i="1"/>
  <c r="CE238" i="1"/>
  <c r="CB47" i="1"/>
  <c r="CB48" i="1"/>
  <c r="CE262" i="1"/>
  <c r="CE263" i="1" s="1"/>
  <c r="CF262" i="1"/>
  <c r="CF263" i="1" s="1"/>
  <c r="CE244" i="1"/>
  <c r="CE245" i="1" s="1"/>
  <c r="Z67" i="1"/>
  <c r="CE37" i="1"/>
  <c r="CH124" i="1"/>
  <c r="CE36" i="1"/>
  <c r="CG124" i="1"/>
  <c r="CE41" i="1"/>
  <c r="CH238" i="1"/>
  <c r="CF38" i="1"/>
  <c r="CI37" i="1"/>
  <c r="CF238" i="1"/>
  <c r="BL48" i="1"/>
  <c r="BL47" i="1"/>
  <c r="BY47" i="1"/>
  <c r="BY48" i="1"/>
  <c r="CU47" i="1"/>
  <c r="CV47" i="1" s="1"/>
  <c r="DA34" i="1"/>
  <c r="DB34" i="1" s="1"/>
  <c r="CW24" i="1"/>
  <c r="CX24" i="1" s="1"/>
  <c r="CW136" i="1"/>
  <c r="CV191" i="1"/>
  <c r="CV195" i="1"/>
  <c r="CV192" i="1"/>
  <c r="AC162" i="1"/>
  <c r="CR5" i="1" l="1"/>
  <c r="CR7" i="1" s="1"/>
  <c r="CQ9" i="1"/>
  <c r="CV152" i="1"/>
  <c r="CU214" i="1"/>
  <c r="CT197" i="1"/>
  <c r="CU196" i="1"/>
  <c r="CD123" i="1"/>
  <c r="CD126" i="1" s="1"/>
  <c r="CD122" i="1"/>
  <c r="CD125" i="1" s="1"/>
  <c r="CS194" i="1"/>
  <c r="CS198" i="1" s="1"/>
  <c r="CT193" i="1"/>
  <c r="CA215" i="1"/>
  <c r="CA213" i="1" s="1"/>
  <c r="CB215" i="1"/>
  <c r="CB213" i="1" s="1"/>
  <c r="CE215" i="1"/>
  <c r="CE213" i="1" s="1"/>
  <c r="CF215" i="1"/>
  <c r="CF213" i="1" s="1"/>
  <c r="CH215" i="1"/>
  <c r="CH213" i="1" s="1"/>
  <c r="CH225" i="1" s="1"/>
  <c r="CG215" i="1"/>
  <c r="CG213" i="1" s="1"/>
  <c r="CG225" i="1" s="1"/>
  <c r="CV137" i="1"/>
  <c r="CU140" i="1"/>
  <c r="CU261" i="1" s="1"/>
  <c r="CT218" i="1"/>
  <c r="CD215" i="1"/>
  <c r="CD213" i="1" s="1"/>
  <c r="CC215" i="1"/>
  <c r="CC213" i="1" s="1"/>
  <c r="CF201" i="1"/>
  <c r="CF122" i="1"/>
  <c r="CF125" i="1" s="1"/>
  <c r="CF123" i="1"/>
  <c r="CF126" i="1" s="1"/>
  <c r="CD201" i="1"/>
  <c r="CH201" i="1"/>
  <c r="BZ45" i="1"/>
  <c r="CB62" i="1"/>
  <c r="CD239" i="1"/>
  <c r="CF48" i="1"/>
  <c r="CF47" i="1"/>
  <c r="CC50" i="1"/>
  <c r="CG50" i="1"/>
  <c r="CC246" i="1"/>
  <c r="CC55" i="1"/>
  <c r="CC49" i="1"/>
  <c r="CC257" i="1" s="1"/>
  <c r="CD51" i="1"/>
  <c r="CE193" i="1"/>
  <c r="CE198" i="1"/>
  <c r="CA219" i="1"/>
  <c r="CA217" i="1" s="1"/>
  <c r="CA141" i="1"/>
  <c r="CC51" i="1"/>
  <c r="CD205" i="1"/>
  <c r="CD207" i="1" s="1"/>
  <c r="Y68" i="1"/>
  <c r="CD73" i="1"/>
  <c r="CH125" i="1"/>
  <c r="CH126" i="1"/>
  <c r="CF62" i="1"/>
  <c r="CH62" i="1"/>
  <c r="CG62" i="1"/>
  <c r="CE45" i="1"/>
  <c r="CB55" i="1"/>
  <c r="CB51" i="1"/>
  <c r="CB246" i="1"/>
  <c r="CB49" i="1"/>
  <c r="CB257" i="1" s="1"/>
  <c r="BL55" i="1"/>
  <c r="BL49" i="1"/>
  <c r="BL257" i="1" s="1"/>
  <c r="CM71" i="1"/>
  <c r="CN71" i="1" s="1"/>
  <c r="CO71" i="1" s="1"/>
  <c r="CP71" i="1" s="1"/>
  <c r="CQ71" i="1" s="1"/>
  <c r="CR71" i="1" s="1"/>
  <c r="CS71" i="1" s="1"/>
  <c r="CT71" i="1" s="1"/>
  <c r="CU71" i="1" s="1"/>
  <c r="CV71" i="1" s="1"/>
  <c r="CW71" i="1" s="1"/>
  <c r="CX71" i="1" s="1"/>
  <c r="CY71" i="1" s="1"/>
  <c r="CZ71" i="1" s="1"/>
  <c r="DA71" i="1" s="1"/>
  <c r="DB71" i="1" s="1"/>
  <c r="BY49" i="1"/>
  <c r="BY257" i="1" s="1"/>
  <c r="BY55" i="1"/>
  <c r="CW47" i="1"/>
  <c r="CX47" i="1" s="1"/>
  <c r="CY24" i="1"/>
  <c r="CZ24" i="1" s="1"/>
  <c r="CX136" i="1"/>
  <c r="CW192" i="1"/>
  <c r="CW191" i="1"/>
  <c r="CW195" i="1"/>
  <c r="AE162" i="1"/>
  <c r="AD162" i="1"/>
  <c r="CF246" i="1" l="1"/>
  <c r="AA68" i="1"/>
  <c r="CR8" i="1"/>
  <c r="CR15" i="1"/>
  <c r="CW152" i="1"/>
  <c r="CV214" i="1"/>
  <c r="CG222" i="1"/>
  <c r="CG172" i="1" s="1"/>
  <c r="CG173" i="1" s="1"/>
  <c r="CG223" i="1" s="1"/>
  <c r="CV196" i="1"/>
  <c r="CU197" i="1"/>
  <c r="CT194" i="1"/>
  <c r="CT198" i="1" s="1"/>
  <c r="CU193" i="1"/>
  <c r="CW137" i="1"/>
  <c r="CV140" i="1"/>
  <c r="CV261" i="1" s="1"/>
  <c r="CU218" i="1"/>
  <c r="CF50" i="1"/>
  <c r="CF49" i="1"/>
  <c r="CF257" i="1" s="1"/>
  <c r="BZ48" i="1"/>
  <c r="BZ47" i="1"/>
  <c r="CJ50" i="1"/>
  <c r="CG51" i="1"/>
  <c r="CI239" i="1"/>
  <c r="CF55" i="1"/>
  <c r="CD61" i="1"/>
  <c r="CC59" i="1"/>
  <c r="CC131" i="1"/>
  <c r="CC132" i="1" s="1"/>
  <c r="CC73" i="1"/>
  <c r="CC205" i="1"/>
  <c r="CC207" i="1" s="1"/>
  <c r="CB73" i="1"/>
  <c r="CB59" i="1"/>
  <c r="CB205" i="1"/>
  <c r="CB207" i="1" s="1"/>
  <c r="CB219" i="1"/>
  <c r="CB217" i="1" s="1"/>
  <c r="CE48" i="1"/>
  <c r="CE47" i="1"/>
  <c r="BY205" i="1"/>
  <c r="BY207" i="1" s="1"/>
  <c r="BY59" i="1"/>
  <c r="BY73" i="1"/>
  <c r="BL205" i="1"/>
  <c r="BL207" i="1" s="1"/>
  <c r="BL73" i="1"/>
  <c r="BL59" i="1"/>
  <c r="CY47" i="1"/>
  <c r="CZ47" i="1" s="1"/>
  <c r="DA24" i="1"/>
  <c r="DB24" i="1" s="1"/>
  <c r="CX195" i="1"/>
  <c r="CX192" i="1"/>
  <c r="CX191" i="1"/>
  <c r="CY136" i="1"/>
  <c r="AB138" i="1"/>
  <c r="AB148" i="1"/>
  <c r="AB147" i="1"/>
  <c r="AB139" i="1"/>
  <c r="AB134" i="1"/>
  <c r="AB163" i="1"/>
  <c r="AB155" i="1"/>
  <c r="AB130" i="1"/>
  <c r="CS5" i="1" l="1"/>
  <c r="CS7" i="1" s="1"/>
  <c r="CR9" i="1"/>
  <c r="CX152" i="1"/>
  <c r="CW214" i="1"/>
  <c r="CV197" i="1"/>
  <c r="CW196" i="1"/>
  <c r="CU194" i="1"/>
  <c r="CU198" i="1" s="1"/>
  <c r="CV193" i="1"/>
  <c r="CX137" i="1"/>
  <c r="CW140" i="1"/>
  <c r="CW261" i="1" s="1"/>
  <c r="CV218" i="1"/>
  <c r="CD76" i="1"/>
  <c r="CD93" i="1" s="1"/>
  <c r="BZ49" i="1"/>
  <c r="BZ257" i="1" s="1"/>
  <c r="BZ51" i="1"/>
  <c r="CC239" i="1"/>
  <c r="BZ55" i="1"/>
  <c r="CC61" i="1" s="1"/>
  <c r="BZ246" i="1"/>
  <c r="CD50" i="1"/>
  <c r="CA51" i="1"/>
  <c r="CG260" i="1"/>
  <c r="CH221" i="1"/>
  <c r="CH222" i="1" s="1"/>
  <c r="CH223" i="1" s="1"/>
  <c r="CG256" i="1"/>
  <c r="CG258" i="1"/>
  <c r="CG177" i="1"/>
  <c r="CG178" i="1" s="1"/>
  <c r="CG180" i="1"/>
  <c r="CF205" i="1"/>
  <c r="CF207" i="1" s="1"/>
  <c r="CF211" i="1" s="1"/>
  <c r="CF225" i="1" s="1"/>
  <c r="CF59" i="1"/>
  <c r="CF73" i="1"/>
  <c r="CI76" i="1" s="1"/>
  <c r="CI61" i="1"/>
  <c r="CC99" i="1"/>
  <c r="CC141" i="1"/>
  <c r="CC62" i="1" s="1"/>
  <c r="CC219" i="1"/>
  <c r="CC217" i="1" s="1"/>
  <c r="CD219" i="1"/>
  <c r="CD217" i="1" s="1"/>
  <c r="CG239" i="1"/>
  <c r="CI50" i="1"/>
  <c r="CH239" i="1"/>
  <c r="CE51" i="1"/>
  <c r="CE49" i="1"/>
  <c r="CE257" i="1" s="1"/>
  <c r="CE50" i="1"/>
  <c r="CF51" i="1"/>
  <c r="CE55" i="1"/>
  <c r="CF239" i="1"/>
  <c r="CE239" i="1"/>
  <c r="Z68" i="1"/>
  <c r="CE246" i="1"/>
  <c r="DA47" i="1"/>
  <c r="DB47" i="1" s="1"/>
  <c r="CY192" i="1"/>
  <c r="CZ136" i="1"/>
  <c r="CY191" i="1"/>
  <c r="CY195" i="1"/>
  <c r="AC148" i="1"/>
  <c r="AC138" i="1"/>
  <c r="AB176" i="1"/>
  <c r="AC134" i="1"/>
  <c r="AC163" i="1"/>
  <c r="AB159" i="1"/>
  <c r="AB166" i="1"/>
  <c r="AC155" i="1"/>
  <c r="AC139" i="1"/>
  <c r="AB167" i="1"/>
  <c r="AC130" i="1"/>
  <c r="AC147" i="1"/>
  <c r="CX214" i="1" l="1"/>
  <c r="CY152" i="1"/>
  <c r="CY214" i="1" s="1"/>
  <c r="CS8" i="1"/>
  <c r="CS15" i="1"/>
  <c r="CX196" i="1"/>
  <c r="CW197" i="1"/>
  <c r="CV194" i="1"/>
  <c r="CV198" i="1" s="1"/>
  <c r="CW193" i="1"/>
  <c r="CY137" i="1"/>
  <c r="CX140" i="1"/>
  <c r="CX261" i="1" s="1"/>
  <c r="CW218" i="1"/>
  <c r="CD92" i="1"/>
  <c r="CD94" i="1"/>
  <c r="CB61" i="1"/>
  <c r="BZ73" i="1"/>
  <c r="BZ59" i="1"/>
  <c r="BZ205" i="1"/>
  <c r="BZ207" i="1" s="1"/>
  <c r="CH44" i="1"/>
  <c r="CG121" i="1"/>
  <c r="CI94" i="1"/>
  <c r="CI92" i="1"/>
  <c r="CI93" i="1"/>
  <c r="CL97" i="1" s="1"/>
  <c r="CE59" i="1"/>
  <c r="CE131" i="1"/>
  <c r="CE132" i="1" s="1"/>
  <c r="CE61" i="1" s="1"/>
  <c r="CE205" i="1"/>
  <c r="CE207" i="1" s="1"/>
  <c r="CE211" i="1" s="1"/>
  <c r="CE225" i="1" s="1"/>
  <c r="CE73" i="1"/>
  <c r="CF61" i="1"/>
  <c r="CG61" i="1"/>
  <c r="CH61" i="1"/>
  <c r="DA136" i="1"/>
  <c r="CZ195" i="1"/>
  <c r="CZ192" i="1"/>
  <c r="CZ191" i="1"/>
  <c r="AE148" i="1"/>
  <c r="AD148" i="1"/>
  <c r="AE138" i="1"/>
  <c r="AD138" i="1"/>
  <c r="AC176" i="1"/>
  <c r="AE163" i="1"/>
  <c r="AD163" i="1"/>
  <c r="AE155" i="1"/>
  <c r="AD155" i="1"/>
  <c r="AD130" i="1"/>
  <c r="AE130" i="1"/>
  <c r="AC166" i="1"/>
  <c r="AE139" i="1"/>
  <c r="AD139" i="1"/>
  <c r="AE147" i="1"/>
  <c r="AD147" i="1"/>
  <c r="AC167" i="1"/>
  <c r="AC159" i="1"/>
  <c r="AE134" i="1"/>
  <c r="AD134" i="1"/>
  <c r="CZ152" i="1" l="1"/>
  <c r="CZ214" i="1" s="1"/>
  <c r="CT5" i="1"/>
  <c r="CT7" i="1" s="1"/>
  <c r="CS9" i="1"/>
  <c r="CY196" i="1"/>
  <c r="CX197" i="1"/>
  <c r="CW194" i="1"/>
  <c r="CW198" i="1" s="1"/>
  <c r="CX193" i="1"/>
  <c r="CZ137" i="1"/>
  <c r="CY140" i="1"/>
  <c r="CY261" i="1" s="1"/>
  <c r="CX218" i="1"/>
  <c r="CC76" i="1"/>
  <c r="CB76" i="1"/>
  <c r="CG123" i="1"/>
  <c r="CG126" i="1" s="1"/>
  <c r="CG122" i="1"/>
  <c r="CG125" i="1" s="1"/>
  <c r="CF76" i="1"/>
  <c r="CH76" i="1"/>
  <c r="CL77" i="1" s="1"/>
  <c r="CG76" i="1"/>
  <c r="CK77" i="1" s="1"/>
  <c r="CE76" i="1"/>
  <c r="CE99" i="1"/>
  <c r="CF219" i="1"/>
  <c r="CF217" i="1" s="1"/>
  <c r="CE141" i="1"/>
  <c r="CE62" i="1" s="1"/>
  <c r="CE219" i="1"/>
  <c r="CE217" i="1" s="1"/>
  <c r="CE222" i="1" s="1"/>
  <c r="CE172" i="1" s="1"/>
  <c r="CE173" i="1" s="1"/>
  <c r="CE177" i="1" s="1"/>
  <c r="DA191" i="1"/>
  <c r="DA192" i="1"/>
  <c r="DA195" i="1"/>
  <c r="DB136" i="1"/>
  <c r="AE176" i="1"/>
  <c r="AD176" i="1"/>
  <c r="AE166" i="1"/>
  <c r="AD166" i="1"/>
  <c r="AE167" i="1"/>
  <c r="AD167" i="1"/>
  <c r="AE159" i="1"/>
  <c r="AD159" i="1"/>
  <c r="BY243" i="1"/>
  <c r="DA152" i="1" l="1"/>
  <c r="DB152" i="1" s="1"/>
  <c r="DB214" i="1" s="1"/>
  <c r="CT8" i="1"/>
  <c r="CT15" i="1"/>
  <c r="AC7" i="1"/>
  <c r="AC11" i="1" s="1"/>
  <c r="CZ196" i="1"/>
  <c r="CY197" i="1"/>
  <c r="DA137" i="1"/>
  <c r="CZ140" i="1"/>
  <c r="CX194" i="1"/>
  <c r="CX198" i="1" s="1"/>
  <c r="CY193" i="1"/>
  <c r="CY218" i="1"/>
  <c r="CE101" i="1"/>
  <c r="CE102" i="1"/>
  <c r="CE103" i="1"/>
  <c r="CE256" i="1"/>
  <c r="CE92" i="1"/>
  <c r="CE93" i="1"/>
  <c r="CI77" i="1"/>
  <c r="CE94" i="1"/>
  <c r="CE260" i="1"/>
  <c r="CG77" i="1"/>
  <c r="CG92" i="1"/>
  <c r="CG94" i="1"/>
  <c r="CG93" i="1"/>
  <c r="CE180" i="1"/>
  <c r="CE121" i="1" s="1"/>
  <c r="CE123" i="1" s="1"/>
  <c r="CE126" i="1" s="1"/>
  <c r="CF221" i="1"/>
  <c r="CF222" i="1" s="1"/>
  <c r="CF223" i="1" s="1"/>
  <c r="CE258" i="1"/>
  <c r="CH77" i="1"/>
  <c r="CH93" i="1"/>
  <c r="CK97" i="1" s="1"/>
  <c r="CH92" i="1"/>
  <c r="CH94" i="1"/>
  <c r="CE223" i="1"/>
  <c r="CF77" i="1"/>
  <c r="CJ77" i="1"/>
  <c r="CF94" i="1"/>
  <c r="CF92" i="1"/>
  <c r="CF93" i="1"/>
  <c r="DA214" i="1"/>
  <c r="DB192" i="1"/>
  <c r="DB191" i="1"/>
  <c r="DB195" i="1"/>
  <c r="CE178" i="1"/>
  <c r="AB27" i="1"/>
  <c r="CU5" i="1" l="1"/>
  <c r="CU7" i="1" s="1"/>
  <c r="CT9" i="1"/>
  <c r="AC8" i="1"/>
  <c r="DA196" i="1"/>
  <c r="CZ197" i="1"/>
  <c r="CZ218" i="1"/>
  <c r="CZ261" i="1"/>
  <c r="DA140" i="1"/>
  <c r="DB137" i="1"/>
  <c r="DB140" i="1" s="1"/>
  <c r="CY194" i="1"/>
  <c r="CY198" i="1" s="1"/>
  <c r="CZ193" i="1"/>
  <c r="CJ97" i="1"/>
  <c r="CH97" i="1"/>
  <c r="CF44" i="1"/>
  <c r="CI97" i="1"/>
  <c r="CG97" i="1"/>
  <c r="CE122" i="1"/>
  <c r="CE125" i="1" s="1"/>
  <c r="AC27" i="1"/>
  <c r="BY244" i="1"/>
  <c r="BY245" i="1" s="1"/>
  <c r="AD5" i="1" l="1"/>
  <c r="AC9" i="1"/>
  <c r="CU8" i="1"/>
  <c r="CU15" i="1"/>
  <c r="DB196" i="1"/>
  <c r="DB197" i="1" s="1"/>
  <c r="DA197" i="1"/>
  <c r="DA218" i="1"/>
  <c r="DA261" i="1"/>
  <c r="DB218" i="1"/>
  <c r="DB261" i="1"/>
  <c r="CZ194" i="1"/>
  <c r="CZ198" i="1" s="1"/>
  <c r="DA193" i="1"/>
  <c r="AD27" i="1"/>
  <c r="BY246" i="1"/>
  <c r="CV5" i="1" l="1"/>
  <c r="CV7" i="1" s="1"/>
  <c r="CU9" i="1"/>
  <c r="DA194" i="1"/>
  <c r="DA198" i="1" s="1"/>
  <c r="DB193" i="1"/>
  <c r="DB194" i="1" s="1"/>
  <c r="DB198" i="1" s="1"/>
  <c r="AE27" i="1"/>
  <c r="CV8" i="1" l="1"/>
  <c r="CV15" i="1"/>
  <c r="BI72" i="1"/>
  <c r="AT72" i="1"/>
  <c r="BT72" i="1"/>
  <c r="AV72" i="1"/>
  <c r="AX72" i="1"/>
  <c r="AR72" i="1"/>
  <c r="CW5" i="1" l="1"/>
  <c r="CW7" i="1" s="1"/>
  <c r="CV9" i="1"/>
  <c r="AO72" i="1"/>
  <c r="BK72" i="1"/>
  <c r="AN72" i="1"/>
  <c r="AW72" i="1"/>
  <c r="BB72" i="1"/>
  <c r="BM72" i="1"/>
  <c r="BQ72" i="1"/>
  <c r="AJ72" i="1"/>
  <c r="BS72" i="1"/>
  <c r="BR72" i="1"/>
  <c r="BO72" i="1"/>
  <c r="AM72" i="1"/>
  <c r="AI72" i="1"/>
  <c r="AP72" i="1"/>
  <c r="AZ72" i="1"/>
  <c r="AS72" i="1"/>
  <c r="BN72" i="1"/>
  <c r="BU72" i="1"/>
  <c r="BA72" i="1"/>
  <c r="BC72" i="1"/>
  <c r="AU72" i="1"/>
  <c r="BW72" i="1"/>
  <c r="BP72" i="1"/>
  <c r="BJ72" i="1"/>
  <c r="BH72" i="1"/>
  <c r="BX72" i="1"/>
  <c r="BG72" i="1"/>
  <c r="AQ72" i="1"/>
  <c r="AY72" i="1"/>
  <c r="AK72" i="1"/>
  <c r="BE72" i="1"/>
  <c r="BD72" i="1"/>
  <c r="BV72" i="1"/>
  <c r="BF72" i="1"/>
  <c r="CW8" i="1" l="1"/>
  <c r="CW15" i="1"/>
  <c r="BL243" i="1"/>
  <c r="CX5" i="1" l="1"/>
  <c r="CX7" i="1" s="1"/>
  <c r="CW9" i="1"/>
  <c r="AB152" i="1"/>
  <c r="CX8" i="1" l="1"/>
  <c r="CX15" i="1"/>
  <c r="AD7" i="1"/>
  <c r="AD11" i="1" s="1"/>
  <c r="CN84" i="1"/>
  <c r="AB214" i="1"/>
  <c r="CY5" i="1" l="1"/>
  <c r="CY7" i="1" s="1"/>
  <c r="CX9" i="1"/>
  <c r="AD8" i="1"/>
  <c r="CO84" i="1"/>
  <c r="CM70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X28" i="2"/>
  <c r="I16" i="2"/>
  <c r="L32" i="2"/>
  <c r="T24" i="2"/>
  <c r="N7" i="2"/>
  <c r="N6" i="2"/>
  <c r="U26" i="2"/>
  <c r="Q36" i="2"/>
  <c r="U24" i="2"/>
  <c r="Q34" i="2"/>
  <c r="AR47" i="3"/>
  <c r="T17" i="2"/>
  <c r="AF48" i="3"/>
  <c r="AE46" i="3"/>
  <c r="E14" i="3"/>
  <c r="T45" i="3"/>
  <c r="AD14" i="3"/>
  <c r="F11" i="3"/>
  <c r="G28" i="3"/>
  <c r="G19" i="3"/>
  <c r="Y45" i="3"/>
  <c r="D41" i="3"/>
  <c r="G25" i="3"/>
  <c r="BV7" i="4" a="1"/>
  <c r="CK15" i="4" a="1"/>
  <c r="F12" i="4" a="1"/>
  <c r="AT14" i="4" a="1"/>
  <c r="BU12" i="4" a="1"/>
  <c r="DL14" i="4" a="1"/>
  <c r="DB14" i="4" a="1"/>
  <c r="D6" i="4" a="1"/>
  <c r="DP9" i="4" a="1"/>
  <c r="AZ7" i="4" a="1"/>
  <c r="AP9" i="4" a="1"/>
  <c r="CQ13" i="4" a="1"/>
  <c r="AK13" i="4" a="1"/>
  <c r="BX16" i="4" a="1"/>
  <c r="DY16" i="4" a="1"/>
  <c r="BP11" i="4" a="1"/>
  <c r="DY8" i="4" a="1"/>
  <c r="AG9" i="4" a="1"/>
  <c r="C8" i="4" a="1"/>
  <c r="DP16" i="4" a="1"/>
  <c r="EF13" i="4" a="1"/>
  <c r="DP11" i="4" a="1"/>
  <c r="EB8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C8" i="2"/>
  <c r="Q30" i="2"/>
  <c r="S9" i="2"/>
  <c r="V18" i="2"/>
  <c r="W33" i="2"/>
  <c r="C25" i="2"/>
  <c r="T31" i="2"/>
  <c r="AR90" i="3"/>
  <c r="W70" i="2"/>
  <c r="M30" i="2"/>
  <c r="I11" i="2"/>
  <c r="E22" i="2"/>
  <c r="G7" i="3"/>
  <c r="AR12" i="3"/>
  <c r="AR33" i="3"/>
  <c r="AB45" i="3"/>
  <c r="E35" i="3"/>
  <c r="D45" i="3"/>
  <c r="AR39" i="3"/>
  <c r="AR26" i="3"/>
  <c r="Q46" i="3"/>
  <c r="I45" i="3"/>
  <c r="EH5" i="4" a="1"/>
  <c r="AF7" i="4" a="1"/>
  <c r="BN7" i="4" a="1"/>
  <c r="AG7" i="4" a="1"/>
  <c r="CT11" i="4" a="1"/>
  <c r="BI13" i="4" a="1"/>
  <c r="AG12" i="4" a="1"/>
  <c r="CG16" i="4" a="1"/>
  <c r="DY11" i="4" a="1"/>
  <c r="CO6" i="4" a="1"/>
  <c r="CB13" i="4" a="1"/>
  <c r="DE14" i="4" a="1"/>
  <c r="R13" i="4" a="1"/>
  <c r="U16" i="4" a="1"/>
  <c r="P7" i="4" a="1"/>
  <c r="BH12" i="4" a="1"/>
  <c r="AE7" i="4" a="1"/>
  <c r="BR5" i="4" a="1"/>
  <c r="P9" i="4" a="1"/>
  <c r="CW7" i="4" a="1"/>
  <c r="AD7" i="4" a="1"/>
  <c r="DW6" i="4" a="1"/>
  <c r="AB9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V34" i="2"/>
  <c r="I8" i="2"/>
  <c r="H6" i="2"/>
  <c r="X20" i="2"/>
  <c r="M32" i="2"/>
  <c r="S8" i="2"/>
  <c r="U5" i="2"/>
  <c r="AR69" i="3"/>
  <c r="D11" i="2"/>
  <c r="R7" i="2"/>
  <c r="P21" i="2"/>
  <c r="U9" i="2"/>
  <c r="AA46" i="3"/>
  <c r="D24" i="3"/>
  <c r="AD18" i="3"/>
  <c r="D30" i="3"/>
  <c r="F6" i="3"/>
  <c r="AD7" i="3"/>
  <c r="M45" i="3"/>
  <c r="E7" i="3"/>
  <c r="D18" i="3"/>
  <c r="J45" i="3"/>
  <c r="N9" i="4" a="1"/>
  <c r="CX7" i="4" a="1"/>
  <c r="EC15" i="4" a="1"/>
  <c r="AK9" i="4" a="1"/>
  <c r="J16" i="4" a="1"/>
  <c r="DL15" i="4" a="1"/>
  <c r="BF7" i="4" a="1"/>
  <c r="BQ7" i="4" a="1"/>
  <c r="AB13" i="4" a="1"/>
  <c r="CF9" i="4" a="1"/>
  <c r="T16" i="4" a="1"/>
  <c r="EK15" i="4" a="1"/>
  <c r="EG16" i="4" a="1"/>
  <c r="DH8" i="4" a="1"/>
  <c r="AC14" i="4" a="1"/>
  <c r="V12" i="4" a="1"/>
  <c r="DA7" i="4" a="1"/>
  <c r="CV12" i="4" a="1"/>
  <c r="BI6" i="4" a="1"/>
  <c r="DX6" i="4" a="1"/>
  <c r="DX13" i="4" a="1"/>
  <c r="X8" i="4" a="1"/>
  <c r="CN7" i="4" a="1"/>
  <c r="BO5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O8" i="2"/>
  <c r="X8" i="2"/>
  <c r="S20" i="2"/>
  <c r="G27" i="2"/>
  <c r="V22" i="2"/>
  <c r="W15" i="2"/>
  <c r="T6" i="2"/>
  <c r="AR49" i="3"/>
  <c r="T32" i="2"/>
  <c r="AR94" i="3"/>
  <c r="W34" i="2"/>
  <c r="J30" i="2"/>
  <c r="E9" i="3"/>
  <c r="E28" i="3"/>
  <c r="AP45" i="3"/>
  <c r="E23" i="3"/>
  <c r="AL46" i="3"/>
  <c r="F24" i="3"/>
  <c r="F9" i="3"/>
  <c r="F30" i="3"/>
  <c r="AB46" i="3"/>
  <c r="G22" i="3"/>
  <c r="R16" i="4" a="1"/>
  <c r="DO14" i="4" a="1"/>
  <c r="BU6" i="4" a="1"/>
  <c r="BC9" i="4" a="1"/>
  <c r="DG12" i="4" a="1"/>
  <c r="EG12" i="4" a="1"/>
  <c r="CZ12" i="4" a="1"/>
  <c r="C15" i="4" a="1"/>
  <c r="C9" i="4" a="1"/>
  <c r="CQ14" i="4" a="1"/>
  <c r="V15" i="4" a="1"/>
  <c r="DG15" i="4" a="1"/>
  <c r="AB11" i="4" a="1"/>
  <c r="R6" i="4" a="1"/>
  <c r="DQ13" i="4" a="1"/>
  <c r="AQ13" i="4" a="1"/>
  <c r="AC15" i="4" a="1"/>
  <c r="CU6" i="4" a="1"/>
  <c r="BY5" i="4" a="1"/>
  <c r="AK7" i="4" a="1"/>
  <c r="BI16" i="4" a="1"/>
  <c r="DL11" i="4" a="1"/>
  <c r="CM13" i="4" a="1"/>
  <c r="DQ11" i="4" a="1"/>
  <c r="DG5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D16" i="2"/>
  <c r="I9" i="2"/>
  <c r="Q8" i="2"/>
  <c r="O11" i="2"/>
  <c r="L22" i="2"/>
  <c r="X92" i="2"/>
  <c r="H28" i="2"/>
  <c r="AR50" i="3"/>
  <c r="K22" i="2"/>
  <c r="AR84" i="3"/>
  <c r="C15" i="2"/>
  <c r="V25" i="2"/>
  <c r="F32" i="3"/>
  <c r="AR24" i="3"/>
  <c r="AE45" i="3"/>
  <c r="AH46" i="3"/>
  <c r="Q45" i="3"/>
  <c r="E13" i="3"/>
  <c r="D38" i="3"/>
  <c r="E34" i="3"/>
  <c r="E27" i="3"/>
  <c r="L45" i="3"/>
  <c r="F11" i="4" a="1"/>
  <c r="AX8" i="4" a="1"/>
  <c r="Y16" i="4" a="1"/>
  <c r="AM11" i="4" a="1"/>
  <c r="Z15" i="4" a="1"/>
  <c r="AH13" i="4" a="1"/>
  <c r="BE11" i="4" a="1"/>
  <c r="W11" i="4" a="1"/>
  <c r="BV13" i="4" a="1"/>
  <c r="EI14" i="4" a="1"/>
  <c r="EH16" i="4" a="1"/>
  <c r="CT8" i="4" a="1"/>
  <c r="EA5" i="4" a="1"/>
  <c r="DG13" i="4" a="1"/>
  <c r="BT13" i="4" a="1"/>
  <c r="AO11" i="4" a="1"/>
  <c r="CO13" i="4" a="1"/>
  <c r="DE15" i="4" a="1"/>
  <c r="AM5" i="4" a="1"/>
  <c r="AF9" i="4" a="1"/>
  <c r="F16" i="4" a="1"/>
  <c r="AY9" i="4" a="1"/>
  <c r="EK8" i="4" a="1"/>
  <c r="DN12" i="4" a="1"/>
  <c r="EE11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Q58" i="2"/>
  <c r="G33" i="2"/>
  <c r="N19" i="2"/>
  <c r="E10" i="2"/>
  <c r="K59" i="2"/>
  <c r="H15" i="2"/>
  <c r="J32" i="2"/>
  <c r="T8" i="2"/>
  <c r="E5" i="2"/>
  <c r="AR54" i="3"/>
  <c r="I34" i="2"/>
  <c r="L27" i="2"/>
  <c r="J46" i="3"/>
  <c r="F19" i="3"/>
  <c r="D29" i="3"/>
  <c r="AR17" i="3"/>
  <c r="D32" i="3"/>
  <c r="G10" i="3"/>
  <c r="AR14" i="3"/>
  <c r="F15" i="3"/>
  <c r="U46" i="3"/>
  <c r="D28" i="3"/>
  <c r="CI14" i="4" a="1"/>
  <c r="DA11" i="4" a="1"/>
  <c r="Z8" i="4" a="1"/>
  <c r="BV14" i="4" a="1"/>
  <c r="CB7" i="4" a="1"/>
  <c r="DV5" i="4" a="1"/>
  <c r="AK8" i="4" a="1"/>
  <c r="BZ8" i="4" a="1"/>
  <c r="CD5" i="4" a="1"/>
  <c r="DC9" i="4" a="1"/>
  <c r="S15" i="4" a="1"/>
  <c r="AH8" i="4" a="1"/>
  <c r="AQ12" i="4" a="1"/>
  <c r="AD11" i="4" a="1"/>
  <c r="M5" i="4" a="1"/>
  <c r="V14" i="4" a="1"/>
  <c r="CZ15" i="4" a="1"/>
  <c r="DE12" i="4" a="1"/>
  <c r="X5" i="4" a="1"/>
  <c r="DQ9" i="4" a="1"/>
  <c r="AK6" i="4" a="1"/>
  <c r="BH14" i="4" a="1"/>
  <c r="CM6" i="4" a="1"/>
  <c r="DR11" i="4" a="1"/>
  <c r="EJ7" i="4" a="1"/>
  <c r="CE5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U12" i="2"/>
  <c r="G31" i="2"/>
  <c r="P28" i="2"/>
  <c r="X27" i="2"/>
  <c r="T14" i="2"/>
  <c r="C18" i="2"/>
  <c r="J17" i="2"/>
  <c r="J5" i="2"/>
  <c r="J23" i="2"/>
  <c r="AR91" i="3"/>
  <c r="N20" i="2"/>
  <c r="J34" i="2"/>
  <c r="W45" i="3"/>
  <c r="G5" i="3"/>
  <c r="AN45" i="3"/>
  <c r="AR25" i="3"/>
  <c r="AQ45" i="3"/>
  <c r="AN46" i="3"/>
  <c r="G16" i="3"/>
  <c r="G29" i="3"/>
  <c r="D31" i="3"/>
  <c r="AK45" i="3"/>
  <c r="ED16" i="4" a="1"/>
  <c r="BY7" i="4" a="1"/>
  <c r="BK8" i="4" a="1"/>
  <c r="DH14" i="4" a="1"/>
  <c r="AN7" i="4" a="1"/>
  <c r="D8" i="4" a="1"/>
  <c r="BH5" i="4" a="1"/>
  <c r="I14" i="4" a="1"/>
  <c r="AF16" i="4" a="1"/>
  <c r="EG14" i="4" a="1"/>
  <c r="DM12" i="4" a="1"/>
  <c r="BN16" i="4" a="1"/>
  <c r="Q14" i="4" a="1"/>
  <c r="AE6" i="4" a="1"/>
  <c r="CV9" i="4" a="1"/>
  <c r="DL6" i="4" a="1"/>
  <c r="P16" i="4" a="1"/>
  <c r="DG11" i="4" a="1"/>
  <c r="DI16" i="4" a="1"/>
  <c r="CU8" i="4" a="1"/>
  <c r="DD13" i="4" a="1"/>
  <c r="CF14" i="4" a="1"/>
  <c r="BK12" i="4" a="1"/>
  <c r="AP16" i="4" a="1"/>
  <c r="AP15" i="4" a="1"/>
  <c r="CR5" i="4" a="1"/>
  <c r="BU13" i="4" a="1"/>
  <c r="DA8" i="4" a="1"/>
  <c r="BB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G16" i="2"/>
  <c r="K23" i="2"/>
  <c r="N31" i="2"/>
  <c r="M12" i="2"/>
  <c r="C35" i="2"/>
  <c r="O10" i="2"/>
  <c r="L11" i="2"/>
  <c r="AR72" i="3"/>
  <c r="J14" i="2"/>
  <c r="C16" i="2"/>
  <c r="C13" i="2"/>
  <c r="AR77" i="3"/>
  <c r="F17" i="3"/>
  <c r="AR9" i="3"/>
  <c r="AR42" i="3"/>
  <c r="D11" i="3"/>
  <c r="G18" i="3"/>
  <c r="G13" i="3"/>
  <c r="AO45" i="3"/>
  <c r="AH45" i="3"/>
  <c r="AR23" i="3"/>
  <c r="F41" i="3"/>
  <c r="DO5" i="4" a="1"/>
  <c r="DL9" i="4" a="1"/>
  <c r="AK11" i="4" a="1"/>
  <c r="AV9" i="4" a="1"/>
  <c r="AI14" i="4" a="1"/>
  <c r="S11" i="4" a="1"/>
  <c r="AD8" i="4" a="1"/>
  <c r="DS12" i="4" a="1"/>
  <c r="Q12" i="4" a="1"/>
  <c r="CM8" i="4" a="1"/>
  <c r="AC16" i="4" a="1"/>
  <c r="BZ5" i="4" a="1"/>
  <c r="BA9" i="4" a="1"/>
  <c r="BU8" i="4" a="1"/>
  <c r="BS7" i="4" a="1"/>
  <c r="I11" i="4" a="1"/>
  <c r="BH6" i="4" a="1"/>
  <c r="CC8" i="4" a="1"/>
  <c r="CB9" i="4" a="1"/>
  <c r="W13" i="4" a="1"/>
  <c r="BQ9" i="4" a="1"/>
  <c r="BE7" i="4" a="1"/>
  <c r="DB16" i="4" a="1"/>
  <c r="X6" i="4" a="1"/>
  <c r="G12" i="4" a="1"/>
  <c r="DQ14" i="4" a="1"/>
  <c r="AU13" i="4" a="1"/>
  <c r="CF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M18" i="2"/>
  <c r="F35" i="2"/>
  <c r="P8" i="2"/>
  <c r="L18" i="2"/>
  <c r="P35" i="2"/>
  <c r="J20" i="2"/>
  <c r="R17" i="2"/>
  <c r="AR68" i="3"/>
  <c r="X32" i="2"/>
  <c r="AS47" i="3"/>
  <c r="E9" i="2"/>
  <c r="AR96" i="3"/>
  <c r="S25" i="2"/>
  <c r="J15" i="2"/>
  <c r="K16" i="2"/>
  <c r="K9" i="2"/>
  <c r="I22" i="2"/>
  <c r="H10" i="2"/>
  <c r="N21" i="2"/>
  <c r="F26" i="2"/>
  <c r="R11" i="2"/>
  <c r="V19" i="2"/>
  <c r="H35" i="2"/>
  <c r="O14" i="2"/>
  <c r="F22" i="3"/>
  <c r="AA45" i="3"/>
  <c r="G46" i="3"/>
  <c r="C46" i="3"/>
  <c r="AL45" i="3"/>
  <c r="F27" i="3"/>
  <c r="AR31" i="3"/>
  <c r="D25" i="3"/>
  <c r="F40" i="3"/>
  <c r="AR16" i="3"/>
  <c r="L12" i="2"/>
  <c r="J25" i="2"/>
  <c r="V36" i="2"/>
  <c r="T19" i="2"/>
  <c r="X21" i="2"/>
  <c r="I25" i="2"/>
  <c r="Q59" i="2"/>
  <c r="M34" i="2"/>
  <c r="O31" i="2"/>
  <c r="AR65" i="3"/>
  <c r="F15" i="2"/>
  <c r="AR78" i="3"/>
  <c r="D19" i="3"/>
  <c r="D34" i="3"/>
  <c r="AR40" i="3"/>
  <c r="F31" i="3"/>
  <c r="D8" i="3"/>
  <c r="N46" i="3"/>
  <c r="E12" i="3"/>
  <c r="G20" i="3"/>
  <c r="K45" i="3"/>
  <c r="F28" i="3"/>
  <c r="X13" i="4" a="1"/>
  <c r="DM5" i="4" a="1"/>
  <c r="BL13" i="4" a="1"/>
  <c r="CF7" i="4" a="1"/>
  <c r="D14" i="4" a="1"/>
  <c r="DT12" i="4" a="1"/>
  <c r="DF15" i="4" a="1"/>
  <c r="DP14" i="4" a="1"/>
  <c r="BC12" i="4" a="1"/>
  <c r="BK13" i="4" a="1"/>
  <c r="BN11" i="4" a="1"/>
  <c r="CA15" i="4" a="1"/>
  <c r="ED14" i="4" a="1"/>
  <c r="BL12" i="4" a="1"/>
  <c r="CS8" i="4" a="1"/>
  <c r="R11" i="4" a="1"/>
  <c r="CN14" i="4" a="1"/>
  <c r="CK14" i="4" a="1"/>
  <c r="BI5" i="4" a="1"/>
  <c r="AL5" i="4" a="1"/>
  <c r="BF12" i="4" a="1"/>
  <c r="ED9" i="4" a="1"/>
  <c r="CP13" i="4" a="1"/>
  <c r="BS12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W21" i="2"/>
  <c r="F8" i="3"/>
  <c r="AR8" i="3"/>
  <c r="BF9" i="4" a="1"/>
  <c r="AC11" i="4" a="1"/>
  <c r="BB13" i="4" a="1"/>
  <c r="CX6" i="4" a="1"/>
  <c r="O7" i="4" a="1"/>
  <c r="EC11" i="4" a="1"/>
  <c r="CL9" i="4" a="1"/>
  <c r="DP15" i="4" a="1"/>
  <c r="V16" i="4" a="1"/>
  <c r="EH13" i="4" a="1"/>
  <c r="AZ12" i="4" a="1"/>
  <c r="CB14" i="4" a="1"/>
  <c r="BP12" i="4" a="1"/>
  <c r="DM11" i="4" a="1"/>
  <c r="BA15" i="4" a="1"/>
  <c r="DX11" i="4" a="1"/>
  <c r="EK12" i="4" a="1"/>
  <c r="I12" i="4" a="1"/>
  <c r="AP14" i="4" a="1"/>
  <c r="CY14" i="4" a="1"/>
  <c r="CN13" i="4" a="1"/>
  <c r="CY9" i="4" a="1"/>
  <c r="DM8" i="4" a="1"/>
  <c r="Z9" i="4" a="1"/>
  <c r="BD14" i="4" a="1"/>
  <c r="M9" i="4" a="1"/>
  <c r="BY9" i="4" a="1"/>
  <c r="AW15" i="4" a="1"/>
  <c r="BZ12" i="4" a="1"/>
  <c r="AQ8" i="4" a="1"/>
  <c r="E15" i="4" a="1"/>
  <c r="EK7" i="4" a="1"/>
  <c r="AZ16" i="4" a="1"/>
  <c r="DQ12" i="4" a="1"/>
  <c r="CS11" i="4" a="1"/>
  <c r="EE9" i="4" a="1"/>
  <c r="AR6" i="4" a="1"/>
  <c r="CB6" i="4" a="1"/>
  <c r="AU14" i="4" a="1"/>
  <c r="AM14" i="4" a="1"/>
  <c r="EA12" i="4" a="1"/>
  <c r="AT11" i="4" a="1"/>
  <c r="Y15" i="4" a="1"/>
  <c r="BG14" i="4" a="1"/>
  <c r="EB13" i="4" a="1"/>
  <c r="E7" i="4" a="1"/>
  <c r="Z14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CE9" i="4" a="1"/>
  <c r="DD7" i="4" a="1"/>
  <c r="BR16" i="4" a="1"/>
  <c r="H9" i="4" a="1"/>
  <c r="H7" i="4" a="1"/>
  <c r="CC15" i="4" a="1"/>
  <c r="AN6" i="4" a="1"/>
  <c r="AM9" i="4" a="1"/>
  <c r="H13" i="4" a="1"/>
  <c r="CQ16" i="4" a="1"/>
  <c r="ED12" i="4" a="1"/>
  <c r="S6" i="4" a="1"/>
  <c r="DM7" i="4" a="1"/>
  <c r="DT8" i="4" a="1"/>
  <c r="AU9" i="4" a="1"/>
  <c r="CY11" i="4" a="1"/>
  <c r="DS7" i="4" a="1"/>
  <c r="DB11" i="4" a="1"/>
  <c r="CW8" i="4" a="1"/>
  <c r="CE12" i="4" a="1"/>
  <c r="AF6" i="4" a="1"/>
  <c r="EK11" i="4" a="1"/>
  <c r="BO6" i="4" a="1"/>
  <c r="AC7" i="4" a="1"/>
  <c r="AV13" i="4" a="1"/>
  <c r="D5" i="4" a="1"/>
  <c r="EJ15" i="4" a="1"/>
  <c r="BC6" i="4" a="1"/>
  <c r="DU12" i="4" a="1"/>
  <c r="Q16" i="4" a="1"/>
  <c r="AR46" i="3"/>
  <c r="DQ7" i="4" a="1"/>
  <c r="DV14" i="4" a="1"/>
  <c r="CH7" i="4" a="1"/>
  <c r="CS12" i="4" a="1"/>
  <c r="AF13" i="4" a="1"/>
  <c r="W9" i="4" a="1"/>
  <c r="M8" i="4" a="1"/>
  <c r="Q7" i="4" a="1"/>
  <c r="EE5" i="4" a="1"/>
  <c r="EE7" i="4" a="1"/>
  <c r="DW8" i="4" a="1"/>
  <c r="EH12" i="4" a="1"/>
  <c r="T30" i="2"/>
  <c r="G11" i="3"/>
  <c r="AR18" i="3"/>
  <c r="CI7" i="4" a="1"/>
  <c r="CR8" i="4" a="1"/>
  <c r="DH15" i="4" a="1"/>
  <c r="BK6" i="4" a="1"/>
  <c r="BE8" i="4" a="1"/>
  <c r="DZ12" i="4" a="1"/>
  <c r="EA8" i="4" a="1"/>
  <c r="L5" i="4" a="1"/>
  <c r="I5" i="4" a="1"/>
  <c r="CJ8" i="4" a="1"/>
  <c r="DE8" i="4" a="1"/>
  <c r="CZ9" i="4" a="1"/>
  <c r="AG11" i="4" a="1"/>
  <c r="DC14" i="4" a="1"/>
  <c r="CB15" i="4" a="1"/>
  <c r="AI15" i="4" a="1"/>
  <c r="Y7" i="4" a="1"/>
  <c r="CS6" i="4" a="1"/>
  <c r="AV12" i="4" a="1"/>
  <c r="BX6" i="4" a="1"/>
  <c r="DW7" i="4" a="1"/>
  <c r="CC6" i="4" a="1"/>
  <c r="BL7" i="4" a="1"/>
  <c r="BT8" i="4" a="1"/>
  <c r="EF11" i="4" a="1"/>
  <c r="AW13" i="4" a="1"/>
  <c r="DD11" i="4" a="1"/>
  <c r="CJ6" i="4" a="1"/>
  <c r="AG13" i="4" a="1"/>
  <c r="F14" i="4" a="1"/>
  <c r="CU16" i="4" a="1"/>
  <c r="DH9" i="4" a="1"/>
  <c r="CA7" i="4" a="1"/>
  <c r="CG11" i="4" a="1"/>
  <c r="Z13" i="4" a="1"/>
  <c r="AM13" i="4" a="1"/>
  <c r="AR14" i="4" a="1"/>
  <c r="P6" i="2"/>
  <c r="F29" i="3"/>
  <c r="E15" i="3"/>
  <c r="AJ12" i="4" a="1"/>
  <c r="BU7" i="4" a="1"/>
  <c r="BG8" i="4" a="1"/>
  <c r="DU8" i="4" a="1"/>
  <c r="AC12" i="4" a="1"/>
  <c r="BC5" i="4" a="1"/>
  <c r="DS6" i="4" a="1"/>
  <c r="T12" i="4" a="1"/>
  <c r="CJ13" i="4" a="1"/>
  <c r="BY14" i="4" a="1"/>
  <c r="BW12" i="4" a="1"/>
  <c r="Y12" i="4" a="1"/>
  <c r="D12" i="4" a="1"/>
  <c r="CL6" i="4" a="1"/>
  <c r="DX12" i="4" a="1"/>
  <c r="AY5" i="4" a="1"/>
  <c r="BP9" i="4" a="1"/>
  <c r="EC14" i="4" a="1"/>
  <c r="CD11" i="4" a="1"/>
  <c r="CO5" i="4" a="1"/>
  <c r="AS11" i="4" a="1"/>
  <c r="BR15" i="4" a="1"/>
  <c r="EA14" i="4" a="1"/>
  <c r="EE13" i="4" a="1"/>
  <c r="DS16" i="4" a="1"/>
  <c r="M12" i="4" a="1"/>
  <c r="S9" i="4" a="1"/>
  <c r="DC5" i="4" a="1"/>
  <c r="R7" i="4" a="1"/>
  <c r="BG16" i="4" a="1"/>
  <c r="BC7" i="4" a="1"/>
  <c r="CK8" i="4" a="1"/>
  <c r="BH15" i="4" a="1"/>
  <c r="DU13" i="4" a="1"/>
  <c r="F5" i="4" a="1"/>
  <c r="AZ11" i="4" a="1"/>
  <c r="CK7" i="4" a="1"/>
  <c r="AY15" i="4" a="1"/>
  <c r="DI11" i="4" a="1"/>
  <c r="AO16" i="4" a="1"/>
  <c r="DV9" i="4" a="1"/>
  <c r="CC9" i="4" a="1"/>
  <c r="G16" i="4" a="1"/>
  <c r="BX11" i="4" a="1"/>
  <c r="AL14" i="4" a="1"/>
  <c r="BO11" i="4" a="1"/>
  <c r="Z11" i="4" a="1"/>
  <c r="W14" i="4" a="1"/>
  <c r="DP13" i="4" a="1"/>
  <c r="DZ5" i="4" a="1"/>
  <c r="AJ15" i="4" a="1"/>
  <c r="S8" i="4" a="1"/>
  <c r="BQ12" i="4" a="1"/>
  <c r="BQ15" i="4" a="1"/>
  <c r="G9" i="4" a="1"/>
  <c r="DT5" i="4" a="1"/>
  <c r="DU9" i="4" a="1"/>
  <c r="CS16" i="4" a="1"/>
  <c r="H8" i="4" a="1"/>
  <c r="CO8" i="4" a="1"/>
  <c r="CE16" i="4" a="1"/>
  <c r="BF6" i="4" a="1"/>
  <c r="CQ6" i="4" a="1"/>
  <c r="M20" i="2"/>
  <c r="D26" i="3"/>
  <c r="AR29" i="3"/>
  <c r="CC11" i="4" a="1"/>
  <c r="AN8" i="4" a="1"/>
  <c r="DI14" i="4" a="1"/>
  <c r="AA12" i="4" a="1"/>
  <c r="J7" i="4" a="1"/>
  <c r="AU11" i="4" a="1"/>
  <c r="AY6" i="4" a="1"/>
  <c r="DF16" i="4" a="1"/>
  <c r="EI9" i="4" a="1"/>
  <c r="DX8" i="4" a="1"/>
  <c r="EA7" i="4" a="1"/>
  <c r="AO9" i="4" a="1"/>
  <c r="BC16" i="4" a="1"/>
  <c r="AV11" i="4" a="1"/>
  <c r="R8" i="4" a="1"/>
  <c r="CQ5" i="4" a="1"/>
  <c r="AE11" i="4" a="1"/>
  <c r="H14" i="4" a="1"/>
  <c r="CI11" i="4" a="1"/>
  <c r="CM11" i="4" a="1"/>
  <c r="DU16" i="4" a="1"/>
  <c r="DZ7" i="4" a="1"/>
  <c r="O9" i="4" a="1"/>
  <c r="BN8" i="4" a="1"/>
  <c r="CW5" i="4" a="1"/>
  <c r="DD5" i="4" a="1"/>
  <c r="BE13" i="4" a="1"/>
  <c r="Y9" i="4" a="1"/>
  <c r="DI15" i="4" a="1"/>
  <c r="CB8" i="4" a="1"/>
  <c r="CZ11" i="4" a="1"/>
  <c r="BN12" i="4" a="1"/>
  <c r="AV6" i="4" a="1"/>
  <c r="DK15" i="4" a="1"/>
  <c r="O14" i="4" a="1"/>
  <c r="CP16" i="4" a="1"/>
  <c r="EH15" i="4" a="1"/>
  <c r="DM9" i="4" a="1"/>
  <c r="AF5" i="4" a="1"/>
  <c r="DY12" i="4" a="1"/>
  <c r="DU15" i="4" a="1"/>
  <c r="BA13" i="4" a="1"/>
  <c r="BE16" i="4" a="1"/>
  <c r="Z12" i="4" a="1"/>
  <c r="AO6" i="4" a="1"/>
  <c r="DE13" i="4" a="1"/>
  <c r="CI9" i="4" a="1"/>
  <c r="AJ11" i="4" a="1"/>
  <c r="W16" i="4" a="1"/>
  <c r="CJ15" i="4" a="1"/>
  <c r="DN11" i="4" a="1"/>
  <c r="DD16" i="4" a="1"/>
  <c r="DO7" i="4" a="1"/>
  <c r="AS12" i="4" a="1"/>
  <c r="BO7" i="4" a="1"/>
  <c r="CZ7" i="4" a="1"/>
  <c r="AJ6" i="4" a="1"/>
  <c r="DB9" i="4" a="1"/>
  <c r="EF12" i="4" a="1"/>
  <c r="DJ12" i="4" a="1"/>
  <c r="BP13" i="4" a="1"/>
  <c r="EI15" i="4" a="1"/>
  <c r="DT7" i="4" a="1"/>
  <c r="CJ9" i="4" a="1"/>
  <c r="CA12" i="4" a="1"/>
  <c r="EA16" i="4" a="1"/>
  <c r="AC9" i="4" a="1"/>
  <c r="E13" i="4" a="1"/>
  <c r="G8" i="4" a="1"/>
  <c r="CG9" i="4" a="1"/>
  <c r="DR15" i="4" a="1"/>
  <c r="CW12" i="4" a="1"/>
  <c r="E5" i="4" a="1"/>
  <c r="AQ11" i="4" a="1"/>
  <c r="BL6" i="4" a="1"/>
  <c r="E24" i="3"/>
  <c r="DW15" i="4" a="1"/>
  <c r="DB6" i="4" a="1"/>
  <c r="J15" i="4" a="1"/>
  <c r="M15" i="4" a="1"/>
  <c r="AP6" i="4" a="1"/>
  <c r="CL8" i="4" a="1"/>
  <c r="AT12" i="4" a="1"/>
  <c r="BW5" i="4" a="1"/>
  <c r="BH11" i="4" a="1"/>
  <c r="J28" i="2"/>
  <c r="D21" i="3"/>
  <c r="E19" i="3"/>
  <c r="J8" i="4" a="1"/>
  <c r="BZ15" i="4" a="1"/>
  <c r="CG12" i="4" a="1"/>
  <c r="CJ5" i="4" a="1"/>
  <c r="CX15" i="4" a="1"/>
  <c r="DF13" i="4" a="1"/>
  <c r="DI13" i="4" a="1"/>
  <c r="BO13" i="4" a="1"/>
  <c r="CH6" i="4" a="1"/>
  <c r="BM16" i="4" a="1"/>
  <c r="DK14" i="4" a="1"/>
  <c r="W6" i="4" a="1"/>
  <c r="BJ8" i="4" a="1"/>
  <c r="AG16" i="4" a="1"/>
  <c r="CD16" i="4" a="1"/>
  <c r="AX9" i="4" a="1"/>
  <c r="DP6" i="4" a="1"/>
  <c r="ED11" i="4" a="1"/>
  <c r="EE15" i="4" a="1"/>
  <c r="X14" i="4" a="1"/>
  <c r="AE9" i="4" a="1"/>
  <c r="BK5" i="4" a="1"/>
  <c r="AS14" i="4" a="1"/>
  <c r="P5" i="4" a="1"/>
  <c r="X11" i="4" a="1"/>
  <c r="DT14" i="4" a="1"/>
  <c r="BD9" i="4" a="1"/>
  <c r="S5" i="4" a="1"/>
  <c r="BZ16" i="4" a="1"/>
  <c r="AO13" i="4" a="1"/>
  <c r="EG9" i="4" a="1"/>
  <c r="DV12" i="4" a="1"/>
  <c r="CH11" i="4" a="1"/>
  <c r="AG8" i="4" a="1"/>
  <c r="AO8" i="4" a="1"/>
  <c r="AM16" i="4" a="1"/>
  <c r="DA16" i="4" a="1"/>
  <c r="AP12" i="4" a="1"/>
  <c r="C12" i="4" a="1"/>
  <c r="N8" i="2"/>
  <c r="AT8" i="4" a="1"/>
  <c r="AN12" i="4" a="1"/>
  <c r="S7" i="4" a="1"/>
  <c r="N15" i="4" a="1"/>
  <c r="AA15" i="4" a="1"/>
  <c r="AH16" i="4" a="1"/>
  <c r="BW14" i="4" a="1"/>
  <c r="BM15" i="4" a="1"/>
  <c r="DT16" i="4" a="1"/>
  <c r="AX15" i="4" a="1"/>
  <c r="BJ7" i="4" a="1"/>
  <c r="K12" i="4" a="1"/>
  <c r="DN8" i="4" a="1"/>
  <c r="CE14" i="4" a="1"/>
  <c r="BM11" i="4" a="1"/>
  <c r="DN5" i="4" a="1"/>
  <c r="BQ13" i="4" a="1"/>
  <c r="EH11" i="4" a="1"/>
  <c r="BS8" i="4" a="1"/>
  <c r="BI12" i="4" a="1"/>
  <c r="CZ6" i="4" a="1"/>
  <c r="BY12" i="4" a="1"/>
  <c r="AR89" i="3"/>
  <c r="V45" i="3"/>
  <c r="D14" i="3"/>
  <c r="CF16" i="4" a="1"/>
  <c r="BP7" i="4" a="1"/>
  <c r="BY13" i="4" a="1"/>
  <c r="DI8" i="4" a="1"/>
  <c r="BZ9" i="4" a="1"/>
  <c r="BE6" i="4" a="1"/>
  <c r="DR12" i="4" a="1"/>
  <c r="BA7" i="4" a="1"/>
  <c r="L6" i="4" a="1"/>
  <c r="DH6" i="4" a="1"/>
  <c r="DT6" i="4" a="1"/>
  <c r="BF14" i="4" a="1"/>
  <c r="CJ12" i="4" a="1"/>
  <c r="CE7" i="4" a="1"/>
  <c r="O8" i="4" a="1"/>
  <c r="CF13" i="4" a="1"/>
  <c r="T15" i="4" a="1"/>
  <c r="EC12" i="4" a="1"/>
  <c r="E8" i="4" a="1"/>
  <c r="CT9" i="4" a="1"/>
  <c r="DR7" i="4" a="1"/>
  <c r="H15" i="4" a="1"/>
  <c r="BT6" i="4" a="1"/>
  <c r="DK9" i="4" a="1"/>
  <c r="BB12" i="4" a="1"/>
  <c r="P11" i="4" a="1"/>
  <c r="CA5" i="4" a="1"/>
  <c r="C14" i="4" a="1"/>
  <c r="AT16" i="4" a="1"/>
  <c r="EF8" i="4" a="1"/>
  <c r="EK9" i="4" a="1"/>
  <c r="CK9" i="4" a="1"/>
  <c r="BU9" i="4" a="1"/>
  <c r="CR11" i="4" a="1"/>
  <c r="AL9" i="4" a="1"/>
  <c r="AF14" i="4" a="1"/>
  <c r="BU11" i="4" a="1"/>
  <c r="BN5" i="4" a="1"/>
  <c r="CB16" i="4" a="1"/>
  <c r="AU6" i="4" a="1"/>
  <c r="BA8" i="4" a="1"/>
  <c r="BL5" i="4" a="1"/>
  <c r="BX15" i="4" a="1"/>
  <c r="CU13" i="4" a="1"/>
  <c r="G15" i="4" a="1"/>
  <c r="AF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AD13" i="4" a="1"/>
  <c r="DS9" i="4" a="1"/>
  <c r="CP5" i="4" a="1"/>
  <c r="AN5" i="4" a="1"/>
  <c r="CU12" i="4" a="1"/>
  <c r="EG11" i="4" a="1"/>
  <c r="S16" i="4" a="1"/>
  <c r="EK6" i="4" a="1"/>
  <c r="CV8" i="4" a="1"/>
  <c r="BE14" i="4" a="1"/>
  <c r="BU15" i="4" a="1"/>
  <c r="DG6" i="4" a="1"/>
  <c r="AL11" i="4" a="1"/>
  <c r="BK7" i="4" a="1"/>
  <c r="AW6" i="4" a="1"/>
  <c r="DE9" i="4" a="1"/>
  <c r="BV12" i="4" a="1"/>
  <c r="AP46" i="3"/>
  <c r="BE12" i="4" a="1"/>
  <c r="BY15" i="4" a="1"/>
  <c r="AY11" i="4" a="1"/>
  <c r="AA6" i="4" a="1"/>
  <c r="CL11" i="4" a="1"/>
  <c r="DX9" i="4" a="1"/>
  <c r="CT6" i="4" a="1"/>
  <c r="EB15" i="4" a="1"/>
  <c r="CD7" i="4" a="1"/>
  <c r="CJ7" i="4" a="1"/>
  <c r="CT16" i="4" a="1"/>
  <c r="AQ14" i="4" a="1"/>
  <c r="O5" i="4" a="1"/>
  <c r="EI13" i="4" a="1"/>
  <c r="DE5" i="4" a="1"/>
  <c r="M7" i="4" a="1"/>
  <c r="AH15" i="4" a="1"/>
  <c r="BM14" i="4" a="1"/>
  <c r="EC8" i="4" a="1"/>
  <c r="CW13" i="4" a="1"/>
  <c r="AE14" i="4" a="1"/>
  <c r="CV16" i="4" a="1"/>
  <c r="CL14" i="4" a="1"/>
  <c r="AE8" i="4" a="1"/>
  <c r="AL16" i="4" a="1"/>
  <c r="EJ8" i="4" a="1"/>
  <c r="DT15" i="4" a="1"/>
  <c r="AZ14" i="4" a="1"/>
  <c r="DG16" i="4" a="1"/>
  <c r="CT15" i="4" a="1"/>
  <c r="EB6" i="4" a="1"/>
  <c r="DG7" i="4" a="1"/>
  <c r="BC14" i="4" a="1"/>
  <c r="DZ13" i="4" a="1"/>
  <c r="CD14" i="4" a="1"/>
  <c r="DH5" i="4" a="1"/>
  <c r="DY7" i="4" a="1"/>
  <c r="Q6" i="4" a="1"/>
  <c r="EH14" i="4" a="1"/>
  <c r="BF8" i="4" a="1"/>
  <c r="O24" i="2"/>
  <c r="K46" i="3"/>
  <c r="F38" i="3"/>
  <c r="AO12" i="4" a="1"/>
  <c r="AI11" i="4" a="1"/>
  <c r="EE14" i="4" a="1"/>
  <c r="DC7" i="4" a="1"/>
  <c r="CI13" i="4" a="1"/>
  <c r="AK5" i="4" a="1"/>
  <c r="DP5" i="4" a="1"/>
  <c r="BA6" i="4" a="1"/>
  <c r="Z5" i="4" a="1"/>
  <c r="BT16" i="4" a="1"/>
  <c r="E9" i="4" a="1"/>
  <c r="DN15" i="4" a="1"/>
  <c r="AO7" i="4" a="1"/>
  <c r="BN9" i="4" a="1"/>
  <c r="AZ5" i="4" a="1"/>
  <c r="DS13" i="4" a="1"/>
  <c r="AQ16" i="4" a="1"/>
  <c r="BN6" i="4" a="1"/>
  <c r="BY11" i="4" a="1"/>
  <c r="CO14" i="4" a="1"/>
  <c r="DJ7" i="4" a="1"/>
  <c r="CQ7" i="4" a="1"/>
  <c r="CY13" i="4" a="1"/>
  <c r="CI5" i="4" a="1"/>
  <c r="N6" i="4" a="1"/>
  <c r="BH9" i="4" a="1"/>
  <c r="CX5" i="4" a="1"/>
  <c r="BH8" i="4" a="1"/>
  <c r="R9" i="4" a="1"/>
  <c r="V7" i="4" a="1"/>
  <c r="DJ11" i="4" a="1"/>
  <c r="DI9" i="4" a="1"/>
  <c r="BR8" i="4" a="1"/>
  <c r="BX7" i="4" a="1"/>
  <c r="BF16" i="4" a="1"/>
  <c r="BH13" i="4" a="1"/>
  <c r="DE6" i="4" a="1"/>
  <c r="DY9" i="4" a="1"/>
  <c r="DU14" i="4" a="1"/>
  <c r="CF5" i="4" a="1"/>
  <c r="AE5" i="4" a="1"/>
  <c r="L15" i="4" a="1"/>
  <c r="BQ6" i="4" a="1"/>
  <c r="BD8" i="4" a="1"/>
  <c r="R15" i="4" a="1"/>
  <c r="CW15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BX9" i="4" a="1"/>
  <c r="EI6" i="4" a="1"/>
  <c r="BK15" i="4" a="1"/>
  <c r="AU7" i="4" a="1"/>
  <c r="BJ16" i="4" a="1"/>
  <c r="DI7" i="4" a="1"/>
  <c r="EG7" i="4" a="1"/>
  <c r="L16" i="4" a="1"/>
  <c r="BC13" i="4" a="1"/>
  <c r="DD6" i="4" a="1"/>
  <c r="BB9" i="4" a="1"/>
  <c r="EH9" i="4" a="1"/>
  <c r="DK6" i="4" a="1"/>
  <c r="O12" i="4" a="1"/>
  <c r="CY12" i="4" a="1"/>
  <c r="CA16" i="4" a="1"/>
  <c r="DZ8" i="4" a="1"/>
  <c r="DJ5" i="4" a="1"/>
  <c r="CN6" i="4" a="1"/>
  <c r="DW11" i="4" a="1"/>
  <c r="DW9" i="4" a="1"/>
  <c r="AH11" i="4" a="1"/>
  <c r="BP6" i="4" a="1"/>
  <c r="N8" i="4" a="1"/>
  <c r="C23" i="2"/>
  <c r="AX11" i="4" a="1"/>
  <c r="AM7" i="4" a="1"/>
  <c r="BT9" i="4" a="1"/>
  <c r="BR13" i="4" a="1"/>
  <c r="BK11" i="4" a="1"/>
  <c r="AJ13" i="4" a="1"/>
  <c r="E6" i="4" a="1"/>
  <c r="DC11" i="4" a="1"/>
  <c r="BP14" i="4" a="1"/>
  <c r="CU5" i="4" a="1"/>
  <c r="CU9" i="4" a="1"/>
  <c r="AJ7" i="4" a="1"/>
  <c r="W15" i="4" a="1"/>
  <c r="AC13" i="4" a="1"/>
  <c r="DB5" i="4" a="1"/>
  <c r="CP11" i="4" a="1"/>
  <c r="AG6" i="4" a="1"/>
  <c r="Q9" i="4" a="1"/>
  <c r="DV13" i="4" a="1"/>
  <c r="H5" i="2"/>
  <c r="DJ9" i="4" a="1"/>
  <c r="BD16" i="4" a="1"/>
  <c r="H16" i="4" a="1"/>
  <c r="EB12" i="4" a="1"/>
  <c r="DZ15" i="4" a="1"/>
  <c r="DC6" i="4" a="1"/>
  <c r="N5" i="4" a="1"/>
  <c r="CA13" i="4" a="1"/>
  <c r="DK11" i="4" a="1"/>
  <c r="U28" i="2"/>
  <c r="F13" i="3"/>
  <c r="AD11" i="3"/>
  <c r="BL9" i="4" a="1"/>
  <c r="CW14" i="4" a="1"/>
  <c r="D13" i="4" a="1"/>
  <c r="AD5" i="4" a="1"/>
  <c r="BD12" i="4" a="1"/>
  <c r="DC13" i="4" a="1"/>
  <c r="DL16" i="4" a="1"/>
  <c r="CM14" i="4" a="1"/>
  <c r="DY5" i="4" a="1"/>
  <c r="AQ9" i="4" a="1"/>
  <c r="DJ8" i="4" a="1"/>
  <c r="AP5" i="4" a="1"/>
  <c r="DD8" i="4" a="1"/>
  <c r="DS15" i="4" a="1"/>
  <c r="CG13" i="4" a="1"/>
  <c r="CB11" i="4" a="1"/>
  <c r="AS7" i="4" a="1"/>
  <c r="AA5" i="4" a="1"/>
  <c r="DN13" i="4" a="1"/>
  <c r="BB8" i="4" a="1"/>
  <c r="U12" i="4" a="1"/>
  <c r="AN9" i="4" a="1"/>
  <c r="L7" i="4" a="1"/>
  <c r="BR14" i="4" a="1"/>
  <c r="DA13" i="4" a="1"/>
  <c r="CL15" i="4" a="1"/>
  <c r="C11" i="4" a="1"/>
  <c r="CX12" i="4" a="1"/>
  <c r="BV6" i="4" a="1"/>
  <c r="CX8" i="4" a="1"/>
  <c r="EH6" i="4" a="1"/>
  <c r="BJ13" i="4" a="1"/>
  <c r="AU8" i="4" a="1"/>
  <c r="AM12" i="4" a="1"/>
  <c r="H11" i="4" a="1"/>
  <c r="DI12" i="4" a="1"/>
  <c r="DK12" i="4" a="1"/>
  <c r="EG15" i="4" a="1"/>
  <c r="CN5" i="4" a="1"/>
  <c r="BW11" i="4" a="1"/>
  <c r="E45" i="2"/>
  <c r="AD12" i="3"/>
  <c r="BF11" i="4" a="1"/>
  <c r="BX8" i="4" a="1"/>
  <c r="DQ16" i="4" a="1"/>
  <c r="DF7" i="4" a="1"/>
  <c r="DQ8" i="4" a="1"/>
  <c r="BD5" i="4" a="1"/>
  <c r="AZ8" i="4" a="1"/>
  <c r="DZ6" i="4" a="1"/>
  <c r="DJ6" i="4" a="1"/>
  <c r="BE5" i="4" a="1"/>
  <c r="AN13" i="4" a="1"/>
  <c r="AS15" i="4" a="1"/>
  <c r="BM9" i="4" a="1"/>
  <c r="P6" i="4" a="1"/>
  <c r="U6" i="4" a="1"/>
  <c r="BT5" i="4" a="1"/>
  <c r="CT13" i="4" a="1"/>
  <c r="AT5" i="4" a="1"/>
  <c r="BM6" i="4" a="1"/>
  <c r="DN14" i="4" a="1"/>
  <c r="DO15" i="4" a="1"/>
  <c r="AJ8" i="4" a="1"/>
  <c r="F6" i="4" a="1"/>
  <c r="K8" i="4" a="1"/>
  <c r="EK14" i="4" a="1"/>
  <c r="EJ6" i="4" a="1"/>
  <c r="EC13" i="4" a="1"/>
  <c r="EA11" i="4" a="1"/>
  <c r="AR7" i="4" a="1"/>
  <c r="T5" i="4" a="1"/>
  <c r="V13" i="4" a="1"/>
  <c r="AS16" i="4" a="1"/>
  <c r="BM12" i="4" a="1"/>
  <c r="AB7" i="4" a="1"/>
  <c r="S14" i="4" a="1"/>
  <c r="Q15" i="4" a="1"/>
  <c r="CR15" i="4" a="1"/>
  <c r="DJ13" i="4" a="1"/>
  <c r="O16" i="4" a="1"/>
  <c r="L8" i="4" a="1"/>
  <c r="J11" i="4" a="1"/>
  <c r="O15" i="4" a="1"/>
  <c r="DD14" i="4" a="1"/>
  <c r="BU16" i="4" a="1"/>
  <c r="EB7" i="4" a="1"/>
  <c r="DE7" i="4" a="1"/>
  <c r="T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CX13" i="4" a="1"/>
  <c r="DB15" i="4" a="1"/>
  <c r="AN16" i="4" a="1"/>
  <c r="EB14" i="4" a="1"/>
  <c r="CE15" i="4" a="1"/>
  <c r="BS9" i="4" a="1"/>
  <c r="AM15" i="4" a="1"/>
  <c r="BK14" i="4" a="1"/>
  <c r="CI6" i="4" a="1"/>
  <c r="DA6" i="4" a="1"/>
  <c r="CO11" i="4" a="1"/>
  <c r="BA16" i="4" a="1"/>
  <c r="CS9" i="4" a="1"/>
  <c r="CY5" i="4" a="1"/>
  <c r="CU7" i="4" a="1"/>
  <c r="CU15" i="4" a="1"/>
  <c r="CA14" i="4" a="1"/>
  <c r="CY7" i="4" a="1"/>
  <c r="K11" i="4" a="1"/>
  <c r="BD7" i="4" a="1"/>
  <c r="DL8" i="4" a="1"/>
  <c r="E11" i="4" a="1"/>
  <c r="AT7" i="4" a="1"/>
  <c r="DF8" i="4" a="1"/>
  <c r="CQ9" i="4" a="1"/>
  <c r="EC6" i="4" a="1"/>
  <c r="BW8" i="4" a="1"/>
  <c r="ED13" i="4" a="1"/>
  <c r="AB8" i="4" a="1"/>
  <c r="CX11" i="4" a="1"/>
  <c r="L12" i="4" a="1"/>
  <c r="K13" i="4" a="1"/>
  <c r="AI12" i="4" a="1"/>
  <c r="CH9" i="4" a="1"/>
  <c r="AH14" i="4" a="1"/>
  <c r="DH16" i="4" a="1"/>
  <c r="AV7" i="4" a="1"/>
  <c r="BG5" i="4" a="1"/>
  <c r="F15" i="4" a="1"/>
  <c r="AX14" i="4" a="1"/>
  <c r="BX13" i="4" a="1"/>
  <c r="CW11" i="4" a="1"/>
  <c r="DY6" i="4" a="1"/>
  <c r="BA12" i="4" a="1"/>
  <c r="Q11" i="4" a="1"/>
  <c r="BE15" i="4" a="1"/>
  <c r="C7" i="4" a="1"/>
  <c r="CP7" i="4" a="1"/>
  <c r="DA9" i="4" a="1"/>
  <c r="E70" i="3"/>
  <c r="D92" i="3"/>
  <c r="AD57" i="3"/>
  <c r="F73" i="3"/>
  <c r="D54" i="3"/>
  <c r="D70" i="3"/>
  <c r="F87" i="3"/>
  <c r="E72" i="3"/>
  <c r="F96" i="3"/>
  <c r="E79" i="3"/>
  <c r="AD92" i="3"/>
  <c r="AD94" i="3"/>
  <c r="F48" i="3"/>
  <c r="E90" i="3"/>
  <c r="D69" i="3"/>
  <c r="F85" i="3"/>
  <c r="F57" i="3"/>
  <c r="F90" i="3"/>
  <c r="AD84" i="3"/>
  <c r="AD69" i="3"/>
  <c r="F84" i="3"/>
  <c r="E68" i="3"/>
  <c r="F47" i="3"/>
  <c r="E94" i="3"/>
  <c r="F72" i="3"/>
  <c r="E54" i="3"/>
  <c r="D90" i="3"/>
  <c r="F93" i="3"/>
  <c r="E85" i="3"/>
  <c r="F56" i="3"/>
  <c r="AD78" i="3"/>
  <c r="F71" i="3"/>
  <c r="D61" i="3"/>
  <c r="F70" i="3"/>
  <c r="E60" i="3"/>
  <c r="F75" i="3"/>
  <c r="AD83" i="3"/>
  <c r="F78" i="3"/>
  <c r="D80" i="3"/>
  <c r="F97" i="3"/>
  <c r="D76" i="3"/>
  <c r="F67" i="3"/>
  <c r="D72" i="3"/>
  <c r="D67" i="3"/>
  <c r="F49" i="3"/>
  <c r="E67" i="3"/>
  <c r="F91" i="3"/>
  <c r="AD63" i="3"/>
  <c r="F61" i="3"/>
  <c r="AD58" i="3"/>
  <c r="F76" i="3"/>
  <c r="E93" i="3"/>
  <c r="AD74" i="3"/>
  <c r="F65" i="3"/>
  <c r="D85" i="3"/>
  <c r="AD56" i="3"/>
  <c r="AD73" i="3"/>
  <c r="F88" i="3"/>
  <c r="E61" i="3"/>
  <c r="E64" i="3"/>
  <c r="D73" i="3"/>
  <c r="AD70" i="3"/>
  <c r="F62" i="3"/>
  <c r="E81" i="3"/>
  <c r="D83" i="3"/>
  <c r="AD54" i="3"/>
  <c r="F86" i="3"/>
  <c r="D75" i="3"/>
  <c r="F74" i="3"/>
  <c r="D89" i="3"/>
  <c r="F64" i="3"/>
  <c r="E73" i="3"/>
  <c r="AD81" i="3"/>
  <c r="E89" i="3"/>
  <c r="F59" i="3"/>
  <c r="AD87" i="3"/>
  <c r="AD82" i="3"/>
  <c r="E76" i="3"/>
  <c r="AD79" i="3"/>
  <c r="AD88" i="3"/>
  <c r="F94" i="3"/>
  <c r="AD59" i="3"/>
  <c r="AD67" i="3"/>
  <c r="D63" i="3"/>
  <c r="AD76" i="3"/>
  <c r="E87" i="3"/>
  <c r="E56" i="3"/>
  <c r="E59" i="3"/>
  <c r="D55" i="3"/>
  <c r="AD75" i="3"/>
  <c r="D59" i="3"/>
  <c r="F50" i="3"/>
  <c r="E55" i="3"/>
  <c r="E74" i="3"/>
  <c r="F92" i="3"/>
  <c r="AD60" i="3"/>
  <c r="AD64" i="3"/>
  <c r="E62" i="3"/>
  <c r="AD95" i="3"/>
  <c r="D60" i="3"/>
  <c r="D57" i="3"/>
  <c r="E58" i="3"/>
  <c r="E86" i="3"/>
  <c r="AD77" i="3"/>
  <c r="AD68" i="3"/>
  <c r="D64" i="3"/>
  <c r="AD55" i="3"/>
  <c r="D88" i="3"/>
  <c r="AD93" i="3"/>
  <c r="D62" i="3"/>
  <c r="E80" i="3"/>
  <c r="E97" i="3"/>
  <c r="AD62" i="3"/>
  <c r="D78" i="3"/>
  <c r="E78" i="3"/>
  <c r="F83" i="3"/>
  <c r="AD71" i="3"/>
  <c r="F77" i="3"/>
  <c r="E77" i="3"/>
  <c r="AD97" i="3"/>
  <c r="F55" i="3"/>
  <c r="E84" i="3"/>
  <c r="D71" i="3"/>
  <c r="AD80" i="3"/>
  <c r="D93" i="3"/>
  <c r="F81" i="3"/>
  <c r="AD65" i="3"/>
  <c r="F54" i="3"/>
  <c r="D91" i="3"/>
  <c r="D65" i="3"/>
  <c r="E69" i="3"/>
  <c r="AD85" i="3"/>
  <c r="D95" i="3"/>
  <c r="F58" i="3"/>
  <c r="F80" i="3"/>
  <c r="F95" i="3"/>
  <c r="E57" i="3"/>
  <c r="AD66" i="3"/>
  <c r="F89" i="3"/>
  <c r="E92" i="3"/>
  <c r="D79" i="3"/>
  <c r="F63" i="3"/>
  <c r="AD91" i="3"/>
  <c r="D58" i="3"/>
  <c r="E82" i="3"/>
  <c r="D81" i="3"/>
  <c r="AD72" i="3"/>
  <c r="E65" i="3"/>
  <c r="E71" i="3"/>
  <c r="AD86" i="3"/>
  <c r="D82" i="3"/>
  <c r="E96" i="3"/>
  <c r="F66" i="3"/>
  <c r="F68" i="3"/>
  <c r="E91" i="3"/>
  <c r="AD96" i="3"/>
  <c r="E95" i="3"/>
  <c r="F79" i="3"/>
  <c r="E88" i="3"/>
  <c r="F69" i="3"/>
  <c r="F82" i="3"/>
  <c r="AD89" i="3"/>
  <c r="AD90" i="3"/>
  <c r="E66" i="3"/>
  <c r="D68" i="3"/>
  <c r="F60" i="3"/>
  <c r="E63" i="3"/>
  <c r="E83" i="3"/>
  <c r="AD61" i="3"/>
  <c r="E75" i="3"/>
  <c r="G93" i="3" l="1"/>
  <c r="G85" i="3"/>
  <c r="G84" i="3"/>
  <c r="G75" i="3"/>
  <c r="G65" i="3"/>
  <c r="G90" i="3"/>
  <c r="G92" i="3"/>
  <c r="G80" i="3"/>
  <c r="G76" i="3"/>
  <c r="G68" i="3"/>
  <c r="G86" i="3"/>
  <c r="G77" i="3"/>
  <c r="G82" i="3"/>
  <c r="G72" i="3"/>
  <c r="G66" i="3"/>
  <c r="G89" i="3"/>
  <c r="G54" i="3"/>
  <c r="G96" i="3"/>
  <c r="G62" i="3"/>
  <c r="G94" i="3"/>
  <c r="G74" i="3"/>
  <c r="G61" i="3"/>
  <c r="G56" i="3"/>
  <c r="G81" i="3"/>
  <c r="G60" i="3"/>
  <c r="G83" i="3"/>
  <c r="G71" i="3"/>
  <c r="G63" i="3"/>
  <c r="G87" i="3"/>
  <c r="G97" i="3"/>
  <c r="G73" i="3"/>
  <c r="G55" i="3"/>
  <c r="G67" i="3"/>
  <c r="G69" i="3"/>
  <c r="G57" i="3"/>
  <c r="G58" i="3"/>
  <c r="G78" i="3"/>
  <c r="G95" i="3"/>
  <c r="G59" i="3"/>
  <c r="G88" i="3"/>
  <c r="G79" i="3"/>
  <c r="G70" i="3"/>
  <c r="G91" i="3"/>
  <c r="G64" i="3"/>
  <c r="AD9" i="1"/>
  <c r="AE5" i="1"/>
  <c r="CY8" i="1"/>
  <c r="CY15" i="1"/>
  <c r="D86" i="3"/>
  <c r="D77" i="3"/>
  <c r="AJ152" i="1" s="1"/>
  <c r="AK152" i="1" s="1"/>
  <c r="D66" i="3"/>
  <c r="AJ163" i="1" s="1"/>
  <c r="AK163" i="1" s="1"/>
  <c r="D94" i="3"/>
  <c r="D56" i="3"/>
  <c r="AJ129" i="1" s="1"/>
  <c r="AK129" i="1" s="1"/>
  <c r="D96" i="3"/>
  <c r="AJ175" i="1" s="1"/>
  <c r="AK175" i="1" s="1"/>
  <c r="D84" i="3"/>
  <c r="AJ158" i="1" s="1"/>
  <c r="AK158" i="1" s="1"/>
  <c r="D97" i="3"/>
  <c r="D74" i="3"/>
  <c r="AJ149" i="1" s="1"/>
  <c r="AK149" i="1" s="1"/>
  <c r="D87" i="3"/>
  <c r="AJ164" i="1" s="1"/>
  <c r="AK164" i="1" s="1"/>
  <c r="IW9" i="4" s="1"/>
  <c r="IM9" i="4" s="1"/>
  <c r="HS16" i="4" s="1"/>
  <c r="IC16" i="4" s="1"/>
  <c r="BJ21" i="1"/>
  <c r="D134" i="1"/>
  <c r="BJ22" i="1"/>
  <c r="IZ9" i="4" s="1"/>
  <c r="IU9" i="4" s="1"/>
  <c r="IL9" i="4" s="1"/>
  <c r="B42" i="1"/>
  <c r="JH9" i="4" s="1"/>
  <c r="IF9" i="4" s="1"/>
  <c r="HR16" i="4" s="1"/>
  <c r="ID7" i="4" s="1"/>
  <c r="JE9" i="4" s="1"/>
  <c r="HT9" i="4" s="1"/>
  <c r="IH9" i="4" s="1"/>
  <c r="IJ9" i="4" s="1"/>
  <c r="IL16" i="4" s="1"/>
  <c r="IY16" i="4" s="1"/>
  <c r="JC9" i="4" s="1"/>
  <c r="II16" i="4" s="1"/>
  <c r="JF9" i="4" s="1"/>
  <c r="IF8" i="4" s="1"/>
  <c r="JI9" i="4" s="1"/>
  <c r="IN9" i="4" s="1"/>
  <c r="IP16" i="4" s="1"/>
  <c r="AJ30" i="1"/>
  <c r="BX165" i="1"/>
  <c r="IW16" i="4" s="1"/>
  <c r="IA16" i="4" s="1"/>
  <c r="IN16" i="4" s="1"/>
  <c r="HY16" i="4" s="1"/>
  <c r="AJ29" i="1"/>
  <c r="IX16" i="4" s="1"/>
  <c r="IX21" i="4" s="1"/>
  <c r="BR84" i="1" s="1"/>
  <c r="BX46" i="1"/>
  <c r="AJ54" i="1"/>
  <c r="IO9" i="4" s="1"/>
  <c r="JD9" i="4" s="1"/>
  <c r="JC16" i="4" s="1"/>
  <c r="AK31" i="1"/>
  <c r="AL46" i="1"/>
  <c r="O15" i="1"/>
  <c r="IU16" i="4" s="1"/>
  <c r="IU21" i="4" s="1"/>
  <c r="BO84" i="1" s="1"/>
  <c r="BO118" i="1" s="1"/>
  <c r="BO114" i="1" s="1"/>
  <c r="BX32" i="1"/>
  <c r="AM22" i="1"/>
  <c r="S46" i="1"/>
  <c r="JC7" i="4" s="1"/>
  <c r="IA9" i="4" s="1"/>
  <c r="JG9" i="4" s="1"/>
  <c r="JA8" i="4" s="1"/>
  <c r="IW14" i="4" s="1"/>
  <c r="IR9" i="4" s="1"/>
  <c r="BX15" i="1"/>
  <c r="BX7" i="1" s="1"/>
  <c r="HZ16" i="4" s="1"/>
  <c r="JE7" i="4" s="1"/>
  <c r="IE7" i="4" s="1"/>
  <c r="HQ16" i="4" s="1"/>
  <c r="AL39" i="1"/>
  <c r="AL206" i="1" s="1"/>
  <c r="AM16" i="1"/>
  <c r="AK21" i="1"/>
  <c r="AJ52" i="1"/>
  <c r="BX154" i="1"/>
  <c r="BY154" i="1" s="1"/>
  <c r="E30" i="1"/>
  <c r="BX162" i="1"/>
  <c r="BY162" i="1" s="1"/>
  <c r="H43" i="1"/>
  <c r="S29" i="1"/>
  <c r="I43" i="1"/>
  <c r="K22" i="1"/>
  <c r="BX27" i="1"/>
  <c r="AJ43" i="1"/>
  <c r="N27" i="1"/>
  <c r="G58" i="1"/>
  <c r="U29" i="1"/>
  <c r="Q20" i="1"/>
  <c r="I30" i="1"/>
  <c r="R43" i="1"/>
  <c r="BX175" i="1"/>
  <c r="BY175" i="1" s="1"/>
  <c r="W52" i="1"/>
  <c r="BX143" i="1"/>
  <c r="Q28" i="1"/>
  <c r="O58" i="1"/>
  <c r="K32" i="1"/>
  <c r="E58" i="1"/>
  <c r="L32" i="1"/>
  <c r="HV16" i="4" s="1"/>
  <c r="JF16" i="4" s="1"/>
  <c r="IH16" i="4" s="1"/>
  <c r="IK9" i="4" s="1"/>
  <c r="HX8" i="4" s="1"/>
  <c r="ID9" i="4" s="1"/>
  <c r="BX42" i="1"/>
  <c r="AM32" i="1"/>
  <c r="AJ22" i="1"/>
  <c r="BX58" i="1"/>
  <c r="AL28" i="1"/>
  <c r="BX152" i="1"/>
  <c r="BY152" i="1" s="1"/>
  <c r="BZ214" i="1" s="1"/>
  <c r="B31" i="1"/>
  <c r="I27" i="1"/>
  <c r="BX147" i="1"/>
  <c r="BY147" i="1" s="1"/>
  <c r="K20" i="1"/>
  <c r="B58" i="1"/>
  <c r="L22" i="1"/>
  <c r="J42" i="1"/>
  <c r="IV16" i="4" s="1"/>
  <c r="IS16" i="4" s="1"/>
  <c r="HQ9" i="4" s="1"/>
  <c r="IG9" i="4" s="1"/>
  <c r="AM46" i="1"/>
  <c r="AM27" i="1"/>
  <c r="BX43" i="1"/>
  <c r="BX166" i="1"/>
  <c r="BY166" i="1" s="1"/>
  <c r="I42" i="1"/>
  <c r="I28" i="1"/>
  <c r="B32" i="1"/>
  <c r="S27" i="1"/>
  <c r="W39" i="1"/>
  <c r="W206" i="1" s="1"/>
  <c r="T22" i="1"/>
  <c r="JA16" i="4" s="1"/>
  <c r="AJ39" i="1"/>
  <c r="AL31" i="1"/>
  <c r="BX30" i="1"/>
  <c r="AM20" i="1"/>
  <c r="BX28" i="1"/>
  <c r="AJ46" i="1"/>
  <c r="K39" i="1"/>
  <c r="K206" i="1" s="1"/>
  <c r="I52" i="1"/>
  <c r="G30" i="1"/>
  <c r="M29" i="1"/>
  <c r="F53" i="1"/>
  <c r="HQ15" i="4" s="1"/>
  <c r="IG15" i="4" s="1"/>
  <c r="ID15" i="4" s="1"/>
  <c r="IM16" i="4" s="1"/>
  <c r="AK52" i="1"/>
  <c r="U43" i="1"/>
  <c r="U264" i="1" s="1"/>
  <c r="B30" i="1"/>
  <c r="BX158" i="1"/>
  <c r="BY158" i="1" s="1"/>
  <c r="BX81" i="1"/>
  <c r="N20" i="1"/>
  <c r="JI7" i="4" s="1"/>
  <c r="IR7" i="4" s="1"/>
  <c r="IA8" i="4" s="1"/>
  <c r="IO7" i="4" s="1"/>
  <c r="IN14" i="4" s="1"/>
  <c r="IE16" i="4" s="1"/>
  <c r="IO16" i="4" s="1"/>
  <c r="HT16" i="4" s="1"/>
  <c r="AK42" i="1"/>
  <c r="AK39" i="1"/>
  <c r="AK206" i="1" s="1"/>
  <c r="I46" i="1"/>
  <c r="S52" i="1"/>
  <c r="BX80" i="1"/>
  <c r="S15" i="1"/>
  <c r="S243" i="1" s="1"/>
  <c r="V30" i="1"/>
  <c r="F39" i="1"/>
  <c r="F206" i="1" s="1"/>
  <c r="IV9" i="4" s="1"/>
  <c r="IZ7" i="4" s="1"/>
  <c r="II9" i="4" s="1"/>
  <c r="II21" i="4" s="1"/>
  <c r="BC84" i="1" s="1"/>
  <c r="IY9" i="4" s="1"/>
  <c r="IT16" i="4" s="1"/>
  <c r="HW16" i="4" s="1"/>
  <c r="IZ16" i="4" s="1"/>
  <c r="HZ9" i="4" s="1"/>
  <c r="IT9" i="4" s="1"/>
  <c r="IZ8" i="4" s="1"/>
  <c r="IP9" i="4" s="1"/>
  <c r="JG15" i="4" s="1"/>
  <c r="AJ32" i="1"/>
  <c r="AL15" i="1"/>
  <c r="BJ32" i="1"/>
  <c r="Q16" i="1"/>
  <c r="C20" i="1"/>
  <c r="BX144" i="1"/>
  <c r="L52" i="1"/>
  <c r="G15" i="1"/>
  <c r="G243" i="1" s="1"/>
  <c r="HW9" i="4" s="1"/>
  <c r="BX54" i="1"/>
  <c r="AK53" i="1"/>
  <c r="BX21" i="1"/>
  <c r="H20" i="1"/>
  <c r="L46" i="1"/>
  <c r="BX138" i="1"/>
  <c r="BY138" i="1" s="1"/>
  <c r="B43" i="1"/>
  <c r="V53" i="1"/>
  <c r="U32" i="1"/>
  <c r="P46" i="1"/>
  <c r="IJ14" i="4" s="1"/>
  <c r="IK16" i="4" s="1"/>
  <c r="JI16" i="4" s="1"/>
  <c r="HS7" i="4" s="1"/>
  <c r="JH7" i="4" s="1"/>
  <c r="JE14" i="4" s="1"/>
  <c r="IC9" i="4" s="1"/>
  <c r="JB8" i="4" s="1"/>
  <c r="HT8" i="4" s="1"/>
  <c r="JB16" i="4" s="1"/>
  <c r="AM43" i="1"/>
  <c r="AM39" i="1"/>
  <c r="AL22" i="1"/>
  <c r="BJ30" i="1"/>
  <c r="AK30" i="1"/>
  <c r="S28" i="1"/>
  <c r="M15" i="1"/>
  <c r="M16" i="1"/>
  <c r="K52" i="1"/>
  <c r="IC15" i="4" s="1"/>
  <c r="IS9" i="4" s="1"/>
  <c r="HU7" i="4" s="1"/>
  <c r="JD7" i="4" s="1"/>
  <c r="HR9" i="4" s="1"/>
  <c r="IF15" i="4" s="1"/>
  <c r="AL53" i="1"/>
  <c r="AL54" i="1"/>
  <c r="AJ53" i="1"/>
  <c r="BX39" i="1"/>
  <c r="BX206" i="1" s="1"/>
  <c r="AK46" i="1"/>
  <c r="AJ15" i="1"/>
  <c r="AJ243" i="1" s="1"/>
  <c r="AK58" i="1"/>
  <c r="AJ31" i="1"/>
  <c r="AK16" i="1"/>
  <c r="AK54" i="1"/>
  <c r="AK43" i="1"/>
  <c r="B46" i="1"/>
  <c r="W54" i="1"/>
  <c r="BX176" i="1"/>
  <c r="BY176" i="1" s="1"/>
  <c r="S20" i="1"/>
  <c r="O43" i="1"/>
  <c r="B27" i="1"/>
  <c r="D42" i="1"/>
  <c r="K15" i="1"/>
  <c r="K243" i="1" s="1"/>
  <c r="F20" i="1"/>
  <c r="O52" i="1"/>
  <c r="G20" i="1"/>
  <c r="E29" i="1"/>
  <c r="C53" i="1"/>
  <c r="G39" i="1"/>
  <c r="G206" i="1" s="1"/>
  <c r="F43" i="1"/>
  <c r="T31" i="1"/>
  <c r="W144" i="1"/>
  <c r="R30" i="1"/>
  <c r="I16" i="1"/>
  <c r="M27" i="1"/>
  <c r="M58" i="1"/>
  <c r="V22" i="1"/>
  <c r="H29" i="1"/>
  <c r="J28" i="1"/>
  <c r="O42" i="1"/>
  <c r="T20" i="1"/>
  <c r="T43" i="1"/>
  <c r="S22" i="1"/>
  <c r="E15" i="1"/>
  <c r="Q53" i="1"/>
  <c r="J53" i="1"/>
  <c r="P139" i="1"/>
  <c r="C52" i="1"/>
  <c r="M20" i="1"/>
  <c r="F28" i="1"/>
  <c r="C29" i="1"/>
  <c r="W29" i="1"/>
  <c r="S58" i="1"/>
  <c r="IX9" i="4" s="1"/>
  <c r="JD16" i="4" s="1"/>
  <c r="BX53" i="1"/>
  <c r="BX20" i="1"/>
  <c r="AM42" i="1"/>
  <c r="AM29" i="1"/>
  <c r="BX31" i="1"/>
  <c r="AM30" i="1"/>
  <c r="AL21" i="1"/>
  <c r="AL43" i="1"/>
  <c r="BJ20" i="1"/>
  <c r="BX52" i="1"/>
  <c r="M30" i="1"/>
  <c r="W22" i="1"/>
  <c r="C43" i="1"/>
  <c r="P165" i="1"/>
  <c r="G53" i="1"/>
  <c r="V29" i="1"/>
  <c r="BX171" i="1"/>
  <c r="P167" i="1"/>
  <c r="J32" i="1"/>
  <c r="D16" i="1"/>
  <c r="BY80" i="1"/>
  <c r="D28" i="1"/>
  <c r="L20" i="1"/>
  <c r="L16" i="1"/>
  <c r="O31" i="1"/>
  <c r="F27" i="1"/>
  <c r="G42" i="1"/>
  <c r="S54" i="1"/>
  <c r="V46" i="1"/>
  <c r="M53" i="1"/>
  <c r="Q31" i="1"/>
  <c r="N43" i="1"/>
  <c r="S30" i="1"/>
  <c r="M39" i="1"/>
  <c r="M206" i="1" s="1"/>
  <c r="N29" i="1"/>
  <c r="V28" i="1"/>
  <c r="U58" i="1"/>
  <c r="N15" i="1"/>
  <c r="N243" i="1" s="1"/>
  <c r="N16" i="1"/>
  <c r="J20" i="1"/>
  <c r="P32" i="1"/>
  <c r="T29" i="1"/>
  <c r="E31" i="1"/>
  <c r="I29" i="1"/>
  <c r="F52" i="1"/>
  <c r="Q42" i="1"/>
  <c r="C16" i="1"/>
  <c r="N22" i="1"/>
  <c r="Q54" i="1"/>
  <c r="N30" i="1"/>
  <c r="J52" i="1"/>
  <c r="N28" i="1"/>
  <c r="O16" i="1"/>
  <c r="K28" i="1"/>
  <c r="E171" i="1"/>
  <c r="H27" i="1"/>
  <c r="P15" i="1"/>
  <c r="F42" i="1"/>
  <c r="L27" i="1"/>
  <c r="BJ27" i="1"/>
  <c r="AJ16" i="1"/>
  <c r="AM31" i="1"/>
  <c r="BJ31" i="1"/>
  <c r="AL16" i="1"/>
  <c r="U30" i="1"/>
  <c r="J30" i="1"/>
  <c r="C27" i="1"/>
  <c r="J39" i="1"/>
  <c r="J206" i="1" s="1"/>
  <c r="J27" i="1"/>
  <c r="E52" i="1"/>
  <c r="Q29" i="1"/>
  <c r="T53" i="1"/>
  <c r="I20" i="1"/>
  <c r="BX134" i="1"/>
  <c r="BY134" i="1" s="1"/>
  <c r="U20" i="1"/>
  <c r="Q39" i="1"/>
  <c r="Q206" i="1" s="1"/>
  <c r="N42" i="1"/>
  <c r="D22" i="1"/>
  <c r="W46" i="1"/>
  <c r="E54" i="1"/>
  <c r="L31" i="1"/>
  <c r="Q27" i="1"/>
  <c r="F58" i="1"/>
  <c r="H28" i="1"/>
  <c r="H58" i="1"/>
  <c r="P39" i="1"/>
  <c r="P206" i="1" s="1"/>
  <c r="R29" i="1"/>
  <c r="J16" i="1"/>
  <c r="K29" i="1"/>
  <c r="U42" i="1"/>
  <c r="V58" i="1"/>
  <c r="R28" i="1"/>
  <c r="P27" i="1"/>
  <c r="C54" i="1"/>
  <c r="K53" i="1"/>
  <c r="J31" i="1"/>
  <c r="D29" i="1"/>
  <c r="T46" i="1"/>
  <c r="R22" i="1"/>
  <c r="B15" i="1"/>
  <c r="W20" i="1"/>
  <c r="K42" i="1"/>
  <c r="P172" i="1"/>
  <c r="N52" i="1"/>
  <c r="T54" i="1"/>
  <c r="T39" i="1"/>
  <c r="T206" i="1" s="1"/>
  <c r="E42" i="1"/>
  <c r="IU7" i="4" s="1"/>
  <c r="IF16" i="4" s="1"/>
  <c r="IF21" i="4" s="1"/>
  <c r="AZ84" i="1" s="1"/>
  <c r="HU9" i="4" s="1"/>
  <c r="AL27" i="1"/>
  <c r="AL52" i="1"/>
  <c r="BX22" i="1"/>
  <c r="AJ21" i="1"/>
  <c r="AJ27" i="1"/>
  <c r="F32" i="1"/>
  <c r="B22" i="1"/>
  <c r="L15" i="1"/>
  <c r="L243" i="1" s="1"/>
  <c r="E27" i="1"/>
  <c r="D39" i="1"/>
  <c r="D206" i="1" s="1"/>
  <c r="BX164" i="1"/>
  <c r="BY164" i="1" s="1"/>
  <c r="D32" i="1"/>
  <c r="P16" i="1"/>
  <c r="L28" i="1"/>
  <c r="H16" i="1"/>
  <c r="V16" i="1"/>
  <c r="V17" i="1" s="1"/>
  <c r="V105" i="1" s="1"/>
  <c r="C32" i="1"/>
  <c r="U31" i="1"/>
  <c r="P54" i="1"/>
  <c r="H46" i="1"/>
  <c r="R15" i="1"/>
  <c r="S32" i="1"/>
  <c r="F46" i="1"/>
  <c r="C58" i="1"/>
  <c r="M28" i="1"/>
  <c r="C30" i="1"/>
  <c r="V52" i="1"/>
  <c r="O27" i="1"/>
  <c r="G175" i="1"/>
  <c r="T58" i="1"/>
  <c r="O30" i="1"/>
  <c r="V31" i="1"/>
  <c r="N58" i="1"/>
  <c r="F29" i="1"/>
  <c r="T30" i="1"/>
  <c r="F15" i="1"/>
  <c r="F243" i="1" s="1"/>
  <c r="D53" i="1"/>
  <c r="W16" i="1"/>
  <c r="W17" i="1" s="1"/>
  <c r="AK32" i="1"/>
  <c r="BJ28" i="1"/>
  <c r="BX156" i="1"/>
  <c r="G43" i="1"/>
  <c r="B20" i="1"/>
  <c r="O22" i="1"/>
  <c r="BX172" i="1"/>
  <c r="J29" i="1"/>
  <c r="G27" i="1"/>
  <c r="U28" i="1"/>
  <c r="O32" i="1"/>
  <c r="BX130" i="1"/>
  <c r="BY130" i="1" s="1"/>
  <c r="B16" i="1"/>
  <c r="P52" i="1"/>
  <c r="V27" i="1"/>
  <c r="C31" i="1"/>
  <c r="D30" i="1"/>
  <c r="L30" i="1"/>
  <c r="R16" i="1"/>
  <c r="O46" i="1"/>
  <c r="G32" i="1"/>
  <c r="G16" i="1"/>
  <c r="S31" i="1"/>
  <c r="O53" i="1"/>
  <c r="V54" i="1"/>
  <c r="V20" i="1"/>
  <c r="T16" i="1"/>
  <c r="G165" i="1"/>
  <c r="C22" i="1"/>
  <c r="G31" i="1"/>
  <c r="H30" i="1"/>
  <c r="P22" i="1"/>
  <c r="R31" i="1"/>
  <c r="E28" i="1"/>
  <c r="P53" i="1"/>
  <c r="T32" i="1"/>
  <c r="I53" i="1"/>
  <c r="F54" i="1"/>
  <c r="M32" i="1"/>
  <c r="T42" i="1"/>
  <c r="T27" i="1"/>
  <c r="P29" i="1"/>
  <c r="H42" i="1"/>
  <c r="U54" i="1"/>
  <c r="K30" i="1"/>
  <c r="I22" i="1"/>
  <c r="D54" i="1"/>
  <c r="S16" i="1"/>
  <c r="N46" i="1"/>
  <c r="C28" i="1"/>
  <c r="D27" i="1"/>
  <c r="J54" i="1"/>
  <c r="B28" i="1"/>
  <c r="Q165" i="1"/>
  <c r="W42" i="1"/>
  <c r="C136" i="1"/>
  <c r="U22" i="1"/>
  <c r="T15" i="1"/>
  <c r="T243" i="1" s="1"/>
  <c r="W129" i="1"/>
  <c r="R58" i="1"/>
  <c r="BX139" i="1"/>
  <c r="BY139" i="1" s="1"/>
  <c r="BX129" i="1"/>
  <c r="G52" i="1"/>
  <c r="K46" i="1"/>
  <c r="J15" i="1"/>
  <c r="J243" i="1" s="1"/>
  <c r="B52" i="1"/>
  <c r="E53" i="1"/>
  <c r="L54" i="1"/>
  <c r="Q30" i="1"/>
  <c r="S39" i="1"/>
  <c r="S206" i="1" s="1"/>
  <c r="E43" i="1"/>
  <c r="W30" i="1"/>
  <c r="I15" i="1"/>
  <c r="E20" i="1"/>
  <c r="H52" i="1"/>
  <c r="U53" i="1"/>
  <c r="Q15" i="1"/>
  <c r="Q32" i="1"/>
  <c r="J22" i="1"/>
  <c r="E39" i="1"/>
  <c r="E206" i="1" s="1"/>
  <c r="O39" i="1"/>
  <c r="O206" i="1" s="1"/>
  <c r="U16" i="1"/>
  <c r="U17" i="1" s="1"/>
  <c r="G54" i="1"/>
  <c r="W27" i="1"/>
  <c r="R39" i="1"/>
  <c r="I32" i="1"/>
  <c r="H39" i="1"/>
  <c r="W53" i="1"/>
  <c r="HZ7" i="4" s="1"/>
  <c r="IL7" i="4" s="1"/>
  <c r="IQ15" i="4" s="1"/>
  <c r="IN8" i="4" s="1"/>
  <c r="HX9" i="4" s="1"/>
  <c r="BJ15" i="1"/>
  <c r="BJ243" i="1" s="1"/>
  <c r="AL42" i="1"/>
  <c r="BX16" i="1"/>
  <c r="AJ42" i="1"/>
  <c r="AJ44" i="1" s="1"/>
  <c r="AK15" i="1"/>
  <c r="AK243" i="1" s="1"/>
  <c r="AJ28" i="1"/>
  <c r="BX29" i="1"/>
  <c r="AL32" i="1"/>
  <c r="BX163" i="1"/>
  <c r="BY163" i="1" s="1"/>
  <c r="R20" i="1"/>
  <c r="U39" i="1"/>
  <c r="B53" i="1"/>
  <c r="F22" i="1"/>
  <c r="C46" i="1"/>
  <c r="BX159" i="1"/>
  <c r="BY159" i="1" s="1"/>
  <c r="S43" i="1"/>
  <c r="BX167" i="1"/>
  <c r="BY167" i="1" s="1"/>
  <c r="BX161" i="1"/>
  <c r="BY161" i="1" s="1"/>
  <c r="L42" i="1"/>
  <c r="K43" i="1"/>
  <c r="K27" i="1"/>
  <c r="D15" i="1"/>
  <c r="J131" i="1"/>
  <c r="D20" i="1"/>
  <c r="P42" i="1"/>
  <c r="V39" i="1"/>
  <c r="E22" i="1"/>
  <c r="W32" i="1"/>
  <c r="W43" i="1"/>
  <c r="W264" i="1" s="1"/>
  <c r="E16" i="1"/>
  <c r="H54" i="1"/>
  <c r="R46" i="1"/>
  <c r="L39" i="1"/>
  <c r="V32" i="1"/>
  <c r="L43" i="1"/>
  <c r="D46" i="1"/>
  <c r="Q52" i="1"/>
  <c r="G29" i="1"/>
  <c r="V42" i="1"/>
  <c r="L29" i="1"/>
  <c r="W31" i="1"/>
  <c r="K58" i="1"/>
  <c r="Q22" i="1"/>
  <c r="Q43" i="1"/>
  <c r="R53" i="1"/>
  <c r="Q58" i="1"/>
  <c r="F30" i="1"/>
  <c r="T28" i="1"/>
  <c r="F16" i="1"/>
  <c r="R52" i="1"/>
  <c r="U52" i="1"/>
  <c r="AL29" i="1"/>
  <c r="AM21" i="1"/>
  <c r="AK27" i="1"/>
  <c r="AM15" i="1"/>
  <c r="AJ20" i="1"/>
  <c r="AK29" i="1"/>
  <c r="AL58" i="1"/>
  <c r="AM28" i="1"/>
  <c r="F31" i="1"/>
  <c r="BX157" i="1"/>
  <c r="T52" i="1"/>
  <c r="H31" i="1"/>
  <c r="M52" i="1"/>
  <c r="W58" i="1"/>
  <c r="BX155" i="1"/>
  <c r="BY155" i="1" s="1"/>
  <c r="BX131" i="1"/>
  <c r="BY131" i="1" s="1"/>
  <c r="BX149" i="1"/>
  <c r="BY149" i="1" s="1"/>
  <c r="H15" i="1"/>
  <c r="H243" i="1" s="1"/>
  <c r="M31" i="1"/>
  <c r="BL81" i="1"/>
  <c r="BX145" i="1"/>
  <c r="R32" i="1"/>
  <c r="P43" i="1"/>
  <c r="I58" i="1"/>
  <c r="C39" i="1"/>
  <c r="C206" i="1" s="1"/>
  <c r="P31" i="1"/>
  <c r="M46" i="1"/>
  <c r="D43" i="1"/>
  <c r="O20" i="1"/>
  <c r="L58" i="1"/>
  <c r="O29" i="1"/>
  <c r="C42" i="1"/>
  <c r="J58" i="1"/>
  <c r="N32" i="1"/>
  <c r="B39" i="1"/>
  <c r="B29" i="1"/>
  <c r="L53" i="1"/>
  <c r="P28" i="1"/>
  <c r="N53" i="1"/>
  <c r="H32" i="1"/>
  <c r="G46" i="1"/>
  <c r="K16" i="1"/>
  <c r="P58" i="1"/>
  <c r="I31" i="1"/>
  <c r="D52" i="1"/>
  <c r="K54" i="1"/>
  <c r="N31" i="1"/>
  <c r="G28" i="1"/>
  <c r="AJ58" i="1"/>
  <c r="AK28" i="1"/>
  <c r="AL30" i="1"/>
  <c r="AK20" i="1"/>
  <c r="AK22" i="1"/>
  <c r="AL20" i="1"/>
  <c r="E32" i="1"/>
  <c r="E46" i="1"/>
  <c r="Q46" i="1"/>
  <c r="D31" i="1"/>
  <c r="BX137" i="1"/>
  <c r="BY137" i="1" s="1"/>
  <c r="R54" i="1"/>
  <c r="R27" i="1"/>
  <c r="U46" i="1"/>
  <c r="M22" i="1"/>
  <c r="I54" i="1"/>
  <c r="BX136" i="1"/>
  <c r="BY136" i="1" s="1"/>
  <c r="S42" i="1"/>
  <c r="M42" i="1"/>
  <c r="B54" i="1"/>
  <c r="W28" i="1"/>
  <c r="H53" i="1"/>
  <c r="O54" i="1"/>
  <c r="P30" i="1"/>
  <c r="N54" i="1"/>
  <c r="J46" i="1"/>
  <c r="O28" i="1"/>
  <c r="J43" i="1"/>
  <c r="D58" i="1"/>
  <c r="R42" i="1"/>
  <c r="U27" i="1"/>
  <c r="H22" i="1"/>
  <c r="S53" i="1"/>
  <c r="P20" i="1"/>
  <c r="M43" i="1"/>
  <c r="M54" i="1"/>
  <c r="N39" i="1"/>
  <c r="N206" i="1" s="1"/>
  <c r="K31" i="1"/>
  <c r="I39" i="1"/>
  <c r="I206" i="1" s="1"/>
  <c r="G22" i="1"/>
  <c r="C15" i="1"/>
  <c r="C243" i="1" s="1"/>
  <c r="V43" i="1"/>
  <c r="V264" i="1" s="1"/>
  <c r="AL167" i="1"/>
  <c r="AM167" i="1" s="1"/>
  <c r="AL81" i="1"/>
  <c r="BJ175" i="1"/>
  <c r="BK175" i="1" s="1"/>
  <c r="BJ166" i="1"/>
  <c r="BK166" i="1" s="1"/>
  <c r="BJ156" i="1"/>
  <c r="AJ136" i="1"/>
  <c r="AK136" i="1" s="1"/>
  <c r="AJ139" i="1"/>
  <c r="AK139" i="1" s="1"/>
  <c r="AJ171" i="1"/>
  <c r="BJ139" i="1"/>
  <c r="BK139" i="1" s="1"/>
  <c r="AJ134" i="1"/>
  <c r="AK134" i="1" s="1"/>
  <c r="AL157" i="1"/>
  <c r="AL162" i="1"/>
  <c r="AM162" i="1" s="1"/>
  <c r="AL154" i="1"/>
  <c r="AM154" i="1" s="1"/>
  <c r="AL143" i="1"/>
  <c r="AL137" i="1"/>
  <c r="AM137" i="1" s="1"/>
  <c r="AL176" i="1"/>
  <c r="AM176" i="1" s="1"/>
  <c r="AL161" i="1"/>
  <c r="AM161" i="1" s="1"/>
  <c r="AL131" i="1"/>
  <c r="BJ171" i="1"/>
  <c r="BJ172" i="1"/>
  <c r="BJ159" i="1"/>
  <c r="BK159" i="1" s="1"/>
  <c r="BJ161" i="1"/>
  <c r="AJ162" i="1"/>
  <c r="AK162" i="1" s="1"/>
  <c r="AJ165" i="1"/>
  <c r="AL147" i="1"/>
  <c r="AM147" i="1" s="1"/>
  <c r="BJ167" i="1"/>
  <c r="BK167" i="1" s="1"/>
  <c r="AJ161" i="1"/>
  <c r="AK161" i="1" s="1"/>
  <c r="BJ136" i="1"/>
  <c r="BK136" i="1" s="1"/>
  <c r="AL145" i="1"/>
  <c r="AL175" i="1"/>
  <c r="AM175" i="1" s="1"/>
  <c r="BJ143" i="1"/>
  <c r="BJ157" i="1"/>
  <c r="BJ176" i="1"/>
  <c r="AJ154" i="1"/>
  <c r="AK154" i="1" s="1"/>
  <c r="AJ166" i="1"/>
  <c r="AK166" i="1" s="1"/>
  <c r="AL163" i="1"/>
  <c r="AM163" i="1" s="1"/>
  <c r="BJ131" i="1"/>
  <c r="AL134" i="1"/>
  <c r="AM134" i="1" s="1"/>
  <c r="BJ138" i="1"/>
  <c r="BK138" i="1" s="1"/>
  <c r="AL165" i="1"/>
  <c r="AL158" i="1"/>
  <c r="AM158" i="1" s="1"/>
  <c r="AL164" i="1"/>
  <c r="AM164" i="1" s="1"/>
  <c r="AL171" i="1"/>
  <c r="AL156" i="1"/>
  <c r="BJ152" i="1"/>
  <c r="BK152" i="1" s="1"/>
  <c r="BL214" i="1" s="1"/>
  <c r="BJ164" i="1"/>
  <c r="BK164" i="1" s="1"/>
  <c r="BJ147" i="1"/>
  <c r="BK147" i="1" s="1"/>
  <c r="BJ137" i="1"/>
  <c r="BK137" i="1" s="1"/>
  <c r="BJ154" i="1"/>
  <c r="BK154" i="1" s="1"/>
  <c r="BJ144" i="1"/>
  <c r="AJ145" i="1"/>
  <c r="AJ156" i="1"/>
  <c r="AJ157" i="1"/>
  <c r="AJ172" i="1"/>
  <c r="AJ131" i="1"/>
  <c r="AJ137" i="1"/>
  <c r="AK137" i="1" s="1"/>
  <c r="AL166" i="1"/>
  <c r="AM166" i="1" s="1"/>
  <c r="AL129" i="1"/>
  <c r="AM129" i="1" s="1"/>
  <c r="BJ158" i="1"/>
  <c r="BK158" i="1" s="1"/>
  <c r="AL138" i="1"/>
  <c r="AM138" i="1" s="1"/>
  <c r="AL130" i="1"/>
  <c r="AM130" i="1" s="1"/>
  <c r="AL136" i="1"/>
  <c r="AM136" i="1" s="1"/>
  <c r="AL144" i="1"/>
  <c r="AL172" i="1"/>
  <c r="AL139" i="1"/>
  <c r="AM139" i="1" s="1"/>
  <c r="AL80" i="1"/>
  <c r="AL159" i="1"/>
  <c r="AM159" i="1" s="1"/>
  <c r="BJ130" i="1"/>
  <c r="BK130" i="1" s="1"/>
  <c r="BJ165" i="1"/>
  <c r="BJ162" i="1"/>
  <c r="BK162" i="1" s="1"/>
  <c r="BJ145" i="1"/>
  <c r="BJ163" i="1"/>
  <c r="BK163" i="1" s="1"/>
  <c r="AJ176" i="1"/>
  <c r="AK176" i="1" s="1"/>
  <c r="AJ138" i="1"/>
  <c r="AK138" i="1" s="1"/>
  <c r="AJ144" i="1"/>
  <c r="AJ167" i="1"/>
  <c r="AK167" i="1" s="1"/>
  <c r="AJ130" i="1"/>
  <c r="AK130" i="1" s="1"/>
  <c r="AL152" i="1"/>
  <c r="AM152" i="1" s="1"/>
  <c r="AM214" i="1" s="1"/>
  <c r="BJ134" i="1"/>
  <c r="BK134" i="1" s="1"/>
  <c r="BJ129" i="1"/>
  <c r="AJ143" i="1"/>
  <c r="AJ147" i="1"/>
  <c r="AK147" i="1" s="1"/>
  <c r="AJ159" i="1"/>
  <c r="AK159" i="1" s="1"/>
  <c r="AJ155" i="1"/>
  <c r="AK155" i="1" s="1"/>
  <c r="AL149" i="1"/>
  <c r="AM149" i="1" s="1"/>
  <c r="BJ149" i="1"/>
  <c r="BK149" i="1" s="1"/>
  <c r="BJ155" i="1"/>
  <c r="AL155" i="1"/>
  <c r="IL8" i="4"/>
  <c r="IG7" i="4"/>
  <c r="IW7" i="4"/>
  <c r="IB15" i="4"/>
  <c r="JF7" i="4"/>
  <c r="HT7" i="4"/>
  <c r="IK15" i="4"/>
  <c r="JB15" i="4"/>
  <c r="HU14" i="4"/>
  <c r="IN15" i="4"/>
  <c r="IE8" i="4"/>
  <c r="HZ15" i="4"/>
  <c r="IT15" i="4"/>
  <c r="IY14" i="4"/>
  <c r="HW8" i="4"/>
  <c r="IV8" i="4"/>
  <c r="IO8" i="4"/>
  <c r="IJ15" i="4"/>
  <c r="IC8" i="4"/>
  <c r="II14" i="4"/>
  <c r="IE15" i="4"/>
  <c r="HS15" i="4"/>
  <c r="JH8" i="4"/>
  <c r="JA15" i="4"/>
  <c r="HQ7" i="4"/>
  <c r="HT15" i="4"/>
  <c r="IX8" i="4"/>
  <c r="IJ7" i="4"/>
  <c r="IQ14" i="4"/>
  <c r="IM14" i="4"/>
  <c r="IS8" i="4"/>
  <c r="IP14" i="4"/>
  <c r="IH7" i="4"/>
  <c r="JD8" i="4"/>
  <c r="HS8" i="4"/>
  <c r="JB14" i="4"/>
  <c r="IR8" i="4"/>
  <c r="CP84" i="1"/>
  <c r="CN70" i="1"/>
  <c r="CM72" i="1"/>
  <c r="CM118" i="1" s="1"/>
  <c r="CM114" i="1" s="1"/>
  <c r="W105" i="1" l="1"/>
  <c r="E243" i="1"/>
  <c r="P17" i="1"/>
  <c r="S17" i="1"/>
  <c r="U23" i="1"/>
  <c r="S264" i="1"/>
  <c r="HW21" i="4"/>
  <c r="AQ84" i="1" s="1"/>
  <c r="IR16" i="4" s="1"/>
  <c r="IR21" i="4" s="1"/>
  <c r="BL84" i="1" s="1"/>
  <c r="HQ21" i="4"/>
  <c r="AK84" i="1" s="1"/>
  <c r="IF14" i="4" s="1"/>
  <c r="IS15" i="4" s="1"/>
  <c r="IS14" i="4" s="1"/>
  <c r="IU8" i="4" s="1"/>
  <c r="IM21" i="4"/>
  <c r="BG84" i="1" s="1"/>
  <c r="HV9" i="4" s="1"/>
  <c r="HV21" i="4" s="1"/>
  <c r="AP84" i="1" s="1"/>
  <c r="IE9" i="4" s="1"/>
  <c r="HP16" i="4" s="1"/>
  <c r="Q17" i="1"/>
  <c r="G264" i="1"/>
  <c r="G17" i="1"/>
  <c r="G195" i="1"/>
  <c r="Q264" i="1"/>
  <c r="AM17" i="1"/>
  <c r="IY21" i="4"/>
  <c r="BS84" i="1" s="1"/>
  <c r="BS118" i="1" s="1"/>
  <c r="BS114" i="1" s="1"/>
  <c r="IW21" i="4"/>
  <c r="BQ84" i="1" s="1"/>
  <c r="BQ118" i="1" s="1"/>
  <c r="BQ114" i="1" s="1"/>
  <c r="IH21" i="4"/>
  <c r="BB84" i="1" s="1"/>
  <c r="IZ21" i="4"/>
  <c r="BT84" i="1" s="1"/>
  <c r="BT118" i="1" s="1"/>
  <c r="BT114" i="1" s="1"/>
  <c r="IA21" i="4"/>
  <c r="AU84" i="1" s="1"/>
  <c r="JF21" i="4"/>
  <c r="BZ84" i="1" s="1"/>
  <c r="IO21" i="4"/>
  <c r="BI84" i="1" s="1"/>
  <c r="AL243" i="1"/>
  <c r="Q195" i="1"/>
  <c r="AL17" i="1"/>
  <c r="IS21" i="4"/>
  <c r="BM84" i="1" s="1"/>
  <c r="BM118" i="1" s="1"/>
  <c r="BM114" i="1" s="1"/>
  <c r="IE21" i="4"/>
  <c r="AY84" i="1" s="1"/>
  <c r="IT21" i="4"/>
  <c r="BN84" i="1" s="1"/>
  <c r="BN118" i="1" s="1"/>
  <c r="BN114" i="1" s="1"/>
  <c r="JI21" i="4"/>
  <c r="CC84" i="1" s="1"/>
  <c r="C265" i="1"/>
  <c r="G265" i="1"/>
  <c r="K265" i="1"/>
  <c r="K17" i="1"/>
  <c r="K264" i="1"/>
  <c r="L264" i="1"/>
  <c r="E17" i="1"/>
  <c r="U265" i="1"/>
  <c r="U206" i="1"/>
  <c r="D243" i="1"/>
  <c r="IQ9" i="4"/>
  <c r="IG16" i="4" s="1"/>
  <c r="BR118" i="1"/>
  <c r="BR114" i="1" s="1"/>
  <c r="IB16" i="4"/>
  <c r="BL101" i="1"/>
  <c r="HU16" i="4" s="1"/>
  <c r="HU21" i="4" s="1"/>
  <c r="AO84" i="1" s="1"/>
  <c r="HU8" i="4" s="1"/>
  <c r="BL118" i="1"/>
  <c r="BL114" i="1" s="1"/>
  <c r="BX11" i="1"/>
  <c r="BX6" i="1"/>
  <c r="CB10" i="1" s="1"/>
  <c r="C33" i="1"/>
  <c r="D17" i="1"/>
  <c r="E18" i="1" s="1"/>
  <c r="I265" i="1"/>
  <c r="CZ5" i="1"/>
  <c r="CZ7" i="1" s="1"/>
  <c r="CY9" i="1"/>
  <c r="D264" i="1"/>
  <c r="H17" i="1"/>
  <c r="H23" i="1" s="1"/>
  <c r="H24" i="1" s="1"/>
  <c r="P264" i="1"/>
  <c r="J265" i="1"/>
  <c r="H33" i="1"/>
  <c r="Q265" i="1"/>
  <c r="IB8" i="4"/>
  <c r="IC14" i="4"/>
  <c r="JC21" i="4"/>
  <c r="BW84" i="1" s="1"/>
  <c r="BW118" i="1" s="1"/>
  <c r="BW114" i="1" s="1"/>
  <c r="JC14" i="4"/>
  <c r="HW7" i="4"/>
  <c r="IA15" i="4"/>
  <c r="HV15" i="4"/>
  <c r="IT14" i="4"/>
  <c r="HV7" i="4"/>
  <c r="HZ21" i="4"/>
  <c r="AT84" i="1" s="1"/>
  <c r="HZ8" i="4"/>
  <c r="JH14" i="4"/>
  <c r="B264" i="1"/>
  <c r="JA7" i="4"/>
  <c r="HX15" i="4"/>
  <c r="HX20" i="4" s="1"/>
  <c r="AR86" i="1" s="1"/>
  <c r="AR120" i="1" s="1"/>
  <c r="L33" i="1"/>
  <c r="AL23" i="1"/>
  <c r="AL24" i="1" s="1"/>
  <c r="AJ206" i="1"/>
  <c r="AJ40" i="1"/>
  <c r="AL264" i="1"/>
  <c r="AL265" i="1"/>
  <c r="M243" i="1"/>
  <c r="M264" i="1"/>
  <c r="M265" i="1"/>
  <c r="B243" i="1"/>
  <c r="B17" i="1"/>
  <c r="B23" i="1" s="1"/>
  <c r="B24" i="1" s="1"/>
  <c r="R243" i="1"/>
  <c r="R17" i="1"/>
  <c r="W200" i="1"/>
  <c r="X18" i="1"/>
  <c r="W18" i="1"/>
  <c r="X200" i="1"/>
  <c r="M33" i="1"/>
  <c r="V23" i="1"/>
  <c r="BY129" i="1"/>
  <c r="BY132" i="1" s="1"/>
  <c r="BX132" i="1"/>
  <c r="R206" i="1"/>
  <c r="R265" i="1"/>
  <c r="HP15" i="4"/>
  <c r="IM8" i="4"/>
  <c r="IU15" i="4"/>
  <c r="IU20" i="4" s="1"/>
  <c r="BO86" i="1" s="1"/>
  <c r="BO120" i="1" s="1"/>
  <c r="BO116" i="1" s="1"/>
  <c r="IX15" i="4"/>
  <c r="IX20" i="4" s="1"/>
  <c r="BR86" i="1" s="1"/>
  <c r="BR120" i="1" s="1"/>
  <c r="BR116" i="1" s="1"/>
  <c r="HR8" i="4"/>
  <c r="IC21" i="4"/>
  <c r="AW84" i="1" s="1"/>
  <c r="IC7" i="4"/>
  <c r="IC19" i="4" s="1"/>
  <c r="AW85" i="1" s="1"/>
  <c r="AW119" i="1" s="1"/>
  <c r="JC8" i="4"/>
  <c r="JH15" i="4"/>
  <c r="JH20" i="4" s="1"/>
  <c r="CB86" i="1" s="1"/>
  <c r="IR15" i="4"/>
  <c r="IR20" i="4" s="1"/>
  <c r="BL86" i="1" s="1"/>
  <c r="BL103" i="1" s="1"/>
  <c r="JC15" i="4"/>
  <c r="JC20" i="4" s="1"/>
  <c r="BW86" i="1" s="1"/>
  <c r="BW120" i="1" s="1"/>
  <c r="BW116" i="1" s="1"/>
  <c r="IL21" i="4"/>
  <c r="BF84" i="1" s="1"/>
  <c r="IA7" i="4"/>
  <c r="JF8" i="4"/>
  <c r="HR21" i="4"/>
  <c r="AL84" i="1" s="1"/>
  <c r="II15" i="4"/>
  <c r="IG8" i="4"/>
  <c r="IG20" i="4" s="1"/>
  <c r="BA86" i="1" s="1"/>
  <c r="BA120" i="1" s="1"/>
  <c r="JD14" i="4"/>
  <c r="JD19" i="4" s="1"/>
  <c r="BX85" i="1" s="1"/>
  <c r="HT21" i="4"/>
  <c r="AN84" i="1" s="1"/>
  <c r="IH8" i="4"/>
  <c r="IX7" i="4"/>
  <c r="JG14" i="4"/>
  <c r="JG8" i="4"/>
  <c r="JF15" i="4"/>
  <c r="JF20" i="4" s="1"/>
  <c r="BZ86" i="1" s="1"/>
  <c r="II7" i="4"/>
  <c r="II19" i="4" s="1"/>
  <c r="BC85" i="1" s="1"/>
  <c r="BC119" i="1" s="1"/>
  <c r="IK7" i="4"/>
  <c r="IP21" i="4"/>
  <c r="BJ84" i="1" s="1"/>
  <c r="HR14" i="4"/>
  <c r="HW15" i="4"/>
  <c r="HW20" i="4" s="1"/>
  <c r="AQ86" i="1" s="1"/>
  <c r="AQ120" i="1" s="1"/>
  <c r="HV14" i="4"/>
  <c r="IV15" i="4"/>
  <c r="IV20" i="4" s="1"/>
  <c r="BP86" i="1" s="1"/>
  <c r="BP120" i="1" s="1"/>
  <c r="BP116" i="1" s="1"/>
  <c r="HR15" i="4"/>
  <c r="JE15" i="4"/>
  <c r="JB7" i="4"/>
  <c r="JD15" i="4"/>
  <c r="HQ14" i="4"/>
  <c r="HR7" i="4"/>
  <c r="O264" i="1"/>
  <c r="IO15" i="4"/>
  <c r="IX14" i="4"/>
  <c r="IQ7" i="4"/>
  <c r="JI15" i="4"/>
  <c r="HX7" i="4"/>
  <c r="HW14" i="4"/>
  <c r="BX265" i="1"/>
  <c r="HV8" i="4"/>
  <c r="IR14" i="4"/>
  <c r="IR19" i="4" s="1"/>
  <c r="BL85" i="1" s="1"/>
  <c r="HP14" i="4"/>
  <c r="IK8" i="4"/>
  <c r="IK20" i="4" s="1"/>
  <c r="BE86" i="1" s="1"/>
  <c r="BE120" i="1" s="1"/>
  <c r="IS7" i="4"/>
  <c r="HY7" i="4"/>
  <c r="BY140" i="1"/>
  <c r="H264" i="1"/>
  <c r="I33" i="1"/>
  <c r="R264" i="1"/>
  <c r="IL14" i="4"/>
  <c r="IL19" i="4" s="1"/>
  <c r="BF85" i="1" s="1"/>
  <c r="BF119" i="1" s="1"/>
  <c r="IT8" i="4"/>
  <c r="IT20" i="4" s="1"/>
  <c r="BN86" i="1" s="1"/>
  <c r="BN120" i="1" s="1"/>
  <c r="BN116" i="1" s="1"/>
  <c r="HP7" i="4"/>
  <c r="IK21" i="4"/>
  <c r="BE84" i="1" s="1"/>
  <c r="JI8" i="4"/>
  <c r="IT7" i="4"/>
  <c r="IV21" i="4"/>
  <c r="BP84" i="1" s="1"/>
  <c r="BP118" i="1" s="1"/>
  <c r="BP114" i="1" s="1"/>
  <c r="IW8" i="4"/>
  <c r="IB7" i="4"/>
  <c r="IZ14" i="4"/>
  <c r="IZ19" i="4" s="1"/>
  <c r="BT85" i="1" s="1"/>
  <c r="BT119" i="1" s="1"/>
  <c r="BT115" i="1" s="1"/>
  <c r="II8" i="4"/>
  <c r="II20" i="4" s="1"/>
  <c r="BC86" i="1" s="1"/>
  <c r="BC120" i="1" s="1"/>
  <c r="BX33" i="1"/>
  <c r="IV7" i="4"/>
  <c r="IP8" i="4"/>
  <c r="HT14" i="4"/>
  <c r="HT19" i="4" s="1"/>
  <c r="AN85" i="1" s="1"/>
  <c r="AN119" i="1" s="1"/>
  <c r="JG7" i="4"/>
  <c r="JD21" i="4"/>
  <c r="BX84" i="1" s="1"/>
  <c r="BX118" i="1" s="1"/>
  <c r="BX114" i="1" s="1"/>
  <c r="W23" i="1"/>
  <c r="C264" i="1"/>
  <c r="P195" i="1"/>
  <c r="L17" i="1"/>
  <c r="O33" i="1"/>
  <c r="V33" i="1"/>
  <c r="N33" i="1"/>
  <c r="AJ17" i="1"/>
  <c r="AM33" i="1"/>
  <c r="AM34" i="1" s="1"/>
  <c r="IV14" i="4"/>
  <c r="IV19" i="4" s="1"/>
  <c r="BP85" i="1" s="1"/>
  <c r="BP119" i="1" s="1"/>
  <c r="BP115" i="1" s="1"/>
  <c r="T33" i="1"/>
  <c r="J33" i="1"/>
  <c r="G33" i="1"/>
  <c r="U33" i="1"/>
  <c r="Q33" i="1"/>
  <c r="BX146" i="1"/>
  <c r="BY40" i="1" s="1"/>
  <c r="B265" i="1"/>
  <c r="B33" i="1"/>
  <c r="P33" i="1"/>
  <c r="AK33" i="1"/>
  <c r="R33" i="1"/>
  <c r="BJ191" i="1"/>
  <c r="BK191" i="1" s="1"/>
  <c r="BJ192" i="1"/>
  <c r="BK192" i="1" s="1"/>
  <c r="AL195" i="1"/>
  <c r="AM195" i="1" s="1"/>
  <c r="AJ191" i="1"/>
  <c r="AM206" i="1"/>
  <c r="AM265" i="1"/>
  <c r="I243" i="1"/>
  <c r="I17" i="1"/>
  <c r="I264" i="1"/>
  <c r="H206" i="1"/>
  <c r="H265" i="1"/>
  <c r="V206" i="1"/>
  <c r="V265" i="1"/>
  <c r="L265" i="1"/>
  <c r="L206" i="1"/>
  <c r="AM243" i="1"/>
  <c r="AM264" i="1"/>
  <c r="IO14" i="4"/>
  <c r="IO19" i="4" s="1"/>
  <c r="BI85" i="1" s="1"/>
  <c r="BI119" i="1" s="1"/>
  <c r="IB14" i="4"/>
  <c r="IZ15" i="4"/>
  <c r="IZ20" i="4" s="1"/>
  <c r="BT86" i="1" s="1"/>
  <c r="BT120" i="1" s="1"/>
  <c r="BT116" i="1" s="1"/>
  <c r="IY7" i="4"/>
  <c r="IY19" i="4" s="1"/>
  <c r="BS85" i="1" s="1"/>
  <c r="BS119" i="1" s="1"/>
  <c r="BS115" i="1" s="1"/>
  <c r="HQ8" i="4"/>
  <c r="HQ20" i="4" s="1"/>
  <c r="AK86" i="1" s="1"/>
  <c r="IN21" i="4"/>
  <c r="BH84" i="1" s="1"/>
  <c r="IP7" i="4"/>
  <c r="IP19" i="4" s="1"/>
  <c r="BJ85" i="1" s="1"/>
  <c r="BJ119" i="1" s="1"/>
  <c r="IG14" i="4"/>
  <c r="IG19" i="4" s="1"/>
  <c r="BA85" i="1" s="1"/>
  <c r="BA119" i="1" s="1"/>
  <c r="AJ33" i="1"/>
  <c r="ID8" i="4"/>
  <c r="ID20" i="4" s="1"/>
  <c r="AX86" i="1" s="1"/>
  <c r="AX120" i="1" s="1"/>
  <c r="AJ195" i="1"/>
  <c r="IH14" i="4"/>
  <c r="IH19" i="4" s="1"/>
  <c r="BB85" i="1" s="1"/>
  <c r="BB119" i="1" s="1"/>
  <c r="BX173" i="1"/>
  <c r="HX14" i="4"/>
  <c r="E33" i="1"/>
  <c r="HY14" i="4"/>
  <c r="CA105" i="1"/>
  <c r="CA106" i="1" s="1"/>
  <c r="F264" i="1"/>
  <c r="T17" i="1"/>
  <c r="V200" i="1"/>
  <c r="N264" i="1"/>
  <c r="D33" i="1"/>
  <c r="F265" i="1"/>
  <c r="JF14" i="4"/>
  <c r="JF19" i="4" s="1"/>
  <c r="BZ85" i="1" s="1"/>
  <c r="Q243" i="1"/>
  <c r="N17" i="1"/>
  <c r="IE14" i="4"/>
  <c r="IE19" i="4" s="1"/>
  <c r="AY85" i="1" s="1"/>
  <c r="AY119" i="1" s="1"/>
  <c r="S33" i="1"/>
  <c r="AK17" i="1"/>
  <c r="AM23" i="1"/>
  <c r="F33" i="1"/>
  <c r="HU15" i="4"/>
  <c r="IY15" i="4"/>
  <c r="IY20" i="4" s="1"/>
  <c r="BS86" i="1" s="1"/>
  <c r="BS120" i="1" s="1"/>
  <c r="BS116" i="1" s="1"/>
  <c r="C17" i="1"/>
  <c r="T264" i="1"/>
  <c r="S265" i="1"/>
  <c r="F17" i="1"/>
  <c r="G18" i="1" s="1"/>
  <c r="J264" i="1"/>
  <c r="AL192" i="1"/>
  <c r="AM192" i="1" s="1"/>
  <c r="AM105" i="1"/>
  <c r="AM106" i="1" s="1"/>
  <c r="W33" i="1"/>
  <c r="IM15" i="4"/>
  <c r="IL15" i="4"/>
  <c r="IL20" i="4" s="1"/>
  <c r="BF86" i="1" s="1"/>
  <c r="BF120" i="1" s="1"/>
  <c r="V18" i="1"/>
  <c r="U105" i="1"/>
  <c r="T265" i="1"/>
  <c r="AL191" i="1"/>
  <c r="AM191" i="1" s="1"/>
  <c r="AL33" i="1"/>
  <c r="IH15" i="4"/>
  <c r="IU14" i="4"/>
  <c r="IU19" i="4" s="1"/>
  <c r="BO85" i="1" s="1"/>
  <c r="BO119" i="1" s="1"/>
  <c r="BO115" i="1" s="1"/>
  <c r="P243" i="1"/>
  <c r="J17" i="1"/>
  <c r="P265" i="1"/>
  <c r="K33" i="1"/>
  <c r="O17" i="1"/>
  <c r="BX243" i="1"/>
  <c r="BX195" i="1"/>
  <c r="BY195" i="1" s="1"/>
  <c r="BX264" i="1"/>
  <c r="M17" i="1"/>
  <c r="O265" i="1"/>
  <c r="W265" i="1"/>
  <c r="BX168" i="1"/>
  <c r="BX197" i="1" s="1"/>
  <c r="BJ195" i="1"/>
  <c r="BK195" i="1" s="1"/>
  <c r="O243" i="1"/>
  <c r="BX140" i="1"/>
  <c r="N265" i="1"/>
  <c r="BX192" i="1"/>
  <c r="BY192" i="1" s="1"/>
  <c r="D265" i="1"/>
  <c r="BX191" i="1"/>
  <c r="BY191" i="1" s="1"/>
  <c r="BX17" i="1"/>
  <c r="BX160" i="1"/>
  <c r="BJ173" i="1"/>
  <c r="BK221" i="1" s="1"/>
  <c r="BJ146" i="1"/>
  <c r="BK140" i="1"/>
  <c r="BK129" i="1"/>
  <c r="BJ132" i="1"/>
  <c r="AJ173" i="1"/>
  <c r="AK221" i="1" s="1"/>
  <c r="AM140" i="1"/>
  <c r="AL173" i="1"/>
  <c r="AM221" i="1" s="1"/>
  <c r="BJ168" i="1"/>
  <c r="BJ197" i="1" s="1"/>
  <c r="AL146" i="1"/>
  <c r="AM146" i="1" s="1"/>
  <c r="AM150" i="1" s="1"/>
  <c r="BK161" i="1"/>
  <c r="BJ140" i="1"/>
  <c r="AJ140" i="1"/>
  <c r="AL168" i="1"/>
  <c r="AL197" i="1" s="1"/>
  <c r="AJ214" i="1"/>
  <c r="AL132" i="1"/>
  <c r="AL140" i="1"/>
  <c r="AI208" i="1"/>
  <c r="AI210" i="1" s="1"/>
  <c r="AJ146" i="1"/>
  <c r="AK40" i="1" s="1"/>
  <c r="AJ160" i="1"/>
  <c r="AJ192" i="1"/>
  <c r="AK192" i="1" s="1"/>
  <c r="AK140" i="1"/>
  <c r="AJ132" i="1"/>
  <c r="AJ168" i="1"/>
  <c r="BK155" i="1"/>
  <c r="BJ160" i="1"/>
  <c r="AM155" i="1"/>
  <c r="AL160" i="1"/>
  <c r="JG20" i="4"/>
  <c r="CA86" i="1" s="1"/>
  <c r="HT20" i="4"/>
  <c r="AN86" i="1" s="1"/>
  <c r="AN120" i="1" s="1"/>
  <c r="JB20" i="4"/>
  <c r="BV86" i="1" s="1"/>
  <c r="BV120" i="1" s="1"/>
  <c r="BV116" i="1" s="1"/>
  <c r="IC20" i="4"/>
  <c r="AW86" i="1" s="1"/>
  <c r="AW120" i="1" s="1"/>
  <c r="JA20" i="4"/>
  <c r="BU86" i="1" s="1"/>
  <c r="BU120" i="1" s="1"/>
  <c r="BU116" i="1" s="1"/>
  <c r="IN20" i="4"/>
  <c r="BH86" i="1" s="1"/>
  <c r="BH120" i="1" s="1"/>
  <c r="IE20" i="4"/>
  <c r="AY86" i="1" s="1"/>
  <c r="AY120" i="1" s="1"/>
  <c r="IW19" i="4"/>
  <c r="BQ85" i="1" s="1"/>
  <c r="BQ119" i="1" s="1"/>
  <c r="BQ115" i="1" s="1"/>
  <c r="IF20" i="4"/>
  <c r="AZ86" i="1" s="1"/>
  <c r="AZ120" i="1" s="1"/>
  <c r="IJ19" i="4"/>
  <c r="BD85" i="1" s="1"/>
  <c r="BD119" i="1" s="1"/>
  <c r="HS20" i="4"/>
  <c r="AM86" i="1" s="1"/>
  <c r="HU19" i="4"/>
  <c r="AO85" i="1" s="1"/>
  <c r="AO119" i="1" s="1"/>
  <c r="JE19" i="4"/>
  <c r="BY85" i="1" s="1"/>
  <c r="U24" i="1"/>
  <c r="AL214" i="1"/>
  <c r="AK214" i="1"/>
  <c r="BK214" i="1"/>
  <c r="P105" i="1"/>
  <c r="P23" i="1"/>
  <c r="BY214" i="1"/>
  <c r="CM39" i="1"/>
  <c r="AB84" i="1"/>
  <c r="CQ84" i="1"/>
  <c r="AC152" i="1"/>
  <c r="CN72" i="1"/>
  <c r="CN118" i="1" s="1"/>
  <c r="CN114" i="1" s="1"/>
  <c r="CO70" i="1"/>
  <c r="E34" i="1" l="1"/>
  <c r="D34" i="1"/>
  <c r="JG19" i="4"/>
  <c r="CA85" i="1" s="1"/>
  <c r="S105" i="1"/>
  <c r="S23" i="1"/>
  <c r="S24" i="1" s="1"/>
  <c r="JC19" i="4"/>
  <c r="BW85" i="1" s="1"/>
  <c r="BW119" i="1" s="1"/>
  <c r="BW115" i="1" s="1"/>
  <c r="IS20" i="4"/>
  <c r="BM86" i="1" s="1"/>
  <c r="BM120" i="1" s="1"/>
  <c r="BM116" i="1" s="1"/>
  <c r="JH19" i="4"/>
  <c r="CB85" i="1" s="1"/>
  <c r="IO20" i="4"/>
  <c r="BI86" i="1" s="1"/>
  <c r="BI120" i="1" s="1"/>
  <c r="JA9" i="4"/>
  <c r="IG21" i="4"/>
  <c r="BA84" i="1" s="1"/>
  <c r="HP9" i="4" s="1"/>
  <c r="HU20" i="4"/>
  <c r="AO86" i="1" s="1"/>
  <c r="AO120" i="1" s="1"/>
  <c r="HY8" i="4"/>
  <c r="IJ8" i="4" s="1"/>
  <c r="HV19" i="4"/>
  <c r="AP85" i="1" s="1"/>
  <c r="AP119" i="1" s="1"/>
  <c r="HV20" i="4"/>
  <c r="AP86" i="1" s="1"/>
  <c r="AP120" i="1" s="1"/>
  <c r="JI14" i="4"/>
  <c r="JI19" i="4" s="1"/>
  <c r="CC85" i="1" s="1"/>
  <c r="BZ118" i="1"/>
  <c r="BZ114" i="1" s="1"/>
  <c r="BZ101" i="1"/>
  <c r="CC118" i="1"/>
  <c r="CC114" i="1" s="1"/>
  <c r="CC92" i="1"/>
  <c r="JA21" i="4"/>
  <c r="BU84" i="1" s="1"/>
  <c r="HS9" i="4"/>
  <c r="HS21" i="4" s="1"/>
  <c r="AM84" i="1" s="1"/>
  <c r="AM109" i="1" s="1"/>
  <c r="IJ16" i="4"/>
  <c r="IJ21" i="4" s="1"/>
  <c r="BD84" i="1" s="1"/>
  <c r="HP8" i="4" s="1"/>
  <c r="HR20" i="4"/>
  <c r="AL86" i="1" s="1"/>
  <c r="IX19" i="4"/>
  <c r="BR85" i="1" s="1"/>
  <c r="BR119" i="1" s="1"/>
  <c r="BR115" i="1" s="1"/>
  <c r="JI20" i="4"/>
  <c r="CC86" i="1" s="1"/>
  <c r="HW19" i="4"/>
  <c r="AQ85" i="1" s="1"/>
  <c r="AQ119" i="1" s="1"/>
  <c r="IS19" i="4"/>
  <c r="BM85" i="1" s="1"/>
  <c r="BM119" i="1" s="1"/>
  <c r="BM115" i="1" s="1"/>
  <c r="CC109" i="1"/>
  <c r="CC101" i="1"/>
  <c r="IQ19" i="4"/>
  <c r="BK85" i="1" s="1"/>
  <c r="BK119" i="1" s="1"/>
  <c r="HZ20" i="4"/>
  <c r="AT86" i="1" s="1"/>
  <c r="AT120" i="1" s="1"/>
  <c r="IB20" i="4"/>
  <c r="AV86" i="1" s="1"/>
  <c r="AV120" i="1" s="1"/>
  <c r="JB19" i="4"/>
  <c r="BV85" i="1" s="1"/>
  <c r="BV119" i="1" s="1"/>
  <c r="BV115" i="1" s="1"/>
  <c r="H105" i="1"/>
  <c r="HQ19" i="4"/>
  <c r="AK85" i="1" s="1"/>
  <c r="S18" i="1"/>
  <c r="S200" i="1"/>
  <c r="JD20" i="4"/>
  <c r="BX86" i="1" s="1"/>
  <c r="BX120" i="1" s="1"/>
  <c r="BX116" i="1" s="1"/>
  <c r="H18" i="1"/>
  <c r="IA20" i="4"/>
  <c r="AU86" i="1" s="1"/>
  <c r="AU120" i="1" s="1"/>
  <c r="IT19" i="4"/>
  <c r="BN85" i="1" s="1"/>
  <c r="BN119" i="1" s="1"/>
  <c r="BN115" i="1" s="1"/>
  <c r="E105" i="1"/>
  <c r="E23" i="1"/>
  <c r="G105" i="1"/>
  <c r="G23" i="1"/>
  <c r="H200" i="1"/>
  <c r="K105" i="1"/>
  <c r="K23" i="1"/>
  <c r="Q200" i="1"/>
  <c r="Q23" i="1"/>
  <c r="Q24" i="1" s="1"/>
  <c r="Q105" i="1"/>
  <c r="Q18" i="1"/>
  <c r="AM19" i="1"/>
  <c r="E200" i="1"/>
  <c r="CZ8" i="1"/>
  <c r="CZ15" i="1"/>
  <c r="D23" i="1"/>
  <c r="HP19" i="4"/>
  <c r="AJ85" i="1" s="1"/>
  <c r="IB19" i="4"/>
  <c r="AV85" i="1" s="1"/>
  <c r="AV119" i="1" s="1"/>
  <c r="AJ34" i="1"/>
  <c r="HX19" i="4"/>
  <c r="AR85" i="1" s="1"/>
  <c r="AR119" i="1" s="1"/>
  <c r="HY19" i="4"/>
  <c r="AS85" i="1" s="1"/>
  <c r="AS119" i="1" s="1"/>
  <c r="IM20" i="4"/>
  <c r="BG86" i="1" s="1"/>
  <c r="BG120" i="1" s="1"/>
  <c r="IH20" i="4"/>
  <c r="BB86" i="1" s="1"/>
  <c r="BB120" i="1" s="1"/>
  <c r="BX141" i="1"/>
  <c r="R105" i="1"/>
  <c r="R18" i="1"/>
  <c r="R200" i="1"/>
  <c r="R23" i="1"/>
  <c r="BY99" i="1"/>
  <c r="BZ219" i="1"/>
  <c r="B35" i="1"/>
  <c r="B36" i="1" s="1"/>
  <c r="B34" i="1"/>
  <c r="HR19" i="4"/>
  <c r="AL85" i="1" s="1"/>
  <c r="AL119" i="1" s="1"/>
  <c r="V24" i="1"/>
  <c r="W25" i="1"/>
  <c r="V25" i="1"/>
  <c r="BX99" i="1"/>
  <c r="BY219" i="1"/>
  <c r="X25" i="1"/>
  <c r="W24" i="1"/>
  <c r="L105" i="1"/>
  <c r="L23" i="1"/>
  <c r="L18" i="1"/>
  <c r="L200" i="1"/>
  <c r="J23" i="1"/>
  <c r="J24" i="1" s="1"/>
  <c r="K200" i="1"/>
  <c r="K18" i="1"/>
  <c r="O105" i="1"/>
  <c r="P200" i="1"/>
  <c r="O23" i="1"/>
  <c r="P18" i="1"/>
  <c r="BX194" i="1"/>
  <c r="BX198" i="1" s="1"/>
  <c r="CB201" i="1" s="1"/>
  <c r="BX169" i="1"/>
  <c r="M200" i="1"/>
  <c r="BX34" i="1"/>
  <c r="AL196" i="1"/>
  <c r="BZ218" i="1"/>
  <c r="BZ261" i="1"/>
  <c r="BZ263" i="1" s="1"/>
  <c r="BY141" i="1"/>
  <c r="V34" i="1"/>
  <c r="V35" i="1"/>
  <c r="AJ23" i="1"/>
  <c r="AJ24" i="1" s="1"/>
  <c r="AK19" i="1"/>
  <c r="BY146" i="1"/>
  <c r="BX150" i="1"/>
  <c r="BX258" i="1" s="1"/>
  <c r="J200" i="1"/>
  <c r="I105" i="1"/>
  <c r="I23" i="1"/>
  <c r="I200" i="1"/>
  <c r="I18" i="1"/>
  <c r="BY221" i="1"/>
  <c r="BX260" i="1"/>
  <c r="BX180" i="1"/>
  <c r="U200" i="1"/>
  <c r="T23" i="1"/>
  <c r="T200" i="1"/>
  <c r="U18" i="1"/>
  <c r="T105" i="1"/>
  <c r="T18" i="1"/>
  <c r="N23" i="1"/>
  <c r="N105" i="1"/>
  <c r="O18" i="1"/>
  <c r="O200" i="1"/>
  <c r="AL19" i="1"/>
  <c r="AM237" i="1"/>
  <c r="AK34" i="1"/>
  <c r="AK23" i="1"/>
  <c r="AM26" i="1"/>
  <c r="AM35" i="1"/>
  <c r="AM244" i="1" s="1"/>
  <c r="AM245" i="1" s="1"/>
  <c r="AM24" i="1"/>
  <c r="C34" i="1"/>
  <c r="C23" i="1"/>
  <c r="C200" i="1"/>
  <c r="D18" i="1"/>
  <c r="C18" i="1"/>
  <c r="D200" i="1"/>
  <c r="W34" i="1"/>
  <c r="W35" i="1"/>
  <c r="AL35" i="1"/>
  <c r="AL34" i="1"/>
  <c r="J18" i="1"/>
  <c r="BX196" i="1"/>
  <c r="N200" i="1"/>
  <c r="J105" i="1"/>
  <c r="F18" i="1"/>
  <c r="M105" i="1"/>
  <c r="F200" i="1"/>
  <c r="F23" i="1"/>
  <c r="F105" i="1"/>
  <c r="CC200" i="1"/>
  <c r="G200" i="1"/>
  <c r="N18" i="1"/>
  <c r="M18" i="1"/>
  <c r="M23" i="1"/>
  <c r="M24" i="1" s="1"/>
  <c r="BY218" i="1"/>
  <c r="BX23" i="1"/>
  <c r="BX35" i="1" s="1"/>
  <c r="BK261" i="1"/>
  <c r="CB18" i="1"/>
  <c r="BJ196" i="1"/>
  <c r="AJ141" i="1"/>
  <c r="BY19" i="1"/>
  <c r="BY261" i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M110" i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AK218" i="1"/>
  <c r="AM261" i="1"/>
  <c r="BK146" i="1"/>
  <c r="BJ150" i="1"/>
  <c r="BJ258" i="1" s="1"/>
  <c r="BL218" i="1"/>
  <c r="BL261" i="1"/>
  <c r="BJ99" i="1"/>
  <c r="BJ260" i="1"/>
  <c r="AJ180" i="1"/>
  <c r="AK44" i="1" s="1"/>
  <c r="AJ218" i="1"/>
  <c r="AM40" i="1"/>
  <c r="AL150" i="1"/>
  <c r="AL99" i="1"/>
  <c r="AL260" i="1"/>
  <c r="AL218" i="1"/>
  <c r="AM218" i="1"/>
  <c r="AJ209" i="1"/>
  <c r="AJ197" i="1"/>
  <c r="AK146" i="1"/>
  <c r="AL180" i="1"/>
  <c r="AJ169" i="1"/>
  <c r="BJ141" i="1"/>
  <c r="BJ180" i="1"/>
  <c r="BJ121" i="1" s="1"/>
  <c r="AJ150" i="1"/>
  <c r="BK218" i="1"/>
  <c r="AL261" i="1"/>
  <c r="AL141" i="1"/>
  <c r="AJ208" i="1"/>
  <c r="AJ194" i="1"/>
  <c r="BJ194" i="1"/>
  <c r="BJ169" i="1"/>
  <c r="AL194" i="1"/>
  <c r="AL169" i="1"/>
  <c r="BZ102" i="1"/>
  <c r="BZ96" i="1"/>
  <c r="BZ119" i="1"/>
  <c r="AM120" i="1"/>
  <c r="AM111" i="1"/>
  <c r="BX96" i="1"/>
  <c r="BX119" i="1"/>
  <c r="BX115" i="1" s="1"/>
  <c r="BL119" i="1"/>
  <c r="BL102" i="1"/>
  <c r="CA103" i="1"/>
  <c r="CA120" i="1"/>
  <c r="CA116" i="1" s="1"/>
  <c r="CA111" i="1"/>
  <c r="BZ120" i="1"/>
  <c r="BZ103" i="1"/>
  <c r="CB103" i="1"/>
  <c r="CB120" i="1"/>
  <c r="CB111" i="1"/>
  <c r="BL120" i="1"/>
  <c r="CB94" i="1"/>
  <c r="BY119" i="1"/>
  <c r="BY115" i="1" s="1"/>
  <c r="BY96" i="1"/>
  <c r="P24" i="1"/>
  <c r="CM206" i="1"/>
  <c r="CM144" i="1"/>
  <c r="CM146" i="1" s="1"/>
  <c r="CM150" i="1" s="1"/>
  <c r="CM215" i="1" s="1"/>
  <c r="CM213" i="1" s="1"/>
  <c r="CR84" i="1"/>
  <c r="AC214" i="1"/>
  <c r="AB161" i="1"/>
  <c r="AB129" i="1"/>
  <c r="CO72" i="1"/>
  <c r="CO118" i="1" s="1"/>
  <c r="CO114" i="1" s="1"/>
  <c r="CP70" i="1"/>
  <c r="CA237" i="1"/>
  <c r="HP21" i="4" l="1"/>
  <c r="AJ84" i="1" s="1"/>
  <c r="JH16" i="4" s="1"/>
  <c r="JH21" i="4" s="1"/>
  <c r="CB84" i="1" s="1"/>
  <c r="IQ16" i="4"/>
  <c r="IJ20" i="4"/>
  <c r="BD86" i="1" s="1"/>
  <c r="BD120" i="1" s="1"/>
  <c r="HS14" i="4"/>
  <c r="BX193" i="1"/>
  <c r="AL103" i="1"/>
  <c r="AL120" i="1"/>
  <c r="CB93" i="1"/>
  <c r="CB110" i="1"/>
  <c r="CB102" i="1"/>
  <c r="CB119" i="1"/>
  <c r="CC103" i="1"/>
  <c r="CC111" i="1"/>
  <c r="CC120" i="1"/>
  <c r="CC116" i="1" s="1"/>
  <c r="CC94" i="1"/>
  <c r="CA110" i="1"/>
  <c r="CA119" i="1"/>
  <c r="CA115" i="1" s="1"/>
  <c r="CA102" i="1"/>
  <c r="IN7" i="4"/>
  <c r="IN19" i="4" s="1"/>
  <c r="BH85" i="1" s="1"/>
  <c r="BH119" i="1" s="1"/>
  <c r="HP20" i="4"/>
  <c r="AJ86" i="1" s="1"/>
  <c r="L24" i="1"/>
  <c r="S25" i="1"/>
  <c r="I24" i="1"/>
  <c r="I25" i="1"/>
  <c r="J25" i="1"/>
  <c r="N24" i="1"/>
  <c r="T25" i="1"/>
  <c r="U25" i="1"/>
  <c r="T24" i="1"/>
  <c r="CC102" i="1"/>
  <c r="CC119" i="1"/>
  <c r="CC115" i="1" s="1"/>
  <c r="CC110" i="1"/>
  <c r="CC93" i="1"/>
  <c r="CF97" i="1" s="1"/>
  <c r="B124" i="1"/>
  <c r="R24" i="1"/>
  <c r="BX103" i="1"/>
  <c r="D24" i="1"/>
  <c r="D35" i="1"/>
  <c r="E25" i="1"/>
  <c r="R25" i="1"/>
  <c r="Q25" i="1"/>
  <c r="K24" i="1"/>
  <c r="G24" i="1"/>
  <c r="H25" i="1"/>
  <c r="E35" i="1"/>
  <c r="E36" i="1" s="1"/>
  <c r="E24" i="1"/>
  <c r="BU118" i="1"/>
  <c r="BU114" i="1" s="1"/>
  <c r="IP15" i="4"/>
  <c r="M25" i="1"/>
  <c r="BZ122" i="1"/>
  <c r="BZ115" i="1"/>
  <c r="BL122" i="1"/>
  <c r="BL115" i="1"/>
  <c r="BZ123" i="1"/>
  <c r="BZ116" i="1"/>
  <c r="CB123" i="1"/>
  <c r="CB126" i="1" s="1"/>
  <c r="CB116" i="1"/>
  <c r="BL123" i="1"/>
  <c r="BL116" i="1"/>
  <c r="BZ217" i="1"/>
  <c r="L25" i="1"/>
  <c r="DA5" i="1"/>
  <c r="DA7" i="1" s="1"/>
  <c r="CZ9" i="1"/>
  <c r="BY102" i="1"/>
  <c r="AJ35" i="1"/>
  <c r="K25" i="1"/>
  <c r="BX177" i="1"/>
  <c r="BX178" i="1" s="1"/>
  <c r="O25" i="1"/>
  <c r="BY217" i="1"/>
  <c r="BX102" i="1"/>
  <c r="BX101" i="1"/>
  <c r="O24" i="1"/>
  <c r="P25" i="1"/>
  <c r="V41" i="1"/>
  <c r="V45" i="1" s="1"/>
  <c r="V48" i="1" s="1"/>
  <c r="V124" i="1"/>
  <c r="V244" i="1"/>
  <c r="V245" i="1" s="1"/>
  <c r="V36" i="1"/>
  <c r="BX121" i="1"/>
  <c r="BX122" i="1" s="1"/>
  <c r="BY44" i="1"/>
  <c r="AK24" i="1"/>
  <c r="AK35" i="1"/>
  <c r="AL26" i="1"/>
  <c r="AK26" i="1"/>
  <c r="AM41" i="1"/>
  <c r="AM45" i="1" s="1"/>
  <c r="AM262" i="1"/>
  <c r="AM36" i="1"/>
  <c r="C24" i="1"/>
  <c r="D25" i="1"/>
  <c r="C35" i="1"/>
  <c r="C25" i="1"/>
  <c r="W244" i="1"/>
  <c r="W245" i="1" s="1"/>
  <c r="X37" i="1"/>
  <c r="X262" i="1"/>
  <c r="W41" i="1"/>
  <c r="W45" i="1" s="1"/>
  <c r="W37" i="1"/>
  <c r="W36" i="1"/>
  <c r="W124" i="1"/>
  <c r="W262" i="1"/>
  <c r="AL244" i="1"/>
  <c r="AL245" i="1" s="1"/>
  <c r="AM38" i="1"/>
  <c r="AL41" i="1"/>
  <c r="AL45" i="1" s="1"/>
  <c r="AL36" i="1"/>
  <c r="F24" i="1"/>
  <c r="G25" i="1"/>
  <c r="F25" i="1"/>
  <c r="BZ40" i="1"/>
  <c r="BY150" i="1"/>
  <c r="BY26" i="1"/>
  <c r="CB25" i="1"/>
  <c r="BX24" i="1"/>
  <c r="N25" i="1"/>
  <c r="AJ177" i="1"/>
  <c r="AJ178" i="1" s="1"/>
  <c r="AJ210" i="1"/>
  <c r="AL177" i="1"/>
  <c r="AL178" i="1" s="1"/>
  <c r="BL40" i="1"/>
  <c r="BK150" i="1"/>
  <c r="BL215" i="1" s="1"/>
  <c r="BL213" i="1" s="1"/>
  <c r="BJ101" i="1"/>
  <c r="BJ102" i="1"/>
  <c r="AM215" i="1"/>
  <c r="AM213" i="1" s="1"/>
  <c r="AL258" i="1"/>
  <c r="AK150" i="1"/>
  <c r="AL40" i="1"/>
  <c r="BJ122" i="1"/>
  <c r="AL101" i="1"/>
  <c r="AL102" i="1"/>
  <c r="AL121" i="1"/>
  <c r="AM44" i="1"/>
  <c r="AJ215" i="1"/>
  <c r="AJ213" i="1" s="1"/>
  <c r="BJ198" i="1"/>
  <c r="BJ193" i="1"/>
  <c r="AL193" i="1"/>
  <c r="AL198" i="1"/>
  <c r="BX36" i="1"/>
  <c r="BX41" i="1"/>
  <c r="CB37" i="1"/>
  <c r="CA124" i="1"/>
  <c r="BX244" i="1"/>
  <c r="BX245" i="1" s="1"/>
  <c r="BY38" i="1"/>
  <c r="BY262" i="1"/>
  <c r="BY263" i="1" s="1"/>
  <c r="CN39" i="1"/>
  <c r="CS84" i="1"/>
  <c r="AB175" i="1"/>
  <c r="CP72" i="1"/>
  <c r="CP118" i="1" s="1"/>
  <c r="CP114" i="1" s="1"/>
  <c r="CQ70" i="1"/>
  <c r="AC129" i="1"/>
  <c r="AC161" i="1"/>
  <c r="CB237" i="1"/>
  <c r="BQ1" i="1"/>
  <c r="BR1" i="1" s="1"/>
  <c r="BS1" i="1" s="1"/>
  <c r="BT1" i="1" s="1"/>
  <c r="D36" i="1" l="1"/>
  <c r="D41" i="1"/>
  <c r="D45" i="1" s="1"/>
  <c r="D244" i="1"/>
  <c r="D245" i="1" s="1"/>
  <c r="E37" i="1"/>
  <c r="D124" i="1"/>
  <c r="CB118" i="1"/>
  <c r="CB114" i="1" s="1"/>
  <c r="CB92" i="1"/>
  <c r="CB109" i="1"/>
  <c r="CB101" i="1"/>
  <c r="IQ21" i="4"/>
  <c r="BK84" i="1" s="1"/>
  <c r="JG16" i="4"/>
  <c r="JG21" i="4" s="1"/>
  <c r="CA84" i="1" s="1"/>
  <c r="HS19" i="4"/>
  <c r="AM85" i="1" s="1"/>
  <c r="ID16" i="4"/>
  <c r="ID21" i="4" s="1"/>
  <c r="AX84" i="1" s="1"/>
  <c r="HY15" i="4" s="1"/>
  <c r="CB122" i="1"/>
  <c r="CB125" i="1" s="1"/>
  <c r="CB115" i="1"/>
  <c r="CE97" i="1"/>
  <c r="IP20" i="4"/>
  <c r="BJ86" i="1" s="1"/>
  <c r="HX16" i="4"/>
  <c r="AJ36" i="1"/>
  <c r="AJ41" i="1"/>
  <c r="AJ45" i="1" s="1"/>
  <c r="AJ244" i="1"/>
  <c r="AJ245" i="1" s="1"/>
  <c r="AM263" i="1"/>
  <c r="AL262" i="1"/>
  <c r="AL263" i="1" s="1"/>
  <c r="AM238" i="1"/>
  <c r="AM48" i="1"/>
  <c r="AM49" i="1" s="1"/>
  <c r="AM257" i="1" s="1"/>
  <c r="AM47" i="1"/>
  <c r="D262" i="1"/>
  <c r="V47" i="1"/>
  <c r="DA8" i="1"/>
  <c r="DA15" i="1"/>
  <c r="BX123" i="1"/>
  <c r="AK244" i="1"/>
  <c r="AK245" i="1" s="1"/>
  <c r="AL38" i="1"/>
  <c r="AK36" i="1"/>
  <c r="AK41" i="1"/>
  <c r="AK45" i="1" s="1"/>
  <c r="AM124" i="1"/>
  <c r="AK38" i="1"/>
  <c r="C262" i="1"/>
  <c r="C36" i="1"/>
  <c r="D37" i="1"/>
  <c r="C37" i="1"/>
  <c r="W48" i="1"/>
  <c r="W47" i="1"/>
  <c r="AL48" i="1"/>
  <c r="AL246" i="1" s="1"/>
  <c r="AL47" i="1"/>
  <c r="BY215" i="1"/>
  <c r="BY213" i="1" s="1"/>
  <c r="BZ215" i="1"/>
  <c r="BZ213" i="1" s="1"/>
  <c r="AK215" i="1"/>
  <c r="AK213" i="1" s="1"/>
  <c r="AL215" i="1"/>
  <c r="AL213" i="1" s="1"/>
  <c r="AL123" i="1"/>
  <c r="AL122" i="1"/>
  <c r="V49" i="1"/>
  <c r="V257" i="1" s="1"/>
  <c r="V55" i="1"/>
  <c r="BX45" i="1"/>
  <c r="CA62" i="1"/>
  <c r="CN144" i="1"/>
  <c r="CN146" i="1" s="1"/>
  <c r="CO39" i="1" s="1"/>
  <c r="CT84" i="1"/>
  <c r="AB149" i="1"/>
  <c r="AD161" i="1"/>
  <c r="AE161" i="1"/>
  <c r="AD129" i="1"/>
  <c r="AE129" i="1"/>
  <c r="CQ72" i="1"/>
  <c r="CQ118" i="1" s="1"/>
  <c r="CQ114" i="1" s="1"/>
  <c r="CR70" i="1"/>
  <c r="AC175" i="1"/>
  <c r="BU1" i="1"/>
  <c r="Q34" i="1"/>
  <c r="P34" i="1"/>
  <c r="O34" i="1"/>
  <c r="I34" i="1"/>
  <c r="H34" i="1"/>
  <c r="G34" i="1"/>
  <c r="U34" i="1"/>
  <c r="T34" i="1"/>
  <c r="S34" i="1"/>
  <c r="R34" i="1"/>
  <c r="N34" i="1"/>
  <c r="M34" i="1"/>
  <c r="L34" i="1"/>
  <c r="K34" i="1"/>
  <c r="J34" i="1"/>
  <c r="F34" i="1"/>
  <c r="D47" i="1" l="1"/>
  <c r="D48" i="1"/>
  <c r="CA118" i="1"/>
  <c r="CA114" i="1" s="1"/>
  <c r="CA101" i="1"/>
  <c r="CA109" i="1"/>
  <c r="AM119" i="1"/>
  <c r="AM110" i="1"/>
  <c r="HY20" i="4"/>
  <c r="AS86" i="1" s="1"/>
  <c r="AS120" i="1" s="1"/>
  <c r="IA14" i="4"/>
  <c r="BJ103" i="1"/>
  <c r="BJ120" i="1"/>
  <c r="BJ123" i="1" s="1"/>
  <c r="HX21" i="4"/>
  <c r="AR84" i="1" s="1"/>
  <c r="IQ8" i="4"/>
  <c r="IQ20" i="4" s="1"/>
  <c r="BK86" i="1" s="1"/>
  <c r="BK120" i="1" s="1"/>
  <c r="AJ47" i="1"/>
  <c r="AJ48" i="1"/>
  <c r="AL55" i="1"/>
  <c r="DB5" i="1"/>
  <c r="DB7" i="1" s="1"/>
  <c r="DA9" i="1"/>
  <c r="AM51" i="1"/>
  <c r="AL49" i="1"/>
  <c r="AL257" i="1" s="1"/>
  <c r="AK48" i="1"/>
  <c r="AK55" i="1" s="1"/>
  <c r="AK131" i="1" s="1"/>
  <c r="AK132" i="1" s="1"/>
  <c r="AK141" i="1" s="1"/>
  <c r="AK47" i="1"/>
  <c r="W55" i="1"/>
  <c r="W59" i="1" s="1"/>
  <c r="W246" i="1"/>
  <c r="W49" i="1"/>
  <c r="W257" i="1" s="1"/>
  <c r="W50" i="1"/>
  <c r="X50" i="1"/>
  <c r="BX47" i="1"/>
  <c r="BX48" i="1"/>
  <c r="CO206" i="1"/>
  <c r="CO144" i="1"/>
  <c r="CN150" i="1"/>
  <c r="CN206" i="1"/>
  <c r="AC84" i="1"/>
  <c r="CU84" i="1"/>
  <c r="AD175" i="1"/>
  <c r="AE175" i="1"/>
  <c r="AD152" i="1"/>
  <c r="CR72" i="1"/>
  <c r="CR118" i="1" s="1"/>
  <c r="CR114" i="1" s="1"/>
  <c r="CS70" i="1"/>
  <c r="AC149" i="1"/>
  <c r="BV1" i="1"/>
  <c r="BW1" i="1" s="1"/>
  <c r="BX1" i="1" s="1"/>
  <c r="AM246" i="1"/>
  <c r="B244" i="1"/>
  <c r="B245" i="1" s="1"/>
  <c r="BL244" i="1"/>
  <c r="BL245" i="1" s="1"/>
  <c r="G35" i="1"/>
  <c r="O35" i="1"/>
  <c r="H35" i="1"/>
  <c r="P35" i="1"/>
  <c r="I35" i="1"/>
  <c r="Q35" i="1"/>
  <c r="J35" i="1"/>
  <c r="R35" i="1"/>
  <c r="K35" i="1"/>
  <c r="S35" i="1"/>
  <c r="L35" i="1"/>
  <c r="T35" i="1"/>
  <c r="M35" i="1"/>
  <c r="U35" i="1"/>
  <c r="F35" i="1"/>
  <c r="F262" i="1" s="1"/>
  <c r="N35" i="1"/>
  <c r="D246" i="1" l="1"/>
  <c r="D49" i="1"/>
  <c r="D55" i="1"/>
  <c r="IA19" i="4"/>
  <c r="AU85" i="1" s="1"/>
  <c r="AU119" i="1" s="1"/>
  <c r="HZ14" i="4"/>
  <c r="AK246" i="1"/>
  <c r="AL51" i="1"/>
  <c r="AJ246" i="1"/>
  <c r="AJ55" i="1"/>
  <c r="AJ49" i="1"/>
  <c r="AL205" i="1"/>
  <c r="AL207" i="1" s="1"/>
  <c r="AL73" i="1"/>
  <c r="AL59" i="1"/>
  <c r="AM239" i="1"/>
  <c r="AK51" i="1"/>
  <c r="AK49" i="1"/>
  <c r="DB8" i="1"/>
  <c r="DB15" i="1"/>
  <c r="AE7" i="1"/>
  <c r="AE11" i="1" s="1"/>
  <c r="T262" i="1"/>
  <c r="P262" i="1"/>
  <c r="D205" i="1"/>
  <c r="D207" i="1" s="1"/>
  <c r="D59" i="1"/>
  <c r="CB50" i="1"/>
  <c r="BX246" i="1"/>
  <c r="BX49" i="1"/>
  <c r="BX257" i="1" s="1"/>
  <c r="BX55" i="1"/>
  <c r="BY51" i="1"/>
  <c r="AK205" i="1"/>
  <c r="AK207" i="1" s="1"/>
  <c r="AK73" i="1"/>
  <c r="AK59" i="1"/>
  <c r="M262" i="1"/>
  <c r="R262" i="1"/>
  <c r="I262" i="1"/>
  <c r="K262" i="1"/>
  <c r="G262" i="1"/>
  <c r="H262" i="1"/>
  <c r="L262" i="1"/>
  <c r="S262" i="1"/>
  <c r="O262" i="1"/>
  <c r="J262" i="1"/>
  <c r="N262" i="1"/>
  <c r="U262" i="1"/>
  <c r="V262" i="1"/>
  <c r="Q262" i="1"/>
  <c r="R124" i="1"/>
  <c r="S37" i="1"/>
  <c r="T124" i="1"/>
  <c r="U37" i="1"/>
  <c r="U124" i="1"/>
  <c r="V37" i="1"/>
  <c r="P124" i="1"/>
  <c r="Q37" i="1"/>
  <c r="Q124" i="1"/>
  <c r="R37" i="1"/>
  <c r="I124" i="1"/>
  <c r="J37" i="1"/>
  <c r="S124" i="1"/>
  <c r="T37" i="1"/>
  <c r="H124" i="1"/>
  <c r="I37" i="1"/>
  <c r="E124" i="1"/>
  <c r="F37" i="1"/>
  <c r="L124" i="1"/>
  <c r="M37" i="1"/>
  <c r="O124" i="1"/>
  <c r="P37" i="1"/>
  <c r="N124" i="1"/>
  <c r="O37" i="1"/>
  <c r="K124" i="1"/>
  <c r="L37" i="1"/>
  <c r="F124" i="1"/>
  <c r="G37" i="1"/>
  <c r="G124" i="1"/>
  <c r="H37" i="1"/>
  <c r="M124" i="1"/>
  <c r="N37" i="1"/>
  <c r="J124" i="1"/>
  <c r="K37" i="1"/>
  <c r="CN215" i="1"/>
  <c r="CN213" i="1" s="1"/>
  <c r="CO146" i="1"/>
  <c r="CV84" i="1"/>
  <c r="AD214" i="1"/>
  <c r="AB154" i="1"/>
  <c r="AE149" i="1"/>
  <c r="AD149" i="1"/>
  <c r="CT70" i="1"/>
  <c r="CS72" i="1"/>
  <c r="CS118" i="1" s="1"/>
  <c r="CS114" i="1" s="1"/>
  <c r="C124" i="1"/>
  <c r="BY1" i="1"/>
  <c r="L36" i="1"/>
  <c r="N36" i="1"/>
  <c r="F36" i="1"/>
  <c r="O36" i="1"/>
  <c r="U41" i="1"/>
  <c r="U45" i="1" s="1"/>
  <c r="U36" i="1"/>
  <c r="G36" i="1"/>
  <c r="S36" i="1"/>
  <c r="M36" i="1"/>
  <c r="R36" i="1"/>
  <c r="J36" i="1"/>
  <c r="I36" i="1"/>
  <c r="P36" i="1"/>
  <c r="H36" i="1"/>
  <c r="K36" i="1"/>
  <c r="T36" i="1"/>
  <c r="Q36" i="1"/>
  <c r="T244" i="1"/>
  <c r="T245" i="1" s="1"/>
  <c r="Q244" i="1"/>
  <c r="Q245" i="1" s="1"/>
  <c r="K244" i="1"/>
  <c r="K245" i="1" s="1"/>
  <c r="O244" i="1"/>
  <c r="O245" i="1" s="1"/>
  <c r="U244" i="1"/>
  <c r="U245" i="1" s="1"/>
  <c r="L244" i="1"/>
  <c r="L245" i="1" s="1"/>
  <c r="C244" i="1"/>
  <c r="C245" i="1" s="1"/>
  <c r="I244" i="1"/>
  <c r="I245" i="1" s="1"/>
  <c r="G244" i="1"/>
  <c r="G245" i="1" s="1"/>
  <c r="R244" i="1"/>
  <c r="R245" i="1" s="1"/>
  <c r="P244" i="1"/>
  <c r="P245" i="1" s="1"/>
  <c r="F244" i="1"/>
  <c r="F245" i="1" s="1"/>
  <c r="M244" i="1"/>
  <c r="M245" i="1" s="1"/>
  <c r="N244" i="1"/>
  <c r="N245" i="1" s="1"/>
  <c r="E244" i="1"/>
  <c r="E245" i="1" s="1"/>
  <c r="S244" i="1"/>
  <c r="S245" i="1" s="1"/>
  <c r="J244" i="1"/>
  <c r="J245" i="1" s="1"/>
  <c r="H244" i="1"/>
  <c r="H245" i="1" s="1"/>
  <c r="B41" i="1"/>
  <c r="L41" i="1"/>
  <c r="Q41" i="1"/>
  <c r="T41" i="1"/>
  <c r="N41" i="1"/>
  <c r="S41" i="1"/>
  <c r="F41" i="1"/>
  <c r="K41" i="1"/>
  <c r="H41" i="1"/>
  <c r="I41" i="1"/>
  <c r="P41" i="1"/>
  <c r="C41" i="1"/>
  <c r="O41" i="1"/>
  <c r="R41" i="1"/>
  <c r="M41" i="1"/>
  <c r="G41" i="1"/>
  <c r="E41" i="1"/>
  <c r="J41" i="1"/>
  <c r="HZ19" i="4" l="1"/>
  <c r="AT85" i="1" s="1"/>
  <c r="AT119" i="1" s="1"/>
  <c r="IY8" i="4"/>
  <c r="IW15" i="4" s="1"/>
  <c r="AJ73" i="1"/>
  <c r="AJ59" i="1"/>
  <c r="AJ219" i="1"/>
  <c r="AJ217" i="1" s="1"/>
  <c r="AJ205" i="1"/>
  <c r="AJ207" i="1" s="1"/>
  <c r="AJ211" i="1" s="1"/>
  <c r="AJ225" i="1" s="1"/>
  <c r="AE8" i="1"/>
  <c r="DB9" i="1"/>
  <c r="CA61" i="1"/>
  <c r="BX73" i="1"/>
  <c r="CA76" i="1" s="1"/>
  <c r="BX205" i="1"/>
  <c r="BX207" i="1" s="1"/>
  <c r="BX59" i="1"/>
  <c r="AK219" i="1"/>
  <c r="AK217" i="1" s="1"/>
  <c r="AL219" i="1"/>
  <c r="AL217" i="1" s="1"/>
  <c r="BK176" i="1"/>
  <c r="BM176" i="1"/>
  <c r="CO150" i="1"/>
  <c r="CP39" i="1"/>
  <c r="CW84" i="1"/>
  <c r="AE152" i="1"/>
  <c r="AE214" i="1" s="1"/>
  <c r="CT72" i="1"/>
  <c r="CT118" i="1" s="1"/>
  <c r="CT114" i="1" s="1"/>
  <c r="CU70" i="1"/>
  <c r="BZ1" i="1"/>
  <c r="U48" i="1"/>
  <c r="V50" i="1" s="1"/>
  <c r="U47" i="1"/>
  <c r="P45" i="1"/>
  <c r="P48" i="1" s="1"/>
  <c r="R45" i="1"/>
  <c r="R48" i="1" s="1"/>
  <c r="E45" i="1"/>
  <c r="S45" i="1"/>
  <c r="S47" i="1" s="1"/>
  <c r="G45" i="1"/>
  <c r="G48" i="1" s="1"/>
  <c r="K45" i="1"/>
  <c r="K48" i="1" s="1"/>
  <c r="B45" i="1"/>
  <c r="O45" i="1"/>
  <c r="O48" i="1" s="1"/>
  <c r="H45" i="1"/>
  <c r="H48" i="1" s="1"/>
  <c r="N45" i="1"/>
  <c r="N48" i="1" s="1"/>
  <c r="L45" i="1"/>
  <c r="L47" i="1" s="1"/>
  <c r="C45" i="1"/>
  <c r="M45" i="1"/>
  <c r="M47" i="1" s="1"/>
  <c r="T45" i="1"/>
  <c r="T48" i="1" s="1"/>
  <c r="F45" i="1"/>
  <c r="F47" i="1" s="1"/>
  <c r="J45" i="1"/>
  <c r="J47" i="1" s="1"/>
  <c r="I45" i="1"/>
  <c r="I47" i="1" s="1"/>
  <c r="Q45" i="1"/>
  <c r="Q48" i="1" s="1"/>
  <c r="V246" i="1"/>
  <c r="IW20" i="4" l="1"/>
  <c r="BQ86" i="1" s="1"/>
  <c r="BQ120" i="1" s="1"/>
  <c r="BQ116" i="1" s="1"/>
  <c r="IK14" i="4"/>
  <c r="IK19" i="4" s="1"/>
  <c r="BE85" i="1" s="1"/>
  <c r="BE119" i="1" s="1"/>
  <c r="AJ222" i="1"/>
  <c r="AJ223" i="1" s="1"/>
  <c r="AE9" i="1"/>
  <c r="R50" i="1"/>
  <c r="CE77" i="1"/>
  <c r="CA94" i="1"/>
  <c r="CA93" i="1"/>
  <c r="CD97" i="1" s="1"/>
  <c r="BW96" i="1"/>
  <c r="CA92" i="1"/>
  <c r="U50" i="1"/>
  <c r="O50" i="1"/>
  <c r="AB39" i="1"/>
  <c r="B48" i="1"/>
  <c r="B47" i="1"/>
  <c r="C48" i="1"/>
  <c r="C47" i="1"/>
  <c r="E48" i="1"/>
  <c r="E55" i="1" s="1"/>
  <c r="E47" i="1"/>
  <c r="P50" i="1"/>
  <c r="H50" i="1"/>
  <c r="Q50" i="1"/>
  <c r="BJ177" i="1"/>
  <c r="BJ178" i="1" s="1"/>
  <c r="BL177" i="1"/>
  <c r="BL178" i="1" s="1"/>
  <c r="CP206" i="1"/>
  <c r="CP144" i="1"/>
  <c r="CO215" i="1"/>
  <c r="CO213" i="1" s="1"/>
  <c r="CX84" i="1"/>
  <c r="CV70" i="1"/>
  <c r="CU72" i="1"/>
  <c r="CU118" i="1" s="1"/>
  <c r="CU114" i="1" s="1"/>
  <c r="CA1" i="1"/>
  <c r="CB1" i="1" s="1"/>
  <c r="O47" i="1"/>
  <c r="BL246" i="1"/>
  <c r="S48" i="1"/>
  <c r="U49" i="1"/>
  <c r="U257" i="1" s="1"/>
  <c r="P49" i="1"/>
  <c r="P257" i="1" s="1"/>
  <c r="Q55" i="1"/>
  <c r="Q49" i="1"/>
  <c r="Q257" i="1" s="1"/>
  <c r="L48" i="1"/>
  <c r="P47" i="1"/>
  <c r="H49" i="1"/>
  <c r="H257" i="1" s="1"/>
  <c r="G49" i="1"/>
  <c r="G257" i="1" s="1"/>
  <c r="U55" i="1"/>
  <c r="N49" i="1"/>
  <c r="N257" i="1" s="1"/>
  <c r="R49" i="1"/>
  <c r="R257" i="1" s="1"/>
  <c r="K49" i="1"/>
  <c r="K257" i="1" s="1"/>
  <c r="O55" i="1"/>
  <c r="O49" i="1"/>
  <c r="O257" i="1" s="1"/>
  <c r="T55" i="1"/>
  <c r="T49" i="1"/>
  <c r="T257" i="1" s="1"/>
  <c r="R47" i="1"/>
  <c r="K47" i="1"/>
  <c r="N47" i="1"/>
  <c r="G47" i="1"/>
  <c r="H47" i="1"/>
  <c r="J48" i="1"/>
  <c r="K50" i="1" s="1"/>
  <c r="M48" i="1"/>
  <c r="N50" i="1" s="1"/>
  <c r="T47" i="1"/>
  <c r="F48" i="1"/>
  <c r="G50" i="1" s="1"/>
  <c r="I48" i="1"/>
  <c r="I50" i="1" s="1"/>
  <c r="O246" i="1"/>
  <c r="Q47" i="1"/>
  <c r="P246" i="1"/>
  <c r="P55" i="1"/>
  <c r="K246" i="1"/>
  <c r="K55" i="1"/>
  <c r="H246" i="1"/>
  <c r="H55" i="1"/>
  <c r="R55" i="1"/>
  <c r="N55" i="1"/>
  <c r="G55" i="1"/>
  <c r="G246" i="1"/>
  <c r="R246" i="1"/>
  <c r="N246" i="1"/>
  <c r="Q246" i="1"/>
  <c r="U246" i="1"/>
  <c r="T246" i="1"/>
  <c r="V59" i="1"/>
  <c r="V205" i="1"/>
  <c r="V207" i="1" s="1"/>
  <c r="E246" i="1" l="1"/>
  <c r="AB206" i="1"/>
  <c r="E49" i="1"/>
  <c r="E257" i="1" s="1"/>
  <c r="E50" i="1"/>
  <c r="D50" i="1"/>
  <c r="C49" i="1"/>
  <c r="B49" i="1"/>
  <c r="C50" i="1"/>
  <c r="F50" i="1"/>
  <c r="M50" i="1"/>
  <c r="S49" i="1"/>
  <c r="S257" i="1" s="1"/>
  <c r="T50" i="1"/>
  <c r="L50" i="1"/>
  <c r="J50" i="1"/>
  <c r="S50" i="1"/>
  <c r="AB144" i="1"/>
  <c r="AB146" i="1" s="1"/>
  <c r="AB40" i="1" s="1"/>
  <c r="CP146" i="1"/>
  <c r="AD84" i="1"/>
  <c r="CY84" i="1"/>
  <c r="CV72" i="1"/>
  <c r="CV118" i="1" s="1"/>
  <c r="CV114" i="1" s="1"/>
  <c r="CW70" i="1"/>
  <c r="CC1" i="1"/>
  <c r="K59" i="1"/>
  <c r="G59" i="1"/>
  <c r="E59" i="1"/>
  <c r="S55" i="1"/>
  <c r="S246" i="1"/>
  <c r="L246" i="1"/>
  <c r="L55" i="1"/>
  <c r="O205" i="1"/>
  <c r="O207" i="1" s="1"/>
  <c r="O59" i="1"/>
  <c r="B246" i="1"/>
  <c r="B55" i="1"/>
  <c r="M55" i="1"/>
  <c r="M49" i="1"/>
  <c r="M257" i="1" s="1"/>
  <c r="C246" i="1"/>
  <c r="I55" i="1"/>
  <c r="I49" i="1"/>
  <c r="I257" i="1" s="1"/>
  <c r="J55" i="1"/>
  <c r="J49" i="1"/>
  <c r="J257" i="1" s="1"/>
  <c r="F55" i="1"/>
  <c r="F49" i="1"/>
  <c r="F257" i="1" s="1"/>
  <c r="L49" i="1"/>
  <c r="L257" i="1" s="1"/>
  <c r="J246" i="1"/>
  <c r="E205" i="1"/>
  <c r="E207" i="1" s="1"/>
  <c r="R205" i="1"/>
  <c r="R207" i="1" s="1"/>
  <c r="M246" i="1"/>
  <c r="R59" i="1"/>
  <c r="I246" i="1"/>
  <c r="H59" i="1"/>
  <c r="H205" i="1"/>
  <c r="H207" i="1" s="1"/>
  <c r="F246" i="1"/>
  <c r="C55" i="1"/>
  <c r="N205" i="1"/>
  <c r="N207" i="1" s="1"/>
  <c r="N59" i="1"/>
  <c r="G205" i="1"/>
  <c r="G207" i="1" s="1"/>
  <c r="P59" i="1"/>
  <c r="K205" i="1"/>
  <c r="K207" i="1" s="1"/>
  <c r="P205" i="1"/>
  <c r="P207" i="1" s="1"/>
  <c r="U59" i="1"/>
  <c r="U205" i="1"/>
  <c r="U207" i="1" s="1"/>
  <c r="Q59" i="1"/>
  <c r="Q205" i="1"/>
  <c r="Q207" i="1" s="1"/>
  <c r="T59" i="1"/>
  <c r="T205" i="1"/>
  <c r="T207" i="1" s="1"/>
  <c r="CP150" i="1" l="1"/>
  <c r="CP215" i="1" s="1"/>
  <c r="CP213" i="1" s="1"/>
  <c r="CQ39" i="1"/>
  <c r="CZ84" i="1"/>
  <c r="AC154" i="1"/>
  <c r="CX70" i="1"/>
  <c r="CW72" i="1"/>
  <c r="CW118" i="1" s="1"/>
  <c r="CW114" i="1" s="1"/>
  <c r="CD1" i="1"/>
  <c r="CE1" i="1" s="1"/>
  <c r="CF1" i="1" s="1"/>
  <c r="CG1" i="1" s="1"/>
  <c r="CH1" i="1" s="1"/>
  <c r="CI1" i="1" s="1"/>
  <c r="CJ1" i="1" s="1"/>
  <c r="CK1" i="1" s="1"/>
  <c r="CL1" i="1" s="1"/>
  <c r="L205" i="1"/>
  <c r="L207" i="1" s="1"/>
  <c r="J205" i="1"/>
  <c r="J207" i="1" s="1"/>
  <c r="M205" i="1"/>
  <c r="M207" i="1" s="1"/>
  <c r="B59" i="1"/>
  <c r="F59" i="1"/>
  <c r="I59" i="1"/>
  <c r="C59" i="1"/>
  <c r="L59" i="1"/>
  <c r="S59" i="1"/>
  <c r="J59" i="1"/>
  <c r="S205" i="1"/>
  <c r="S207" i="1" s="1"/>
  <c r="M59" i="1"/>
  <c r="I205" i="1"/>
  <c r="I207" i="1" s="1"/>
  <c r="F205" i="1"/>
  <c r="F207" i="1" s="1"/>
  <c r="C205" i="1"/>
  <c r="C207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M85" i="2"/>
  <c r="L93" i="2"/>
  <c r="D45" i="2"/>
  <c r="T90" i="2"/>
  <c r="E104" i="2"/>
  <c r="W40" i="2"/>
  <c r="S92" i="2"/>
  <c r="T75" i="2"/>
  <c r="T48" i="2"/>
  <c r="N66" i="2"/>
  <c r="R89" i="2"/>
  <c r="N52" i="2"/>
  <c r="O63" i="2"/>
  <c r="L60" i="2"/>
  <c r="F112" i="2"/>
  <c r="M81" i="2"/>
  <c r="I42" i="2"/>
  <c r="W53" i="2"/>
  <c r="M109" i="2"/>
  <c r="O79" i="2"/>
  <c r="J49" i="2"/>
  <c r="T112" i="2"/>
  <c r="O91" i="2"/>
  <c r="G42" i="2"/>
  <c r="J60" i="2"/>
  <c r="R59" i="2"/>
  <c r="Q73" i="2"/>
  <c r="H109" i="2"/>
  <c r="W96" i="2"/>
  <c r="F82" i="2"/>
  <c r="S98" i="2"/>
  <c r="AP70" i="3"/>
  <c r="AP48" i="3"/>
  <c r="AB71" i="3"/>
  <c r="AB56" i="3"/>
  <c r="AB66" i="3"/>
  <c r="S7" i="3"/>
  <c r="L19" i="3"/>
  <c r="U21" i="3"/>
  <c r="AM32" i="3"/>
  <c r="R25" i="3"/>
  <c r="AL27" i="3"/>
  <c r="AK37" i="3"/>
  <c r="V24" i="3"/>
  <c r="H28" i="3"/>
  <c r="C38" i="3"/>
  <c r="N19" i="3"/>
  <c r="Z25" i="3"/>
  <c r="W21" i="3"/>
  <c r="W40" i="3"/>
  <c r="X14" i="3"/>
  <c r="AQ8" i="3"/>
  <c r="V41" i="3"/>
  <c r="AP23" i="3"/>
  <c r="H27" i="3"/>
  <c r="AG15" i="3"/>
  <c r="AD38" i="3"/>
  <c r="J42" i="3"/>
  <c r="X16" i="3"/>
  <c r="O42" i="3"/>
  <c r="I13" i="3"/>
  <c r="AC13" i="3"/>
  <c r="AH11" i="3"/>
  <c r="Q23" i="3"/>
  <c r="AN7" i="3"/>
  <c r="AB21" i="3"/>
  <c r="AB10" i="3"/>
  <c r="M26" i="3"/>
  <c r="J17" i="3"/>
  <c r="AO34" i="3"/>
  <c r="AC25" i="3"/>
  <c r="N36" i="3"/>
  <c r="AN17" i="3"/>
  <c r="AJ36" i="3"/>
  <c r="AP11" i="3"/>
  <c r="AI28" i="3"/>
  <c r="AB6" i="3"/>
  <c r="O7" i="3"/>
  <c r="AB26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P64" i="3"/>
  <c r="W5" i="3"/>
  <c r="N24" i="3"/>
  <c r="P39" i="3"/>
  <c r="AQ39" i="3"/>
  <c r="S31" i="3"/>
  <c r="AG42" i="3"/>
  <c r="L25" i="3"/>
  <c r="AK12" i="3"/>
  <c r="O84" i="2"/>
  <c r="K49" i="2"/>
  <c r="F41" i="2"/>
  <c r="C53" i="2"/>
  <c r="U81" i="2"/>
  <c r="N104" i="2"/>
  <c r="N76" i="2"/>
  <c r="Q106" i="2"/>
  <c r="K109" i="2"/>
  <c r="E69" i="2"/>
  <c r="U73" i="2"/>
  <c r="L53" i="2"/>
  <c r="R93" i="2"/>
  <c r="T47" i="2"/>
  <c r="R70" i="2"/>
  <c r="G59" i="2"/>
  <c r="N86" i="2"/>
  <c r="F64" i="2"/>
  <c r="I111" i="2"/>
  <c r="G54" i="2"/>
  <c r="C40" i="2"/>
  <c r="C78" i="2"/>
  <c r="L106" i="2"/>
  <c r="N54" i="2"/>
  <c r="P74" i="2"/>
  <c r="Q44" i="2"/>
  <c r="J98" i="2"/>
  <c r="H93" i="2"/>
  <c r="H59" i="2"/>
  <c r="L105" i="2"/>
  <c r="R60" i="2"/>
  <c r="AB88" i="3"/>
  <c r="AP83" i="3"/>
  <c r="AP91" i="3"/>
  <c r="AP76" i="3"/>
  <c r="Q62" i="2"/>
  <c r="M62" i="2"/>
  <c r="D85" i="2"/>
  <c r="O98" i="2"/>
  <c r="R62" i="2"/>
  <c r="D72" i="2"/>
  <c r="W68" i="2"/>
  <c r="X99" i="2"/>
  <c r="W105" i="2"/>
  <c r="W107" i="2"/>
  <c r="J79" i="2"/>
  <c r="V76" i="2"/>
  <c r="M41" i="2"/>
  <c r="D46" i="2"/>
  <c r="N53" i="2"/>
  <c r="Q75" i="2"/>
  <c r="F107" i="2"/>
  <c r="G63" i="2"/>
  <c r="U69" i="2"/>
  <c r="D59" i="2"/>
  <c r="C83" i="2"/>
  <c r="G80" i="2"/>
  <c r="I51" i="2"/>
  <c r="D56" i="2"/>
  <c r="H88" i="2"/>
  <c r="X78" i="2"/>
  <c r="N67" i="2"/>
  <c r="I40" i="2"/>
  <c r="S66" i="2"/>
  <c r="E77" i="2"/>
  <c r="O47" i="2"/>
  <c r="V79" i="2"/>
  <c r="AP96" i="3"/>
  <c r="AB93" i="3"/>
  <c r="AB75" i="3"/>
  <c r="AB49" i="3"/>
  <c r="AP69" i="3"/>
  <c r="P32" i="3"/>
  <c r="M35" i="3"/>
  <c r="R18" i="3"/>
  <c r="AP10" i="3"/>
  <c r="AD50" i="3"/>
  <c r="Y17" i="3"/>
  <c r="I28" i="3"/>
  <c r="AI24" i="3"/>
  <c r="AI16" i="3"/>
  <c r="K40" i="3"/>
  <c r="R35" i="3"/>
  <c r="AE21" i="3"/>
  <c r="AL30" i="3"/>
  <c r="Y13" i="3"/>
  <c r="AI21" i="3"/>
  <c r="I26" i="3"/>
  <c r="AC22" i="3"/>
  <c r="R15" i="3"/>
  <c r="AJ16" i="3"/>
  <c r="M39" i="3"/>
  <c r="AC36" i="3"/>
  <c r="G35" i="3"/>
  <c r="P22" i="3"/>
  <c r="L31" i="3"/>
  <c r="M9" i="3"/>
  <c r="H21" i="3"/>
  <c r="H36" i="3"/>
  <c r="J34" i="3"/>
  <c r="T41" i="3"/>
  <c r="J27" i="3"/>
  <c r="Q19" i="3"/>
  <c r="O20" i="3"/>
  <c r="X38" i="3"/>
  <c r="AO11" i="3"/>
  <c r="C42" i="3"/>
  <c r="AI31" i="3"/>
  <c r="AL39" i="3"/>
  <c r="O11" i="3"/>
  <c r="H35" i="3"/>
  <c r="AO25" i="3"/>
  <c r="AC9" i="3"/>
  <c r="E95" i="2"/>
  <c r="F70" i="2"/>
  <c r="M53" i="2"/>
  <c r="F46" i="2"/>
  <c r="N81" i="2"/>
  <c r="F111" i="2"/>
  <c r="W59" i="2"/>
  <c r="L44" i="2"/>
  <c r="D79" i="2"/>
  <c r="T68" i="2"/>
  <c r="X69" i="2"/>
  <c r="W61" i="2"/>
  <c r="R111" i="2"/>
  <c r="R83" i="2"/>
  <c r="J40" i="2"/>
  <c r="G88" i="2"/>
  <c r="U89" i="2"/>
  <c r="O55" i="2"/>
  <c r="D60" i="2"/>
  <c r="Q42" i="2"/>
  <c r="C104" i="2"/>
  <c r="W45" i="2"/>
  <c r="F85" i="2"/>
  <c r="U110" i="2"/>
  <c r="J90" i="2"/>
  <c r="K83" i="2"/>
  <c r="C51" i="2"/>
  <c r="H77" i="2"/>
  <c r="S54" i="2"/>
  <c r="C56" i="2"/>
  <c r="O108" i="2"/>
  <c r="N77" i="2"/>
  <c r="AP75" i="3"/>
  <c r="AP55" i="3"/>
  <c r="AP92" i="3"/>
  <c r="AB97" i="3"/>
  <c r="AP73" i="3"/>
  <c r="I22" i="3"/>
  <c r="AI12" i="3"/>
  <c r="AK5" i="3"/>
  <c r="Q34" i="3"/>
  <c r="O29" i="3"/>
  <c r="AC20" i="3"/>
  <c r="P5" i="3"/>
  <c r="S12" i="3"/>
  <c r="AH13" i="3"/>
  <c r="U15" i="3"/>
  <c r="AP19" i="3"/>
  <c r="O17" i="3"/>
  <c r="X24" i="3"/>
  <c r="AP36" i="3"/>
  <c r="AI30" i="3"/>
  <c r="AE34" i="3"/>
  <c r="I39" i="3"/>
  <c r="Y39" i="3"/>
  <c r="P13" i="3"/>
  <c r="AH36" i="3"/>
  <c r="AN32" i="3"/>
  <c r="AN35" i="3"/>
  <c r="C32" i="3"/>
  <c r="L6" i="3"/>
  <c r="R40" i="3"/>
  <c r="O16" i="3"/>
  <c r="AK30" i="3"/>
  <c r="S9" i="3"/>
  <c r="S17" i="3"/>
  <c r="AP14" i="3"/>
  <c r="AN6" i="3"/>
  <c r="AP28" i="3"/>
  <c r="O9" i="3"/>
  <c r="M31" i="3"/>
  <c r="C33" i="3"/>
  <c r="Y16" i="3"/>
  <c r="C27" i="3"/>
  <c r="L26" i="3"/>
  <c r="AN14" i="3"/>
  <c r="AK34" i="3"/>
  <c r="C9" i="3"/>
  <c r="K15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E90" i="2"/>
  <c r="X65" i="2"/>
  <c r="K52" i="2"/>
  <c r="F95" i="2"/>
  <c r="C49" i="2"/>
  <c r="T40" i="2"/>
  <c r="O58" i="2"/>
  <c r="D52" i="2"/>
  <c r="L111" i="2"/>
  <c r="V111" i="2"/>
  <c r="F48" i="2"/>
  <c r="S93" i="2"/>
  <c r="R84" i="2"/>
  <c r="R80" i="2"/>
  <c r="N43" i="2"/>
  <c r="F61" i="2"/>
  <c r="V47" i="2"/>
  <c r="L80" i="2"/>
  <c r="C93" i="2"/>
  <c r="G56" i="2"/>
  <c r="R73" i="2"/>
  <c r="Q72" i="2"/>
  <c r="W86" i="2"/>
  <c r="F77" i="2"/>
  <c r="H90" i="2"/>
  <c r="T62" i="2"/>
  <c r="K77" i="2"/>
  <c r="R40" i="2"/>
  <c r="X109" i="2"/>
  <c r="O61" i="2"/>
  <c r="F97" i="2"/>
  <c r="U113" i="2"/>
  <c r="AB57" i="3"/>
  <c r="AP59" i="3"/>
  <c r="AP81" i="3"/>
  <c r="C49" i="3"/>
  <c r="AB84" i="3"/>
  <c r="K13" i="3"/>
  <c r="Z19" i="3"/>
  <c r="AM16" i="3"/>
  <c r="AH31" i="3"/>
  <c r="S16" i="3"/>
  <c r="V8" i="3"/>
  <c r="AD37" i="3"/>
  <c r="AE24" i="3"/>
  <c r="AE9" i="3"/>
  <c r="O38" i="3"/>
  <c r="AI11" i="3"/>
  <c r="K29" i="3"/>
  <c r="T32" i="3"/>
  <c r="K36" i="3"/>
  <c r="AH42" i="3"/>
  <c r="H6" i="3"/>
  <c r="S42" i="3"/>
  <c r="AG28" i="3"/>
  <c r="AM40" i="3"/>
  <c r="AC27" i="3"/>
  <c r="AE7" i="3"/>
  <c r="C12" i="3"/>
  <c r="O41" i="3"/>
  <c r="C25" i="3"/>
  <c r="E106" i="2"/>
  <c r="F40" i="2"/>
  <c r="F99" i="2"/>
  <c r="O78" i="2"/>
  <c r="L51" i="2"/>
  <c r="W87" i="2"/>
  <c r="N72" i="2"/>
  <c r="U62" i="2"/>
  <c r="N90" i="2"/>
  <c r="J63" i="2"/>
  <c r="U63" i="2"/>
  <c r="S48" i="2"/>
  <c r="Q90" i="2"/>
  <c r="N74" i="2"/>
  <c r="O51" i="2"/>
  <c r="D55" i="2"/>
  <c r="V66" i="2"/>
  <c r="P53" i="2"/>
  <c r="L66" i="2"/>
  <c r="D58" i="2"/>
  <c r="X43" i="2"/>
  <c r="C44" i="2"/>
  <c r="J96" i="2"/>
  <c r="M56" i="2"/>
  <c r="O70" i="2"/>
  <c r="J45" i="2"/>
  <c r="G79" i="2"/>
  <c r="I44" i="2"/>
  <c r="H76" i="2"/>
  <c r="M111" i="2"/>
  <c r="F67" i="2"/>
  <c r="L83" i="2"/>
  <c r="AP93" i="3"/>
  <c r="AP71" i="3"/>
  <c r="AP82" i="3"/>
  <c r="AP50" i="3"/>
  <c r="AB95" i="3"/>
  <c r="AI6" i="3"/>
  <c r="L32" i="3"/>
  <c r="G36" i="3"/>
  <c r="X30" i="3"/>
  <c r="AE10" i="3"/>
  <c r="R36" i="3"/>
  <c r="AD24" i="3"/>
  <c r="AE32" i="3"/>
  <c r="I19" i="3"/>
  <c r="G42" i="3"/>
  <c r="AN9" i="3"/>
  <c r="J37" i="3"/>
  <c r="P30" i="3"/>
  <c r="AD20" i="3"/>
  <c r="Z11" i="3"/>
  <c r="AG37" i="3"/>
  <c r="U41" i="3"/>
  <c r="X10" i="3"/>
  <c r="AC29" i="3"/>
  <c r="T35" i="3"/>
  <c r="AG27" i="3"/>
  <c r="C22" i="3"/>
  <c r="O35" i="3"/>
  <c r="O15" i="3"/>
  <c r="AP16" i="3"/>
  <c r="P27" i="3"/>
  <c r="V34" i="3"/>
  <c r="Y28" i="3"/>
  <c r="AP26" i="3"/>
  <c r="L30" i="3"/>
  <c r="P6" i="3"/>
  <c r="U12" i="3"/>
  <c r="AI34" i="3"/>
  <c r="C15" i="3"/>
  <c r="O24" i="3"/>
  <c r="AQ23" i="3"/>
  <c r="T16" i="3"/>
  <c r="R14" i="3"/>
  <c r="L22" i="3"/>
  <c r="H25" i="3"/>
  <c r="AP31" i="3"/>
  <c r="AJ11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D99" i="2"/>
  <c r="L81" i="2"/>
  <c r="G47" i="2"/>
  <c r="X108" i="2"/>
  <c r="R81" i="2"/>
  <c r="M86" i="2"/>
  <c r="C89" i="2"/>
  <c r="O87" i="2"/>
  <c r="P99" i="2"/>
  <c r="G53" i="2"/>
  <c r="K72" i="2"/>
  <c r="D74" i="2"/>
  <c r="G68" i="2"/>
  <c r="M112" i="2"/>
  <c r="E68" i="2"/>
  <c r="O99" i="2"/>
  <c r="M83" i="2"/>
  <c r="K92" i="2"/>
  <c r="C77" i="2"/>
  <c r="P86" i="2"/>
  <c r="X91" i="2"/>
  <c r="O52" i="2"/>
  <c r="H63" i="2"/>
  <c r="N71" i="2"/>
  <c r="F59" i="2"/>
  <c r="C61" i="2"/>
  <c r="P56" i="2"/>
  <c r="Q51" i="2"/>
  <c r="F81" i="2"/>
  <c r="W112" i="2"/>
  <c r="M42" i="2"/>
  <c r="C87" i="2"/>
  <c r="AB78" i="3"/>
  <c r="AP78" i="3"/>
  <c r="AP87" i="3"/>
  <c r="AB70" i="3"/>
  <c r="AB74" i="3"/>
  <c r="AN8" i="3"/>
  <c r="AC18" i="3"/>
  <c r="AJ31" i="3"/>
  <c r="W28" i="3"/>
  <c r="Y40" i="3"/>
  <c r="AJ22" i="3"/>
  <c r="AC39" i="3"/>
  <c r="C7" i="3"/>
  <c r="AA25" i="3"/>
  <c r="J12" i="3"/>
  <c r="Z34" i="3"/>
  <c r="AA8" i="3"/>
  <c r="T33" i="3"/>
  <c r="Q35" i="3"/>
  <c r="X35" i="3"/>
  <c r="W34" i="3"/>
  <c r="AB38" i="3"/>
  <c r="AL31" i="3"/>
  <c r="U31" i="3"/>
  <c r="AJ30" i="3"/>
  <c r="M32" i="3"/>
  <c r="AM12" i="3"/>
  <c r="AP8" i="3"/>
  <c r="M13" i="3"/>
  <c r="AO14" i="3"/>
  <c r="K23" i="3"/>
  <c r="AJ23" i="3"/>
  <c r="AO24" i="3"/>
  <c r="W7" i="3"/>
  <c r="T28" i="3"/>
  <c r="T22" i="3"/>
  <c r="AL16" i="3"/>
  <c r="AC7" i="3"/>
  <c r="M33" i="3"/>
  <c r="D109" i="2"/>
  <c r="U84" i="2"/>
  <c r="D108" i="2"/>
  <c r="C96" i="2"/>
  <c r="U96" i="2"/>
  <c r="R58" i="2"/>
  <c r="K60" i="2"/>
  <c r="X82" i="2"/>
  <c r="T107" i="2"/>
  <c r="K70" i="2"/>
  <c r="W55" i="2"/>
  <c r="O86" i="2"/>
  <c r="W80" i="2"/>
  <c r="J73" i="2"/>
  <c r="H71" i="2"/>
  <c r="O60" i="2"/>
  <c r="R72" i="2"/>
  <c r="M72" i="2"/>
  <c r="L64" i="2"/>
  <c r="J48" i="2"/>
  <c r="K112" i="2"/>
  <c r="M63" i="2"/>
  <c r="V68" i="2"/>
  <c r="P57" i="2"/>
  <c r="F66" i="2"/>
  <c r="U70" i="2"/>
  <c r="T70" i="2"/>
  <c r="F62" i="2"/>
  <c r="K64" i="2"/>
  <c r="D107" i="2"/>
  <c r="E96" i="2"/>
  <c r="F88" i="2"/>
  <c r="AB80" i="3"/>
  <c r="AB79" i="3"/>
  <c r="AP94" i="3"/>
  <c r="AP77" i="3"/>
  <c r="H20" i="3"/>
  <c r="H17" i="3"/>
  <c r="AN33" i="3"/>
  <c r="AK31" i="3"/>
  <c r="I38" i="3"/>
  <c r="I95" i="2"/>
  <c r="P64" i="2"/>
  <c r="U75" i="2"/>
  <c r="H84" i="2"/>
  <c r="Q74" i="2"/>
  <c r="I66" i="2"/>
  <c r="C69" i="2"/>
  <c r="L77" i="2"/>
  <c r="E85" i="2"/>
  <c r="U111" i="2"/>
  <c r="E71" i="2"/>
  <c r="W89" i="2"/>
  <c r="U109" i="2"/>
  <c r="L56" i="2"/>
  <c r="D71" i="2"/>
  <c r="J87" i="2"/>
  <c r="J97" i="2"/>
  <c r="E88" i="2"/>
  <c r="V81" i="2"/>
  <c r="H42" i="2"/>
  <c r="G49" i="2"/>
  <c r="D67" i="2"/>
  <c r="U86" i="2"/>
  <c r="P52" i="2"/>
  <c r="T74" i="2"/>
  <c r="D41" i="2"/>
  <c r="G55" i="2"/>
  <c r="H97" i="2"/>
  <c r="K63" i="2"/>
  <c r="O109" i="2"/>
  <c r="G83" i="2"/>
  <c r="AP68" i="3"/>
  <c r="AB48" i="3"/>
  <c r="AB50" i="3"/>
  <c r="AB87" i="3"/>
  <c r="AB69" i="3"/>
  <c r="T23" i="3"/>
  <c r="T8" i="3"/>
  <c r="AH23" i="3"/>
  <c r="M17" i="3"/>
  <c r="T24" i="3"/>
  <c r="E49" i="3"/>
  <c r="W22" i="3"/>
  <c r="X12" i="3"/>
  <c r="AH16" i="3"/>
  <c r="X27" i="3"/>
  <c r="I9" i="3"/>
  <c r="N14" i="3"/>
  <c r="V31" i="3"/>
  <c r="H13" i="3"/>
  <c r="U11" i="3"/>
  <c r="AA30" i="3"/>
  <c r="AN12" i="3"/>
  <c r="H24" i="3"/>
  <c r="Y11" i="3"/>
  <c r="AH22" i="3"/>
  <c r="AN20" i="3"/>
  <c r="P8" i="3"/>
  <c r="M20" i="3"/>
  <c r="AD32" i="3"/>
  <c r="M25" i="3"/>
  <c r="S11" i="3"/>
  <c r="Q29" i="3"/>
  <c r="C17" i="3"/>
  <c r="Y38" i="3"/>
  <c r="AJ14" i="3"/>
  <c r="AM9" i="3"/>
  <c r="AE42" i="3"/>
  <c r="AA21" i="3"/>
  <c r="AQ9" i="3"/>
  <c r="AB12" i="3"/>
  <c r="AG21" i="3"/>
  <c r="W16" i="3"/>
  <c r="G50" i="3"/>
  <c r="AG32" i="3"/>
  <c r="AK41" i="3"/>
  <c r="AH10" i="3"/>
  <c r="AM24" i="3"/>
  <c r="I21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G66" i="2"/>
  <c r="E52" i="2"/>
  <c r="V65" i="2"/>
  <c r="I113" i="2"/>
  <c r="J82" i="2"/>
  <c r="W83" i="2"/>
  <c r="K95" i="2"/>
  <c r="L69" i="2"/>
  <c r="I56" i="2"/>
  <c r="M89" i="2"/>
  <c r="G110" i="2"/>
  <c r="G93" i="2"/>
  <c r="J84" i="2"/>
  <c r="N111" i="2"/>
  <c r="C105" i="2"/>
  <c r="J113" i="2"/>
  <c r="K68" i="2"/>
  <c r="D95" i="2"/>
  <c r="W82" i="2"/>
  <c r="V70" i="2"/>
  <c r="W110" i="2"/>
  <c r="T86" i="2"/>
  <c r="Q50" i="2"/>
  <c r="G67" i="2"/>
  <c r="S111" i="2"/>
  <c r="C66" i="2"/>
  <c r="J95" i="2"/>
  <c r="V45" i="2"/>
  <c r="G60" i="2"/>
  <c r="N92" i="2"/>
  <c r="F69" i="2"/>
  <c r="AB61" i="3"/>
  <c r="AB77" i="3"/>
  <c r="AP65" i="3"/>
  <c r="AB82" i="3"/>
  <c r="AB64" i="3"/>
  <c r="H34" i="3"/>
  <c r="O22" i="3"/>
  <c r="H41" i="3"/>
  <c r="O23" i="3"/>
  <c r="J41" i="3"/>
  <c r="Z6" i="3"/>
  <c r="AB19" i="3"/>
  <c r="M34" i="3"/>
  <c r="W33" i="3"/>
  <c r="AA34" i="3"/>
  <c r="AO7" i="3"/>
  <c r="U19" i="3"/>
  <c r="G37" i="3"/>
  <c r="AO20" i="3"/>
  <c r="AJ41" i="3"/>
  <c r="AP37" i="3"/>
  <c r="H11" i="3"/>
  <c r="AM41" i="3"/>
  <c r="W12" i="3"/>
  <c r="Z35" i="3"/>
  <c r="AA36" i="3"/>
  <c r="AP40" i="3"/>
  <c r="AM26" i="3"/>
  <c r="G40" i="3"/>
  <c r="Q26" i="3"/>
  <c r="AI10" i="3"/>
  <c r="AM5" i="3"/>
  <c r="AH7" i="3"/>
  <c r="AI38" i="3"/>
  <c r="R6" i="3"/>
  <c r="AB30" i="3"/>
  <c r="R20" i="3"/>
  <c r="I41" i="3"/>
  <c r="AE18" i="3"/>
  <c r="K42" i="3"/>
  <c r="Q5" i="3"/>
  <c r="AQ19" i="3"/>
  <c r="AH40" i="3"/>
  <c r="T26" i="3"/>
  <c r="I29" i="3"/>
  <c r="AC17" i="3"/>
  <c r="C40" i="3"/>
  <c r="G48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O95" i="2"/>
  <c r="O68" i="2"/>
  <c r="M82" i="2"/>
  <c r="W60" i="2"/>
  <c r="W75" i="2"/>
  <c r="W99" i="2"/>
  <c r="V113" i="2"/>
  <c r="R77" i="2"/>
  <c r="W109" i="2"/>
  <c r="K98" i="2"/>
  <c r="H72" i="2"/>
  <c r="I99" i="2"/>
  <c r="N62" i="2"/>
  <c r="C82" i="2"/>
  <c r="V63" i="2"/>
  <c r="K81" i="2"/>
  <c r="M58" i="2"/>
  <c r="X52" i="2"/>
  <c r="M75" i="2"/>
  <c r="N49" i="2"/>
  <c r="P58" i="2"/>
  <c r="V59" i="2"/>
  <c r="I105" i="2"/>
  <c r="D75" i="2"/>
  <c r="I88" i="2"/>
  <c r="T57" i="2"/>
  <c r="U85" i="2"/>
  <c r="W52" i="2"/>
  <c r="Q47" i="2"/>
  <c r="T110" i="2"/>
  <c r="M47" i="2"/>
  <c r="AB81" i="3"/>
  <c r="AP97" i="3"/>
  <c r="AP63" i="3"/>
  <c r="AP54" i="3"/>
  <c r="AP67" i="3"/>
  <c r="AM33" i="3"/>
  <c r="J36" i="3"/>
  <c r="Y22" i="3"/>
  <c r="AO33" i="3"/>
  <c r="AO39" i="3"/>
  <c r="N15" i="3"/>
  <c r="P10" i="3"/>
  <c r="AK21" i="3"/>
  <c r="H38" i="3"/>
  <c r="AB41" i="3"/>
  <c r="AD28" i="3"/>
  <c r="Q16" i="3"/>
  <c r="N39" i="3"/>
  <c r="AQ18" i="3"/>
  <c r="AJ33" i="3"/>
  <c r="W19" i="3"/>
  <c r="U24" i="3"/>
  <c r="AM21" i="3"/>
  <c r="M23" i="3"/>
  <c r="Y25" i="3"/>
  <c r="AB37" i="3"/>
  <c r="S34" i="3"/>
  <c r="AN37" i="3"/>
  <c r="AH37" i="3"/>
  <c r="Q88" i="2"/>
  <c r="F51" i="2"/>
  <c r="U43" i="2"/>
  <c r="AP85" i="3"/>
  <c r="AD35" i="3"/>
  <c r="AA12" i="3"/>
  <c r="AP30" i="3"/>
  <c r="AI9" i="3"/>
  <c r="M22" i="3"/>
  <c r="O18" i="3"/>
  <c r="W24" i="3"/>
  <c r="Q38" i="3"/>
  <c r="AC6" i="3"/>
  <c r="Y31" i="3"/>
  <c r="AG8" i="3"/>
  <c r="AI19" i="3"/>
  <c r="AQ21" i="3"/>
  <c r="W11" i="3"/>
  <c r="AQ22" i="3"/>
  <c r="U6" i="3"/>
  <c r="H7" i="3"/>
  <c r="Q40" i="3"/>
  <c r="AA10" i="3"/>
  <c r="L27" i="3"/>
  <c r="U23" i="3"/>
  <c r="K10" i="3"/>
  <c r="G49" i="3"/>
  <c r="S39" i="3"/>
  <c r="M42" i="3"/>
  <c r="S15" i="3"/>
  <c r="AA39" i="3"/>
  <c r="C60" i="2"/>
  <c r="P110" i="2"/>
  <c r="AB91" i="3"/>
  <c r="AB20" i="3"/>
  <c r="AM22" i="3"/>
  <c r="N5" i="3"/>
  <c r="AG7" i="3"/>
  <c r="V18" i="3"/>
  <c r="G32" i="3"/>
  <c r="I15" i="3"/>
  <c r="P18" i="3"/>
  <c r="C34" i="3"/>
  <c r="U37" i="3"/>
  <c r="U22" i="3"/>
  <c r="AE33" i="3"/>
  <c r="AJ34" i="3"/>
  <c r="H18" i="3"/>
  <c r="L38" i="3"/>
  <c r="W10" i="3"/>
  <c r="AD48" i="3"/>
  <c r="AI27" i="3"/>
  <c r="X22" i="3"/>
  <c r="C39" i="3"/>
  <c r="AC31" i="3"/>
  <c r="AA11" i="3"/>
  <c r="AM37" i="3"/>
  <c r="H23" i="3"/>
  <c r="J9" i="3"/>
  <c r="AO12" i="3"/>
  <c r="AM7" i="3"/>
  <c r="AA7" i="3"/>
  <c r="AB14" i="3"/>
  <c r="AN21" i="3"/>
  <c r="O36" i="3"/>
  <c r="Y35" i="3"/>
  <c r="Q37" i="3"/>
  <c r="L40" i="3"/>
  <c r="AP24" i="3"/>
  <c r="N16" i="3"/>
  <c r="W25" i="3"/>
  <c r="N12" i="3"/>
  <c r="T38" i="3"/>
  <c r="U32" i="3"/>
  <c r="AD22" i="3"/>
  <c r="AQ34" i="3"/>
  <c r="AI17" i="3"/>
  <c r="K33" i="3"/>
  <c r="Z17" i="3"/>
  <c r="AD23" i="3"/>
  <c r="AG13" i="3"/>
  <c r="N27" i="3"/>
  <c r="AE12" i="3"/>
  <c r="K25" i="3"/>
  <c r="T5" i="3"/>
  <c r="Y21" i="3"/>
  <c r="V20" i="3"/>
  <c r="C26" i="3"/>
  <c r="S13" i="3"/>
  <c r="AC15" i="3"/>
  <c r="AN30" i="3"/>
  <c r="AK15" i="3"/>
  <c r="AG11" i="3"/>
  <c r="AA19" i="3"/>
  <c r="U13" i="3"/>
  <c r="AD27" i="3"/>
  <c r="K30" i="3"/>
  <c r="Q42" i="3"/>
  <c r="R22" i="3"/>
  <c r="N23" i="3"/>
  <c r="M14" i="3"/>
  <c r="AB31" i="3"/>
  <c r="AL11" i="3"/>
  <c r="H33" i="3"/>
  <c r="AB36" i="3"/>
  <c r="S29" i="3"/>
  <c r="X37" i="3"/>
  <c r="H26" i="3"/>
  <c r="AP27" i="3"/>
  <c r="AE26" i="3"/>
  <c r="L24" i="3"/>
  <c r="L41" i="3"/>
  <c r="H22" i="3"/>
  <c r="AB60" i="3"/>
  <c r="H19" i="3"/>
  <c r="I25" i="3"/>
  <c r="V27" i="3"/>
  <c r="Y7" i="3"/>
  <c r="AB27" i="3"/>
  <c r="AK33" i="3"/>
  <c r="Z42" i="3"/>
  <c r="AM19" i="3"/>
  <c r="AO19" i="3"/>
  <c r="I17" i="3"/>
  <c r="P36" i="3"/>
  <c r="AK35" i="3"/>
  <c r="N6" i="3"/>
  <c r="Q21" i="3"/>
  <c r="AD42" i="3"/>
  <c r="K34" i="3"/>
  <c r="AJ21" i="3"/>
  <c r="H39" i="3"/>
  <c r="Q25" i="3"/>
  <c r="AA27" i="3"/>
  <c r="P37" i="3"/>
  <c r="X39" i="3"/>
  <c r="V37" i="3"/>
  <c r="L10" i="3"/>
  <c r="AP21" i="3"/>
  <c r="I49" i="2"/>
  <c r="R113" i="2"/>
  <c r="L42" i="2"/>
  <c r="R29" i="3"/>
  <c r="G41" i="3"/>
  <c r="AG17" i="3"/>
  <c r="AO21" i="3"/>
  <c r="X15" i="3"/>
  <c r="AQ36" i="3"/>
  <c r="L20" i="3"/>
  <c r="AJ15" i="3"/>
  <c r="AP9" i="3"/>
  <c r="H42" i="3"/>
  <c r="AJ8" i="3"/>
  <c r="AG38" i="3"/>
  <c r="AG30" i="3"/>
  <c r="AK36" i="3"/>
  <c r="AN24" i="3"/>
  <c r="I14" i="3"/>
  <c r="AP17" i="3"/>
  <c r="N29" i="3"/>
  <c r="AE20" i="3"/>
  <c r="AQ40" i="3"/>
  <c r="U36" i="3"/>
  <c r="Z23" i="3"/>
  <c r="P11" i="3"/>
  <c r="M8" i="3"/>
  <c r="L9" i="3"/>
  <c r="T19" i="3"/>
  <c r="AP20" i="3"/>
  <c r="AK14" i="3"/>
  <c r="C20" i="3"/>
  <c r="Q12" i="3"/>
  <c r="N7" i="3"/>
  <c r="Y29" i="3"/>
  <c r="Q24" i="3"/>
  <c r="AA22" i="3"/>
  <c r="J30" i="3"/>
  <c r="V21" i="3"/>
  <c r="V5" i="3"/>
  <c r="Q20" i="3"/>
  <c r="AL5" i="3"/>
  <c r="O31" i="3"/>
  <c r="V17" i="3"/>
  <c r="AC40" i="3"/>
  <c r="AM6" i="3"/>
  <c r="C18" i="3"/>
  <c r="C16" i="3"/>
  <c r="AB16" i="3"/>
  <c r="K37" i="3"/>
  <c r="AJ9" i="3"/>
  <c r="X20" i="3"/>
  <c r="AG29" i="3"/>
  <c r="AA24" i="3"/>
  <c r="N18" i="3"/>
  <c r="V19" i="3"/>
  <c r="Q13" i="3"/>
  <c r="AG24" i="3"/>
  <c r="Z14" i="3"/>
  <c r="AN36" i="3"/>
  <c r="G47" i="3"/>
  <c r="O34" i="3"/>
  <c r="AE27" i="3"/>
  <c r="R7" i="3"/>
  <c r="L21" i="3"/>
  <c r="AA38" i="3"/>
  <c r="V40" i="3"/>
  <c r="AH20" i="3"/>
  <c r="Q39" i="3"/>
  <c r="M40" i="3"/>
  <c r="AJ7" i="3"/>
  <c r="J14" i="3"/>
  <c r="X42" i="3"/>
  <c r="K20" i="3"/>
  <c r="M30" i="3"/>
  <c r="AB35" i="3"/>
  <c r="P15" i="3"/>
  <c r="W42" i="3"/>
  <c r="W23" i="3"/>
  <c r="AN11" i="3"/>
  <c r="AC30" i="3"/>
  <c r="R8" i="3"/>
  <c r="C36" i="3"/>
  <c r="S10" i="3"/>
  <c r="J35" i="3"/>
  <c r="U40" i="3"/>
  <c r="X6" i="3"/>
  <c r="Q30" i="3"/>
  <c r="U5" i="3"/>
  <c r="V35" i="3"/>
  <c r="AG14" i="3"/>
  <c r="W30" i="3"/>
  <c r="AB22" i="3"/>
  <c r="I18" i="3"/>
  <c r="W13" i="3"/>
  <c r="R39" i="3"/>
  <c r="R16" i="3"/>
  <c r="AD49" i="3"/>
  <c r="AO26" i="3"/>
  <c r="Z33" i="3"/>
  <c r="F113" i="2"/>
  <c r="S72" i="2"/>
  <c r="H45" i="2"/>
  <c r="C37" i="3"/>
  <c r="K38" i="3"/>
  <c r="N34" i="3"/>
  <c r="L8" i="3"/>
  <c r="AP34" i="3"/>
  <c r="AN27" i="3"/>
  <c r="J18" i="3"/>
  <c r="AK22" i="3"/>
  <c r="Z9" i="3"/>
  <c r="S30" i="3"/>
  <c r="U28" i="3"/>
  <c r="AG23" i="3"/>
  <c r="P16" i="3"/>
  <c r="AO10" i="3"/>
  <c r="AA5" i="3"/>
  <c r="AQ37" i="3"/>
  <c r="X26" i="3"/>
  <c r="AL8" i="3"/>
  <c r="AJ32" i="3"/>
  <c r="M38" i="3"/>
  <c r="AG34" i="3"/>
  <c r="AJ12" i="3"/>
  <c r="AI20" i="3"/>
  <c r="Y20" i="3"/>
  <c r="AE23" i="3"/>
  <c r="AL29" i="3"/>
  <c r="Z13" i="3"/>
  <c r="L17" i="3"/>
  <c r="J6" i="3"/>
  <c r="AK42" i="3"/>
  <c r="U10" i="3"/>
  <c r="U7" i="3"/>
  <c r="T18" i="3"/>
  <c r="AK26" i="3"/>
  <c r="O40" i="3"/>
  <c r="J20" i="3"/>
  <c r="X9" i="3"/>
  <c r="R34" i="3"/>
  <c r="K12" i="3"/>
  <c r="AJ40" i="3"/>
  <c r="AI37" i="3"/>
  <c r="Z5" i="3"/>
  <c r="AN39" i="3"/>
  <c r="AM36" i="3"/>
  <c r="W39" i="3"/>
  <c r="AO36" i="3"/>
  <c r="W8" i="3"/>
  <c r="AH6" i="3"/>
  <c r="X28" i="3"/>
  <c r="J7" i="3"/>
  <c r="L18" i="3"/>
  <c r="X40" i="3"/>
  <c r="V22" i="3"/>
  <c r="AP29" i="3"/>
  <c r="AE22" i="3"/>
  <c r="AM42" i="3"/>
  <c r="AK28" i="3"/>
  <c r="AE30" i="3"/>
  <c r="G33" i="3"/>
  <c r="K39" i="3"/>
  <c r="T42" i="2"/>
  <c r="L98" i="2"/>
  <c r="U107" i="2"/>
  <c r="C23" i="3"/>
  <c r="Z15" i="3"/>
  <c r="S35" i="3"/>
  <c r="X36" i="3"/>
  <c r="V9" i="3"/>
  <c r="AA40" i="3"/>
  <c r="V33" i="3"/>
  <c r="H9" i="3"/>
  <c r="L14" i="3"/>
  <c r="C30" i="3"/>
  <c r="R28" i="3"/>
  <c r="V38" i="3"/>
  <c r="AB42" i="3"/>
  <c r="AA32" i="3"/>
  <c r="AP33" i="3"/>
  <c r="AC16" i="3"/>
  <c r="AK7" i="3"/>
  <c r="N30" i="3"/>
  <c r="W41" i="3"/>
  <c r="N42" i="3"/>
  <c r="Y32" i="3"/>
  <c r="Y23" i="3"/>
  <c r="Y33" i="3"/>
  <c r="AC26" i="3"/>
  <c r="U9" i="3"/>
  <c r="AJ18" i="3"/>
  <c r="AI22" i="3"/>
  <c r="R41" i="3"/>
  <c r="AH19" i="3"/>
  <c r="Y26" i="3"/>
  <c r="AG20" i="3"/>
  <c r="AA20" i="3"/>
  <c r="AK40" i="3"/>
  <c r="Y5" i="3"/>
  <c r="N31" i="3"/>
  <c r="W20" i="3"/>
  <c r="Y42" i="3"/>
  <c r="P26" i="3"/>
  <c r="AC38" i="3"/>
  <c r="N17" i="3"/>
  <c r="Y27" i="3"/>
  <c r="I31" i="3"/>
  <c r="AA15" i="3"/>
  <c r="AQ16" i="3"/>
  <c r="M16" i="3"/>
  <c r="AC34" i="3"/>
  <c r="J22" i="3"/>
  <c r="S28" i="3"/>
  <c r="X19" i="3"/>
  <c r="AD29" i="3"/>
  <c r="J10" i="3"/>
  <c r="AI26" i="3"/>
  <c r="AC24" i="3"/>
  <c r="AQ17" i="3"/>
  <c r="AE15" i="3"/>
  <c r="V15" i="3"/>
  <c r="Q7" i="3"/>
  <c r="P33" i="3"/>
  <c r="AH8" i="3"/>
  <c r="V39" i="3"/>
  <c r="R30" i="3"/>
  <c r="AK11" i="3"/>
  <c r="AC8" i="3"/>
  <c r="Y30" i="3"/>
  <c r="E50" i="3"/>
  <c r="AP18" i="3"/>
  <c r="N28" i="3"/>
  <c r="AQ30" i="3"/>
  <c r="AA29" i="3"/>
  <c r="AC32" i="3"/>
  <c r="AJ19" i="3"/>
  <c r="R5" i="3"/>
  <c r="Q18" i="3"/>
  <c r="AQ20" i="3"/>
  <c r="AE35" i="3"/>
  <c r="AI13" i="3"/>
  <c r="AM17" i="3"/>
  <c r="AL14" i="3"/>
  <c r="AH9" i="3"/>
  <c r="T15" i="3"/>
  <c r="T36" i="3"/>
  <c r="I5" i="3"/>
  <c r="K16" i="3"/>
  <c r="R21" i="3"/>
  <c r="J5" i="3"/>
  <c r="W17" i="3"/>
  <c r="AL32" i="3"/>
  <c r="V42" i="3"/>
  <c r="AG9" i="3"/>
  <c r="AC41" i="3"/>
  <c r="U20" i="3"/>
  <c r="T65" i="2"/>
  <c r="X76" i="2"/>
  <c r="R97" i="2"/>
  <c r="AL20" i="3"/>
  <c r="X7" i="3"/>
  <c r="L29" i="3"/>
  <c r="AB34" i="3"/>
  <c r="AK29" i="3"/>
  <c r="AN25" i="3"/>
  <c r="N20" i="3"/>
  <c r="AG26" i="3"/>
  <c r="W6" i="3"/>
  <c r="M7" i="3"/>
  <c r="P35" i="3"/>
  <c r="C8" i="3"/>
  <c r="I7" i="3"/>
  <c r="AM20" i="3"/>
  <c r="AN19" i="3"/>
  <c r="D50" i="3"/>
  <c r="Y37" i="3"/>
  <c r="AK20" i="3"/>
  <c r="AD19" i="3"/>
  <c r="R37" i="3"/>
  <c r="AK39" i="3"/>
  <c r="AD40" i="3"/>
  <c r="H15" i="3"/>
  <c r="M27" i="3"/>
  <c r="R23" i="3"/>
  <c r="AL17" i="3"/>
  <c r="AD36" i="3"/>
  <c r="Q6" i="3"/>
  <c r="AQ26" i="3"/>
  <c r="T37" i="3"/>
  <c r="AM10" i="3"/>
  <c r="T9" i="3"/>
  <c r="Y12" i="3"/>
  <c r="AQ5" i="3"/>
  <c r="Y10" i="3"/>
  <c r="J28" i="3"/>
  <c r="C10" i="3"/>
  <c r="AB8" i="3"/>
  <c r="V28" i="3"/>
  <c r="AD34" i="3"/>
  <c r="R11" i="3"/>
  <c r="H8" i="3"/>
  <c r="V10" i="3"/>
  <c r="K32" i="3"/>
  <c r="AH18" i="3"/>
  <c r="P12" i="3"/>
  <c r="AN15" i="3"/>
  <c r="M21" i="3"/>
  <c r="Z27" i="3"/>
  <c r="Q17" i="3"/>
  <c r="T6" i="3"/>
  <c r="AO5" i="3"/>
  <c r="U16" i="3"/>
  <c r="J11" i="3"/>
  <c r="AH14" i="3"/>
  <c r="AA6" i="3"/>
  <c r="L23" i="3"/>
  <c r="N32" i="3"/>
  <c r="AG6" i="3"/>
  <c r="M6" i="3"/>
  <c r="AA41" i="3"/>
  <c r="K6" i="3"/>
  <c r="P23" i="3"/>
  <c r="AO17" i="3"/>
  <c r="C14" i="3"/>
  <c r="AL28" i="3"/>
  <c r="T27" i="3"/>
  <c r="AG25" i="3"/>
  <c r="X23" i="3"/>
  <c r="AJ29" i="3"/>
  <c r="AJ26" i="3"/>
  <c r="X11" i="3"/>
  <c r="AK18" i="3"/>
  <c r="AQ38" i="3"/>
  <c r="K19" i="3"/>
  <c r="O19" i="3"/>
  <c r="AE41" i="3"/>
  <c r="R9" i="3"/>
  <c r="Z41" i="3"/>
  <c r="C4" i="3"/>
  <c r="AG22" i="3"/>
  <c r="AP32" i="3"/>
  <c r="AO40" i="3"/>
  <c r="V23" i="3"/>
  <c r="AD30" i="3"/>
  <c r="S22" i="3"/>
  <c r="O12" i="3"/>
  <c r="Q8" i="3"/>
  <c r="N22" i="3"/>
  <c r="AD26" i="3"/>
  <c r="Z18" i="3"/>
  <c r="U38" i="3"/>
  <c r="AJ27" i="3"/>
  <c r="Q76" i="2"/>
  <c r="H69" i="2"/>
  <c r="R50" i="2"/>
  <c r="AL41" i="3"/>
  <c r="M29" i="3"/>
  <c r="L33" i="3"/>
  <c r="W15" i="3"/>
  <c r="S63" i="2"/>
  <c r="C52" i="2"/>
  <c r="O62" i="2"/>
  <c r="Z10" i="3"/>
  <c r="H14" i="3"/>
  <c r="Q31" i="3"/>
  <c r="AH24" i="3"/>
  <c r="AK27" i="3"/>
  <c r="AI5" i="3"/>
  <c r="Y19" i="3"/>
  <c r="AN34" i="3"/>
  <c r="AK9" i="3"/>
  <c r="S27" i="3"/>
  <c r="AJ5" i="3"/>
  <c r="X5" i="3"/>
  <c r="T10" i="3"/>
  <c r="AI32" i="3"/>
  <c r="AH29" i="3"/>
  <c r="T11" i="3"/>
  <c r="W27" i="3"/>
  <c r="AI42" i="3"/>
  <c r="AL21" i="3"/>
  <c r="P29" i="3"/>
  <c r="O26" i="3"/>
  <c r="AN5" i="3"/>
  <c r="AO9" i="3"/>
  <c r="AM23" i="3"/>
  <c r="AL36" i="3"/>
  <c r="Q14" i="3"/>
  <c r="AL6" i="3"/>
  <c r="AL26" i="3"/>
  <c r="T7" i="3"/>
  <c r="S6" i="3"/>
  <c r="U18" i="3"/>
  <c r="AG5" i="3"/>
  <c r="AQ25" i="3"/>
  <c r="K14" i="3"/>
  <c r="K31" i="3"/>
  <c r="Y9" i="3"/>
  <c r="AC35" i="3"/>
  <c r="AG16" i="3"/>
  <c r="D48" i="3"/>
  <c r="M19" i="3"/>
  <c r="Z16" i="3"/>
  <c r="T40" i="3"/>
  <c r="AE13" i="3"/>
  <c r="AL35" i="3"/>
  <c r="AE40" i="3"/>
  <c r="AG40" i="3"/>
  <c r="AN13" i="3"/>
  <c r="S14" i="3"/>
  <c r="W14" i="3"/>
  <c r="J26" i="3"/>
  <c r="AQ7" i="3"/>
  <c r="K26" i="3"/>
  <c r="W32" i="3"/>
  <c r="AI33" i="3"/>
  <c r="K5" i="3"/>
  <c r="AD41" i="3"/>
  <c r="AO27" i="3"/>
  <c r="AH41" i="3"/>
  <c r="AA23" i="3"/>
  <c r="AL7" i="3"/>
  <c r="AA33" i="3"/>
  <c r="J13" i="3"/>
  <c r="U17" i="3"/>
  <c r="P93" i="2"/>
  <c r="AL22" i="3"/>
  <c r="AL34" i="3"/>
  <c r="AO28" i="3"/>
  <c r="O32" i="3"/>
  <c r="AA18" i="3"/>
  <c r="AK8" i="3"/>
  <c r="AC11" i="3"/>
  <c r="AM15" i="3"/>
  <c r="U8" i="3"/>
  <c r="AI14" i="3"/>
  <c r="I30" i="3"/>
  <c r="AQ27" i="3"/>
  <c r="C29" i="3"/>
  <c r="J19" i="3"/>
  <c r="K17" i="3"/>
  <c r="AI40" i="3"/>
  <c r="R19" i="3"/>
  <c r="AD31" i="3"/>
  <c r="T80" i="2"/>
  <c r="U106" i="2"/>
  <c r="H55" i="2"/>
  <c r="X31" i="3"/>
  <c r="I36" i="3"/>
  <c r="AJ24" i="3"/>
  <c r="AB23" i="3"/>
  <c r="C41" i="3"/>
  <c r="C19" i="3"/>
  <c r="AN23" i="3"/>
  <c r="AG10" i="3"/>
  <c r="AO32" i="3"/>
  <c r="L28" i="3"/>
  <c r="AE8" i="3"/>
  <c r="AB24" i="3"/>
  <c r="AL42" i="3"/>
  <c r="AB29" i="3"/>
  <c r="Y24" i="3"/>
  <c r="L36" i="3"/>
  <c r="Z36" i="3"/>
  <c r="AE28" i="3"/>
  <c r="I10" i="3"/>
  <c r="AN38" i="3"/>
  <c r="AH26" i="3"/>
  <c r="AN42" i="3"/>
  <c r="X18" i="3"/>
  <c r="C35" i="3"/>
  <c r="M18" i="3"/>
  <c r="L35" i="3"/>
  <c r="P34" i="3"/>
  <c r="AK24" i="3"/>
  <c r="J15" i="3"/>
  <c r="AB13" i="3"/>
  <c r="U25" i="3"/>
  <c r="AL25" i="3"/>
  <c r="AJ37" i="3"/>
  <c r="AA28" i="3"/>
  <c r="K8" i="3"/>
  <c r="T31" i="3"/>
  <c r="AP39" i="3"/>
  <c r="W38" i="3"/>
  <c r="O14" i="3"/>
  <c r="X41" i="3"/>
  <c r="O33" i="3"/>
  <c r="Y41" i="3"/>
  <c r="AO22" i="3"/>
  <c r="C11" i="3"/>
  <c r="C31" i="3"/>
  <c r="R12" i="3"/>
  <c r="AJ6" i="3"/>
  <c r="H44" i="2"/>
  <c r="R74" i="2"/>
  <c r="I81" i="2"/>
  <c r="AB72" i="3"/>
  <c r="AH33" i="3"/>
  <c r="S33" i="3"/>
  <c r="V12" i="3"/>
  <c r="Y18" i="3"/>
  <c r="AA31" i="3"/>
  <c r="AB11" i="3"/>
  <c r="AE19" i="3"/>
  <c r="AM13" i="3"/>
  <c r="J38" i="3"/>
  <c r="R26" i="3"/>
  <c r="AQ12" i="3"/>
  <c r="C24" i="3"/>
  <c r="H32" i="3"/>
  <c r="I40" i="3"/>
  <c r="O30" i="3"/>
  <c r="AM30" i="3"/>
  <c r="S24" i="3"/>
  <c r="AK13" i="3"/>
  <c r="Y36" i="3"/>
  <c r="AI36" i="3"/>
  <c r="AD21" i="3"/>
  <c r="C6" i="3"/>
  <c r="AD33" i="3"/>
  <c r="AE17" i="3"/>
  <c r="H16" i="3"/>
  <c r="L42" i="3"/>
  <c r="V6" i="3"/>
  <c r="Z21" i="3"/>
  <c r="R27" i="3"/>
  <c r="X17" i="3"/>
  <c r="AC12" i="3"/>
  <c r="AM31" i="3"/>
  <c r="V26" i="3"/>
  <c r="AH38" i="3"/>
  <c r="X8" i="3"/>
  <c r="K27" i="3"/>
  <c r="Y15" i="3"/>
  <c r="AJ42" i="3"/>
  <c r="AQ10" i="3"/>
  <c r="N37" i="3"/>
  <c r="L34" i="3"/>
  <c r="AH30" i="3"/>
  <c r="AM38" i="3"/>
  <c r="G34" i="3"/>
  <c r="AN41" i="3"/>
  <c r="AB9" i="3"/>
  <c r="Q32" i="3"/>
  <c r="AL19" i="3"/>
  <c r="AK16" i="3"/>
  <c r="AO8" i="3"/>
  <c r="AO37" i="3"/>
  <c r="AB15" i="3"/>
  <c r="J31" i="3"/>
  <c r="N41" i="3"/>
  <c r="S37" i="3"/>
  <c r="AO13" i="3"/>
  <c r="AA35" i="3"/>
  <c r="H58" i="2"/>
  <c r="AB96" i="3"/>
  <c r="I23" i="3"/>
  <c r="AH17" i="3"/>
  <c r="W29" i="3"/>
  <c r="Z12" i="3"/>
  <c r="H40" i="3"/>
  <c r="T30" i="3"/>
  <c r="S40" i="3"/>
  <c r="R17" i="3"/>
  <c r="V25" i="3"/>
  <c r="O6" i="3"/>
  <c r="P21" i="3"/>
  <c r="S38" i="3"/>
  <c r="W36" i="3"/>
  <c r="X25" i="3"/>
  <c r="W9" i="3"/>
  <c r="AP22" i="3"/>
  <c r="S41" i="3"/>
  <c r="AN29" i="3"/>
  <c r="AO38" i="3"/>
  <c r="R10" i="3"/>
  <c r="U14" i="3"/>
  <c r="L13" i="3"/>
  <c r="T29" i="3"/>
  <c r="BH157" i="1" l="1"/>
  <c r="B144" i="1"/>
  <c r="B138" i="1"/>
  <c r="B166" i="1" s="1"/>
  <c r="U183" i="1"/>
  <c r="D130" i="1"/>
  <c r="K176" i="1"/>
  <c r="M136" i="1"/>
  <c r="T81" i="1"/>
  <c r="M157" i="1"/>
  <c r="M192" i="1" s="1"/>
  <c r="U158" i="1"/>
  <c r="E184" i="1"/>
  <c r="W134" i="1"/>
  <c r="K172" i="1"/>
  <c r="T162" i="1"/>
  <c r="L136" i="1"/>
  <c r="F176" i="1"/>
  <c r="L130" i="1"/>
  <c r="C130" i="1"/>
  <c r="E149" i="1"/>
  <c r="N86" i="1"/>
  <c r="N136" i="1"/>
  <c r="S144" i="1"/>
  <c r="W182" i="1"/>
  <c r="U176" i="1"/>
  <c r="W148" i="1"/>
  <c r="T145" i="1"/>
  <c r="S74" i="1"/>
  <c r="R145" i="1"/>
  <c r="H155" i="1"/>
  <c r="L86" i="1"/>
  <c r="C85" i="1"/>
  <c r="V80" i="1"/>
  <c r="M167" i="1"/>
  <c r="B86" i="1"/>
  <c r="B139" i="1"/>
  <c r="D157" i="1"/>
  <c r="D192" i="1" s="1"/>
  <c r="O134" i="1"/>
  <c r="R183" i="1"/>
  <c r="B183" i="1"/>
  <c r="Q161" i="1"/>
  <c r="D172" i="1"/>
  <c r="P136" i="1"/>
  <c r="J144" i="1"/>
  <c r="I149" i="1"/>
  <c r="F162" i="1"/>
  <c r="J145" i="1"/>
  <c r="H158" i="1"/>
  <c r="W165" i="1"/>
  <c r="G156" i="1"/>
  <c r="G191" i="1" s="1"/>
  <c r="R165" i="1"/>
  <c r="R195" i="1" s="1"/>
  <c r="K149" i="1"/>
  <c r="N161" i="1"/>
  <c r="G184" i="1"/>
  <c r="J84" i="1"/>
  <c r="V163" i="1"/>
  <c r="U134" i="1"/>
  <c r="W80" i="1"/>
  <c r="T86" i="1"/>
  <c r="P162" i="1"/>
  <c r="B158" i="1"/>
  <c r="G157" i="1"/>
  <c r="G192" i="1" s="1"/>
  <c r="O157" i="1"/>
  <c r="O192" i="1" s="1"/>
  <c r="P155" i="1"/>
  <c r="C81" i="1"/>
  <c r="T85" i="1"/>
  <c r="M144" i="1"/>
  <c r="T182" i="1"/>
  <c r="I183" i="1"/>
  <c r="D137" i="1"/>
  <c r="F156" i="1"/>
  <c r="F191" i="1" s="1"/>
  <c r="V158" i="1"/>
  <c r="O139" i="1"/>
  <c r="F158" i="1"/>
  <c r="J157" i="1"/>
  <c r="J192" i="1" s="1"/>
  <c r="B162" i="1"/>
  <c r="M149" i="1"/>
  <c r="F145" i="1"/>
  <c r="L149" i="1"/>
  <c r="F172" i="1"/>
  <c r="G134" i="1"/>
  <c r="D138" i="1"/>
  <c r="D166" i="1" s="1"/>
  <c r="S167" i="1"/>
  <c r="C129" i="1"/>
  <c r="I134" i="1"/>
  <c r="O137" i="1"/>
  <c r="J176" i="1"/>
  <c r="W172" i="1"/>
  <c r="F147" i="1"/>
  <c r="F143" i="1" s="1"/>
  <c r="D80" i="1"/>
  <c r="S175" i="1"/>
  <c r="R130" i="1"/>
  <c r="K130" i="1"/>
  <c r="J155" i="1"/>
  <c r="Q148" i="1"/>
  <c r="H184" i="1"/>
  <c r="W159" i="1"/>
  <c r="H171" i="1"/>
  <c r="C148" i="1"/>
  <c r="J129" i="1"/>
  <c r="M165" i="1"/>
  <c r="M195" i="1" s="1"/>
  <c r="F130" i="1"/>
  <c r="L145" i="1"/>
  <c r="O74" i="1"/>
  <c r="E134" i="1"/>
  <c r="C171" i="1"/>
  <c r="F149" i="1"/>
  <c r="W147" i="1"/>
  <c r="W143" i="1" s="1"/>
  <c r="O163" i="1"/>
  <c r="O167" i="1"/>
  <c r="C84" i="1"/>
  <c r="M152" i="1"/>
  <c r="L139" i="1"/>
  <c r="M74" i="1"/>
  <c r="E157" i="1"/>
  <c r="E192" i="1" s="1"/>
  <c r="T74" i="1"/>
  <c r="C139" i="1"/>
  <c r="G167" i="1"/>
  <c r="D155" i="1"/>
  <c r="K84" i="1"/>
  <c r="S163" i="1"/>
  <c r="T131" i="1"/>
  <c r="N149" i="1"/>
  <c r="I162" i="1"/>
  <c r="P161" i="1"/>
  <c r="F182" i="1"/>
  <c r="T147" i="1"/>
  <c r="T143" i="1" s="1"/>
  <c r="Q85" i="1"/>
  <c r="U148" i="1"/>
  <c r="Q134" i="1"/>
  <c r="G144" i="1"/>
  <c r="H74" i="1"/>
  <c r="V147" i="1"/>
  <c r="V143" i="1" s="1"/>
  <c r="V145" i="1"/>
  <c r="B159" i="1"/>
  <c r="E182" i="1"/>
  <c r="R139" i="1"/>
  <c r="H162" i="1"/>
  <c r="B172" i="1"/>
  <c r="U157" i="1"/>
  <c r="U192" i="1" s="1"/>
  <c r="U86" i="1"/>
  <c r="S80" i="1"/>
  <c r="B74" i="1"/>
  <c r="J182" i="1"/>
  <c r="D81" i="1"/>
  <c r="S147" i="1"/>
  <c r="S143" i="1" s="1"/>
  <c r="C149" i="1"/>
  <c r="P147" i="1"/>
  <c r="P143" i="1" s="1"/>
  <c r="S184" i="1"/>
  <c r="L144" i="1"/>
  <c r="N163" i="1"/>
  <c r="O175" i="1"/>
  <c r="L148" i="1"/>
  <c r="P154" i="1"/>
  <c r="G84" i="1"/>
  <c r="V134" i="1"/>
  <c r="J172" i="1"/>
  <c r="G159" i="1"/>
  <c r="F159" i="1"/>
  <c r="C131" i="1"/>
  <c r="V156" i="1"/>
  <c r="V191" i="1" s="1"/>
  <c r="I175" i="1"/>
  <c r="L162" i="1"/>
  <c r="V74" i="1"/>
  <c r="C155" i="1"/>
  <c r="G86" i="1"/>
  <c r="F175" i="1"/>
  <c r="J80" i="1"/>
  <c r="I157" i="1"/>
  <c r="I192" i="1" s="1"/>
  <c r="G148" i="1"/>
  <c r="R74" i="1"/>
  <c r="W131" i="1"/>
  <c r="W138" i="1"/>
  <c r="W166" i="1" s="1"/>
  <c r="Q155" i="1"/>
  <c r="Q131" i="1"/>
  <c r="B70" i="1"/>
  <c r="D159" i="1"/>
  <c r="J167" i="1"/>
  <c r="B176" i="1"/>
  <c r="F165" i="1"/>
  <c r="F195" i="1" s="1"/>
  <c r="R163" i="1"/>
  <c r="R176" i="1"/>
  <c r="N158" i="1"/>
  <c r="R136" i="1"/>
  <c r="O184" i="1"/>
  <c r="F138" i="1"/>
  <c r="F166" i="1" s="1"/>
  <c r="G149" i="1"/>
  <c r="M175" i="1"/>
  <c r="M158" i="1"/>
  <c r="G130" i="1"/>
  <c r="R81" i="1"/>
  <c r="I137" i="1"/>
  <c r="E139" i="1"/>
  <c r="G136" i="1"/>
  <c r="O147" i="1"/>
  <c r="O143" i="1" s="1"/>
  <c r="P159" i="1"/>
  <c r="T184" i="1"/>
  <c r="F139" i="1"/>
  <c r="P130" i="1"/>
  <c r="S152" i="1"/>
  <c r="Q152" i="1"/>
  <c r="B171" i="1"/>
  <c r="B173" i="1" s="1"/>
  <c r="C221" i="1" s="1"/>
  <c r="C70" i="1"/>
  <c r="T84" i="1"/>
  <c r="S139" i="1"/>
  <c r="W137" i="1"/>
  <c r="L171" i="1"/>
  <c r="I147" i="1"/>
  <c r="I143" i="1" s="1"/>
  <c r="J152" i="1"/>
  <c r="K145" i="1"/>
  <c r="H134" i="1"/>
  <c r="N145" i="1"/>
  <c r="B157" i="1"/>
  <c r="B192" i="1" s="1"/>
  <c r="R171" i="1"/>
  <c r="B184" i="1"/>
  <c r="H138" i="1"/>
  <c r="H166" i="1" s="1"/>
  <c r="M81" i="1"/>
  <c r="E145" i="1"/>
  <c r="M171" i="1"/>
  <c r="D139" i="1"/>
  <c r="P85" i="1"/>
  <c r="B163" i="1"/>
  <c r="E158" i="1"/>
  <c r="L158" i="1"/>
  <c r="V172" i="1"/>
  <c r="W163" i="1"/>
  <c r="C183" i="1"/>
  <c r="M130" i="1"/>
  <c r="U184" i="1"/>
  <c r="L154" i="1"/>
  <c r="I182" i="1"/>
  <c r="C157" i="1"/>
  <c r="C192" i="1" s="1"/>
  <c r="N80" i="1"/>
  <c r="W85" i="1"/>
  <c r="K159" i="1"/>
  <c r="L183" i="1"/>
  <c r="M84" i="1"/>
  <c r="R129" i="1"/>
  <c r="F144" i="1"/>
  <c r="M147" i="1"/>
  <c r="M143" i="1" s="1"/>
  <c r="C145" i="1"/>
  <c r="N184" i="1"/>
  <c r="W139" i="1"/>
  <c r="H130" i="1"/>
  <c r="T80" i="1"/>
  <c r="J148" i="1"/>
  <c r="B148" i="1"/>
  <c r="L85" i="1"/>
  <c r="D154" i="1"/>
  <c r="Q154" i="1"/>
  <c r="L131" i="1"/>
  <c r="L176" i="1"/>
  <c r="G163" i="1"/>
  <c r="B165" i="1"/>
  <c r="B195" i="1" s="1"/>
  <c r="U136" i="1"/>
  <c r="D184" i="1"/>
  <c r="Q156" i="1"/>
  <c r="Q191" i="1" s="1"/>
  <c r="E85" i="1"/>
  <c r="I145" i="1"/>
  <c r="U80" i="1"/>
  <c r="W156" i="1"/>
  <c r="D161" i="1"/>
  <c r="D71" i="1"/>
  <c r="I81" i="1"/>
  <c r="N159" i="1"/>
  <c r="M176" i="1"/>
  <c r="U129" i="1"/>
  <c r="H131" i="1"/>
  <c r="I138" i="1"/>
  <c r="I166" i="1" s="1"/>
  <c r="D85" i="1"/>
  <c r="U139" i="1"/>
  <c r="S176" i="1"/>
  <c r="E165" i="1"/>
  <c r="E195" i="1" s="1"/>
  <c r="E131" i="1"/>
  <c r="V129" i="1"/>
  <c r="M183" i="1"/>
  <c r="P171" i="1"/>
  <c r="P173" i="1" s="1"/>
  <c r="Q221" i="1" s="1"/>
  <c r="E80" i="1"/>
  <c r="F161" i="1"/>
  <c r="I130" i="1"/>
  <c r="C80" i="1"/>
  <c r="U144" i="1"/>
  <c r="B71" i="1"/>
  <c r="T157" i="1"/>
  <c r="T192" i="1" s="1"/>
  <c r="C152" i="1"/>
  <c r="G152" i="1"/>
  <c r="D176" i="1"/>
  <c r="S138" i="1"/>
  <c r="S166" i="1" s="1"/>
  <c r="D148" i="1"/>
  <c r="N162" i="1"/>
  <c r="P80" i="1"/>
  <c r="T183" i="1"/>
  <c r="S129" i="1"/>
  <c r="M131" i="1"/>
  <c r="O131" i="1"/>
  <c r="J137" i="1"/>
  <c r="S84" i="1"/>
  <c r="S136" i="1"/>
  <c r="K155" i="1"/>
  <c r="L155" i="1"/>
  <c r="B147" i="1"/>
  <c r="D165" i="1"/>
  <c r="D195" i="1" s="1"/>
  <c r="R154" i="1"/>
  <c r="N74" i="1"/>
  <c r="B84" i="1"/>
  <c r="K175" i="1"/>
  <c r="H80" i="1"/>
  <c r="K139" i="1"/>
  <c r="B143" i="1"/>
  <c r="I155" i="1"/>
  <c r="K158" i="1"/>
  <c r="L80" i="1"/>
  <c r="P145" i="1"/>
  <c r="V162" i="1"/>
  <c r="V149" i="1"/>
  <c r="Q159" i="1"/>
  <c r="Q176" i="1"/>
  <c r="M86" i="1"/>
  <c r="R152" i="1"/>
  <c r="R134" i="1"/>
  <c r="Q184" i="1"/>
  <c r="Q136" i="1"/>
  <c r="P129" i="1"/>
  <c r="W149" i="1"/>
  <c r="P158" i="1"/>
  <c r="N144" i="1"/>
  <c r="V84" i="1"/>
  <c r="Q81" i="1"/>
  <c r="I148" i="1"/>
  <c r="C138" i="1"/>
  <c r="C166" i="1" s="1"/>
  <c r="D86" i="1"/>
  <c r="R156" i="1"/>
  <c r="R191" i="1" s="1"/>
  <c r="B85" i="1"/>
  <c r="V159" i="1"/>
  <c r="W130" i="1"/>
  <c r="O86" i="1"/>
  <c r="U161" i="1"/>
  <c r="F148" i="1"/>
  <c r="R161" i="1"/>
  <c r="F163" i="1"/>
  <c r="G139" i="1"/>
  <c r="K167" i="1"/>
  <c r="L129" i="1"/>
  <c r="W162" i="1"/>
  <c r="M163" i="1"/>
  <c r="J162" i="1"/>
  <c r="I156" i="1"/>
  <c r="I191" i="1" s="1"/>
  <c r="F184" i="1"/>
  <c r="D167" i="1"/>
  <c r="M155" i="1"/>
  <c r="K86" i="1"/>
  <c r="N147" i="1"/>
  <c r="N143" i="1" s="1"/>
  <c r="R85" i="1"/>
  <c r="R137" i="1"/>
  <c r="N134" i="1"/>
  <c r="G158" i="1"/>
  <c r="R184" i="1"/>
  <c r="D162" i="1"/>
  <c r="W183" i="1"/>
  <c r="U156" i="1"/>
  <c r="U191" i="1" s="1"/>
  <c r="T155" i="1"/>
  <c r="K156" i="1"/>
  <c r="K191" i="1" s="1"/>
  <c r="C165" i="1"/>
  <c r="C195" i="1" s="1"/>
  <c r="E162" i="1"/>
  <c r="H147" i="1"/>
  <c r="H143" i="1" s="1"/>
  <c r="G154" i="1"/>
  <c r="B167" i="1"/>
  <c r="J74" i="1"/>
  <c r="T176" i="1"/>
  <c r="F74" i="1"/>
  <c r="D152" i="1"/>
  <c r="Q80" i="1"/>
  <c r="T161" i="1"/>
  <c r="Q175" i="1"/>
  <c r="J154" i="1"/>
  <c r="T138" i="1"/>
  <c r="T166" i="1" s="1"/>
  <c r="T144" i="1"/>
  <c r="R175" i="1"/>
  <c r="B134" i="1"/>
  <c r="E137" i="1"/>
  <c r="E147" i="1"/>
  <c r="E143" i="1" s="1"/>
  <c r="G155" i="1"/>
  <c r="L163" i="1"/>
  <c r="J149" i="1"/>
  <c r="I158" i="1"/>
  <c r="C147" i="1"/>
  <c r="U165" i="1"/>
  <c r="U195" i="1" s="1"/>
  <c r="H161" i="1"/>
  <c r="F183" i="1"/>
  <c r="P184" i="1"/>
  <c r="V165" i="1"/>
  <c r="V195" i="1" s="1"/>
  <c r="T149" i="1"/>
  <c r="S158" i="1"/>
  <c r="H144" i="1"/>
  <c r="H136" i="1"/>
  <c r="Q145" i="1"/>
  <c r="L175" i="1"/>
  <c r="N154" i="1"/>
  <c r="U152" i="1"/>
  <c r="I144" i="1"/>
  <c r="W74" i="1"/>
  <c r="R148" i="1"/>
  <c r="B131" i="1"/>
  <c r="V182" i="1"/>
  <c r="I84" i="1"/>
  <c r="M159" i="1"/>
  <c r="E148" i="1"/>
  <c r="S148" i="1"/>
  <c r="K134" i="1"/>
  <c r="V85" i="1"/>
  <c r="P137" i="1"/>
  <c r="G161" i="1"/>
  <c r="S137" i="1"/>
  <c r="G182" i="1"/>
  <c r="V130" i="1"/>
  <c r="J130" i="1"/>
  <c r="V175" i="1"/>
  <c r="Q171" i="1"/>
  <c r="U137" i="1"/>
  <c r="H139" i="1"/>
  <c r="D182" i="1"/>
  <c r="F80" i="1"/>
  <c r="S85" i="1"/>
  <c r="Q162" i="1"/>
  <c r="T136" i="1"/>
  <c r="L157" i="1"/>
  <c r="L192" i="1" s="1"/>
  <c r="I86" i="1"/>
  <c r="C158" i="1"/>
  <c r="W154" i="1"/>
  <c r="G138" i="1"/>
  <c r="G166" i="1" s="1"/>
  <c r="P84" i="1"/>
  <c r="F167" i="1"/>
  <c r="H154" i="1"/>
  <c r="C156" i="1"/>
  <c r="C191" i="1" s="1"/>
  <c r="S171" i="1"/>
  <c r="K74" i="1"/>
  <c r="Q157" i="1"/>
  <c r="Q192" i="1" s="1"/>
  <c r="T134" i="1"/>
  <c r="I74" i="1"/>
  <c r="O159" i="1"/>
  <c r="B145" i="1"/>
  <c r="W81" i="1"/>
  <c r="O136" i="1"/>
  <c r="K157" i="1"/>
  <c r="K192" i="1" s="1"/>
  <c r="Q144" i="1"/>
  <c r="U74" i="1"/>
  <c r="W136" i="1"/>
  <c r="C175" i="1"/>
  <c r="K152" i="1"/>
  <c r="T172" i="1"/>
  <c r="N138" i="1"/>
  <c r="N166" i="1" s="1"/>
  <c r="B136" i="1"/>
  <c r="V139" i="1"/>
  <c r="C163" i="1"/>
  <c r="K136" i="1"/>
  <c r="U147" i="1"/>
  <c r="U143" i="1" s="1"/>
  <c r="E175" i="1"/>
  <c r="V183" i="1"/>
  <c r="Q182" i="1"/>
  <c r="M156" i="1"/>
  <c r="M191" i="1" s="1"/>
  <c r="E156" i="1"/>
  <c r="E191" i="1" s="1"/>
  <c r="D149" i="1"/>
  <c r="L172" i="1"/>
  <c r="S159" i="1"/>
  <c r="D129" i="1"/>
  <c r="U81" i="1"/>
  <c r="E154" i="1"/>
  <c r="J183" i="1"/>
  <c r="Q138" i="1"/>
  <c r="Q166" i="1" s="1"/>
  <c r="C71" i="1"/>
  <c r="Q86" i="1"/>
  <c r="N182" i="1"/>
  <c r="G129" i="1"/>
  <c r="J138" i="1"/>
  <c r="J166" i="1" s="1"/>
  <c r="M154" i="1"/>
  <c r="O129" i="1"/>
  <c r="P183" i="1"/>
  <c r="V154" i="1"/>
  <c r="M129" i="1"/>
  <c r="O172" i="1"/>
  <c r="R86" i="1"/>
  <c r="B130" i="1"/>
  <c r="V148" i="1"/>
  <c r="W158" i="1"/>
  <c r="S182" i="1"/>
  <c r="O171" i="1"/>
  <c r="H85" i="1"/>
  <c r="D158" i="1"/>
  <c r="R144" i="1"/>
  <c r="K129" i="1"/>
  <c r="L81" i="1"/>
  <c r="J136" i="1"/>
  <c r="S165" i="1"/>
  <c r="S195" i="1" s="1"/>
  <c r="V176" i="1"/>
  <c r="E84" i="1"/>
  <c r="T139" i="1"/>
  <c r="O84" i="1"/>
  <c r="B156" i="1"/>
  <c r="B191" i="1" s="1"/>
  <c r="L147" i="1"/>
  <c r="L143" i="1" s="1"/>
  <c r="L134" i="1"/>
  <c r="V138" i="1"/>
  <c r="V166" i="1" s="1"/>
  <c r="N84" i="1"/>
  <c r="R80" i="1"/>
  <c r="O154" i="1"/>
  <c r="U162" i="1"/>
  <c r="O165" i="1"/>
  <c r="O195" i="1" s="1"/>
  <c r="N130" i="1"/>
  <c r="G183" i="1"/>
  <c r="U159" i="1"/>
  <c r="R158" i="1"/>
  <c r="Q167" i="1"/>
  <c r="K131" i="1"/>
  <c r="P148" i="1"/>
  <c r="C154" i="1"/>
  <c r="U155" i="1"/>
  <c r="N176" i="1"/>
  <c r="P157" i="1"/>
  <c r="P192" i="1" s="1"/>
  <c r="G147" i="1"/>
  <c r="G143" i="1" s="1"/>
  <c r="M137" i="1"/>
  <c r="D70" i="1"/>
  <c r="C74" i="1"/>
  <c r="P156" i="1"/>
  <c r="P191" i="1" s="1"/>
  <c r="F137" i="1"/>
  <c r="E163" i="1"/>
  <c r="V136" i="1"/>
  <c r="U163" i="1"/>
  <c r="O138" i="1"/>
  <c r="O166" i="1" s="1"/>
  <c r="V171" i="1"/>
  <c r="K161" i="1"/>
  <c r="E130" i="1"/>
  <c r="E138" i="1"/>
  <c r="E166" i="1" s="1"/>
  <c r="V157" i="1"/>
  <c r="V192" i="1" s="1"/>
  <c r="R172" i="1"/>
  <c r="T152" i="1"/>
  <c r="U172" i="1"/>
  <c r="P163" i="1"/>
  <c r="I167" i="1"/>
  <c r="I171" i="1"/>
  <c r="K81" i="1"/>
  <c r="R155" i="1"/>
  <c r="O80" i="1"/>
  <c r="I136" i="1"/>
  <c r="K162" i="1"/>
  <c r="D131" i="1"/>
  <c r="N131" i="1"/>
  <c r="B175" i="1"/>
  <c r="H157" i="1"/>
  <c r="H192" i="1" s="1"/>
  <c r="K154" i="1"/>
  <c r="N167" i="1"/>
  <c r="D136" i="1"/>
  <c r="N152" i="1"/>
  <c r="J134" i="1"/>
  <c r="S154" i="1"/>
  <c r="T137" i="1"/>
  <c r="B152" i="1"/>
  <c r="Q139" i="1"/>
  <c r="Q74" i="1"/>
  <c r="P175" i="1"/>
  <c r="J159" i="1"/>
  <c r="I163" i="1"/>
  <c r="Q130" i="1"/>
  <c r="B154" i="1"/>
  <c r="W184" i="1"/>
  <c r="H81" i="1"/>
  <c r="R131" i="1"/>
  <c r="C167" i="1"/>
  <c r="L165" i="1"/>
  <c r="L195" i="1" s="1"/>
  <c r="P152" i="1"/>
  <c r="E152" i="1"/>
  <c r="T148" i="1"/>
  <c r="K137" i="1"/>
  <c r="P149" i="1"/>
  <c r="V152" i="1"/>
  <c r="E176" i="1"/>
  <c r="I159" i="1"/>
  <c r="W86" i="1"/>
  <c r="O85" i="1"/>
  <c r="N172" i="1"/>
  <c r="Q158" i="1"/>
  <c r="U131" i="1"/>
  <c r="D175" i="1"/>
  <c r="T129" i="1"/>
  <c r="H156" i="1"/>
  <c r="E183" i="1"/>
  <c r="O130" i="1"/>
  <c r="P138" i="1"/>
  <c r="P166" i="1" s="1"/>
  <c r="V81" i="1"/>
  <c r="E167" i="1"/>
  <c r="S161" i="1"/>
  <c r="Q137" i="1"/>
  <c r="M85" i="1"/>
  <c r="K148" i="1"/>
  <c r="R147" i="1"/>
  <c r="R143" i="1" s="1"/>
  <c r="E129" i="1"/>
  <c r="C144" i="1"/>
  <c r="Q84" i="1"/>
  <c r="O152" i="1"/>
  <c r="B155" i="1"/>
  <c r="H163" i="1"/>
  <c r="V155" i="1"/>
  <c r="C134" i="1"/>
  <c r="K80" i="1"/>
  <c r="M80" i="1"/>
  <c r="L156" i="1"/>
  <c r="L191" i="1" s="1"/>
  <c r="M172" i="1"/>
  <c r="W145" i="1"/>
  <c r="H176" i="1"/>
  <c r="S130" i="1"/>
  <c r="S183" i="1"/>
  <c r="J86" i="1"/>
  <c r="K163" i="1"/>
  <c r="O149" i="1"/>
  <c r="O158" i="1"/>
  <c r="W167" i="1"/>
  <c r="I176" i="1"/>
  <c r="D145" i="1"/>
  <c r="S131" i="1"/>
  <c r="U154" i="1"/>
  <c r="S149" i="1"/>
  <c r="C176" i="1"/>
  <c r="F81" i="1"/>
  <c r="V131" i="1"/>
  <c r="G172" i="1"/>
  <c r="G80" i="1"/>
  <c r="T171" i="1"/>
  <c r="B182" i="1"/>
  <c r="C137" i="1"/>
  <c r="C161" i="1"/>
  <c r="C86" i="1"/>
  <c r="B149" i="1"/>
  <c r="V167" i="1"/>
  <c r="F134" i="1"/>
  <c r="S162" i="1"/>
  <c r="N165" i="1"/>
  <c r="N195" i="1" s="1"/>
  <c r="F136" i="1"/>
  <c r="H159" i="1"/>
  <c r="L167" i="1"/>
  <c r="R182" i="1"/>
  <c r="H165" i="1"/>
  <c r="H195" i="1" s="1"/>
  <c r="E144" i="1"/>
  <c r="L161" i="1"/>
  <c r="W161" i="1"/>
  <c r="C143" i="1"/>
  <c r="I184" i="1"/>
  <c r="I172" i="1"/>
  <c r="J158" i="1"/>
  <c r="N175" i="1"/>
  <c r="M184" i="1"/>
  <c r="Q183" i="1"/>
  <c r="J163" i="1"/>
  <c r="U171" i="1"/>
  <c r="P144" i="1"/>
  <c r="F155" i="1"/>
  <c r="H152" i="1"/>
  <c r="B137" i="1"/>
  <c r="H182" i="1"/>
  <c r="R157" i="1"/>
  <c r="R192" i="1" s="1"/>
  <c r="E159" i="1"/>
  <c r="W175" i="1"/>
  <c r="H129" i="1"/>
  <c r="U138" i="1"/>
  <c r="U166" i="1" s="1"/>
  <c r="T156" i="1"/>
  <c r="T191" i="1" s="1"/>
  <c r="G137" i="1"/>
  <c r="I161" i="1"/>
  <c r="C182" i="1"/>
  <c r="M161" i="1"/>
  <c r="O144" i="1"/>
  <c r="Q172" i="1"/>
  <c r="N156" i="1"/>
  <c r="L159" i="1"/>
  <c r="J156" i="1"/>
  <c r="J191" i="1" s="1"/>
  <c r="J175" i="1"/>
  <c r="R162" i="1"/>
  <c r="I129" i="1"/>
  <c r="N171" i="1"/>
  <c r="I154" i="1"/>
  <c r="N129" i="1"/>
  <c r="K184" i="1"/>
  <c r="H84" i="1"/>
  <c r="D147" i="1"/>
  <c r="I152" i="1"/>
  <c r="V144" i="1"/>
  <c r="J184" i="1"/>
  <c r="N85" i="1"/>
  <c r="H137" i="1"/>
  <c r="E172" i="1"/>
  <c r="E173" i="1" s="1"/>
  <c r="F221" i="1" s="1"/>
  <c r="E81" i="1"/>
  <c r="O148" i="1"/>
  <c r="S172" i="1"/>
  <c r="G74" i="1"/>
  <c r="I139" i="1"/>
  <c r="F157" i="1"/>
  <c r="F192" i="1" s="1"/>
  <c r="H149" i="1"/>
  <c r="G81" i="1"/>
  <c r="L138" i="1"/>
  <c r="L166" i="1" s="1"/>
  <c r="U145" i="1"/>
  <c r="L74" i="1"/>
  <c r="N148" i="1"/>
  <c r="U175" i="1"/>
  <c r="F85" i="1"/>
  <c r="J147" i="1"/>
  <c r="J143" i="1" s="1"/>
  <c r="F84" i="1"/>
  <c r="B161" i="1"/>
  <c r="E74" i="1"/>
  <c r="D156" i="1"/>
  <c r="D191" i="1" s="1"/>
  <c r="D163" i="1"/>
  <c r="E86" i="1"/>
  <c r="I80" i="1"/>
  <c r="P86" i="1"/>
  <c r="H148" i="1"/>
  <c r="K138" i="1"/>
  <c r="K166" i="1" s="1"/>
  <c r="U85" i="1"/>
  <c r="O145" i="1"/>
  <c r="D143" i="1"/>
  <c r="W171" i="1"/>
  <c r="D144" i="1"/>
  <c r="R167" i="1"/>
  <c r="G171" i="1"/>
  <c r="M139" i="1"/>
  <c r="Q147" i="1"/>
  <c r="Q143" i="1" s="1"/>
  <c r="B129" i="1"/>
  <c r="G145" i="1"/>
  <c r="K85" i="1"/>
  <c r="P74" i="1"/>
  <c r="S81" i="1"/>
  <c r="V184" i="1"/>
  <c r="M134" i="1"/>
  <c r="S157" i="1"/>
  <c r="S192" i="1" s="1"/>
  <c r="Q163" i="1"/>
  <c r="W155" i="1"/>
  <c r="J161" i="1"/>
  <c r="V86" i="1"/>
  <c r="S145" i="1"/>
  <c r="M148" i="1"/>
  <c r="H172" i="1"/>
  <c r="T154" i="1"/>
  <c r="N155" i="1"/>
  <c r="M182" i="1"/>
  <c r="E136" i="1"/>
  <c r="K183" i="1"/>
  <c r="M145" i="1"/>
  <c r="D74" i="1"/>
  <c r="K171" i="1"/>
  <c r="W84" i="1"/>
  <c r="Q129" i="1"/>
  <c r="W176" i="1"/>
  <c r="P182" i="1"/>
  <c r="R149" i="1"/>
  <c r="I85" i="1"/>
  <c r="U182" i="1"/>
  <c r="E161" i="1"/>
  <c r="I131" i="1"/>
  <c r="F152" i="1"/>
  <c r="O155" i="1"/>
  <c r="T130" i="1"/>
  <c r="C184" i="1"/>
  <c r="S155" i="1"/>
  <c r="E155" i="1"/>
  <c r="K144" i="1"/>
  <c r="L182" i="1"/>
  <c r="C172" i="1"/>
  <c r="J165" i="1"/>
  <c r="J195" i="1" s="1"/>
  <c r="T159" i="1"/>
  <c r="H145" i="1"/>
  <c r="L184" i="1"/>
  <c r="H175" i="1"/>
  <c r="R84" i="1"/>
  <c r="K182" i="1"/>
  <c r="T158" i="1"/>
  <c r="W152" i="1"/>
  <c r="F86" i="1"/>
  <c r="N183" i="1"/>
  <c r="C159" i="1"/>
  <c r="O156" i="1"/>
  <c r="O191" i="1" s="1"/>
  <c r="F154" i="1"/>
  <c r="T165" i="1"/>
  <c r="T195" i="1" s="1"/>
  <c r="R138" i="1"/>
  <c r="R166" i="1" s="1"/>
  <c r="M162" i="1"/>
  <c r="D171" i="1"/>
  <c r="J85" i="1"/>
  <c r="C162" i="1"/>
  <c r="H86" i="1"/>
  <c r="H183" i="1"/>
  <c r="K147" i="1"/>
  <c r="K143" i="1" s="1"/>
  <c r="S156" i="1"/>
  <c r="S191" i="1" s="1"/>
  <c r="N137" i="1"/>
  <c r="O182" i="1"/>
  <c r="H167" i="1"/>
  <c r="F171" i="1"/>
  <c r="W157" i="1"/>
  <c r="L137" i="1"/>
  <c r="O176" i="1"/>
  <c r="O162" i="1"/>
  <c r="F131" i="1"/>
  <c r="O183" i="1"/>
  <c r="R159" i="1"/>
  <c r="Q149" i="1"/>
  <c r="G162" i="1"/>
  <c r="P176" i="1"/>
  <c r="K165" i="1"/>
  <c r="K195" i="1" s="1"/>
  <c r="O81" i="1"/>
  <c r="D84" i="1"/>
  <c r="N157" i="1"/>
  <c r="N192" i="1" s="1"/>
  <c r="S86" i="1"/>
  <c r="U84" i="1"/>
  <c r="J171" i="1"/>
  <c r="G131" i="1"/>
  <c r="V161" i="1"/>
  <c r="S134" i="1"/>
  <c r="L152" i="1"/>
  <c r="T175" i="1"/>
  <c r="N139" i="1"/>
  <c r="U130" i="1"/>
  <c r="P81" i="1"/>
  <c r="P134" i="1"/>
  <c r="F129" i="1"/>
  <c r="T167" i="1"/>
  <c r="D183" i="1"/>
  <c r="U149" i="1"/>
  <c r="N81" i="1"/>
  <c r="P131" i="1"/>
  <c r="I165" i="1"/>
  <c r="I195" i="1" s="1"/>
  <c r="T163" i="1"/>
  <c r="M138" i="1"/>
  <c r="J139" i="1"/>
  <c r="V137" i="1"/>
  <c r="O161" i="1"/>
  <c r="G85" i="1"/>
  <c r="J81" i="1"/>
  <c r="L84" i="1"/>
  <c r="G176" i="1"/>
  <c r="U167" i="1"/>
  <c r="AQ16" i="1"/>
  <c r="BV29" i="1"/>
  <c r="BW16" i="1"/>
  <c r="BE29" i="1"/>
  <c r="BA16" i="1"/>
  <c r="BN16" i="1"/>
  <c r="BD16" i="1"/>
  <c r="AS29" i="1"/>
  <c r="AR29" i="1"/>
  <c r="BP29" i="1"/>
  <c r="AW16" i="1"/>
  <c r="BC16" i="1"/>
  <c r="BB29" i="1"/>
  <c r="AW29" i="1"/>
  <c r="BG16" i="1"/>
  <c r="BM16" i="1"/>
  <c r="BI29" i="1"/>
  <c r="BT29" i="1"/>
  <c r="AZ16" i="1"/>
  <c r="AI16" i="1"/>
  <c r="BF29" i="1"/>
  <c r="AO16" i="1"/>
  <c r="BV16" i="1"/>
  <c r="BF16" i="1"/>
  <c r="AX29" i="1"/>
  <c r="BH53" i="1"/>
  <c r="AP16" i="1"/>
  <c r="BE16" i="1"/>
  <c r="BO16" i="1"/>
  <c r="AZ29" i="1"/>
  <c r="BJ29" i="1"/>
  <c r="BJ33" i="1" s="1"/>
  <c r="AU54" i="1"/>
  <c r="BD29" i="1"/>
  <c r="AY29" i="1"/>
  <c r="BR29" i="1"/>
  <c r="BK16" i="1"/>
  <c r="BQ16" i="1"/>
  <c r="AP29" i="1"/>
  <c r="BS16" i="1"/>
  <c r="AO29" i="1"/>
  <c r="BW29" i="1"/>
  <c r="AQ29" i="1"/>
  <c r="AV29" i="1"/>
  <c r="BM29" i="1"/>
  <c r="BP16" i="1"/>
  <c r="BG29" i="1"/>
  <c r="BH29" i="1"/>
  <c r="AT29" i="1"/>
  <c r="AN29" i="1"/>
  <c r="BS29" i="1"/>
  <c r="BU29" i="1"/>
  <c r="BO29" i="1"/>
  <c r="BJ16" i="1"/>
  <c r="BJ17" i="1" s="1"/>
  <c r="BJ23" i="1" s="1"/>
  <c r="BC29" i="1"/>
  <c r="BK29" i="1"/>
  <c r="BQ29" i="1"/>
  <c r="AU29" i="1"/>
  <c r="BN29" i="1"/>
  <c r="BA29" i="1"/>
  <c r="AI29" i="1"/>
  <c r="AN16" i="1"/>
  <c r="BH16" i="1"/>
  <c r="AW54" i="1"/>
  <c r="AV16" i="1"/>
  <c r="AR16" i="1"/>
  <c r="BR16" i="1"/>
  <c r="AT16" i="1"/>
  <c r="BT16" i="1"/>
  <c r="BI16" i="1"/>
  <c r="BU16" i="1"/>
  <c r="AX16" i="1"/>
  <c r="AS16" i="1"/>
  <c r="AU16" i="1"/>
  <c r="BB16" i="1"/>
  <c r="AV54" i="1"/>
  <c r="AY16" i="1"/>
  <c r="BH155" i="1"/>
  <c r="BI155" i="1" s="1"/>
  <c r="BV149" i="1"/>
  <c r="BW149" i="1" s="1"/>
  <c r="BV155" i="1"/>
  <c r="BW155" i="1" s="1"/>
  <c r="BH149" i="1"/>
  <c r="BI149" i="1" s="1"/>
  <c r="AV39" i="1"/>
  <c r="AV206" i="1" s="1"/>
  <c r="BA28" i="1"/>
  <c r="BF30" i="1"/>
  <c r="AY43" i="1"/>
  <c r="BU58" i="1"/>
  <c r="AQ28" i="1"/>
  <c r="BE20" i="1"/>
  <c r="AP54" i="1"/>
  <c r="AQ43" i="1"/>
  <c r="AU30" i="1"/>
  <c r="BG54" i="1"/>
  <c r="AW32" i="1"/>
  <c r="AY31" i="1"/>
  <c r="AW28" i="1"/>
  <c r="BJ46" i="1"/>
  <c r="AR52" i="1"/>
  <c r="BV53" i="1"/>
  <c r="AQ30" i="1"/>
  <c r="BM46" i="1"/>
  <c r="BK54" i="1"/>
  <c r="BK21" i="1"/>
  <c r="BF27" i="1"/>
  <c r="AW58" i="1"/>
  <c r="BJ80" i="1"/>
  <c r="BG46" i="1"/>
  <c r="BH175" i="1"/>
  <c r="BI175" i="1" s="1"/>
  <c r="BU15" i="1"/>
  <c r="BQ27" i="1"/>
  <c r="AQ22" i="1"/>
  <c r="BS32" i="1"/>
  <c r="AX22" i="1"/>
  <c r="BS39" i="1"/>
  <c r="BS206" i="1" s="1"/>
  <c r="BH152" i="1"/>
  <c r="BI152" i="1" s="1"/>
  <c r="BJ214" i="1" s="1"/>
  <c r="BC30" i="1"/>
  <c r="BB28" i="1"/>
  <c r="AI22" i="1"/>
  <c r="BM43" i="1"/>
  <c r="BG53" i="1"/>
  <c r="AS58" i="1"/>
  <c r="BB42" i="1"/>
  <c r="BB58" i="1"/>
  <c r="AR53" i="1"/>
  <c r="AU21" i="1"/>
  <c r="BD15" i="1"/>
  <c r="AP22" i="1"/>
  <c r="BB54" i="1"/>
  <c r="BV137" i="1"/>
  <c r="BW137" i="1" s="1"/>
  <c r="BM30" i="1"/>
  <c r="BK53" i="1"/>
  <c r="BK27" i="1"/>
  <c r="AT42" i="1"/>
  <c r="BW43" i="1"/>
  <c r="BI31" i="1"/>
  <c r="BJ52" i="1"/>
  <c r="AS39" i="1"/>
  <c r="AT43" i="1"/>
  <c r="BQ32" i="1"/>
  <c r="AT28" i="1"/>
  <c r="BT22" i="1"/>
  <c r="BH171" i="1"/>
  <c r="BI20" i="1"/>
  <c r="BE21" i="1"/>
  <c r="AY30" i="1"/>
  <c r="BH176" i="1"/>
  <c r="BI176" i="1" s="1"/>
  <c r="BH80" i="1"/>
  <c r="AP53" i="1"/>
  <c r="BH154" i="1"/>
  <c r="AY39" i="1"/>
  <c r="AY206" i="1" s="1"/>
  <c r="AR21" i="1"/>
  <c r="BP46" i="1"/>
  <c r="BE53" i="1"/>
  <c r="AQ52" i="1"/>
  <c r="BB31" i="1"/>
  <c r="BW20" i="1"/>
  <c r="BC28" i="1"/>
  <c r="BD58" i="1"/>
  <c r="BO46" i="1"/>
  <c r="AI46" i="1"/>
  <c r="BI22" i="1"/>
  <c r="BQ15" i="1"/>
  <c r="BQ7" i="1" s="1"/>
  <c r="BF58" i="1"/>
  <c r="AV30" i="1"/>
  <c r="AT22" i="1"/>
  <c r="BT58" i="1"/>
  <c r="AQ27" i="1"/>
  <c r="BS53" i="1"/>
  <c r="BB39" i="1"/>
  <c r="BH158" i="1"/>
  <c r="BI158" i="1" s="1"/>
  <c r="BV131" i="1"/>
  <c r="BT31" i="1"/>
  <c r="BQ54" i="1"/>
  <c r="BV130" i="1"/>
  <c r="BW130" i="1" s="1"/>
  <c r="BN15" i="1"/>
  <c r="BN7" i="1" s="1"/>
  <c r="BN6" i="1" s="1"/>
  <c r="BR42" i="1"/>
  <c r="BU53" i="1"/>
  <c r="AX52" i="1"/>
  <c r="AN21" i="1"/>
  <c r="AT21" i="1"/>
  <c r="BK31" i="1"/>
  <c r="BJ42" i="1"/>
  <c r="AP30" i="1"/>
  <c r="AX21" i="1"/>
  <c r="BR30" i="1"/>
  <c r="BM53" i="1"/>
  <c r="BP58" i="1"/>
  <c r="BA46" i="1"/>
  <c r="BM22" i="1"/>
  <c r="BQ43" i="1"/>
  <c r="AZ58" i="1"/>
  <c r="BE46" i="1"/>
  <c r="AI54" i="1"/>
  <c r="BU54" i="1"/>
  <c r="BB53" i="1"/>
  <c r="BF32" i="1"/>
  <c r="BD32" i="1"/>
  <c r="BM27" i="1"/>
  <c r="BT27" i="1"/>
  <c r="BQ39" i="1"/>
  <c r="BQ206" i="1" s="1"/>
  <c r="AS30" i="1"/>
  <c r="AJ80" i="1"/>
  <c r="BP53" i="1"/>
  <c r="AW20" i="1"/>
  <c r="AV21" i="1"/>
  <c r="BI21" i="1"/>
  <c r="AS32" i="1"/>
  <c r="BI52" i="1"/>
  <c r="BP20" i="1"/>
  <c r="AZ32" i="1"/>
  <c r="AY46" i="1"/>
  <c r="BH27" i="1"/>
  <c r="BA32" i="1"/>
  <c r="BF28" i="1"/>
  <c r="BC43" i="1"/>
  <c r="BW28" i="1"/>
  <c r="BR39" i="1"/>
  <c r="AX27" i="1"/>
  <c r="BS20" i="1"/>
  <c r="BQ31" i="1"/>
  <c r="BE31" i="1"/>
  <c r="BP15" i="1"/>
  <c r="AO28" i="1"/>
  <c r="BV163" i="1"/>
  <c r="BW163" i="1" s="1"/>
  <c r="BA20" i="1"/>
  <c r="BV58" i="1"/>
  <c r="AY20" i="1"/>
  <c r="BI53" i="1"/>
  <c r="BH159" i="1"/>
  <c r="BI159" i="1" s="1"/>
  <c r="BN32" i="1"/>
  <c r="AS27" i="1"/>
  <c r="AW22" i="1"/>
  <c r="AU52" i="1"/>
  <c r="AI20" i="1"/>
  <c r="AT15" i="1"/>
  <c r="BT54" i="1"/>
  <c r="BE58" i="1"/>
  <c r="BR32" i="1"/>
  <c r="BA27" i="1"/>
  <c r="AI27" i="1"/>
  <c r="BD28" i="1"/>
  <c r="AN46" i="1"/>
  <c r="BW53" i="1"/>
  <c r="AY15" i="1"/>
  <c r="BW22" i="1"/>
  <c r="AM52" i="1"/>
  <c r="AT27" i="1"/>
  <c r="BE30" i="1"/>
  <c r="AR20" i="1"/>
  <c r="BM21" i="1"/>
  <c r="BC42" i="1"/>
  <c r="BG39" i="1"/>
  <c r="BG206" i="1" s="1"/>
  <c r="AZ46" i="1"/>
  <c r="BH31" i="1"/>
  <c r="BJ58" i="1"/>
  <c r="BS58" i="1"/>
  <c r="BR53" i="1"/>
  <c r="BE54" i="1"/>
  <c r="AY32" i="1"/>
  <c r="BV162" i="1"/>
  <c r="BW162" i="1" s="1"/>
  <c r="BV46" i="1"/>
  <c r="BQ58" i="1"/>
  <c r="AI53" i="1"/>
  <c r="AN54" i="1"/>
  <c r="AQ54" i="1"/>
  <c r="BW27" i="1"/>
  <c r="AO22" i="1"/>
  <c r="AW21" i="1"/>
  <c r="BR22" i="1"/>
  <c r="BH28" i="1"/>
  <c r="BH30" i="1"/>
  <c r="AI32" i="1"/>
  <c r="BO54" i="1"/>
  <c r="BO28" i="1"/>
  <c r="AP39" i="1"/>
  <c r="AQ39" i="1"/>
  <c r="BT32" i="1"/>
  <c r="AY54" i="1"/>
  <c r="BV166" i="1"/>
  <c r="BW166" i="1" s="1"/>
  <c r="AZ31" i="1"/>
  <c r="BK42" i="1"/>
  <c r="BH81" i="1"/>
  <c r="BH39" i="1"/>
  <c r="BH206" i="1" s="1"/>
  <c r="AT32" i="1"/>
  <c r="BV144" i="1"/>
  <c r="BR58" i="1"/>
  <c r="BP54" i="1"/>
  <c r="AN42" i="1"/>
  <c r="BS31" i="1"/>
  <c r="AX58" i="1"/>
  <c r="AZ20" i="1"/>
  <c r="BB30" i="1"/>
  <c r="AW43" i="1"/>
  <c r="BD22" i="1"/>
  <c r="BN39" i="1"/>
  <c r="BM15" i="1"/>
  <c r="BM7" i="1" s="1"/>
  <c r="BM6" i="1" s="1"/>
  <c r="AO21" i="1"/>
  <c r="BK28" i="1"/>
  <c r="BN21" i="1"/>
  <c r="BH15" i="1"/>
  <c r="BH243" i="1" s="1"/>
  <c r="BA43" i="1"/>
  <c r="BH129" i="1"/>
  <c r="BA58" i="1"/>
  <c r="BH58" i="1"/>
  <c r="AP42" i="1"/>
  <c r="BI28" i="1"/>
  <c r="BS42" i="1"/>
  <c r="BN20" i="1"/>
  <c r="AY42" i="1"/>
  <c r="AV27" i="1"/>
  <c r="BW54" i="1"/>
  <c r="BO32" i="1"/>
  <c r="BO30" i="1"/>
  <c r="BB20" i="1"/>
  <c r="BI54" i="1"/>
  <c r="AN43" i="1"/>
  <c r="AU20" i="1"/>
  <c r="BT46" i="1"/>
  <c r="BQ52" i="1"/>
  <c r="BG31" i="1"/>
  <c r="BU43" i="1"/>
  <c r="BV134" i="1"/>
  <c r="BW134" i="1" s="1"/>
  <c r="BQ42" i="1"/>
  <c r="BO39" i="1"/>
  <c r="BO206" i="1" s="1"/>
  <c r="BG32" i="1"/>
  <c r="BV171" i="1"/>
  <c r="AM80" i="1"/>
  <c r="BO58" i="1"/>
  <c r="AO46" i="1"/>
  <c r="BV32" i="1"/>
  <c r="BH130" i="1"/>
  <c r="BI130" i="1" s="1"/>
  <c r="BS15" i="1"/>
  <c r="BH43" i="1"/>
  <c r="AZ21" i="1"/>
  <c r="BV159" i="1"/>
  <c r="BW159" i="1" s="1"/>
  <c r="BG30" i="1"/>
  <c r="AQ32" i="1"/>
  <c r="AP15" i="1"/>
  <c r="AP243" i="1" s="1"/>
  <c r="AO20" i="1"/>
  <c r="BD42" i="1"/>
  <c r="BD46" i="1"/>
  <c r="BW52" i="1"/>
  <c r="BR21" i="1"/>
  <c r="AT46" i="1"/>
  <c r="BT30" i="1"/>
  <c r="BU28" i="1"/>
  <c r="AN53" i="1"/>
  <c r="AZ15" i="1"/>
  <c r="AN31" i="1"/>
  <c r="BV22" i="1"/>
  <c r="AQ21" i="1"/>
  <c r="BP39" i="1"/>
  <c r="BI30" i="1"/>
  <c r="BA52" i="1"/>
  <c r="AZ54" i="1"/>
  <c r="BV161" i="1"/>
  <c r="BW161" i="1" s="1"/>
  <c r="BW39" i="1"/>
  <c r="BW206" i="1" s="1"/>
  <c r="AV22" i="1"/>
  <c r="AO32" i="1"/>
  <c r="BO42" i="1"/>
  <c r="BM42" i="1"/>
  <c r="AP20" i="1"/>
  <c r="AS21" i="1"/>
  <c r="BG22" i="1"/>
  <c r="BV175" i="1"/>
  <c r="BW175" i="1" s="1"/>
  <c r="BV80" i="1"/>
  <c r="AQ20" i="1"/>
  <c r="AX30" i="1"/>
  <c r="BV154" i="1"/>
  <c r="BW154" i="1" s="1"/>
  <c r="BK15" i="1"/>
  <c r="AR54" i="1"/>
  <c r="AU22" i="1"/>
  <c r="BT20" i="1"/>
  <c r="AI15" i="1"/>
  <c r="BU46" i="1"/>
  <c r="BC53" i="1"/>
  <c r="BA54" i="1"/>
  <c r="BD54" i="1"/>
  <c r="BW21" i="1"/>
  <c r="BV28" i="1"/>
  <c r="BG27" i="1"/>
  <c r="AO52" i="1"/>
  <c r="BN53" i="1"/>
  <c r="AW39" i="1"/>
  <c r="AW206" i="1" s="1"/>
  <c r="BC20" i="1"/>
  <c r="AM81" i="1"/>
  <c r="BS52" i="1"/>
  <c r="BU27" i="1"/>
  <c r="BU42" i="1"/>
  <c r="BN54" i="1"/>
  <c r="BH163" i="1"/>
  <c r="BI163" i="1" s="1"/>
  <c r="BR54" i="1"/>
  <c r="BA15" i="1"/>
  <c r="BA243" i="1" s="1"/>
  <c r="AZ27" i="1"/>
  <c r="BO43" i="1"/>
  <c r="AI30" i="1"/>
  <c r="BE42" i="1"/>
  <c r="AW15" i="1"/>
  <c r="BP21" i="1"/>
  <c r="BR52" i="1"/>
  <c r="AR31" i="1"/>
  <c r="BF42" i="1"/>
  <c r="BV176" i="1"/>
  <c r="BW176" i="1" s="1"/>
  <c r="BT28" i="1"/>
  <c r="AR28" i="1"/>
  <c r="BO53" i="1"/>
  <c r="BA42" i="1"/>
  <c r="AZ22" i="1"/>
  <c r="AV53" i="1"/>
  <c r="BQ30" i="1"/>
  <c r="AX39" i="1"/>
  <c r="AX206" i="1" s="1"/>
  <c r="AO15" i="1"/>
  <c r="BV31" i="1"/>
  <c r="AJ81" i="1"/>
  <c r="BC27" i="1"/>
  <c r="BI27" i="1"/>
  <c r="BA39" i="1"/>
  <c r="BS28" i="1"/>
  <c r="AO58" i="1"/>
  <c r="BB15" i="1"/>
  <c r="AV28" i="1"/>
  <c r="BW42" i="1"/>
  <c r="BK39" i="1"/>
  <c r="AO30" i="1"/>
  <c r="AW31" i="1"/>
  <c r="BE27" i="1"/>
  <c r="BR43" i="1"/>
  <c r="BS46" i="1"/>
  <c r="AV42" i="1"/>
  <c r="BU32" i="1"/>
  <c r="BH131" i="1"/>
  <c r="BR15" i="1"/>
  <c r="BH166" i="1"/>
  <c r="BI166" i="1" s="1"/>
  <c r="BM32" i="1"/>
  <c r="BN52" i="1"/>
  <c r="AU15" i="1"/>
  <c r="BC58" i="1"/>
  <c r="AX54" i="1"/>
  <c r="BI39" i="1"/>
  <c r="BM52" i="1"/>
  <c r="BW30" i="1"/>
  <c r="AP31" i="1"/>
  <c r="BA53" i="1"/>
  <c r="BN46" i="1"/>
  <c r="AR39" i="1"/>
  <c r="AR206" i="1" s="1"/>
  <c r="BI42" i="1"/>
  <c r="BU21" i="1"/>
  <c r="AK81" i="1"/>
  <c r="BT39" i="1"/>
  <c r="AI58" i="1"/>
  <c r="BJ54" i="1"/>
  <c r="AX20" i="1"/>
  <c r="AR42" i="1"/>
  <c r="BI43" i="1"/>
  <c r="AP46" i="1"/>
  <c r="AZ30" i="1"/>
  <c r="BQ53" i="1"/>
  <c r="AN20" i="1"/>
  <c r="AR58" i="1"/>
  <c r="BV129" i="1"/>
  <c r="AV58" i="1"/>
  <c r="AN32" i="1"/>
  <c r="AQ58" i="1"/>
  <c r="BK46" i="1"/>
  <c r="BH21" i="1"/>
  <c r="AV46" i="1"/>
  <c r="BC22" i="1"/>
  <c r="AO53" i="1"/>
  <c r="AT39" i="1"/>
  <c r="AT206" i="1" s="1"/>
  <c r="BH139" i="1"/>
  <c r="BI139" i="1" s="1"/>
  <c r="AW30" i="1"/>
  <c r="BD43" i="1"/>
  <c r="BH161" i="1"/>
  <c r="AV31" i="1"/>
  <c r="AI31" i="1"/>
  <c r="AT58" i="1"/>
  <c r="AN58" i="1"/>
  <c r="BR28" i="1"/>
  <c r="AR32" i="1"/>
  <c r="BR31" i="1"/>
  <c r="BH164" i="1"/>
  <c r="BI164" i="1" s="1"/>
  <c r="BP32" i="1"/>
  <c r="BF46" i="1"/>
  <c r="BU22" i="1"/>
  <c r="BR46" i="1"/>
  <c r="BH46" i="1"/>
  <c r="AI52" i="1"/>
  <c r="AU43" i="1"/>
  <c r="BH167" i="1"/>
  <c r="BI167" i="1" s="1"/>
  <c r="AR27" i="1"/>
  <c r="BV145" i="1"/>
  <c r="BQ20" i="1"/>
  <c r="BU52" i="1"/>
  <c r="BG20" i="1"/>
  <c r="BH54" i="1"/>
  <c r="BI15" i="1"/>
  <c r="BI243" i="1" s="1"/>
  <c r="BW58" i="1"/>
  <c r="AS15" i="1"/>
  <c r="AS243" i="1" s="1"/>
  <c r="BH144" i="1"/>
  <c r="BB43" i="1"/>
  <c r="BW31" i="1"/>
  <c r="BK32" i="1"/>
  <c r="BA30" i="1"/>
  <c r="BG42" i="1"/>
  <c r="BU20" i="1"/>
  <c r="AN27" i="1"/>
  <c r="BP22" i="1"/>
  <c r="BJ43" i="1"/>
  <c r="BJ264" i="1" s="1"/>
  <c r="BO52" i="1"/>
  <c r="BU39" i="1"/>
  <c r="BH138" i="1"/>
  <c r="BI138" i="1" s="1"/>
  <c r="AO43" i="1"/>
  <c r="AQ15" i="1"/>
  <c r="AQ243" i="1" s="1"/>
  <c r="AQ31" i="1"/>
  <c r="BV158" i="1"/>
  <c r="BW158" i="1" s="1"/>
  <c r="BP52" i="1"/>
  <c r="BV165" i="1"/>
  <c r="BC15" i="1"/>
  <c r="BC243" i="1" s="1"/>
  <c r="BB22" i="1"/>
  <c r="BV164" i="1"/>
  <c r="BW164" i="1" s="1"/>
  <c r="BH165" i="1"/>
  <c r="BR27" i="1"/>
  <c r="BN43" i="1"/>
  <c r="BA21" i="1"/>
  <c r="AP28" i="1"/>
  <c r="AR30" i="1"/>
  <c r="BS22" i="1"/>
  <c r="AX42" i="1"/>
  <c r="BV39" i="1"/>
  <c r="BV206" i="1" s="1"/>
  <c r="BD39" i="1"/>
  <c r="BD206" i="1" s="1"/>
  <c r="BF54" i="1"/>
  <c r="BD30" i="1"/>
  <c r="BD27" i="1"/>
  <c r="BD21" i="1"/>
  <c r="AS54" i="1"/>
  <c r="BV152" i="1"/>
  <c r="BW152" i="1" s="1"/>
  <c r="BX214" i="1" s="1"/>
  <c r="BS54" i="1"/>
  <c r="AO42" i="1"/>
  <c r="AV32" i="1"/>
  <c r="BF39" i="1"/>
  <c r="BF206" i="1" s="1"/>
  <c r="BA22" i="1"/>
  <c r="BK58" i="1"/>
  <c r="BV157" i="1"/>
  <c r="BK30" i="1"/>
  <c r="BS21" i="1"/>
  <c r="AW53" i="1"/>
  <c r="AV15" i="1"/>
  <c r="AV243" i="1" s="1"/>
  <c r="AO39" i="1"/>
  <c r="AO206" i="1" s="1"/>
  <c r="AX28" i="1"/>
  <c r="AR43" i="1"/>
  <c r="BR20" i="1"/>
  <c r="AI21" i="1"/>
  <c r="BU31" i="1"/>
  <c r="BV172" i="1"/>
  <c r="BT53" i="1"/>
  <c r="BT15" i="1"/>
  <c r="BT7" i="1" s="1"/>
  <c r="AM53" i="1"/>
  <c r="AV43" i="1"/>
  <c r="BN30" i="1"/>
  <c r="AP58" i="1"/>
  <c r="AV20" i="1"/>
  <c r="BH20" i="1"/>
  <c r="BQ46" i="1"/>
  <c r="AY52" i="1"/>
  <c r="AR46" i="1"/>
  <c r="BM20" i="1"/>
  <c r="BW32" i="1"/>
  <c r="AV52" i="1"/>
  <c r="BT52" i="1"/>
  <c r="AP43" i="1"/>
  <c r="AZ39" i="1"/>
  <c r="BH134" i="1"/>
  <c r="BI134" i="1" s="1"/>
  <c r="BK43" i="1"/>
  <c r="BH145" i="1"/>
  <c r="AY53" i="1"/>
  <c r="BQ22" i="1"/>
  <c r="BE28" i="1"/>
  <c r="BV30" i="1"/>
  <c r="BD52" i="1"/>
  <c r="BM58" i="1"/>
  <c r="BM54" i="1"/>
  <c r="BV52" i="1"/>
  <c r="BH136" i="1"/>
  <c r="BV138" i="1"/>
  <c r="BW138" i="1" s="1"/>
  <c r="BH143" i="1"/>
  <c r="BI58" i="1"/>
  <c r="AT31" i="1"/>
  <c r="BD31" i="1"/>
  <c r="BF15" i="1"/>
  <c r="AX15" i="1"/>
  <c r="AT52" i="1"/>
  <c r="BV147" i="1"/>
  <c r="BW147" i="1" s="1"/>
  <c r="BP30" i="1"/>
  <c r="BC32" i="1"/>
  <c r="AK80" i="1"/>
  <c r="BP31" i="1"/>
  <c r="BF20" i="1"/>
  <c r="BM28" i="1"/>
  <c r="AO27" i="1"/>
  <c r="BV54" i="1"/>
  <c r="BK20" i="1"/>
  <c r="AO31" i="1"/>
  <c r="AZ53" i="1"/>
  <c r="BW46" i="1"/>
  <c r="AY28" i="1"/>
  <c r="AS22" i="1"/>
  <c r="AY27" i="1"/>
  <c r="AU46" i="1"/>
  <c r="AQ53" i="1"/>
  <c r="BJ81" i="1"/>
  <c r="BV136" i="1"/>
  <c r="BW136" i="1" s="1"/>
  <c r="BM31" i="1"/>
  <c r="AQ46" i="1"/>
  <c r="AX43" i="1"/>
  <c r="BG28" i="1"/>
  <c r="BF21" i="1"/>
  <c r="AU28" i="1"/>
  <c r="BE43" i="1"/>
  <c r="AZ43" i="1"/>
  <c r="BF53" i="1"/>
  <c r="BS43" i="1"/>
  <c r="BV139" i="1"/>
  <c r="BW139" i="1" s="1"/>
  <c r="BG21" i="1"/>
  <c r="BF43" i="1"/>
  <c r="BC54" i="1"/>
  <c r="BE39" i="1"/>
  <c r="BE206" i="1" s="1"/>
  <c r="BE32" i="1"/>
  <c r="BE15" i="1"/>
  <c r="BE243" i="1" s="1"/>
  <c r="BT42" i="1"/>
  <c r="BN28" i="1"/>
  <c r="BC39" i="1"/>
  <c r="BC206" i="1" s="1"/>
  <c r="BI46" i="1"/>
  <c r="AW27" i="1"/>
  <c r="BH156" i="1"/>
  <c r="AP52" i="1"/>
  <c r="AS20" i="1"/>
  <c r="BS30" i="1"/>
  <c r="AT30" i="1"/>
  <c r="AW42" i="1"/>
  <c r="BG15" i="1"/>
  <c r="BP27" i="1"/>
  <c r="AR22" i="1"/>
  <c r="AW52" i="1"/>
  <c r="BF52" i="1"/>
  <c r="BV20" i="1"/>
  <c r="AI28" i="1"/>
  <c r="AT53" i="1"/>
  <c r="BH42" i="1"/>
  <c r="BV156" i="1"/>
  <c r="AP27" i="1"/>
  <c r="AS42" i="1"/>
  <c r="BO22" i="1"/>
  <c r="BP42" i="1"/>
  <c r="BC21" i="1"/>
  <c r="BB52" i="1"/>
  <c r="BE22" i="1"/>
  <c r="BV43" i="1"/>
  <c r="AP32" i="1"/>
  <c r="AX53" i="1"/>
  <c r="AU42" i="1"/>
  <c r="AZ28" i="1"/>
  <c r="BD20" i="1"/>
  <c r="AS28" i="1"/>
  <c r="BN22" i="1"/>
  <c r="BM39" i="1"/>
  <c r="BJ39" i="1"/>
  <c r="AM54" i="1"/>
  <c r="BQ28" i="1"/>
  <c r="AU32" i="1"/>
  <c r="AX31" i="1"/>
  <c r="BS27" i="1"/>
  <c r="BB46" i="1"/>
  <c r="BC31" i="1"/>
  <c r="AT54" i="1"/>
  <c r="AW46" i="1"/>
  <c r="BV42" i="1"/>
  <c r="BH52" i="1"/>
  <c r="AN30" i="1"/>
  <c r="AX32" i="1"/>
  <c r="AP21" i="1"/>
  <c r="BP28" i="1"/>
  <c r="AQ42" i="1"/>
  <c r="BV81" i="1"/>
  <c r="AM58" i="1"/>
  <c r="BH22" i="1"/>
  <c r="AU27" i="1"/>
  <c r="BA31" i="1"/>
  <c r="BV167" i="1"/>
  <c r="BW167" i="1" s="1"/>
  <c r="BE52" i="1"/>
  <c r="AS46" i="1"/>
  <c r="AI42" i="1"/>
  <c r="BV143" i="1"/>
  <c r="AY58" i="1"/>
  <c r="BN42" i="1"/>
  <c r="BO20" i="1"/>
  <c r="BG52" i="1"/>
  <c r="BI32" i="1"/>
  <c r="AY22" i="1"/>
  <c r="BU30" i="1"/>
  <c r="BF31" i="1"/>
  <c r="BB27" i="1"/>
  <c r="BV27" i="1"/>
  <c r="BG43" i="1"/>
  <c r="BT43" i="1"/>
  <c r="AN22" i="1"/>
  <c r="BO21" i="1"/>
  <c r="BT21" i="1"/>
  <c r="AZ52" i="1"/>
  <c r="AS53" i="1"/>
  <c r="BH32" i="1"/>
  <c r="BO27" i="1"/>
  <c r="BH147" i="1"/>
  <c r="BI147" i="1" s="1"/>
  <c r="BC52" i="1"/>
  <c r="BH172" i="1"/>
  <c r="BO31" i="1"/>
  <c r="AN39" i="1"/>
  <c r="AN15" i="1"/>
  <c r="BK52" i="1"/>
  <c r="BV21" i="1"/>
  <c r="AS43" i="1"/>
  <c r="AO54" i="1"/>
  <c r="AI80" i="1"/>
  <c r="BB32" i="1"/>
  <c r="BN27" i="1"/>
  <c r="AN28" i="1"/>
  <c r="AU31" i="1"/>
  <c r="BH137" i="1"/>
  <c r="BI137" i="1" s="1"/>
  <c r="AU39" i="1"/>
  <c r="AU206" i="1" s="1"/>
  <c r="AI43" i="1"/>
  <c r="BW15" i="1"/>
  <c r="BW7" i="1" s="1"/>
  <c r="BO15" i="1"/>
  <c r="BO7" i="1" s="1"/>
  <c r="BG58" i="1"/>
  <c r="BC46" i="1"/>
  <c r="AR15" i="1"/>
  <c r="AR243" i="1" s="1"/>
  <c r="BN31" i="1"/>
  <c r="BP43" i="1"/>
  <c r="BK22" i="1"/>
  <c r="AS31" i="1"/>
  <c r="AY21" i="1"/>
  <c r="AU58" i="1"/>
  <c r="BB21" i="1"/>
  <c r="AX46" i="1"/>
  <c r="BD53" i="1"/>
  <c r="BQ21" i="1"/>
  <c r="BH162" i="1"/>
  <c r="BI162" i="1" s="1"/>
  <c r="BF22" i="1"/>
  <c r="BJ53" i="1"/>
  <c r="AN52" i="1"/>
  <c r="BN58" i="1"/>
  <c r="AI39" i="1"/>
  <c r="AI206" i="1" s="1"/>
  <c r="BV15" i="1"/>
  <c r="AZ42" i="1"/>
  <c r="AT20" i="1"/>
  <c r="AS52" i="1"/>
  <c r="AU53" i="1"/>
  <c r="CQ206" i="1"/>
  <c r="CQ144" i="1"/>
  <c r="DA84" i="1"/>
  <c r="CX72" i="1"/>
  <c r="CX118" i="1" s="1"/>
  <c r="CX114" i="1" s="1"/>
  <c r="CY70" i="1"/>
  <c r="AB136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O58" i="3"/>
  <c r="I55" i="3"/>
  <c r="K58" i="3"/>
  <c r="K85" i="3"/>
  <c r="N86" i="3"/>
  <c r="O70" i="3"/>
  <c r="M88" i="3"/>
  <c r="X76" i="3"/>
  <c r="AL79" i="3"/>
  <c r="U93" i="3"/>
  <c r="P72" i="3"/>
  <c r="AG91" i="3"/>
  <c r="S83" i="3"/>
  <c r="O57" i="3"/>
  <c r="O62" i="3"/>
  <c r="Z97" i="3"/>
  <c r="Y61" i="3"/>
  <c r="Z72" i="3"/>
  <c r="Z68" i="3"/>
  <c r="Z82" i="3"/>
  <c r="X86" i="3"/>
  <c r="Y69" i="3"/>
  <c r="N64" i="3"/>
  <c r="AN67" i="3"/>
  <c r="H67" i="3"/>
  <c r="P56" i="3"/>
  <c r="X90" i="3"/>
  <c r="AO76" i="3"/>
  <c r="AJ82" i="3"/>
  <c r="AN89" i="3"/>
  <c r="AL66" i="3"/>
  <c r="AI68" i="3"/>
  <c r="AA81" i="3"/>
  <c r="V69" i="3"/>
  <c r="AC79" i="3"/>
  <c r="Z57" i="3"/>
  <c r="AQ95" i="3"/>
  <c r="M64" i="3"/>
  <c r="W94" i="3"/>
  <c r="Z63" i="3"/>
  <c r="AE58" i="3"/>
  <c r="AK75" i="3"/>
  <c r="O73" i="3"/>
  <c r="J62" i="3"/>
  <c r="Q65" i="3"/>
  <c r="AL80" i="3"/>
  <c r="AM78" i="3"/>
  <c r="W95" i="3"/>
  <c r="Y77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AQ66" i="3"/>
  <c r="R49" i="3"/>
  <c r="AO92" i="3"/>
  <c r="Q90" i="3"/>
  <c r="AO80" i="3"/>
  <c r="L95" i="3"/>
  <c r="S60" i="3"/>
  <c r="AM63" i="3"/>
  <c r="P62" i="3"/>
  <c r="AE69" i="3"/>
  <c r="W81" i="3"/>
  <c r="AM96" i="3"/>
  <c r="R78" i="3"/>
  <c r="AJ76" i="3"/>
  <c r="S75" i="3"/>
  <c r="I93" i="3"/>
  <c r="AN48" i="3"/>
  <c r="AQ92" i="3"/>
  <c r="W76" i="3"/>
  <c r="I87" i="3"/>
  <c r="AI54" i="3"/>
  <c r="AI96" i="3"/>
  <c r="L84" i="3"/>
  <c r="P47" i="3"/>
  <c r="Q93" i="3"/>
  <c r="AH79" i="3"/>
  <c r="Z96" i="3"/>
  <c r="I86" i="3"/>
  <c r="AA92" i="3"/>
  <c r="V82" i="3"/>
  <c r="X95" i="3"/>
  <c r="P77" i="3"/>
  <c r="V75" i="3"/>
  <c r="AH97" i="3"/>
  <c r="Z91" i="3"/>
  <c r="AE76" i="3"/>
  <c r="AC4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T75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AL77" i="3"/>
  <c r="AN63" i="3"/>
  <c r="P94" i="3"/>
  <c r="N93" i="3"/>
  <c r="AE74" i="3"/>
  <c r="AM74" i="3"/>
  <c r="AK49" i="3"/>
  <c r="H72" i="3"/>
  <c r="J83" i="3"/>
  <c r="P96" i="3"/>
  <c r="AE96" i="3"/>
  <c r="AN82" i="3"/>
  <c r="J94" i="3"/>
  <c r="M93" i="3"/>
  <c r="AG59" i="3"/>
  <c r="V86" i="3"/>
  <c r="AQ73" i="3"/>
  <c r="AQ70" i="3"/>
  <c r="X62" i="3"/>
  <c r="W97" i="3"/>
  <c r="AL57" i="3"/>
  <c r="Y82" i="3"/>
  <c r="V77" i="3"/>
  <c r="AJ64" i="3"/>
  <c r="AI61" i="3"/>
  <c r="M74" i="3"/>
  <c r="O94" i="3"/>
  <c r="K47" i="3"/>
  <c r="AE54" i="3"/>
  <c r="M82" i="3"/>
  <c r="AE97" i="3"/>
  <c r="AG80" i="3"/>
  <c r="AQ75" i="3"/>
  <c r="M54" i="3"/>
  <c r="AH60" i="3"/>
  <c r="K49" i="3"/>
  <c r="P73" i="3"/>
  <c r="J76" i="3"/>
  <c r="N68" i="3"/>
  <c r="R66" i="3"/>
  <c r="AH59" i="3"/>
  <c r="U78" i="3"/>
  <c r="AJ49" i="3"/>
  <c r="I85" i="3"/>
  <c r="P95" i="3"/>
  <c r="AQ69" i="3"/>
  <c r="AN97" i="3"/>
  <c r="AK88" i="3"/>
  <c r="I83" i="3"/>
  <c r="K65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U79" i="3"/>
  <c r="V49" i="3"/>
  <c r="AI77" i="3"/>
  <c r="J79" i="3"/>
  <c r="H73" i="3"/>
  <c r="AJ60" i="3"/>
  <c r="AA72" i="3"/>
  <c r="T96" i="3"/>
  <c r="W67" i="3"/>
  <c r="N92" i="3"/>
  <c r="AG84" i="3"/>
  <c r="T69" i="3"/>
  <c r="R90" i="3"/>
  <c r="AN91" i="3"/>
  <c r="S82" i="3"/>
  <c r="U91" i="3"/>
  <c r="I62" i="3"/>
  <c r="AL86" i="3"/>
  <c r="AC63" i="3"/>
  <c r="R82" i="3"/>
  <c r="P54" i="3"/>
  <c r="X60" i="3"/>
  <c r="T94" i="3"/>
  <c r="AJ89" i="3"/>
  <c r="AK94" i="3"/>
  <c r="AI50" i="3"/>
  <c r="H90" i="3"/>
  <c r="L57" i="3"/>
  <c r="AA82" i="3"/>
  <c r="M78" i="3"/>
  <c r="W84" i="3"/>
  <c r="V88" i="3"/>
  <c r="AC81" i="3"/>
  <c r="U80" i="3"/>
  <c r="AQ85" i="3"/>
  <c r="T93" i="3"/>
  <c r="AK86" i="3"/>
  <c r="AE73" i="3"/>
  <c r="V84" i="3"/>
  <c r="V50" i="3"/>
  <c r="AL64" i="3"/>
  <c r="I75" i="3"/>
  <c r="T76" i="3"/>
  <c r="P85" i="3"/>
  <c r="AA70" i="3"/>
  <c r="T78" i="3"/>
  <c r="Z85" i="3"/>
  <c r="N61" i="3"/>
  <c r="I65" i="3"/>
  <c r="Q80" i="3"/>
  <c r="AL90" i="3"/>
  <c r="V93" i="3"/>
  <c r="U90" i="3"/>
  <c r="U82" i="3"/>
  <c r="AN68" i="3"/>
  <c r="T89" i="3"/>
  <c r="Z50" i="3"/>
  <c r="AL75" i="3"/>
  <c r="K81" i="3"/>
  <c r="P49" i="3"/>
  <c r="AJ86" i="3"/>
  <c r="AQ90" i="3"/>
  <c r="Z59" i="3"/>
  <c r="AM95" i="3"/>
  <c r="X48" i="3"/>
  <c r="P81" i="3"/>
  <c r="AN87" i="3"/>
  <c r="S64" i="3"/>
  <c r="AG89" i="3"/>
  <c r="S62" i="3"/>
  <c r="AO86" i="3"/>
  <c r="AA47" i="3"/>
  <c r="K84" i="3"/>
  <c r="Q79" i="3"/>
  <c r="V74" i="3"/>
  <c r="Z94" i="3"/>
  <c r="AH78" i="3"/>
  <c r="R65" i="3"/>
  <c r="AE60" i="3"/>
  <c r="AO57" i="3"/>
  <c r="V94" i="3"/>
  <c r="AC64" i="3"/>
  <c r="Q95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T71" i="3"/>
  <c r="AM77" i="3"/>
  <c r="AL74" i="3"/>
  <c r="AH95" i="3"/>
  <c r="T87" i="3"/>
  <c r="AH81" i="3"/>
  <c r="I94" i="3"/>
  <c r="AO75" i="3"/>
  <c r="AM94" i="3"/>
  <c r="AK70" i="3"/>
  <c r="AG72" i="3"/>
  <c r="N60" i="3"/>
  <c r="U72" i="3"/>
  <c r="I91" i="3"/>
  <c r="AJ78" i="3"/>
  <c r="X87" i="3"/>
  <c r="AA68" i="3"/>
  <c r="X74" i="3"/>
  <c r="X67" i="3"/>
  <c r="U54" i="3"/>
  <c r="AL91" i="3"/>
  <c r="N73" i="3"/>
  <c r="J89" i="3"/>
  <c r="J88" i="3"/>
  <c r="AQ54" i="3"/>
  <c r="AG65" i="3"/>
  <c r="AH82" i="3"/>
  <c r="AL76" i="3"/>
  <c r="X66" i="3"/>
  <c r="V58" i="3"/>
  <c r="AK73" i="3"/>
  <c r="K57" i="3"/>
  <c r="M81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P83" i="3"/>
  <c r="K88" i="3"/>
  <c r="W54" i="3"/>
  <c r="AH92" i="3"/>
  <c r="Z95" i="3"/>
  <c r="W72" i="3"/>
  <c r="V59" i="3"/>
  <c r="AM70" i="3"/>
  <c r="AQ50" i="3"/>
  <c r="S66" i="3"/>
  <c r="AM66" i="3"/>
  <c r="L50" i="3"/>
  <c r="V70" i="3"/>
  <c r="AC72" i="3"/>
  <c r="W71" i="3"/>
  <c r="U81" i="3"/>
  <c r="AC54" i="3"/>
  <c r="Y81" i="3"/>
  <c r="T61" i="3"/>
  <c r="V91" i="3"/>
  <c r="AM49" i="3"/>
  <c r="AL72" i="3"/>
  <c r="V68" i="3"/>
  <c r="T77" i="3"/>
  <c r="AC89" i="3"/>
  <c r="AA84" i="3"/>
  <c r="Q49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AL88" i="3"/>
  <c r="AM73" i="3"/>
  <c r="AJ71" i="3"/>
  <c r="Y66" i="3"/>
  <c r="AG76" i="3"/>
  <c r="O75" i="3"/>
  <c r="I76" i="3"/>
  <c r="AA60" i="3"/>
  <c r="L75" i="3"/>
  <c r="M62" i="3"/>
  <c r="J64" i="3"/>
  <c r="R64" i="3"/>
  <c r="AH54" i="3"/>
  <c r="L55" i="3"/>
  <c r="AI48" i="3"/>
  <c r="AA78" i="3"/>
  <c r="U89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L60" i="3"/>
  <c r="U64" i="3"/>
  <c r="AQ56" i="3"/>
  <c r="I97" i="3"/>
  <c r="AQ88" i="3"/>
  <c r="X93" i="3"/>
  <c r="AL87" i="3"/>
  <c r="T50" i="3"/>
  <c r="R61" i="3"/>
  <c r="T62" i="3"/>
  <c r="K97" i="3"/>
  <c r="N79" i="3"/>
  <c r="X77" i="3"/>
  <c r="K68" i="3"/>
  <c r="U71" i="3"/>
  <c r="I67" i="3"/>
  <c r="W83" i="3"/>
  <c r="AJ73" i="3"/>
  <c r="P74" i="3"/>
  <c r="U50" i="3"/>
  <c r="Y50" i="3"/>
  <c r="X75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M72" i="3"/>
  <c r="Q94" i="3"/>
  <c r="AH69" i="3"/>
  <c r="I58" i="3"/>
  <c r="S70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V72" i="3"/>
  <c r="K92" i="3"/>
  <c r="K93" i="3"/>
  <c r="AG82" i="3"/>
  <c r="J74" i="3"/>
  <c r="P55" i="3"/>
  <c r="I78" i="3"/>
  <c r="J75" i="3"/>
  <c r="AA86" i="3"/>
  <c r="AG94" i="3"/>
  <c r="AH87" i="3"/>
  <c r="AQ60" i="3"/>
  <c r="Y60" i="3"/>
  <c r="AH58" i="3"/>
  <c r="T73" i="3"/>
  <c r="J84" i="3"/>
  <c r="Y48" i="3"/>
  <c r="O48" i="3"/>
  <c r="AA91" i="3"/>
  <c r="M76" i="3"/>
  <c r="S95" i="3"/>
  <c r="AC71" i="3"/>
  <c r="N97" i="3"/>
  <c r="AG90" i="3"/>
  <c r="V66" i="3"/>
  <c r="U84" i="3"/>
  <c r="AH50" i="3"/>
  <c r="AL94" i="3"/>
  <c r="J73" i="3"/>
  <c r="T47" i="3"/>
  <c r="P66" i="3"/>
  <c r="J70" i="3"/>
  <c r="Y74" i="3"/>
  <c r="AH84" i="3"/>
  <c r="Z54" i="3"/>
  <c r="H55" i="3"/>
  <c r="X97" i="3"/>
  <c r="R79" i="3"/>
  <c r="O92" i="3"/>
  <c r="AJ81" i="3"/>
  <c r="U95" i="3"/>
  <c r="AG71" i="3"/>
  <c r="R50" i="3"/>
  <c r="Q66" i="3"/>
  <c r="AG83" i="3"/>
  <c r="S84" i="3"/>
  <c r="Q64" i="3"/>
  <c r="Y90" i="3"/>
  <c r="N74" i="3"/>
  <c r="I82" i="3"/>
  <c r="J67" i="3"/>
  <c r="AE77" i="3"/>
  <c r="T56" i="3"/>
  <c r="AO87" i="3"/>
  <c r="AC77" i="3"/>
  <c r="AE88" i="3"/>
  <c r="AM68" i="3"/>
  <c r="L90" i="3"/>
  <c r="J49" i="3"/>
  <c r="AO64" i="3"/>
  <c r="AM90" i="3"/>
  <c r="J55" i="3"/>
  <c r="R68" i="3"/>
  <c r="AM65" i="3"/>
  <c r="AK92" i="3"/>
  <c r="P63" i="3"/>
  <c r="J65" i="3"/>
  <c r="AM54" i="3"/>
  <c r="S50" i="3"/>
  <c r="P65" i="3"/>
  <c r="AO85" i="3"/>
  <c r="R146" i="1" l="1"/>
  <c r="BU243" i="1"/>
  <c r="BU7" i="1"/>
  <c r="BS243" i="1"/>
  <c r="BS7" i="1"/>
  <c r="BP243" i="1"/>
  <c r="BP7" i="1"/>
  <c r="BO6" i="1"/>
  <c r="X7" i="1"/>
  <c r="X11" i="1" s="1"/>
  <c r="BW11" i="1"/>
  <c r="BW6" i="1"/>
  <c r="BQ11" i="1"/>
  <c r="BQ6" i="1"/>
  <c r="BT11" i="1"/>
  <c r="BT6" i="1"/>
  <c r="BX10" i="1" s="1"/>
  <c r="BR243" i="1"/>
  <c r="BR7" i="1"/>
  <c r="BV243" i="1"/>
  <c r="BV7" i="1"/>
  <c r="N132" i="1"/>
  <c r="N173" i="1"/>
  <c r="O221" i="1" s="1"/>
  <c r="S173" i="1"/>
  <c r="T221" i="1" s="1"/>
  <c r="P214" i="1"/>
  <c r="U173" i="1"/>
  <c r="I173" i="1"/>
  <c r="J221" i="1" s="1"/>
  <c r="D132" i="1"/>
  <c r="O132" i="1"/>
  <c r="O61" i="1" s="1"/>
  <c r="T214" i="1"/>
  <c r="L132" i="1"/>
  <c r="U160" i="1"/>
  <c r="U194" i="1" s="1"/>
  <c r="U193" i="1" s="1"/>
  <c r="E132" i="1"/>
  <c r="E187" i="1" s="1"/>
  <c r="D140" i="1"/>
  <c r="C132" i="1"/>
  <c r="B72" i="1"/>
  <c r="B119" i="1" s="1"/>
  <c r="Q214" i="1"/>
  <c r="F146" i="1"/>
  <c r="C214" i="1"/>
  <c r="I160" i="1"/>
  <c r="I194" i="1" s="1"/>
  <c r="I193" i="1" s="1"/>
  <c r="C140" i="1"/>
  <c r="C44" i="1" s="1"/>
  <c r="M132" i="1"/>
  <c r="O173" i="1"/>
  <c r="F140" i="1"/>
  <c r="S214" i="1"/>
  <c r="N146" i="1"/>
  <c r="L146" i="1"/>
  <c r="V173" i="1"/>
  <c r="W221" i="1" s="1"/>
  <c r="V214" i="1"/>
  <c r="M173" i="1"/>
  <c r="S185" i="1"/>
  <c r="T173" i="1"/>
  <c r="B185" i="1"/>
  <c r="C146" i="1"/>
  <c r="Q185" i="1"/>
  <c r="H132" i="1"/>
  <c r="H187" i="1" s="1"/>
  <c r="R140" i="1"/>
  <c r="R44" i="1" s="1"/>
  <c r="V140" i="1"/>
  <c r="S160" i="1"/>
  <c r="T132" i="1"/>
  <c r="H185" i="1"/>
  <c r="C185" i="1"/>
  <c r="I132" i="1"/>
  <c r="J146" i="1"/>
  <c r="M160" i="1"/>
  <c r="M194" i="1" s="1"/>
  <c r="M193" i="1" s="1"/>
  <c r="U146" i="1"/>
  <c r="B168" i="1"/>
  <c r="B197" i="1" s="1"/>
  <c r="B196" i="1" s="1"/>
  <c r="S146" i="1"/>
  <c r="B146" i="1"/>
  <c r="K214" i="1"/>
  <c r="H173" i="1"/>
  <c r="C72" i="1"/>
  <c r="S140" i="1"/>
  <c r="S168" i="1"/>
  <c r="C160" i="1"/>
  <c r="K173" i="1"/>
  <c r="D173" i="1"/>
  <c r="F173" i="1"/>
  <c r="M214" i="1"/>
  <c r="F132" i="1"/>
  <c r="T146" i="1"/>
  <c r="T40" i="1" s="1"/>
  <c r="B132" i="1"/>
  <c r="G146" i="1"/>
  <c r="T140" i="1"/>
  <c r="M185" i="1"/>
  <c r="O140" i="1"/>
  <c r="L214" i="1"/>
  <c r="B140" i="1"/>
  <c r="N185" i="1"/>
  <c r="D72" i="1"/>
  <c r="D119" i="1" s="1"/>
  <c r="K160" i="1"/>
  <c r="K140" i="1"/>
  <c r="F160" i="1"/>
  <c r="J173" i="1"/>
  <c r="K221" i="1" s="1"/>
  <c r="G132" i="1"/>
  <c r="D185" i="1"/>
  <c r="J140" i="1"/>
  <c r="N214" i="1"/>
  <c r="E185" i="1"/>
  <c r="R214" i="1"/>
  <c r="L160" i="1"/>
  <c r="D214" i="1"/>
  <c r="G160" i="1"/>
  <c r="G194" i="1" s="1"/>
  <c r="G193" i="1" s="1"/>
  <c r="K132" i="1"/>
  <c r="C173" i="1"/>
  <c r="P160" i="1"/>
  <c r="W140" i="1"/>
  <c r="D160" i="1"/>
  <c r="U132" i="1"/>
  <c r="F168" i="1"/>
  <c r="F197" i="1" s="1"/>
  <c r="R160" i="1"/>
  <c r="C168" i="1"/>
  <c r="W185" i="1"/>
  <c r="E214" i="1"/>
  <c r="J160" i="1"/>
  <c r="E146" i="1"/>
  <c r="H168" i="1"/>
  <c r="H197" i="1" s="1"/>
  <c r="H196" i="1" s="1"/>
  <c r="H140" i="1"/>
  <c r="U214" i="1"/>
  <c r="I146" i="1"/>
  <c r="V185" i="1"/>
  <c r="P140" i="1"/>
  <c r="G185" i="1"/>
  <c r="J132" i="1"/>
  <c r="Q173" i="1"/>
  <c r="N168" i="1"/>
  <c r="N197" i="1" s="1"/>
  <c r="N196" i="1" s="1"/>
  <c r="V160" i="1"/>
  <c r="O160" i="1"/>
  <c r="P208" i="1" s="1"/>
  <c r="I140" i="1"/>
  <c r="O214" i="1"/>
  <c r="D146" i="1"/>
  <c r="G173" i="1"/>
  <c r="Q146" i="1"/>
  <c r="T160" i="1"/>
  <c r="E140" i="1"/>
  <c r="M146" i="1"/>
  <c r="Q132" i="1"/>
  <c r="P185" i="1"/>
  <c r="E160" i="1"/>
  <c r="L185" i="1"/>
  <c r="K185" i="1"/>
  <c r="K146" i="1"/>
  <c r="N140" i="1"/>
  <c r="O185" i="1"/>
  <c r="L140" i="1"/>
  <c r="P132" i="1"/>
  <c r="B160" i="1"/>
  <c r="T185" i="1"/>
  <c r="J185" i="1"/>
  <c r="P146" i="1"/>
  <c r="G140" i="1"/>
  <c r="U140" i="1"/>
  <c r="D168" i="1"/>
  <c r="H214" i="1"/>
  <c r="S132" i="1"/>
  <c r="W146" i="1"/>
  <c r="F185" i="1"/>
  <c r="O146" i="1"/>
  <c r="L173" i="1"/>
  <c r="R173" i="1"/>
  <c r="I185" i="1"/>
  <c r="R132" i="1"/>
  <c r="Q160" i="1"/>
  <c r="V132" i="1"/>
  <c r="Q140" i="1"/>
  <c r="K168" i="1"/>
  <c r="N191" i="1"/>
  <c r="N160" i="1"/>
  <c r="P168" i="1"/>
  <c r="P197" i="1" s="1"/>
  <c r="P196" i="1" s="1"/>
  <c r="T168" i="1"/>
  <c r="J168" i="1"/>
  <c r="E168" i="1"/>
  <c r="G168" i="1"/>
  <c r="O168" i="1"/>
  <c r="U168" i="1"/>
  <c r="L168" i="1"/>
  <c r="H191" i="1"/>
  <c r="H160" i="1"/>
  <c r="R185" i="1"/>
  <c r="J214" i="1"/>
  <c r="I214" i="1"/>
  <c r="U185" i="1"/>
  <c r="G214" i="1"/>
  <c r="F214" i="1"/>
  <c r="X214" i="1"/>
  <c r="W214" i="1"/>
  <c r="M166" i="1"/>
  <c r="M168" i="1" s="1"/>
  <c r="M140" i="1"/>
  <c r="V146" i="1"/>
  <c r="I168" i="1"/>
  <c r="H146" i="1"/>
  <c r="Q168" i="1"/>
  <c r="V168" i="1"/>
  <c r="R168" i="1"/>
  <c r="BH146" i="1"/>
  <c r="BH150" i="1" s="1"/>
  <c r="AX152" i="1"/>
  <c r="AY152" i="1" s="1"/>
  <c r="AZ165" i="1"/>
  <c r="AZ195" i="1" s="1"/>
  <c r="BA195" i="1" s="1"/>
  <c r="BR138" i="1"/>
  <c r="BS138" i="1" s="1"/>
  <c r="AZ166" i="1"/>
  <c r="BA166" i="1" s="1"/>
  <c r="BT143" i="1"/>
  <c r="BP167" i="1"/>
  <c r="BQ167" i="1" s="1"/>
  <c r="BP80" i="1"/>
  <c r="BF137" i="1"/>
  <c r="BG137" i="1" s="1"/>
  <c r="AP158" i="1"/>
  <c r="AQ158" i="1" s="1"/>
  <c r="BI80" i="1"/>
  <c r="AX156" i="1"/>
  <c r="AX191" i="1" s="1"/>
  <c r="BR171" i="1"/>
  <c r="BF81" i="1"/>
  <c r="AZ164" i="1"/>
  <c r="BA164" i="1" s="1"/>
  <c r="BD147" i="1"/>
  <c r="BE147" i="1" s="1"/>
  <c r="AZ129" i="1"/>
  <c r="BA129" i="1" s="1"/>
  <c r="BN176" i="1"/>
  <c r="BO176" i="1" s="1"/>
  <c r="BF159" i="1"/>
  <c r="BG159" i="1" s="1"/>
  <c r="BT163" i="1"/>
  <c r="BU163" i="1" s="1"/>
  <c r="BN131" i="1"/>
  <c r="AX130" i="1"/>
  <c r="AY130" i="1" s="1"/>
  <c r="BW81" i="1"/>
  <c r="BN138" i="1"/>
  <c r="BO138" i="1" s="1"/>
  <c r="AX163" i="1"/>
  <c r="AY163" i="1" s="1"/>
  <c r="AP137" i="1"/>
  <c r="AQ137" i="1" s="1"/>
  <c r="AT143" i="1"/>
  <c r="AZ143" i="1"/>
  <c r="BF166" i="1"/>
  <c r="BG166" i="1" s="1"/>
  <c r="BR139" i="1"/>
  <c r="BS139" i="1" s="1"/>
  <c r="BD159" i="1"/>
  <c r="BE159" i="1" s="1"/>
  <c r="AP155" i="1"/>
  <c r="AQ155" i="1" s="1"/>
  <c r="AV147" i="1"/>
  <c r="AW147" i="1" s="1"/>
  <c r="BB147" i="1"/>
  <c r="BC147" i="1" s="1"/>
  <c r="AN129" i="1"/>
  <c r="AR176" i="1"/>
  <c r="AS176" i="1" s="1"/>
  <c r="AQ80" i="1"/>
  <c r="AT163" i="1"/>
  <c r="AU163" i="1" s="1"/>
  <c r="AX81" i="1"/>
  <c r="BA80" i="1"/>
  <c r="BF163" i="1"/>
  <c r="BG163" i="1" s="1"/>
  <c r="BN134" i="1"/>
  <c r="BO134" i="1" s="1"/>
  <c r="BP139" i="1"/>
  <c r="BQ139" i="1" s="1"/>
  <c r="BF136" i="1"/>
  <c r="BG136" i="1" s="1"/>
  <c r="BF175" i="1"/>
  <c r="BG175" i="1" s="1"/>
  <c r="AZ172" i="1"/>
  <c r="AW80" i="1"/>
  <c r="BP138" i="1"/>
  <c r="BQ138" i="1" s="1"/>
  <c r="BD164" i="1"/>
  <c r="BE164" i="1" s="1"/>
  <c r="BG80" i="1"/>
  <c r="AZ154" i="1"/>
  <c r="BA154" i="1" s="1"/>
  <c r="BD172" i="1"/>
  <c r="BT129" i="1"/>
  <c r="BU129" i="1" s="1"/>
  <c r="BN164" i="1"/>
  <c r="BO164" i="1" s="1"/>
  <c r="BD161" i="1"/>
  <c r="BE161" i="1" s="1"/>
  <c r="BT164" i="1"/>
  <c r="BU164" i="1" s="1"/>
  <c r="BM81" i="1"/>
  <c r="BN139" i="1"/>
  <c r="BO139" i="1" s="1"/>
  <c r="BR144" i="1"/>
  <c r="BP156" i="1"/>
  <c r="BP191" i="1" s="1"/>
  <c r="BQ191" i="1" s="1"/>
  <c r="AT171" i="1"/>
  <c r="BF176" i="1"/>
  <c r="BG176" i="1" s="1"/>
  <c r="AZ147" i="1"/>
  <c r="BA147" i="1" s="1"/>
  <c r="BT158" i="1"/>
  <c r="BU158" i="1" s="1"/>
  <c r="BP136" i="1"/>
  <c r="BQ136" i="1" s="1"/>
  <c r="BP154" i="1"/>
  <c r="BQ154" i="1" s="1"/>
  <c r="BT81" i="1"/>
  <c r="AR155" i="1"/>
  <c r="AS155" i="1" s="1"/>
  <c r="BF130" i="1"/>
  <c r="BG130" i="1" s="1"/>
  <c r="AX80" i="1"/>
  <c r="AX159" i="1"/>
  <c r="AY159" i="1" s="1"/>
  <c r="AX164" i="1"/>
  <c r="AY164" i="1" s="1"/>
  <c r="BB136" i="1"/>
  <c r="BF129" i="1"/>
  <c r="BG129" i="1" s="1"/>
  <c r="AZ159" i="1"/>
  <c r="BA159" i="1" s="1"/>
  <c r="BP143" i="1"/>
  <c r="AV156" i="1"/>
  <c r="AV191" i="1" s="1"/>
  <c r="AW191" i="1" s="1"/>
  <c r="BW80" i="1"/>
  <c r="BN167" i="1"/>
  <c r="BO167" i="1" s="1"/>
  <c r="BR161" i="1"/>
  <c r="BS161" i="1" s="1"/>
  <c r="BP131" i="1"/>
  <c r="BR80" i="1"/>
  <c r="BB81" i="1"/>
  <c r="BD81" i="1"/>
  <c r="AT137" i="1"/>
  <c r="AU137" i="1" s="1"/>
  <c r="BN137" i="1"/>
  <c r="BO137" i="1" s="1"/>
  <c r="BB158" i="1"/>
  <c r="BC158" i="1" s="1"/>
  <c r="BF144" i="1"/>
  <c r="AT134" i="1"/>
  <c r="AU134" i="1" s="1"/>
  <c r="BB144" i="1"/>
  <c r="AN134" i="1"/>
  <c r="AO134" i="1" s="1"/>
  <c r="BB138" i="1"/>
  <c r="BC138" i="1" s="1"/>
  <c r="BP152" i="1"/>
  <c r="BQ152" i="1" s="1"/>
  <c r="AP152" i="1"/>
  <c r="AV152" i="1"/>
  <c r="AV162" i="1"/>
  <c r="AW162" i="1" s="1"/>
  <c r="AN130" i="1"/>
  <c r="AO130" i="1" s="1"/>
  <c r="AN81" i="1"/>
  <c r="BE81" i="1"/>
  <c r="AX134" i="1"/>
  <c r="AY134" i="1" s="1"/>
  <c r="AX172" i="1"/>
  <c r="BB131" i="1"/>
  <c r="AZ157" i="1"/>
  <c r="AZ192" i="1" s="1"/>
  <c r="BA192" i="1" s="1"/>
  <c r="BT156" i="1"/>
  <c r="BT191" i="1" s="1"/>
  <c r="BU191" i="1" s="1"/>
  <c r="AP131" i="1"/>
  <c r="BR163" i="1"/>
  <c r="BS163" i="1" s="1"/>
  <c r="AT145" i="1"/>
  <c r="AX162" i="1"/>
  <c r="AY162" i="1" s="1"/>
  <c r="BN158" i="1"/>
  <c r="BO158" i="1" s="1"/>
  <c r="BN144" i="1"/>
  <c r="AY81" i="1"/>
  <c r="BR156" i="1"/>
  <c r="BR191" i="1" s="1"/>
  <c r="BS191" i="1" s="1"/>
  <c r="BB172" i="1"/>
  <c r="BD143" i="1"/>
  <c r="BT165" i="1"/>
  <c r="BT195" i="1" s="1"/>
  <c r="BU195" i="1" s="1"/>
  <c r="BA81" i="1"/>
  <c r="BR158" i="1"/>
  <c r="BS158" i="1" s="1"/>
  <c r="BB139" i="1"/>
  <c r="BC139" i="1" s="1"/>
  <c r="BP157" i="1"/>
  <c r="BP192" i="1" s="1"/>
  <c r="BQ192" i="1" s="1"/>
  <c r="AT156" i="1"/>
  <c r="AT191" i="1" s="1"/>
  <c r="AU191" i="1" s="1"/>
  <c r="BC80" i="1"/>
  <c r="BD163" i="1"/>
  <c r="BE163" i="1" s="1"/>
  <c r="BR157" i="1"/>
  <c r="BR192" i="1" s="1"/>
  <c r="BS192" i="1" s="1"/>
  <c r="BT171" i="1"/>
  <c r="AV161" i="1"/>
  <c r="AW161" i="1" s="1"/>
  <c r="BN154" i="1"/>
  <c r="BO154" i="1" s="1"/>
  <c r="AZ156" i="1"/>
  <c r="AZ191" i="1" s="1"/>
  <c r="BA191" i="1" s="1"/>
  <c r="AP136" i="1"/>
  <c r="AQ136" i="1" s="1"/>
  <c r="BP129" i="1"/>
  <c r="BQ129" i="1" s="1"/>
  <c r="BD138" i="1"/>
  <c r="BE138" i="1" s="1"/>
  <c r="BP144" i="1"/>
  <c r="AP162" i="1"/>
  <c r="AQ162" i="1" s="1"/>
  <c r="BD176" i="1"/>
  <c r="BE176" i="1" s="1"/>
  <c r="AV171" i="1"/>
  <c r="AV129" i="1"/>
  <c r="AW129" i="1" s="1"/>
  <c r="AR131" i="1"/>
  <c r="AR154" i="1"/>
  <c r="AS154" i="1" s="1"/>
  <c r="AZ152" i="1"/>
  <c r="BA152" i="1" s="1"/>
  <c r="AP175" i="1"/>
  <c r="AQ175" i="1" s="1"/>
  <c r="AP154" i="1"/>
  <c r="AN149" i="1"/>
  <c r="AO149" i="1" s="1"/>
  <c r="AV137" i="1"/>
  <c r="AW137" i="1" s="1"/>
  <c r="AV138" i="1"/>
  <c r="AW138" i="1" s="1"/>
  <c r="AR166" i="1"/>
  <c r="AS166" i="1" s="1"/>
  <c r="AV145" i="1"/>
  <c r="AR130" i="1"/>
  <c r="AS130" i="1" s="1"/>
  <c r="AR164" i="1"/>
  <c r="AS164" i="1" s="1"/>
  <c r="BP171" i="1"/>
  <c r="AN162" i="1"/>
  <c r="AO162" i="1" s="1"/>
  <c r="AR136" i="1"/>
  <c r="AN172" i="1"/>
  <c r="AV176" i="1"/>
  <c r="AW176" i="1" s="1"/>
  <c r="AR165" i="1"/>
  <c r="AR195" i="1" s="1"/>
  <c r="AN138" i="1"/>
  <c r="AO138" i="1" s="1"/>
  <c r="AR134" i="1"/>
  <c r="AS134" i="1" s="1"/>
  <c r="AR158" i="1"/>
  <c r="AS158" i="1" s="1"/>
  <c r="BB143" i="1"/>
  <c r="AV80" i="1"/>
  <c r="AU80" i="1"/>
  <c r="AR172" i="1"/>
  <c r="AV165" i="1"/>
  <c r="AV195" i="1" s="1"/>
  <c r="AT161" i="1"/>
  <c r="AU161" i="1" s="1"/>
  <c r="AT165" i="1"/>
  <c r="AT195" i="1" s="1"/>
  <c r="AU195" i="1" s="1"/>
  <c r="AR80" i="1"/>
  <c r="BO81" i="1"/>
  <c r="BT152" i="1"/>
  <c r="AP145" i="1"/>
  <c r="BF162" i="1"/>
  <c r="BG162" i="1" s="1"/>
  <c r="BN80" i="1"/>
  <c r="AV172" i="1"/>
  <c r="AR156" i="1"/>
  <c r="AR191" i="1" s="1"/>
  <c r="AS191" i="1" s="1"/>
  <c r="BP161" i="1"/>
  <c r="BQ161" i="1" s="1"/>
  <c r="AV163" i="1"/>
  <c r="AW163" i="1" s="1"/>
  <c r="BT139" i="1"/>
  <c r="BU139" i="1" s="1"/>
  <c r="AR159" i="1"/>
  <c r="AS159" i="1" s="1"/>
  <c r="BB157" i="1"/>
  <c r="BB192" i="1" s="1"/>
  <c r="BC192" i="1" s="1"/>
  <c r="AT130" i="1"/>
  <c r="AU130" i="1" s="1"/>
  <c r="BO80" i="1"/>
  <c r="AX175" i="1"/>
  <c r="AY175" i="1" s="1"/>
  <c r="BB152" i="1"/>
  <c r="BC152" i="1" s="1"/>
  <c r="BD129" i="1"/>
  <c r="BR147" i="1"/>
  <c r="BS147" i="1" s="1"/>
  <c r="BB165" i="1"/>
  <c r="BB195" i="1" s="1"/>
  <c r="BF172" i="1"/>
  <c r="BP165" i="1"/>
  <c r="BP195" i="1" s="1"/>
  <c r="BQ195" i="1" s="1"/>
  <c r="AX167" i="1"/>
  <c r="AY167" i="1" s="1"/>
  <c r="BN171" i="1"/>
  <c r="AZ138" i="1"/>
  <c r="BA138" i="1" s="1"/>
  <c r="AX143" i="1"/>
  <c r="BN156" i="1"/>
  <c r="BN191" i="1" s="1"/>
  <c r="BO191" i="1" s="1"/>
  <c r="BR130" i="1"/>
  <c r="BS130" i="1" s="1"/>
  <c r="BF157" i="1"/>
  <c r="BF192" i="1" s="1"/>
  <c r="BG192" i="1" s="1"/>
  <c r="BS80" i="1"/>
  <c r="BQ81" i="1"/>
  <c r="AT147" i="1"/>
  <c r="AU147" i="1" s="1"/>
  <c r="AT138" i="1"/>
  <c r="AU138" i="1" s="1"/>
  <c r="AZ134" i="1"/>
  <c r="BA134" i="1" s="1"/>
  <c r="BD175" i="1"/>
  <c r="BE175" i="1" s="1"/>
  <c r="BD134" i="1"/>
  <c r="BE134" i="1" s="1"/>
  <c r="BT131" i="1"/>
  <c r="BB166" i="1"/>
  <c r="BC166" i="1" s="1"/>
  <c r="BF143" i="1"/>
  <c r="AX131" i="1"/>
  <c r="AX147" i="1"/>
  <c r="AY147" i="1" s="1"/>
  <c r="AX157" i="1"/>
  <c r="AX192" i="1" s="1"/>
  <c r="AY192" i="1" s="1"/>
  <c r="AZ145" i="1"/>
  <c r="AZ167" i="1"/>
  <c r="BA167" i="1" s="1"/>
  <c r="BF165" i="1"/>
  <c r="BF195" i="1" s="1"/>
  <c r="BG195" i="1" s="1"/>
  <c r="BF147" i="1"/>
  <c r="BG147" i="1" s="1"/>
  <c r="BD162" i="1"/>
  <c r="BE162" i="1" s="1"/>
  <c r="BN162" i="1"/>
  <c r="BO162" i="1" s="1"/>
  <c r="AQ81" i="1"/>
  <c r="BR81" i="1"/>
  <c r="AZ139" i="1"/>
  <c r="BA139" i="1" s="1"/>
  <c r="BD158" i="1"/>
  <c r="BE158" i="1" s="1"/>
  <c r="BD136" i="1"/>
  <c r="BE136" i="1" s="1"/>
  <c r="BT147" i="1"/>
  <c r="BU147" i="1" s="1"/>
  <c r="BP81" i="1"/>
  <c r="AV166" i="1"/>
  <c r="AW166" i="1" s="1"/>
  <c r="BN81" i="1"/>
  <c r="BR176" i="1"/>
  <c r="BS176" i="1" s="1"/>
  <c r="AN176" i="1"/>
  <c r="AO176" i="1" s="1"/>
  <c r="AT162" i="1"/>
  <c r="AO80" i="1"/>
  <c r="AX161" i="1"/>
  <c r="AX144" i="1"/>
  <c r="AX149" i="1"/>
  <c r="AY149" i="1" s="1"/>
  <c r="BE80" i="1"/>
  <c r="BN145" i="1"/>
  <c r="BN175" i="1"/>
  <c r="BO175" i="1" s="1"/>
  <c r="BN136" i="1"/>
  <c r="BN157" i="1"/>
  <c r="BN192" i="1" s="1"/>
  <c r="BO192" i="1" s="1"/>
  <c r="BN166" i="1"/>
  <c r="BO166" i="1" s="1"/>
  <c r="AY80" i="1"/>
  <c r="BR154" i="1"/>
  <c r="BS154" i="1" s="1"/>
  <c r="BB161" i="1"/>
  <c r="BC161" i="1" s="1"/>
  <c r="BB163" i="1"/>
  <c r="BC163" i="1" s="1"/>
  <c r="AZ163" i="1"/>
  <c r="BA163" i="1" s="1"/>
  <c r="BF154" i="1"/>
  <c r="BG154" i="1" s="1"/>
  <c r="BD157" i="1"/>
  <c r="BD192" i="1" s="1"/>
  <c r="BE192" i="1" s="1"/>
  <c r="BT166" i="1"/>
  <c r="BU166" i="1" s="1"/>
  <c r="BT172" i="1"/>
  <c r="BP155" i="1"/>
  <c r="BQ155" i="1" s="1"/>
  <c r="BP163" i="1"/>
  <c r="BQ163" i="1" s="1"/>
  <c r="AP130" i="1"/>
  <c r="AQ130" i="1" s="1"/>
  <c r="AZ130" i="1"/>
  <c r="BA130" i="1" s="1"/>
  <c r="AX138" i="1"/>
  <c r="AY138" i="1" s="1"/>
  <c r="AX154" i="1"/>
  <c r="AY154" i="1" s="1"/>
  <c r="BN159" i="1"/>
  <c r="BO159" i="1" s="1"/>
  <c r="BR145" i="1"/>
  <c r="BR167" i="1"/>
  <c r="BS167" i="1" s="1"/>
  <c r="BR162" i="1"/>
  <c r="BS162" i="1" s="1"/>
  <c r="BB134" i="1"/>
  <c r="BC134" i="1" s="1"/>
  <c r="AZ144" i="1"/>
  <c r="AP161" i="1"/>
  <c r="AQ161" i="1" s="1"/>
  <c r="AW81" i="1"/>
  <c r="AS80" i="1"/>
  <c r="AT139" i="1"/>
  <c r="AU139" i="1" s="1"/>
  <c r="AT157" i="1"/>
  <c r="AT192" i="1" s="1"/>
  <c r="AU192" i="1" s="1"/>
  <c r="AT167" i="1"/>
  <c r="AU167" i="1" s="1"/>
  <c r="AT158" i="1"/>
  <c r="AU158" i="1" s="1"/>
  <c r="AT166" i="1"/>
  <c r="AU166" i="1" s="1"/>
  <c r="AT129" i="1"/>
  <c r="BB162" i="1"/>
  <c r="BC162" i="1" s="1"/>
  <c r="AZ175" i="1"/>
  <c r="BA175" i="1" s="1"/>
  <c r="AZ162" i="1"/>
  <c r="BA162" i="1" s="1"/>
  <c r="BF131" i="1"/>
  <c r="BD131" i="1"/>
  <c r="BD152" i="1"/>
  <c r="BE152" i="1" s="1"/>
  <c r="AP81" i="1"/>
  <c r="BG81" i="1"/>
  <c r="BF134" i="1"/>
  <c r="BG134" i="1" s="1"/>
  <c r="AZ176" i="1"/>
  <c r="BA176" i="1" s="1"/>
  <c r="BF152" i="1"/>
  <c r="BG152" i="1" s="1"/>
  <c r="BH214" i="1" s="1"/>
  <c r="BD154" i="1"/>
  <c r="BE154" i="1" s="1"/>
  <c r="BP134" i="1"/>
  <c r="BQ134" i="1" s="1"/>
  <c r="BK80" i="1"/>
  <c r="AP134" i="1"/>
  <c r="AQ134" i="1" s="1"/>
  <c r="AT155" i="1"/>
  <c r="AU155" i="1" s="1"/>
  <c r="AT131" i="1"/>
  <c r="BN165" i="1"/>
  <c r="BN195" i="1" s="1"/>
  <c r="BO195" i="1" s="1"/>
  <c r="BB145" i="1"/>
  <c r="BB154" i="1"/>
  <c r="BC154" i="1" s="1"/>
  <c r="AZ161" i="1"/>
  <c r="BA161" i="1" s="1"/>
  <c r="BP158" i="1"/>
  <c r="BQ158" i="1" s="1"/>
  <c r="AN158" i="1"/>
  <c r="AO158" i="1" s="1"/>
  <c r="BT157" i="1"/>
  <c r="BT192" i="1" s="1"/>
  <c r="BU192" i="1" s="1"/>
  <c r="BD165" i="1"/>
  <c r="BD195" i="1" s="1"/>
  <c r="BE195" i="1" s="1"/>
  <c r="BF138" i="1"/>
  <c r="BG138" i="1" s="1"/>
  <c r="BT162" i="1"/>
  <c r="BU162" i="1" s="1"/>
  <c r="AN171" i="1"/>
  <c r="AZ149" i="1"/>
  <c r="BA149" i="1" s="1"/>
  <c r="AP138" i="1"/>
  <c r="AQ138" i="1" s="1"/>
  <c r="AP156" i="1"/>
  <c r="AP191" i="1" s="1"/>
  <c r="AQ191" i="1" s="1"/>
  <c r="AN164" i="1"/>
  <c r="AO164" i="1" s="1"/>
  <c r="BP137" i="1"/>
  <c r="BQ137" i="1" s="1"/>
  <c r="AV158" i="1"/>
  <c r="AW158" i="1" s="1"/>
  <c r="AR137" i="1"/>
  <c r="AS137" i="1" s="1"/>
  <c r="AR81" i="1"/>
  <c r="BT159" i="1"/>
  <c r="BU159" i="1" s="1"/>
  <c r="BP164" i="1"/>
  <c r="BQ164" i="1" s="1"/>
  <c r="AN175" i="1"/>
  <c r="AO175" i="1" s="1"/>
  <c r="AV81" i="1"/>
  <c r="AP139" i="1"/>
  <c r="AQ139" i="1" s="1"/>
  <c r="AV130" i="1"/>
  <c r="AW130" i="1" s="1"/>
  <c r="AV175" i="1"/>
  <c r="AW175" i="1" s="1"/>
  <c r="AR129" i="1"/>
  <c r="AV136" i="1"/>
  <c r="BD80" i="1"/>
  <c r="AP165" i="1"/>
  <c r="AP195" i="1" s="1"/>
  <c r="AQ195" i="1" s="1"/>
  <c r="BP145" i="1"/>
  <c r="AN159" i="1"/>
  <c r="AO159" i="1" s="1"/>
  <c r="AR149" i="1"/>
  <c r="AS149" i="1" s="1"/>
  <c r="BI81" i="1"/>
  <c r="AS81" i="1"/>
  <c r="AR162" i="1"/>
  <c r="AS162" i="1" s="1"/>
  <c r="AP172" i="1"/>
  <c r="AN166" i="1"/>
  <c r="AO166" i="1" s="1"/>
  <c r="AV139" i="1"/>
  <c r="AW139" i="1" s="1"/>
  <c r="BP166" i="1"/>
  <c r="BQ166" i="1" s="1"/>
  <c r="AN163" i="1"/>
  <c r="AO163" i="1" s="1"/>
  <c r="AN147" i="1"/>
  <c r="AO147" i="1" s="1"/>
  <c r="AR139" i="1"/>
  <c r="AS139" i="1" s="1"/>
  <c r="AV164" i="1"/>
  <c r="AW164" i="1" s="1"/>
  <c r="BQ80" i="1"/>
  <c r="BS81" i="1"/>
  <c r="AR161" i="1"/>
  <c r="AS161" i="1" s="1"/>
  <c r="AP80" i="1"/>
  <c r="BR136" i="1"/>
  <c r="BS136" i="1" s="1"/>
  <c r="AV154" i="1"/>
  <c r="AW154" i="1" s="1"/>
  <c r="AN155" i="1"/>
  <c r="AO155" i="1" s="1"/>
  <c r="AN144" i="1"/>
  <c r="AR175" i="1"/>
  <c r="AS175" i="1" s="1"/>
  <c r="AV157" i="1"/>
  <c r="AV192" i="1" s="1"/>
  <c r="AW192" i="1" s="1"/>
  <c r="AN154" i="1"/>
  <c r="AR138" i="1"/>
  <c r="AS138" i="1" s="1"/>
  <c r="AX165" i="1"/>
  <c r="AX195" i="1" s="1"/>
  <c r="AY195" i="1" s="1"/>
  <c r="BB80" i="1"/>
  <c r="AZ158" i="1"/>
  <c r="BA158" i="1" s="1"/>
  <c r="BD171" i="1"/>
  <c r="BR166" i="1"/>
  <c r="BS166" i="1" s="1"/>
  <c r="BT144" i="1"/>
  <c r="BK81" i="1"/>
  <c r="AX129" i="1"/>
  <c r="AX166" i="1"/>
  <c r="AY166" i="1" s="1"/>
  <c r="BB137" i="1"/>
  <c r="BC137" i="1" s="1"/>
  <c r="BF156" i="1"/>
  <c r="BF191" i="1" s="1"/>
  <c r="BG191" i="1" s="1"/>
  <c r="BT137" i="1"/>
  <c r="BU137" i="1" s="1"/>
  <c r="AX136" i="1"/>
  <c r="BR152" i="1"/>
  <c r="BT136" i="1"/>
  <c r="AP167" i="1"/>
  <c r="AQ167" i="1" s="1"/>
  <c r="AT176" i="1"/>
  <c r="AU176" i="1" s="1"/>
  <c r="AT164" i="1"/>
  <c r="AU164" i="1" s="1"/>
  <c r="BC81" i="1"/>
  <c r="AZ136" i="1"/>
  <c r="BA136" i="1" s="1"/>
  <c r="BF164" i="1"/>
  <c r="BG164" i="1" s="1"/>
  <c r="BD156" i="1"/>
  <c r="BD191" i="1" s="1"/>
  <c r="BE191" i="1" s="1"/>
  <c r="AT81" i="1"/>
  <c r="BB156" i="1"/>
  <c r="BB191" i="1" s="1"/>
  <c r="BC191" i="1" s="1"/>
  <c r="BT167" i="1"/>
  <c r="BU167" i="1" s="1"/>
  <c r="BB159" i="1"/>
  <c r="BC159" i="1" s="1"/>
  <c r="AN152" i="1"/>
  <c r="BP162" i="1"/>
  <c r="BQ162" i="1" s="1"/>
  <c r="AN145" i="1"/>
  <c r="BT80" i="1"/>
  <c r="AP157" i="1"/>
  <c r="AP192" i="1" s="1"/>
  <c r="AQ192" i="1" s="1"/>
  <c r="AV143" i="1"/>
  <c r="BD139" i="1"/>
  <c r="BE139" i="1" s="1"/>
  <c r="AX171" i="1"/>
  <c r="AX176" i="1"/>
  <c r="AY176" i="1" s="1"/>
  <c r="AX137" i="1"/>
  <c r="AY137" i="1" s="1"/>
  <c r="BB175" i="1"/>
  <c r="BC175" i="1" s="1"/>
  <c r="BU80" i="1"/>
  <c r="AZ81" i="1"/>
  <c r="BF158" i="1"/>
  <c r="BG158" i="1" s="1"/>
  <c r="BF139" i="1"/>
  <c r="BG139" i="1" s="1"/>
  <c r="BD145" i="1"/>
  <c r="BN152" i="1"/>
  <c r="BR164" i="1"/>
  <c r="BS164" i="1" s="1"/>
  <c r="BR131" i="1"/>
  <c r="BR137" i="1"/>
  <c r="BS137" i="1" s="1"/>
  <c r="BR129" i="1"/>
  <c r="BB176" i="1"/>
  <c r="BC176" i="1" s="1"/>
  <c r="AZ131" i="1"/>
  <c r="BF161" i="1"/>
  <c r="BG161" i="1" s="1"/>
  <c r="BD130" i="1"/>
  <c r="BE130" i="1" s="1"/>
  <c r="BT176" i="1"/>
  <c r="BU176" i="1" s="1"/>
  <c r="BP172" i="1"/>
  <c r="AP144" i="1"/>
  <c r="AV144" i="1"/>
  <c r="BN143" i="1"/>
  <c r="BR159" i="1"/>
  <c r="BS159" i="1" s="1"/>
  <c r="AX145" i="1"/>
  <c r="AX158" i="1"/>
  <c r="AY158" i="1" s="1"/>
  <c r="BN172" i="1"/>
  <c r="BN130" i="1"/>
  <c r="BO130" i="1" s="1"/>
  <c r="BN161" i="1"/>
  <c r="BO161" i="1" s="1"/>
  <c r="BR172" i="1"/>
  <c r="BR134" i="1"/>
  <c r="BS134" i="1" s="1"/>
  <c r="BB171" i="1"/>
  <c r="BF145" i="1"/>
  <c r="BT130" i="1"/>
  <c r="BU130" i="1" s="1"/>
  <c r="BP175" i="1"/>
  <c r="BQ175" i="1" s="1"/>
  <c r="BP159" i="1"/>
  <c r="BQ159" i="1" s="1"/>
  <c r="BM80" i="1"/>
  <c r="AX139" i="1"/>
  <c r="AY139" i="1" s="1"/>
  <c r="BN163" i="1"/>
  <c r="BO163" i="1" s="1"/>
  <c r="BN129" i="1"/>
  <c r="BO129" i="1" s="1"/>
  <c r="BR143" i="1"/>
  <c r="BR175" i="1"/>
  <c r="BS175" i="1" s="1"/>
  <c r="BR165" i="1"/>
  <c r="BR195" i="1" s="1"/>
  <c r="BS195" i="1" s="1"/>
  <c r="BB167" i="1"/>
  <c r="BC167" i="1" s="1"/>
  <c r="AZ171" i="1"/>
  <c r="BD167" i="1"/>
  <c r="BE167" i="1" s="1"/>
  <c r="BT145" i="1"/>
  <c r="AP163" i="1"/>
  <c r="AQ163" i="1" s="1"/>
  <c r="AT152" i="1"/>
  <c r="AU152" i="1" s="1"/>
  <c r="AT172" i="1"/>
  <c r="AT136" i="1"/>
  <c r="AU136" i="1" s="1"/>
  <c r="AT154" i="1"/>
  <c r="BN147" i="1"/>
  <c r="BO147" i="1" s="1"/>
  <c r="BB164" i="1"/>
  <c r="BC164" i="1" s="1"/>
  <c r="BU81" i="1"/>
  <c r="AZ137" i="1"/>
  <c r="BA137" i="1" s="1"/>
  <c r="BF167" i="1"/>
  <c r="BG167" i="1" s="1"/>
  <c r="BP130" i="1"/>
  <c r="BQ130" i="1" s="1"/>
  <c r="BF171" i="1"/>
  <c r="BF80" i="1"/>
  <c r="BD137" i="1"/>
  <c r="BE137" i="1" s="1"/>
  <c r="BT134" i="1"/>
  <c r="BU134" i="1" s="1"/>
  <c r="AP164" i="1"/>
  <c r="AQ164" i="1" s="1"/>
  <c r="AT175" i="1"/>
  <c r="AU175" i="1" s="1"/>
  <c r="AT159" i="1"/>
  <c r="AU159" i="1" s="1"/>
  <c r="BT138" i="1"/>
  <c r="BU138" i="1" s="1"/>
  <c r="AU81" i="1"/>
  <c r="BB130" i="1"/>
  <c r="BC130" i="1" s="1"/>
  <c r="AZ80" i="1"/>
  <c r="BT154" i="1"/>
  <c r="BU154" i="1" s="1"/>
  <c r="AP176" i="1"/>
  <c r="AQ176" i="1" s="1"/>
  <c r="BB129" i="1"/>
  <c r="AN157" i="1"/>
  <c r="AN192" i="1" s="1"/>
  <c r="AO192" i="1" s="1"/>
  <c r="BD166" i="1"/>
  <c r="BE166" i="1" s="1"/>
  <c r="BT175" i="1"/>
  <c r="BU175" i="1" s="1"/>
  <c r="BP147" i="1"/>
  <c r="BQ147" i="1" s="1"/>
  <c r="AP147" i="1"/>
  <c r="AQ147" i="1" s="1"/>
  <c r="AN136" i="1"/>
  <c r="BP176" i="1"/>
  <c r="BQ176" i="1" s="1"/>
  <c r="AP129" i="1"/>
  <c r="AQ129" i="1" s="1"/>
  <c r="AN131" i="1"/>
  <c r="AV134" i="1"/>
  <c r="AW134" i="1" s="1"/>
  <c r="AR147" i="1"/>
  <c r="AS147" i="1" s="1"/>
  <c r="AR152" i="1"/>
  <c r="AS152" i="1" s="1"/>
  <c r="AR145" i="1"/>
  <c r="AP171" i="1"/>
  <c r="AP159" i="1"/>
  <c r="AQ159" i="1" s="1"/>
  <c r="AN165" i="1"/>
  <c r="AN195" i="1" s="1"/>
  <c r="AO195" i="1" s="1"/>
  <c r="AV167" i="1"/>
  <c r="AW167" i="1" s="1"/>
  <c r="AP143" i="1"/>
  <c r="AR144" i="1"/>
  <c r="AR143" i="1"/>
  <c r="AR171" i="1"/>
  <c r="BD144" i="1"/>
  <c r="AN156" i="1"/>
  <c r="AN191" i="1" s="1"/>
  <c r="AO191" i="1" s="1"/>
  <c r="AV131" i="1"/>
  <c r="AR157" i="1"/>
  <c r="BT161" i="1"/>
  <c r="BU161" i="1" s="1"/>
  <c r="AN161" i="1"/>
  <c r="AO161" i="1" s="1"/>
  <c r="AR167" i="1"/>
  <c r="AS167" i="1" s="1"/>
  <c r="AP166" i="1"/>
  <c r="AQ166" i="1" s="1"/>
  <c r="AN139" i="1"/>
  <c r="AO139" i="1" s="1"/>
  <c r="AN167" i="1"/>
  <c r="AO167" i="1" s="1"/>
  <c r="AR163" i="1"/>
  <c r="AS163" i="1" s="1"/>
  <c r="AN143" i="1"/>
  <c r="AT144" i="1"/>
  <c r="AT80" i="1"/>
  <c r="AN80" i="1"/>
  <c r="AN137" i="1"/>
  <c r="AO137" i="1" s="1"/>
  <c r="AO81" i="1"/>
  <c r="AV159" i="1"/>
  <c r="AW159" i="1" s="1"/>
  <c r="BH173" i="1"/>
  <c r="BI154" i="1"/>
  <c r="BH160" i="1"/>
  <c r="BH194" i="1" s="1"/>
  <c r="BI161" i="1"/>
  <c r="BH168" i="1"/>
  <c r="BH197" i="1" s="1"/>
  <c r="BI136" i="1"/>
  <c r="BI140" i="1" s="1"/>
  <c r="BH140" i="1"/>
  <c r="AV149" i="1"/>
  <c r="AW149" i="1" s="1"/>
  <c r="AV155" i="1"/>
  <c r="AZ17" i="1"/>
  <c r="AZ23" i="1" s="1"/>
  <c r="AP149" i="1"/>
  <c r="AQ149" i="1" s="1"/>
  <c r="BF149" i="1"/>
  <c r="BG149" i="1" s="1"/>
  <c r="AT149" i="1"/>
  <c r="AU149" i="1" s="1"/>
  <c r="BP149" i="1"/>
  <c r="BQ149" i="1" s="1"/>
  <c r="BD149" i="1"/>
  <c r="BE149" i="1" s="1"/>
  <c r="BN149" i="1"/>
  <c r="BO149" i="1" s="1"/>
  <c r="BR149" i="1"/>
  <c r="BS149" i="1" s="1"/>
  <c r="BT149" i="1"/>
  <c r="BU149" i="1" s="1"/>
  <c r="BB149" i="1"/>
  <c r="BC149" i="1" s="1"/>
  <c r="BT155" i="1"/>
  <c r="BB155" i="1"/>
  <c r="BF155" i="1"/>
  <c r="AX155" i="1"/>
  <c r="BD155" i="1"/>
  <c r="AZ155" i="1"/>
  <c r="BR155" i="1"/>
  <c r="BN155" i="1"/>
  <c r="AN264" i="1"/>
  <c r="AI44" i="1"/>
  <c r="BV173" i="1"/>
  <c r="BW221" i="1" s="1"/>
  <c r="AP264" i="1"/>
  <c r="BK264" i="1"/>
  <c r="BO33" i="1"/>
  <c r="AU105" i="1"/>
  <c r="AU106" i="1" s="1"/>
  <c r="BH264" i="1"/>
  <c r="BI264" i="1"/>
  <c r="BU33" i="1"/>
  <c r="BD33" i="1"/>
  <c r="BK17" i="1"/>
  <c r="AT243" i="1"/>
  <c r="AP206" i="1"/>
  <c r="AP265" i="1"/>
  <c r="AY17" i="1"/>
  <c r="AM55" i="1"/>
  <c r="BO264" i="1"/>
  <c r="BR33" i="1"/>
  <c r="BW33" i="1"/>
  <c r="BF264" i="1"/>
  <c r="AX33" i="1"/>
  <c r="BI129" i="1"/>
  <c r="BH132" i="1"/>
  <c r="BH99" i="1" s="1"/>
  <c r="BH103" i="1" s="1"/>
  <c r="AZ243" i="1"/>
  <c r="BC105" i="1"/>
  <c r="BC106" i="1" s="1"/>
  <c r="AY264" i="1"/>
  <c r="AW17" i="1"/>
  <c r="AW23" i="1" s="1"/>
  <c r="BN265" i="1"/>
  <c r="AP17" i="1"/>
  <c r="BJ105" i="1"/>
  <c r="BJ106" i="1" s="1"/>
  <c r="BJ109" i="1" s="1"/>
  <c r="AI195" i="1"/>
  <c r="AI197" i="1"/>
  <c r="AI194" i="1"/>
  <c r="AN206" i="1"/>
  <c r="AN40" i="1"/>
  <c r="C187" i="1"/>
  <c r="C61" i="1"/>
  <c r="V221" i="1"/>
  <c r="AW33" i="1"/>
  <c r="AU33" i="1"/>
  <c r="BQ264" i="1"/>
  <c r="BN105" i="1"/>
  <c r="BN106" i="1" s="1"/>
  <c r="BM17" i="1"/>
  <c r="AO265" i="1"/>
  <c r="BA17" i="1"/>
  <c r="BA23" i="1" s="1"/>
  <c r="BW265" i="1"/>
  <c r="BR105" i="1"/>
  <c r="BR106" i="1" s="1"/>
  <c r="BP264" i="1"/>
  <c r="BQ17" i="1"/>
  <c r="BQ243" i="1"/>
  <c r="BS105" i="1"/>
  <c r="BS106" i="1" s="1"/>
  <c r="BB206" i="1"/>
  <c r="BB265" i="1"/>
  <c r="BN264" i="1"/>
  <c r="BO105" i="1"/>
  <c r="BO106" i="1" s="1"/>
  <c r="BO109" i="1" s="1"/>
  <c r="BN243" i="1"/>
  <c r="BM243" i="1"/>
  <c r="BP105" i="1"/>
  <c r="BP106" i="1" s="1"/>
  <c r="BK33" i="1"/>
  <c r="BU264" i="1"/>
  <c r="BU17" i="1"/>
  <c r="F150" i="1"/>
  <c r="F40" i="1"/>
  <c r="N187" i="1"/>
  <c r="N61" i="1"/>
  <c r="N260" i="1"/>
  <c r="R150" i="1"/>
  <c r="R40" i="1"/>
  <c r="O187" i="1"/>
  <c r="D61" i="1"/>
  <c r="D187" i="1"/>
  <c r="BD17" i="1"/>
  <c r="BD265" i="1"/>
  <c r="BD243" i="1"/>
  <c r="BG105" i="1"/>
  <c r="BG106" i="1" s="1"/>
  <c r="AI215" i="1"/>
  <c r="AI213" i="1" s="1"/>
  <c r="AI33" i="1"/>
  <c r="BV265" i="1"/>
  <c r="BJ34" i="1"/>
  <c r="BV17" i="1"/>
  <c r="BV23" i="1" s="1"/>
  <c r="BO17" i="1"/>
  <c r="BK44" i="1"/>
  <c r="AR265" i="1"/>
  <c r="BU105" i="1"/>
  <c r="BU106" i="1" s="1"/>
  <c r="BW140" i="1"/>
  <c r="BW105" i="1"/>
  <c r="BW106" i="1" s="1"/>
  <c r="AZ105" i="1"/>
  <c r="AZ106" i="1" s="1"/>
  <c r="AZ109" i="1" s="1"/>
  <c r="BG33" i="1"/>
  <c r="BA264" i="1"/>
  <c r="AY265" i="1"/>
  <c r="AT17" i="1"/>
  <c r="AT23" i="1" s="1"/>
  <c r="AZ33" i="1"/>
  <c r="AS33" i="1"/>
  <c r="BO243" i="1"/>
  <c r="AS264" i="1"/>
  <c r="BA33" i="1"/>
  <c r="AZ264" i="1"/>
  <c r="BE33" i="1"/>
  <c r="BV160" i="1"/>
  <c r="BV194" i="1" s="1"/>
  <c r="BR17" i="1"/>
  <c r="AR33" i="1"/>
  <c r="BD264" i="1"/>
  <c r="BI33" i="1"/>
  <c r="BM44" i="1"/>
  <c r="BQ33" i="1"/>
  <c r="AR17" i="1"/>
  <c r="AS17" i="1"/>
  <c r="AT33" i="1"/>
  <c r="BP33" i="1"/>
  <c r="BT265" i="1"/>
  <c r="AP33" i="1"/>
  <c r="AI17" i="1"/>
  <c r="BV191" i="1"/>
  <c r="BW191" i="1" s="1"/>
  <c r="BX105" i="1"/>
  <c r="BX106" i="1" s="1"/>
  <c r="BG265" i="1"/>
  <c r="BV105" i="1"/>
  <c r="BV106" i="1" s="1"/>
  <c r="AL105" i="1"/>
  <c r="AL106" i="1" s="1"/>
  <c r="AL111" i="1" s="1"/>
  <c r="AT264" i="1"/>
  <c r="AT105" i="1"/>
  <c r="AT106" i="1" s="1"/>
  <c r="BT105" i="1"/>
  <c r="BT106" i="1" s="1"/>
  <c r="AW265" i="1"/>
  <c r="BS264" i="1"/>
  <c r="AX264" i="1"/>
  <c r="AO264" i="1"/>
  <c r="AN33" i="1"/>
  <c r="BT33" i="1"/>
  <c r="AQ33" i="1"/>
  <c r="AV33" i="1"/>
  <c r="BH33" i="1"/>
  <c r="BI17" i="1"/>
  <c r="BP17" i="1"/>
  <c r="AY33" i="1"/>
  <c r="BF33" i="1"/>
  <c r="BN33" i="1"/>
  <c r="AU17" i="1"/>
  <c r="AY243" i="1"/>
  <c r="BV264" i="1"/>
  <c r="AI192" i="1"/>
  <c r="BV140" i="1"/>
  <c r="BS17" i="1"/>
  <c r="BQ105" i="1"/>
  <c r="BQ106" i="1" s="1"/>
  <c r="BQ109" i="1" s="1"/>
  <c r="BV195" i="1"/>
  <c r="BE17" i="1"/>
  <c r="BY105" i="1"/>
  <c r="BY106" i="1" s="1"/>
  <c r="BE264" i="1"/>
  <c r="BL105" i="1"/>
  <c r="BL106" i="1" s="1"/>
  <c r="AT265" i="1"/>
  <c r="BT264" i="1"/>
  <c r="BM265" i="1"/>
  <c r="BM215" i="1"/>
  <c r="BM213" i="1" s="1"/>
  <c r="BM40" i="1"/>
  <c r="BM206" i="1"/>
  <c r="BP265" i="1"/>
  <c r="BP206" i="1"/>
  <c r="BR265" i="1"/>
  <c r="BR206" i="1"/>
  <c r="BC17" i="1"/>
  <c r="AU265" i="1"/>
  <c r="BV192" i="1"/>
  <c r="BW192" i="1" s="1"/>
  <c r="BH105" i="1"/>
  <c r="BH106" i="1" s="1"/>
  <c r="BH110" i="1" s="1"/>
  <c r="BF265" i="1"/>
  <c r="BD105" i="1"/>
  <c r="BD106" i="1" s="1"/>
  <c r="AI40" i="1"/>
  <c r="BH17" i="1"/>
  <c r="BH192" i="1"/>
  <c r="BI192" i="1" s="1"/>
  <c r="AX105" i="1"/>
  <c r="AX106" i="1" s="1"/>
  <c r="BQ265" i="1"/>
  <c r="BK105" i="1"/>
  <c r="BK106" i="1" s="1"/>
  <c r="BK111" i="1" s="1"/>
  <c r="AX265" i="1"/>
  <c r="AR105" i="1"/>
  <c r="AR106" i="1" s="1"/>
  <c r="AQ264" i="1"/>
  <c r="AS105" i="1"/>
  <c r="AS106" i="1" s="1"/>
  <c r="AQ17" i="1"/>
  <c r="BT206" i="1"/>
  <c r="BH191" i="1"/>
  <c r="BI191" i="1" s="1"/>
  <c r="AR264" i="1"/>
  <c r="BU206" i="1"/>
  <c r="BU265" i="1"/>
  <c r="BW129" i="1"/>
  <c r="BV132" i="1"/>
  <c r="BK265" i="1"/>
  <c r="BK206" i="1"/>
  <c r="BK40" i="1"/>
  <c r="BK215" i="1"/>
  <c r="BK213" i="1" s="1"/>
  <c r="BK243" i="1"/>
  <c r="BM105" i="1"/>
  <c r="BM106" i="1" s="1"/>
  <c r="BM264" i="1"/>
  <c r="BS33" i="1"/>
  <c r="AN17" i="1"/>
  <c r="AN243" i="1"/>
  <c r="AN105" i="1"/>
  <c r="AN106" i="1" s="1"/>
  <c r="AO105" i="1"/>
  <c r="AO106" i="1" s="1"/>
  <c r="AU243" i="1"/>
  <c r="BO265" i="1"/>
  <c r="BF105" i="1"/>
  <c r="BF106" i="1" s="1"/>
  <c r="BF17" i="1"/>
  <c r="AV17" i="1"/>
  <c r="AY105" i="1"/>
  <c r="AY106" i="1" s="1"/>
  <c r="AW105" i="1"/>
  <c r="AW106" i="1" s="1"/>
  <c r="AV264" i="1"/>
  <c r="AP105" i="1"/>
  <c r="AP106" i="1" s="1"/>
  <c r="AV105" i="1"/>
  <c r="AV106" i="1" s="1"/>
  <c r="BW17" i="1"/>
  <c r="BW243" i="1"/>
  <c r="BZ105" i="1"/>
  <c r="BZ106" i="1" s="1"/>
  <c r="BV146" i="1"/>
  <c r="AO33" i="1"/>
  <c r="BR264" i="1"/>
  <c r="BN40" i="1"/>
  <c r="BN206" i="1"/>
  <c r="AQ265" i="1"/>
  <c r="AQ206" i="1"/>
  <c r="BN17" i="1"/>
  <c r="BW264" i="1"/>
  <c r="BI265" i="1"/>
  <c r="BI206" i="1"/>
  <c r="BB243" i="1"/>
  <c r="BB17" i="1"/>
  <c r="BM33" i="1"/>
  <c r="BI105" i="1"/>
  <c r="BI106" i="1" s="1"/>
  <c r="BI110" i="1" s="1"/>
  <c r="BF243" i="1"/>
  <c r="BE105" i="1"/>
  <c r="BE106" i="1" s="1"/>
  <c r="BE111" i="1" s="1"/>
  <c r="AN265" i="1"/>
  <c r="BC264" i="1"/>
  <c r="AV265" i="1"/>
  <c r="BC265" i="1"/>
  <c r="BE265" i="1"/>
  <c r="AQ105" i="1"/>
  <c r="AQ106" i="1" s="1"/>
  <c r="AQ111" i="1" s="1"/>
  <c r="BH265" i="1"/>
  <c r="BV168" i="1"/>
  <c r="BV197" i="1" s="1"/>
  <c r="BB264" i="1"/>
  <c r="BV33" i="1"/>
  <c r="BJ265" i="1"/>
  <c r="BJ206" i="1"/>
  <c r="BG264" i="1"/>
  <c r="BG243" i="1"/>
  <c r="BC33" i="1"/>
  <c r="AX243" i="1"/>
  <c r="AX17" i="1"/>
  <c r="AZ265" i="1"/>
  <c r="AZ206" i="1"/>
  <c r="BT243" i="1"/>
  <c r="BT17" i="1"/>
  <c r="BH195" i="1"/>
  <c r="BI195" i="1" s="1"/>
  <c r="BG17" i="1"/>
  <c r="AU264" i="1"/>
  <c r="BA265" i="1"/>
  <c r="BA206" i="1"/>
  <c r="AO243" i="1"/>
  <c r="AO17" i="1"/>
  <c r="AW264" i="1"/>
  <c r="AW243" i="1"/>
  <c r="AI191" i="1"/>
  <c r="AI243" i="1"/>
  <c r="BB33" i="1"/>
  <c r="BA105" i="1"/>
  <c r="BA106" i="1" s="1"/>
  <c r="BB105" i="1"/>
  <c r="BB106" i="1" s="1"/>
  <c r="AS265" i="1"/>
  <c r="AS206" i="1"/>
  <c r="BS265" i="1"/>
  <c r="BI214" i="1"/>
  <c r="BW214" i="1"/>
  <c r="BJ35" i="1"/>
  <c r="BJ24" i="1"/>
  <c r="CQ146" i="1"/>
  <c r="DB84" i="1"/>
  <c r="CY72" i="1"/>
  <c r="CY118" i="1" s="1"/>
  <c r="CY114" i="1" s="1"/>
  <c r="CZ70" i="1"/>
  <c r="V7" i="1" l="1"/>
  <c r="V11" i="1" s="1"/>
  <c r="D219" i="1"/>
  <c r="BP11" i="1"/>
  <c r="BP6" i="1"/>
  <c r="BV11" i="1"/>
  <c r="BV6" i="1"/>
  <c r="BZ10" i="1" s="1"/>
  <c r="W7" i="1"/>
  <c r="W11" i="1" s="1"/>
  <c r="BS11" i="1"/>
  <c r="BS6" i="1"/>
  <c r="O219" i="1"/>
  <c r="X6" i="1"/>
  <c r="CA10" i="1"/>
  <c r="BQ10" i="1"/>
  <c r="BU6" i="1"/>
  <c r="BY10" i="1" s="1"/>
  <c r="BU11" i="1"/>
  <c r="BR11" i="1"/>
  <c r="BR6" i="1"/>
  <c r="P209" i="1"/>
  <c r="U208" i="1"/>
  <c r="D260" i="1"/>
  <c r="C141" i="1"/>
  <c r="C62" i="1" s="1"/>
  <c r="E61" i="1"/>
  <c r="T150" i="1"/>
  <c r="T258" i="1" s="1"/>
  <c r="C219" i="1"/>
  <c r="L61" i="1"/>
  <c r="L187" i="1"/>
  <c r="R187" i="1"/>
  <c r="O260" i="1"/>
  <c r="AR146" i="1"/>
  <c r="AS146" i="1" s="1"/>
  <c r="D218" i="1"/>
  <c r="D217" i="1" s="1"/>
  <c r="D261" i="1"/>
  <c r="D263" i="1" s="1"/>
  <c r="D141" i="1"/>
  <c r="D62" i="1" s="1"/>
  <c r="E219" i="1"/>
  <c r="D44" i="1"/>
  <c r="P221" i="1"/>
  <c r="R61" i="1"/>
  <c r="E218" i="1"/>
  <c r="C261" i="1"/>
  <c r="C263" i="1" s="1"/>
  <c r="B73" i="1"/>
  <c r="B120" i="1"/>
  <c r="U261" i="1"/>
  <c r="U263" i="1" s="1"/>
  <c r="D209" i="1"/>
  <c r="C169" i="1"/>
  <c r="R219" i="1"/>
  <c r="M187" i="1"/>
  <c r="M61" i="1"/>
  <c r="M219" i="1"/>
  <c r="N219" i="1"/>
  <c r="F44" i="1"/>
  <c r="F180" i="1"/>
  <c r="F121" i="1" s="1"/>
  <c r="F141" i="1"/>
  <c r="F62" i="1" s="1"/>
  <c r="N40" i="1"/>
  <c r="N150" i="1"/>
  <c r="L150" i="1"/>
  <c r="L40" i="1"/>
  <c r="N221" i="1"/>
  <c r="M260" i="1"/>
  <c r="U221" i="1"/>
  <c r="T260" i="1"/>
  <c r="C150" i="1"/>
  <c r="C40" i="1"/>
  <c r="H219" i="1"/>
  <c r="H61" i="1"/>
  <c r="V180" i="1"/>
  <c r="V121" i="1" s="1"/>
  <c r="V44" i="1"/>
  <c r="S194" i="1"/>
  <c r="S169" i="1"/>
  <c r="T187" i="1"/>
  <c r="T219" i="1"/>
  <c r="T61" i="1"/>
  <c r="I260" i="1"/>
  <c r="I219" i="1"/>
  <c r="I187" i="1"/>
  <c r="I61" i="1"/>
  <c r="J40" i="1"/>
  <c r="J150" i="1"/>
  <c r="U40" i="1"/>
  <c r="U150" i="1"/>
  <c r="S40" i="1"/>
  <c r="S150" i="1"/>
  <c r="B150" i="1"/>
  <c r="B40" i="1"/>
  <c r="I221" i="1"/>
  <c r="H260" i="1"/>
  <c r="C120" i="1"/>
  <c r="C119" i="1"/>
  <c r="C73" i="1"/>
  <c r="S180" i="1"/>
  <c r="S121" i="1" s="1"/>
  <c r="S44" i="1"/>
  <c r="S261" i="1"/>
  <c r="S263" i="1" s="1"/>
  <c r="S218" i="1"/>
  <c r="S197" i="1"/>
  <c r="S196" i="1" s="1"/>
  <c r="T209" i="1"/>
  <c r="G221" i="1"/>
  <c r="F260" i="1"/>
  <c r="F187" i="1"/>
  <c r="F61" i="1"/>
  <c r="F219" i="1"/>
  <c r="T180" i="1"/>
  <c r="T121" i="1" s="1"/>
  <c r="T218" i="1"/>
  <c r="O218" i="1"/>
  <c r="O217" i="1" s="1"/>
  <c r="O141" i="1"/>
  <c r="O62" i="1" s="1"/>
  <c r="F194" i="1"/>
  <c r="F169" i="1"/>
  <c r="F177" i="1" s="1"/>
  <c r="G208" i="1"/>
  <c r="J180" i="1"/>
  <c r="J121" i="1" s="1"/>
  <c r="J44" i="1"/>
  <c r="J261" i="1"/>
  <c r="J263" i="1" s="1"/>
  <c r="I180" i="1"/>
  <c r="I121" i="1" s="1"/>
  <c r="P150" i="1"/>
  <c r="P40" i="1"/>
  <c r="T197" i="1"/>
  <c r="T196" i="1" s="1"/>
  <c r="U209" i="1"/>
  <c r="H150" i="1"/>
  <c r="H40" i="1"/>
  <c r="V261" i="1"/>
  <c r="V263" i="1" s="1"/>
  <c r="R180" i="1"/>
  <c r="R121" i="1" s="1"/>
  <c r="R141" i="1"/>
  <c r="R62" i="1" s="1"/>
  <c r="S209" i="1"/>
  <c r="E221" i="1"/>
  <c r="D180" i="1"/>
  <c r="D121" i="1" s="1"/>
  <c r="D122" i="1" s="1"/>
  <c r="D125" i="1" s="1"/>
  <c r="G187" i="1"/>
  <c r="G219" i="1"/>
  <c r="G61" i="1"/>
  <c r="U61" i="1"/>
  <c r="U219" i="1"/>
  <c r="K208" i="1"/>
  <c r="J194" i="1"/>
  <c r="J193" i="1" s="1"/>
  <c r="J208" i="1"/>
  <c r="H218" i="1"/>
  <c r="H180" i="1"/>
  <c r="H121" i="1" s="1"/>
  <c r="H141" i="1"/>
  <c r="H62" i="1" s="1"/>
  <c r="H44" i="1"/>
  <c r="J260" i="1"/>
  <c r="J141" i="1"/>
  <c r="J62" i="1" s="1"/>
  <c r="R221" i="1"/>
  <c r="Q260" i="1"/>
  <c r="E194" i="1"/>
  <c r="E193" i="1" s="1"/>
  <c r="F208" i="1"/>
  <c r="E208" i="1"/>
  <c r="Q180" i="1"/>
  <c r="Q121" i="1" s="1"/>
  <c r="H209" i="1"/>
  <c r="K219" i="1"/>
  <c r="G150" i="1"/>
  <c r="G40" i="1"/>
  <c r="I40" i="1"/>
  <c r="I150" i="1"/>
  <c r="V208" i="1"/>
  <c r="V194" i="1"/>
  <c r="V193" i="1" s="1"/>
  <c r="T208" i="1"/>
  <c r="E141" i="1"/>
  <c r="E62" i="1" s="1"/>
  <c r="F261" i="1"/>
  <c r="F263" i="1" s="1"/>
  <c r="H261" i="1"/>
  <c r="H263" i="1" s="1"/>
  <c r="G218" i="1"/>
  <c r="G261" i="1"/>
  <c r="G263" i="1" s="1"/>
  <c r="BD173" i="1"/>
  <c r="BE221" i="1" s="1"/>
  <c r="Q208" i="1"/>
  <c r="E40" i="1"/>
  <c r="E150" i="1"/>
  <c r="J187" i="1"/>
  <c r="J61" i="1"/>
  <c r="J219" i="1"/>
  <c r="D40" i="1"/>
  <c r="D150" i="1"/>
  <c r="L197" i="1"/>
  <c r="L196" i="1" s="1"/>
  <c r="L169" i="1"/>
  <c r="C194" i="1"/>
  <c r="C193" i="1" s="1"/>
  <c r="D208" i="1"/>
  <c r="L221" i="1"/>
  <c r="K260" i="1"/>
  <c r="B187" i="1"/>
  <c r="B61" i="1"/>
  <c r="B260" i="1"/>
  <c r="T44" i="1"/>
  <c r="T141" i="1"/>
  <c r="T62" i="1" s="1"/>
  <c r="T261" i="1"/>
  <c r="T263" i="1" s="1"/>
  <c r="O44" i="1"/>
  <c r="O180" i="1"/>
  <c r="O121" i="1" s="1"/>
  <c r="B44" i="1"/>
  <c r="C218" i="1"/>
  <c r="B180" i="1"/>
  <c r="B121" i="1" s="1"/>
  <c r="B141" i="1"/>
  <c r="B62" i="1" s="1"/>
  <c r="K261" i="1"/>
  <c r="K263" i="1" s="1"/>
  <c r="K218" i="1"/>
  <c r="K141" i="1"/>
  <c r="K62" i="1" s="1"/>
  <c r="K44" i="1"/>
  <c r="K180" i="1"/>
  <c r="K121" i="1" s="1"/>
  <c r="K61" i="1"/>
  <c r="L219" i="1"/>
  <c r="K187" i="1"/>
  <c r="C180" i="1"/>
  <c r="C121" i="1" s="1"/>
  <c r="D221" i="1"/>
  <c r="C260" i="1"/>
  <c r="W261" i="1"/>
  <c r="W263" i="1" s="1"/>
  <c r="W218" i="1"/>
  <c r="W44" i="1"/>
  <c r="X261" i="1"/>
  <c r="X263" i="1" s="1"/>
  <c r="X218" i="1"/>
  <c r="U260" i="1"/>
  <c r="U187" i="1"/>
  <c r="M150" i="1"/>
  <c r="M40" i="1"/>
  <c r="S141" i="1"/>
  <c r="S62" i="1" s="1"/>
  <c r="S219" i="1"/>
  <c r="S61" i="1"/>
  <c r="Q194" i="1"/>
  <c r="Q193" i="1" s="1"/>
  <c r="R208" i="1"/>
  <c r="H194" i="1"/>
  <c r="I208" i="1"/>
  <c r="J169" i="1"/>
  <c r="D73" i="1"/>
  <c r="D120" i="1"/>
  <c r="K194" i="1"/>
  <c r="K193" i="1" s="1"/>
  <c r="K169" i="1"/>
  <c r="D194" i="1"/>
  <c r="D193" i="1" s="1"/>
  <c r="D169" i="1"/>
  <c r="I44" i="1"/>
  <c r="I218" i="1"/>
  <c r="J218" i="1"/>
  <c r="Q61" i="1"/>
  <c r="Q187" i="1"/>
  <c r="K40" i="1"/>
  <c r="K150" i="1"/>
  <c r="M218" i="1"/>
  <c r="L141" i="1"/>
  <c r="L62" i="1" s="1"/>
  <c r="D197" i="1"/>
  <c r="E209" i="1"/>
  <c r="W150" i="1"/>
  <c r="W40" i="1"/>
  <c r="S221" i="1"/>
  <c r="R260" i="1"/>
  <c r="V219" i="1"/>
  <c r="V260" i="1"/>
  <c r="N208" i="1"/>
  <c r="O208" i="1"/>
  <c r="K209" i="1"/>
  <c r="J197" i="1"/>
  <c r="AN173" i="1"/>
  <c r="AO221" i="1" s="1"/>
  <c r="Q219" i="1"/>
  <c r="L194" i="1"/>
  <c r="L208" i="1"/>
  <c r="M208" i="1"/>
  <c r="P194" i="1"/>
  <c r="P169" i="1"/>
  <c r="R194" i="1"/>
  <c r="R193" i="1" s="1"/>
  <c r="S208" i="1"/>
  <c r="C197" i="1"/>
  <c r="C209" i="1"/>
  <c r="O194" i="1"/>
  <c r="O193" i="1" s="1"/>
  <c r="O169" i="1"/>
  <c r="I261" i="1"/>
  <c r="I263" i="1" s="1"/>
  <c r="I141" i="1"/>
  <c r="I62" i="1" s="1"/>
  <c r="Q40" i="1"/>
  <c r="Q150" i="1"/>
  <c r="R215" i="1" s="1"/>
  <c r="R213" i="1" s="1"/>
  <c r="P187" i="1"/>
  <c r="G141" i="1"/>
  <c r="G62" i="1" s="1"/>
  <c r="G44" i="1"/>
  <c r="G180" i="1"/>
  <c r="G121" i="1" s="1"/>
  <c r="U218" i="1"/>
  <c r="U180" i="1"/>
  <c r="U121" i="1" s="1"/>
  <c r="U44" i="1"/>
  <c r="U141" i="1"/>
  <c r="U62" i="1" s="1"/>
  <c r="V218" i="1"/>
  <c r="S260" i="1"/>
  <c r="S187" i="1"/>
  <c r="Q261" i="1"/>
  <c r="Q263" i="1" s="1"/>
  <c r="R261" i="1"/>
  <c r="R263" i="1" s="1"/>
  <c r="Q218" i="1"/>
  <c r="H208" i="1"/>
  <c r="H169" i="1"/>
  <c r="AV173" i="1"/>
  <c r="AW221" i="1" s="1"/>
  <c r="BN173" i="1"/>
  <c r="BO221" i="1" s="1"/>
  <c r="I169" i="1"/>
  <c r="I209" i="1"/>
  <c r="I197" i="1"/>
  <c r="J209" i="1"/>
  <c r="Q197" i="1"/>
  <c r="Q169" i="1"/>
  <c r="Q209" i="1"/>
  <c r="R209" i="1"/>
  <c r="BR146" i="1"/>
  <c r="AX173" i="1"/>
  <c r="AY221" i="1" s="1"/>
  <c r="BS140" i="1"/>
  <c r="P141" i="1"/>
  <c r="P62" i="1" s="1"/>
  <c r="P218" i="1"/>
  <c r="P180" i="1"/>
  <c r="P121" i="1" s="1"/>
  <c r="P261" i="1"/>
  <c r="P263" i="1" s="1"/>
  <c r="P44" i="1"/>
  <c r="H221" i="1"/>
  <c r="G260" i="1"/>
  <c r="T194" i="1"/>
  <c r="T169" i="1"/>
  <c r="F218" i="1"/>
  <c r="E180" i="1"/>
  <c r="E121" i="1" s="1"/>
  <c r="E44" i="1"/>
  <c r="O261" i="1"/>
  <c r="O263" i="1" s="1"/>
  <c r="N141" i="1"/>
  <c r="N62" i="1" s="1"/>
  <c r="N261" i="1"/>
  <c r="N263" i="1" s="1"/>
  <c r="N44" i="1"/>
  <c r="N218" i="1"/>
  <c r="N180" i="1"/>
  <c r="N121" i="1" s="1"/>
  <c r="L180" i="1"/>
  <c r="L121" i="1" s="1"/>
  <c r="L44" i="1"/>
  <c r="L261" i="1"/>
  <c r="L263" i="1" s="1"/>
  <c r="L218" i="1"/>
  <c r="P219" i="1"/>
  <c r="P61" i="1"/>
  <c r="P260" i="1"/>
  <c r="B169" i="1"/>
  <c r="B194" i="1"/>
  <c r="C208" i="1"/>
  <c r="O150" i="1"/>
  <c r="O40" i="1"/>
  <c r="M221" i="1"/>
  <c r="L260" i="1"/>
  <c r="V61" i="1"/>
  <c r="V141" i="1"/>
  <c r="V62" i="1" s="1"/>
  <c r="V187" i="1"/>
  <c r="Q141" i="1"/>
  <c r="Q62" i="1" s="1"/>
  <c r="R218" i="1"/>
  <c r="Q44" i="1"/>
  <c r="K197" i="1"/>
  <c r="L209" i="1"/>
  <c r="N194" i="1"/>
  <c r="N169" i="1"/>
  <c r="E197" i="1"/>
  <c r="F209" i="1"/>
  <c r="E169" i="1"/>
  <c r="G197" i="1"/>
  <c r="G169" i="1"/>
  <c r="G209" i="1"/>
  <c r="O197" i="1"/>
  <c r="O209" i="1"/>
  <c r="U197" i="1"/>
  <c r="U169" i="1"/>
  <c r="M261" i="1"/>
  <c r="M263" i="1" s="1"/>
  <c r="M44" i="1"/>
  <c r="M141" i="1"/>
  <c r="M62" i="1" s="1"/>
  <c r="M180" i="1"/>
  <c r="M121" i="1" s="1"/>
  <c r="V150" i="1"/>
  <c r="V40" i="1"/>
  <c r="V197" i="1"/>
  <c r="V169" i="1"/>
  <c r="V209" i="1"/>
  <c r="AZ146" i="1"/>
  <c r="BP146" i="1"/>
  <c r="BT173" i="1"/>
  <c r="BU221" i="1" s="1"/>
  <c r="BP173" i="1"/>
  <c r="BQ221" i="1" s="1"/>
  <c r="BB173" i="1"/>
  <c r="AZ173" i="1"/>
  <c r="BA221" i="1" s="1"/>
  <c r="BE140" i="1"/>
  <c r="AR173" i="1"/>
  <c r="AS221" i="1" s="1"/>
  <c r="AQ152" i="1"/>
  <c r="AW152" i="1"/>
  <c r="AX214" i="1" s="1"/>
  <c r="AQ154" i="1"/>
  <c r="AP160" i="1"/>
  <c r="AP194" i="1" s="1"/>
  <c r="AP193" i="1" s="1"/>
  <c r="AS136" i="1"/>
  <c r="AS140" i="1" s="1"/>
  <c r="AR140" i="1"/>
  <c r="AU129" i="1"/>
  <c r="AT132" i="1"/>
  <c r="AT99" i="1" s="1"/>
  <c r="AS129" i="1"/>
  <c r="AR132" i="1"/>
  <c r="AX132" i="1"/>
  <c r="AY129" i="1"/>
  <c r="AY136" i="1"/>
  <c r="AY140" i="1" s="1"/>
  <c r="AX140" i="1"/>
  <c r="BO152" i="1"/>
  <c r="BN214" i="1"/>
  <c r="BT146" i="1"/>
  <c r="AT146" i="1"/>
  <c r="BF173" i="1"/>
  <c r="BG221" i="1" s="1"/>
  <c r="BF146" i="1"/>
  <c r="AV146" i="1"/>
  <c r="BD146" i="1"/>
  <c r="AP146" i="1"/>
  <c r="M209" i="1"/>
  <c r="N209" i="1"/>
  <c r="M169" i="1"/>
  <c r="M197" i="1"/>
  <c r="R197" i="1"/>
  <c r="R169" i="1"/>
  <c r="R177" i="1" s="1"/>
  <c r="AU154" i="1"/>
  <c r="AT160" i="1"/>
  <c r="BC129" i="1"/>
  <c r="BB132" i="1"/>
  <c r="BB99" i="1" s="1"/>
  <c r="AO136" i="1"/>
  <c r="AO140" i="1" s="1"/>
  <c r="AN140" i="1"/>
  <c r="AR192" i="1"/>
  <c r="AS192" i="1" s="1"/>
  <c r="AR160" i="1"/>
  <c r="AR194" i="1" s="1"/>
  <c r="AO129" i="1"/>
  <c r="AN132" i="1"/>
  <c r="BC136" i="1"/>
  <c r="BC140" i="1" s="1"/>
  <c r="BB140" i="1"/>
  <c r="BU152" i="1"/>
  <c r="BV214" i="1" s="1"/>
  <c r="BE129" i="1"/>
  <c r="BD132" i="1"/>
  <c r="AU162" i="1"/>
  <c r="AT168" i="1"/>
  <c r="AT197" i="1" s="1"/>
  <c r="AT196" i="1" s="1"/>
  <c r="AY161" i="1"/>
  <c r="AX168" i="1"/>
  <c r="AX197" i="1" s="1"/>
  <c r="AX196" i="1" s="1"/>
  <c r="BO136" i="1"/>
  <c r="BO140" i="1" s="1"/>
  <c r="BN140" i="1"/>
  <c r="AW136" i="1"/>
  <c r="AW140" i="1" s="1"/>
  <c r="AV140" i="1"/>
  <c r="AO154" i="1"/>
  <c r="AN160" i="1"/>
  <c r="BS152" i="1"/>
  <c r="BR214" i="1"/>
  <c r="BU136" i="1"/>
  <c r="BU140" i="1" s="1"/>
  <c r="BT140" i="1"/>
  <c r="AO152" i="1"/>
  <c r="AN214" i="1"/>
  <c r="BS129" i="1"/>
  <c r="BR132" i="1"/>
  <c r="BR99" i="1" s="1"/>
  <c r="BF214" i="1"/>
  <c r="AQ140" i="1"/>
  <c r="AT214" i="1"/>
  <c r="AI198" i="1"/>
  <c r="AN146" i="1"/>
  <c r="AP173" i="1"/>
  <c r="BT168" i="1"/>
  <c r="BT197" i="1" s="1"/>
  <c r="BT196" i="1" s="1"/>
  <c r="BN146" i="1"/>
  <c r="AX146" i="1"/>
  <c r="BB146" i="1"/>
  <c r="AT173" i="1"/>
  <c r="AU221" i="1" s="1"/>
  <c r="AZ132" i="1"/>
  <c r="BR173" i="1"/>
  <c r="AR168" i="1"/>
  <c r="BN132" i="1"/>
  <c r="AS214" i="1"/>
  <c r="BP168" i="1"/>
  <c r="BP197" i="1" s="1"/>
  <c r="BP196" i="1" s="1"/>
  <c r="BT132" i="1"/>
  <c r="BF140" i="1"/>
  <c r="BE214" i="1"/>
  <c r="BR168" i="1"/>
  <c r="BR197" i="1" s="1"/>
  <c r="BR196" i="1" s="1"/>
  <c r="BP160" i="1"/>
  <c r="BP194" i="1" s="1"/>
  <c r="BP193" i="1" s="1"/>
  <c r="AZ140" i="1"/>
  <c r="BQ214" i="1"/>
  <c r="BB168" i="1"/>
  <c r="BB197" i="1" s="1"/>
  <c r="BB196" i="1" s="1"/>
  <c r="AP140" i="1"/>
  <c r="AP132" i="1"/>
  <c r="AP99" i="1" s="1"/>
  <c r="BD168" i="1"/>
  <c r="BD197" i="1" s="1"/>
  <c r="BD196" i="1" s="1"/>
  <c r="BP132" i="1"/>
  <c r="BP99" i="1" s="1"/>
  <c r="BP101" i="1" s="1"/>
  <c r="BN168" i="1"/>
  <c r="BN197" i="1" s="1"/>
  <c r="AN168" i="1"/>
  <c r="AN197" i="1" s="1"/>
  <c r="BP140" i="1"/>
  <c r="BG140" i="1"/>
  <c r="BH218" i="1" s="1"/>
  <c r="BA140" i="1"/>
  <c r="AT140" i="1"/>
  <c r="AP168" i="1"/>
  <c r="BF168" i="1"/>
  <c r="BF197" i="1" s="1"/>
  <c r="BF196" i="1" s="1"/>
  <c r="AV168" i="1"/>
  <c r="AV197" i="1" s="1"/>
  <c r="AV196" i="1" s="1"/>
  <c r="BF132" i="1"/>
  <c r="BQ140" i="1"/>
  <c r="BR140" i="1"/>
  <c r="BD140" i="1"/>
  <c r="AZ168" i="1"/>
  <c r="AZ197" i="1" s="1"/>
  <c r="AZ196" i="1" s="1"/>
  <c r="AV132" i="1"/>
  <c r="AU140" i="1"/>
  <c r="AI196" i="1"/>
  <c r="AW155" i="1"/>
  <c r="AV160" i="1"/>
  <c r="BH169" i="1"/>
  <c r="BH177" i="1" s="1"/>
  <c r="BH141" i="1"/>
  <c r="AZ34" i="1"/>
  <c r="BK18" i="1"/>
  <c r="BC155" i="1"/>
  <c r="BB160" i="1"/>
  <c r="BG155" i="1"/>
  <c r="BF160" i="1"/>
  <c r="BE155" i="1"/>
  <c r="BD160" i="1"/>
  <c r="BO155" i="1"/>
  <c r="BN160" i="1"/>
  <c r="BU155" i="1"/>
  <c r="BT160" i="1"/>
  <c r="AY155" i="1"/>
  <c r="AX160" i="1"/>
  <c r="BS155" i="1"/>
  <c r="BR160" i="1"/>
  <c r="BA155" i="1"/>
  <c r="AZ160" i="1"/>
  <c r="AU214" i="1"/>
  <c r="AV214" i="1"/>
  <c r="BC109" i="1"/>
  <c r="BC111" i="1"/>
  <c r="BC110" i="1"/>
  <c r="O65" i="1"/>
  <c r="BF110" i="1"/>
  <c r="BF111" i="1"/>
  <c r="BF109" i="1"/>
  <c r="BB214" i="1"/>
  <c r="BA214" i="1"/>
  <c r="BH101" i="1"/>
  <c r="BH102" i="1"/>
  <c r="BK34" i="1"/>
  <c r="AW34" i="1"/>
  <c r="AU110" i="1"/>
  <c r="AU111" i="1"/>
  <c r="AU109" i="1"/>
  <c r="AY214" i="1"/>
  <c r="AZ214" i="1"/>
  <c r="BE34" i="1"/>
  <c r="BK19" i="1"/>
  <c r="BL19" i="1"/>
  <c r="BK23" i="1"/>
  <c r="AM59" i="1"/>
  <c r="AM131" i="1"/>
  <c r="AM132" i="1" s="1"/>
  <c r="AM141" i="1" s="1"/>
  <c r="AM205" i="1"/>
  <c r="AM207" i="1" s="1"/>
  <c r="AM73" i="1"/>
  <c r="AM76" i="1" s="1"/>
  <c r="AS19" i="1"/>
  <c r="AT19" i="1"/>
  <c r="AT34" i="1"/>
  <c r="AY34" i="1"/>
  <c r="AP237" i="1"/>
  <c r="AQ19" i="1"/>
  <c r="AZ19" i="1"/>
  <c r="AY23" i="1"/>
  <c r="AP23" i="1"/>
  <c r="AP18" i="1"/>
  <c r="BJ110" i="1"/>
  <c r="BJ111" i="1"/>
  <c r="BA34" i="1"/>
  <c r="BQ34" i="1"/>
  <c r="AP34" i="1"/>
  <c r="AQ200" i="1"/>
  <c r="BM34" i="1"/>
  <c r="BN110" i="1"/>
  <c r="BN111" i="1"/>
  <c r="BN109" i="1"/>
  <c r="BQ18" i="1"/>
  <c r="BM237" i="1"/>
  <c r="BM18" i="1"/>
  <c r="BR109" i="1"/>
  <c r="BR111" i="1"/>
  <c r="BR110" i="1"/>
  <c r="BU18" i="1"/>
  <c r="BQ23" i="1"/>
  <c r="BQ35" i="1" s="1"/>
  <c r="BQ19" i="1"/>
  <c r="BC214" i="1"/>
  <c r="BD214" i="1"/>
  <c r="BS109" i="1"/>
  <c r="BS110" i="1"/>
  <c r="BS111" i="1"/>
  <c r="BO110" i="1"/>
  <c r="BO111" i="1"/>
  <c r="BP110" i="1"/>
  <c r="BP111" i="1"/>
  <c r="BP109" i="1"/>
  <c r="BU34" i="1"/>
  <c r="BU23" i="1"/>
  <c r="BU111" i="1"/>
  <c r="BV99" i="1"/>
  <c r="BV260" i="1"/>
  <c r="BM23" i="1"/>
  <c r="BM19" i="1"/>
  <c r="BA18" i="1"/>
  <c r="BA19" i="1"/>
  <c r="AI34" i="1"/>
  <c r="BA26" i="1"/>
  <c r="BH34" i="1"/>
  <c r="AS23" i="1"/>
  <c r="AW18" i="1"/>
  <c r="BJ18" i="1"/>
  <c r="BF23" i="1"/>
  <c r="BF35" i="1" s="1"/>
  <c r="BJ37" i="1" s="1"/>
  <c r="BV34" i="1"/>
  <c r="BC34" i="1"/>
  <c r="AY200" i="1"/>
  <c r="BT237" i="1"/>
  <c r="AY191" i="1"/>
  <c r="AS195" i="1"/>
  <c r="BY18" i="1"/>
  <c r="BU200" i="1"/>
  <c r="F258" i="1"/>
  <c r="F256" i="1"/>
  <c r="R256" i="1"/>
  <c r="R258" i="1"/>
  <c r="BD18" i="1"/>
  <c r="BE19" i="1"/>
  <c r="BG237" i="1"/>
  <c r="BH18" i="1"/>
  <c r="BD23" i="1"/>
  <c r="BD34" i="1"/>
  <c r="BD200" i="1"/>
  <c r="BG109" i="1"/>
  <c r="BG111" i="1"/>
  <c r="BV19" i="1"/>
  <c r="BV200" i="1"/>
  <c r="BJ261" i="1"/>
  <c r="BJ218" i="1"/>
  <c r="BI261" i="1"/>
  <c r="BO18" i="1"/>
  <c r="BP19" i="1"/>
  <c r="BO34" i="1"/>
  <c r="BO23" i="1"/>
  <c r="BR237" i="1"/>
  <c r="V65" i="1"/>
  <c r="BX218" i="1"/>
  <c r="BX261" i="1"/>
  <c r="BW218" i="1"/>
  <c r="BW111" i="1"/>
  <c r="BW109" i="1"/>
  <c r="AT18" i="1"/>
  <c r="AW237" i="1"/>
  <c r="AU19" i="1"/>
  <c r="AT200" i="1"/>
  <c r="BR34" i="1"/>
  <c r="BV18" i="1"/>
  <c r="BS19" i="1"/>
  <c r="BU237" i="1"/>
  <c r="AR23" i="1"/>
  <c r="AR35" i="1" s="1"/>
  <c r="AR36" i="1" s="1"/>
  <c r="AU237" i="1"/>
  <c r="AS237" i="1"/>
  <c r="AT24" i="1"/>
  <c r="AT35" i="1"/>
  <c r="BV24" i="1"/>
  <c r="BZ25" i="1"/>
  <c r="N65" i="1"/>
  <c r="AL256" i="1"/>
  <c r="AJ19" i="1"/>
  <c r="AM18" i="1"/>
  <c r="AL237" i="1"/>
  <c r="AI23" i="1"/>
  <c r="BX109" i="1"/>
  <c r="BX110" i="1"/>
  <c r="BX111" i="1"/>
  <c r="BV110" i="1"/>
  <c r="BV111" i="1"/>
  <c r="AT110" i="1"/>
  <c r="AT111" i="1"/>
  <c r="AT109" i="1"/>
  <c r="BT111" i="1"/>
  <c r="BT110" i="1"/>
  <c r="BT109" i="1"/>
  <c r="BA35" i="1"/>
  <c r="BA24" i="1"/>
  <c r="BI23" i="1"/>
  <c r="BI200" i="1"/>
  <c r="BJ200" i="1"/>
  <c r="BL256" i="1"/>
  <c r="BL237" i="1"/>
  <c r="AW24" i="1"/>
  <c r="AW35" i="1"/>
  <c r="BA25" i="1"/>
  <c r="BP23" i="1"/>
  <c r="BP200" i="1"/>
  <c r="BS237" i="1"/>
  <c r="BQ200" i="1"/>
  <c r="BC195" i="1"/>
  <c r="AY18" i="1"/>
  <c r="AU23" i="1"/>
  <c r="AU34" i="1"/>
  <c r="BV180" i="1"/>
  <c r="BV141" i="1"/>
  <c r="BS34" i="1"/>
  <c r="BW18" i="1"/>
  <c r="BS23" i="1"/>
  <c r="BT19" i="1"/>
  <c r="BS200" i="1"/>
  <c r="BX200" i="1"/>
  <c r="BW195" i="1"/>
  <c r="BV196" i="1"/>
  <c r="BE23" i="1"/>
  <c r="BE25" i="1" s="1"/>
  <c r="BE200" i="1"/>
  <c r="BI18" i="1"/>
  <c r="BF19" i="1"/>
  <c r="BE18" i="1"/>
  <c r="BC23" i="1"/>
  <c r="BC18" i="1"/>
  <c r="AW195" i="1"/>
  <c r="BD109" i="1"/>
  <c r="BD110" i="1"/>
  <c r="BD111" i="1"/>
  <c r="BK237" i="1"/>
  <c r="T65" i="1"/>
  <c r="BL200" i="1"/>
  <c r="BH200" i="1"/>
  <c r="AZ35" i="1"/>
  <c r="BF34" i="1"/>
  <c r="BR23" i="1"/>
  <c r="BV25" i="1" s="1"/>
  <c r="BG214" i="1"/>
  <c r="AX237" i="1"/>
  <c r="BF237" i="1"/>
  <c r="AV200" i="1"/>
  <c r="BF200" i="1"/>
  <c r="BK110" i="1"/>
  <c r="BK109" i="1"/>
  <c r="BS18" i="1"/>
  <c r="BR19" i="1"/>
  <c r="BT200" i="1"/>
  <c r="AY19" i="1"/>
  <c r="BI237" i="1"/>
  <c r="BG19" i="1"/>
  <c r="AZ24" i="1"/>
  <c r="BW261" i="1"/>
  <c r="BH180" i="1"/>
  <c r="BP34" i="1"/>
  <c r="AR34" i="1"/>
  <c r="BW110" i="1"/>
  <c r="BI218" i="1"/>
  <c r="AI193" i="1"/>
  <c r="BZ18" i="1"/>
  <c r="BZ200" i="1"/>
  <c r="BY110" i="1"/>
  <c r="P210" i="1"/>
  <c r="P211" i="1" s="1"/>
  <c r="AZ111" i="1"/>
  <c r="BK200" i="1"/>
  <c r="BH237" i="1"/>
  <c r="AR237" i="1"/>
  <c r="S65" i="1"/>
  <c r="W65" i="1"/>
  <c r="AV237" i="1"/>
  <c r="AS34" i="1"/>
  <c r="AS200" i="1"/>
  <c r="AN34" i="1"/>
  <c r="BU109" i="1"/>
  <c r="Q65" i="1"/>
  <c r="BE110" i="1"/>
  <c r="BV237" i="1"/>
  <c r="AP19" i="1"/>
  <c r="BV193" i="1"/>
  <c r="BA237" i="1"/>
  <c r="AZ200" i="1"/>
  <c r="AU18" i="1"/>
  <c r="AY237" i="1"/>
  <c r="AU200" i="1"/>
  <c r="BV198" i="1"/>
  <c r="BZ201" i="1" s="1"/>
  <c r="BP18" i="1"/>
  <c r="BJ19" i="1"/>
  <c r="BT34" i="1"/>
  <c r="BQ110" i="1"/>
  <c r="BQ111" i="1"/>
  <c r="BI34" i="1"/>
  <c r="AX34" i="1"/>
  <c r="AL109" i="1"/>
  <c r="AL110" i="1"/>
  <c r="BE109" i="1"/>
  <c r="AQ237" i="1"/>
  <c r="BH193" i="1"/>
  <c r="AQ110" i="1"/>
  <c r="BM200" i="1"/>
  <c r="BL111" i="1"/>
  <c r="BL109" i="1"/>
  <c r="BL110" i="1"/>
  <c r="BB19" i="1"/>
  <c r="BB200" i="1"/>
  <c r="R65" i="1"/>
  <c r="BD237" i="1"/>
  <c r="BB23" i="1"/>
  <c r="BN18" i="1"/>
  <c r="BN200" i="1"/>
  <c r="BN23" i="1"/>
  <c r="BN19" i="1"/>
  <c r="BR18" i="1"/>
  <c r="BR200" i="1"/>
  <c r="BZ110" i="1"/>
  <c r="BZ109" i="1"/>
  <c r="BZ111" i="1"/>
  <c r="AN109" i="1"/>
  <c r="AN110" i="1"/>
  <c r="AN111" i="1"/>
  <c r="BM111" i="1"/>
  <c r="BM109" i="1"/>
  <c r="BM110" i="1"/>
  <c r="AR109" i="1"/>
  <c r="AR110" i="1"/>
  <c r="AR111" i="1"/>
  <c r="U65" i="1"/>
  <c r="BE237" i="1"/>
  <c r="BQ237" i="1"/>
  <c r="BO19" i="1"/>
  <c r="AP200" i="1"/>
  <c r="AQ109" i="1"/>
  <c r="BB34" i="1"/>
  <c r="BX18" i="1"/>
  <c r="BU19" i="1"/>
  <c r="BT23" i="1"/>
  <c r="BY200" i="1"/>
  <c r="BW237" i="1"/>
  <c r="AX200" i="1"/>
  <c r="AX19" i="1"/>
  <c r="AX23" i="1"/>
  <c r="BB18" i="1"/>
  <c r="AZ237" i="1"/>
  <c r="BI146" i="1"/>
  <c r="AV111" i="1"/>
  <c r="AV110" i="1"/>
  <c r="AY109" i="1"/>
  <c r="AY110" i="1"/>
  <c r="AY111" i="1"/>
  <c r="AT237" i="1"/>
  <c r="P65" i="1"/>
  <c r="AQ23" i="1"/>
  <c r="AQ18" i="1"/>
  <c r="AR19" i="1"/>
  <c r="AX109" i="1"/>
  <c r="AX111" i="1"/>
  <c r="BH111" i="1"/>
  <c r="BH109" i="1"/>
  <c r="AX18" i="1"/>
  <c r="BV169" i="1"/>
  <c r="AR200" i="1"/>
  <c r="BC19" i="1"/>
  <c r="BP237" i="1"/>
  <c r="BC237" i="1"/>
  <c r="BO237" i="1"/>
  <c r="BB111" i="1"/>
  <c r="BB110" i="1"/>
  <c r="BB109" i="1"/>
  <c r="AO18" i="1"/>
  <c r="AS18" i="1"/>
  <c r="AO200" i="1"/>
  <c r="AO23" i="1"/>
  <c r="BH196" i="1"/>
  <c r="BI221" i="1"/>
  <c r="BH260" i="1"/>
  <c r="AO34" i="1"/>
  <c r="BX256" i="1"/>
  <c r="CA200" i="1"/>
  <c r="CB200" i="1"/>
  <c r="X65" i="1"/>
  <c r="BW23" i="1"/>
  <c r="BZ256" i="1"/>
  <c r="CA18" i="1"/>
  <c r="BW19" i="1"/>
  <c r="BY237" i="1"/>
  <c r="BZ237" i="1"/>
  <c r="BX19" i="1"/>
  <c r="BX237" i="1"/>
  <c r="AV34" i="1"/>
  <c r="AW200" i="1"/>
  <c r="AV23" i="1"/>
  <c r="AW19" i="1"/>
  <c r="BA200" i="1"/>
  <c r="AZ18" i="1"/>
  <c r="AN18" i="1"/>
  <c r="AO237" i="1"/>
  <c r="AN23" i="1"/>
  <c r="AN19" i="1"/>
  <c r="AN237" i="1"/>
  <c r="AO19" i="1"/>
  <c r="AR18" i="1"/>
  <c r="AS111" i="1"/>
  <c r="AS110" i="1"/>
  <c r="BH23" i="1"/>
  <c r="BL18" i="1"/>
  <c r="BI19" i="1"/>
  <c r="BT18" i="1"/>
  <c r="AV19" i="1"/>
  <c r="BN34" i="1"/>
  <c r="BI40" i="1"/>
  <c r="BC200" i="1"/>
  <c r="BI111" i="1"/>
  <c r="BB237" i="1"/>
  <c r="BO200" i="1"/>
  <c r="BI109" i="1"/>
  <c r="BN237" i="1"/>
  <c r="BA111" i="1"/>
  <c r="BA109" i="1"/>
  <c r="BA110" i="1"/>
  <c r="BG200" i="1"/>
  <c r="BG34" i="1"/>
  <c r="BJ237" i="1"/>
  <c r="BJ256" i="1"/>
  <c r="BH19" i="1"/>
  <c r="BG23" i="1"/>
  <c r="BW200" i="1"/>
  <c r="BV150" i="1"/>
  <c r="BW40" i="1"/>
  <c r="BW146" i="1"/>
  <c r="AP109" i="1"/>
  <c r="AP111" i="1"/>
  <c r="AP110" i="1"/>
  <c r="AW109" i="1"/>
  <c r="AW111" i="1"/>
  <c r="AW110" i="1"/>
  <c r="BF18" i="1"/>
  <c r="BV35" i="1"/>
  <c r="AO109" i="1"/>
  <c r="AO111" i="1"/>
  <c r="AO110" i="1"/>
  <c r="BW34" i="1"/>
  <c r="BD19" i="1"/>
  <c r="BG18" i="1"/>
  <c r="AN200" i="1"/>
  <c r="AV18" i="1"/>
  <c r="AQ34" i="1"/>
  <c r="BH198" i="1"/>
  <c r="BL201" i="1" s="1"/>
  <c r="BJ36" i="1"/>
  <c r="BJ41" i="1"/>
  <c r="BJ45" i="1" s="1"/>
  <c r="BJ244" i="1"/>
  <c r="BJ245" i="1" s="1"/>
  <c r="F196" i="1"/>
  <c r="CQ150" i="1"/>
  <c r="CR39" i="1"/>
  <c r="AE84" i="1"/>
  <c r="AB137" i="1"/>
  <c r="AB140" i="1" s="1"/>
  <c r="AB261" i="1" s="1"/>
  <c r="AD154" i="1"/>
  <c r="CZ72" i="1"/>
  <c r="CZ118" i="1" s="1"/>
  <c r="CZ114" i="1" s="1"/>
  <c r="DA70" i="1"/>
  <c r="T256" i="1" l="1"/>
  <c r="Y10" i="1"/>
  <c r="BT10" i="1"/>
  <c r="BP10" i="1"/>
  <c r="BV10" i="1"/>
  <c r="BR10" i="1"/>
  <c r="BU10" i="1"/>
  <c r="U210" i="1"/>
  <c r="U211" i="1" s="1"/>
  <c r="E217" i="1"/>
  <c r="W6" i="1"/>
  <c r="BW10" i="1"/>
  <c r="BS10" i="1"/>
  <c r="V6" i="1"/>
  <c r="AW214" i="1"/>
  <c r="B75" i="1"/>
  <c r="B76" i="1"/>
  <c r="T177" i="1"/>
  <c r="T178" i="1" s="1"/>
  <c r="AR150" i="1"/>
  <c r="AS40" i="1"/>
  <c r="F178" i="1"/>
  <c r="C217" i="1"/>
  <c r="T217" i="1"/>
  <c r="G217" i="1"/>
  <c r="V177" i="1"/>
  <c r="V178" i="1" s="1"/>
  <c r="AR193" i="1"/>
  <c r="C215" i="1"/>
  <c r="C213" i="1" s="1"/>
  <c r="BU214" i="1"/>
  <c r="C177" i="1"/>
  <c r="C256" i="1" s="1"/>
  <c r="R178" i="1"/>
  <c r="V217" i="1"/>
  <c r="J177" i="1"/>
  <c r="J178" i="1" s="1"/>
  <c r="S177" i="1"/>
  <c r="S178" i="1" s="1"/>
  <c r="N258" i="1"/>
  <c r="N256" i="1"/>
  <c r="U258" i="1"/>
  <c r="U256" i="1"/>
  <c r="U215" i="1"/>
  <c r="U213" i="1" s="1"/>
  <c r="H217" i="1"/>
  <c r="D215" i="1"/>
  <c r="D213" i="1" s="1"/>
  <c r="L177" i="1"/>
  <c r="L178" i="1" s="1"/>
  <c r="D210" i="1"/>
  <c r="D211" i="1" s="1"/>
  <c r="I217" i="1"/>
  <c r="L215" i="1"/>
  <c r="L213" i="1" s="1"/>
  <c r="M217" i="1"/>
  <c r="P177" i="1"/>
  <c r="P178" i="1" s="1"/>
  <c r="R217" i="1"/>
  <c r="N217" i="1"/>
  <c r="B177" i="1"/>
  <c r="N177" i="1"/>
  <c r="N178" i="1" s="1"/>
  <c r="U177" i="1"/>
  <c r="U178" i="1" s="1"/>
  <c r="L258" i="1"/>
  <c r="L256" i="1"/>
  <c r="J258" i="1"/>
  <c r="J256" i="1"/>
  <c r="K215" i="1"/>
  <c r="K213" i="1" s="1"/>
  <c r="S258" i="1"/>
  <c r="S215" i="1"/>
  <c r="S213" i="1" s="1"/>
  <c r="S256" i="1"/>
  <c r="T215" i="1"/>
  <c r="T213" i="1" s="1"/>
  <c r="C75" i="1"/>
  <c r="C76" i="1"/>
  <c r="F193" i="1"/>
  <c r="F198" i="1"/>
  <c r="H256" i="1"/>
  <c r="H258" i="1"/>
  <c r="K210" i="1"/>
  <c r="K211" i="1" s="1"/>
  <c r="H177" i="1"/>
  <c r="H178" i="1" s="1"/>
  <c r="BR261" i="1"/>
  <c r="G210" i="1"/>
  <c r="G211" i="1" s="1"/>
  <c r="P256" i="1"/>
  <c r="P258" i="1"/>
  <c r="X215" i="1"/>
  <c r="X213" i="1" s="1"/>
  <c r="W215" i="1"/>
  <c r="W213" i="1" s="1"/>
  <c r="S193" i="1"/>
  <c r="S198" i="1"/>
  <c r="T210" i="1"/>
  <c r="T211" i="1" s="1"/>
  <c r="S217" i="1"/>
  <c r="F217" i="1"/>
  <c r="K217" i="1"/>
  <c r="D123" i="1"/>
  <c r="D126" i="1" s="1"/>
  <c r="E210" i="1"/>
  <c r="E211" i="1" s="1"/>
  <c r="S210" i="1"/>
  <c r="S211" i="1" s="1"/>
  <c r="U217" i="1"/>
  <c r="J210" i="1"/>
  <c r="J211" i="1" s="1"/>
  <c r="F210" i="1"/>
  <c r="F211" i="1" s="1"/>
  <c r="D177" i="1"/>
  <c r="J217" i="1"/>
  <c r="H210" i="1"/>
  <c r="H211" i="1" s="1"/>
  <c r="I177" i="1"/>
  <c r="I178" i="1" s="1"/>
  <c r="Q210" i="1"/>
  <c r="Q211" i="1" s="1"/>
  <c r="L217" i="1"/>
  <c r="E177" i="1"/>
  <c r="E178" i="1" s="1"/>
  <c r="G177" i="1"/>
  <c r="G178" i="1" s="1"/>
  <c r="V210" i="1"/>
  <c r="V211" i="1" s="1"/>
  <c r="G215" i="1"/>
  <c r="G213" i="1" s="1"/>
  <c r="G256" i="1"/>
  <c r="G258" i="1"/>
  <c r="H215" i="1"/>
  <c r="H213" i="1" s="1"/>
  <c r="I215" i="1"/>
  <c r="I213" i="1" s="1"/>
  <c r="I256" i="1"/>
  <c r="I258" i="1"/>
  <c r="J215" i="1"/>
  <c r="J213" i="1" s="1"/>
  <c r="E256" i="1"/>
  <c r="E258" i="1"/>
  <c r="F215" i="1"/>
  <c r="F213" i="1" s="1"/>
  <c r="B122" i="1"/>
  <c r="B125" i="1" s="1"/>
  <c r="B123" i="1"/>
  <c r="B126" i="1" s="1"/>
  <c r="C122" i="1"/>
  <c r="C125" i="1" s="1"/>
  <c r="C123" i="1"/>
  <c r="C126" i="1" s="1"/>
  <c r="N215" i="1"/>
  <c r="N213" i="1" s="1"/>
  <c r="M215" i="1"/>
  <c r="M213" i="1" s="1"/>
  <c r="M256" i="1"/>
  <c r="M258" i="1"/>
  <c r="K177" i="1"/>
  <c r="K178" i="1" s="1"/>
  <c r="E215" i="1"/>
  <c r="E213" i="1" s="1"/>
  <c r="L193" i="1"/>
  <c r="L198" i="1"/>
  <c r="C210" i="1"/>
  <c r="C211" i="1" s="1"/>
  <c r="H193" i="1"/>
  <c r="H198" i="1"/>
  <c r="D196" i="1"/>
  <c r="D198" i="1"/>
  <c r="Q217" i="1"/>
  <c r="I210" i="1"/>
  <c r="I211" i="1" s="1"/>
  <c r="Q177" i="1"/>
  <c r="Q178" i="1" s="1"/>
  <c r="R210" i="1"/>
  <c r="R211" i="1" s="1"/>
  <c r="M210" i="1"/>
  <c r="M211" i="1" s="1"/>
  <c r="N210" i="1"/>
  <c r="N211" i="1" s="1"/>
  <c r="M177" i="1"/>
  <c r="M178" i="1" s="1"/>
  <c r="D76" i="1"/>
  <c r="D75" i="1"/>
  <c r="B198" i="1"/>
  <c r="B193" i="1"/>
  <c r="AR214" i="1"/>
  <c r="AQ214" i="1"/>
  <c r="O210" i="1"/>
  <c r="O211" i="1" s="1"/>
  <c r="BB180" i="1"/>
  <c r="J196" i="1"/>
  <c r="J198" i="1"/>
  <c r="L210" i="1"/>
  <c r="L211" i="1" s="1"/>
  <c r="AV180" i="1"/>
  <c r="P217" i="1"/>
  <c r="K256" i="1"/>
  <c r="K258" i="1"/>
  <c r="C196" i="1"/>
  <c r="C198" i="1"/>
  <c r="BS40" i="1"/>
  <c r="BS146" i="1"/>
  <c r="BR150" i="1"/>
  <c r="V215" i="1"/>
  <c r="V213" i="1" s="1"/>
  <c r="V256" i="1"/>
  <c r="V258" i="1"/>
  <c r="AQ261" i="1"/>
  <c r="AN99" i="1"/>
  <c r="AN102" i="1" s="1"/>
  <c r="AN260" i="1"/>
  <c r="P198" i="1"/>
  <c r="P193" i="1"/>
  <c r="O177" i="1"/>
  <c r="O178" i="1" s="1"/>
  <c r="AV261" i="1"/>
  <c r="Q258" i="1"/>
  <c r="Q256" i="1"/>
  <c r="Q215" i="1"/>
  <c r="Q213" i="1" s="1"/>
  <c r="O258" i="1"/>
  <c r="P215" i="1"/>
  <c r="P213" i="1" s="1"/>
  <c r="P225" i="1" s="1"/>
  <c r="AR218" i="1"/>
  <c r="AR261" i="1"/>
  <c r="AO146" i="1"/>
  <c r="AO40" i="1"/>
  <c r="AN150" i="1"/>
  <c r="AN258" i="1" s="1"/>
  <c r="BC40" i="1"/>
  <c r="BB150" i="1"/>
  <c r="BC146" i="1"/>
  <c r="Q198" i="1"/>
  <c r="Q196" i="1"/>
  <c r="AV218" i="1"/>
  <c r="BT141" i="1"/>
  <c r="I196" i="1"/>
  <c r="I198" i="1"/>
  <c r="K196" i="1"/>
  <c r="K198" i="1"/>
  <c r="E196" i="1"/>
  <c r="E198" i="1"/>
  <c r="U196" i="1"/>
  <c r="U198" i="1"/>
  <c r="V196" i="1"/>
  <c r="V198" i="1"/>
  <c r="BN180" i="1"/>
  <c r="BN141" i="1"/>
  <c r="BC218" i="1"/>
  <c r="BC261" i="1"/>
  <c r="T198" i="1"/>
  <c r="T193" i="1"/>
  <c r="O215" i="1"/>
  <c r="O213" i="1" s="1"/>
  <c r="O256" i="1"/>
  <c r="N198" i="1"/>
  <c r="N193" i="1"/>
  <c r="G198" i="1"/>
  <c r="G196" i="1"/>
  <c r="O198" i="1"/>
  <c r="O196" i="1"/>
  <c r="BB141" i="1"/>
  <c r="AT260" i="1"/>
  <c r="AS218" i="1"/>
  <c r="AS261" i="1"/>
  <c r="AR180" i="1"/>
  <c r="AS44" i="1" s="1"/>
  <c r="AR141" i="1"/>
  <c r="AR99" i="1"/>
  <c r="AX99" i="1"/>
  <c r="AX260" i="1"/>
  <c r="BU40" i="1"/>
  <c r="BT150" i="1"/>
  <c r="BU146" i="1"/>
  <c r="BG146" i="1"/>
  <c r="BG40" i="1"/>
  <c r="BF150" i="1"/>
  <c r="AW40" i="1"/>
  <c r="AV150" i="1"/>
  <c r="AW146" i="1"/>
  <c r="BE40" i="1"/>
  <c r="BE146" i="1"/>
  <c r="BD150" i="1"/>
  <c r="AQ146" i="1"/>
  <c r="AP150" i="1"/>
  <c r="AQ40" i="1"/>
  <c r="R198" i="1"/>
  <c r="R196" i="1"/>
  <c r="AT194" i="1"/>
  <c r="AT169" i="1"/>
  <c r="BB102" i="1"/>
  <c r="BB103" i="1"/>
  <c r="BB101" i="1"/>
  <c r="AO261" i="1"/>
  <c r="AO218" i="1"/>
  <c r="AN261" i="1"/>
  <c r="AN218" i="1"/>
  <c r="AN141" i="1"/>
  <c r="AN180" i="1"/>
  <c r="BN150" i="1"/>
  <c r="BO146" i="1"/>
  <c r="BO40" i="1"/>
  <c r="AY146" i="1"/>
  <c r="AX150" i="1"/>
  <c r="AY40" i="1"/>
  <c r="AR197" i="1"/>
  <c r="AR169" i="1"/>
  <c r="BN260" i="1"/>
  <c r="BN99" i="1"/>
  <c r="BF218" i="1"/>
  <c r="BF180" i="1"/>
  <c r="BP261" i="1"/>
  <c r="BP218" i="1"/>
  <c r="BP180" i="1"/>
  <c r="BR141" i="1"/>
  <c r="BS261" i="1"/>
  <c r="BS218" i="1"/>
  <c r="BR180" i="1"/>
  <c r="BA146" i="1"/>
  <c r="BA40" i="1"/>
  <c r="AZ150" i="1"/>
  <c r="BQ40" i="1"/>
  <c r="BP150" i="1"/>
  <c r="BQ146" i="1"/>
  <c r="BC221" i="1"/>
  <c r="BB260" i="1"/>
  <c r="AR260" i="1"/>
  <c r="AX218" i="1"/>
  <c r="AX180" i="1"/>
  <c r="AX141" i="1"/>
  <c r="AX261" i="1"/>
  <c r="BO214" i="1"/>
  <c r="BP214" i="1"/>
  <c r="AT150" i="1"/>
  <c r="AU40" i="1"/>
  <c r="AU146" i="1"/>
  <c r="BD99" i="1"/>
  <c r="BD260" i="1"/>
  <c r="BO218" i="1"/>
  <c r="BO261" i="1"/>
  <c r="BN261" i="1"/>
  <c r="BN218" i="1"/>
  <c r="AW261" i="1"/>
  <c r="AW218" i="1"/>
  <c r="AN194" i="1"/>
  <c r="AN169" i="1"/>
  <c r="BT214" i="1"/>
  <c r="BS214" i="1"/>
  <c r="BV261" i="1"/>
  <c r="BU261" i="1"/>
  <c r="BU218" i="1"/>
  <c r="BV218" i="1"/>
  <c r="BT180" i="1"/>
  <c r="BT261" i="1"/>
  <c r="BT218" i="1"/>
  <c r="AP214" i="1"/>
  <c r="AO214" i="1"/>
  <c r="M198" i="1"/>
  <c r="M196" i="1"/>
  <c r="AZ180" i="1"/>
  <c r="AZ261" i="1"/>
  <c r="AZ141" i="1"/>
  <c r="AZ218" i="1"/>
  <c r="AN196" i="1"/>
  <c r="AT141" i="1"/>
  <c r="AT261" i="1"/>
  <c r="AT218" i="1"/>
  <c r="AT180" i="1"/>
  <c r="BD218" i="1"/>
  <c r="BD141" i="1"/>
  <c r="BE261" i="1"/>
  <c r="BE218" i="1"/>
  <c r="BD180" i="1"/>
  <c r="BD261" i="1"/>
  <c r="AV99" i="1"/>
  <c r="AV260" i="1"/>
  <c r="AQ218" i="1"/>
  <c r="AP218" i="1"/>
  <c r="AP261" i="1"/>
  <c r="BG261" i="1"/>
  <c r="BH261" i="1"/>
  <c r="BB218" i="1"/>
  <c r="BA261" i="1"/>
  <c r="BB261" i="1"/>
  <c r="BA218" i="1"/>
  <c r="AU218" i="1"/>
  <c r="AU261" i="1"/>
  <c r="BP198" i="1"/>
  <c r="BP201" i="1" s="1"/>
  <c r="BR218" i="1"/>
  <c r="AY218" i="1"/>
  <c r="AY261" i="1"/>
  <c r="AQ221" i="1"/>
  <c r="AP260" i="1"/>
  <c r="AZ99" i="1"/>
  <c r="AZ260" i="1"/>
  <c r="BS221" i="1"/>
  <c r="BR260" i="1"/>
  <c r="BT99" i="1"/>
  <c r="BT260" i="1"/>
  <c r="BF261" i="1"/>
  <c r="BF141" i="1"/>
  <c r="AP180" i="1"/>
  <c r="AP141" i="1"/>
  <c r="AP102" i="1"/>
  <c r="AP101" i="1"/>
  <c r="AP103" i="1"/>
  <c r="AP197" i="1"/>
  <c r="AP169" i="1"/>
  <c r="BF99" i="1"/>
  <c r="BF260" i="1"/>
  <c r="BP103" i="1"/>
  <c r="AV141" i="1"/>
  <c r="BQ261" i="1"/>
  <c r="BP260" i="1"/>
  <c r="BP141" i="1"/>
  <c r="BP169" i="1"/>
  <c r="BG218" i="1"/>
  <c r="BQ218" i="1"/>
  <c r="BP102" i="1"/>
  <c r="AV194" i="1"/>
  <c r="AV198" i="1" s="1"/>
  <c r="AV169" i="1"/>
  <c r="BH178" i="1"/>
  <c r="BB194" i="1"/>
  <c r="BB169" i="1"/>
  <c r="BD194" i="1"/>
  <c r="BD169" i="1"/>
  <c r="AX194" i="1"/>
  <c r="AX169" i="1"/>
  <c r="BF194" i="1"/>
  <c r="BF169" i="1"/>
  <c r="BT194" i="1"/>
  <c r="BT169" i="1"/>
  <c r="BR194" i="1"/>
  <c r="BR198" i="1" s="1"/>
  <c r="BV201" i="1" s="1"/>
  <c r="BR169" i="1"/>
  <c r="BN194" i="1"/>
  <c r="BN169" i="1"/>
  <c r="AZ194" i="1"/>
  <c r="AZ169" i="1"/>
  <c r="BV103" i="1"/>
  <c r="BV102" i="1"/>
  <c r="BA262" i="1"/>
  <c r="AP26" i="1"/>
  <c r="BL26" i="1"/>
  <c r="BK24" i="1"/>
  <c r="BK35" i="1"/>
  <c r="BK26" i="1"/>
  <c r="AM61" i="1"/>
  <c r="AM219" i="1"/>
  <c r="AM217" i="1" s="1"/>
  <c r="AM62" i="1"/>
  <c r="AM99" i="1"/>
  <c r="AM93" i="1"/>
  <c r="AM92" i="1"/>
  <c r="AM94" i="1"/>
  <c r="AY35" i="1"/>
  <c r="AY24" i="1"/>
  <c r="AZ26" i="1"/>
  <c r="AT25" i="1"/>
  <c r="AP35" i="1"/>
  <c r="AP25" i="1"/>
  <c r="AP24" i="1"/>
  <c r="BQ24" i="1"/>
  <c r="BU25" i="1"/>
  <c r="BU35" i="1"/>
  <c r="BV26" i="1"/>
  <c r="BY25" i="1"/>
  <c r="BU24" i="1"/>
  <c r="BQ41" i="1"/>
  <c r="BQ45" i="1" s="1"/>
  <c r="BQ36" i="1"/>
  <c r="BQ244" i="1"/>
  <c r="BQ245" i="1" s="1"/>
  <c r="AS150" i="1"/>
  <c r="AT40" i="1"/>
  <c r="AS24" i="1"/>
  <c r="AS35" i="1"/>
  <c r="AS38" i="1" s="1"/>
  <c r="AT26" i="1"/>
  <c r="AW25" i="1"/>
  <c r="AR24" i="1"/>
  <c r="AS26" i="1"/>
  <c r="BI25" i="1"/>
  <c r="BI24" i="1"/>
  <c r="BM25" i="1"/>
  <c r="BI35" i="1"/>
  <c r="BJ26" i="1"/>
  <c r="BP35" i="1"/>
  <c r="BP25" i="1"/>
  <c r="BP24" i="1"/>
  <c r="BQ26" i="1"/>
  <c r="BN196" i="1"/>
  <c r="BM24" i="1"/>
  <c r="BQ25" i="1"/>
  <c r="BM35" i="1"/>
  <c r="BM26" i="1"/>
  <c r="BF24" i="1"/>
  <c r="BJ25" i="1"/>
  <c r="BE26" i="1"/>
  <c r="BS26" i="1"/>
  <c r="BD24" i="1"/>
  <c r="BD35" i="1"/>
  <c r="BD37" i="1" s="1"/>
  <c r="BD25" i="1"/>
  <c r="BE35" i="1"/>
  <c r="BE24" i="1"/>
  <c r="BF26" i="1"/>
  <c r="BC26" i="1"/>
  <c r="BT26" i="1"/>
  <c r="AU25" i="1"/>
  <c r="BW25" i="1"/>
  <c r="Q66" i="1"/>
  <c r="BF36" i="1"/>
  <c r="BF41" i="1"/>
  <c r="BF45" i="1" s="1"/>
  <c r="BF244" i="1"/>
  <c r="BF245" i="1" s="1"/>
  <c r="BO35" i="1"/>
  <c r="V66" i="1"/>
  <c r="BP26" i="1"/>
  <c r="BS25" i="1"/>
  <c r="BO25" i="1"/>
  <c r="BO24" i="1"/>
  <c r="AT41" i="1"/>
  <c r="AT45" i="1" s="1"/>
  <c r="AT36" i="1"/>
  <c r="AT244" i="1"/>
  <c r="AT245" i="1" s="1"/>
  <c r="AJ26" i="1"/>
  <c r="AI24" i="1"/>
  <c r="AM25" i="1"/>
  <c r="AI35" i="1"/>
  <c r="N66" i="1"/>
  <c r="BA36" i="1"/>
  <c r="BA244" i="1"/>
  <c r="BA245" i="1" s="1"/>
  <c r="BA41" i="1"/>
  <c r="BA45" i="1" s="1"/>
  <c r="BA37" i="1"/>
  <c r="AW244" i="1"/>
  <c r="AW245" i="1" s="1"/>
  <c r="AW36" i="1"/>
  <c r="AW41" i="1"/>
  <c r="AW45" i="1" s="1"/>
  <c r="AU26" i="1"/>
  <c r="AV26" i="1"/>
  <c r="AU35" i="1"/>
  <c r="AY25" i="1"/>
  <c r="AU24" i="1"/>
  <c r="BV121" i="1"/>
  <c r="BW44" i="1"/>
  <c r="BS35" i="1"/>
  <c r="BS24" i="1"/>
  <c r="BD26" i="1"/>
  <c r="S66" i="1"/>
  <c r="BC35" i="1"/>
  <c r="BC24" i="1"/>
  <c r="BC25" i="1"/>
  <c r="BA38" i="1"/>
  <c r="BH121" i="1"/>
  <c r="BI44" i="1"/>
  <c r="BR35" i="1"/>
  <c r="BR26" i="1"/>
  <c r="BR24" i="1"/>
  <c r="AZ36" i="1"/>
  <c r="AZ244" i="1"/>
  <c r="AZ245" i="1" s="1"/>
  <c r="AZ41" i="1"/>
  <c r="AZ45" i="1" s="1"/>
  <c r="AQ26" i="1"/>
  <c r="BH35" i="1"/>
  <c r="BH24" i="1"/>
  <c r="BL25" i="1"/>
  <c r="BH25" i="1"/>
  <c r="BB25" i="1"/>
  <c r="AX26" i="1"/>
  <c r="AX24" i="1"/>
  <c r="AX25" i="1"/>
  <c r="AX35" i="1"/>
  <c r="AT102" i="1"/>
  <c r="AT103" i="1"/>
  <c r="AT101" i="1"/>
  <c r="BN25" i="1"/>
  <c r="BR25" i="1"/>
  <c r="BN35" i="1"/>
  <c r="U66" i="1"/>
  <c r="BN24" i="1"/>
  <c r="BN26" i="1"/>
  <c r="AR244" i="1"/>
  <c r="AR245" i="1" s="1"/>
  <c r="BO26" i="1"/>
  <c r="BG26" i="1"/>
  <c r="BG25" i="1"/>
  <c r="BG24" i="1"/>
  <c r="BH26" i="1"/>
  <c r="BK25" i="1"/>
  <c r="T66" i="1"/>
  <c r="BG35" i="1"/>
  <c r="AN35" i="1"/>
  <c r="AO26" i="1"/>
  <c r="AN25" i="1"/>
  <c r="AR25" i="1"/>
  <c r="AN26" i="1"/>
  <c r="AN24" i="1"/>
  <c r="AV35" i="1"/>
  <c r="AV24" i="1"/>
  <c r="AW26" i="1"/>
  <c r="AV25" i="1"/>
  <c r="AZ25" i="1"/>
  <c r="BW26" i="1"/>
  <c r="BW24" i="1"/>
  <c r="X66" i="1"/>
  <c r="CA25" i="1"/>
  <c r="BX26" i="1"/>
  <c r="BW35" i="1"/>
  <c r="BU26" i="1"/>
  <c r="BT35" i="1"/>
  <c r="BX25" i="1"/>
  <c r="BT24" i="1"/>
  <c r="BT25" i="1"/>
  <c r="BV41" i="1"/>
  <c r="BV45" i="1" s="1"/>
  <c r="BZ37" i="1"/>
  <c r="BV36" i="1"/>
  <c r="BV244" i="1"/>
  <c r="BV245" i="1" s="1"/>
  <c r="BW150" i="1"/>
  <c r="BX40" i="1"/>
  <c r="AR41" i="1"/>
  <c r="AR45" i="1" s="1"/>
  <c r="AY26" i="1"/>
  <c r="BI26" i="1"/>
  <c r="BV256" i="1"/>
  <c r="BV258" i="1"/>
  <c r="BR103" i="1"/>
  <c r="BR101" i="1"/>
  <c r="BR102" i="1"/>
  <c r="AO25" i="1"/>
  <c r="AO35" i="1"/>
  <c r="AO24" i="1"/>
  <c r="AS25" i="1"/>
  <c r="BH258" i="1"/>
  <c r="BH256" i="1"/>
  <c r="O66" i="1"/>
  <c r="BV177" i="1"/>
  <c r="BV178" i="1" s="1"/>
  <c r="AQ35" i="1"/>
  <c r="P66" i="1"/>
  <c r="AQ25" i="1"/>
  <c r="AQ24" i="1"/>
  <c r="AR26" i="1"/>
  <c r="BJ40" i="1"/>
  <c r="BI150" i="1"/>
  <c r="BJ215" i="1" s="1"/>
  <c r="BJ213" i="1" s="1"/>
  <c r="BB24" i="1"/>
  <c r="R66" i="1"/>
  <c r="BB35" i="1"/>
  <c r="BF25" i="1"/>
  <c r="BB26" i="1"/>
  <c r="BJ48" i="1"/>
  <c r="BJ47" i="1"/>
  <c r="CR206" i="1"/>
  <c r="CR144" i="1"/>
  <c r="CQ215" i="1"/>
  <c r="CQ213" i="1" s="1"/>
  <c r="AB218" i="1"/>
  <c r="DB70" i="1"/>
  <c r="DB72" i="1" s="1"/>
  <c r="DB118" i="1" s="1"/>
  <c r="DB114" i="1" s="1"/>
  <c r="DA72" i="1"/>
  <c r="DA118" i="1" s="1"/>
  <c r="DA114" i="1" s="1"/>
  <c r="U225" i="1" l="1"/>
  <c r="W10" i="1"/>
  <c r="X10" i="1"/>
  <c r="AR177" i="1"/>
  <c r="AR258" i="1"/>
  <c r="AR256" i="1"/>
  <c r="B94" i="1"/>
  <c r="B92" i="1"/>
  <c r="B93" i="1"/>
  <c r="C178" i="1"/>
  <c r="V201" i="1"/>
  <c r="V202" i="1" s="1"/>
  <c r="K225" i="1"/>
  <c r="K222" i="1"/>
  <c r="K223" i="1" s="1"/>
  <c r="U222" i="1"/>
  <c r="U223" i="1" s="1"/>
  <c r="I225" i="1"/>
  <c r="D77" i="1"/>
  <c r="D222" i="1"/>
  <c r="D223" i="1" s="1"/>
  <c r="D225" i="1"/>
  <c r="M225" i="1"/>
  <c r="N225" i="1"/>
  <c r="B256" i="1"/>
  <c r="B178" i="1"/>
  <c r="C94" i="1"/>
  <c r="C92" i="1"/>
  <c r="C77" i="1"/>
  <c r="C93" i="1"/>
  <c r="B96" i="1"/>
  <c r="H222" i="1"/>
  <c r="H223" i="1" s="1"/>
  <c r="Q225" i="1"/>
  <c r="T222" i="1"/>
  <c r="T223" i="1" s="1"/>
  <c r="T225" i="1"/>
  <c r="D256" i="1"/>
  <c r="D178" i="1"/>
  <c r="J225" i="1"/>
  <c r="S222" i="1"/>
  <c r="S223" i="1" s="1"/>
  <c r="S225" i="1"/>
  <c r="Q222" i="1"/>
  <c r="Q223" i="1" s="1"/>
  <c r="I222" i="1"/>
  <c r="I223" i="1" s="1"/>
  <c r="P222" i="1"/>
  <c r="P223" i="1" s="1"/>
  <c r="J222" i="1"/>
  <c r="J223" i="1" s="1"/>
  <c r="H225" i="1"/>
  <c r="N222" i="1"/>
  <c r="N223" i="1" s="1"/>
  <c r="M222" i="1"/>
  <c r="M223" i="1" s="1"/>
  <c r="I201" i="1"/>
  <c r="I202" i="1" s="1"/>
  <c r="G222" i="1"/>
  <c r="G223" i="1" s="1"/>
  <c r="G225" i="1"/>
  <c r="F225" i="1"/>
  <c r="F222" i="1"/>
  <c r="F223" i="1" s="1"/>
  <c r="E222" i="1"/>
  <c r="E223" i="1" s="1"/>
  <c r="E225" i="1"/>
  <c r="C222" i="1"/>
  <c r="C223" i="1" s="1"/>
  <c r="C225" i="1"/>
  <c r="AW44" i="1"/>
  <c r="AV121" i="1"/>
  <c r="BS150" i="1"/>
  <c r="BT40" i="1"/>
  <c r="BR258" i="1"/>
  <c r="BR256" i="1"/>
  <c r="V222" i="1"/>
  <c r="V223" i="1" s="1"/>
  <c r="V225" i="1"/>
  <c r="AP40" i="1"/>
  <c r="AO150" i="1"/>
  <c r="AN101" i="1"/>
  <c r="AN103" i="1"/>
  <c r="O225" i="1"/>
  <c r="J201" i="1"/>
  <c r="J202" i="1" s="1"/>
  <c r="Q201" i="1"/>
  <c r="Q202" i="1" s="1"/>
  <c r="O222" i="1"/>
  <c r="O223" i="1" s="1"/>
  <c r="BR177" i="1"/>
  <c r="BR178" i="1" s="1"/>
  <c r="R222" i="1"/>
  <c r="R223" i="1" s="1"/>
  <c r="R225" i="1"/>
  <c r="BB121" i="1"/>
  <c r="BC44" i="1"/>
  <c r="L225" i="1"/>
  <c r="L222" i="1"/>
  <c r="L223" i="1" s="1"/>
  <c r="D92" i="1"/>
  <c r="D93" i="1"/>
  <c r="D94" i="1"/>
  <c r="C96" i="1"/>
  <c r="AR178" i="1"/>
  <c r="AN177" i="1"/>
  <c r="AN178" i="1" s="1"/>
  <c r="BP177" i="1"/>
  <c r="BP178" i="1" s="1"/>
  <c r="BA263" i="1"/>
  <c r="BN121" i="1"/>
  <c r="BO44" i="1"/>
  <c r="AZ40" i="1"/>
  <c r="AY150" i="1"/>
  <c r="L201" i="1"/>
  <c r="L202" i="1" s="1"/>
  <c r="K201" i="1"/>
  <c r="K202" i="1" s="1"/>
  <c r="E201" i="1"/>
  <c r="E202" i="1" s="1"/>
  <c r="F201" i="1"/>
  <c r="F202" i="1" s="1"/>
  <c r="H201" i="1"/>
  <c r="H202" i="1" s="1"/>
  <c r="G201" i="1"/>
  <c r="G202" i="1" s="1"/>
  <c r="BN215" i="1"/>
  <c r="BN213" i="1" s="1"/>
  <c r="BN258" i="1"/>
  <c r="BN256" i="1"/>
  <c r="BN103" i="1"/>
  <c r="BN102" i="1"/>
  <c r="BN101" i="1"/>
  <c r="BP121" i="1"/>
  <c r="BQ44" i="1"/>
  <c r="C201" i="1"/>
  <c r="C202" i="1" s="1"/>
  <c r="D201" i="1"/>
  <c r="D202" i="1" s="1"/>
  <c r="BB177" i="1"/>
  <c r="BB178" i="1" s="1"/>
  <c r="BF177" i="1"/>
  <c r="BF178" i="1" s="1"/>
  <c r="BT177" i="1"/>
  <c r="BT178" i="1" s="1"/>
  <c r="BF258" i="1"/>
  <c r="BF256" i="1"/>
  <c r="AP258" i="1"/>
  <c r="AP256" i="1"/>
  <c r="BG44" i="1"/>
  <c r="BF121" i="1"/>
  <c r="BD40" i="1"/>
  <c r="BC150" i="1"/>
  <c r="BN177" i="1"/>
  <c r="BN178" i="1" s="1"/>
  <c r="AZ177" i="1"/>
  <c r="AZ178" i="1" s="1"/>
  <c r="AN256" i="1"/>
  <c r="AN215" i="1"/>
  <c r="AN213" i="1" s="1"/>
  <c r="BT258" i="1"/>
  <c r="BT256" i="1"/>
  <c r="AW150" i="1"/>
  <c r="AX40" i="1"/>
  <c r="BS44" i="1"/>
  <c r="BR121" i="1"/>
  <c r="BA150" i="1"/>
  <c r="BB40" i="1"/>
  <c r="AZ256" i="1"/>
  <c r="AZ258" i="1"/>
  <c r="BR40" i="1"/>
  <c r="BQ150" i="1"/>
  <c r="AN193" i="1"/>
  <c r="AN198" i="1"/>
  <c r="BB258" i="1"/>
  <c r="BB256" i="1"/>
  <c r="BG150" i="1"/>
  <c r="BH40" i="1"/>
  <c r="AV256" i="1"/>
  <c r="AV258" i="1"/>
  <c r="BE150" i="1"/>
  <c r="BF40" i="1"/>
  <c r="BD256" i="1"/>
  <c r="BD258" i="1"/>
  <c r="S201" i="1"/>
  <c r="S202" i="1" s="1"/>
  <c r="R201" i="1"/>
  <c r="R202" i="1" s="1"/>
  <c r="AX258" i="1"/>
  <c r="AX256" i="1"/>
  <c r="AU44" i="1"/>
  <c r="AT121" i="1"/>
  <c r="AP177" i="1"/>
  <c r="AP178" i="1" s="1"/>
  <c r="BD177" i="1"/>
  <c r="BD178" i="1" s="1"/>
  <c r="AR101" i="1"/>
  <c r="AR103" i="1"/>
  <c r="AR102" i="1"/>
  <c r="AX103" i="1"/>
  <c r="AX101" i="1"/>
  <c r="BV40" i="1"/>
  <c r="BU150" i="1"/>
  <c r="AQ150" i="1"/>
  <c r="AR40" i="1"/>
  <c r="AT198" i="1"/>
  <c r="AT193" i="1"/>
  <c r="AO44" i="1"/>
  <c r="AN121" i="1"/>
  <c r="AR198" i="1"/>
  <c r="AR196" i="1"/>
  <c r="AV40" i="1"/>
  <c r="AU150" i="1"/>
  <c r="BD102" i="1"/>
  <c r="BD101" i="1"/>
  <c r="BD103" i="1"/>
  <c r="BU44" i="1"/>
  <c r="BT121" i="1"/>
  <c r="BE44" i="1"/>
  <c r="BD121" i="1"/>
  <c r="AV103" i="1"/>
  <c r="AV102" i="1"/>
  <c r="T201" i="1"/>
  <c r="T202" i="1" s="1"/>
  <c r="U201" i="1"/>
  <c r="U202" i="1" s="1"/>
  <c r="P201" i="1"/>
  <c r="P202" i="1" s="1"/>
  <c r="O201" i="1"/>
  <c r="O202" i="1" s="1"/>
  <c r="AV177" i="1"/>
  <c r="AV178" i="1" s="1"/>
  <c r="AX177" i="1"/>
  <c r="AX178" i="1" s="1"/>
  <c r="BP40" i="1"/>
  <c r="BO150" i="1"/>
  <c r="BP258" i="1"/>
  <c r="BP256" i="1"/>
  <c r="AY44" i="1"/>
  <c r="AX121" i="1"/>
  <c r="AT177" i="1"/>
  <c r="AT178" i="1" s="1"/>
  <c r="AT258" i="1"/>
  <c r="AT256" i="1"/>
  <c r="AP121" i="1"/>
  <c r="AQ44" i="1"/>
  <c r="AZ121" i="1"/>
  <c r="BA44" i="1"/>
  <c r="M201" i="1"/>
  <c r="M202" i="1" s="1"/>
  <c r="N201" i="1"/>
  <c r="N202" i="1" s="1"/>
  <c r="AZ103" i="1"/>
  <c r="AZ101" i="1"/>
  <c r="AP198" i="1"/>
  <c r="AP201" i="1" s="1"/>
  <c r="AP196" i="1"/>
  <c r="AX193" i="1"/>
  <c r="AX198" i="1"/>
  <c r="BF193" i="1"/>
  <c r="BF198" i="1"/>
  <c r="BJ201" i="1" s="1"/>
  <c r="BT103" i="1"/>
  <c r="BT102" i="1"/>
  <c r="BT101" i="1"/>
  <c r="BF102" i="1"/>
  <c r="BF103" i="1"/>
  <c r="BF101" i="1"/>
  <c r="AV193" i="1"/>
  <c r="BR193" i="1"/>
  <c r="BN193" i="1"/>
  <c r="BN198" i="1"/>
  <c r="BB198" i="1"/>
  <c r="BB193" i="1"/>
  <c r="BD193" i="1"/>
  <c r="BD198" i="1"/>
  <c r="BT198" i="1"/>
  <c r="BT193" i="1"/>
  <c r="BX215" i="1"/>
  <c r="BX213" i="1" s="1"/>
  <c r="BW215" i="1"/>
  <c r="BW213" i="1" s="1"/>
  <c r="AZ198" i="1"/>
  <c r="AZ201" i="1" s="1"/>
  <c r="AZ193" i="1"/>
  <c r="BA238" i="1"/>
  <c r="BL124" i="1"/>
  <c r="AQ262" i="1"/>
  <c r="AQ263" i="1" s="1"/>
  <c r="AT37" i="1"/>
  <c r="AQ38" i="1"/>
  <c r="BS238" i="1"/>
  <c r="BO37" i="1"/>
  <c r="BK37" i="1"/>
  <c r="BX238" i="1"/>
  <c r="BK38" i="1"/>
  <c r="BK36" i="1"/>
  <c r="BL38" i="1"/>
  <c r="BK244" i="1"/>
  <c r="BK245" i="1" s="1"/>
  <c r="BK41" i="1"/>
  <c r="BK45" i="1" s="1"/>
  <c r="BK262" i="1"/>
  <c r="BK263" i="1" s="1"/>
  <c r="BL262" i="1"/>
  <c r="BL263" i="1" s="1"/>
  <c r="AM101" i="1"/>
  <c r="AM102" i="1"/>
  <c r="AM103" i="1"/>
  <c r="AY36" i="1"/>
  <c r="AY244" i="1"/>
  <c r="AY245" i="1" s="1"/>
  <c r="AY41" i="1"/>
  <c r="AY45" i="1" s="1"/>
  <c r="AZ262" i="1"/>
  <c r="AZ263" i="1" s="1"/>
  <c r="AZ38" i="1"/>
  <c r="AP36" i="1"/>
  <c r="AP37" i="1"/>
  <c r="AP244" i="1"/>
  <c r="AP245" i="1" s="1"/>
  <c r="AP41" i="1"/>
  <c r="AP45" i="1" s="1"/>
  <c r="BV262" i="1"/>
  <c r="BV263" i="1" s="1"/>
  <c r="BV38" i="1"/>
  <c r="BM124" i="1"/>
  <c r="BM238" i="1"/>
  <c r="BU37" i="1"/>
  <c r="BU36" i="1"/>
  <c r="BU244" i="1"/>
  <c r="BU245" i="1" s="1"/>
  <c r="BY37" i="1"/>
  <c r="BU41" i="1"/>
  <c r="BU45" i="1" s="1"/>
  <c r="S67" i="1"/>
  <c r="BK124" i="1"/>
  <c r="U67" i="1"/>
  <c r="AS215" i="1"/>
  <c r="AS213" i="1" s="1"/>
  <c r="AT215" i="1"/>
  <c r="AT213" i="1" s="1"/>
  <c r="AS244" i="1"/>
  <c r="AS245" i="1" s="1"/>
  <c r="AS41" i="1"/>
  <c r="AS45" i="1" s="1"/>
  <c r="AW37" i="1"/>
  <c r="AT38" i="1"/>
  <c r="AS262" i="1"/>
  <c r="AS263" i="1" s="1"/>
  <c r="AS36" i="1"/>
  <c r="AT262" i="1"/>
  <c r="AT263" i="1" s="1"/>
  <c r="AS238" i="1"/>
  <c r="AS124" i="1"/>
  <c r="BF262" i="1"/>
  <c r="BF263" i="1" s="1"/>
  <c r="BE37" i="1"/>
  <c r="BI244" i="1"/>
  <c r="BI245" i="1" s="1"/>
  <c r="BI41" i="1"/>
  <c r="BI36" i="1"/>
  <c r="BL238" i="1"/>
  <c r="BJ38" i="1"/>
  <c r="BJ262" i="1"/>
  <c r="BJ263" i="1" s="1"/>
  <c r="BQ38" i="1"/>
  <c r="BP36" i="1"/>
  <c r="BP37" i="1"/>
  <c r="BP244" i="1"/>
  <c r="BP245" i="1" s="1"/>
  <c r="BP41" i="1"/>
  <c r="BP45" i="1" s="1"/>
  <c r="BQ262" i="1"/>
  <c r="BQ263" i="1" s="1"/>
  <c r="BM41" i="1"/>
  <c r="BM45" i="1" s="1"/>
  <c r="BM36" i="1"/>
  <c r="BQ37" i="1"/>
  <c r="BM38" i="1"/>
  <c r="BM37" i="1"/>
  <c r="BM244" i="1"/>
  <c r="BM245" i="1" s="1"/>
  <c r="BM262" i="1"/>
  <c r="BM263" i="1" s="1"/>
  <c r="BD262" i="1"/>
  <c r="BD263" i="1" s="1"/>
  <c r="O67" i="1"/>
  <c r="AP38" i="1"/>
  <c r="BE38" i="1"/>
  <c r="BD41" i="1"/>
  <c r="BD45" i="1" s="1"/>
  <c r="BD36" i="1"/>
  <c r="BD244" i="1"/>
  <c r="BD245" i="1" s="1"/>
  <c r="BE262" i="1"/>
  <c r="BE263" i="1" s="1"/>
  <c r="BI37" i="1"/>
  <c r="BE244" i="1"/>
  <c r="BE245" i="1" s="1"/>
  <c r="BE36" i="1"/>
  <c r="BE41" i="1"/>
  <c r="BE45" i="1" s="1"/>
  <c r="BF38" i="1"/>
  <c r="BF48" i="1"/>
  <c r="BF47" i="1"/>
  <c r="BO36" i="1"/>
  <c r="BO41" i="1"/>
  <c r="BO45" i="1" s="1"/>
  <c r="BO244" i="1"/>
  <c r="BO245" i="1" s="1"/>
  <c r="BP38" i="1"/>
  <c r="BP262" i="1"/>
  <c r="BP263" i="1" s="1"/>
  <c r="BH122" i="1"/>
  <c r="BH123" i="1"/>
  <c r="AX238" i="1"/>
  <c r="BT262" i="1"/>
  <c r="BT263" i="1" s="1"/>
  <c r="BC38" i="1"/>
  <c r="AJ38" i="1"/>
  <c r="AL124" i="1"/>
  <c r="AI36" i="1"/>
  <c r="AM37" i="1"/>
  <c r="AI41" i="1"/>
  <c r="N67" i="1"/>
  <c r="AL238" i="1"/>
  <c r="AI244" i="1"/>
  <c r="AI245" i="1" s="1"/>
  <c r="AW238" i="1"/>
  <c r="AU238" i="1"/>
  <c r="AW124" i="1"/>
  <c r="AU38" i="1"/>
  <c r="AU262" i="1"/>
  <c r="AU263" i="1" s="1"/>
  <c r="AU124" i="1"/>
  <c r="AV238" i="1"/>
  <c r="AU244" i="1"/>
  <c r="AU245" i="1" s="1"/>
  <c r="AU36" i="1"/>
  <c r="AU41" i="1"/>
  <c r="AU45" i="1" s="1"/>
  <c r="AY37" i="1"/>
  <c r="AV38" i="1"/>
  <c r="AV262" i="1"/>
  <c r="AV263" i="1" s="1"/>
  <c r="AU37" i="1"/>
  <c r="BV122" i="1"/>
  <c r="BV123" i="1"/>
  <c r="BS37" i="1"/>
  <c r="BS41" i="1"/>
  <c r="BS45" i="1" s="1"/>
  <c r="BS36" i="1"/>
  <c r="BS244" i="1"/>
  <c r="BS245" i="1" s="1"/>
  <c r="BS262" i="1"/>
  <c r="BS263" i="1" s="1"/>
  <c r="BD38" i="1"/>
  <c r="BG37" i="1"/>
  <c r="BF124" i="1"/>
  <c r="BC41" i="1"/>
  <c r="BC36" i="1"/>
  <c r="BC244" i="1"/>
  <c r="BC245" i="1" s="1"/>
  <c r="BF238" i="1"/>
  <c r="BC37" i="1"/>
  <c r="BV37" i="1"/>
  <c r="BS124" i="1"/>
  <c r="BT238" i="1"/>
  <c r="AQ238" i="1"/>
  <c r="AZ48" i="1"/>
  <c r="AZ47" i="1"/>
  <c r="BV238" i="1"/>
  <c r="BR262" i="1"/>
  <c r="BR263" i="1" s="1"/>
  <c r="BR36" i="1"/>
  <c r="BR38" i="1"/>
  <c r="BS38" i="1"/>
  <c r="V67" i="1"/>
  <c r="BR238" i="1"/>
  <c r="BR244" i="1"/>
  <c r="BR245" i="1" s="1"/>
  <c r="BR124" i="1"/>
  <c r="BR41" i="1"/>
  <c r="BN124" i="1"/>
  <c r="BN238" i="1"/>
  <c r="BA124" i="1"/>
  <c r="AX124" i="1"/>
  <c r="AY124" i="1"/>
  <c r="AY238" i="1"/>
  <c r="AY38" i="1"/>
  <c r="AY262" i="1"/>
  <c r="AY263" i="1" s="1"/>
  <c r="AZ124" i="1"/>
  <c r="BV124" i="1"/>
  <c r="AQ124" i="1"/>
  <c r="BT124" i="1"/>
  <c r="BT38" i="1"/>
  <c r="AR238" i="1"/>
  <c r="AP238" i="1"/>
  <c r="AP262" i="1"/>
  <c r="AP263" i="1" s="1"/>
  <c r="AP124" i="1"/>
  <c r="BK238" i="1"/>
  <c r="BX124" i="1"/>
  <c r="AV124" i="1"/>
  <c r="Q67" i="1"/>
  <c r="BI215" i="1"/>
  <c r="BI213" i="1" s="1"/>
  <c r="BV47" i="1"/>
  <c r="BV48" i="1"/>
  <c r="BD238" i="1"/>
  <c r="BC124" i="1"/>
  <c r="BC238" i="1"/>
  <c r="BB238" i="1"/>
  <c r="R67" i="1"/>
  <c r="AV41" i="1"/>
  <c r="AZ37" i="1"/>
  <c r="AV36" i="1"/>
  <c r="AV244" i="1"/>
  <c r="AV245" i="1" s="1"/>
  <c r="AW262" i="1"/>
  <c r="AW263" i="1" s="1"/>
  <c r="AW38" i="1"/>
  <c r="BG36" i="1"/>
  <c r="BH238" i="1"/>
  <c r="T67" i="1"/>
  <c r="BG124" i="1"/>
  <c r="BJ124" i="1"/>
  <c r="BG262" i="1"/>
  <c r="BG263" i="1" s="1"/>
  <c r="BI238" i="1"/>
  <c r="BG41" i="1"/>
  <c r="BI124" i="1"/>
  <c r="BG244" i="1"/>
  <c r="BG245" i="1" s="1"/>
  <c r="BH124" i="1"/>
  <c r="BJ238" i="1"/>
  <c r="BH38" i="1"/>
  <c r="BG238" i="1"/>
  <c r="BG38" i="1"/>
  <c r="BL37" i="1"/>
  <c r="BH36" i="1"/>
  <c r="BH41" i="1"/>
  <c r="BH45" i="1" s="1"/>
  <c r="BH244" i="1"/>
  <c r="BH245" i="1" s="1"/>
  <c r="BH262" i="1"/>
  <c r="BH263" i="1" s="1"/>
  <c r="BH37" i="1"/>
  <c r="BI262" i="1"/>
  <c r="BI263" i="1" s="1"/>
  <c r="BI38" i="1"/>
  <c r="BW37" i="1"/>
  <c r="AN262" i="1"/>
  <c r="AN263" i="1" s="1"/>
  <c r="AN41" i="1"/>
  <c r="AO238" i="1"/>
  <c r="AN38" i="1"/>
  <c r="AN36" i="1"/>
  <c r="AN244" i="1"/>
  <c r="AN245" i="1" s="1"/>
  <c r="AN238" i="1"/>
  <c r="AR37" i="1"/>
  <c r="AO124" i="1"/>
  <c r="AN124" i="1"/>
  <c r="AO38" i="1"/>
  <c r="AN37" i="1"/>
  <c r="BW38" i="1"/>
  <c r="BN41" i="1"/>
  <c r="BP238" i="1"/>
  <c r="BO238" i="1"/>
  <c r="BR37" i="1"/>
  <c r="BQ124" i="1"/>
  <c r="BN36" i="1"/>
  <c r="BO38" i="1"/>
  <c r="BN38" i="1"/>
  <c r="BN244" i="1"/>
  <c r="BN245" i="1" s="1"/>
  <c r="BO262" i="1"/>
  <c r="BO263" i="1" s="1"/>
  <c r="BN262" i="1"/>
  <c r="BN263" i="1" s="1"/>
  <c r="BN37" i="1"/>
  <c r="BP124" i="1"/>
  <c r="BQ238" i="1"/>
  <c r="BO124" i="1"/>
  <c r="AX262" i="1"/>
  <c r="AX263" i="1" s="1"/>
  <c r="AX244" i="1"/>
  <c r="AX245" i="1" s="1"/>
  <c r="AX37" i="1"/>
  <c r="BB37" i="1"/>
  <c r="AZ238" i="1"/>
  <c r="AX41" i="1"/>
  <c r="AX38" i="1"/>
  <c r="AX36" i="1"/>
  <c r="BB41" i="1"/>
  <c r="BF37" i="1"/>
  <c r="BB244" i="1"/>
  <c r="BB245" i="1" s="1"/>
  <c r="BB124" i="1"/>
  <c r="BD124" i="1"/>
  <c r="BB36" i="1"/>
  <c r="BB262" i="1"/>
  <c r="BB263" i="1" s="1"/>
  <c r="BB38" i="1"/>
  <c r="BW238" i="1"/>
  <c r="BW244" i="1"/>
  <c r="BW245" i="1" s="1"/>
  <c r="BX38" i="1"/>
  <c r="X67" i="1"/>
  <c r="BW36" i="1"/>
  <c r="BZ124" i="1"/>
  <c r="BZ238" i="1"/>
  <c r="BW262" i="1"/>
  <c r="BW263" i="1" s="1"/>
  <c r="BW41" i="1"/>
  <c r="BY124" i="1"/>
  <c r="CA37" i="1"/>
  <c r="BX262" i="1"/>
  <c r="BX263" i="1" s="1"/>
  <c r="BY238" i="1"/>
  <c r="BC262" i="1"/>
  <c r="BC263" i="1" s="1"/>
  <c r="BE238" i="1"/>
  <c r="BE124" i="1"/>
  <c r="AQ36" i="1"/>
  <c r="AT238" i="1"/>
  <c r="AQ244" i="1"/>
  <c r="AQ245" i="1" s="1"/>
  <c r="P67" i="1"/>
  <c r="AQ41" i="1"/>
  <c r="AQ37" i="1"/>
  <c r="AR38" i="1"/>
  <c r="AR262" i="1"/>
  <c r="AR263" i="1" s="1"/>
  <c r="AT124" i="1"/>
  <c r="AO244" i="1"/>
  <c r="AO245" i="1" s="1"/>
  <c r="AO41" i="1"/>
  <c r="AO45" i="1" s="1"/>
  <c r="AO47" i="1" s="1"/>
  <c r="AR124" i="1"/>
  <c r="AO262" i="1"/>
  <c r="AO263" i="1" s="1"/>
  <c r="AO37" i="1"/>
  <c r="AS37" i="1"/>
  <c r="AO36" i="1"/>
  <c r="AR48" i="1"/>
  <c r="AR47" i="1"/>
  <c r="BT41" i="1"/>
  <c r="BU262" i="1"/>
  <c r="BU263" i="1" s="1"/>
  <c r="BT36" i="1"/>
  <c r="BX37" i="1"/>
  <c r="BU38" i="1"/>
  <c r="BT244" i="1"/>
  <c r="BT245" i="1" s="1"/>
  <c r="BT37" i="1"/>
  <c r="BW124" i="1"/>
  <c r="BU124" i="1"/>
  <c r="AV37" i="1"/>
  <c r="BJ246" i="1"/>
  <c r="BJ49" i="1"/>
  <c r="BJ257" i="1" s="1"/>
  <c r="BJ55" i="1"/>
  <c r="BQ47" i="1"/>
  <c r="BQ48" i="1"/>
  <c r="BA48" i="1"/>
  <c r="BA47" i="1"/>
  <c r="AW47" i="1"/>
  <c r="AW48" i="1"/>
  <c r="AT48" i="1"/>
  <c r="AT47" i="1"/>
  <c r="CR146" i="1"/>
  <c r="AE154" i="1"/>
  <c r="AC136" i="1"/>
  <c r="AV122" i="1" l="1"/>
  <c r="AV125" i="1" s="1"/>
  <c r="AV123" i="1"/>
  <c r="AV126" i="1" s="1"/>
  <c r="BT215" i="1"/>
  <c r="BT213" i="1" s="1"/>
  <c r="BS215" i="1"/>
  <c r="BS213" i="1" s="1"/>
  <c r="AP215" i="1"/>
  <c r="AP213" i="1" s="1"/>
  <c r="AO215" i="1"/>
  <c r="AO213" i="1" s="1"/>
  <c r="BB123" i="1"/>
  <c r="BB126" i="1" s="1"/>
  <c r="BB122" i="1"/>
  <c r="BB125" i="1" s="1"/>
  <c r="BN123" i="1"/>
  <c r="BN126" i="1" s="1"/>
  <c r="BN122" i="1"/>
  <c r="BN125" i="1" s="1"/>
  <c r="BP122" i="1"/>
  <c r="BP125" i="1" s="1"/>
  <c r="BP123" i="1"/>
  <c r="BP126" i="1" s="1"/>
  <c r="AY215" i="1"/>
  <c r="AY213" i="1" s="1"/>
  <c r="AZ215" i="1"/>
  <c r="AZ213" i="1" s="1"/>
  <c r="BF123" i="1"/>
  <c r="BF126" i="1" s="1"/>
  <c r="BF122" i="1"/>
  <c r="BF125" i="1" s="1"/>
  <c r="BC215" i="1"/>
  <c r="BC213" i="1" s="1"/>
  <c r="BD215" i="1"/>
  <c r="BD213" i="1" s="1"/>
  <c r="AX215" i="1"/>
  <c r="AX213" i="1" s="1"/>
  <c r="AW215" i="1"/>
  <c r="AW213" i="1" s="1"/>
  <c r="BB215" i="1"/>
  <c r="BB213" i="1" s="1"/>
  <c r="BA215" i="1"/>
  <c r="BA213" i="1" s="1"/>
  <c r="BR215" i="1"/>
  <c r="BR213" i="1" s="1"/>
  <c r="BQ215" i="1"/>
  <c r="BQ213" i="1" s="1"/>
  <c r="BH215" i="1"/>
  <c r="BH213" i="1" s="1"/>
  <c r="BG215" i="1"/>
  <c r="BG213" i="1" s="1"/>
  <c r="AR215" i="1"/>
  <c r="AR213" i="1" s="1"/>
  <c r="AQ215" i="1"/>
  <c r="AQ213" i="1" s="1"/>
  <c r="AR201" i="1"/>
  <c r="AV201" i="1"/>
  <c r="BR122" i="1"/>
  <c r="BR125" i="1" s="1"/>
  <c r="BR123" i="1"/>
  <c r="BR126" i="1" s="1"/>
  <c r="BE215" i="1"/>
  <c r="BE213" i="1" s="1"/>
  <c r="BF215" i="1"/>
  <c r="BF213" i="1" s="1"/>
  <c r="AT123" i="1"/>
  <c r="AT126" i="1" s="1"/>
  <c r="AT122" i="1"/>
  <c r="AT125" i="1" s="1"/>
  <c r="AN123" i="1"/>
  <c r="AN126" i="1" s="1"/>
  <c r="AN122" i="1"/>
  <c r="AN125" i="1" s="1"/>
  <c r="AT201" i="1"/>
  <c r="AX201" i="1"/>
  <c r="BV215" i="1"/>
  <c r="BV213" i="1" s="1"/>
  <c r="BU215" i="1"/>
  <c r="BU213" i="1" s="1"/>
  <c r="AV215" i="1"/>
  <c r="AV213" i="1" s="1"/>
  <c r="AU215" i="1"/>
  <c r="AU213" i="1" s="1"/>
  <c r="BT123" i="1"/>
  <c r="BT126" i="1" s="1"/>
  <c r="BT122" i="1"/>
  <c r="BT125" i="1" s="1"/>
  <c r="BD123" i="1"/>
  <c r="BD126" i="1" s="1"/>
  <c r="BD122" i="1"/>
  <c r="BD125" i="1" s="1"/>
  <c r="BO215" i="1"/>
  <c r="BO213" i="1" s="1"/>
  <c r="BP215" i="1"/>
  <c r="BP213" i="1" s="1"/>
  <c r="AX123" i="1"/>
  <c r="AX126" i="1" s="1"/>
  <c r="AP122" i="1"/>
  <c r="AP125" i="1" s="1"/>
  <c r="AP123" i="1"/>
  <c r="AP126" i="1" s="1"/>
  <c r="AZ123" i="1"/>
  <c r="AZ126" i="1" s="1"/>
  <c r="BH201" i="1"/>
  <c r="BD201" i="1"/>
  <c r="BN201" i="1"/>
  <c r="BR201" i="1"/>
  <c r="BB201" i="1"/>
  <c r="BF201" i="1"/>
  <c r="BT201" i="1"/>
  <c r="BX201" i="1"/>
  <c r="BL125" i="1"/>
  <c r="BL126" i="1"/>
  <c r="BK48" i="1"/>
  <c r="BK47" i="1"/>
  <c r="AY47" i="1"/>
  <c r="AY48" i="1"/>
  <c r="AP47" i="1"/>
  <c r="AP48" i="1"/>
  <c r="AP50" i="1" s="1"/>
  <c r="BU48" i="1"/>
  <c r="BY50" i="1" s="1"/>
  <c r="BU47" i="1"/>
  <c r="AS47" i="1"/>
  <c r="AS48" i="1"/>
  <c r="AS51" i="1" s="1"/>
  <c r="BP47" i="1"/>
  <c r="BP48" i="1"/>
  <c r="BQ51" i="1" s="1"/>
  <c r="BI45" i="1"/>
  <c r="BL62" i="1"/>
  <c r="BM47" i="1"/>
  <c r="BM48" i="1"/>
  <c r="BV125" i="1"/>
  <c r="BE47" i="1"/>
  <c r="BE48" i="1"/>
  <c r="BF246" i="1"/>
  <c r="BF49" i="1"/>
  <c r="BF257" i="1" s="1"/>
  <c r="BF55" i="1"/>
  <c r="BJ50" i="1"/>
  <c r="BD62" i="1"/>
  <c r="BV62" i="1"/>
  <c r="BD47" i="1"/>
  <c r="BD48" i="1"/>
  <c r="BO48" i="1"/>
  <c r="BO47" i="1"/>
  <c r="AL126" i="1"/>
  <c r="AL125" i="1"/>
  <c r="AI45" i="1"/>
  <c r="AL62" i="1"/>
  <c r="AU48" i="1"/>
  <c r="AU47" i="1"/>
  <c r="BC45" i="1"/>
  <c r="BF62" i="1"/>
  <c r="BX125" i="1"/>
  <c r="BX126" i="1"/>
  <c r="AZ246" i="1"/>
  <c r="AZ55" i="1"/>
  <c r="AZ49" i="1"/>
  <c r="AZ257" i="1" s="1"/>
  <c r="BR45" i="1"/>
  <c r="BR62" i="1"/>
  <c r="AR62" i="1"/>
  <c r="AP62" i="1"/>
  <c r="BV126" i="1"/>
  <c r="AO48" i="1"/>
  <c r="AR49" i="1"/>
  <c r="AR257" i="1" s="1"/>
  <c r="AR55" i="1"/>
  <c r="AR246" i="1"/>
  <c r="AX45" i="1"/>
  <c r="AZ62" i="1"/>
  <c r="BN45" i="1"/>
  <c r="BP62" i="1"/>
  <c r="BV49" i="1"/>
  <c r="BV257" i="1" s="1"/>
  <c r="BV55" i="1"/>
  <c r="BV246" i="1"/>
  <c r="BZ50" i="1"/>
  <c r="BH48" i="1"/>
  <c r="BH47" i="1"/>
  <c r="AQ45" i="1"/>
  <c r="AT62" i="1"/>
  <c r="BX62" i="1"/>
  <c r="BZ62" i="1"/>
  <c r="BW45" i="1"/>
  <c r="BB45" i="1"/>
  <c r="BB62" i="1"/>
  <c r="AN62" i="1"/>
  <c r="AN45" i="1"/>
  <c r="BH125" i="1"/>
  <c r="BH126" i="1"/>
  <c r="AV45" i="1"/>
  <c r="AV62" i="1"/>
  <c r="AX62" i="1"/>
  <c r="BT45" i="1"/>
  <c r="BT62" i="1"/>
  <c r="BJ125" i="1"/>
  <c r="BJ126" i="1"/>
  <c r="BN62" i="1"/>
  <c r="BY62" i="1"/>
  <c r="BZ125" i="1"/>
  <c r="BZ126" i="1"/>
  <c r="BJ62" i="1"/>
  <c r="BG45" i="1"/>
  <c r="BH62" i="1"/>
  <c r="BS47" i="1"/>
  <c r="BS48" i="1"/>
  <c r="BJ59" i="1"/>
  <c r="BJ205" i="1"/>
  <c r="BJ207" i="1" s="1"/>
  <c r="BJ73" i="1"/>
  <c r="BQ49" i="1"/>
  <c r="BQ257" i="1" s="1"/>
  <c r="BQ55" i="1"/>
  <c r="BQ246" i="1"/>
  <c r="AT55" i="1"/>
  <c r="AT246" i="1"/>
  <c r="AT49" i="1"/>
  <c r="AT257" i="1" s="1"/>
  <c r="BA246" i="1"/>
  <c r="BA49" i="1"/>
  <c r="BA257" i="1" s="1"/>
  <c r="BA51" i="1"/>
  <c r="BA55" i="1"/>
  <c r="AW55" i="1"/>
  <c r="AW246" i="1"/>
  <c r="AW49" i="1"/>
  <c r="AW257" i="1" s="1"/>
  <c r="BA50" i="1"/>
  <c r="CR150" i="1"/>
  <c r="CS39" i="1"/>
  <c r="BL51" i="1" l="1"/>
  <c r="BK55" i="1"/>
  <c r="BK49" i="1"/>
  <c r="BK257" i="1" s="1"/>
  <c r="AY246" i="1"/>
  <c r="AY49" i="1"/>
  <c r="AY257" i="1" s="1"/>
  <c r="AT50" i="1"/>
  <c r="AP246" i="1"/>
  <c r="AP55" i="1"/>
  <c r="AP49" i="1"/>
  <c r="AP257" i="1" s="1"/>
  <c r="AZ51" i="1"/>
  <c r="AY55" i="1"/>
  <c r="BU49" i="1"/>
  <c r="BU257" i="1" s="1"/>
  <c r="BU246" i="1"/>
  <c r="BU55" i="1"/>
  <c r="BK51" i="1"/>
  <c r="BK246" i="1"/>
  <c r="AS55" i="1"/>
  <c r="AS49" i="1"/>
  <c r="AS257" i="1" s="1"/>
  <c r="BV51" i="1"/>
  <c r="BU50" i="1"/>
  <c r="AS246" i="1"/>
  <c r="AT51" i="1"/>
  <c r="AW50" i="1"/>
  <c r="BP55" i="1"/>
  <c r="BP50" i="1"/>
  <c r="BP246" i="1"/>
  <c r="BP49" i="1"/>
  <c r="BP257" i="1" s="1"/>
  <c r="BI48" i="1"/>
  <c r="BI51" i="1" s="1"/>
  <c r="BI47" i="1"/>
  <c r="BM55" i="1"/>
  <c r="BM51" i="1"/>
  <c r="BM246" i="1"/>
  <c r="BM239" i="1"/>
  <c r="BQ50" i="1"/>
  <c r="BM49" i="1"/>
  <c r="BM257" i="1" s="1"/>
  <c r="BE49" i="1"/>
  <c r="BE257" i="1" s="1"/>
  <c r="BE55" i="1"/>
  <c r="BE246" i="1"/>
  <c r="BF51" i="1"/>
  <c r="BF59" i="1"/>
  <c r="BF205" i="1"/>
  <c r="BF207" i="1" s="1"/>
  <c r="BF73" i="1"/>
  <c r="BC48" i="1"/>
  <c r="BC47" i="1"/>
  <c r="BS50" i="1"/>
  <c r="BE50" i="1"/>
  <c r="BD55" i="1"/>
  <c r="BD246" i="1"/>
  <c r="BD49" i="1"/>
  <c r="BD257" i="1" s="1"/>
  <c r="BD50" i="1"/>
  <c r="BE51" i="1"/>
  <c r="BO246" i="1"/>
  <c r="BO49" i="1"/>
  <c r="BO257" i="1" s="1"/>
  <c r="BO55" i="1"/>
  <c r="BP51" i="1"/>
  <c r="BO50" i="1"/>
  <c r="AI48" i="1"/>
  <c r="AI47" i="1"/>
  <c r="AU49" i="1"/>
  <c r="AU257" i="1" s="1"/>
  <c r="AU246" i="1"/>
  <c r="AY50" i="1"/>
  <c r="AU55" i="1"/>
  <c r="AU239" i="1"/>
  <c r="AU51" i="1"/>
  <c r="AP51" i="1"/>
  <c r="AO55" i="1"/>
  <c r="AZ73" i="1"/>
  <c r="AZ59" i="1"/>
  <c r="AZ205" i="1"/>
  <c r="AZ207" i="1" s="1"/>
  <c r="BR48" i="1"/>
  <c r="BR47" i="1"/>
  <c r="AO50" i="1"/>
  <c r="BH50" i="1"/>
  <c r="AO246" i="1"/>
  <c r="AS50" i="1"/>
  <c r="AO49" i="1"/>
  <c r="AO257" i="1" s="1"/>
  <c r="BW48" i="1"/>
  <c r="BW50" i="1" s="1"/>
  <c r="BW47" i="1"/>
  <c r="BN48" i="1"/>
  <c r="BN47" i="1"/>
  <c r="AQ48" i="1"/>
  <c r="AQ47" i="1"/>
  <c r="AR59" i="1"/>
  <c r="AR205" i="1"/>
  <c r="AR207" i="1" s="1"/>
  <c r="AR73" i="1"/>
  <c r="BT48" i="1"/>
  <c r="BT47" i="1"/>
  <c r="AV47" i="1"/>
  <c r="AV48" i="1"/>
  <c r="AN48" i="1"/>
  <c r="AN47" i="1"/>
  <c r="BH55" i="1"/>
  <c r="BL50" i="1"/>
  <c r="BH246" i="1"/>
  <c r="BH49" i="1"/>
  <c r="BH257" i="1" s="1"/>
  <c r="AX48" i="1"/>
  <c r="AX47" i="1"/>
  <c r="BV205" i="1"/>
  <c r="BV207" i="1" s="1"/>
  <c r="BV73" i="1"/>
  <c r="BV59" i="1"/>
  <c r="BG47" i="1"/>
  <c r="BG48" i="1"/>
  <c r="BB48" i="1"/>
  <c r="BB47" i="1"/>
  <c r="BS246" i="1"/>
  <c r="BS49" i="1"/>
  <c r="BS257" i="1" s="1"/>
  <c r="BS55" i="1"/>
  <c r="BQ205" i="1"/>
  <c r="BQ207" i="1" s="1"/>
  <c r="BQ131" i="1"/>
  <c r="BQ132" i="1" s="1"/>
  <c r="BQ73" i="1"/>
  <c r="BQ59" i="1"/>
  <c r="AT73" i="1"/>
  <c r="AT205" i="1"/>
  <c r="AT207" i="1" s="1"/>
  <c r="AT59" i="1"/>
  <c r="AW205" i="1"/>
  <c r="AW207" i="1" s="1"/>
  <c r="AW73" i="1"/>
  <c r="AW131" i="1"/>
  <c r="AW132" i="1" s="1"/>
  <c r="AW59" i="1"/>
  <c r="BA59" i="1"/>
  <c r="BA205" i="1"/>
  <c r="BA207" i="1" s="1"/>
  <c r="BA73" i="1"/>
  <c r="BA131" i="1"/>
  <c r="BA132" i="1" s="1"/>
  <c r="CS206" i="1"/>
  <c r="CS144" i="1"/>
  <c r="CR215" i="1"/>
  <c r="CR213" i="1" s="1"/>
  <c r="AC137" i="1"/>
  <c r="AC140" i="1" s="1"/>
  <c r="AC261" i="1" s="1"/>
  <c r="BK59" i="1" l="1"/>
  <c r="BK205" i="1"/>
  <c r="BK207" i="1" s="1"/>
  <c r="BK131" i="1"/>
  <c r="BK132" i="1" s="1"/>
  <c r="BK73" i="1"/>
  <c r="AP205" i="1"/>
  <c r="AP207" i="1" s="1"/>
  <c r="AP73" i="1"/>
  <c r="AP59" i="1"/>
  <c r="BU131" i="1"/>
  <c r="BU132" i="1" s="1"/>
  <c r="BU59" i="1"/>
  <c r="BU205" i="1"/>
  <c r="BU207" i="1" s="1"/>
  <c r="BU73" i="1"/>
  <c r="BS51" i="1"/>
  <c r="BS239" i="1"/>
  <c r="AY205" i="1"/>
  <c r="AY207" i="1" s="1"/>
  <c r="AY73" i="1"/>
  <c r="AY131" i="1"/>
  <c r="AY132" i="1" s="1"/>
  <c r="AY59" i="1"/>
  <c r="AS59" i="1"/>
  <c r="AS131" i="1"/>
  <c r="AS132" i="1" s="1"/>
  <c r="AS205" i="1"/>
  <c r="AS207" i="1" s="1"/>
  <c r="AS73" i="1"/>
  <c r="BI50" i="1"/>
  <c r="BK239" i="1"/>
  <c r="BM73" i="1"/>
  <c r="BM59" i="1"/>
  <c r="BP59" i="1"/>
  <c r="BP205" i="1"/>
  <c r="BP207" i="1" s="1"/>
  <c r="BP73" i="1"/>
  <c r="BM50" i="1"/>
  <c r="BL239" i="1"/>
  <c r="BI55" i="1"/>
  <c r="BI246" i="1"/>
  <c r="BJ51" i="1"/>
  <c r="BI49" i="1"/>
  <c r="BI257" i="1" s="1"/>
  <c r="BM131" i="1"/>
  <c r="BM132" i="1" s="1"/>
  <c r="BM205" i="1"/>
  <c r="BM207" i="1" s="1"/>
  <c r="BE73" i="1"/>
  <c r="BE205" i="1"/>
  <c r="BE207" i="1" s="1"/>
  <c r="BE59" i="1"/>
  <c r="BE131" i="1"/>
  <c r="BE132" i="1" s="1"/>
  <c r="BF239" i="1"/>
  <c r="BD51" i="1"/>
  <c r="BC50" i="1"/>
  <c r="BC55" i="1"/>
  <c r="BC246" i="1"/>
  <c r="BC49" i="1"/>
  <c r="BC257" i="1" s="1"/>
  <c r="BD59" i="1"/>
  <c r="BD205" i="1"/>
  <c r="BD207" i="1" s="1"/>
  <c r="BD73" i="1"/>
  <c r="BO59" i="1"/>
  <c r="BO73" i="1"/>
  <c r="BO205" i="1"/>
  <c r="BO207" i="1" s="1"/>
  <c r="BO131" i="1"/>
  <c r="BO132" i="1" s="1"/>
  <c r="AI49" i="1"/>
  <c r="AI246" i="1"/>
  <c r="AJ51" i="1"/>
  <c r="AM50" i="1"/>
  <c r="AI55" i="1"/>
  <c r="AL239" i="1"/>
  <c r="AU59" i="1"/>
  <c r="AU73" i="1"/>
  <c r="AU205" i="1"/>
  <c r="AU207" i="1" s="1"/>
  <c r="AU131" i="1"/>
  <c r="AU132" i="1" s="1"/>
  <c r="AO205" i="1"/>
  <c r="AO207" i="1" s="1"/>
  <c r="AO73" i="1"/>
  <c r="AO131" i="1"/>
  <c r="AO132" i="1" s="1"/>
  <c r="AO59" i="1"/>
  <c r="BR49" i="1"/>
  <c r="BR257" i="1" s="1"/>
  <c r="BR246" i="1"/>
  <c r="BR55" i="1"/>
  <c r="BR219" i="1" s="1"/>
  <c r="BR217" i="1" s="1"/>
  <c r="BV50" i="1"/>
  <c r="BR51" i="1"/>
  <c r="BR239" i="1"/>
  <c r="AN49" i="1"/>
  <c r="AN257" i="1" s="1"/>
  <c r="AQ239" i="1"/>
  <c r="AO51" i="1"/>
  <c r="AN239" i="1"/>
  <c r="AN50" i="1"/>
  <c r="AP239" i="1"/>
  <c r="AR50" i="1"/>
  <c r="AO239" i="1"/>
  <c r="AN55" i="1"/>
  <c r="AN51" i="1"/>
  <c r="AN246" i="1"/>
  <c r="BX50" i="1"/>
  <c r="BT49" i="1"/>
  <c r="BT257" i="1" s="1"/>
  <c r="BT246" i="1"/>
  <c r="BT55" i="1"/>
  <c r="BU51" i="1"/>
  <c r="BT50" i="1"/>
  <c r="BW239" i="1"/>
  <c r="BV239" i="1"/>
  <c r="AZ50" i="1"/>
  <c r="AV49" i="1"/>
  <c r="AV257" i="1" s="1"/>
  <c r="AV246" i="1"/>
  <c r="AV55" i="1"/>
  <c r="AY239" i="1"/>
  <c r="AW239" i="1"/>
  <c r="AW51" i="1"/>
  <c r="AV50" i="1"/>
  <c r="AV51" i="1"/>
  <c r="AX239" i="1"/>
  <c r="AV239" i="1"/>
  <c r="AR51" i="1"/>
  <c r="AQ50" i="1"/>
  <c r="AQ246" i="1"/>
  <c r="AQ55" i="1"/>
  <c r="AQ49" i="1"/>
  <c r="AQ257" i="1" s="1"/>
  <c r="AQ51" i="1"/>
  <c r="AU50" i="1"/>
  <c r="AT239" i="1"/>
  <c r="AS239" i="1"/>
  <c r="AR239" i="1"/>
  <c r="BN246" i="1"/>
  <c r="BR50" i="1"/>
  <c r="BN55" i="1"/>
  <c r="BQ61" i="1" s="1"/>
  <c r="BN50" i="1"/>
  <c r="BN49" i="1"/>
  <c r="BN257" i="1" s="1"/>
  <c r="BO51" i="1"/>
  <c r="BN239" i="1"/>
  <c r="BQ239" i="1"/>
  <c r="BN51" i="1"/>
  <c r="BO239" i="1"/>
  <c r="BP239" i="1"/>
  <c r="BB49" i="1"/>
  <c r="BB257" i="1" s="1"/>
  <c r="BF50" i="1"/>
  <c r="BB246" i="1"/>
  <c r="BB55" i="1"/>
  <c r="BB219" i="1" s="1"/>
  <c r="BB217" i="1" s="1"/>
  <c r="BC51" i="1"/>
  <c r="BD239" i="1"/>
  <c r="BB239" i="1"/>
  <c r="BB51" i="1"/>
  <c r="BC239" i="1"/>
  <c r="BE239" i="1"/>
  <c r="BB50" i="1"/>
  <c r="AX55" i="1"/>
  <c r="AX246" i="1"/>
  <c r="AX49" i="1"/>
  <c r="AX257" i="1" s="1"/>
  <c r="AZ239" i="1"/>
  <c r="AX51" i="1"/>
  <c r="AY51" i="1"/>
  <c r="AX50" i="1"/>
  <c r="BA239" i="1"/>
  <c r="BH59" i="1"/>
  <c r="BH73" i="1"/>
  <c r="BH205" i="1"/>
  <c r="BH207" i="1" s="1"/>
  <c r="BT239" i="1"/>
  <c r="BT51" i="1"/>
  <c r="BK50" i="1"/>
  <c r="BG55" i="1"/>
  <c r="BH239" i="1"/>
  <c r="BG50" i="1"/>
  <c r="BG49" i="1"/>
  <c r="BG257" i="1" s="1"/>
  <c r="BH51" i="1"/>
  <c r="BG239" i="1"/>
  <c r="BG246" i="1"/>
  <c r="BJ239" i="1"/>
  <c r="BG51" i="1"/>
  <c r="BI239" i="1"/>
  <c r="BX239" i="1"/>
  <c r="BW246" i="1"/>
  <c r="BW51" i="1"/>
  <c r="BX51" i="1"/>
  <c r="BW55" i="1"/>
  <c r="X68" i="1"/>
  <c r="BY239" i="1"/>
  <c r="CA50" i="1"/>
  <c r="BW49" i="1"/>
  <c r="BW257" i="1" s="1"/>
  <c r="BZ239" i="1"/>
  <c r="BS205" i="1"/>
  <c r="BS207" i="1" s="1"/>
  <c r="BS59" i="1"/>
  <c r="BS131" i="1"/>
  <c r="BS132" i="1" s="1"/>
  <c r="BS73" i="1"/>
  <c r="BQ219" i="1"/>
  <c r="BQ217" i="1" s="1"/>
  <c r="BQ141" i="1"/>
  <c r="BQ62" i="1" s="1"/>
  <c r="BQ99" i="1"/>
  <c r="AW141" i="1"/>
  <c r="AW62" i="1" s="1"/>
  <c r="AW219" i="1"/>
  <c r="AW217" i="1" s="1"/>
  <c r="AW99" i="1"/>
  <c r="BA219" i="1"/>
  <c r="BA217" i="1" s="1"/>
  <c r="BA99" i="1"/>
  <c r="BA141" i="1"/>
  <c r="BA62" i="1" s="1"/>
  <c r="CS146" i="1"/>
  <c r="AC218" i="1"/>
  <c r="CA238" i="1"/>
  <c r="CB238" i="1"/>
  <c r="BU238" i="1"/>
  <c r="BK61" i="1" l="1"/>
  <c r="BM76" i="1"/>
  <c r="BI96" i="1" s="1"/>
  <c r="BK99" i="1"/>
  <c r="BL219" i="1"/>
  <c r="BL217" i="1" s="1"/>
  <c r="BK219" i="1"/>
  <c r="BK217" i="1" s="1"/>
  <c r="BK141" i="1"/>
  <c r="BK62" i="1" s="1"/>
  <c r="BV219" i="1"/>
  <c r="BV217" i="1" s="1"/>
  <c r="BU219" i="1"/>
  <c r="BU217" i="1" s="1"/>
  <c r="BU99" i="1"/>
  <c r="BU141" i="1"/>
  <c r="BU62" i="1" s="1"/>
  <c r="AU76" i="1"/>
  <c r="AY99" i="1"/>
  <c r="AY219" i="1"/>
  <c r="AY217" i="1" s="1"/>
  <c r="AY141" i="1"/>
  <c r="AY62" i="1" s="1"/>
  <c r="AZ219" i="1"/>
  <c r="AZ217" i="1" s="1"/>
  <c r="AS219" i="1"/>
  <c r="AS217" i="1" s="1"/>
  <c r="AS99" i="1"/>
  <c r="AS141" i="1"/>
  <c r="AS62" i="1" s="1"/>
  <c r="AT219" i="1"/>
  <c r="AT217" i="1" s="1"/>
  <c r="AO61" i="1"/>
  <c r="BL61" i="1"/>
  <c r="BI59" i="1"/>
  <c r="BI205" i="1"/>
  <c r="BI207" i="1" s="1"/>
  <c r="BI73" i="1"/>
  <c r="BI131" i="1"/>
  <c r="BI132" i="1" s="1"/>
  <c r="BM61" i="1"/>
  <c r="BM219" i="1"/>
  <c r="BM217" i="1" s="1"/>
  <c r="BM141" i="1"/>
  <c r="BM62" i="1" s="1"/>
  <c r="BM99" i="1"/>
  <c r="AX219" i="1"/>
  <c r="AX217" i="1" s="1"/>
  <c r="BA61" i="1"/>
  <c r="BF219" i="1"/>
  <c r="BF217" i="1" s="1"/>
  <c r="BE99" i="1"/>
  <c r="BE141" i="1"/>
  <c r="BE62" i="1" s="1"/>
  <c r="BE219" i="1"/>
  <c r="BE217" i="1" s="1"/>
  <c r="S68" i="1"/>
  <c r="BF61" i="1"/>
  <c r="BC73" i="1"/>
  <c r="BF76" i="1" s="1"/>
  <c r="BC131" i="1"/>
  <c r="BC132" i="1" s="1"/>
  <c r="BC205" i="1"/>
  <c r="BC207" i="1" s="1"/>
  <c r="BC59" i="1"/>
  <c r="BO219" i="1"/>
  <c r="BO217" i="1" s="1"/>
  <c r="BO141" i="1"/>
  <c r="BO62" i="1" s="1"/>
  <c r="BP219" i="1"/>
  <c r="BP217" i="1" s="1"/>
  <c r="BO99" i="1"/>
  <c r="AI73" i="1"/>
  <c r="AL76" i="1" s="1"/>
  <c r="AI59" i="1"/>
  <c r="AL61" i="1"/>
  <c r="N68" i="1"/>
  <c r="AI219" i="1"/>
  <c r="AI217" i="1" s="1"/>
  <c r="AI205" i="1"/>
  <c r="AI207" i="1" s="1"/>
  <c r="AI211" i="1" s="1"/>
  <c r="AI225" i="1" s="1"/>
  <c r="AU99" i="1"/>
  <c r="AU219" i="1"/>
  <c r="AU217" i="1" s="1"/>
  <c r="AU141" i="1"/>
  <c r="AU62" i="1" s="1"/>
  <c r="AU61" i="1"/>
  <c r="AP219" i="1"/>
  <c r="AP217" i="1" s="1"/>
  <c r="AO99" i="1"/>
  <c r="AO141" i="1"/>
  <c r="AO62" i="1" s="1"/>
  <c r="AO219" i="1"/>
  <c r="AO217" i="1" s="1"/>
  <c r="AV219" i="1"/>
  <c r="AV217" i="1" s="1"/>
  <c r="AY61" i="1"/>
  <c r="BT61" i="1"/>
  <c r="BR59" i="1"/>
  <c r="BR205" i="1"/>
  <c r="BR207" i="1" s="1"/>
  <c r="BR73" i="1"/>
  <c r="BR61" i="1"/>
  <c r="V68" i="1"/>
  <c r="AW61" i="1"/>
  <c r="BV61" i="1"/>
  <c r="BO61" i="1"/>
  <c r="BN219" i="1"/>
  <c r="BN217" i="1" s="1"/>
  <c r="BU61" i="1"/>
  <c r="BX61" i="1"/>
  <c r="BW131" i="1"/>
  <c r="BW132" i="1" s="1"/>
  <c r="BY61" i="1"/>
  <c r="BW205" i="1"/>
  <c r="BW207" i="1" s="1"/>
  <c r="BW59" i="1"/>
  <c r="BZ61" i="1"/>
  <c r="BW73" i="1"/>
  <c r="BN59" i="1"/>
  <c r="BN73" i="1"/>
  <c r="BN205" i="1"/>
  <c r="BN207" i="1" s="1"/>
  <c r="BN61" i="1"/>
  <c r="U68" i="1"/>
  <c r="BP61" i="1"/>
  <c r="AV205" i="1"/>
  <c r="AV207" i="1" s="1"/>
  <c r="AV59" i="1"/>
  <c r="AV73" i="1"/>
  <c r="AV61" i="1"/>
  <c r="Q68" i="1"/>
  <c r="AX61" i="1"/>
  <c r="BT205" i="1"/>
  <c r="BT207" i="1" s="1"/>
  <c r="BT59" i="1"/>
  <c r="BT73" i="1"/>
  <c r="BV76" i="1" s="1"/>
  <c r="BR96" i="1" s="1"/>
  <c r="AX59" i="1"/>
  <c r="AX73" i="1"/>
  <c r="AX205" i="1"/>
  <c r="AX207" i="1" s="1"/>
  <c r="AZ61" i="1"/>
  <c r="BB73" i="1"/>
  <c r="BB59" i="1"/>
  <c r="BB205" i="1"/>
  <c r="BB207" i="1" s="1"/>
  <c r="BB61" i="1"/>
  <c r="R68" i="1"/>
  <c r="BD61" i="1"/>
  <c r="BE61" i="1"/>
  <c r="AQ131" i="1"/>
  <c r="AQ132" i="1" s="1"/>
  <c r="AQ205" i="1"/>
  <c r="AQ207" i="1" s="1"/>
  <c r="AQ59" i="1"/>
  <c r="AQ73" i="1"/>
  <c r="AS61" i="1"/>
  <c r="AR61" i="1"/>
  <c r="AT61" i="1"/>
  <c r="P68" i="1"/>
  <c r="BG59" i="1"/>
  <c r="BG73" i="1"/>
  <c r="BG131" i="1"/>
  <c r="BG132" i="1" s="1"/>
  <c r="BJ61" i="1"/>
  <c r="BH61" i="1"/>
  <c r="BG205" i="1"/>
  <c r="BG207" i="1" s="1"/>
  <c r="T68" i="1"/>
  <c r="AN59" i="1"/>
  <c r="AP61" i="1"/>
  <c r="AN73" i="1"/>
  <c r="AN205" i="1"/>
  <c r="AN207" i="1" s="1"/>
  <c r="AN61" i="1"/>
  <c r="O68" i="1"/>
  <c r="AN219" i="1"/>
  <c r="AN217" i="1" s="1"/>
  <c r="BT219" i="1"/>
  <c r="BT217" i="1" s="1"/>
  <c r="BS99" i="1"/>
  <c r="BS141" i="1"/>
  <c r="BS62" i="1" s="1"/>
  <c r="BS219" i="1"/>
  <c r="BS217" i="1" s="1"/>
  <c r="BS61" i="1"/>
  <c r="BQ101" i="1"/>
  <c r="BQ102" i="1"/>
  <c r="BQ103" i="1"/>
  <c r="BA102" i="1"/>
  <c r="BA101" i="1"/>
  <c r="BA103" i="1"/>
  <c r="AW102" i="1"/>
  <c r="AW101" i="1"/>
  <c r="AW103" i="1"/>
  <c r="CS150" i="1"/>
  <c r="CT39" i="1"/>
  <c r="AD136" i="1"/>
  <c r="W66" i="1"/>
  <c r="BM92" i="1" l="1"/>
  <c r="BM94" i="1"/>
  <c r="BM93" i="1"/>
  <c r="BK103" i="1"/>
  <c r="BK101" i="1"/>
  <c r="BK102" i="1"/>
  <c r="BU101" i="1"/>
  <c r="BU103" i="1"/>
  <c r="AU94" i="1"/>
  <c r="AU93" i="1"/>
  <c r="AQ96" i="1"/>
  <c r="AU92" i="1"/>
  <c r="AY101" i="1"/>
  <c r="AY102" i="1"/>
  <c r="AY103" i="1"/>
  <c r="BL76" i="1"/>
  <c r="BK76" i="1"/>
  <c r="BR76" i="1"/>
  <c r="BR93" i="1" s="1"/>
  <c r="BT76" i="1"/>
  <c r="BS76" i="1"/>
  <c r="AS102" i="1"/>
  <c r="AS103" i="1"/>
  <c r="BI99" i="1"/>
  <c r="BI141" i="1"/>
  <c r="BI62" i="1" s="1"/>
  <c r="BI219" i="1"/>
  <c r="BI217" i="1" s="1"/>
  <c r="BI61" i="1"/>
  <c r="BJ219" i="1"/>
  <c r="BJ217" i="1" s="1"/>
  <c r="AI222" i="1"/>
  <c r="AI223" i="1" s="1"/>
  <c r="BM102" i="1"/>
  <c r="BM103" i="1"/>
  <c r="BM101" i="1"/>
  <c r="BU76" i="1"/>
  <c r="BU92" i="1" s="1"/>
  <c r="BE101" i="1"/>
  <c r="BE103" i="1"/>
  <c r="BE102" i="1"/>
  <c r="BC219" i="1"/>
  <c r="BC217" i="1" s="1"/>
  <c r="BC141" i="1"/>
  <c r="BC62" i="1" s="1"/>
  <c r="BC99" i="1"/>
  <c r="BC61" i="1"/>
  <c r="BD219" i="1"/>
  <c r="BD217" i="1" s="1"/>
  <c r="BB96" i="1"/>
  <c r="BF92" i="1"/>
  <c r="BF94" i="1"/>
  <c r="BF93" i="1"/>
  <c r="BO101" i="1"/>
  <c r="BO102" i="1"/>
  <c r="BO103" i="1"/>
  <c r="AL92" i="1"/>
  <c r="AL93" i="1"/>
  <c r="AL94" i="1"/>
  <c r="AU102" i="1"/>
  <c r="AU103" i="1"/>
  <c r="AU101" i="1"/>
  <c r="AO103" i="1"/>
  <c r="AO101" i="1"/>
  <c r="AO102" i="1"/>
  <c r="BA76" i="1"/>
  <c r="AZ76" i="1"/>
  <c r="AY76" i="1"/>
  <c r="AY93" i="1" s="1"/>
  <c r="AX76" i="1"/>
  <c r="AV76" i="1"/>
  <c r="AW76" i="1"/>
  <c r="AT76" i="1"/>
  <c r="AR76" i="1"/>
  <c r="AS76" i="1"/>
  <c r="BQ76" i="1"/>
  <c r="BO76" i="1"/>
  <c r="BN76" i="1"/>
  <c r="BP76" i="1"/>
  <c r="AQ76" i="1"/>
  <c r="AN76" i="1"/>
  <c r="AP76" i="1"/>
  <c r="AO76" i="1"/>
  <c r="BJ76" i="1"/>
  <c r="BF96" i="1" s="1"/>
  <c r="BG76" i="1"/>
  <c r="BH76" i="1"/>
  <c r="BI76" i="1"/>
  <c r="BE76" i="1"/>
  <c r="BE93" i="1" s="1"/>
  <c r="BD76" i="1"/>
  <c r="BB76" i="1"/>
  <c r="BC76" i="1"/>
  <c r="BZ76" i="1"/>
  <c r="BX76" i="1"/>
  <c r="BY76" i="1"/>
  <c r="BW76" i="1"/>
  <c r="BG219" i="1"/>
  <c r="BG217" i="1" s="1"/>
  <c r="BG141" i="1"/>
  <c r="BG62" i="1" s="1"/>
  <c r="BG99" i="1"/>
  <c r="BG61" i="1"/>
  <c r="BH219" i="1"/>
  <c r="BH217" i="1" s="1"/>
  <c r="AQ141" i="1"/>
  <c r="AQ62" i="1" s="1"/>
  <c r="AQ219" i="1"/>
  <c r="AQ217" i="1" s="1"/>
  <c r="AQ99" i="1"/>
  <c r="AR219" i="1"/>
  <c r="AR217" i="1" s="1"/>
  <c r="AQ61" i="1"/>
  <c r="BW219" i="1"/>
  <c r="BW217" i="1" s="1"/>
  <c r="BX219" i="1"/>
  <c r="BX217" i="1" s="1"/>
  <c r="BW141" i="1"/>
  <c r="BW62" i="1" s="1"/>
  <c r="BW61" i="1"/>
  <c r="BW99" i="1"/>
  <c r="BV94" i="1"/>
  <c r="BV93" i="1"/>
  <c r="BS101" i="1"/>
  <c r="BS102" i="1"/>
  <c r="BS103" i="1"/>
  <c r="AC39" i="1"/>
  <c r="CT206" i="1"/>
  <c r="CT144" i="1"/>
  <c r="CS215" i="1"/>
  <c r="CS213" i="1" s="1"/>
  <c r="W67" i="1"/>
  <c r="BL92" i="1" l="1"/>
  <c r="BL93" i="1"/>
  <c r="BN96" i="1"/>
  <c r="BR92" i="1"/>
  <c r="BR94" i="1"/>
  <c r="BV77" i="1"/>
  <c r="BP96" i="1"/>
  <c r="BT94" i="1"/>
  <c r="BT92" i="1"/>
  <c r="BT93" i="1"/>
  <c r="BS94" i="1"/>
  <c r="BO96" i="1"/>
  <c r="BS93" i="1"/>
  <c r="BS92" i="1"/>
  <c r="BH96" i="1"/>
  <c r="BL94" i="1"/>
  <c r="BK92" i="1"/>
  <c r="BK93" i="1"/>
  <c r="BK94" i="1"/>
  <c r="BT77" i="1"/>
  <c r="BV96" i="1"/>
  <c r="BZ77" i="1"/>
  <c r="BY77" i="1"/>
  <c r="BI102" i="1"/>
  <c r="BI103" i="1"/>
  <c r="BI101" i="1"/>
  <c r="BQ96" i="1"/>
  <c r="BU94" i="1"/>
  <c r="BW92" i="1"/>
  <c r="BW77" i="1"/>
  <c r="BC102" i="1"/>
  <c r="BC101" i="1"/>
  <c r="BC103" i="1"/>
  <c r="AW96" i="1"/>
  <c r="BE77" i="1"/>
  <c r="BQ93" i="1"/>
  <c r="BM96" i="1"/>
  <c r="AQ93" i="1"/>
  <c r="AQ92" i="1"/>
  <c r="BU77" i="1"/>
  <c r="BA94" i="1"/>
  <c r="AX77" i="1"/>
  <c r="CD77" i="1"/>
  <c r="BZ94" i="1"/>
  <c r="BX93" i="1"/>
  <c r="BT96" i="1"/>
  <c r="BX94" i="1"/>
  <c r="CB77" i="1"/>
  <c r="BX92" i="1"/>
  <c r="AN94" i="1"/>
  <c r="AR77" i="1"/>
  <c r="AN93" i="1"/>
  <c r="AN92" i="1"/>
  <c r="BO92" i="1"/>
  <c r="BK96" i="1"/>
  <c r="BO93" i="1"/>
  <c r="BO77" i="1"/>
  <c r="BO94" i="1"/>
  <c r="AP96" i="1"/>
  <c r="CA77" i="1"/>
  <c r="BS96" i="1"/>
  <c r="BW94" i="1"/>
  <c r="BE94" i="1"/>
  <c r="BI77" i="1"/>
  <c r="BE92" i="1"/>
  <c r="BJ93" i="1"/>
  <c r="BJ77" i="1"/>
  <c r="BJ92" i="1"/>
  <c r="AU77" i="1"/>
  <c r="AQ77" i="1"/>
  <c r="AQ94" i="1"/>
  <c r="BQ92" i="1"/>
  <c r="BQ77" i="1"/>
  <c r="BQ94" i="1"/>
  <c r="AW92" i="1"/>
  <c r="AW93" i="1"/>
  <c r="AS96" i="1"/>
  <c r="BA77" i="1"/>
  <c r="AW94" i="1"/>
  <c r="AV96" i="1"/>
  <c r="AZ94" i="1"/>
  <c r="BD77" i="1"/>
  <c r="AZ92" i="1"/>
  <c r="BD92" i="1"/>
  <c r="BH77" i="1"/>
  <c r="BD94" i="1"/>
  <c r="BD93" i="1"/>
  <c r="AY94" i="1"/>
  <c r="AU96" i="1"/>
  <c r="BC77" i="1"/>
  <c r="AY77" i="1"/>
  <c r="AT93" i="1"/>
  <c r="BJ94" i="1"/>
  <c r="BW93" i="1"/>
  <c r="AM96" i="1"/>
  <c r="BS77" i="1"/>
  <c r="BC94" i="1"/>
  <c r="AY96" i="1"/>
  <c r="BG77" i="1"/>
  <c r="BC93" i="1"/>
  <c r="BC92" i="1"/>
  <c r="BM77" i="1"/>
  <c r="BI94" i="1"/>
  <c r="BI92" i="1"/>
  <c r="BI93" i="1"/>
  <c r="BE96" i="1"/>
  <c r="AO94" i="1"/>
  <c r="AO92" i="1"/>
  <c r="AS77" i="1"/>
  <c r="AO93" i="1"/>
  <c r="BP77" i="1"/>
  <c r="BL96" i="1"/>
  <c r="BP93" i="1"/>
  <c r="BP94" i="1"/>
  <c r="BP92" i="1"/>
  <c r="AS93" i="1"/>
  <c r="AO96" i="1"/>
  <c r="AS94" i="1"/>
  <c r="AW77" i="1"/>
  <c r="AV93" i="1"/>
  <c r="AZ77" i="1"/>
  <c r="AV94" i="1"/>
  <c r="AR96" i="1"/>
  <c r="BA92" i="1"/>
  <c r="BA93" i="1"/>
  <c r="BC96" i="1"/>
  <c r="BG92" i="1"/>
  <c r="BG94" i="1"/>
  <c r="BK77" i="1"/>
  <c r="AT94" i="1"/>
  <c r="AT92" i="1"/>
  <c r="AY92" i="1"/>
  <c r="BZ93" i="1"/>
  <c r="CC97" i="1" s="1"/>
  <c r="BA96" i="1"/>
  <c r="BN77" i="1"/>
  <c r="BZ92" i="1"/>
  <c r="CC77" i="1"/>
  <c r="BY93" i="1"/>
  <c r="BF77" i="1"/>
  <c r="BB94" i="1"/>
  <c r="BB93" i="1"/>
  <c r="BB92" i="1"/>
  <c r="BH94" i="1"/>
  <c r="BH92" i="1"/>
  <c r="BD96" i="1"/>
  <c r="BL77" i="1"/>
  <c r="BH93" i="1"/>
  <c r="AT77" i="1"/>
  <c r="AP94" i="1"/>
  <c r="AP77" i="1"/>
  <c r="AL96" i="1"/>
  <c r="AP93" i="1"/>
  <c r="AP92" i="1"/>
  <c r="BR77" i="1"/>
  <c r="BJ96" i="1"/>
  <c r="BN94" i="1"/>
  <c r="BN92" i="1"/>
  <c r="BN93" i="1"/>
  <c r="AN96" i="1"/>
  <c r="AR94" i="1"/>
  <c r="AR93" i="1"/>
  <c r="AR92" i="1"/>
  <c r="AV77" i="1"/>
  <c r="BB77" i="1"/>
  <c r="AX92" i="1"/>
  <c r="AT96" i="1"/>
  <c r="AX94" i="1"/>
  <c r="BX77" i="1"/>
  <c r="BW101" i="1"/>
  <c r="BW103" i="1"/>
  <c r="BW102" i="1"/>
  <c r="BG101" i="1"/>
  <c r="BG103" i="1"/>
  <c r="AQ102" i="1"/>
  <c r="AQ103" i="1"/>
  <c r="AQ101" i="1"/>
  <c r="AC206" i="1"/>
  <c r="AC144" i="1"/>
  <c r="AC146" i="1" s="1"/>
  <c r="AC40" i="1" s="1"/>
  <c r="CT146" i="1"/>
  <c r="AD137" i="1"/>
  <c r="AD140" i="1" s="1"/>
  <c r="AD261" i="1" s="1"/>
  <c r="AR121" i="1"/>
  <c r="W68" i="1"/>
  <c r="CB97" i="1" l="1"/>
  <c r="BT97" i="1"/>
  <c r="BH97" i="1"/>
  <c r="BM97" i="1"/>
  <c r="BG97" i="1"/>
  <c r="BN97" i="1"/>
  <c r="BB97" i="1"/>
  <c r="BI97" i="1"/>
  <c r="AW97" i="1"/>
  <c r="BL97" i="1"/>
  <c r="BY97" i="1"/>
  <c r="AZ97" i="1"/>
  <c r="AR97" i="1"/>
  <c r="AV97" i="1"/>
  <c r="BE97" i="1"/>
  <c r="AS97" i="1"/>
  <c r="AU97" i="1"/>
  <c r="AT97" i="1"/>
  <c r="AQ97" i="1"/>
  <c r="AP97" i="1"/>
  <c r="AO97" i="1"/>
  <c r="BP97" i="1"/>
  <c r="BO97" i="1"/>
  <c r="AY97" i="1"/>
  <c r="AX97" i="1"/>
  <c r="CA97" i="1"/>
  <c r="BR97" i="1"/>
  <c r="BZ97" i="1"/>
  <c r="BF97" i="1"/>
  <c r="BS97" i="1"/>
  <c r="BD97" i="1"/>
  <c r="BK97" i="1"/>
  <c r="BQ97" i="1"/>
  <c r="CU39" i="1"/>
  <c r="CT150" i="1"/>
  <c r="AD218" i="1"/>
  <c r="AB150" i="1"/>
  <c r="AR122" i="1"/>
  <c r="AR125" i="1" s="1"/>
  <c r="AR123" i="1"/>
  <c r="AR126" i="1" s="1"/>
  <c r="CA239" i="1"/>
  <c r="CB239" i="1"/>
  <c r="W205" i="1"/>
  <c r="W207" i="1" s="1"/>
  <c r="BU239" i="1"/>
  <c r="CT215" i="1" l="1"/>
  <c r="CT213" i="1" s="1"/>
  <c r="CU206" i="1"/>
  <c r="CU144" i="1"/>
  <c r="AB215" i="1"/>
  <c r="AB213" i="1" s="1"/>
  <c r="AE136" i="1"/>
  <c r="CA96" i="1"/>
  <c r="CU146" i="1" l="1"/>
  <c r="CF96" i="1"/>
  <c r="CU150" i="1" l="1"/>
  <c r="CV39" i="1"/>
  <c r="AE137" i="1"/>
  <c r="AE140" i="1" s="1"/>
  <c r="AE261" i="1" s="1"/>
  <c r="CV206" i="1" l="1"/>
  <c r="CV144" i="1"/>
  <c r="CU215" i="1"/>
  <c r="CU213" i="1" s="1"/>
  <c r="AE218" i="1"/>
  <c r="AC150" i="1"/>
  <c r="W132" i="1"/>
  <c r="CV146" i="1" l="1"/>
  <c r="W61" i="1"/>
  <c r="AC215" i="1"/>
  <c r="AC213" i="1" s="1"/>
  <c r="X219" i="1"/>
  <c r="X217" i="1" s="1"/>
  <c r="W219" i="1"/>
  <c r="W217" i="1" s="1"/>
  <c r="W141" i="1"/>
  <c r="W62" i="1" s="1"/>
  <c r="W187" i="1"/>
  <c r="CW39" i="1" l="1"/>
  <c r="CV150" i="1"/>
  <c r="CV215" i="1" l="1"/>
  <c r="CV213" i="1" s="1"/>
  <c r="CW206" i="1"/>
  <c r="CW144" i="1"/>
  <c r="CW146" i="1" l="1"/>
  <c r="CW150" i="1" l="1"/>
  <c r="CX39" i="1"/>
  <c r="AD39" i="1" l="1"/>
  <c r="CX206" i="1"/>
  <c r="CX144" i="1"/>
  <c r="CW215" i="1"/>
  <c r="CW213" i="1" s="1"/>
  <c r="AD206" i="1" l="1"/>
  <c r="AD144" i="1"/>
  <c r="AD146" i="1" s="1"/>
  <c r="CX146" i="1"/>
  <c r="AD150" i="1" l="1"/>
  <c r="AD215" i="1" s="1"/>
  <c r="AD213" i="1" s="1"/>
  <c r="AD40" i="1"/>
  <c r="CX150" i="1"/>
  <c r="CY39" i="1"/>
  <c r="CY206" i="1" l="1"/>
  <c r="CY144" i="1"/>
  <c r="CX215" i="1"/>
  <c r="CX213" i="1" s="1"/>
  <c r="CY146" i="1" l="1"/>
  <c r="W192" i="1"/>
  <c r="CY150" i="1" l="1"/>
  <c r="CZ39" i="1"/>
  <c r="W195" i="1"/>
  <c r="W168" i="1"/>
  <c r="X209" i="1" s="1"/>
  <c r="CZ206" i="1" l="1"/>
  <c r="CZ144" i="1"/>
  <c r="CY215" i="1"/>
  <c r="CY213" i="1" s="1"/>
  <c r="W197" i="1"/>
  <c r="W196" i="1" s="1"/>
  <c r="W209" i="1"/>
  <c r="W160" i="1"/>
  <c r="X208" i="1" s="1"/>
  <c r="X210" i="1" s="1"/>
  <c r="X211" i="1" s="1"/>
  <c r="X225" i="1" s="1"/>
  <c r="W191" i="1"/>
  <c r="CZ146" i="1" l="1"/>
  <c r="W194" i="1"/>
  <c r="W169" i="1"/>
  <c r="W208" i="1"/>
  <c r="W210" i="1" s="1"/>
  <c r="W211" i="1" s="1"/>
  <c r="CZ150" i="1" l="1"/>
  <c r="CZ215" i="1" s="1"/>
  <c r="CZ213" i="1" s="1"/>
  <c r="DA39" i="1"/>
  <c r="W193" i="1"/>
  <c r="W198" i="1"/>
  <c r="W222" i="1"/>
  <c r="W225" i="1"/>
  <c r="DA206" i="1" l="1"/>
  <c r="DA144" i="1"/>
  <c r="W201" i="1"/>
  <c r="W202" i="1" s="1"/>
  <c r="X201" i="1"/>
  <c r="X202" i="1" s="1"/>
  <c r="DA146" i="1" l="1"/>
  <c r="W173" i="1"/>
  <c r="X221" i="1" l="1"/>
  <c r="X222" i="1" s="1"/>
  <c r="X223" i="1" s="1"/>
  <c r="W258" i="1"/>
  <c r="W260" i="1"/>
  <c r="W256" i="1"/>
  <c r="DA150" i="1"/>
  <c r="DA215" i="1" s="1"/>
  <c r="DA213" i="1" s="1"/>
  <c r="DB39" i="1"/>
  <c r="W180" i="1"/>
  <c r="W121" i="1" s="1"/>
  <c r="W177" i="1"/>
  <c r="W223" i="1"/>
  <c r="AE39" i="1" l="1"/>
  <c r="AE206" i="1" s="1"/>
  <c r="DB206" i="1"/>
  <c r="DB144" i="1"/>
  <c r="W178" i="1"/>
  <c r="DB146" i="1" l="1"/>
  <c r="DB150" i="1" s="1"/>
  <c r="DB215" i="1" s="1"/>
  <c r="DB213" i="1" s="1"/>
  <c r="AE144" i="1"/>
  <c r="AE146" i="1" s="1"/>
  <c r="C112" i="2"/>
  <c r="C113" i="2"/>
  <c r="C111" i="2"/>
  <c r="AE150" i="1" l="1"/>
  <c r="AE215" i="1" s="1"/>
  <c r="AE213" i="1" s="1"/>
  <c r="AE40" i="1"/>
  <c r="B80" i="1"/>
  <c r="B81" i="1"/>
  <c r="AK191" i="1" l="1"/>
  <c r="AK156" i="1" s="1"/>
  <c r="AM156" i="1" l="1"/>
  <c r="AO156" i="1" l="1"/>
  <c r="AQ156" i="1" l="1"/>
  <c r="AS156" i="1" l="1"/>
  <c r="AU156" i="1" l="1"/>
  <c r="AW156" i="1" l="1"/>
  <c r="AY156" i="1" l="1"/>
  <c r="BA156" i="1" l="1"/>
  <c r="BC156" i="1" l="1"/>
  <c r="BE156" i="1" l="1"/>
  <c r="BG156" i="1" l="1"/>
  <c r="BI156" i="1" l="1"/>
  <c r="BK156" i="1" l="1"/>
  <c r="BM156" i="1" l="1"/>
  <c r="BO156" i="1" l="1"/>
  <c r="BQ156" i="1" l="1"/>
  <c r="BS156" i="1" l="1"/>
  <c r="BU156" i="1" l="1"/>
  <c r="BW156" i="1" l="1"/>
  <c r="BY156" i="1" l="1"/>
  <c r="AK157" i="1" l="1"/>
  <c r="AK160" i="1" s="1"/>
  <c r="AL208" i="1" l="1"/>
  <c r="AK208" i="1"/>
  <c r="AK194" i="1"/>
  <c r="AM157" i="1"/>
  <c r="AM160" i="1" s="1"/>
  <c r="AM194" i="1" l="1"/>
  <c r="AM193" i="1" s="1"/>
  <c r="AN208" i="1"/>
  <c r="AM208" i="1"/>
  <c r="AJ193" i="1"/>
  <c r="AK193" i="1"/>
  <c r="AO157" i="1" l="1"/>
  <c r="AO160" i="1" s="1"/>
  <c r="AP208" i="1" l="1"/>
  <c r="AO194" i="1"/>
  <c r="AO193" i="1" s="1"/>
  <c r="AO208" i="1"/>
  <c r="AQ157" i="1" l="1"/>
  <c r="AQ160" i="1" s="1"/>
  <c r="AQ194" i="1" l="1"/>
  <c r="AQ193" i="1" s="1"/>
  <c r="AR208" i="1"/>
  <c r="AQ208" i="1"/>
  <c r="AS157" i="1" l="1"/>
  <c r="AS160" i="1" s="1"/>
  <c r="AT208" i="1" l="1"/>
  <c r="AS194" i="1"/>
  <c r="AS193" i="1" s="1"/>
  <c r="AS208" i="1"/>
  <c r="AU157" i="1" l="1"/>
  <c r="AU160" i="1" s="1"/>
  <c r="AU194" i="1" l="1"/>
  <c r="AU193" i="1" s="1"/>
  <c r="AV208" i="1"/>
  <c r="AU208" i="1"/>
  <c r="AW157" i="1" l="1"/>
  <c r="AW160" i="1" s="1"/>
  <c r="AW194" i="1" l="1"/>
  <c r="AW193" i="1" s="1"/>
  <c r="AX208" i="1"/>
  <c r="AW208" i="1"/>
  <c r="AY157" i="1" l="1"/>
  <c r="AY160" i="1" s="1"/>
  <c r="AY194" i="1" l="1"/>
  <c r="AY193" i="1" s="1"/>
  <c r="AZ208" i="1"/>
  <c r="AY208" i="1"/>
  <c r="BA157" i="1" l="1"/>
  <c r="BA160" i="1" s="1"/>
  <c r="BB208" i="1" l="1"/>
  <c r="BA194" i="1"/>
  <c r="BA193" i="1" s="1"/>
  <c r="BA208" i="1"/>
  <c r="BC157" i="1" l="1"/>
  <c r="BC160" i="1" s="1"/>
  <c r="BD208" i="1" l="1"/>
  <c r="BC194" i="1"/>
  <c r="BC193" i="1" s="1"/>
  <c r="BC208" i="1"/>
  <c r="BE157" i="1" l="1"/>
  <c r="BE160" i="1" s="1"/>
  <c r="BF208" i="1" l="1"/>
  <c r="BE194" i="1"/>
  <c r="BE193" i="1" s="1"/>
  <c r="BE208" i="1"/>
  <c r="BG157" i="1" l="1"/>
  <c r="BG160" i="1" s="1"/>
  <c r="BG194" i="1" l="1"/>
  <c r="BG193" i="1" s="1"/>
  <c r="BH208" i="1"/>
  <c r="BG208" i="1"/>
  <c r="BI157" i="1" l="1"/>
  <c r="BI160" i="1" s="1"/>
  <c r="BJ208" i="1" l="1"/>
  <c r="BI194" i="1"/>
  <c r="BI193" i="1" s="1"/>
  <c r="BI208" i="1"/>
  <c r="BK157" i="1" l="1"/>
  <c r="BK160" i="1" s="1"/>
  <c r="BL208" i="1" l="1"/>
  <c r="BK194" i="1"/>
  <c r="BK193" i="1" s="1"/>
  <c r="BK208" i="1"/>
  <c r="BM157" i="1" l="1"/>
  <c r="BM160" i="1" s="1"/>
  <c r="BM194" i="1" l="1"/>
  <c r="BM193" i="1" s="1"/>
  <c r="BN208" i="1"/>
  <c r="BM208" i="1"/>
  <c r="BO157" i="1" l="1"/>
  <c r="BO160" i="1" s="1"/>
  <c r="BO194" i="1" l="1"/>
  <c r="BO193" i="1" s="1"/>
  <c r="BP208" i="1"/>
  <c r="BO208" i="1"/>
  <c r="BQ157" i="1" l="1"/>
  <c r="BQ160" i="1" s="1"/>
  <c r="BR208" i="1" l="1"/>
  <c r="BQ194" i="1"/>
  <c r="BQ193" i="1" s="1"/>
  <c r="BQ208" i="1"/>
  <c r="BS157" i="1" l="1"/>
  <c r="BS160" i="1" s="1"/>
  <c r="BT208" i="1" l="1"/>
  <c r="BS194" i="1"/>
  <c r="BS193" i="1" s="1"/>
  <c r="BS208" i="1"/>
  <c r="BU157" i="1" l="1"/>
  <c r="BU160" i="1" s="1"/>
  <c r="BU194" i="1" l="1"/>
  <c r="BU193" i="1" s="1"/>
  <c r="BV208" i="1"/>
  <c r="BU208" i="1"/>
  <c r="BW157" i="1" l="1"/>
  <c r="BW160" i="1" s="1"/>
  <c r="BW194" i="1" l="1"/>
  <c r="BW193" i="1" s="1"/>
  <c r="BX208" i="1"/>
  <c r="BW208" i="1"/>
  <c r="BY157" i="1" l="1"/>
  <c r="BY160" i="1" s="1"/>
  <c r="BZ208" i="1" l="1"/>
  <c r="BY194" i="1"/>
  <c r="BY193" i="1" s="1"/>
  <c r="BY208" i="1"/>
  <c r="AK195" i="1" l="1"/>
  <c r="AK165" i="1" s="1"/>
  <c r="AK168" i="1" s="1"/>
  <c r="AK169" i="1" l="1"/>
  <c r="AK197" i="1"/>
  <c r="AL209" i="1"/>
  <c r="AL210" i="1" s="1"/>
  <c r="AL211" i="1" s="1"/>
  <c r="AL225" i="1" s="1"/>
  <c r="AK209" i="1"/>
  <c r="AK210" i="1" s="1"/>
  <c r="AK211" i="1" s="1"/>
  <c r="AM165" i="1"/>
  <c r="AM168" i="1" s="1"/>
  <c r="AK225" i="1" l="1"/>
  <c r="AK222" i="1"/>
  <c r="AK172" i="1" s="1"/>
  <c r="AK173" i="1" s="1"/>
  <c r="AK177" i="1" s="1"/>
  <c r="AK178" i="1" s="1"/>
  <c r="AN209" i="1"/>
  <c r="AN210" i="1" s="1"/>
  <c r="AN211" i="1" s="1"/>
  <c r="AN225" i="1" s="1"/>
  <c r="AM197" i="1"/>
  <c r="AM196" i="1" s="1"/>
  <c r="AM209" i="1"/>
  <c r="AM210" i="1" s="1"/>
  <c r="AM211" i="1" s="1"/>
  <c r="AM169" i="1"/>
  <c r="AJ196" i="1"/>
  <c r="AJ198" i="1"/>
  <c r="AN201" i="1" s="1"/>
  <c r="AK196" i="1"/>
  <c r="AK198" i="1"/>
  <c r="AO165" i="1"/>
  <c r="AO168" i="1" s="1"/>
  <c r="AM198" i="1" l="1"/>
  <c r="AO197" i="1"/>
  <c r="AO196" i="1" s="1"/>
  <c r="AP209" i="1"/>
  <c r="AP210" i="1" s="1"/>
  <c r="AP211" i="1" s="1"/>
  <c r="AP225" i="1" s="1"/>
  <c r="AO209" i="1"/>
  <c r="AO210" i="1" s="1"/>
  <c r="AO211" i="1" s="1"/>
  <c r="AM225" i="1"/>
  <c r="AM222" i="1"/>
  <c r="AO169" i="1"/>
  <c r="AL221" i="1" l="1"/>
  <c r="AL222" i="1" s="1"/>
  <c r="AL223" i="1" s="1"/>
  <c r="AK223" i="1"/>
  <c r="AO198" i="1"/>
  <c r="AO201" i="1" s="1"/>
  <c r="AO225" i="1"/>
  <c r="AO222" i="1"/>
  <c r="AQ165" i="1"/>
  <c r="AQ168" i="1" s="1"/>
  <c r="AK180" i="1"/>
  <c r="AL44" i="1" s="1"/>
  <c r="AM172" i="1"/>
  <c r="AM173" i="1" s="1"/>
  <c r="AM177" i="1" s="1"/>
  <c r="AN221" i="1" l="1"/>
  <c r="AN222" i="1" s="1"/>
  <c r="AN223" i="1" s="1"/>
  <c r="AM260" i="1"/>
  <c r="AM258" i="1"/>
  <c r="AM256" i="1"/>
  <c r="AQ197" i="1"/>
  <c r="AQ196" i="1" s="1"/>
  <c r="AR209" i="1"/>
  <c r="AR210" i="1" s="1"/>
  <c r="AR211" i="1" s="1"/>
  <c r="AR225" i="1" s="1"/>
  <c r="AQ209" i="1"/>
  <c r="AQ210" i="1" s="1"/>
  <c r="AQ211" i="1" s="1"/>
  <c r="AM223" i="1"/>
  <c r="AQ169" i="1"/>
  <c r="AO172" i="1"/>
  <c r="AO173" i="1" s="1"/>
  <c r="AM180" i="1"/>
  <c r="AO258" i="1" l="1"/>
  <c r="AO260" i="1"/>
  <c r="AO256" i="1"/>
  <c r="AM121" i="1"/>
  <c r="AM122" i="1" s="1"/>
  <c r="AM125" i="1" s="1"/>
  <c r="AN44" i="1"/>
  <c r="AQ198" i="1"/>
  <c r="AQ201" i="1" s="1"/>
  <c r="AQ225" i="1"/>
  <c r="AQ222" i="1"/>
  <c r="AP221" i="1"/>
  <c r="AP222" i="1" s="1"/>
  <c r="AP223" i="1" s="1"/>
  <c r="AO223" i="1"/>
  <c r="AS165" i="1"/>
  <c r="AS168" i="1" s="1"/>
  <c r="AO180" i="1"/>
  <c r="AO177" i="1"/>
  <c r="AM178" i="1"/>
  <c r="AM123" i="1" l="1"/>
  <c r="AM126" i="1" s="1"/>
  <c r="AO121" i="1"/>
  <c r="AO123" i="1" s="1"/>
  <c r="AO126" i="1" s="1"/>
  <c r="AP44" i="1"/>
  <c r="AS197" i="1"/>
  <c r="AS196" i="1" s="1"/>
  <c r="AT209" i="1"/>
  <c r="AT210" i="1" s="1"/>
  <c r="AT211" i="1" s="1"/>
  <c r="AT225" i="1" s="1"/>
  <c r="AS209" i="1"/>
  <c r="AS210" i="1" s="1"/>
  <c r="AS211" i="1" s="1"/>
  <c r="AO178" i="1"/>
  <c r="AS169" i="1"/>
  <c r="AQ172" i="1"/>
  <c r="AQ173" i="1" s="1"/>
  <c r="AQ258" i="1" l="1"/>
  <c r="AQ260" i="1"/>
  <c r="AQ256" i="1"/>
  <c r="AO122" i="1"/>
  <c r="AO125" i="1" s="1"/>
  <c r="AS198" i="1"/>
  <c r="AS201" i="1" s="1"/>
  <c r="AS225" i="1"/>
  <c r="AS222" i="1"/>
  <c r="AR221" i="1"/>
  <c r="AR222" i="1" s="1"/>
  <c r="AR223" i="1" s="1"/>
  <c r="AQ223" i="1"/>
  <c r="AQ177" i="1"/>
  <c r="AQ180" i="1"/>
  <c r="AU165" i="1"/>
  <c r="AU168" i="1" s="1"/>
  <c r="AQ121" i="1" l="1"/>
  <c r="AQ122" i="1" s="1"/>
  <c r="AQ125" i="1" s="1"/>
  <c r="AR44" i="1"/>
  <c r="AU197" i="1"/>
  <c r="AU196" i="1" s="1"/>
  <c r="AV209" i="1"/>
  <c r="AV210" i="1" s="1"/>
  <c r="AV211" i="1" s="1"/>
  <c r="AV225" i="1" s="1"/>
  <c r="AU209" i="1"/>
  <c r="AU210" i="1" s="1"/>
  <c r="AU211" i="1" s="1"/>
  <c r="AU169" i="1"/>
  <c r="AS172" i="1"/>
  <c r="AS173" i="1" s="1"/>
  <c r="AQ178" i="1"/>
  <c r="AS260" i="1" l="1"/>
  <c r="AS258" i="1"/>
  <c r="AS256" i="1"/>
  <c r="AQ123" i="1"/>
  <c r="AQ126" i="1" s="1"/>
  <c r="AU198" i="1"/>
  <c r="AU201" i="1" s="1"/>
  <c r="AU225" i="1"/>
  <c r="AU222" i="1"/>
  <c r="AT221" i="1"/>
  <c r="AT222" i="1" s="1"/>
  <c r="AT223" i="1" s="1"/>
  <c r="AS223" i="1"/>
  <c r="AS180" i="1"/>
  <c r="AS177" i="1"/>
  <c r="AW165" i="1"/>
  <c r="AW168" i="1" s="1"/>
  <c r="AS121" i="1" l="1"/>
  <c r="AS122" i="1" s="1"/>
  <c r="AS125" i="1" s="1"/>
  <c r="AT44" i="1"/>
  <c r="AW197" i="1"/>
  <c r="AW198" i="1" s="1"/>
  <c r="AW201" i="1" s="1"/>
  <c r="AX209" i="1"/>
  <c r="AX210" i="1" s="1"/>
  <c r="AX211" i="1" s="1"/>
  <c r="AX225" i="1" s="1"/>
  <c r="AW209" i="1"/>
  <c r="AW210" i="1" s="1"/>
  <c r="AW211" i="1" s="1"/>
  <c r="AU172" i="1"/>
  <c r="AU173" i="1" s="1"/>
  <c r="AS178" i="1"/>
  <c r="AW169" i="1"/>
  <c r="AU260" i="1" l="1"/>
  <c r="AU258" i="1"/>
  <c r="AU256" i="1"/>
  <c r="AS123" i="1"/>
  <c r="AS126" i="1" s="1"/>
  <c r="AW196" i="1"/>
  <c r="AW225" i="1"/>
  <c r="AW222" i="1"/>
  <c r="AV221" i="1"/>
  <c r="AV222" i="1" s="1"/>
  <c r="AV223" i="1" s="1"/>
  <c r="AU223" i="1"/>
  <c r="AU180" i="1"/>
  <c r="AU177" i="1"/>
  <c r="AY165" i="1"/>
  <c r="AY168" i="1" s="1"/>
  <c r="AU121" i="1" l="1"/>
  <c r="AU123" i="1" s="1"/>
  <c r="AU126" i="1" s="1"/>
  <c r="AV44" i="1"/>
  <c r="AY197" i="1"/>
  <c r="AY196" i="1" s="1"/>
  <c r="AZ209" i="1"/>
  <c r="AZ210" i="1" s="1"/>
  <c r="AZ211" i="1" s="1"/>
  <c r="AZ225" i="1" s="1"/>
  <c r="AY209" i="1"/>
  <c r="AY210" i="1" s="1"/>
  <c r="AY211" i="1" s="1"/>
  <c r="AW172" i="1"/>
  <c r="AW173" i="1" s="1"/>
  <c r="AY169" i="1"/>
  <c r="AU178" i="1"/>
  <c r="AW258" i="1" l="1"/>
  <c r="AW260" i="1"/>
  <c r="AW256" i="1"/>
  <c r="AU122" i="1"/>
  <c r="AU125" i="1" s="1"/>
  <c r="AY198" i="1"/>
  <c r="AY201" i="1" s="1"/>
  <c r="AY225" i="1"/>
  <c r="AY222" i="1"/>
  <c r="AX221" i="1"/>
  <c r="AX222" i="1" s="1"/>
  <c r="AX223" i="1" s="1"/>
  <c r="AW223" i="1"/>
  <c r="BA165" i="1"/>
  <c r="BA168" i="1" s="1"/>
  <c r="AW177" i="1"/>
  <c r="AW180" i="1"/>
  <c r="AW121" i="1" l="1"/>
  <c r="AW123" i="1" s="1"/>
  <c r="AW126" i="1" s="1"/>
  <c r="AX44" i="1"/>
  <c r="BB209" i="1"/>
  <c r="BB210" i="1" s="1"/>
  <c r="BB211" i="1" s="1"/>
  <c r="BB225" i="1" s="1"/>
  <c r="BA197" i="1"/>
  <c r="BA196" i="1" s="1"/>
  <c r="BA209" i="1"/>
  <c r="BA210" i="1" s="1"/>
  <c r="BA211" i="1" s="1"/>
  <c r="AW178" i="1"/>
  <c r="BA169" i="1"/>
  <c r="AY172" i="1"/>
  <c r="AY173" i="1" s="1"/>
  <c r="AY258" i="1" l="1"/>
  <c r="AY260" i="1"/>
  <c r="AY256" i="1"/>
  <c r="AW122" i="1"/>
  <c r="AW125" i="1" s="1"/>
  <c r="BA198" i="1"/>
  <c r="BA201" i="1" s="1"/>
  <c r="BA225" i="1"/>
  <c r="BA222" i="1"/>
  <c r="AZ221" i="1"/>
  <c r="AZ222" i="1" s="1"/>
  <c r="AZ223" i="1" s="1"/>
  <c r="AY223" i="1"/>
  <c r="AY177" i="1"/>
  <c r="AY180" i="1"/>
  <c r="BC165" i="1"/>
  <c r="BC168" i="1" s="1"/>
  <c r="AY121" i="1" l="1"/>
  <c r="AY123" i="1" s="1"/>
  <c r="AY126" i="1" s="1"/>
  <c r="AZ44" i="1"/>
  <c r="BC197" i="1"/>
  <c r="BC196" i="1" s="1"/>
  <c r="BD209" i="1"/>
  <c r="BD210" i="1" s="1"/>
  <c r="BD211" i="1" s="1"/>
  <c r="BD225" i="1" s="1"/>
  <c r="BC209" i="1"/>
  <c r="BC210" i="1" s="1"/>
  <c r="BC211" i="1" s="1"/>
  <c r="AY178" i="1"/>
  <c r="BC169" i="1"/>
  <c r="BA172" i="1"/>
  <c r="BA173" i="1" s="1"/>
  <c r="BA260" i="1" l="1"/>
  <c r="BA258" i="1"/>
  <c r="BA256" i="1"/>
  <c r="AY122" i="1"/>
  <c r="AY125" i="1" s="1"/>
  <c r="BC198" i="1"/>
  <c r="BC201" i="1" s="1"/>
  <c r="BC225" i="1"/>
  <c r="BC222" i="1"/>
  <c r="BB221" i="1"/>
  <c r="BB222" i="1" s="1"/>
  <c r="BB223" i="1" s="1"/>
  <c r="BA223" i="1"/>
  <c r="BE165" i="1"/>
  <c r="BE168" i="1" s="1"/>
  <c r="BA180" i="1"/>
  <c r="BA177" i="1"/>
  <c r="BA121" i="1" l="1"/>
  <c r="BA122" i="1" s="1"/>
  <c r="BA125" i="1" s="1"/>
  <c r="BB44" i="1"/>
  <c r="BE197" i="1"/>
  <c r="BE196" i="1" s="1"/>
  <c r="BF209" i="1"/>
  <c r="BF210" i="1" s="1"/>
  <c r="BF211" i="1" s="1"/>
  <c r="BF225" i="1" s="1"/>
  <c r="BE209" i="1"/>
  <c r="BE210" i="1" s="1"/>
  <c r="BE211" i="1" s="1"/>
  <c r="BC172" i="1"/>
  <c r="BC173" i="1" s="1"/>
  <c r="BA178" i="1"/>
  <c r="BE169" i="1"/>
  <c r="BC260" i="1" l="1"/>
  <c r="BC258" i="1"/>
  <c r="BC256" i="1"/>
  <c r="BA123" i="1"/>
  <c r="BA126" i="1" s="1"/>
  <c r="BE198" i="1"/>
  <c r="BE201" i="1" s="1"/>
  <c r="BE225" i="1"/>
  <c r="BE222" i="1"/>
  <c r="BD221" i="1"/>
  <c r="BD222" i="1" s="1"/>
  <c r="BD223" i="1" s="1"/>
  <c r="BC223" i="1"/>
  <c r="BG165" i="1"/>
  <c r="BG168" i="1" s="1"/>
  <c r="BC177" i="1"/>
  <c r="BC180" i="1"/>
  <c r="BC121" i="1" l="1"/>
  <c r="BC122" i="1" s="1"/>
  <c r="BC125" i="1" s="1"/>
  <c r="BD44" i="1"/>
  <c r="BG197" i="1"/>
  <c r="BG198" i="1" s="1"/>
  <c r="BG201" i="1" s="1"/>
  <c r="BH209" i="1"/>
  <c r="BH210" i="1" s="1"/>
  <c r="BH211" i="1" s="1"/>
  <c r="BH225" i="1" s="1"/>
  <c r="BG209" i="1"/>
  <c r="BG210" i="1" s="1"/>
  <c r="BG211" i="1" s="1"/>
  <c r="BC178" i="1"/>
  <c r="BE172" i="1"/>
  <c r="BE173" i="1" s="1"/>
  <c r="BG169" i="1"/>
  <c r="BE258" i="1" l="1"/>
  <c r="BE260" i="1"/>
  <c r="BE256" i="1"/>
  <c r="BC123" i="1"/>
  <c r="BC126" i="1" s="1"/>
  <c r="BG196" i="1"/>
  <c r="BG225" i="1"/>
  <c r="BG222" i="1"/>
  <c r="BF221" i="1"/>
  <c r="BF222" i="1" s="1"/>
  <c r="BF223" i="1" s="1"/>
  <c r="BE223" i="1"/>
  <c r="BE180" i="1"/>
  <c r="BE177" i="1"/>
  <c r="BI165" i="1"/>
  <c r="BI168" i="1" s="1"/>
  <c r="BE121" i="1" l="1"/>
  <c r="BE122" i="1" s="1"/>
  <c r="BE125" i="1" s="1"/>
  <c r="BF44" i="1"/>
  <c r="BI197" i="1"/>
  <c r="BI196" i="1" s="1"/>
  <c r="BJ209" i="1"/>
  <c r="BJ210" i="1" s="1"/>
  <c r="BJ211" i="1" s="1"/>
  <c r="BJ225" i="1" s="1"/>
  <c r="BI209" i="1"/>
  <c r="BI210" i="1" s="1"/>
  <c r="BI211" i="1" s="1"/>
  <c r="BE178" i="1"/>
  <c r="BG172" i="1"/>
  <c r="BG173" i="1" s="1"/>
  <c r="BI169" i="1"/>
  <c r="BG258" i="1" l="1"/>
  <c r="BG260" i="1"/>
  <c r="BG256" i="1"/>
  <c r="BE123" i="1"/>
  <c r="BE126" i="1" s="1"/>
  <c r="BI198" i="1"/>
  <c r="BI201" i="1" s="1"/>
  <c r="BI225" i="1"/>
  <c r="BI222" i="1"/>
  <c r="BH221" i="1"/>
  <c r="BH222" i="1" s="1"/>
  <c r="BH223" i="1" s="1"/>
  <c r="BG223" i="1"/>
  <c r="BG177" i="1"/>
  <c r="BG180" i="1"/>
  <c r="BK165" i="1"/>
  <c r="BK168" i="1" s="1"/>
  <c r="BG121" i="1" l="1"/>
  <c r="BH44" i="1"/>
  <c r="BL209" i="1"/>
  <c r="BL210" i="1" s="1"/>
  <c r="BL211" i="1" s="1"/>
  <c r="BL225" i="1" s="1"/>
  <c r="BK197" i="1"/>
  <c r="BK196" i="1" s="1"/>
  <c r="BK209" i="1"/>
  <c r="BK210" i="1" s="1"/>
  <c r="BK211" i="1" s="1"/>
  <c r="BK169" i="1"/>
  <c r="BG178" i="1"/>
  <c r="BI172" i="1"/>
  <c r="BI173" i="1" s="1"/>
  <c r="BI260" i="1" l="1"/>
  <c r="BI258" i="1"/>
  <c r="BI256" i="1"/>
  <c r="BG123" i="1"/>
  <c r="BG126" i="1" s="1"/>
  <c r="BK198" i="1"/>
  <c r="BK201" i="1" s="1"/>
  <c r="BK225" i="1"/>
  <c r="BK222" i="1"/>
  <c r="BJ221" i="1"/>
  <c r="BJ222" i="1" s="1"/>
  <c r="BJ223" i="1" s="1"/>
  <c r="BI223" i="1"/>
  <c r="BI180" i="1"/>
  <c r="BI177" i="1"/>
  <c r="BM165" i="1"/>
  <c r="BM168" i="1" s="1"/>
  <c r="BI121" i="1" l="1"/>
  <c r="BI123" i="1" s="1"/>
  <c r="BI126" i="1" s="1"/>
  <c r="BJ44" i="1"/>
  <c r="BM197" i="1"/>
  <c r="BM196" i="1" s="1"/>
  <c r="BN209" i="1"/>
  <c r="BN210" i="1" s="1"/>
  <c r="BN211" i="1" s="1"/>
  <c r="BN225" i="1" s="1"/>
  <c r="BM209" i="1"/>
  <c r="BM210" i="1" s="1"/>
  <c r="BM211" i="1" s="1"/>
  <c r="BM169" i="1"/>
  <c r="BI178" i="1"/>
  <c r="BK172" i="1"/>
  <c r="BK173" i="1" s="1"/>
  <c r="BK260" i="1" l="1"/>
  <c r="BK258" i="1"/>
  <c r="BK256" i="1"/>
  <c r="BI122" i="1"/>
  <c r="BI125" i="1" s="1"/>
  <c r="BM198" i="1"/>
  <c r="BM201" i="1" s="1"/>
  <c r="BM225" i="1"/>
  <c r="BM222" i="1"/>
  <c r="BL221" i="1"/>
  <c r="BL222" i="1" s="1"/>
  <c r="BL223" i="1" s="1"/>
  <c r="BK223" i="1"/>
  <c r="BK180" i="1"/>
  <c r="BK177" i="1"/>
  <c r="BO165" i="1"/>
  <c r="BO168" i="1" s="1"/>
  <c r="BK121" i="1" l="1"/>
  <c r="BK123" i="1" s="1"/>
  <c r="BK126" i="1" s="1"/>
  <c r="BL44" i="1"/>
  <c r="BO197" i="1"/>
  <c r="BO196" i="1" s="1"/>
  <c r="BP209" i="1"/>
  <c r="BP210" i="1" s="1"/>
  <c r="BP211" i="1" s="1"/>
  <c r="BP225" i="1" s="1"/>
  <c r="BO209" i="1"/>
  <c r="BO210" i="1" s="1"/>
  <c r="BO211" i="1" s="1"/>
  <c r="BM172" i="1"/>
  <c r="BM173" i="1" s="1"/>
  <c r="BK178" i="1"/>
  <c r="BO169" i="1"/>
  <c r="BM258" i="1" l="1"/>
  <c r="BM260" i="1"/>
  <c r="BM256" i="1"/>
  <c r="BK122" i="1"/>
  <c r="BK125" i="1" s="1"/>
  <c r="BO198" i="1"/>
  <c r="BO201" i="1" s="1"/>
  <c r="BO225" i="1"/>
  <c r="BO222" i="1"/>
  <c r="BN221" i="1"/>
  <c r="BN222" i="1" s="1"/>
  <c r="BN223" i="1" s="1"/>
  <c r="BM223" i="1"/>
  <c r="BM177" i="1"/>
  <c r="BM180" i="1"/>
  <c r="BQ165" i="1"/>
  <c r="BQ168" i="1" s="1"/>
  <c r="BM121" i="1" l="1"/>
  <c r="BM122" i="1" s="1"/>
  <c r="BM125" i="1" s="1"/>
  <c r="BN44" i="1"/>
  <c r="BQ197" i="1"/>
  <c r="BQ196" i="1" s="1"/>
  <c r="BR209" i="1"/>
  <c r="BR210" i="1" s="1"/>
  <c r="BR211" i="1" s="1"/>
  <c r="BR225" i="1" s="1"/>
  <c r="BQ209" i="1"/>
  <c r="BQ210" i="1" s="1"/>
  <c r="BQ211" i="1" s="1"/>
  <c r="BO172" i="1"/>
  <c r="BO173" i="1" s="1"/>
  <c r="BQ169" i="1"/>
  <c r="BM178" i="1"/>
  <c r="BO258" i="1" l="1"/>
  <c r="BO260" i="1"/>
  <c r="BO256" i="1"/>
  <c r="BM123" i="1"/>
  <c r="BM126" i="1" s="1"/>
  <c r="BQ198" i="1"/>
  <c r="BQ201" i="1" s="1"/>
  <c r="BQ225" i="1"/>
  <c r="BQ222" i="1"/>
  <c r="BP221" i="1"/>
  <c r="BP222" i="1" s="1"/>
  <c r="BP223" i="1" s="1"/>
  <c r="BO223" i="1"/>
  <c r="BS165" i="1"/>
  <c r="BS168" i="1" s="1"/>
  <c r="BO177" i="1"/>
  <c r="BO180" i="1"/>
  <c r="BO121" i="1" l="1"/>
  <c r="BO122" i="1" s="1"/>
  <c r="BO125" i="1" s="1"/>
  <c r="BP44" i="1"/>
  <c r="BS197" i="1"/>
  <c r="BS196" i="1" s="1"/>
  <c r="BT209" i="1"/>
  <c r="BT210" i="1" s="1"/>
  <c r="BT211" i="1" s="1"/>
  <c r="BT225" i="1" s="1"/>
  <c r="BS209" i="1"/>
  <c r="BS210" i="1" s="1"/>
  <c r="BS211" i="1" s="1"/>
  <c r="BO178" i="1"/>
  <c r="BS169" i="1"/>
  <c r="BQ172" i="1"/>
  <c r="BQ173" i="1" s="1"/>
  <c r="BQ260" i="1" l="1"/>
  <c r="BQ258" i="1"/>
  <c r="BQ256" i="1"/>
  <c r="BO123" i="1"/>
  <c r="BO126" i="1" s="1"/>
  <c r="BS198" i="1"/>
  <c r="BS201" i="1" s="1"/>
  <c r="BS225" i="1"/>
  <c r="BS222" i="1"/>
  <c r="BR221" i="1"/>
  <c r="BR222" i="1" s="1"/>
  <c r="BR223" i="1" s="1"/>
  <c r="BQ223" i="1"/>
  <c r="BQ177" i="1"/>
  <c r="BQ180" i="1"/>
  <c r="BU165" i="1"/>
  <c r="BU168" i="1" s="1"/>
  <c r="BQ121" i="1" l="1"/>
  <c r="BQ122" i="1" s="1"/>
  <c r="BQ125" i="1" s="1"/>
  <c r="BR44" i="1"/>
  <c r="BU197" i="1"/>
  <c r="BU196" i="1" s="1"/>
  <c r="BV209" i="1"/>
  <c r="BV210" i="1" s="1"/>
  <c r="BV211" i="1" s="1"/>
  <c r="BV225" i="1" s="1"/>
  <c r="BU209" i="1"/>
  <c r="BU210" i="1" s="1"/>
  <c r="BU211" i="1" s="1"/>
  <c r="BS172" i="1"/>
  <c r="BS173" i="1" s="1"/>
  <c r="BQ178" i="1"/>
  <c r="BU169" i="1"/>
  <c r="BS260" i="1" l="1"/>
  <c r="BS258" i="1"/>
  <c r="BS256" i="1"/>
  <c r="BQ123" i="1"/>
  <c r="BQ126" i="1" s="1"/>
  <c r="BU198" i="1"/>
  <c r="BU201" i="1" s="1"/>
  <c r="BU225" i="1"/>
  <c r="BU222" i="1"/>
  <c r="BT221" i="1"/>
  <c r="BT222" i="1" s="1"/>
  <c r="BT223" i="1" s="1"/>
  <c r="BS223" i="1"/>
  <c r="BS177" i="1"/>
  <c r="BS180" i="1"/>
  <c r="BW165" i="1"/>
  <c r="BW168" i="1" s="1"/>
  <c r="BS121" i="1" l="1"/>
  <c r="BS123" i="1" s="1"/>
  <c r="BS126" i="1" s="1"/>
  <c r="BT44" i="1"/>
  <c r="BW197" i="1"/>
  <c r="BW196" i="1" s="1"/>
  <c r="BX209" i="1"/>
  <c r="BX210" i="1" s="1"/>
  <c r="BX211" i="1" s="1"/>
  <c r="BX225" i="1" s="1"/>
  <c r="BW209" i="1"/>
  <c r="BW210" i="1" s="1"/>
  <c r="BW211" i="1" s="1"/>
  <c r="BW169" i="1"/>
  <c r="BS178" i="1"/>
  <c r="BU172" i="1"/>
  <c r="BU173" i="1" s="1"/>
  <c r="BU258" i="1" l="1"/>
  <c r="BU260" i="1"/>
  <c r="BU256" i="1"/>
  <c r="BS122" i="1"/>
  <c r="BS125" i="1" s="1"/>
  <c r="BW198" i="1"/>
  <c r="BW201" i="1" s="1"/>
  <c r="BW225" i="1"/>
  <c r="BW222" i="1"/>
  <c r="BV221" i="1"/>
  <c r="BV222" i="1" s="1"/>
  <c r="BV223" i="1" s="1"/>
  <c r="BU223" i="1"/>
  <c r="BU177" i="1"/>
  <c r="BU180" i="1"/>
  <c r="BY165" i="1"/>
  <c r="BY168" i="1" s="1"/>
  <c r="BU121" i="1" l="1"/>
  <c r="BU123" i="1" s="1"/>
  <c r="BU126" i="1" s="1"/>
  <c r="BV44" i="1"/>
  <c r="BZ209" i="1"/>
  <c r="BZ210" i="1" s="1"/>
  <c r="BZ211" i="1" s="1"/>
  <c r="BZ225" i="1" s="1"/>
  <c r="BY197" i="1"/>
  <c r="BY196" i="1" s="1"/>
  <c r="BY209" i="1"/>
  <c r="BY210" i="1" s="1"/>
  <c r="BY211" i="1" s="1"/>
  <c r="BW172" i="1"/>
  <c r="BW173" i="1" s="1"/>
  <c r="BY169" i="1"/>
  <c r="BU178" i="1"/>
  <c r="BW258" i="1" l="1"/>
  <c r="BW260" i="1"/>
  <c r="BW256" i="1"/>
  <c r="BY198" i="1"/>
  <c r="BY201" i="1" s="1"/>
  <c r="BY225" i="1"/>
  <c r="BY222" i="1"/>
  <c r="BX221" i="1"/>
  <c r="BX222" i="1" s="1"/>
  <c r="BX223" i="1" s="1"/>
  <c r="BW223" i="1"/>
  <c r="BW177" i="1"/>
  <c r="BW180" i="1"/>
  <c r="BW121" i="1" l="1"/>
  <c r="BW123" i="1" s="1"/>
  <c r="BW126" i="1" s="1"/>
  <c r="BX44" i="1"/>
  <c r="BW178" i="1"/>
  <c r="BY172" i="1"/>
  <c r="BY173" i="1" s="1"/>
  <c r="BY260" i="1" l="1"/>
  <c r="BY258" i="1"/>
  <c r="BY256" i="1"/>
  <c r="BW122" i="1"/>
  <c r="BW125" i="1" s="1"/>
  <c r="BZ221" i="1"/>
  <c r="BZ222" i="1" s="1"/>
  <c r="BZ223" i="1" s="1"/>
  <c r="BY223" i="1"/>
  <c r="BY180" i="1"/>
  <c r="BY177" i="1"/>
  <c r="BY121" i="1" l="1"/>
  <c r="BY122" i="1" s="1"/>
  <c r="BY125" i="1" s="1"/>
  <c r="BZ44" i="1"/>
  <c r="BY178" i="1"/>
  <c r="CC157" i="1"/>
  <c r="CC156" i="1"/>
  <c r="CA156" i="1"/>
  <c r="CA165" i="1"/>
  <c r="CA168" i="1" s="1"/>
  <c r="CA157" i="1"/>
  <c r="CA160" i="1" l="1"/>
  <c r="CA194" i="1" s="1"/>
  <c r="CA193" i="1" s="1"/>
  <c r="CB209" i="1"/>
  <c r="CA197" i="1"/>
  <c r="CA196" i="1" s="1"/>
  <c r="CA209" i="1"/>
  <c r="CC165" i="1"/>
  <c r="CC168" i="1" s="1"/>
  <c r="CC160" i="1"/>
  <c r="CA169" i="1" l="1"/>
  <c r="CA208" i="1"/>
  <c r="CA210" i="1" s="1"/>
  <c r="CA211" i="1" s="1"/>
  <c r="CA225" i="1" s="1"/>
  <c r="CB208" i="1"/>
  <c r="CB210" i="1" s="1"/>
  <c r="CB211" i="1" s="1"/>
  <c r="CB225" i="1" s="1"/>
  <c r="CA198" i="1"/>
  <c r="CD208" i="1"/>
  <c r="CC194" i="1"/>
  <c r="CC193" i="1" s="1"/>
  <c r="CC208" i="1"/>
  <c r="CC197" i="1"/>
  <c r="CC196" i="1" s="1"/>
  <c r="CD209" i="1"/>
  <c r="CC209" i="1"/>
  <c r="CC169" i="1"/>
  <c r="CA201" i="1" l="1"/>
  <c r="CE201" i="1"/>
  <c r="CC210" i="1"/>
  <c r="CC211" i="1" s="1"/>
  <c r="CC225" i="1" s="1"/>
  <c r="CD210" i="1"/>
  <c r="CD211" i="1" s="1"/>
  <c r="CD225" i="1" s="1"/>
  <c r="CA222" i="1"/>
  <c r="CA172" i="1" s="1"/>
  <c r="CA173" i="1" s="1"/>
  <c r="CC198" i="1"/>
  <c r="CA260" i="1" l="1"/>
  <c r="CA258" i="1"/>
  <c r="CA256" i="1"/>
  <c r="CC201" i="1"/>
  <c r="CG201" i="1"/>
  <c r="CC222" i="1"/>
  <c r="CC172" i="1" s="1"/>
  <c r="CC173" i="1" s="1"/>
  <c r="CB221" i="1"/>
  <c r="CB222" i="1" s="1"/>
  <c r="CB223" i="1" s="1"/>
  <c r="CA223" i="1"/>
  <c r="CA180" i="1"/>
  <c r="CA177" i="1"/>
  <c r="CC258" i="1" l="1"/>
  <c r="CC260" i="1"/>
  <c r="CC256" i="1"/>
  <c r="CA121" i="1"/>
  <c r="CA122" i="1" s="1"/>
  <c r="CA125" i="1" s="1"/>
  <c r="CB44" i="1"/>
  <c r="CD221" i="1"/>
  <c r="CD222" i="1" s="1"/>
  <c r="CD223" i="1" s="1"/>
  <c r="CC223" i="1"/>
  <c r="CC177" i="1"/>
  <c r="CC180" i="1"/>
  <c r="CA178" i="1"/>
  <c r="CA123" i="1" l="1"/>
  <c r="CA126" i="1" s="1"/>
  <c r="CC121" i="1"/>
  <c r="CC122" i="1" s="1"/>
  <c r="CC125" i="1" s="1"/>
  <c r="CD44" i="1"/>
  <c r="CC178" i="1"/>
  <c r="CC123" i="1" l="1"/>
  <c r="CC126" i="1" s="1"/>
  <c r="CE96" i="1"/>
  <c r="CD96" i="1"/>
  <c r="CC96" i="1"/>
  <c r="CB96" i="1"/>
  <c r="CI157" i="1" l="1"/>
  <c r="CI165" i="1"/>
  <c r="CI168" i="1" s="1"/>
  <c r="CI156" i="1"/>
  <c r="CJ209" i="1" l="1"/>
  <c r="CI160" i="1"/>
  <c r="CI209" i="1"/>
  <c r="CJ208" i="1" l="1"/>
  <c r="CJ210" i="1" s="1"/>
  <c r="CJ211" i="1" s="1"/>
  <c r="CJ225" i="1" s="1"/>
  <c r="CI169" i="1"/>
  <c r="CI208" i="1"/>
  <c r="CI210" i="1" s="1"/>
  <c r="CI211" i="1" s="1"/>
  <c r="CI225" i="1" s="1"/>
  <c r="CI198" i="1" l="1"/>
  <c r="CI201" i="1" s="1"/>
  <c r="CI222" i="1"/>
  <c r="CI172" i="1" s="1"/>
  <c r="CI173" i="1" s="1"/>
  <c r="CI260" i="1" l="1"/>
  <c r="CI258" i="1"/>
  <c r="CI256" i="1"/>
  <c r="CI223" i="1"/>
  <c r="CJ221" i="1"/>
  <c r="CJ222" i="1" s="1"/>
  <c r="CI180" i="1"/>
  <c r="CI177" i="1"/>
  <c r="CI121" i="1" l="1"/>
  <c r="CI123" i="1" s="1"/>
  <c r="CI126" i="1" s="1"/>
  <c r="CJ44" i="1"/>
  <c r="CJ223" i="1"/>
  <c r="CI178" i="1"/>
  <c r="CI122" i="1" l="1"/>
  <c r="CI125" i="1" s="1"/>
  <c r="CJ180" i="1"/>
  <c r="CJ121" i="1" l="1"/>
  <c r="CK44" i="1"/>
  <c r="CJ122" i="1" l="1"/>
  <c r="CJ125" i="1" s="1"/>
  <c r="CJ123" i="1"/>
  <c r="CJ126" i="1" s="1"/>
  <c r="CK243" i="1" l="1"/>
  <c r="CK265" i="1"/>
  <c r="CK264" i="1"/>
  <c r="CN17" i="1"/>
  <c r="CN265" i="1"/>
  <c r="CM17" i="1"/>
  <c r="CM265" i="1"/>
  <c r="CN243" i="1"/>
  <c r="CM243" i="1"/>
  <c r="CM105" i="1"/>
  <c r="CM106" i="1" s="1"/>
  <c r="CM109" i="1" s="1"/>
  <c r="CN105" i="1"/>
  <c r="CN106" i="1" s="1"/>
  <c r="CN109" i="1" s="1"/>
  <c r="CN19" i="1" l="1"/>
  <c r="CM19" i="1"/>
  <c r="CM18" i="1"/>
  <c r="CN18" i="1"/>
  <c r="CM158" i="1"/>
  <c r="CQ265" i="1"/>
  <c r="CO17" i="1"/>
  <c r="CO19" i="1" s="1"/>
  <c r="CN33" i="1"/>
  <c r="CN30" i="1" s="1"/>
  <c r="CR265" i="1"/>
  <c r="CN157" i="1"/>
  <c r="CN23" i="1"/>
  <c r="CN156" i="1"/>
  <c r="CN165" i="1"/>
  <c r="CM33" i="1"/>
  <c r="CM30" i="1" s="1"/>
  <c r="CM165" i="1"/>
  <c r="CN164" i="1"/>
  <c r="CN158" i="1"/>
  <c r="CM157" i="1"/>
  <c r="CM23" i="1"/>
  <c r="CM22" i="1" s="1"/>
  <c r="CM164" i="1"/>
  <c r="CM156" i="1"/>
  <c r="CK156" i="1"/>
  <c r="CK165" i="1"/>
  <c r="CK157" i="1"/>
  <c r="CM237" i="1"/>
  <c r="CK164" i="1"/>
  <c r="CK237" i="1"/>
  <c r="CK158" i="1"/>
  <c r="CN237" i="1"/>
  <c r="CO18" i="1" l="1"/>
  <c r="CO237" i="1"/>
  <c r="CM168" i="1"/>
  <c r="CK168" i="1"/>
  <c r="CN22" i="1"/>
  <c r="CN25" i="1"/>
  <c r="CN35" i="1"/>
  <c r="CN160" i="1"/>
  <c r="CM160" i="1"/>
  <c r="CN168" i="1"/>
  <c r="CR17" i="1"/>
  <c r="CM25" i="1"/>
  <c r="CR243" i="1"/>
  <c r="CQ17" i="1"/>
  <c r="CQ243" i="1"/>
  <c r="CM35" i="1"/>
  <c r="CR105" i="1"/>
  <c r="CR106" i="1" s="1"/>
  <c r="CR109" i="1" s="1"/>
  <c r="CP265" i="1"/>
  <c r="CN26" i="1"/>
  <c r="CO105" i="1"/>
  <c r="CO106" i="1" s="1"/>
  <c r="CO109" i="1" s="1"/>
  <c r="CO265" i="1"/>
  <c r="CO243" i="1"/>
  <c r="CK160" i="1"/>
  <c r="CM26" i="1"/>
  <c r="CP243" i="1"/>
  <c r="CP17" i="1"/>
  <c r="CQ105" i="1"/>
  <c r="CQ106" i="1" s="1"/>
  <c r="CQ109" i="1" s="1"/>
  <c r="AB15" i="1"/>
  <c r="AB265" i="1" s="1"/>
  <c r="CP105" i="1"/>
  <c r="CP106" i="1" s="1"/>
  <c r="CP109" i="1" s="1"/>
  <c r="CO156" i="1"/>
  <c r="CO23" i="1"/>
  <c r="CO164" i="1"/>
  <c r="CO165" i="1"/>
  <c r="CO33" i="1"/>
  <c r="CO30" i="1" s="1"/>
  <c r="CO157" i="1"/>
  <c r="CO158" i="1"/>
  <c r="CR18" i="1" l="1"/>
  <c r="CQ19" i="1"/>
  <c r="CP18" i="1"/>
  <c r="CP19" i="1"/>
  <c r="CR19" i="1"/>
  <c r="CQ18" i="1"/>
  <c r="CK209" i="1"/>
  <c r="CL209" i="1"/>
  <c r="CK208" i="1"/>
  <c r="CL208" i="1"/>
  <c r="CN262" i="1"/>
  <c r="CN263" i="1" s="1"/>
  <c r="CN209" i="1"/>
  <c r="CN36" i="1"/>
  <c r="CN244" i="1"/>
  <c r="CN245" i="1" s="1"/>
  <c r="CN37" i="1"/>
  <c r="CN41" i="1"/>
  <c r="CN169" i="1"/>
  <c r="CM169" i="1"/>
  <c r="CN208" i="1"/>
  <c r="CR164" i="1"/>
  <c r="CR23" i="1"/>
  <c r="CR156" i="1"/>
  <c r="CR157" i="1"/>
  <c r="CR158" i="1"/>
  <c r="CR33" i="1"/>
  <c r="CR30" i="1" s="1"/>
  <c r="CR165" i="1"/>
  <c r="CQ33" i="1"/>
  <c r="CQ30" i="1" s="1"/>
  <c r="CQ158" i="1"/>
  <c r="CQ157" i="1"/>
  <c r="CQ164" i="1"/>
  <c r="CQ165" i="1"/>
  <c r="CQ156" i="1"/>
  <c r="CN38" i="1"/>
  <c r="CM37" i="1"/>
  <c r="CM244" i="1"/>
  <c r="CM245" i="1" s="1"/>
  <c r="CM36" i="1"/>
  <c r="CM41" i="1"/>
  <c r="CQ23" i="1"/>
  <c r="CK169" i="1"/>
  <c r="CK262" i="1"/>
  <c r="CK263" i="1" s="1"/>
  <c r="CS105" i="1"/>
  <c r="CS106" i="1" s="1"/>
  <c r="CS109" i="1" s="1"/>
  <c r="CS265" i="1"/>
  <c r="CM262" i="1"/>
  <c r="CM263" i="1" s="1"/>
  <c r="CK244" i="1"/>
  <c r="CK245" i="1" s="1"/>
  <c r="CK238" i="1"/>
  <c r="CN238" i="1"/>
  <c r="CR237" i="1"/>
  <c r="CP237" i="1"/>
  <c r="AB17" i="1"/>
  <c r="CO168" i="1"/>
  <c r="CS17" i="1"/>
  <c r="CS243" i="1"/>
  <c r="CO160" i="1"/>
  <c r="CM124" i="1"/>
  <c r="CN124" i="1"/>
  <c r="CM209" i="1"/>
  <c r="CP157" i="1"/>
  <c r="AB157" i="1" s="1"/>
  <c r="AB192" i="1" s="1"/>
  <c r="CP156" i="1"/>
  <c r="CP164" i="1"/>
  <c r="CP23" i="1"/>
  <c r="CP22" i="1" s="1"/>
  <c r="CP165" i="1"/>
  <c r="AB165" i="1" s="1"/>
  <c r="AB195" i="1" s="1"/>
  <c r="CP158" i="1"/>
  <c r="AB158" i="1" s="1"/>
  <c r="CP33" i="1"/>
  <c r="CP30" i="1" s="1"/>
  <c r="CT265" i="1"/>
  <c r="CO35" i="1"/>
  <c r="CO25" i="1"/>
  <c r="CO26" i="1"/>
  <c r="CM208" i="1"/>
  <c r="CQ237" i="1"/>
  <c r="CO22" i="1"/>
  <c r="CM238" i="1"/>
  <c r="CM38" i="1"/>
  <c r="CK210" i="1" l="1"/>
  <c r="CL210" i="1"/>
  <c r="CL211" i="1" s="1"/>
  <c r="CL225" i="1" s="1"/>
  <c r="CS18" i="1"/>
  <c r="CS19" i="1"/>
  <c r="CU265" i="1"/>
  <c r="CU17" i="1"/>
  <c r="CU243" i="1"/>
  <c r="CS237" i="1"/>
  <c r="CW265" i="1"/>
  <c r="CR160" i="1"/>
  <c r="CQ168" i="1"/>
  <c r="AB30" i="1"/>
  <c r="AB33" i="1" s="1"/>
  <c r="AB34" i="1" s="1"/>
  <c r="CN210" i="1"/>
  <c r="CR168" i="1"/>
  <c r="CR25" i="1"/>
  <c r="CR26" i="1"/>
  <c r="CR35" i="1"/>
  <c r="CR22" i="1"/>
  <c r="CV265" i="1"/>
  <c r="CV243" i="1"/>
  <c r="CV17" i="1"/>
  <c r="CQ22" i="1"/>
  <c r="CQ25" i="1"/>
  <c r="CQ35" i="1"/>
  <c r="CQ160" i="1"/>
  <c r="CO124" i="1"/>
  <c r="CO262" i="1"/>
  <c r="CO263" i="1" s="1"/>
  <c r="AB105" i="1"/>
  <c r="AB200" i="1"/>
  <c r="CQ26" i="1"/>
  <c r="AB22" i="1"/>
  <c r="AB23" i="1" s="1"/>
  <c r="CM210" i="1"/>
  <c r="CO169" i="1"/>
  <c r="CO208" i="1"/>
  <c r="CO238" i="1"/>
  <c r="AC15" i="1"/>
  <c r="AC265" i="1" s="1"/>
  <c r="CV105" i="1"/>
  <c r="CV106" i="1" s="1"/>
  <c r="CV109" i="1" s="1"/>
  <c r="AB18" i="1"/>
  <c r="AB65" i="1"/>
  <c r="AB156" i="1"/>
  <c r="CP160" i="1"/>
  <c r="CS156" i="1"/>
  <c r="CS23" i="1"/>
  <c r="CS22" i="1" s="1"/>
  <c r="CS164" i="1"/>
  <c r="CS157" i="1"/>
  <c r="CS165" i="1"/>
  <c r="CS158" i="1"/>
  <c r="CS33" i="1"/>
  <c r="CS30" i="1" s="1"/>
  <c r="CT105" i="1"/>
  <c r="CT106" i="1" s="1"/>
  <c r="CT109" i="1" s="1"/>
  <c r="CO209" i="1"/>
  <c r="CO37" i="1"/>
  <c r="CO244" i="1"/>
  <c r="CO245" i="1" s="1"/>
  <c r="CO41" i="1"/>
  <c r="CO38" i="1"/>
  <c r="CO36" i="1"/>
  <c r="CP25" i="1"/>
  <c r="CP35" i="1"/>
  <c r="CP26" i="1"/>
  <c r="CT243" i="1"/>
  <c r="CT17" i="1"/>
  <c r="AB164" i="1"/>
  <c r="AB168" i="1" s="1"/>
  <c r="CP168" i="1"/>
  <c r="CU105" i="1"/>
  <c r="CU106" i="1" s="1"/>
  <c r="CU109" i="1" s="1"/>
  <c r="CU33" i="1" l="1"/>
  <c r="CU30" i="1" s="1"/>
  <c r="CU156" i="1"/>
  <c r="CV19" i="1"/>
  <c r="CU18" i="1"/>
  <c r="CV18" i="1"/>
  <c r="CU19" i="1"/>
  <c r="CT18" i="1"/>
  <c r="CT19" i="1"/>
  <c r="CU23" i="1"/>
  <c r="CU22" i="1" s="1"/>
  <c r="CU157" i="1"/>
  <c r="CU165" i="1"/>
  <c r="CU158" i="1"/>
  <c r="CU164" i="1"/>
  <c r="CU168" i="1" s="1"/>
  <c r="CQ209" i="1"/>
  <c r="CV156" i="1"/>
  <c r="CV23" i="1"/>
  <c r="CV25" i="1" s="1"/>
  <c r="CV164" i="1"/>
  <c r="CR209" i="1"/>
  <c r="CR169" i="1"/>
  <c r="CR244" i="1"/>
  <c r="CR245" i="1" s="1"/>
  <c r="CR36" i="1"/>
  <c r="CR41" i="1"/>
  <c r="CR37" i="1"/>
  <c r="CV158" i="1"/>
  <c r="CV157" i="1"/>
  <c r="CV33" i="1"/>
  <c r="CV30" i="1" s="1"/>
  <c r="CV165" i="1"/>
  <c r="CQ41" i="1"/>
  <c r="CQ36" i="1"/>
  <c r="CQ37" i="1"/>
  <c r="CR38" i="1"/>
  <c r="CR262" i="1"/>
  <c r="CR263" i="1" s="1"/>
  <c r="CQ244" i="1"/>
  <c r="CQ245" i="1" s="1"/>
  <c r="CR208" i="1"/>
  <c r="CQ169" i="1"/>
  <c r="AB25" i="1"/>
  <c r="CP124" i="1"/>
  <c r="CP262" i="1"/>
  <c r="CP263" i="1" s="1"/>
  <c r="CQ262" i="1"/>
  <c r="CQ263" i="1" s="1"/>
  <c r="CS168" i="1"/>
  <c r="CS209" i="1" s="1"/>
  <c r="CV237" i="1"/>
  <c r="CP209" i="1"/>
  <c r="CP244" i="1"/>
  <c r="CP245" i="1" s="1"/>
  <c r="CP37" i="1"/>
  <c r="CP38" i="1"/>
  <c r="CP36" i="1"/>
  <c r="CP41" i="1"/>
  <c r="CT237" i="1"/>
  <c r="CP238" i="1"/>
  <c r="CU237" i="1"/>
  <c r="CR238" i="1"/>
  <c r="CQ238" i="1"/>
  <c r="CS35" i="1"/>
  <c r="CS262" i="1" s="1"/>
  <c r="CS263" i="1" s="1"/>
  <c r="CS25" i="1"/>
  <c r="CS26" i="1"/>
  <c r="AC17" i="1"/>
  <c r="CO210" i="1"/>
  <c r="CW243" i="1"/>
  <c r="CW17" i="1"/>
  <c r="CQ124" i="1"/>
  <c r="CW105" i="1"/>
  <c r="CW106" i="1" s="1"/>
  <c r="CW109" i="1" s="1"/>
  <c r="CS160" i="1"/>
  <c r="CT156" i="1"/>
  <c r="CT165" i="1"/>
  <c r="AC165" i="1" s="1"/>
  <c r="AC195" i="1" s="1"/>
  <c r="CT23" i="1"/>
  <c r="CT22" i="1" s="1"/>
  <c r="AC22" i="1" s="1"/>
  <c r="CT157" i="1"/>
  <c r="AC157" i="1" s="1"/>
  <c r="AC192" i="1" s="1"/>
  <c r="CT164" i="1"/>
  <c r="CT33" i="1"/>
  <c r="CT30" i="1" s="1"/>
  <c r="CT158" i="1"/>
  <c r="AC158" i="1" s="1"/>
  <c r="AB66" i="1"/>
  <c r="AB24" i="1"/>
  <c r="AB35" i="1"/>
  <c r="AB262" i="1" s="1"/>
  <c r="AB263" i="1" s="1"/>
  <c r="CQ38" i="1"/>
  <c r="CQ208" i="1"/>
  <c r="CP169" i="1"/>
  <c r="CP208" i="1"/>
  <c r="AB197" i="1"/>
  <c r="AB196" i="1" s="1"/>
  <c r="AB209" i="1"/>
  <c r="CR124" i="1"/>
  <c r="AB160" i="1"/>
  <c r="AB191" i="1"/>
  <c r="CU25" i="1" l="1"/>
  <c r="CU35" i="1"/>
  <c r="CU160" i="1"/>
  <c r="CW18" i="1"/>
  <c r="CW19" i="1"/>
  <c r="CY265" i="1"/>
  <c r="CY17" i="1"/>
  <c r="CY23" i="1" s="1"/>
  <c r="CY22" i="1" s="1"/>
  <c r="CY243" i="1"/>
  <c r="CW237" i="1"/>
  <c r="DA265" i="1"/>
  <c r="CQ210" i="1"/>
  <c r="AC30" i="1"/>
  <c r="AC33" i="1" s="1"/>
  <c r="AC34" i="1" s="1"/>
  <c r="CV160" i="1"/>
  <c r="CV22" i="1"/>
  <c r="CV26" i="1"/>
  <c r="CV168" i="1"/>
  <c r="CV35" i="1"/>
  <c r="CZ265" i="1"/>
  <c r="CZ243" i="1"/>
  <c r="CZ17" i="1"/>
  <c r="CR210" i="1"/>
  <c r="CX105" i="1"/>
  <c r="CX106" i="1" s="1"/>
  <c r="CX109" i="1" s="1"/>
  <c r="CX265" i="1"/>
  <c r="CP210" i="1"/>
  <c r="AC105" i="1"/>
  <c r="AC200" i="1"/>
  <c r="AB37" i="1"/>
  <c r="CT160" i="1"/>
  <c r="CT208" i="1" s="1"/>
  <c r="AC156" i="1"/>
  <c r="CS169" i="1"/>
  <c r="CS208" i="1"/>
  <c r="CS210" i="1" s="1"/>
  <c r="CU41" i="1"/>
  <c r="CU36" i="1"/>
  <c r="CU37" i="1"/>
  <c r="CU244" i="1"/>
  <c r="CU245" i="1" s="1"/>
  <c r="CY105" i="1"/>
  <c r="CY106" i="1" s="1"/>
  <c r="CY109" i="1" s="1"/>
  <c r="CS38" i="1"/>
  <c r="CS36" i="1"/>
  <c r="CS41" i="1"/>
  <c r="CS244" i="1"/>
  <c r="CS245" i="1" s="1"/>
  <c r="CS37" i="1"/>
  <c r="AB169" i="1"/>
  <c r="AB194" i="1"/>
  <c r="AB208" i="1"/>
  <c r="AB210" i="1" s="1"/>
  <c r="AB67" i="1"/>
  <c r="AB41" i="1"/>
  <c r="AB124" i="1"/>
  <c r="AB36" i="1"/>
  <c r="CW23" i="1"/>
  <c r="CW22" i="1" s="1"/>
  <c r="CW164" i="1"/>
  <c r="CW156" i="1"/>
  <c r="CW158" i="1"/>
  <c r="CW157" i="1"/>
  <c r="CW165" i="1"/>
  <c r="CW33" i="1"/>
  <c r="CW30" i="1" s="1"/>
  <c r="CT168" i="1"/>
  <c r="AC164" i="1"/>
  <c r="AC168" i="1" s="1"/>
  <c r="CS124" i="1"/>
  <c r="CK257" i="1"/>
  <c r="CK239" i="1"/>
  <c r="CK246" i="1"/>
  <c r="CS238" i="1"/>
  <c r="CT26" i="1"/>
  <c r="CT25" i="1"/>
  <c r="CT35" i="1"/>
  <c r="AC18" i="1"/>
  <c r="AC23" i="1"/>
  <c r="AC65" i="1"/>
  <c r="CX243" i="1"/>
  <c r="CX17" i="1"/>
  <c r="CZ105" i="1"/>
  <c r="CZ106" i="1" s="1"/>
  <c r="CZ109" i="1" s="1"/>
  <c r="CY157" i="1"/>
  <c r="CU169" i="1"/>
  <c r="CU26" i="1"/>
  <c r="AD15" i="1"/>
  <c r="AD265" i="1" s="1"/>
  <c r="CV208" i="1" l="1"/>
  <c r="CY164" i="1"/>
  <c r="CY156" i="1"/>
  <c r="CY33" i="1"/>
  <c r="CY30" i="1" s="1"/>
  <c r="CZ19" i="1"/>
  <c r="CY18" i="1"/>
  <c r="CY19" i="1"/>
  <c r="CX18" i="1"/>
  <c r="CZ165" i="1"/>
  <c r="CZ18" i="1"/>
  <c r="CY158" i="1"/>
  <c r="CY165" i="1"/>
  <c r="CX19" i="1"/>
  <c r="CZ237" i="1"/>
  <c r="CV262" i="1"/>
  <c r="CV263" i="1" s="1"/>
  <c r="CV41" i="1"/>
  <c r="CV244" i="1"/>
  <c r="CV245" i="1" s="1"/>
  <c r="CV36" i="1"/>
  <c r="CV38" i="1"/>
  <c r="CV37" i="1"/>
  <c r="CZ33" i="1"/>
  <c r="CZ30" i="1" s="1"/>
  <c r="CZ156" i="1"/>
  <c r="CZ164" i="1"/>
  <c r="CZ158" i="1"/>
  <c r="CZ157" i="1"/>
  <c r="CZ23" i="1"/>
  <c r="CV169" i="1"/>
  <c r="CV209" i="1"/>
  <c r="CV210" i="1" s="1"/>
  <c r="AC25" i="1"/>
  <c r="CU124" i="1"/>
  <c r="CT262" i="1"/>
  <c r="CT263" i="1" s="1"/>
  <c r="CU262" i="1"/>
  <c r="CU263" i="1" s="1"/>
  <c r="CW168" i="1"/>
  <c r="CW209" i="1" s="1"/>
  <c r="CX237" i="1"/>
  <c r="CY237" i="1"/>
  <c r="CU209" i="1"/>
  <c r="CT209" i="1"/>
  <c r="CT210" i="1" s="1"/>
  <c r="CK205" i="1"/>
  <c r="CK207" i="1" s="1"/>
  <c r="CK211" i="1" s="1"/>
  <c r="CK225" i="1" s="1"/>
  <c r="CK131" i="1"/>
  <c r="CV238" i="1"/>
  <c r="AC35" i="1"/>
  <c r="AC262" i="1" s="1"/>
  <c r="AC263" i="1" s="1"/>
  <c r="AC66" i="1"/>
  <c r="AC24" i="1"/>
  <c r="CW160" i="1"/>
  <c r="CT238" i="1"/>
  <c r="AC191" i="1"/>
  <c r="AC160" i="1"/>
  <c r="DA243" i="1"/>
  <c r="DA17" i="1"/>
  <c r="DA19" i="1" s="1"/>
  <c r="CT169" i="1"/>
  <c r="CU208" i="1"/>
  <c r="CX156" i="1"/>
  <c r="CX157" i="1"/>
  <c r="AD157" i="1" s="1"/>
  <c r="AD192" i="1" s="1"/>
  <c r="CX23" i="1"/>
  <c r="CY26" i="1" s="1"/>
  <c r="CX165" i="1"/>
  <c r="AD165" i="1" s="1"/>
  <c r="AD195" i="1" s="1"/>
  <c r="CX164" i="1"/>
  <c r="CX33" i="1"/>
  <c r="CX30" i="1" s="1"/>
  <c r="CX158" i="1"/>
  <c r="AD158" i="1" s="1"/>
  <c r="CT41" i="1"/>
  <c r="CT37" i="1"/>
  <c r="CT36" i="1"/>
  <c r="CT244" i="1"/>
  <c r="CT245" i="1" s="1"/>
  <c r="CT38" i="1"/>
  <c r="CW26" i="1"/>
  <c r="CW25" i="1"/>
  <c r="CW35" i="1"/>
  <c r="CU238" i="1"/>
  <c r="CU38" i="1"/>
  <c r="CY25" i="1"/>
  <c r="CY35" i="1"/>
  <c r="AD17" i="1"/>
  <c r="DA105" i="1"/>
  <c r="DA106" i="1" s="1"/>
  <c r="DA109" i="1" s="1"/>
  <c r="AC197" i="1"/>
  <c r="AC196" i="1" s="1"/>
  <c r="AC209" i="1"/>
  <c r="AB193" i="1"/>
  <c r="AB198" i="1"/>
  <c r="AB201" i="1" s="1"/>
  <c r="AB202" i="1" s="1"/>
  <c r="CT124" i="1"/>
  <c r="CV124" i="1"/>
  <c r="CY160" i="1" l="1"/>
  <c r="CY168" i="1"/>
  <c r="CZ168" i="1"/>
  <c r="DA237" i="1"/>
  <c r="DA18" i="1"/>
  <c r="AD30" i="1"/>
  <c r="AD33" i="1" s="1"/>
  <c r="AD34" i="1" s="1"/>
  <c r="CZ160" i="1"/>
  <c r="CZ22" i="1"/>
  <c r="CZ25" i="1"/>
  <c r="CZ35" i="1"/>
  <c r="CZ26" i="1"/>
  <c r="CW238" i="1"/>
  <c r="CW262" i="1"/>
  <c r="CW263" i="1" s="1"/>
  <c r="DB105" i="1"/>
  <c r="DB106" i="1" s="1"/>
  <c r="DB109" i="1" s="1"/>
  <c r="DB265" i="1"/>
  <c r="AD105" i="1"/>
  <c r="AD200" i="1"/>
  <c r="CU210" i="1"/>
  <c r="AC37" i="1"/>
  <c r="AD164" i="1"/>
  <c r="AD168" i="1" s="1"/>
  <c r="CX168" i="1"/>
  <c r="CY41" i="1"/>
  <c r="CY37" i="1"/>
  <c r="CY36" i="1"/>
  <c r="CY244" i="1"/>
  <c r="CY245" i="1" s="1"/>
  <c r="CY169" i="1"/>
  <c r="DA164" i="1"/>
  <c r="DA165" i="1"/>
  <c r="DA157" i="1"/>
  <c r="DA23" i="1"/>
  <c r="DA156" i="1"/>
  <c r="DA33" i="1"/>
  <c r="DA30" i="1" s="1"/>
  <c r="DA158" i="1"/>
  <c r="CK132" i="1"/>
  <c r="CL219" i="1" s="1"/>
  <c r="CL217" i="1" s="1"/>
  <c r="CX26" i="1"/>
  <c r="CX35" i="1"/>
  <c r="CY262" i="1" s="1"/>
  <c r="CY263" i="1" s="1"/>
  <c r="CX25" i="1"/>
  <c r="AC194" i="1"/>
  <c r="AC169" i="1"/>
  <c r="AC208" i="1"/>
  <c r="AC210" i="1" s="1"/>
  <c r="AC41" i="1"/>
  <c r="AC67" i="1"/>
  <c r="AC36" i="1"/>
  <c r="AC124" i="1"/>
  <c r="DB17" i="1"/>
  <c r="DB19" i="1" s="1"/>
  <c r="DB243" i="1"/>
  <c r="CW169" i="1"/>
  <c r="CW208" i="1"/>
  <c r="CW210" i="1" s="1"/>
  <c r="AD156" i="1"/>
  <c r="CX160" i="1"/>
  <c r="AD65" i="1"/>
  <c r="AD18" i="1"/>
  <c r="CW41" i="1"/>
  <c r="CW37" i="1"/>
  <c r="CW244" i="1"/>
  <c r="CW245" i="1" s="1"/>
  <c r="CW38" i="1"/>
  <c r="CW36" i="1"/>
  <c r="CW124" i="1"/>
  <c r="CX22" i="1"/>
  <c r="AD22" i="1" s="1"/>
  <c r="AD23" i="1" s="1"/>
  <c r="AE15" i="1"/>
  <c r="AE265" i="1" s="1"/>
  <c r="CZ209" i="1" l="1"/>
  <c r="DB237" i="1"/>
  <c r="DB18" i="1"/>
  <c r="CK61" i="1"/>
  <c r="CK99" i="1"/>
  <c r="CZ208" i="1"/>
  <c r="CZ210" i="1" s="1"/>
  <c r="CZ169" i="1"/>
  <c r="CZ262" i="1"/>
  <c r="CZ263" i="1" s="1"/>
  <c r="CZ36" i="1"/>
  <c r="CZ244" i="1"/>
  <c r="CZ245" i="1" s="1"/>
  <c r="CZ38" i="1"/>
  <c r="CZ41" i="1"/>
  <c r="CZ37" i="1"/>
  <c r="AD25" i="1"/>
  <c r="CZ124" i="1"/>
  <c r="CX262" i="1"/>
  <c r="CX263" i="1" s="1"/>
  <c r="CY238" i="1"/>
  <c r="CY38" i="1"/>
  <c r="CZ238" i="1"/>
  <c r="CX238" i="1"/>
  <c r="CY124" i="1"/>
  <c r="CX124" i="1"/>
  <c r="DA160" i="1"/>
  <c r="DA208" i="1" s="1"/>
  <c r="AD24" i="1"/>
  <c r="AD66" i="1"/>
  <c r="AD35" i="1"/>
  <c r="AD262" i="1" s="1"/>
  <c r="AD263" i="1" s="1"/>
  <c r="CY208" i="1"/>
  <c r="CX169" i="1"/>
  <c r="CY209" i="1"/>
  <c r="CX209" i="1"/>
  <c r="AD197" i="1"/>
  <c r="AD196" i="1" s="1"/>
  <c r="AD209" i="1"/>
  <c r="CG96" i="1"/>
  <c r="DA26" i="1"/>
  <c r="DA25" i="1"/>
  <c r="DA35" i="1"/>
  <c r="DA262" i="1" s="1"/>
  <c r="DA263" i="1" s="1"/>
  <c r="CX208" i="1"/>
  <c r="CX41" i="1"/>
  <c r="CX37" i="1"/>
  <c r="CX36" i="1"/>
  <c r="CX244" i="1"/>
  <c r="CX245" i="1" s="1"/>
  <c r="CX38" i="1"/>
  <c r="AD191" i="1"/>
  <c r="AD160" i="1"/>
  <c r="CK219" i="1"/>
  <c r="CK217" i="1" s="1"/>
  <c r="CK222" i="1" s="1"/>
  <c r="CK141" i="1"/>
  <c r="CK62" i="1" s="1"/>
  <c r="AC193" i="1"/>
  <c r="AC198" i="1"/>
  <c r="AC201" i="1" s="1"/>
  <c r="AC202" i="1" s="1"/>
  <c r="DA22" i="1"/>
  <c r="DB157" i="1"/>
  <c r="AE157" i="1" s="1"/>
  <c r="AE192" i="1" s="1"/>
  <c r="DB23" i="1"/>
  <c r="DB22" i="1" s="1"/>
  <c r="DB156" i="1"/>
  <c r="DB33" i="1"/>
  <c r="DB30" i="1" s="1"/>
  <c r="DB165" i="1"/>
  <c r="AE165" i="1" s="1"/>
  <c r="AE195" i="1" s="1"/>
  <c r="DB158" i="1"/>
  <c r="AE158" i="1" s="1"/>
  <c r="DB164" i="1"/>
  <c r="AE17" i="1"/>
  <c r="DA168" i="1"/>
  <c r="CK101" i="1" l="1"/>
  <c r="CK102" i="1"/>
  <c r="CK103" i="1"/>
  <c r="AE30" i="1"/>
  <c r="AE33" i="1" s="1"/>
  <c r="AE34" i="1" s="1"/>
  <c r="AE105" i="1"/>
  <c r="AE200" i="1"/>
  <c r="AD37" i="1"/>
  <c r="DA169" i="1"/>
  <c r="CK172" i="1"/>
  <c r="CK173" i="1" s="1"/>
  <c r="CL221" i="1" s="1"/>
  <c r="CL222" i="1" s="1"/>
  <c r="CL223" i="1" s="1"/>
  <c r="DB26" i="1"/>
  <c r="DB35" i="1"/>
  <c r="DB262" i="1" s="1"/>
  <c r="DB263" i="1" s="1"/>
  <c r="DB25" i="1"/>
  <c r="CX210" i="1"/>
  <c r="CY210" i="1"/>
  <c r="AD169" i="1"/>
  <c r="AD194" i="1"/>
  <c r="AD208" i="1"/>
  <c r="AD210" i="1" s="1"/>
  <c r="DB160" i="1"/>
  <c r="AE156" i="1"/>
  <c r="DA41" i="1"/>
  <c r="DA36" i="1"/>
  <c r="DA37" i="1"/>
  <c r="DA38" i="1"/>
  <c r="DA244" i="1"/>
  <c r="DA245" i="1" s="1"/>
  <c r="AD41" i="1"/>
  <c r="AD36" i="1"/>
  <c r="AD124" i="1"/>
  <c r="AD67" i="1"/>
  <c r="AE18" i="1"/>
  <c r="AE65" i="1"/>
  <c r="AE22" i="1"/>
  <c r="AE23" i="1" s="1"/>
  <c r="AE25" i="1" s="1"/>
  <c r="DA124" i="1"/>
  <c r="DA238" i="1"/>
  <c r="AE164" i="1"/>
  <c r="AE168" i="1" s="1"/>
  <c r="DB168" i="1"/>
  <c r="DB209" i="1" s="1"/>
  <c r="DA209" i="1"/>
  <c r="DA210" i="1" s="1"/>
  <c r="CK223" i="1" l="1"/>
  <c r="CK260" i="1"/>
  <c r="CK256" i="1"/>
  <c r="CK258" i="1"/>
  <c r="AE35" i="1"/>
  <c r="AE24" i="1"/>
  <c r="AE66" i="1"/>
  <c r="DB41" i="1"/>
  <c r="DB38" i="1"/>
  <c r="DB244" i="1"/>
  <c r="DB245" i="1" s="1"/>
  <c r="DB36" i="1"/>
  <c r="DB37" i="1"/>
  <c r="DB124" i="1"/>
  <c r="AD198" i="1"/>
  <c r="AD201" i="1" s="1"/>
  <c r="AD202" i="1" s="1"/>
  <c r="AD193" i="1"/>
  <c r="AE160" i="1"/>
  <c r="AE191" i="1"/>
  <c r="CK177" i="1"/>
  <c r="CK180" i="1"/>
  <c r="DB169" i="1"/>
  <c r="DB208" i="1"/>
  <c r="DB210" i="1" s="1"/>
  <c r="AE197" i="1"/>
  <c r="AE196" i="1" s="1"/>
  <c r="AE209" i="1"/>
  <c r="DB238" i="1"/>
  <c r="CK121" i="1" l="1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CZ44" i="1" s="1"/>
  <c r="DA44" i="1" s="1"/>
  <c r="DB44" i="1" s="1"/>
  <c r="AE37" i="1"/>
  <c r="AE262" i="1"/>
  <c r="AE263" i="1" s="1"/>
  <c r="CK178" i="1"/>
  <c r="AE169" i="1"/>
  <c r="AE194" i="1"/>
  <c r="AE208" i="1"/>
  <c r="AE210" i="1" s="1"/>
  <c r="AE41" i="1"/>
  <c r="AE36" i="1"/>
  <c r="AE67" i="1"/>
  <c r="AE124" i="1"/>
  <c r="CK123" i="1" l="1"/>
  <c r="CK126" i="1" s="1"/>
  <c r="CK122" i="1"/>
  <c r="CK125" i="1" s="1"/>
  <c r="AE198" i="1"/>
  <c r="AE201" i="1" s="1"/>
  <c r="AE202" i="1" s="1"/>
  <c r="AE193" i="1"/>
  <c r="CM94" i="1" l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2" i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CH96" i="1"/>
  <c r="CM93" i="1" l="1"/>
  <c r="CN93" i="1" s="1"/>
  <c r="CO93" i="1" s="1"/>
  <c r="CP93" i="1" s="1"/>
  <c r="CQ93" i="1" s="1"/>
  <c r="CR93" i="1" s="1"/>
  <c r="CS93" i="1" s="1"/>
  <c r="CT93" i="1" s="1"/>
  <c r="CU93" i="1" s="1"/>
  <c r="CV93" i="1" s="1"/>
  <c r="CW93" i="1" s="1"/>
  <c r="CX93" i="1" s="1"/>
  <c r="CY93" i="1" s="1"/>
  <c r="CZ93" i="1" s="1"/>
  <c r="DA93" i="1" s="1"/>
  <c r="DB93" i="1" s="1"/>
  <c r="CM221" i="1" l="1"/>
  <c r="AB221" i="1"/>
  <c r="CM43" i="1" l="1"/>
  <c r="CM264" i="1" s="1"/>
  <c r="CM45" i="1" l="1"/>
  <c r="CM46" i="1" l="1"/>
  <c r="CM48" i="1" l="1"/>
  <c r="CM50" i="1" l="1"/>
  <c r="CM51" i="1"/>
  <c r="CM246" i="1"/>
  <c r="CM55" i="1"/>
  <c r="CM49" i="1"/>
  <c r="CM257" i="1" s="1"/>
  <c r="CM239" i="1"/>
  <c r="CM205" i="1" l="1"/>
  <c r="CM207" i="1" s="1"/>
  <c r="CM211" i="1" s="1"/>
  <c r="CM225" i="1" s="1"/>
  <c r="CM73" i="1"/>
  <c r="CM131" i="1"/>
  <c r="CM132" i="1" l="1"/>
  <c r="CM76" i="1"/>
  <c r="CM77" i="1" l="1"/>
  <c r="CM85" i="1"/>
  <c r="CI96" i="1"/>
  <c r="CM92" i="1"/>
  <c r="CM86" i="1"/>
  <c r="CM141" i="1"/>
  <c r="CM62" i="1" s="1"/>
  <c r="CM99" i="1"/>
  <c r="CM101" i="1" s="1"/>
  <c r="CM219" i="1"/>
  <c r="CM217" i="1" s="1"/>
  <c r="CM222" i="1" s="1"/>
  <c r="CM61" i="1"/>
  <c r="CM172" i="1" l="1"/>
  <c r="CM173" i="1" s="1"/>
  <c r="CM89" i="1"/>
  <c r="CM120" i="1"/>
  <c r="CM116" i="1" s="1"/>
  <c r="CM88" i="1"/>
  <c r="CM119" i="1"/>
  <c r="CM115" i="1" s="1"/>
  <c r="CM223" i="1" l="1"/>
  <c r="CM260" i="1"/>
  <c r="CM258" i="1"/>
  <c r="CM256" i="1"/>
  <c r="CN221" i="1"/>
  <c r="CM177" i="1"/>
  <c r="CM180" i="1"/>
  <c r="CM178" i="1" l="1"/>
  <c r="CN43" i="1"/>
  <c r="CN264" i="1" s="1"/>
  <c r="CM121" i="1"/>
  <c r="CM122" i="1" l="1"/>
  <c r="CM125" i="1" s="1"/>
  <c r="CM123" i="1"/>
  <c r="CM126" i="1" s="1"/>
  <c r="CN45" i="1"/>
  <c r="CN46" i="1" l="1"/>
  <c r="CN48" i="1" s="1"/>
  <c r="CN50" i="1" l="1"/>
  <c r="CN51" i="1"/>
  <c r="CN55" i="1"/>
  <c r="CN246" i="1"/>
  <c r="CN49" i="1"/>
  <c r="CN257" i="1" s="1"/>
  <c r="CN239" i="1"/>
  <c r="CN73" i="1" l="1"/>
  <c r="CN205" i="1"/>
  <c r="CN207" i="1" s="1"/>
  <c r="CN211" i="1" s="1"/>
  <c r="CN225" i="1" s="1"/>
  <c r="CN131" i="1"/>
  <c r="CN76" i="1" l="1"/>
  <c r="CN132" i="1"/>
  <c r="CN77" i="1" l="1"/>
  <c r="CN141" i="1"/>
  <c r="CN62" i="1" s="1"/>
  <c r="CN219" i="1"/>
  <c r="CN217" i="1" s="1"/>
  <c r="CN222" i="1" s="1"/>
  <c r="CN99" i="1"/>
  <c r="CN101" i="1" s="1"/>
  <c r="CN61" i="1"/>
  <c r="CN92" i="1"/>
  <c r="CN85" i="1"/>
  <c r="CN86" i="1"/>
  <c r="CJ96" i="1"/>
  <c r="CN88" i="1" l="1"/>
  <c r="CN119" i="1"/>
  <c r="CN115" i="1" s="1"/>
  <c r="CN172" i="1"/>
  <c r="CN173" i="1" s="1"/>
  <c r="CN120" i="1"/>
  <c r="CN116" i="1" s="1"/>
  <c r="CN89" i="1"/>
  <c r="CN223" i="1" l="1"/>
  <c r="CN260" i="1"/>
  <c r="CN258" i="1"/>
  <c r="CN256" i="1"/>
  <c r="CN177" i="1"/>
  <c r="CN180" i="1"/>
  <c r="CO221" i="1"/>
  <c r="CN178" i="1" l="1"/>
  <c r="CO43" i="1"/>
  <c r="CO264" i="1" s="1"/>
  <c r="CN121" i="1"/>
  <c r="CO45" i="1" l="1"/>
  <c r="CN123" i="1"/>
  <c r="CN126" i="1" s="1"/>
  <c r="CN122" i="1"/>
  <c r="CN125" i="1" s="1"/>
  <c r="CO46" i="1" l="1"/>
  <c r="CO48" i="1" l="1"/>
  <c r="CO49" i="1" l="1"/>
  <c r="CO257" i="1" s="1"/>
  <c r="CO51" i="1"/>
  <c r="CO50" i="1"/>
  <c r="CO246" i="1"/>
  <c r="CO55" i="1"/>
  <c r="CO239" i="1"/>
  <c r="CO73" i="1" l="1"/>
  <c r="CO205" i="1"/>
  <c r="CO207" i="1" s="1"/>
  <c r="CO211" i="1" s="1"/>
  <c r="CO225" i="1" s="1"/>
  <c r="CO131" i="1"/>
  <c r="CO132" i="1" l="1"/>
  <c r="CO76" i="1"/>
  <c r="CK96" i="1" s="1"/>
  <c r="CO77" i="1" l="1"/>
  <c r="CO86" i="1"/>
  <c r="CO92" i="1"/>
  <c r="CO85" i="1"/>
  <c r="CO99" i="1"/>
  <c r="CO101" i="1" s="1"/>
  <c r="CO219" i="1"/>
  <c r="CO217" i="1" s="1"/>
  <c r="CO222" i="1" s="1"/>
  <c r="CO141" i="1"/>
  <c r="CO62" i="1" s="1"/>
  <c r="CO61" i="1"/>
  <c r="CO172" i="1" l="1"/>
  <c r="CO173" i="1" s="1"/>
  <c r="CO88" i="1"/>
  <c r="CO119" i="1"/>
  <c r="CO115" i="1" s="1"/>
  <c r="CO120" i="1"/>
  <c r="CO116" i="1" s="1"/>
  <c r="CO89" i="1"/>
  <c r="CO223" i="1" l="1"/>
  <c r="CO258" i="1"/>
  <c r="CO256" i="1"/>
  <c r="CO260" i="1"/>
  <c r="CO177" i="1"/>
  <c r="CO180" i="1"/>
  <c r="CP221" i="1"/>
  <c r="CP43" i="1" l="1"/>
  <c r="CP264" i="1" s="1"/>
  <c r="CO121" i="1"/>
  <c r="CO178" i="1"/>
  <c r="CO123" i="1" l="1"/>
  <c r="CO126" i="1" s="1"/>
  <c r="CO122" i="1"/>
  <c r="CO125" i="1" s="1"/>
  <c r="CP45" i="1"/>
  <c r="AB43" i="1"/>
  <c r="AB44" i="1" l="1"/>
  <c r="AB264" i="1"/>
  <c r="AB45" i="1"/>
  <c r="CP46" i="1"/>
  <c r="AB46" i="1" s="1"/>
  <c r="AB47" i="1" l="1"/>
  <c r="CP48" i="1"/>
  <c r="CP49" i="1" s="1"/>
  <c r="CP257" i="1" s="1"/>
  <c r="AB48" i="1"/>
  <c r="CP50" i="1" l="1"/>
  <c r="CP239" i="1"/>
  <c r="CP246" i="1"/>
  <c r="CP55" i="1"/>
  <c r="CP131" i="1" s="1"/>
  <c r="CP51" i="1"/>
  <c r="AB50" i="1"/>
  <c r="AB55" i="1"/>
  <c r="AB49" i="1"/>
  <c r="AB257" i="1" s="1"/>
  <c r="AB68" i="1"/>
  <c r="CP205" i="1" l="1"/>
  <c r="CP207" i="1" s="1"/>
  <c r="CP211" i="1" s="1"/>
  <c r="CP225" i="1" s="1"/>
  <c r="CP73" i="1"/>
  <c r="CP76" i="1" s="1"/>
  <c r="CL96" i="1" s="1"/>
  <c r="AB131" i="1"/>
  <c r="AB132" i="1" s="1"/>
  <c r="AB61" i="1" s="1"/>
  <c r="CP132" i="1"/>
  <c r="AB58" i="1"/>
  <c r="AB59" i="1" s="1"/>
  <c r="AB205" i="1"/>
  <c r="AB207" i="1" s="1"/>
  <c r="AB211" i="1" s="1"/>
  <c r="AB225" i="1" s="1"/>
  <c r="CP77" i="1" l="1"/>
  <c r="AB141" i="1"/>
  <c r="AB62" i="1" s="1"/>
  <c r="AB187" i="1"/>
  <c r="AB219" i="1"/>
  <c r="AB217" i="1" s="1"/>
  <c r="AB222" i="1" s="1"/>
  <c r="CP85" i="1"/>
  <c r="CP92" i="1"/>
  <c r="CP86" i="1"/>
  <c r="CP219" i="1"/>
  <c r="CP217" i="1" s="1"/>
  <c r="CP222" i="1" s="1"/>
  <c r="CP141" i="1"/>
  <c r="CP62" i="1" s="1"/>
  <c r="CP99" i="1"/>
  <c r="CP101" i="1" s="1"/>
  <c r="CP61" i="1"/>
  <c r="CP172" i="1" l="1"/>
  <c r="CP88" i="1"/>
  <c r="CP119" i="1"/>
  <c r="CP115" i="1" s="1"/>
  <c r="AB85" i="1"/>
  <c r="CP120" i="1"/>
  <c r="CP116" i="1" s="1"/>
  <c r="CP89" i="1"/>
  <c r="AB86" i="1"/>
  <c r="AB89" i="1" l="1"/>
  <c r="CP173" i="1"/>
  <c r="AB172" i="1"/>
  <c r="AB173" i="1" s="1"/>
  <c r="AB88" i="1"/>
  <c r="AB260" i="1" l="1"/>
  <c r="AB258" i="1"/>
  <c r="AB256" i="1"/>
  <c r="CP258" i="1"/>
  <c r="CP256" i="1"/>
  <c r="CP260" i="1"/>
  <c r="CP177" i="1"/>
  <c r="CQ221" i="1"/>
  <c r="CP180" i="1"/>
  <c r="CP223" i="1"/>
  <c r="AB180" i="1"/>
  <c r="AB121" i="1" s="1"/>
  <c r="AB177" i="1"/>
  <c r="AC221" i="1"/>
  <c r="AB223" i="1"/>
  <c r="AB178" i="1" l="1"/>
  <c r="CP121" i="1"/>
  <c r="CQ43" i="1"/>
  <c r="CQ264" i="1" s="1"/>
  <c r="CP178" i="1"/>
  <c r="CQ45" i="1" l="1"/>
  <c r="CP122" i="1"/>
  <c r="CP125" i="1" s="1"/>
  <c r="CP123" i="1"/>
  <c r="CP126" i="1" s="1"/>
  <c r="CQ46" i="1" l="1"/>
  <c r="CQ48" i="1" s="1"/>
  <c r="CQ55" i="1" l="1"/>
  <c r="CQ49" i="1"/>
  <c r="CQ257" i="1" s="1"/>
  <c r="CQ50" i="1"/>
  <c r="CQ51" i="1"/>
  <c r="CQ246" i="1"/>
  <c r="CQ239" i="1"/>
  <c r="CQ73" i="1" l="1"/>
  <c r="CQ205" i="1"/>
  <c r="CQ207" i="1" s="1"/>
  <c r="CQ211" i="1" s="1"/>
  <c r="CQ225" i="1" s="1"/>
  <c r="CQ131" i="1"/>
  <c r="CQ132" i="1" l="1"/>
  <c r="CQ76" i="1"/>
  <c r="CQ77" i="1" l="1"/>
  <c r="CQ86" i="1"/>
  <c r="CQ85" i="1"/>
  <c r="CQ92" i="1"/>
  <c r="CQ141" i="1"/>
  <c r="CQ62" i="1" s="1"/>
  <c r="CQ219" i="1"/>
  <c r="CQ217" i="1" s="1"/>
  <c r="CQ222" i="1" s="1"/>
  <c r="CQ99" i="1"/>
  <c r="CQ101" i="1" s="1"/>
  <c r="CQ61" i="1"/>
  <c r="CQ172" i="1" l="1"/>
  <c r="CQ173" i="1" s="1"/>
  <c r="CQ223" i="1" s="1"/>
  <c r="CQ119" i="1"/>
  <c r="CQ115" i="1" s="1"/>
  <c r="CQ88" i="1"/>
  <c r="CQ120" i="1"/>
  <c r="CQ116" i="1" s="1"/>
  <c r="CQ89" i="1"/>
  <c r="CQ260" i="1" l="1"/>
  <c r="CQ258" i="1"/>
  <c r="CQ256" i="1"/>
  <c r="CQ180" i="1"/>
  <c r="CR221" i="1"/>
  <c r="CQ177" i="1"/>
  <c r="CQ178" i="1" l="1"/>
  <c r="CQ121" i="1"/>
  <c r="CR43" i="1"/>
  <c r="CR264" i="1" s="1"/>
  <c r="CR45" i="1" l="1"/>
  <c r="CQ122" i="1"/>
  <c r="CQ125" i="1" s="1"/>
  <c r="CQ123" i="1"/>
  <c r="CQ126" i="1" s="1"/>
  <c r="CR46" i="1" l="1"/>
  <c r="CR48" i="1" s="1"/>
  <c r="CR246" i="1" l="1"/>
  <c r="CR49" i="1"/>
  <c r="CR257" i="1" s="1"/>
  <c r="CR55" i="1"/>
  <c r="CR50" i="1"/>
  <c r="CR51" i="1"/>
  <c r="CR239" i="1"/>
  <c r="CR73" i="1" l="1"/>
  <c r="CR205" i="1"/>
  <c r="CR207" i="1" s="1"/>
  <c r="CR211" i="1" s="1"/>
  <c r="CR225" i="1" s="1"/>
  <c r="CR131" i="1"/>
  <c r="CR132" i="1" l="1"/>
  <c r="CR76" i="1"/>
  <c r="CR77" i="1" l="1"/>
  <c r="CR92" i="1"/>
  <c r="CR85" i="1"/>
  <c r="CR86" i="1"/>
  <c r="CR141" i="1"/>
  <c r="CR62" i="1" s="1"/>
  <c r="CR219" i="1"/>
  <c r="CR217" i="1" s="1"/>
  <c r="CR222" i="1" s="1"/>
  <c r="CR99" i="1"/>
  <c r="CR101" i="1" s="1"/>
  <c r="CR61" i="1"/>
  <c r="CR172" i="1" l="1"/>
  <c r="CR173" i="1" s="1"/>
  <c r="CR120" i="1"/>
  <c r="CR116" i="1" s="1"/>
  <c r="CR89" i="1"/>
  <c r="CR119" i="1"/>
  <c r="CR115" i="1" s="1"/>
  <c r="CR88" i="1"/>
  <c r="CR260" i="1" l="1"/>
  <c r="CR258" i="1"/>
  <c r="CR256" i="1"/>
  <c r="CS221" i="1"/>
  <c r="CR180" i="1"/>
  <c r="CR177" i="1"/>
  <c r="CR223" i="1"/>
  <c r="CR178" i="1" l="1"/>
  <c r="CR121" i="1"/>
  <c r="CS43" i="1"/>
  <c r="CS264" i="1" s="1"/>
  <c r="CS45" i="1" l="1"/>
  <c r="CR122" i="1"/>
  <c r="CR125" i="1" s="1"/>
  <c r="CR123" i="1"/>
  <c r="CR126" i="1" s="1"/>
  <c r="CS46" i="1" l="1"/>
  <c r="CS48" i="1" l="1"/>
  <c r="CS55" i="1" l="1"/>
  <c r="CS51" i="1"/>
  <c r="CS246" i="1"/>
  <c r="CS50" i="1"/>
  <c r="CS49" i="1"/>
  <c r="CS257" i="1" s="1"/>
  <c r="CS239" i="1"/>
  <c r="CS73" i="1" l="1"/>
  <c r="CS205" i="1"/>
  <c r="CS207" i="1" s="1"/>
  <c r="CS211" i="1" s="1"/>
  <c r="CS225" i="1" s="1"/>
  <c r="CS131" i="1"/>
  <c r="CS132" i="1" l="1"/>
  <c r="CS76" i="1"/>
  <c r="CS77" i="1" l="1"/>
  <c r="CS85" i="1"/>
  <c r="CS86" i="1"/>
  <c r="CS92" i="1"/>
  <c r="CS141" i="1"/>
  <c r="CS62" i="1" s="1"/>
  <c r="CS99" i="1"/>
  <c r="CS101" i="1" s="1"/>
  <c r="CS219" i="1"/>
  <c r="CS217" i="1" s="1"/>
  <c r="CS222" i="1" s="1"/>
  <c r="CS61" i="1"/>
  <c r="CS172" i="1" l="1"/>
  <c r="CS173" i="1" s="1"/>
  <c r="CS120" i="1"/>
  <c r="CS116" i="1" s="1"/>
  <c r="CS89" i="1"/>
  <c r="CS119" i="1"/>
  <c r="CS115" i="1" s="1"/>
  <c r="CS88" i="1"/>
  <c r="CS258" i="1" l="1"/>
  <c r="CS260" i="1"/>
  <c r="CS256" i="1"/>
  <c r="CT221" i="1"/>
  <c r="CS177" i="1"/>
  <c r="CS180" i="1"/>
  <c r="CS223" i="1"/>
  <c r="CT43" i="1" l="1"/>
  <c r="CT264" i="1" s="1"/>
  <c r="CS121" i="1"/>
  <c r="CS178" i="1"/>
  <c r="CS123" i="1" l="1"/>
  <c r="CS126" i="1" s="1"/>
  <c r="CS122" i="1"/>
  <c r="CS125" i="1" s="1"/>
  <c r="CT45" i="1"/>
  <c r="AC43" i="1"/>
  <c r="AC44" i="1" l="1"/>
  <c r="AC264" i="1"/>
  <c r="AC45" i="1"/>
  <c r="CT46" i="1"/>
  <c r="AC46" i="1" s="1"/>
  <c r="AC47" i="1" l="1"/>
  <c r="CT48" i="1"/>
  <c r="CT51" i="1" s="1"/>
  <c r="AC48" i="1"/>
  <c r="CT50" i="1" l="1"/>
  <c r="CT55" i="1"/>
  <c r="CT246" i="1"/>
  <c r="CT239" i="1"/>
  <c r="CT49" i="1"/>
  <c r="CT257" i="1" s="1"/>
  <c r="AC50" i="1"/>
  <c r="AC49" i="1"/>
  <c r="AC257" i="1" s="1"/>
  <c r="AC68" i="1"/>
  <c r="AC55" i="1"/>
  <c r="CT131" i="1" l="1"/>
  <c r="CT73" i="1"/>
  <c r="CT76" i="1" s="1"/>
  <c r="CT205" i="1"/>
  <c r="CT207" i="1" s="1"/>
  <c r="CT211" i="1" s="1"/>
  <c r="CT225" i="1" s="1"/>
  <c r="AC58" i="1"/>
  <c r="AC59" i="1" s="1"/>
  <c r="AC205" i="1"/>
  <c r="AC207" i="1" s="1"/>
  <c r="AC211" i="1" s="1"/>
  <c r="AC225" i="1" s="1"/>
  <c r="CT132" i="1" l="1"/>
  <c r="AC131" i="1"/>
  <c r="AC132" i="1" s="1"/>
  <c r="AC141" i="1" s="1"/>
  <c r="AC62" i="1" s="1"/>
  <c r="CT77" i="1"/>
  <c r="CT92" i="1"/>
  <c r="CT85" i="1"/>
  <c r="CT86" i="1"/>
  <c r="CT141" i="1" l="1"/>
  <c r="CT62" i="1" s="1"/>
  <c r="CT99" i="1"/>
  <c r="CT101" i="1" s="1"/>
  <c r="CT219" i="1"/>
  <c r="CT217" i="1" s="1"/>
  <c r="CT222" i="1" s="1"/>
  <c r="CT172" i="1" s="1"/>
  <c r="CT61" i="1"/>
  <c r="AC61" i="1"/>
  <c r="AC219" i="1"/>
  <c r="AC217" i="1" s="1"/>
  <c r="AC222" i="1" s="1"/>
  <c r="AC187" i="1"/>
  <c r="CT119" i="1"/>
  <c r="CT115" i="1" s="1"/>
  <c r="CT88" i="1"/>
  <c r="AC85" i="1"/>
  <c r="CT120" i="1"/>
  <c r="CT116" i="1" s="1"/>
  <c r="CT89" i="1"/>
  <c r="AC86" i="1"/>
  <c r="AC88" i="1" l="1"/>
  <c r="CT173" i="1"/>
  <c r="AC172" i="1"/>
  <c r="AC173" i="1" s="1"/>
  <c r="AC89" i="1"/>
  <c r="CT258" i="1" l="1"/>
  <c r="CT260" i="1"/>
  <c r="CT256" i="1"/>
  <c r="AC260" i="1"/>
  <c r="AC258" i="1"/>
  <c r="AC256" i="1"/>
  <c r="CU221" i="1"/>
  <c r="CT177" i="1"/>
  <c r="CT180" i="1"/>
  <c r="CT223" i="1"/>
  <c r="AD221" i="1"/>
  <c r="AC180" i="1"/>
  <c r="AC121" i="1" s="1"/>
  <c r="AC177" i="1"/>
  <c r="AC223" i="1"/>
  <c r="AC178" i="1" l="1"/>
  <c r="CT178" i="1"/>
  <c r="CT121" i="1"/>
  <c r="CU43" i="1"/>
  <c r="CU264" i="1" s="1"/>
  <c r="CU45" i="1" l="1"/>
  <c r="CT122" i="1"/>
  <c r="CT125" i="1" s="1"/>
  <c r="CT123" i="1"/>
  <c r="CT126" i="1" s="1"/>
  <c r="CU46" i="1" l="1"/>
  <c r="CU48" i="1" s="1"/>
  <c r="CU49" i="1" l="1"/>
  <c r="CU257" i="1" s="1"/>
  <c r="CU50" i="1"/>
  <c r="CU51" i="1"/>
  <c r="CU55" i="1"/>
  <c r="CU246" i="1"/>
  <c r="CU239" i="1"/>
  <c r="CU205" i="1" l="1"/>
  <c r="CU207" i="1" s="1"/>
  <c r="CU211" i="1" s="1"/>
  <c r="CU225" i="1" s="1"/>
  <c r="CU73" i="1"/>
  <c r="CU131" i="1"/>
  <c r="CU132" i="1" l="1"/>
  <c r="CU76" i="1"/>
  <c r="CU77" i="1" l="1"/>
  <c r="CU92" i="1"/>
  <c r="CU86" i="1"/>
  <c r="CU85" i="1"/>
  <c r="CU141" i="1"/>
  <c r="CU62" i="1" s="1"/>
  <c r="CU219" i="1"/>
  <c r="CU217" i="1" s="1"/>
  <c r="CU222" i="1" s="1"/>
  <c r="CU99" i="1"/>
  <c r="CU101" i="1" s="1"/>
  <c r="CU61" i="1"/>
  <c r="CU172" i="1" l="1"/>
  <c r="CU173" i="1" s="1"/>
  <c r="CU119" i="1"/>
  <c r="CU115" i="1" s="1"/>
  <c r="CU88" i="1"/>
  <c r="CU120" i="1"/>
  <c r="CU116" i="1" s="1"/>
  <c r="CU89" i="1"/>
  <c r="CU260" i="1" l="1"/>
  <c r="CU256" i="1"/>
  <c r="CU258" i="1"/>
  <c r="CU177" i="1"/>
  <c r="CU180" i="1"/>
  <c r="CV221" i="1"/>
  <c r="CU223" i="1"/>
  <c r="CU178" i="1" l="1"/>
  <c r="CV43" i="1"/>
  <c r="CV264" i="1" s="1"/>
  <c r="CU121" i="1"/>
  <c r="CU122" i="1" l="1"/>
  <c r="CU125" i="1" s="1"/>
  <c r="CU123" i="1"/>
  <c r="CU126" i="1" s="1"/>
  <c r="CV45" i="1"/>
  <c r="CV46" i="1" l="1"/>
  <c r="CV48" i="1" l="1"/>
  <c r="CV55" i="1" l="1"/>
  <c r="CV246" i="1"/>
  <c r="CV49" i="1"/>
  <c r="CV257" i="1" s="1"/>
  <c r="CV51" i="1"/>
  <c r="CV50" i="1"/>
  <c r="CV239" i="1"/>
  <c r="CV205" i="1" l="1"/>
  <c r="CV207" i="1" s="1"/>
  <c r="CV211" i="1" s="1"/>
  <c r="CV225" i="1" s="1"/>
  <c r="CV73" i="1"/>
  <c r="CV131" i="1"/>
  <c r="CV132" i="1" l="1"/>
  <c r="CV76" i="1"/>
  <c r="CV77" i="1" l="1"/>
  <c r="CV85" i="1"/>
  <c r="CV86" i="1"/>
  <c r="CV92" i="1"/>
  <c r="CV99" i="1"/>
  <c r="CV101" i="1" s="1"/>
  <c r="CV141" i="1"/>
  <c r="CV62" i="1" s="1"/>
  <c r="CV219" i="1"/>
  <c r="CV217" i="1" s="1"/>
  <c r="CV222" i="1" s="1"/>
  <c r="CV61" i="1"/>
  <c r="CV172" i="1" l="1"/>
  <c r="CV173" i="1" s="1"/>
  <c r="CV120" i="1"/>
  <c r="CV116" i="1" s="1"/>
  <c r="CV89" i="1"/>
  <c r="CV119" i="1"/>
  <c r="CV115" i="1" s="1"/>
  <c r="CV88" i="1"/>
  <c r="CV258" i="1" l="1"/>
  <c r="CV256" i="1"/>
  <c r="CV260" i="1"/>
  <c r="CV180" i="1"/>
  <c r="CW221" i="1"/>
  <c r="CV177" i="1"/>
  <c r="CV223" i="1"/>
  <c r="CV178" i="1" l="1"/>
  <c r="CV121" i="1"/>
  <c r="CW43" i="1"/>
  <c r="CW264" i="1" s="1"/>
  <c r="CW45" i="1" l="1"/>
  <c r="CV123" i="1"/>
  <c r="CV126" i="1" s="1"/>
  <c r="CV122" i="1"/>
  <c r="CV125" i="1" s="1"/>
  <c r="CW46" i="1" l="1"/>
  <c r="CW48" i="1" l="1"/>
  <c r="CW49" i="1" l="1"/>
  <c r="CW257" i="1" s="1"/>
  <c r="CW51" i="1"/>
  <c r="CW55" i="1"/>
  <c r="CW50" i="1"/>
  <c r="CW246" i="1"/>
  <c r="CW239" i="1"/>
  <c r="CW205" i="1" l="1"/>
  <c r="CW207" i="1" s="1"/>
  <c r="CW211" i="1" s="1"/>
  <c r="CW225" i="1" s="1"/>
  <c r="CW73" i="1"/>
  <c r="CW131" i="1"/>
  <c r="CW132" i="1" l="1"/>
  <c r="CW76" i="1"/>
  <c r="CW77" i="1" l="1"/>
  <c r="CW92" i="1"/>
  <c r="CW86" i="1"/>
  <c r="CW85" i="1"/>
  <c r="CW219" i="1"/>
  <c r="CW217" i="1" s="1"/>
  <c r="CW222" i="1" s="1"/>
  <c r="CW141" i="1"/>
  <c r="CW62" i="1" s="1"/>
  <c r="CW99" i="1"/>
  <c r="CW101" i="1" s="1"/>
  <c r="CW61" i="1"/>
  <c r="CW172" i="1" l="1"/>
  <c r="CW173" i="1" s="1"/>
  <c r="CW119" i="1"/>
  <c r="CW115" i="1" s="1"/>
  <c r="CW88" i="1"/>
  <c r="CW120" i="1"/>
  <c r="CW116" i="1" s="1"/>
  <c r="CW89" i="1"/>
  <c r="CW258" i="1" l="1"/>
  <c r="CW256" i="1"/>
  <c r="CW260" i="1"/>
  <c r="CW177" i="1"/>
  <c r="CX221" i="1"/>
  <c r="CW180" i="1"/>
  <c r="CW223" i="1"/>
  <c r="CX43" i="1" l="1"/>
  <c r="CX264" i="1" s="1"/>
  <c r="CW121" i="1"/>
  <c r="CW178" i="1"/>
  <c r="CW122" i="1" l="1"/>
  <c r="CW125" i="1" s="1"/>
  <c r="CW123" i="1"/>
  <c r="CW126" i="1" s="1"/>
  <c r="CX45" i="1"/>
  <c r="AD43" i="1"/>
  <c r="AD44" i="1" l="1"/>
  <c r="AD264" i="1"/>
  <c r="AD45" i="1"/>
  <c r="CX46" i="1"/>
  <c r="AD46" i="1" s="1"/>
  <c r="AD47" i="1" l="1"/>
  <c r="CX48" i="1"/>
  <c r="CX239" i="1" s="1"/>
  <c r="AD48" i="1"/>
  <c r="CX51" i="1" l="1"/>
  <c r="CX246" i="1"/>
  <c r="CX55" i="1"/>
  <c r="CX49" i="1"/>
  <c r="CX257" i="1" s="1"/>
  <c r="CX50" i="1"/>
  <c r="AD50" i="1"/>
  <c r="AD68" i="1"/>
  <c r="AD55" i="1"/>
  <c r="AD49" i="1"/>
  <c r="AD257" i="1" s="1"/>
  <c r="CX73" i="1" l="1"/>
  <c r="CX76" i="1" s="1"/>
  <c r="CX205" i="1"/>
  <c r="CX207" i="1" s="1"/>
  <c r="CX211" i="1" s="1"/>
  <c r="CX225" i="1" s="1"/>
  <c r="CX131" i="1"/>
  <c r="AD58" i="1"/>
  <c r="AD59" i="1" s="1"/>
  <c r="AD205" i="1"/>
  <c r="AD207" i="1" s="1"/>
  <c r="AD211" i="1" s="1"/>
  <c r="AD225" i="1" s="1"/>
  <c r="AD131" i="1" l="1"/>
  <c r="AD132" i="1" s="1"/>
  <c r="CX132" i="1"/>
  <c r="CX219" i="1" s="1"/>
  <c r="CX217" i="1" s="1"/>
  <c r="CX222" i="1" s="1"/>
  <c r="CX77" i="1"/>
  <c r="CX85" i="1"/>
  <c r="CX92" i="1"/>
  <c r="CX86" i="1"/>
  <c r="AD187" i="1" l="1"/>
  <c r="AD141" i="1"/>
  <c r="AD62" i="1" s="1"/>
  <c r="AD61" i="1"/>
  <c r="AD219" i="1"/>
  <c r="AD217" i="1" s="1"/>
  <c r="AD222" i="1" s="1"/>
  <c r="CX141" i="1"/>
  <c r="CX62" i="1" s="1"/>
  <c r="CX99" i="1"/>
  <c r="CX101" i="1" s="1"/>
  <c r="CX61" i="1"/>
  <c r="CX172" i="1"/>
  <c r="CX89" i="1"/>
  <c r="CX120" i="1"/>
  <c r="CX116" i="1" s="1"/>
  <c r="AD86" i="1"/>
  <c r="CX119" i="1"/>
  <c r="CX115" i="1" s="1"/>
  <c r="CX88" i="1"/>
  <c r="AD85" i="1"/>
  <c r="AD89" i="1" l="1"/>
  <c r="AD88" i="1"/>
  <c r="CX173" i="1"/>
  <c r="AD172" i="1"/>
  <c r="AD173" i="1" s="1"/>
  <c r="AD260" i="1" l="1"/>
  <c r="AD258" i="1"/>
  <c r="AD256" i="1"/>
  <c r="CX260" i="1"/>
  <c r="CX258" i="1"/>
  <c r="CX256" i="1"/>
  <c r="AE221" i="1"/>
  <c r="AD177" i="1"/>
  <c r="AD180" i="1"/>
  <c r="AD121" i="1" s="1"/>
  <c r="AD223" i="1"/>
  <c r="CY221" i="1"/>
  <c r="CX177" i="1"/>
  <c r="CX180" i="1"/>
  <c r="CX223" i="1"/>
  <c r="AD178" i="1" l="1"/>
  <c r="CX121" i="1"/>
  <c r="CY43" i="1"/>
  <c r="CY264" i="1" s="1"/>
  <c r="CX178" i="1"/>
  <c r="CY45" i="1" l="1"/>
  <c r="CX122" i="1"/>
  <c r="CX125" i="1" s="1"/>
  <c r="CX123" i="1"/>
  <c r="CX126" i="1" s="1"/>
  <c r="CY46" i="1" l="1"/>
  <c r="CY48" i="1" l="1"/>
  <c r="CY49" i="1" l="1"/>
  <c r="CY257" i="1" s="1"/>
  <c r="CY246" i="1"/>
  <c r="CY50" i="1"/>
  <c r="CY51" i="1"/>
  <c r="CY55" i="1"/>
  <c r="CY239" i="1"/>
  <c r="CY73" i="1" l="1"/>
  <c r="CY205" i="1"/>
  <c r="CY207" i="1" s="1"/>
  <c r="CY211" i="1" s="1"/>
  <c r="CY225" i="1" s="1"/>
  <c r="CY131" i="1"/>
  <c r="CY132" i="1" l="1"/>
  <c r="CY76" i="1"/>
  <c r="CY77" i="1" s="1"/>
  <c r="CY85" i="1" l="1"/>
  <c r="CY92" i="1"/>
  <c r="CY86" i="1"/>
  <c r="CY99" i="1"/>
  <c r="CY101" i="1" s="1"/>
  <c r="CY141" i="1"/>
  <c r="CY62" i="1" s="1"/>
  <c r="CY219" i="1"/>
  <c r="CY217" i="1" s="1"/>
  <c r="CY222" i="1" s="1"/>
  <c r="CY61" i="1"/>
  <c r="CY172" i="1" l="1"/>
  <c r="CY173" i="1" s="1"/>
  <c r="CY120" i="1"/>
  <c r="CY116" i="1" s="1"/>
  <c r="CY89" i="1"/>
  <c r="CY88" i="1"/>
  <c r="CY119" i="1"/>
  <c r="CY115" i="1" s="1"/>
  <c r="CY223" i="1" l="1"/>
  <c r="CY260" i="1"/>
  <c r="CY258" i="1"/>
  <c r="CY256" i="1"/>
  <c r="CZ221" i="1"/>
  <c r="CY177" i="1"/>
  <c r="CY180" i="1"/>
  <c r="CY178" i="1" l="1"/>
  <c r="CZ43" i="1"/>
  <c r="CZ264" i="1" s="1"/>
  <c r="CY121" i="1"/>
  <c r="CY123" i="1" l="1"/>
  <c r="CY126" i="1" s="1"/>
  <c r="CY122" i="1"/>
  <c r="CY125" i="1" s="1"/>
  <c r="CZ45" i="1"/>
  <c r="CZ46" i="1" l="1"/>
  <c r="CZ48" i="1" l="1"/>
  <c r="CZ246" i="1" l="1"/>
  <c r="CZ50" i="1"/>
  <c r="CZ49" i="1"/>
  <c r="CZ257" i="1" s="1"/>
  <c r="CZ51" i="1"/>
  <c r="CZ55" i="1"/>
  <c r="CZ239" i="1"/>
  <c r="CZ205" i="1" l="1"/>
  <c r="CZ207" i="1" s="1"/>
  <c r="CZ211" i="1" s="1"/>
  <c r="CZ225" i="1" s="1"/>
  <c r="CZ73" i="1"/>
  <c r="CZ131" i="1"/>
  <c r="CZ132" i="1" l="1"/>
  <c r="CZ76" i="1"/>
  <c r="CZ77" i="1" s="1"/>
  <c r="CZ92" i="1" l="1"/>
  <c r="CZ86" i="1"/>
  <c r="CZ85" i="1"/>
  <c r="CZ141" i="1"/>
  <c r="CZ62" i="1" s="1"/>
  <c r="CZ219" i="1"/>
  <c r="CZ217" i="1" s="1"/>
  <c r="CZ222" i="1" s="1"/>
  <c r="CZ99" i="1"/>
  <c r="CZ101" i="1" s="1"/>
  <c r="CZ61" i="1"/>
  <c r="CZ172" i="1" l="1"/>
  <c r="CZ173" i="1" s="1"/>
  <c r="CZ119" i="1"/>
  <c r="CZ115" i="1" s="1"/>
  <c r="CZ88" i="1"/>
  <c r="CZ89" i="1"/>
  <c r="CZ120" i="1"/>
  <c r="CZ116" i="1" s="1"/>
  <c r="CZ258" i="1" l="1"/>
  <c r="CZ256" i="1"/>
  <c r="CZ260" i="1"/>
  <c r="CZ177" i="1"/>
  <c r="CZ180" i="1"/>
  <c r="DA221" i="1"/>
  <c r="CZ223" i="1"/>
  <c r="CZ121" i="1" l="1"/>
  <c r="DA43" i="1"/>
  <c r="DA264" i="1" s="1"/>
  <c r="CZ178" i="1"/>
  <c r="DA45" i="1" l="1"/>
  <c r="CZ122" i="1"/>
  <c r="CZ125" i="1" s="1"/>
  <c r="CZ123" i="1"/>
  <c r="CZ126" i="1" s="1"/>
  <c r="DA46" i="1" l="1"/>
  <c r="DA48" i="1" l="1"/>
  <c r="DA246" i="1" l="1"/>
  <c r="DA55" i="1"/>
  <c r="DA50" i="1"/>
  <c r="DA51" i="1"/>
  <c r="DA49" i="1"/>
  <c r="DA257" i="1" s="1"/>
  <c r="DA239" i="1"/>
  <c r="DA73" i="1" l="1"/>
  <c r="DA205" i="1"/>
  <c r="DA207" i="1" s="1"/>
  <c r="DA211" i="1" s="1"/>
  <c r="DA225" i="1" s="1"/>
  <c r="DA131" i="1"/>
  <c r="DA132" i="1" l="1"/>
  <c r="DA76" i="1"/>
  <c r="DA77" i="1" s="1"/>
  <c r="DA86" i="1" l="1"/>
  <c r="DA85" i="1"/>
  <c r="DA92" i="1"/>
  <c r="DA141" i="1"/>
  <c r="DA62" i="1" s="1"/>
  <c r="DA219" i="1"/>
  <c r="DA217" i="1" s="1"/>
  <c r="DA222" i="1" s="1"/>
  <c r="DA99" i="1"/>
  <c r="DA101" i="1" s="1"/>
  <c r="DA61" i="1"/>
  <c r="DA172" i="1" l="1"/>
  <c r="DA173" i="1" s="1"/>
  <c r="DA119" i="1"/>
  <c r="DA115" i="1" s="1"/>
  <c r="DA88" i="1"/>
  <c r="DA89" i="1"/>
  <c r="DA120" i="1"/>
  <c r="DA116" i="1" s="1"/>
  <c r="DA223" i="1" l="1"/>
  <c r="DA260" i="1"/>
  <c r="DA256" i="1"/>
  <c r="DA258" i="1"/>
  <c r="DA180" i="1"/>
  <c r="DB221" i="1"/>
  <c r="DA177" i="1"/>
  <c r="DA178" i="1" l="1"/>
  <c r="DA121" i="1"/>
  <c r="DB43" i="1"/>
  <c r="DB264" i="1" s="1"/>
  <c r="DA123" i="1" l="1"/>
  <c r="DA126" i="1" s="1"/>
  <c r="DA122" i="1"/>
  <c r="DA125" i="1" s="1"/>
  <c r="DB45" i="1"/>
  <c r="AE43" i="1"/>
  <c r="AE44" i="1" l="1"/>
  <c r="AE264" i="1"/>
  <c r="AE45" i="1"/>
  <c r="DB46" i="1"/>
  <c r="AE46" i="1" s="1"/>
  <c r="AE47" i="1" l="1"/>
  <c r="DB48" i="1"/>
  <c r="AE48" i="1"/>
  <c r="AE50" i="1" s="1"/>
  <c r="AE49" i="1" l="1"/>
  <c r="AE257" i="1" s="1"/>
  <c r="AE55" i="1"/>
  <c r="AE68" i="1"/>
  <c r="DB50" i="1"/>
  <c r="DB51" i="1"/>
  <c r="DB246" i="1"/>
  <c r="DB49" i="1"/>
  <c r="DB257" i="1" s="1"/>
  <c r="DB55" i="1"/>
  <c r="DB239" i="1"/>
  <c r="AE58" i="1" l="1"/>
  <c r="AE59" i="1" s="1"/>
  <c r="AE205" i="1"/>
  <c r="AE207" i="1" s="1"/>
  <c r="AE211" i="1" s="1"/>
  <c r="AE225" i="1" s="1"/>
  <c r="DB205" i="1"/>
  <c r="DB207" i="1" s="1"/>
  <c r="DB211" i="1" s="1"/>
  <c r="DB225" i="1" s="1"/>
  <c r="DB73" i="1"/>
  <c r="DB76" i="1" s="1"/>
  <c r="DB77" i="1" s="1"/>
  <c r="DB131" i="1"/>
  <c r="AE131" i="1" l="1"/>
  <c r="AE132" i="1" s="1"/>
  <c r="DB132" i="1"/>
  <c r="DB86" i="1"/>
  <c r="DB85" i="1"/>
  <c r="DB92" i="1"/>
  <c r="DB119" i="1" l="1"/>
  <c r="DB115" i="1" s="1"/>
  <c r="DB88" i="1"/>
  <c r="AE85" i="1"/>
  <c r="DB120" i="1"/>
  <c r="DB116" i="1" s="1"/>
  <c r="DB89" i="1"/>
  <c r="AE86" i="1"/>
  <c r="DB219" i="1"/>
  <c r="DB217" i="1" s="1"/>
  <c r="DB222" i="1" s="1"/>
  <c r="DB141" i="1"/>
  <c r="DB62" i="1" s="1"/>
  <c r="DB99" i="1"/>
  <c r="DB101" i="1" s="1"/>
  <c r="DB61" i="1"/>
  <c r="AE219" i="1"/>
  <c r="AE217" i="1" s="1"/>
  <c r="AE222" i="1" s="1"/>
  <c r="AE141" i="1"/>
  <c r="AE62" i="1" s="1"/>
  <c r="AE187" i="1"/>
  <c r="AE61" i="1"/>
  <c r="AE89" i="1" l="1"/>
  <c r="AE88" i="1"/>
  <c r="DB172" i="1"/>
  <c r="AE172" i="1" l="1"/>
  <c r="AE173" i="1" s="1"/>
  <c r="DB173" i="1"/>
  <c r="DB256" i="1" l="1"/>
  <c r="DB260" i="1"/>
  <c r="DB258" i="1"/>
  <c r="AE258" i="1"/>
  <c r="AE256" i="1"/>
  <c r="AE260" i="1"/>
  <c r="DB177" i="1"/>
  <c r="DB180" i="1"/>
  <c r="DB121" i="1" s="1"/>
  <c r="DB223" i="1"/>
  <c r="AE180" i="1"/>
  <c r="AE121" i="1" s="1"/>
  <c r="AE177" i="1"/>
  <c r="AE223" i="1"/>
  <c r="AE178" i="1" l="1"/>
  <c r="DB122" i="1"/>
  <c r="DB125" i="1" s="1"/>
  <c r="DB123" i="1"/>
  <c r="DB126" i="1" s="1"/>
  <c r="DB178" i="1"/>
  <c r="JE16" i="4"/>
  <c r="JB9" i="4"/>
  <c r="JB21" i="4"/>
  <c r="BV84" i="1"/>
  <c r="HY9" i="4"/>
  <c r="HY21" i="4"/>
  <c r="AS84" i="1"/>
  <c r="JE8" i="4"/>
  <c r="IB9" i="4"/>
  <c r="IF7" i="4"/>
  <c r="JA14" i="4"/>
  <c r="ID14" i="4"/>
  <c r="IM7" i="4"/>
  <c r="JE20" i="4"/>
  <c r="BY86" i="1"/>
  <c r="BY120" i="1"/>
  <c r="IM19" i="4"/>
  <c r="BG85" i="1"/>
  <c r="BV118" i="1" l="1"/>
  <c r="BV114" i="1" s="1"/>
  <c r="BV92" i="1"/>
  <c r="IF19" i="4"/>
  <c r="AZ85" i="1" s="1"/>
  <c r="JA19" i="4"/>
  <c r="BU85" i="1" s="1"/>
  <c r="ID19" i="4"/>
  <c r="AX85" i="1" s="1"/>
  <c r="BY116" i="1"/>
  <c r="IB21" i="4"/>
  <c r="AV84" i="1" s="1"/>
  <c r="BY103" i="1"/>
  <c r="BG110" i="1"/>
  <c r="BV109" i="1"/>
  <c r="BY111" i="1"/>
  <c r="AS109" i="1"/>
  <c r="BV101" i="1"/>
  <c r="AS101" i="1"/>
  <c r="JE21" i="4"/>
  <c r="BY84" i="1" s="1"/>
  <c r="AS92" i="1"/>
  <c r="BY94" i="1"/>
  <c r="BY123" i="1"/>
  <c r="BY126" i="1" s="1"/>
  <c r="BG119" i="1"/>
  <c r="BG122" i="1" s="1"/>
  <c r="BG96" i="1"/>
  <c r="BG93" i="1"/>
  <c r="BJ97" i="1" s="1"/>
  <c r="BG102" i="1"/>
  <c r="AZ96" i="1" l="1"/>
  <c r="AZ93" i="1"/>
  <c r="BC97" i="1" s="1"/>
  <c r="AZ102" i="1"/>
  <c r="AZ110" i="1"/>
  <c r="AZ119" i="1"/>
  <c r="AZ122" i="1" s="1"/>
  <c r="AZ125" i="1" s="1"/>
  <c r="BU110" i="1"/>
  <c r="BU119" i="1"/>
  <c r="AX93" i="1"/>
  <c r="BA97" i="1" s="1"/>
  <c r="AX96" i="1"/>
  <c r="AX102" i="1"/>
  <c r="AX110" i="1"/>
  <c r="AX119" i="1"/>
  <c r="AX122" i="1" s="1"/>
  <c r="AX125" i="1" s="1"/>
  <c r="AV92" i="1"/>
  <c r="AV101" i="1"/>
  <c r="AV109" i="1"/>
  <c r="BY109" i="1"/>
  <c r="BY101" i="1"/>
  <c r="BY92" i="1"/>
  <c r="BY118" i="1"/>
  <c r="BY114" i="1" s="1"/>
  <c r="BU102" i="1"/>
  <c r="BU93" i="1"/>
  <c r="BU96" i="1"/>
  <c r="BG125" i="1"/>
  <c r="BU122" i="1" l="1"/>
  <c r="BU125" i="1" s="1"/>
  <c r="BU115" i="1"/>
  <c r="BU97" i="1"/>
  <c r="BV97" i="1"/>
  <c r="BW97" i="1"/>
  <c r="BX97" i="1"/>
  <c r="AB70" i="1" l="1"/>
  <c r="AA70" i="1"/>
  <c r="Z70" i="1"/>
  <c r="Y70" i="1"/>
  <c r="X70" i="1"/>
  <c r="X72" i="1"/>
  <c r="X73" i="1"/>
  <c r="X76" i="1"/>
  <c r="X92" i="1"/>
  <c r="AC70" i="1"/>
  <c r="AD70" i="1"/>
  <c r="AE70" i="1"/>
  <c r="AE72" i="1"/>
  <c r="AE119" i="1"/>
  <c r="AE115" i="1"/>
  <c r="AE122" i="1"/>
  <c r="W70" i="1"/>
  <c r="V70" i="1"/>
  <c r="U70" i="1"/>
  <c r="T70" i="1"/>
  <c r="S70" i="1"/>
  <c r="R70" i="1"/>
  <c r="Q70" i="1"/>
  <c r="P70" i="1"/>
  <c r="O70" i="1"/>
  <c r="N70" i="1"/>
  <c r="M70" i="1"/>
  <c r="M72" i="1"/>
  <c r="M106" i="1"/>
  <c r="M109" i="1"/>
  <c r="M99" i="1"/>
  <c r="L70" i="1"/>
  <c r="K70" i="1"/>
  <c r="J70" i="1"/>
  <c r="I70" i="1"/>
  <c r="H70" i="1"/>
  <c r="G70" i="1"/>
  <c r="G72" i="1"/>
  <c r="G73" i="1"/>
  <c r="G76" i="1"/>
  <c r="M73" i="1"/>
  <c r="G120" i="1"/>
  <c r="O72" i="1"/>
  <c r="O99" i="1"/>
  <c r="O103" i="1"/>
  <c r="L72" i="1"/>
  <c r="L73" i="1"/>
  <c r="L75" i="1"/>
  <c r="L106" i="1"/>
  <c r="L109" i="1"/>
  <c r="G106" i="1"/>
  <c r="G110" i="1"/>
  <c r="H72" i="1"/>
  <c r="H99" i="1"/>
  <c r="H102" i="1"/>
  <c r="G99" i="1"/>
  <c r="G101" i="1"/>
  <c r="G119" i="1"/>
  <c r="G122" i="1"/>
  <c r="M102" i="1"/>
  <c r="T72" i="1"/>
  <c r="T119" i="1"/>
  <c r="T122" i="1"/>
  <c r="T125" i="1"/>
  <c r="U72" i="1"/>
  <c r="U99" i="1"/>
  <c r="U102" i="1"/>
  <c r="O119" i="1"/>
  <c r="O122" i="1"/>
  <c r="O125" i="1"/>
  <c r="O73" i="1"/>
  <c r="O75" i="1"/>
  <c r="O76" i="1"/>
  <c r="S72" i="1"/>
  <c r="S73" i="1"/>
  <c r="S76" i="1"/>
  <c r="S93" i="1"/>
  <c r="S77" i="1"/>
  <c r="P72" i="1"/>
  <c r="P106" i="1"/>
  <c r="P109" i="1"/>
  <c r="L111" i="1"/>
  <c r="R72" i="1"/>
  <c r="R99" i="1"/>
  <c r="R120" i="1"/>
  <c r="R73" i="1"/>
  <c r="R76" i="1"/>
  <c r="R94" i="1"/>
  <c r="U73" i="1"/>
  <c r="U76" i="1"/>
  <c r="U92" i="1"/>
  <c r="O93" i="1"/>
  <c r="H101" i="1"/>
  <c r="V72" i="1"/>
  <c r="V99" i="1"/>
  <c r="V102" i="1"/>
  <c r="T106" i="1"/>
  <c r="T111" i="1"/>
  <c r="T96" i="1"/>
  <c r="T109" i="1"/>
  <c r="P110" i="1"/>
  <c r="W72" i="1"/>
  <c r="W119" i="1"/>
  <c r="W115" i="1"/>
  <c r="L110" i="1"/>
  <c r="O106" i="1"/>
  <c r="R96" i="1"/>
  <c r="S94" i="1"/>
  <c r="O94" i="1"/>
  <c r="P99" i="1"/>
  <c r="O111" i="1"/>
  <c r="R119" i="1"/>
  <c r="R93" i="1"/>
  <c r="V106" i="1"/>
  <c r="V110" i="1"/>
  <c r="J72" i="1"/>
  <c r="J73" i="1"/>
  <c r="J76" i="1"/>
  <c r="J94" i="1"/>
  <c r="K72" i="1"/>
  <c r="AA71" i="1"/>
  <c r="AB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U118" i="1"/>
  <c r="V109" i="1"/>
  <c r="H119" i="1"/>
  <c r="H122" i="1"/>
  <c r="U101" i="1"/>
  <c r="Q96" i="1"/>
  <c r="AE118" i="1"/>
  <c r="J92" i="1"/>
  <c r="O120" i="1"/>
  <c r="M75" i="1"/>
  <c r="W73" i="1"/>
  <c r="W76" i="1"/>
  <c r="W94" i="1"/>
  <c r="AC72" i="1"/>
  <c r="AC106" i="1"/>
  <c r="AC110" i="1"/>
  <c r="W93" i="1"/>
  <c r="H73" i="1"/>
  <c r="H76" i="1"/>
  <c r="G96" i="1"/>
  <c r="U120" i="1"/>
  <c r="L99" i="1"/>
  <c r="X120" i="1"/>
  <c r="S119" i="1"/>
  <c r="Z72" i="1"/>
  <c r="Z119" i="1"/>
  <c r="Z122" i="1"/>
  <c r="Z125" i="1"/>
  <c r="P102" i="1"/>
  <c r="U106" i="1"/>
  <c r="U93" i="1"/>
  <c r="U103" i="1"/>
  <c r="G125" i="1"/>
  <c r="Q72" i="1"/>
  <c r="G102" i="1"/>
  <c r="F96" i="1"/>
  <c r="V111" i="1"/>
  <c r="J119" i="1"/>
  <c r="Q119" i="1"/>
  <c r="H120" i="1"/>
  <c r="AD72" i="1"/>
  <c r="U94" i="1"/>
  <c r="S120" i="1"/>
  <c r="M110" i="1"/>
  <c r="S99" i="1"/>
  <c r="W106" i="1"/>
  <c r="M101" i="1"/>
  <c r="X119" i="1"/>
  <c r="AD118" i="1"/>
  <c r="Y72" i="1"/>
  <c r="Y106" i="1"/>
  <c r="Y111" i="1"/>
  <c r="M120" i="1"/>
  <c r="X115" i="1"/>
  <c r="J75" i="1"/>
  <c r="AD73" i="1"/>
  <c r="AC73" i="1"/>
  <c r="AC76" i="1"/>
  <c r="AB96" i="1"/>
  <c r="AC99" i="1"/>
  <c r="AC102" i="1"/>
  <c r="O109" i="1"/>
  <c r="O110" i="1"/>
  <c r="L119" i="1"/>
  <c r="L122" i="1"/>
  <c r="AB72" i="1"/>
  <c r="AB120" i="1"/>
  <c r="AB116" i="1"/>
  <c r="I72" i="1"/>
  <c r="I119" i="1"/>
  <c r="I122" i="1"/>
  <c r="I125" i="1"/>
  <c r="W122" i="1"/>
  <c r="AE99" i="1"/>
  <c r="AE101" i="1"/>
  <c r="AC71" i="1"/>
  <c r="AD71" i="1"/>
  <c r="AE71" i="1"/>
  <c r="T99" i="1"/>
  <c r="T102" i="1"/>
  <c r="R123" i="1"/>
  <c r="AE120" i="1"/>
  <c r="AE123" i="1"/>
  <c r="AE125" i="1"/>
  <c r="R122" i="1"/>
  <c r="Z106" i="1"/>
  <c r="Z109" i="1"/>
  <c r="W99" i="1"/>
  <c r="W101" i="1"/>
  <c r="F70" i="1"/>
  <c r="E70" i="1"/>
  <c r="E72" i="1"/>
  <c r="E73" i="1"/>
  <c r="E76" i="1"/>
  <c r="E93" i="1"/>
  <c r="V103" i="1"/>
  <c r="AE106" i="1"/>
  <c r="AE111" i="1"/>
  <c r="E77" i="1"/>
  <c r="AB119" i="1"/>
  <c r="AB122" i="1"/>
  <c r="AE110" i="1"/>
  <c r="E94" i="1"/>
  <c r="U75" i="1"/>
  <c r="F72" i="1"/>
  <c r="F73" i="1"/>
  <c r="F76" i="1"/>
  <c r="E96" i="1"/>
  <c r="F92" i="1"/>
  <c r="F77" i="1"/>
  <c r="F94" i="1"/>
  <c r="P73" i="1"/>
  <c r="W118" i="1"/>
  <c r="G123" i="1"/>
  <c r="G75" i="1"/>
  <c r="M111" i="1"/>
  <c r="V73" i="1"/>
  <c r="V76" i="1"/>
  <c r="V92" i="1"/>
  <c r="T101" i="1"/>
  <c r="K106" i="1"/>
  <c r="G103" i="1"/>
  <c r="W103" i="1"/>
  <c r="D96" i="1"/>
  <c r="V120" i="1"/>
  <c r="T120" i="1"/>
  <c r="X94" i="1"/>
  <c r="V119" i="1"/>
  <c r="AC120" i="1"/>
  <c r="V118" i="1"/>
  <c r="AC93" i="1"/>
  <c r="Q120" i="1"/>
  <c r="AB73" i="1"/>
  <c r="AB76" i="1"/>
  <c r="AE73" i="1"/>
  <c r="AE76" i="1"/>
  <c r="AE93" i="1"/>
  <c r="AA96" i="1"/>
  <c r="K110" i="1"/>
  <c r="I99" i="1"/>
  <c r="I101" i="1"/>
  <c r="Y73" i="1"/>
  <c r="U77" i="1"/>
  <c r="O92" i="1"/>
  <c r="O101" i="1"/>
  <c r="K99" i="1"/>
  <c r="U119" i="1"/>
  <c r="U122" i="1"/>
  <c r="U125" i="1"/>
  <c r="J106" i="1"/>
  <c r="K101" i="1"/>
  <c r="L120" i="1"/>
  <c r="L123" i="1"/>
  <c r="L126" i="1"/>
  <c r="J93" i="1"/>
  <c r="F75" i="1"/>
  <c r="S123" i="1"/>
  <c r="AE109" i="1"/>
  <c r="I103" i="1"/>
  <c r="AB115" i="1"/>
  <c r="X93" i="1"/>
  <c r="H92" i="1"/>
  <c r="F93" i="1"/>
  <c r="AB99" i="1"/>
  <c r="X123" i="1"/>
  <c r="V123" i="1"/>
  <c r="H77" i="1"/>
  <c r="AB93" i="1"/>
  <c r="M71" i="1"/>
  <c r="L71" i="1"/>
  <c r="K71" i="1"/>
  <c r="S103" i="1"/>
  <c r="AA72" i="1"/>
  <c r="K73" i="1"/>
  <c r="AD76" i="1"/>
  <c r="G109" i="1"/>
  <c r="X122" i="1"/>
  <c r="U110" i="1"/>
  <c r="Y110" i="1"/>
  <c r="L76" i="1"/>
  <c r="AA119" i="1"/>
  <c r="AA120" i="1"/>
  <c r="H75" i="1"/>
  <c r="AD92" i="1"/>
  <c r="I73" i="1"/>
  <c r="I76" i="1"/>
  <c r="I94" i="1"/>
  <c r="L77" i="1"/>
  <c r="AC94" i="1"/>
  <c r="AD94" i="1"/>
  <c r="AA123" i="1"/>
  <c r="L125" i="1"/>
  <c r="P76" i="1"/>
  <c r="J71" i="1"/>
  <c r="I71" i="1"/>
  <c r="H71" i="1"/>
  <c r="G71" i="1"/>
  <c r="F71" i="1"/>
  <c r="E71" i="1"/>
  <c r="I120" i="1"/>
  <c r="H103" i="1"/>
  <c r="Q73" i="1"/>
  <c r="Q76" i="1"/>
  <c r="T73" i="1"/>
  <c r="X75" i="1"/>
  <c r="X118" i="1"/>
  <c r="Q99" i="1"/>
  <c r="V101" i="1"/>
  <c r="AB118" i="1"/>
  <c r="AB114" i="1"/>
  <c r="N72" i="1"/>
  <c r="N73" i="1"/>
  <c r="N75" i="1"/>
  <c r="Q75" i="1"/>
  <c r="AC103" i="1"/>
  <c r="AD75" i="1"/>
  <c r="W111" i="1"/>
  <c r="AB106" i="1"/>
  <c r="J122" i="1"/>
  <c r="Z73" i="1"/>
  <c r="Z76" i="1"/>
  <c r="Y96" i="1"/>
  <c r="Z92" i="1"/>
  <c r="AC77" i="1"/>
  <c r="AC92" i="1"/>
  <c r="H123" i="1"/>
  <c r="S106" i="1"/>
  <c r="Q106" i="1"/>
  <c r="P120" i="1"/>
  <c r="Z99" i="1"/>
  <c r="Z103" i="1"/>
  <c r="M119" i="1"/>
  <c r="P111" i="1"/>
  <c r="W120" i="1"/>
  <c r="AC75" i="1"/>
  <c r="Q122" i="1"/>
  <c r="M122" i="1"/>
  <c r="M125" i="1"/>
  <c r="P103" i="1"/>
  <c r="Y120" i="1"/>
  <c r="W96" i="1"/>
  <c r="Y109" i="1"/>
  <c r="X77" i="1"/>
  <c r="E120" i="1"/>
  <c r="E123" i="1"/>
  <c r="AC119" i="1"/>
  <c r="AC122" i="1"/>
  <c r="AC125" i="1"/>
  <c r="R106" i="1"/>
  <c r="W125" i="1"/>
  <c r="K111" i="1"/>
  <c r="AD120" i="1"/>
  <c r="F99" i="1"/>
  <c r="J77" i="1"/>
  <c r="T110" i="1"/>
  <c r="R103" i="1"/>
  <c r="J120" i="1"/>
  <c r="O77" i="1"/>
  <c r="N120" i="1"/>
  <c r="N123" i="1"/>
  <c r="N126" i="1"/>
  <c r="S92" i="1"/>
  <c r="G111" i="1"/>
  <c r="Y119" i="1"/>
  <c r="S102" i="1"/>
  <c r="AB123" i="1"/>
  <c r="F119" i="1"/>
  <c r="AE126" i="1"/>
  <c r="M76" i="1"/>
  <c r="Z110" i="1"/>
  <c r="S109" i="1"/>
  <c r="T123" i="1"/>
  <c r="T126" i="1"/>
  <c r="V122" i="1"/>
  <c r="AD99" i="1"/>
  <c r="AC123" i="1"/>
  <c r="AC126" i="1"/>
  <c r="Y123" i="1"/>
  <c r="AA73" i="1"/>
  <c r="K76" i="1"/>
  <c r="L102" i="1"/>
  <c r="E106" i="1"/>
  <c r="AD103" i="1"/>
  <c r="G126" i="1"/>
  <c r="T76" i="1"/>
  <c r="Q111" i="1"/>
  <c r="W109" i="1"/>
  <c r="W110" i="1"/>
  <c r="J125" i="1"/>
  <c r="N99" i="1"/>
  <c r="T75" i="1"/>
  <c r="Y76" i="1"/>
  <c r="Y94" i="1"/>
  <c r="R77" i="1"/>
  <c r="E99" i="1"/>
  <c r="E103" i="1"/>
  <c r="AE114" i="1"/>
  <c r="I75" i="1"/>
  <c r="K103" i="1"/>
  <c r="H106" i="1"/>
  <c r="R102" i="1"/>
  <c r="P119" i="1"/>
  <c r="P122" i="1"/>
  <c r="P125" i="1"/>
  <c r="O123" i="1"/>
  <c r="R92" i="1"/>
  <c r="Y99" i="1"/>
  <c r="AD119" i="1"/>
  <c r="F122" i="1"/>
  <c r="F125" i="1"/>
  <c r="R126" i="1"/>
  <c r="AD106" i="1"/>
  <c r="L96" i="1"/>
  <c r="AA99" i="1"/>
  <c r="AA101" i="1"/>
  <c r="M93" i="1"/>
  <c r="AB75" i="1"/>
  <c r="U109" i="1"/>
  <c r="I123" i="1"/>
  <c r="Z120" i="1"/>
  <c r="AA75" i="1"/>
  <c r="Y116" i="1"/>
  <c r="V93" i="1"/>
  <c r="F103" i="1"/>
  <c r="V116" i="1"/>
  <c r="V77" i="1"/>
  <c r="V126" i="1"/>
  <c r="J96" i="1"/>
  <c r="Y122" i="1"/>
  <c r="W75" i="1"/>
  <c r="M123" i="1"/>
  <c r="K92" i="1"/>
  <c r="Z116" i="1"/>
  <c r="L94" i="1"/>
  <c r="N103" i="1"/>
  <c r="I102" i="1"/>
  <c r="AD116" i="1"/>
  <c r="T77" i="1"/>
  <c r="N76" i="1"/>
  <c r="M96" i="1"/>
  <c r="I106" i="1"/>
  <c r="I109" i="1"/>
  <c r="I110" i="1"/>
  <c r="U114" i="1"/>
  <c r="AD115" i="1"/>
  <c r="L101" i="1"/>
  <c r="F120" i="1"/>
  <c r="F123" i="1"/>
  <c r="F126" i="1"/>
  <c r="Z101" i="1"/>
  <c r="M92" i="1"/>
  <c r="L92" i="1"/>
  <c r="L93" i="1"/>
  <c r="N93" i="1"/>
  <c r="N92" i="1"/>
  <c r="X116" i="1"/>
  <c r="AC118" i="1"/>
  <c r="AC114" i="1"/>
  <c r="Q110" i="1"/>
  <c r="K119" i="1"/>
  <c r="K122" i="1"/>
  <c r="K125" i="1"/>
  <c r="AA126" i="1"/>
  <c r="Z118" i="1"/>
  <c r="Z114" i="1"/>
  <c r="AB101" i="1"/>
  <c r="P94" i="1"/>
  <c r="S111" i="1"/>
  <c r="AC111" i="1"/>
  <c r="U115" i="1"/>
  <c r="AA116" i="1"/>
  <c r="AD122" i="1"/>
  <c r="AD125" i="1"/>
  <c r="W92" i="1"/>
  <c r="W77" i="1"/>
  <c r="I77" i="1"/>
  <c r="V114" i="1"/>
  <c r="I92" i="1"/>
  <c r="H109" i="1"/>
  <c r="I111" i="1"/>
  <c r="K120" i="1"/>
  <c r="K123" i="1"/>
  <c r="K126" i="1"/>
  <c r="J123" i="1"/>
  <c r="J126" i="1"/>
  <c r="H96" i="1"/>
  <c r="AA103" i="1"/>
  <c r="N77" i="1"/>
  <c r="AA115" i="1"/>
  <c r="AB103" i="1"/>
  <c r="E109" i="1"/>
  <c r="O96" i="1"/>
  <c r="P93" i="1"/>
  <c r="P92" i="1"/>
  <c r="AA76" i="1"/>
  <c r="X106" i="1"/>
  <c r="AD96" i="1"/>
  <c r="AD93" i="1"/>
  <c r="R75" i="1"/>
  <c r="AE102" i="1"/>
  <c r="AE116" i="1"/>
  <c r="AD110" i="1"/>
  <c r="L103" i="1"/>
  <c r="AA122" i="1"/>
  <c r="V75" i="1"/>
  <c r="X111" i="1"/>
  <c r="U123" i="1"/>
  <c r="AD101" i="1"/>
  <c r="Y103" i="1"/>
  <c r="M94" i="1"/>
  <c r="K96" i="1"/>
  <c r="N94" i="1"/>
  <c r="AA102" i="1"/>
  <c r="AA77" i="1"/>
  <c r="W123" i="1"/>
  <c r="AC96" i="1"/>
  <c r="I96" i="1"/>
  <c r="P101" i="1"/>
  <c r="P75" i="1"/>
  <c r="Q123" i="1"/>
  <c r="F106" i="1"/>
  <c r="F111" i="1"/>
  <c r="Y75" i="1"/>
  <c r="W114" i="1"/>
  <c r="R109" i="1"/>
  <c r="AA93" i="1"/>
  <c r="N101" i="1"/>
  <c r="V96" i="1"/>
  <c r="AA125" i="1"/>
  <c r="X96" i="1"/>
  <c r="Y102" i="1"/>
  <c r="J109" i="1"/>
  <c r="F110" i="1"/>
  <c r="P96" i="1"/>
  <c r="H125" i="1"/>
  <c r="K109" i="1"/>
  <c r="H94" i="1"/>
  <c r="AB94" i="1"/>
  <c r="E119" i="1"/>
  <c r="E122" i="1"/>
  <c r="E125" i="1"/>
  <c r="F109" i="1"/>
  <c r="X110" i="1"/>
  <c r="AC109" i="1"/>
  <c r="R111" i="1"/>
  <c r="AA92" i="1"/>
  <c r="E102" i="1"/>
  <c r="J111" i="1"/>
  <c r="AB92" i="1"/>
  <c r="X109" i="1"/>
  <c r="Z96" i="1"/>
  <c r="AA94" i="1"/>
  <c r="W126" i="1"/>
  <c r="Q126" i="1"/>
  <c r="U126" i="1"/>
  <c r="AE75" i="1"/>
  <c r="Y118" i="1"/>
  <c r="S75" i="1"/>
  <c r="S122" i="1"/>
  <c r="P123" i="1"/>
  <c r="AA118" i="1"/>
  <c r="N119" i="1"/>
  <c r="AC115" i="1"/>
  <c r="AB111" i="1"/>
  <c r="Z77" i="1"/>
  <c r="N102" i="1"/>
  <c r="V115" i="1"/>
  <c r="M103" i="1"/>
  <c r="T103" i="1"/>
  <c r="Y77" i="1"/>
  <c r="G77" i="1"/>
  <c r="G93" i="1"/>
  <c r="N96" i="1"/>
  <c r="R101" i="1"/>
  <c r="N106" i="1"/>
  <c r="J99" i="1"/>
  <c r="G94" i="1"/>
  <c r="H110" i="1"/>
  <c r="E101" i="1"/>
  <c r="W116" i="1"/>
  <c r="AD123" i="1"/>
  <c r="O102" i="1"/>
  <c r="G92" i="1"/>
  <c r="X99" i="1"/>
  <c r="R125" i="1"/>
  <c r="AB125" i="1"/>
  <c r="S126" i="1"/>
  <c r="AA106" i="1"/>
  <c r="Z93" i="1"/>
  <c r="Z102" i="1"/>
  <c r="AE77" i="1"/>
  <c r="AD111" i="1"/>
  <c r="AB109" i="1"/>
  <c r="Z123" i="1"/>
  <c r="Z126" i="1"/>
  <c r="S96" i="1"/>
  <c r="E126" i="1"/>
  <c r="F101" i="1"/>
  <c r="K102" i="1"/>
  <c r="E92" i="1"/>
  <c r="E75" i="1"/>
  <c r="K94" i="1"/>
  <c r="AB102" i="1"/>
  <c r="U111" i="1"/>
  <c r="AA114" i="1"/>
  <c r="S101" i="1"/>
  <c r="X125" i="1"/>
  <c r="H93" i="1"/>
  <c r="W102" i="1"/>
  <c r="AB126" i="1"/>
  <c r="V94" i="1"/>
  <c r="Z111" i="1"/>
  <c r="AD114" i="1"/>
  <c r="K75" i="1"/>
  <c r="T93" i="1"/>
  <c r="AB110" i="1"/>
  <c r="Y115" i="1"/>
  <c r="Z94" i="1"/>
  <c r="Q94" i="1"/>
  <c r="Z115" i="1"/>
  <c r="Y92" i="1"/>
  <c r="N111" i="1"/>
  <c r="J103" i="1"/>
  <c r="Q102" i="1"/>
  <c r="J110" i="1"/>
  <c r="Y101" i="1"/>
  <c r="AE92" i="1"/>
  <c r="AB77" i="1"/>
  <c r="AC101" i="1"/>
  <c r="U116" i="1"/>
  <c r="U96" i="1"/>
  <c r="AE103" i="1"/>
  <c r="E111" i="1"/>
  <c r="Q93" i="1"/>
  <c r="X126" i="1"/>
  <c r="K77" i="1"/>
  <c r="AD109" i="1"/>
  <c r="M126" i="1"/>
  <c r="AC116" i="1"/>
  <c r="AE94" i="1"/>
  <c r="K93" i="1"/>
  <c r="T94" i="1"/>
  <c r="F102" i="1"/>
  <c r="V125" i="1"/>
  <c r="Y126" i="1"/>
  <c r="I93" i="1"/>
  <c r="Q125" i="1"/>
  <c r="R110" i="1"/>
  <c r="Q109" i="1"/>
  <c r="AD102" i="1"/>
  <c r="X114" i="1"/>
  <c r="M77" i="1"/>
  <c r="AD77" i="1"/>
  <c r="Q101" i="1"/>
  <c r="O126" i="1"/>
  <c r="Y93" i="1"/>
  <c r="Q77" i="1"/>
  <c r="E110" i="1"/>
  <c r="I126" i="1"/>
  <c r="H111" i="1"/>
  <c r="Q92" i="1"/>
  <c r="S110" i="1"/>
  <c r="Z75" i="1"/>
  <c r="T92" i="1"/>
  <c r="Y125" i="1"/>
  <c r="Q103" i="1"/>
  <c r="X103" i="1"/>
  <c r="P77" i="1"/>
  <c r="H126" i="1"/>
  <c r="N122" i="1"/>
  <c r="N125" i="1"/>
  <c r="S125" i="1"/>
  <c r="J101" i="1"/>
  <c r="AD126" i="1"/>
  <c r="P126" i="1"/>
  <c r="X102" i="1"/>
  <c r="X101" i="1"/>
  <c r="AA111" i="1"/>
  <c r="AA110" i="1"/>
  <c r="AA109" i="1"/>
  <c r="Y114" i="1"/>
  <c r="N110" i="1"/>
  <c r="N109" i="1"/>
  <c r="J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<sst xmlns="http://schemas.openxmlformats.org/spreadsheetml/2006/main" count="675" uniqueCount="536">
  <si>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</si>
  <si>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</si>
  <si>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</si>
  <si>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</si>
  <si>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</si>
  <si>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</si>
  <si>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</si>
  <si>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</si>
  <si>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</si>
  <si>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</si>
  <si>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</si>
  <si>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</si>
  <si>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</si>
  <si>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</si>
  <si>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</si>
  <si>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</si>
  <si>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</si>
  <si>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</si>
  <si>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</si>
  <si>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</si>
  <si>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</si>
  <si>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</si>
  <si>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</si>
  <si>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</si>
  <si>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</si>
  <si>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</si>
  <si>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</si>
  <si>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</si>
  <si>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</si>
  <si>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</si>
  <si>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</si>
  <si>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</si>
  <si>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</si>
  <si>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</si>
  <si>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</si>
  <si>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</si>
  <si>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</si>
  <si>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</si>
  <si>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</si>
  <si>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</si>
  <si>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</si>
  <si>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</si>
  <si>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</si>
  <si>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</si>
  <si>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</si>
  <si>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</si>
  <si>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</si>
  <si>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</si>
  <si>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</si>
  <si>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</si>
  <si>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</si>
  <si>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</si>
  <si>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</si>
  <si>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</si>
  <si>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</si>
  <si>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</si>
  <si>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</si>
  <si>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</si>
  <si>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</si>
  <si>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</si>
  <si>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</si>
  <si>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</si>
  <si>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</si>
  <si>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</si>
  <si>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</si>
  <si>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</si>
  <si>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</si>
  <si>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</si>
  <si>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</si>
  <si>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</si>
  <si>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</si>
  <si>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</si>
  <si>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</si>
  <si>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</si>
  <si>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</si>
  <si>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</si>
  <si>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</si>
  <si>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</si>
  <si>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</si>
  <si>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</si>
  <si>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</si>
  <si>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</si>
  <si>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</si>
  <si>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</si>
  <si>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</si>
  <si>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</si>
  <si>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</si>
  <si>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</si>
  <si>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</si>
  <si>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</si>
  <si>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</si>
  <si>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</si>
  <si>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</si>
  <si>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</si>
  <si>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</si>
  <si>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</si>
  <si>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</si>
  <si>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</si>
  <si>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</si>
  <si>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</si>
  <si>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</si>
  <si>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</si>
  <si>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</si>
  <si>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</si>
  <si>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</si>
  <si>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</si>
  <si>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</si>
  <si>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</si>
  <si>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</si>
  <si>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</si>
  <si>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</si>
  <si>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</si>
  <si>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</si>
  <si>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</si>
  <si>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</si>
  <si>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</si>
  <si>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</si>
  <si>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</si>
  <si>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</si>
  <si>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</si>
  <si>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</si>
  <si>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</si>
  <si>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</si>
  <si>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</si>
  <si>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</si>
  <si>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</si>
  <si>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</si>
  <si>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</si>
  <si>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</si>
  <si>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</si>
  <si>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</si>
  <si>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</si>
  <si>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</si>
  <si>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</si>
  <si>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</si>
  <si>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</si>
  <si>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</si>
  <si>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</si>
  <si>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</si>
  <si>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</si>
  <si>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</si>
  <si>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</si>
  <si>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</si>
  <si>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</si>
  <si>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</si>
  <si>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</si>
  <si>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</si>
  <si>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</si>
  <si>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</si>
  <si>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</si>
  <si>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</si>
  <si>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</si>
  <si>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</si>
  <si>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</si>
  <si>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</si>
  <si>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</si>
  <si>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</si>
  <si>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</si>
  <si>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</si>
  <si>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</si>
  <si>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</si>
  <si>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</si>
  <si>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</si>
  <si>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</si>
  <si>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</si>
  <si>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</si>
  <si>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</si>
  <si>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</si>
  <si>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</si>
  <si>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</si>
  <si>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</si>
  <si>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</si>
  <si>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</si>
  <si>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</si>
  <si>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</si>
  <si>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</si>
  <si>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</si>
  <si>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</si>
  <si>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</si>
  <si>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</si>
  <si>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</si>
  <si>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</si>
  <si>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</si>
  <si>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</si>
  <si>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</si>
  <si>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</si>
  <si>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</si>
  <si>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</si>
  <si>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</si>
  <si>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</si>
  <si>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</si>
  <si>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</si>
  <si>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</si>
  <si>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</si>
  <si>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</si>
  <si>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</si>
  <si>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</si>
  <si>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</si>
  <si>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</si>
  <si>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</si>
  <si>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</si>
  <si>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</si>
  <si>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</si>
  <si>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</si>
  <si>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</si>
  <si>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</si>
  <si>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</si>
  <si>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</si>
  <si>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</si>
  <si>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</si>
  <si>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</si>
  <si>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</si>
  <si>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</si>
  <si>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</si>
  <si>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</si>
  <si>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</si>
  <si>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</si>
  <si>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</si>
  <si>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</si>
  <si>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</si>
  <si>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</si>
  <si>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</si>
  <si>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</si>
  <si>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</si>
  <si>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</si>
  <si>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</si>
  <si>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</si>
  <si>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</si>
  <si>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</si>
  <si>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</si>
  <si>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</si>
  <si>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</si>
  <si>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</si>
  <si>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</si>
  <si>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</si>
  <si>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</si>
  <si>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</si>
  <si>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</si>
  <si>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</si>
  <si>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</si>
  <si>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</si>
  <si>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</si>
  <si>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</si>
  <si>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</si>
  <si>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</si>
  <si>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</si>
  <si>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</si>
  <si>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</si>
  <si>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</si>
  <si>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</si>
  <si>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</si>
  <si>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</si>
  <si>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</si>
  <si>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</si>
  <si>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</si>
  <si>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</si>
  <si>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</si>
  <si>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</si>
  <si>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</si>
  <si>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</si>
  <si>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</si>
  <si>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</si>
  <si>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</si>
  <si>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</si>
  <si>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</si>
  <si>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</si>
  <si>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</si>
  <si>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</si>
  <si>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</si>
  <si>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</si>
  <si>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</si>
  <si>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</si>
  <si>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</si>
  <si>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</si>
  <si>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</si>
  <si>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</si>
  <si>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</si>
  <si>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</si>
  <si>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</si>
  <si>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</si>
  <si>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</si>
  <si>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</si>
  <si>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</si>
  <si>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</si>
  <si>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</si>
  <si>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</si>
  <si>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</si>
  <si>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</si>
  <si>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</si>
  <si>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</si>
  <si>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</si>
  <si>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</si>
  <si>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</si>
  <si>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</si>
  <si>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</si>
  <si>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</si>
  <si>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</si>
  <si>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</si>
  <si>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</si>
  <si>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</si>
  <si>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</si>
  <si>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</si>
  <si>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</si>
  <si>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</si>
  <si>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</si>
  <si>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</si>
  <si>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</si>
  <si>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</si>
  <si>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</si>
  <si>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</si>
  <si>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</si>
  <si>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</si>
  <si>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</si>
  <si>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</si>
  <si>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</si>
  <si>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</si>
  <si>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</si>
  <si>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</si>
  <si>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</si>
  <si>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</si>
  <si>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</si>
  <si>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</si>
  <si>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</si>
  <si>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</si>
  <si>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</si>
  <si>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</si>
  <si>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</si>
  <si>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</si>
  <si>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</si>
  <si>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</si>
  <si>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</si>
  <si>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</si>
  <si>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</si>
  <si>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</si>
  <si>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</si>
  <si>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</si>
  <si>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</si>
  <si>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</si>
  <si>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</si>
  <si>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</si>
  <si>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</si>
  <si>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</si>
  <si>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</si>
  <si>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</si>
  <si>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</si>
  <si>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</si>
  <si>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</si>
  <si>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</si>
  <si>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</si>
  <si>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</si>
  <si>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</si>
  <si>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</si>
  <si>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</si>
  <si>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</si>
  <si>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</si>
  <si>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</si>
  <si>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</si>
  <si>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</si>
  <si>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</si>
  <si>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</si>
  <si>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</si>
  <si>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</si>
  <si>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</si>
  <si>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</si>
  <si>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</si>
  <si>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</si>
  <si>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</si>
  <si>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</si>
  <si>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</si>
  <si>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</si>
  <si>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</si>
  <si>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</si>
  <si>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</si>
  <si>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</si>
  <si>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</si>
  <si>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</si>
  <si>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</si>
  <si>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</si>
  <si>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</si>
  <si>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</si>
  <si>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</si>
  <si>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</si>
  <si>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</si>
  <si>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</si>
  <si>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</si>
  <si>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</si>
  <si>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</si>
  <si>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</si>
  <si>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</si>
  <si>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</si>
  <si>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</si>
  <si>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</si>
  <si>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</si>
  <si>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</si>
  <si>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</si>
  <si>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</si>
  <si>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</si>
  <si>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</si>
  <si>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</si>
  <si>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</si>
  <si>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</si>
  <si>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</si>
  <si>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</si>
  <si>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</si>
  <si>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</si>
  <si>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</si>
  <si>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</si>
  <si>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</si>
  <si>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</si>
  <si>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</si>
  <si>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</si>
  <si>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</si>
  <si>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</si>
  <si>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</si>
  <si>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</si>
  <si>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</si>
  <si>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</si>
  <si>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</si>
  <si>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</si>
  <si>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</si>
  <si>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</si>
  <si>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</si>
  <si>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</si>
  <si>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</si>
  <si>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</si>
  <si>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</si>
  <si>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</si>
  <si>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</si>
  <si>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</si>
  <si>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</si>
  <si>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</si>
  <si>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</si>
  <si>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</si>
  <si>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</si>
  <si>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</si>
  <si>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</si>
  <si>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</si>
  <si>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</si>
  <si>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</si>
  <si>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</si>
  <si>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</si>
  <si>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</si>
  <si>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</si>
  <si>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</si>
  <si>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</si>
  <si>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</si>
  <si>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</si>
  <si>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</si>
  <si>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</si>
  <si>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</si>
  <si>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</si>
  <si>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</si>
  <si>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</si>
  <si>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</si>
  <si>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</si>
  <si>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</si>
  <si>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</si>
  <si>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</si>
  <si>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</si>
  <si>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</si>
  <si>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</si>
  <si>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</si>
  <si>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</si>
  <si>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</si>
  <si>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</si>
  <si>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</si>
  <si>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</si>
  <si>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</si>
  <si>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</si>
  <si>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</si>
  <si>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</si>
  <si>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</si>
  <si>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</si>
  <si>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</si>
  <si>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</si>
  <si>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</si>
  <si>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</si>
  <si>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</si>
  <si>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</si>
  <si>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</si>
  <si>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</si>
  <si>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</si>
  <si>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</si>
  <si>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</si>
  <si>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</si>
  <si>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</si>
  <si>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</si>
  <si>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</si>
  <si>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</si>
  <si>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</si>
  <si>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</si>
  <si>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</si>
  <si>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</si>
  <si>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</si>
  <si>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</si>
  <si>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</si>
  <si>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</si>
  <si>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</si>
  <si>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</si>
  <si>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</si>
  <si>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</si>
  <si>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</si>
  <si>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</si>
  <si>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</si>
  <si>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</si>
  <si>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</si>
  <si>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</si>
  <si>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</si>
  <si>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</si>
  <si>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</si>
  <si>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</si>
  <si>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</si>
  <si>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</si>
  <si>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</si>
  <si>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</si>
  <si>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Sterling and Wilson Renewable Energy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</si>
  <si>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</si>
  <si>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</si>
  <si>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</si>
  <si>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</si>
  <si>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</si>
  <si>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</si>
  <si>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</si>
  <si>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Order Book </t>
  </si>
  <si>
    <t xml:space="preserve">Opening </t>
  </si>
  <si>
    <t>Addition</t>
  </si>
  <si>
    <t>Execution</t>
  </si>
  <si>
    <t xml:space="preserve">Closing </t>
  </si>
  <si>
    <t>Execution %</t>
  </si>
  <si>
    <t>Addition Growth %</t>
  </si>
  <si>
    <t>OB Growth %</t>
  </si>
  <si>
    <t xml:space="preserve">Mcap to order book </t>
  </si>
  <si>
    <t>Mcap to order book- Close</t>
  </si>
  <si>
    <t>Mcap to order book- High</t>
  </si>
  <si>
    <t xml:space="preserve">Mcap to order book- Low </t>
  </si>
  <si>
    <t>Market Cap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</si>
</sst>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  <xf numFmtId="43" fontId="18" fillId="2" borderId="0" xfId="2" applyFont="1" applyFill="1" applyAlignment="1">
      <alignment horizontal="left"/>
    </xf>
    <xf numFmtId="43" fontId="20" fillId="2" borderId="0" xfId="2" applyFont="1" applyFill="1" applyBorder="1"/>
    <xf numFmtId="166" fontId="9" fillId="2" borderId="0" xfId="1" applyNumberFormat="1" applyFont="1" applyFill="1" applyBorder="1"/>
    <xf numFmtId="166" fontId="9" fillId="7" borderId="0" xfId="2" applyNumberFormat="1" applyFont="1" applyFill="1" applyAlignment="1">
      <alignment horizontal="right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6"/>
  <sheetViews>
    <sheetView tabSelected="1" zoomScaleNormal="100" workbookViewId="0">
      <pane xSplit="1" ySplit="1" topLeftCell="CD74" activePane="bottomRight" state="frozen"/>
      <selection pane="topRight" activeCell="B1" sqref="B1"/>
      <selection pane="bottomLeft" activeCell="A2" sqref="A2"/>
      <selection pane="bottomRight" activeCell="CM85" sqref="CM85"/>
    </sheetView>
  </sheetViews>
  <sheetFormatPr defaultColWidth="11.140625" defaultRowHeight="12" outlineLevelRow="1" x14ac:dyDescent="0.2"/>
  <cols>
    <col min="1" max="1" width="35.85546875" style="2" customWidth="1"/>
    <col min="2" max="18" width="0" style="2" hidden="1" customWidth="1"/>
    <col min="19" max="26" width="11.140625" style="2"/>
    <col min="27" max="29" width="11.140625" style="19"/>
    <col min="30" max="31" width="12.140625" style="19" bestFit="1" customWidth="1"/>
    <col min="32" max="34" width="11.140625" style="2"/>
    <col min="35" max="59" width="0" style="2" hidden="1" customWidth="1"/>
    <col min="60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Sterling and Wilson Renewable Energy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86" t="s">
        <v>523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09" customFormat="1" x14ac:dyDescent="0.2">
      <c r="A5" s="186" t="s">
        <v>524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>
        <f>U8</f>
        <v>11395.9</v>
      </c>
      <c r="W5" s="107">
        <f t="shared" ref="W5:AE5" si="34">V8</f>
        <v>7097</v>
      </c>
      <c r="X5" s="107">
        <f t="shared" si="34"/>
        <v>3253</v>
      </c>
      <c r="Y5" s="107">
        <f t="shared" si="34"/>
        <v>4913</v>
      </c>
      <c r="Z5" s="107">
        <f t="shared" si="34"/>
        <v>8084</v>
      </c>
      <c r="AA5" s="108">
        <f t="shared" si="34"/>
        <v>9096</v>
      </c>
      <c r="AB5" s="108">
        <f t="shared" si="34"/>
        <v>11813</v>
      </c>
      <c r="AC5" s="108">
        <f t="shared" si="34"/>
        <v>13615.671778480653</v>
      </c>
      <c r="AD5" s="108">
        <f t="shared" si="34"/>
        <v>15210.08724957117</v>
      </c>
      <c r="AE5" s="108">
        <f t="shared" si="34"/>
        <v>16898.832192374917</v>
      </c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>
        <f>BL8</f>
        <v>6206</v>
      </c>
      <c r="BN5" s="107">
        <f t="shared" ref="BN5:CL5" si="35">BM8</f>
        <v>12917</v>
      </c>
      <c r="BO5" s="107">
        <f t="shared" si="35"/>
        <v>11395.9</v>
      </c>
      <c r="BP5" s="107">
        <f t="shared" si="35"/>
        <v>13974</v>
      </c>
      <c r="BQ5" s="107">
        <f t="shared" si="35"/>
        <v>9144</v>
      </c>
      <c r="BR5" s="107">
        <f t="shared" si="35"/>
        <v>8744</v>
      </c>
      <c r="BS5" s="107">
        <f t="shared" si="35"/>
        <v>7097</v>
      </c>
      <c r="BT5" s="107">
        <f t="shared" si="35"/>
        <v>8731</v>
      </c>
      <c r="BU5" s="107">
        <f t="shared" si="35"/>
        <v>6730</v>
      </c>
      <c r="BV5" s="107">
        <f t="shared" si="35"/>
        <v>5327</v>
      </c>
      <c r="BW5" s="107">
        <f t="shared" si="35"/>
        <v>3253</v>
      </c>
      <c r="BX5" s="107">
        <f t="shared" si="35"/>
        <v>2098</v>
      </c>
      <c r="BY5" s="107">
        <f t="shared" si="35"/>
        <v>2654</v>
      </c>
      <c r="BZ5" s="107">
        <f t="shared" si="35"/>
        <v>2703</v>
      </c>
      <c r="CA5" s="107">
        <f t="shared" si="35"/>
        <v>4913</v>
      </c>
      <c r="CB5" s="107">
        <f t="shared" si="35"/>
        <v>4903</v>
      </c>
      <c r="CC5" s="107">
        <f t="shared" si="35"/>
        <v>6835</v>
      </c>
      <c r="CD5" s="107">
        <f t="shared" si="35"/>
        <v>8750</v>
      </c>
      <c r="CE5" s="107">
        <f t="shared" si="35"/>
        <v>8084</v>
      </c>
      <c r="CF5" s="107">
        <f t="shared" si="35"/>
        <v>9396</v>
      </c>
      <c r="CG5" s="107">
        <f t="shared" si="35"/>
        <v>10549</v>
      </c>
      <c r="CH5" s="107">
        <f t="shared" si="35"/>
        <v>10167</v>
      </c>
      <c r="CI5" s="107">
        <f t="shared" si="35"/>
        <v>9096</v>
      </c>
      <c r="CJ5" s="107">
        <f t="shared" si="35"/>
        <v>8348</v>
      </c>
      <c r="CK5" s="107">
        <f t="shared" si="35"/>
        <v>9287</v>
      </c>
      <c r="CL5" s="107">
        <f t="shared" si="35"/>
        <v>10413</v>
      </c>
      <c r="CM5" s="108">
        <f>CL8</f>
        <v>11813</v>
      </c>
      <c r="CN5" s="108">
        <f t="shared" ref="CN5:DB5" si="36">CM8</f>
        <v>10496.243033785377</v>
      </c>
      <c r="CO5" s="108">
        <f t="shared" si="36"/>
        <v>11264.99929854135</v>
      </c>
      <c r="CP5" s="108">
        <f t="shared" si="36"/>
        <v>12465.954123172696</v>
      </c>
      <c r="CQ5" s="108">
        <f t="shared" si="36"/>
        <v>13615.671778480653</v>
      </c>
      <c r="CR5" s="108">
        <f t="shared" si="36"/>
        <v>12004.002504364351</v>
      </c>
      <c r="CS5" s="108">
        <f t="shared" si="36"/>
        <v>12772.51211569829</v>
      </c>
      <c r="CT5" s="108">
        <f t="shared" si="36"/>
        <v>14040.815344701339</v>
      </c>
      <c r="CU5" s="108">
        <f t="shared" si="36"/>
        <v>15210.08724957117</v>
      </c>
      <c r="CV5" s="108">
        <f t="shared" si="36"/>
        <v>13365.105215124284</v>
      </c>
      <c r="CW5" s="108">
        <f t="shared" si="36"/>
        <v>14202.765314606444</v>
      </c>
      <c r="CX5" s="108">
        <f t="shared" si="36"/>
        <v>15605.222361561278</v>
      </c>
      <c r="CY5" s="108">
        <f t="shared" si="36"/>
        <v>16898.832192374917</v>
      </c>
      <c r="CZ5" s="108">
        <f t="shared" si="36"/>
        <v>14815.766635438114</v>
      </c>
      <c r="DA5" s="108">
        <f t="shared" si="36"/>
        <v>15771.540244563315</v>
      </c>
      <c r="DB5" s="108">
        <f t="shared" si="36"/>
        <v>17369.639491152826</v>
      </c>
      <c r="DE5" s="117"/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>
        <f>SUM(BO6:BR6)</f>
        <v>781.90000000000146</v>
      </c>
      <c r="W6" s="156">
        <f>SUM(BS6:BV6)</f>
        <v>1354.9400000000005</v>
      </c>
      <c r="X6" s="156">
        <f>SUM(BW6:BZ6)</f>
        <v>3675.0100000000007</v>
      </c>
      <c r="Y6" s="156">
        <f>SUM(CA6:CD6)</f>
        <v>6206.37</v>
      </c>
      <c r="Z6" s="156">
        <f>SUM(CE6:CH6)</f>
        <v>7313.8600000000006</v>
      </c>
      <c r="AA6" s="157">
        <f>SUM(CI6:CL6)</f>
        <v>10265.050000000001</v>
      </c>
      <c r="AB6" s="157">
        <f>+SUM(CM6:CP6)</f>
        <v>11330.409578088002</v>
      </c>
      <c r="AC6" s="157">
        <f>+SUM(CQ6:CT6)</f>
        <v>12603.316904238171</v>
      </c>
      <c r="AD6" s="157">
        <f>+SUM(CU6:CX6)</f>
        <v>14136.002905933881</v>
      </c>
      <c r="AE6" s="157">
        <f>+SUM(CY6:DB6)</f>
        <v>15996.861257833056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87">
        <f t="shared" ref="BM6:CG6" si="37">+BM8+BM7-BM5</f>
        <v>7787.3809999999994</v>
      </c>
      <c r="BN6" s="187">
        <f t="shared" si="37"/>
        <v>539.52999999999884</v>
      </c>
      <c r="BO6" s="187">
        <f t="shared" si="37"/>
        <v>3646</v>
      </c>
      <c r="BP6" s="187">
        <f t="shared" si="37"/>
        <v>-3493.369999999999</v>
      </c>
      <c r="BQ6" s="187">
        <f t="shared" si="37"/>
        <v>911.72999999999956</v>
      </c>
      <c r="BR6" s="187">
        <f t="shared" si="37"/>
        <v>-282.45999999999913</v>
      </c>
      <c r="BS6" s="187">
        <f t="shared" si="37"/>
        <v>2828.630000000001</v>
      </c>
      <c r="BT6" s="187">
        <f t="shared" si="37"/>
        <v>-562.57999999999993</v>
      </c>
      <c r="BU6" s="187">
        <f t="shared" si="37"/>
        <v>91.859999999999673</v>
      </c>
      <c r="BV6" s="187">
        <f t="shared" si="37"/>
        <v>-1002.9700000000003</v>
      </c>
      <c r="BW6" s="187">
        <f t="shared" si="37"/>
        <v>51.930000000000291</v>
      </c>
      <c r="BX6" s="187">
        <f t="shared" si="37"/>
        <v>868.69</v>
      </c>
      <c r="BY6" s="187">
        <f t="shared" si="37"/>
        <v>455.96000000000004</v>
      </c>
      <c r="BZ6" s="187">
        <f t="shared" si="37"/>
        <v>2298.4300000000003</v>
      </c>
      <c r="CA6" s="187">
        <f t="shared" si="37"/>
        <v>504.96000000000004</v>
      </c>
      <c r="CB6" s="187">
        <f t="shared" si="37"/>
        <v>2691.5200000000004</v>
      </c>
      <c r="CC6" s="187">
        <f t="shared" si="37"/>
        <v>2497.8799999999992</v>
      </c>
      <c r="CD6" s="187">
        <f t="shared" si="37"/>
        <v>512.01000000000022</v>
      </c>
      <c r="CE6" s="187">
        <f t="shared" si="37"/>
        <v>2227.0599999999995</v>
      </c>
      <c r="CF6" s="187">
        <f t="shared" si="37"/>
        <v>2183.4899999999998</v>
      </c>
      <c r="CG6" s="187">
        <f t="shared" si="37"/>
        <v>1455.2000000000007</v>
      </c>
      <c r="CH6" s="187">
        <f t="shared" ref="CH6:CL6" si="38">+CH8+CH7-CH5</f>
        <v>1448.1100000000006</v>
      </c>
      <c r="CI6" s="187">
        <f t="shared" si="38"/>
        <v>1013.630000000001</v>
      </c>
      <c r="CJ6" s="187">
        <f t="shared" si="38"/>
        <v>2687.6000000000004</v>
      </c>
      <c r="CK6" s="187">
        <f t="shared" si="38"/>
        <v>3218.2099999999991</v>
      </c>
      <c r="CL6" s="187">
        <f t="shared" si="38"/>
        <v>3345.6100000000006</v>
      </c>
      <c r="CM6" s="157">
        <f>CI6*(1+CM10)</f>
        <v>1114.9930000000013</v>
      </c>
      <c r="CN6" s="157">
        <f t="shared" ref="CN6:DB6" si="39">CJ6*(1+CN10)</f>
        <v>2961.7352000000005</v>
      </c>
      <c r="CO6" s="157">
        <f t="shared" si="39"/>
        <v>3553.0325683999986</v>
      </c>
      <c r="CP6" s="157">
        <f t="shared" si="39"/>
        <v>3700.6488096880007</v>
      </c>
      <c r="CQ6" s="157">
        <f t="shared" si="39"/>
        <v>1235.6834281374895</v>
      </c>
      <c r="CR6" s="157">
        <f t="shared" si="39"/>
        <v>3288.7346978481719</v>
      </c>
      <c r="CS6" s="157">
        <f t="shared" si="39"/>
        <v>3953.1617436953115</v>
      </c>
      <c r="CT6" s="157">
        <f t="shared" si="39"/>
        <v>4125.7370345571981</v>
      </c>
      <c r="CU6" s="157">
        <f t="shared" si="39"/>
        <v>1380.4634361901224</v>
      </c>
      <c r="CV6" s="157">
        <f t="shared" si="39"/>
        <v>3681.7689376050412</v>
      </c>
      <c r="CW6" s="157">
        <f t="shared" si="39"/>
        <v>4435.0499543854439</v>
      </c>
      <c r="CX6" s="157">
        <f t="shared" si="39"/>
        <v>4638.7205777532736</v>
      </c>
      <c r="CY6" s="157">
        <f t="shared" si="39"/>
        <v>1555.5395787542964</v>
      </c>
      <c r="CZ6" s="157">
        <f t="shared" si="39"/>
        <v>4158.0450085535122</v>
      </c>
      <c r="DA6" s="157">
        <f t="shared" si="39"/>
        <v>5020.2453771788996</v>
      </c>
      <c r="DB6" s="157">
        <f t="shared" si="39"/>
        <v>5263.0312933463483</v>
      </c>
      <c r="DE6" s="159"/>
    </row>
    <row r="7" spans="1:110" s="158" customFormat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>
        <f>SUM(BO7:BR7)</f>
        <v>5080.8</v>
      </c>
      <c r="W7" s="156">
        <f>SUM(BS7:BV7)</f>
        <v>5198.9399999999996</v>
      </c>
      <c r="X7" s="156">
        <f>SUM(BW7:BZ7)</f>
        <v>2015.0100000000002</v>
      </c>
      <c r="Y7" s="156">
        <f>SUM(CA7:CD7)</f>
        <v>3035.37</v>
      </c>
      <c r="Z7" s="156">
        <f>SUM(CE7:CH7)</f>
        <v>6301.8600000000006</v>
      </c>
      <c r="AA7" s="157">
        <f>SUM(CI7:CL7)</f>
        <v>7548.05</v>
      </c>
      <c r="AB7" s="157">
        <f>+SUM(CM7:CP7)</f>
        <v>9527.7377996073501</v>
      </c>
      <c r="AC7" s="157">
        <f>+SUM(CQ7:CT7)</f>
        <v>11008.901433147657</v>
      </c>
      <c r="AD7" s="157">
        <f>+SUM(CU7:CX7)</f>
        <v>12447.257963130127</v>
      </c>
      <c r="AE7" s="157">
        <f>+SUM(CY7:DB7)</f>
        <v>14047.107819541399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87">
        <f>+BM15</f>
        <v>1076.3810000000001</v>
      </c>
      <c r="BN7" s="187">
        <f t="shared" ref="BN7:CG7" si="40">+BN15</f>
        <v>2060.63</v>
      </c>
      <c r="BO7" s="187">
        <f t="shared" si="40"/>
        <v>1067.9000000000001</v>
      </c>
      <c r="BP7" s="187">
        <f t="shared" si="40"/>
        <v>1336.63</v>
      </c>
      <c r="BQ7" s="187">
        <f t="shared" si="40"/>
        <v>1311.73</v>
      </c>
      <c r="BR7" s="187">
        <f t="shared" si="40"/>
        <v>1364.54</v>
      </c>
      <c r="BS7" s="187">
        <f t="shared" si="40"/>
        <v>1194.6300000000001</v>
      </c>
      <c r="BT7" s="187">
        <f t="shared" si="40"/>
        <v>1438.42</v>
      </c>
      <c r="BU7" s="187">
        <f t="shared" si="40"/>
        <v>1494.86</v>
      </c>
      <c r="BV7" s="187">
        <f t="shared" si="40"/>
        <v>1071.03</v>
      </c>
      <c r="BW7" s="187">
        <f t="shared" si="40"/>
        <v>1206.93</v>
      </c>
      <c r="BX7" s="187">
        <f t="shared" si="40"/>
        <v>312.69</v>
      </c>
      <c r="BY7" s="187">
        <f t="shared" si="40"/>
        <v>406.96</v>
      </c>
      <c r="BZ7" s="187">
        <f t="shared" si="40"/>
        <v>88.43</v>
      </c>
      <c r="CA7" s="187">
        <f t="shared" si="40"/>
        <v>514.96</v>
      </c>
      <c r="CB7" s="187">
        <f t="shared" si="40"/>
        <v>759.52</v>
      </c>
      <c r="CC7" s="187">
        <f t="shared" si="40"/>
        <v>582.88</v>
      </c>
      <c r="CD7" s="187">
        <f t="shared" si="40"/>
        <v>1178.01</v>
      </c>
      <c r="CE7" s="187">
        <f t="shared" si="40"/>
        <v>915.06</v>
      </c>
      <c r="CF7" s="187">
        <f t="shared" si="40"/>
        <v>1030.49</v>
      </c>
      <c r="CG7" s="187">
        <f t="shared" si="40"/>
        <v>1837.2</v>
      </c>
      <c r="CH7" s="187">
        <f t="shared" ref="CH7:CL7" si="41">+CH15</f>
        <v>2519.11</v>
      </c>
      <c r="CI7" s="187">
        <f t="shared" si="41"/>
        <v>1761.63</v>
      </c>
      <c r="CJ7" s="187">
        <f t="shared" si="41"/>
        <v>1748.6</v>
      </c>
      <c r="CK7" s="187">
        <f t="shared" si="41"/>
        <v>2092.21</v>
      </c>
      <c r="CL7" s="187">
        <f t="shared" si="41"/>
        <v>1945.61</v>
      </c>
      <c r="CM7" s="157">
        <f>CM5*CM11</f>
        <v>2431.7499662146265</v>
      </c>
      <c r="CN7" s="157">
        <f t="shared" ref="CN7:DB7" si="42">CN5*CN11</f>
        <v>2192.978935244028</v>
      </c>
      <c r="CO7" s="157">
        <f t="shared" si="42"/>
        <v>2352.0777437686525</v>
      </c>
      <c r="CP7" s="157">
        <f t="shared" si="42"/>
        <v>2550.9311543800436</v>
      </c>
      <c r="CQ7" s="157">
        <f t="shared" si="42"/>
        <v>2847.3527022537937</v>
      </c>
      <c r="CR7" s="157">
        <f t="shared" si="42"/>
        <v>2520.2250865142341</v>
      </c>
      <c r="CS7" s="157">
        <f t="shared" si="42"/>
        <v>2684.8585146922633</v>
      </c>
      <c r="CT7" s="157">
        <f t="shared" si="42"/>
        <v>2956.4651296873662</v>
      </c>
      <c r="CU7" s="157">
        <f t="shared" si="42"/>
        <v>3225.4454706370084</v>
      </c>
      <c r="CV7" s="157">
        <f t="shared" si="42"/>
        <v>2844.1088381228792</v>
      </c>
      <c r="CW7" s="157">
        <f t="shared" si="42"/>
        <v>3032.5929074306068</v>
      </c>
      <c r="CX7" s="157">
        <f t="shared" si="42"/>
        <v>3345.1107469396343</v>
      </c>
      <c r="CY7" s="157">
        <f t="shared" si="42"/>
        <v>3638.605135691098</v>
      </c>
      <c r="CZ7" s="157">
        <f t="shared" si="42"/>
        <v>3202.2713994283113</v>
      </c>
      <c r="DA7" s="157">
        <f t="shared" si="42"/>
        <v>3422.1461305893895</v>
      </c>
      <c r="DB7" s="157">
        <f t="shared" si="42"/>
        <v>3784.0851538326001</v>
      </c>
      <c r="DE7" s="159"/>
    </row>
    <row r="8" spans="1:110" s="109" customFormat="1" x14ac:dyDescent="0.2">
      <c r="A8" s="186" t="s">
        <v>527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>
        <f>BN8</f>
        <v>11395.9</v>
      </c>
      <c r="V8" s="107">
        <f>BR8</f>
        <v>7097</v>
      </c>
      <c r="W8" s="107">
        <f>BV8</f>
        <v>3253</v>
      </c>
      <c r="X8" s="107">
        <f>BZ8</f>
        <v>4913</v>
      </c>
      <c r="Y8" s="107">
        <f>CD8</f>
        <v>8084</v>
      </c>
      <c r="Z8" s="107">
        <f>CH8</f>
        <v>9096</v>
      </c>
      <c r="AA8" s="108">
        <f>CL8</f>
        <v>11813</v>
      </c>
      <c r="AB8" s="108">
        <f>CP8</f>
        <v>13615.671778480653</v>
      </c>
      <c r="AC8" s="108">
        <f>CT8</f>
        <v>15210.08724957117</v>
      </c>
      <c r="AD8" s="108">
        <f>CX8</f>
        <v>16898.832192374917</v>
      </c>
      <c r="AE8" s="108">
        <f>DB8</f>
        <v>18848.585630666577</v>
      </c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>
        <v>6206</v>
      </c>
      <c r="BM8" s="107">
        <v>12917</v>
      </c>
      <c r="BN8" s="107">
        <v>11395.9</v>
      </c>
      <c r="BO8" s="107">
        <v>13974</v>
      </c>
      <c r="BP8" s="107">
        <v>9144</v>
      </c>
      <c r="BQ8" s="107">
        <v>8744</v>
      </c>
      <c r="BR8" s="107">
        <v>7097</v>
      </c>
      <c r="BS8" s="107">
        <v>8731</v>
      </c>
      <c r="BT8" s="107">
        <v>6730</v>
      </c>
      <c r="BU8" s="107">
        <v>5327</v>
      </c>
      <c r="BV8" s="107">
        <v>3253</v>
      </c>
      <c r="BW8" s="107">
        <v>2098</v>
      </c>
      <c r="BX8" s="107">
        <v>2654</v>
      </c>
      <c r="BY8" s="107">
        <v>2703</v>
      </c>
      <c r="BZ8" s="107">
        <v>4913</v>
      </c>
      <c r="CA8" s="107">
        <v>4903</v>
      </c>
      <c r="CB8" s="107">
        <v>6835</v>
      </c>
      <c r="CC8" s="107">
        <v>8750</v>
      </c>
      <c r="CD8" s="107">
        <v>8084</v>
      </c>
      <c r="CE8" s="107">
        <v>9396</v>
      </c>
      <c r="CF8" s="107">
        <v>10549</v>
      </c>
      <c r="CG8" s="107">
        <v>10167</v>
      </c>
      <c r="CH8" s="107">
        <v>9096</v>
      </c>
      <c r="CI8" s="107">
        <v>8348</v>
      </c>
      <c r="CJ8" s="107">
        <v>9287</v>
      </c>
      <c r="CK8" s="107">
        <v>10413</v>
      </c>
      <c r="CL8" s="107">
        <v>11813</v>
      </c>
      <c r="CM8" s="108">
        <f>CM5+CM6-CM7</f>
        <v>10496.243033785377</v>
      </c>
      <c r="CN8" s="108">
        <f t="shared" ref="CN8:DB8" si="43">CN5+CN6-CN7</f>
        <v>11264.99929854135</v>
      </c>
      <c r="CO8" s="108">
        <f t="shared" si="43"/>
        <v>12465.954123172696</v>
      </c>
      <c r="CP8" s="108">
        <f t="shared" si="43"/>
        <v>13615.671778480653</v>
      </c>
      <c r="CQ8" s="108">
        <f t="shared" si="43"/>
        <v>12004.002504364351</v>
      </c>
      <c r="CR8" s="108">
        <f t="shared" si="43"/>
        <v>12772.51211569829</v>
      </c>
      <c r="CS8" s="108">
        <f t="shared" si="43"/>
        <v>14040.815344701339</v>
      </c>
      <c r="CT8" s="108">
        <f t="shared" si="43"/>
        <v>15210.08724957117</v>
      </c>
      <c r="CU8" s="108">
        <f t="shared" si="43"/>
        <v>13365.105215124284</v>
      </c>
      <c r="CV8" s="108">
        <f t="shared" si="43"/>
        <v>14202.765314606444</v>
      </c>
      <c r="CW8" s="108">
        <f t="shared" si="43"/>
        <v>15605.222361561278</v>
      </c>
      <c r="CX8" s="108">
        <f t="shared" si="43"/>
        <v>16898.832192374917</v>
      </c>
      <c r="CY8" s="108">
        <f t="shared" si="43"/>
        <v>14815.766635438114</v>
      </c>
      <c r="CZ8" s="108">
        <f t="shared" si="43"/>
        <v>15771.540244563315</v>
      </c>
      <c r="DA8" s="108">
        <f t="shared" si="43"/>
        <v>17369.639491152826</v>
      </c>
      <c r="DB8" s="108">
        <f t="shared" si="43"/>
        <v>18848.585630666577</v>
      </c>
      <c r="DE8" s="117"/>
    </row>
    <row r="9" spans="1:110" s="158" customFormat="1" x14ac:dyDescent="0.2">
      <c r="A9" s="155" t="s">
        <v>530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90">
        <f>V8/U8-1</f>
        <v>-0.37723216244438784</v>
      </c>
      <c r="W9" s="190">
        <f t="shared" ref="W9:AE9" si="44">W8/V8-1</f>
        <v>-0.54163731154008743</v>
      </c>
      <c r="X9" s="190">
        <f t="shared" si="44"/>
        <v>0.51029818628957879</v>
      </c>
      <c r="Y9" s="190">
        <f t="shared" si="44"/>
        <v>0.64543049053531454</v>
      </c>
      <c r="Z9" s="190">
        <f t="shared" si="44"/>
        <v>0.12518555170707568</v>
      </c>
      <c r="AA9" s="191">
        <f t="shared" si="44"/>
        <v>0.29870272647317497</v>
      </c>
      <c r="AB9" s="191">
        <f t="shared" si="44"/>
        <v>0.15260067539834532</v>
      </c>
      <c r="AC9" s="191">
        <f t="shared" si="44"/>
        <v>0.11710149135722148</v>
      </c>
      <c r="AD9" s="191">
        <f t="shared" si="44"/>
        <v>0.1110279589521328</v>
      </c>
      <c r="AE9" s="191">
        <f t="shared" si="44"/>
        <v>0.11537799867445431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88">
        <f>BP8/BL8-1</f>
        <v>0.47341282629713177</v>
      </c>
      <c r="BQ9" s="188">
        <f t="shared" ref="BQ9:CL9" si="45">BQ8/BM8-1</f>
        <v>-0.32306263064178986</v>
      </c>
      <c r="BR9" s="188">
        <f t="shared" si="45"/>
        <v>-0.37723216244438784</v>
      </c>
      <c r="BS9" s="188">
        <f t="shared" si="45"/>
        <v>-0.37519679404608564</v>
      </c>
      <c r="BT9" s="188">
        <f t="shared" si="45"/>
        <v>-0.2639982502187227</v>
      </c>
      <c r="BU9" s="188">
        <f t="shared" si="45"/>
        <v>-0.39078225068618477</v>
      </c>
      <c r="BV9" s="188">
        <f t="shared" si="45"/>
        <v>-0.54163731154008743</v>
      </c>
      <c r="BW9" s="188">
        <f t="shared" si="45"/>
        <v>-0.75970679189096324</v>
      </c>
      <c r="BX9" s="188">
        <f t="shared" si="45"/>
        <v>-0.60564635958395252</v>
      </c>
      <c r="BY9" s="188">
        <f t="shared" si="45"/>
        <v>-0.4925849446217383</v>
      </c>
      <c r="BZ9" s="188">
        <f t="shared" si="45"/>
        <v>0.51029818628957879</v>
      </c>
      <c r="CA9" s="188">
        <f t="shared" si="45"/>
        <v>1.3369876072449953</v>
      </c>
      <c r="CB9" s="188">
        <f t="shared" si="45"/>
        <v>1.5753579502637529</v>
      </c>
      <c r="CC9" s="188">
        <f t="shared" si="45"/>
        <v>2.2371439141694416</v>
      </c>
      <c r="CD9" s="188">
        <f t="shared" si="45"/>
        <v>0.64543049053531454</v>
      </c>
      <c r="CE9" s="188">
        <f t="shared" si="45"/>
        <v>0.91637772792168071</v>
      </c>
      <c r="CF9" s="188">
        <f t="shared" si="45"/>
        <v>0.54337966349670808</v>
      </c>
      <c r="CG9" s="188">
        <f t="shared" si="45"/>
        <v>0.16194285714285717</v>
      </c>
      <c r="CH9" s="188">
        <f t="shared" si="45"/>
        <v>0.12518555170707568</v>
      </c>
      <c r="CI9" s="188">
        <f t="shared" si="45"/>
        <v>-0.11153682418050237</v>
      </c>
      <c r="CJ9" s="188">
        <f t="shared" si="45"/>
        <v>-0.11963219262489333</v>
      </c>
      <c r="CK9" s="188">
        <f t="shared" si="45"/>
        <v>2.4195928002360478E-2</v>
      </c>
      <c r="CL9" s="188">
        <f t="shared" si="45"/>
        <v>0.29870272647317497</v>
      </c>
      <c r="CM9" s="189">
        <f t="shared" ref="CM9" si="46">CM8/CI8-1</f>
        <v>0.25733625225028467</v>
      </c>
      <c r="CN9" s="189">
        <f t="shared" ref="CN9" si="47">CN8/CJ8-1</f>
        <v>0.21298581872955213</v>
      </c>
      <c r="CO9" s="189">
        <f t="shared" ref="CO9" si="48">CO8/CK8-1</f>
        <v>0.19715299367835359</v>
      </c>
      <c r="CP9" s="189">
        <f t="shared" ref="CP9" si="49">CP8/CL8-1</f>
        <v>0.15260067539834532</v>
      </c>
      <c r="CQ9" s="189">
        <f t="shared" ref="CQ9" si="50">CQ8/CM8-1</f>
        <v>0.14364753805011832</v>
      </c>
      <c r="CR9" s="189">
        <f t="shared" ref="CR9" si="51">CR8/CN8-1</f>
        <v>0.13382271735712759</v>
      </c>
      <c r="CS9" s="189">
        <f t="shared" ref="CS9" si="52">CS8/CO8-1</f>
        <v>0.1263329871077552</v>
      </c>
      <c r="CT9" s="189">
        <f t="shared" ref="CT9" si="53">CT8/CP8-1</f>
        <v>0.11710149135722148</v>
      </c>
      <c r="CU9" s="189">
        <f t="shared" ref="CU9" si="54">CU8/CQ8-1</f>
        <v>0.11338740643090262</v>
      </c>
      <c r="CV9" s="189">
        <f t="shared" ref="CV9" si="55">CV8/CR8-1</f>
        <v>0.11197900506590841</v>
      </c>
      <c r="CW9" s="189">
        <f t="shared" ref="CW9" si="56">CW8/CS8-1</f>
        <v>0.1114185307942468</v>
      </c>
      <c r="CX9" s="189">
        <f t="shared" ref="CX9" si="57">CX8/CT8-1</f>
        <v>0.1110279589521328</v>
      </c>
      <c r="CY9" s="189">
        <f t="shared" ref="CY9" si="58">CY8/CU8-1</f>
        <v>0.10854096521980439</v>
      </c>
      <c r="CZ9" s="189">
        <f t="shared" ref="CZ9" si="59">CZ8/CV8-1</f>
        <v>0.11045559756898249</v>
      </c>
      <c r="DA9" s="189">
        <f t="shared" ref="DA9" si="60">DA8/CW8-1</f>
        <v>0.11306581147716632</v>
      </c>
      <c r="DB9" s="189">
        <f t="shared" ref="DB9" si="61">DB8/CX8-1</f>
        <v>0.11537799867445431</v>
      </c>
      <c r="DE9" s="159"/>
    </row>
    <row r="10" spans="1:110" s="158" customFormat="1" x14ac:dyDescent="0.2">
      <c r="A10" s="155" t="s">
        <v>529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90"/>
      <c r="W10" s="190">
        <f t="shared" ref="W10:AE10" si="62">W6/V6-1</f>
        <v>0.73288144263972121</v>
      </c>
      <c r="X10" s="190">
        <f t="shared" si="62"/>
        <v>1.7123046038938989</v>
      </c>
      <c r="Y10" s="190">
        <f t="shared" si="62"/>
        <v>0.6888035678814477</v>
      </c>
      <c r="Z10" s="190">
        <f t="shared" si="62"/>
        <v>0.17844408245077248</v>
      </c>
      <c r="AA10" s="191">
        <f t="shared" si="62"/>
        <v>0.40350649315135922</v>
      </c>
      <c r="AB10" s="191">
        <f t="shared" si="62"/>
        <v>0.10378513286228519</v>
      </c>
      <c r="AC10" s="191">
        <f t="shared" si="62"/>
        <v>0.1123443347195372</v>
      </c>
      <c r="AD10" s="191">
        <f t="shared" si="62"/>
        <v>0.12160973284582788</v>
      </c>
      <c r="AE10" s="191">
        <f t="shared" si="62"/>
        <v>0.13163964129619976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88" t="e">
        <f t="shared" ref="BP10" si="63">+IF(BL6&lt;0,1-BP6/BL6,BP6/BL6-1)</f>
        <v>#DIV/0!</v>
      </c>
      <c r="BQ10" s="188">
        <f t="shared" ref="BQ10" si="64">+IF(BM6&lt;0,1-BQ6/BM6,BQ6/BM6-1)</f>
        <v>-0.88292212747777465</v>
      </c>
      <c r="BR10" s="188">
        <f t="shared" ref="BR10" si="65">+IF(BN6&lt;0,1-BR6/BN6,BR6/BN6-1)</f>
        <v>-1.5235297388467735</v>
      </c>
      <c r="BS10" s="188">
        <f t="shared" ref="BS10" si="66">+IF(BO6&lt;0,1-BS6/BO6,BS6/BO6-1)</f>
        <v>-0.22418266593527125</v>
      </c>
      <c r="BT10" s="188">
        <f t="shared" ref="BT10" si="67">+IF(BP6&lt;0,1-BT6/BP6,BT6/BP6-1)</f>
        <v>0.83895779719869346</v>
      </c>
      <c r="BU10" s="188">
        <f t="shared" ref="BU10" si="68">+IF(BQ6&lt;0,1-BU6/BQ6,BU6/BQ6-1)</f>
        <v>-0.8992464874469418</v>
      </c>
      <c r="BV10" s="188">
        <f t="shared" ref="BV10" si="69">+IF(BR6&lt;0,1-BV6/BR6,BV6/BR6-1)</f>
        <v>-2.5508390568576202</v>
      </c>
      <c r="BW10" s="188">
        <f t="shared" ref="BW10" si="70">+IF(BS6&lt;0,1-BW6/BS6,BW6/BS6-1)</f>
        <v>-0.98164128924603067</v>
      </c>
      <c r="BX10" s="188">
        <f t="shared" ref="BX10" si="71">+IF(BT6&lt;0,1-BX6/BT6,BX6/BT6-1)</f>
        <v>2.5441181698602868</v>
      </c>
      <c r="BY10" s="188">
        <f t="shared" ref="BY10" si="72">+IF(BU6&lt;0,1-BY6/BU6,BY6/BU6-1)</f>
        <v>3.963640322229498</v>
      </c>
      <c r="BZ10" s="188">
        <f t="shared" ref="BZ10" si="73">+IF(BV6&lt;0,1-BZ6/BV6,BZ6/BV6-1)</f>
        <v>3.291623877085057</v>
      </c>
      <c r="CA10" s="188">
        <f t="shared" ref="CA10" si="74">+IF(BW6&lt;0,1-CA6/BW6,CA6/BW6-1)</f>
        <v>8.7238590410167003</v>
      </c>
      <c r="CB10" s="188">
        <f t="shared" ref="CB10" si="75">+IF(BX6&lt;0,1-CB6/BX6,CB6/BX6-1)</f>
        <v>2.0983665058881766</v>
      </c>
      <c r="CC10" s="188">
        <f t="shared" ref="CC10" si="76">+IF(BY6&lt;0,1-CC6/BY6,CC6/BY6-1)</f>
        <v>4.4782875690850057</v>
      </c>
      <c r="CD10" s="188">
        <f t="shared" ref="CD10" si="77">+IF(BZ6&lt;0,1-CD6/BZ6,CD6/BZ6-1)</f>
        <v>-0.77723489512406285</v>
      </c>
      <c r="CE10" s="188">
        <f t="shared" ref="CE10" si="78">+IF(CA6&lt;0,1-CE6/CA6,CE6/CA6-1)</f>
        <v>3.4103691381495551</v>
      </c>
      <c r="CF10" s="188">
        <f t="shared" ref="CF10" si="79">+IF(CB6&lt;0,1-CF6/CB6,CF6/CB6-1)</f>
        <v>-0.18875208060872684</v>
      </c>
      <c r="CG10" s="188">
        <f t="shared" ref="CG10" si="80">+IF(CC6&lt;0,1-CG6/CC6,CG6/CC6-1)</f>
        <v>-0.41742597722868946</v>
      </c>
      <c r="CH10" s="188">
        <f t="shared" ref="CH10" si="81">+IF(CD6&lt;0,1-CH6/CD6,CH6/CD6-1)</f>
        <v>1.8282846038163316</v>
      </c>
      <c r="CI10" s="188">
        <f t="shared" ref="CI10" si="82">+IF(CE6&lt;0,1-CI6/CE6,CI6/CE6-1)</f>
        <v>-0.54485734555871812</v>
      </c>
      <c r="CJ10" s="188">
        <f t="shared" ref="CJ10" si="83">+IF(CF6&lt;0,1-CJ6/CF6,CJ6/CF6-1)</f>
        <v>0.2308735098397523</v>
      </c>
      <c r="CK10" s="188">
        <f t="shared" ref="CK10" si="84">+IF(CG6&lt;0,1-CK6/CG6,CK6/CG6-1)</f>
        <v>1.2115241891148965</v>
      </c>
      <c r="CL10" s="188">
        <f t="shared" ref="CL10" si="85">+IF(CH6&lt;0,1-CL6/CH6,CL6/CH6-1)</f>
        <v>1.3103286352556087</v>
      </c>
      <c r="CM10" s="189">
        <f>10%</f>
        <v>0.1</v>
      </c>
      <c r="CN10" s="189">
        <f>CM10*1.02</f>
        <v>0.10200000000000001</v>
      </c>
      <c r="CO10" s="189">
        <f t="shared" ref="CO10:DB10" si="86">CN10*1.02</f>
        <v>0.10404000000000001</v>
      </c>
      <c r="CP10" s="189">
        <f t="shared" si="86"/>
        <v>0.10612080000000002</v>
      </c>
      <c r="CQ10" s="189">
        <f t="shared" si="86"/>
        <v>0.10824321600000002</v>
      </c>
      <c r="CR10" s="189">
        <f t="shared" si="86"/>
        <v>0.11040808032000002</v>
      </c>
      <c r="CS10" s="189">
        <f t="shared" si="86"/>
        <v>0.11261624192640002</v>
      </c>
      <c r="CT10" s="189">
        <f t="shared" si="86"/>
        <v>0.11486856676492802</v>
      </c>
      <c r="CU10" s="189">
        <f t="shared" si="86"/>
        <v>0.11716593810022657</v>
      </c>
      <c r="CV10" s="189">
        <f t="shared" si="86"/>
        <v>0.11950925686223111</v>
      </c>
      <c r="CW10" s="189">
        <f t="shared" si="86"/>
        <v>0.12189944199947574</v>
      </c>
      <c r="CX10" s="189">
        <f t="shared" si="86"/>
        <v>0.12433743083946525</v>
      </c>
      <c r="CY10" s="189">
        <f t="shared" si="86"/>
        <v>0.12682417945625454</v>
      </c>
      <c r="CZ10" s="189">
        <f t="shared" si="86"/>
        <v>0.12936066304537963</v>
      </c>
      <c r="DA10" s="189">
        <f t="shared" si="86"/>
        <v>0.13194787630628724</v>
      </c>
      <c r="DB10" s="189">
        <f t="shared" si="86"/>
        <v>0.13458683383241299</v>
      </c>
      <c r="DE10" s="159"/>
    </row>
    <row r="11" spans="1:110" s="158" customFormat="1" x14ac:dyDescent="0.2">
      <c r="A11" s="155" t="s">
        <v>528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90">
        <f>V7/V5</f>
        <v>0.44584455813055573</v>
      </c>
      <c r="W11" s="190">
        <f t="shared" ref="W11:AE11" si="87">W7/W5</f>
        <v>0.73255460053543742</v>
      </c>
      <c r="X11" s="190">
        <f t="shared" si="87"/>
        <v>0.61943129418997855</v>
      </c>
      <c r="Y11" s="190">
        <f t="shared" si="87"/>
        <v>0.61782414003663744</v>
      </c>
      <c r="Z11" s="190">
        <f t="shared" si="87"/>
        <v>0.77954725383473533</v>
      </c>
      <c r="AA11" s="191">
        <f t="shared" si="87"/>
        <v>0.82982080035180306</v>
      </c>
      <c r="AB11" s="191">
        <f t="shared" si="87"/>
        <v>0.80654683819583084</v>
      </c>
      <c r="AC11" s="191">
        <f t="shared" si="87"/>
        <v>0.80854632898444612</v>
      </c>
      <c r="AD11" s="191">
        <f t="shared" si="87"/>
        <v>0.81835546101032797</v>
      </c>
      <c r="AE11" s="191">
        <f t="shared" si="87"/>
        <v>0.83124725185919823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88">
        <f t="shared" ref="BP11" si="88">+BP7/BO8</f>
        <v>9.5651209388865038E-2</v>
      </c>
      <c r="BQ11" s="188">
        <f t="shared" ref="BQ11" si="89">+BQ7/BP8</f>
        <v>0.14345253718285214</v>
      </c>
      <c r="BR11" s="188">
        <f t="shared" ref="BR11" si="90">+BR7/BQ8</f>
        <v>0.15605443732845378</v>
      </c>
      <c r="BS11" s="188">
        <f t="shared" ref="BS11" si="91">+BS7/BR8</f>
        <v>0.1683288713540933</v>
      </c>
      <c r="BT11" s="188">
        <f t="shared" ref="BT11" si="92">+BT7/BS8</f>
        <v>0.16474859695338451</v>
      </c>
      <c r="BU11" s="188">
        <f t="shared" ref="BU11" si="93">+BU7/BT8</f>
        <v>0.2221188707280832</v>
      </c>
      <c r="BV11" s="188">
        <f t="shared" ref="BV11" si="94">+BV7/BU8</f>
        <v>0.20105688004505348</v>
      </c>
      <c r="BW11" s="188">
        <f t="shared" ref="BW11" si="95">+BW7/BV8</f>
        <v>0.37102059637257917</v>
      </c>
      <c r="BX11" s="188">
        <f t="shared" ref="BX11" si="96">+BX7/BW8</f>
        <v>0.14904194470924689</v>
      </c>
      <c r="BY11" s="188">
        <f t="shared" ref="BY11" si="97">+BY7/BX8</f>
        <v>0.15333835719668423</v>
      </c>
      <c r="BZ11" s="188">
        <f t="shared" ref="BZ11" si="98">+BZ7/BY8</f>
        <v>3.271550129485757E-2</v>
      </c>
      <c r="CA11" s="188">
        <f t="shared" ref="CA11" si="99">+CA7/BZ8</f>
        <v>0.10481579483004275</v>
      </c>
      <c r="CB11" s="188">
        <f t="shared" ref="CB11" si="100">+CB7/CA8</f>
        <v>0.15490923924128083</v>
      </c>
      <c r="CC11" s="188">
        <f t="shared" ref="CC11" si="101">+CC7/CB8</f>
        <v>8.5278712509144108E-2</v>
      </c>
      <c r="CD11" s="188">
        <f t="shared" ref="CD11" si="102">+CD7/CC8</f>
        <v>0.1346297142857143</v>
      </c>
      <c r="CE11" s="188">
        <f t="shared" ref="CE11" si="103">+CE7/CD8</f>
        <v>0.11319396338446314</v>
      </c>
      <c r="CF11" s="188">
        <f t="shared" ref="CF11" si="104">+CF7/CE8</f>
        <v>0.10967326521924223</v>
      </c>
      <c r="CG11" s="188">
        <f t="shared" ref="CG11" si="105">+CG7/CF8</f>
        <v>0.17415868802730117</v>
      </c>
      <c r="CH11" s="188">
        <f t="shared" ref="CH11" si="106">+CH7/CG8</f>
        <v>0.2477731877643356</v>
      </c>
      <c r="CI11" s="188">
        <f t="shared" ref="CI11" si="107">+CI7/CH8</f>
        <v>0.19367084432717679</v>
      </c>
      <c r="CJ11" s="188">
        <f t="shared" ref="CJ11" si="108">+CJ7/CI8</f>
        <v>0.20946334451365595</v>
      </c>
      <c r="CK11" s="188">
        <f t="shared" ref="CK11" si="109">+CK7/CJ8</f>
        <v>0.22528372994508453</v>
      </c>
      <c r="CL11" s="188">
        <f t="shared" ref="CL11" si="110">+CL7/CK8</f>
        <v>0.18684432920387975</v>
      </c>
      <c r="CM11" s="189">
        <f>AVERAGE(CI11:CL11)*1.01</f>
        <v>0.20585371761742374</v>
      </c>
      <c r="CN11" s="189">
        <f t="shared" ref="CN11:DB11" si="111">AVERAGE(CJ11:CM11)*1.01</f>
        <v>0.20892989312321111</v>
      </c>
      <c r="CO11" s="189">
        <f t="shared" si="111"/>
        <v>0.20879519664712376</v>
      </c>
      <c r="CP11" s="189">
        <f t="shared" si="111"/>
        <v>0.20463184198938869</v>
      </c>
      <c r="CQ11" s="189">
        <f t="shared" si="111"/>
        <v>0.20912318896772969</v>
      </c>
      <c r="CR11" s="189">
        <f t="shared" si="111"/>
        <v>0.20994873048368193</v>
      </c>
      <c r="CS11" s="189">
        <f t="shared" si="111"/>
        <v>0.2102059869172008</v>
      </c>
      <c r="CT11" s="189">
        <f t="shared" si="111"/>
        <v>0.21056221146039528</v>
      </c>
      <c r="CU11" s="189">
        <f t="shared" si="111"/>
        <v>0.21205962975182446</v>
      </c>
      <c r="CV11" s="189">
        <f t="shared" si="111"/>
        <v>0.21280108104980835</v>
      </c>
      <c r="CW11" s="189">
        <f t="shared" si="111"/>
        <v>0.21352129956775528</v>
      </c>
      <c r="CX11" s="189">
        <f t="shared" si="111"/>
        <v>0.2143584160120203</v>
      </c>
      <c r="CY11" s="189">
        <f t="shared" si="111"/>
        <v>0.2153169576613056</v>
      </c>
      <c r="CZ11" s="189">
        <f t="shared" si="111"/>
        <v>0.21613943295844965</v>
      </c>
      <c r="DA11" s="189">
        <f t="shared" si="111"/>
        <v>0.21698236681538152</v>
      </c>
      <c r="DB11" s="189">
        <f t="shared" si="111"/>
        <v>0.21785628629540715</v>
      </c>
      <c r="DE11" s="15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06" customFormat="1" x14ac:dyDescent="0.2">
      <c r="A13" s="151" t="s">
        <v>500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5"/>
      <c r="AB13" s="105"/>
      <c r="AC13" s="105"/>
      <c r="AD13" s="105"/>
      <c r="AE13" s="105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5"/>
      <c r="CN13" s="105"/>
      <c r="CO13" s="105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5"/>
      <c r="DA13" s="105"/>
      <c r="DB13" s="105"/>
      <c r="DE13" s="118"/>
    </row>
    <row r="14" spans="1:110" s="106" customFormat="1" x14ac:dyDescent="0.2">
      <c r="A14" s="151" t="s">
        <v>485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05"/>
      <c r="AC14" s="105"/>
      <c r="AD14" s="105"/>
      <c r="AE14" s="105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60"/>
      <c r="CK14" s="160"/>
      <c r="CL14" s="160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E14" s="118"/>
    </row>
    <row r="15" spans="1:110" s="25" customFormat="1" outlineLevel="1" x14ac:dyDescent="0.2">
      <c r="A15" s="25" t="s">
        <v>430</v>
      </c>
      <c r="B15" s="25">
        <f>'Annual Raw'!C6</f>
        <v>0</v>
      </c>
      <c r="C15" s="25">
        <f>'Annual Raw'!D6</f>
        <v>0</v>
      </c>
      <c r="D15" s="25">
        <f>'Annual Raw'!E6</f>
        <v>0</v>
      </c>
      <c r="E15" s="25">
        <f>'Annual Raw'!F6</f>
        <v>0</v>
      </c>
      <c r="F15" s="25">
        <f>'Annual Raw'!G6</f>
        <v>0</v>
      </c>
      <c r="G15" s="25">
        <f>'Annual Raw'!H6</f>
        <v>0</v>
      </c>
      <c r="H15" s="25">
        <f>'Annual Raw'!I6</f>
        <v>0</v>
      </c>
      <c r="I15" s="25">
        <f>'Annual Raw'!J6</f>
        <v>0</v>
      </c>
      <c r="J15" s="25">
        <f>'Annual Raw'!K6</f>
        <v>0</v>
      </c>
      <c r="K15" s="25">
        <f>'Annual Raw'!L6</f>
        <v>0</v>
      </c>
      <c r="L15" s="25">
        <f>'Annual Raw'!M6</f>
        <v>0</v>
      </c>
      <c r="M15" s="25">
        <f>'Annual Raw'!N6</f>
        <v>0</v>
      </c>
      <c r="N15" s="25">
        <f>'Annual Raw'!O6</f>
        <v>0</v>
      </c>
      <c r="O15" s="25">
        <f>'Annual Raw'!P6</f>
        <v>0</v>
      </c>
      <c r="P15" s="25">
        <f>'Annual Raw'!Q6</f>
        <v>0</v>
      </c>
      <c r="Q15" s="25">
        <f>'Annual Raw'!R6</f>
        <v>0</v>
      </c>
      <c r="R15" s="25">
        <f>'Annual Raw'!S6</f>
        <v>0</v>
      </c>
      <c r="S15" s="25">
        <f>'Annual Raw'!T6</f>
        <v>6871.7079999999996</v>
      </c>
      <c r="T15" s="25">
        <f>'Annual Raw'!U6</f>
        <v>8240.4079999999994</v>
      </c>
      <c r="U15" s="25">
        <f>'Annual Raw'!V6</f>
        <v>5575.29</v>
      </c>
      <c r="V15" s="25">
        <f>'Annual Raw'!W6</f>
        <v>5080.8</v>
      </c>
      <c r="W15" s="25">
        <f>'Annual Raw'!X6</f>
        <v>5198.9399999999996</v>
      </c>
      <c r="X15" s="25">
        <f>'Annual Raw'!Y6</f>
        <v>2015.01</v>
      </c>
      <c r="Y15" s="25">
        <f>'Annual Raw'!Z6</f>
        <v>3035.37</v>
      </c>
      <c r="Z15" s="25">
        <f>'Annual Raw'!AA6</f>
        <v>6301.86</v>
      </c>
      <c r="AA15" s="25">
        <f>'Annual Raw'!AB6</f>
        <v>7548.05</v>
      </c>
      <c r="AB15" s="17">
        <f>+SUM(CM15:CP15)</f>
        <v>9527.7377996073501</v>
      </c>
      <c r="AC15" s="17">
        <f>+SUM(CQ15:CT15)</f>
        <v>11008.901433147657</v>
      </c>
      <c r="AD15" s="17">
        <f>+SUM(CU15:CX15)</f>
        <v>12447.257963130127</v>
      </c>
      <c r="AE15" s="17">
        <f>+SUM(CY15:DB15)</f>
        <v>14047.107819541399</v>
      </c>
      <c r="AI15" s="25">
        <f>'QTR Raw'!C6+'QTR Raw'!C8</f>
        <v>0</v>
      </c>
      <c r="AJ15" s="25">
        <f>'QTR Raw'!D6+'QTR Raw'!D8</f>
        <v>0</v>
      </c>
      <c r="AK15" s="25">
        <f>'QTR Raw'!E6+'QTR Raw'!E8</f>
        <v>0</v>
      </c>
      <c r="AL15" s="25">
        <f>'QTR Raw'!F6+'QTR Raw'!F8</f>
        <v>0</v>
      </c>
      <c r="AM15" s="25">
        <f>'QTR Raw'!G6+'QTR Raw'!G8</f>
        <v>0</v>
      </c>
      <c r="AN15" s="25">
        <f>'QTR Raw'!H6+'QTR Raw'!H8</f>
        <v>0</v>
      </c>
      <c r="AO15" s="25">
        <f>'QTR Raw'!I6+'QTR Raw'!I8</f>
        <v>0</v>
      </c>
      <c r="AP15" s="25">
        <f>'QTR Raw'!J6+'QTR Raw'!J8</f>
        <v>0</v>
      </c>
      <c r="AQ15" s="25">
        <f>'QTR Raw'!K6+'QTR Raw'!K8</f>
        <v>0</v>
      </c>
      <c r="AR15" s="25">
        <f>'QTR Raw'!L6+'QTR Raw'!L8</f>
        <v>0</v>
      </c>
      <c r="AS15" s="25">
        <f>'QTR Raw'!M6+'QTR Raw'!M8</f>
        <v>0</v>
      </c>
      <c r="AT15" s="25">
        <f>'QTR Raw'!N6+'QTR Raw'!N8</f>
        <v>0</v>
      </c>
      <c r="AU15" s="25">
        <f>'QTR Raw'!O6+'QTR Raw'!O8</f>
        <v>0</v>
      </c>
      <c r="AV15" s="25">
        <f>'QTR Raw'!P6+'QTR Raw'!P8</f>
        <v>0</v>
      </c>
      <c r="AW15" s="25">
        <f>'QTR Raw'!Q6+'QTR Raw'!Q8</f>
        <v>0</v>
      </c>
      <c r="AX15" s="25">
        <f>'QTR Raw'!R6+'QTR Raw'!R8</f>
        <v>0</v>
      </c>
      <c r="AY15" s="25">
        <f>'QTR Raw'!S6+'QTR Raw'!S8</f>
        <v>0</v>
      </c>
      <c r="AZ15" s="25">
        <f>'QTR Raw'!T6+'QTR Raw'!T8</f>
        <v>0</v>
      </c>
      <c r="BA15" s="25">
        <f>'QTR Raw'!U6+'QTR Raw'!U8</f>
        <v>0</v>
      </c>
      <c r="BB15" s="25">
        <f>'QTR Raw'!V6+'QTR Raw'!V8</f>
        <v>0</v>
      </c>
      <c r="BC15" s="25">
        <f>'QTR Raw'!W6+'QTR Raw'!W8</f>
        <v>0</v>
      </c>
      <c r="BD15" s="25">
        <f>'QTR Raw'!X6+'QTR Raw'!X8</f>
        <v>0</v>
      </c>
      <c r="BE15" s="25">
        <f>'QTR Raw'!Y6+'QTR Raw'!Y8</f>
        <v>0</v>
      </c>
      <c r="BF15" s="25">
        <f>'QTR Raw'!Z6+'QTR Raw'!Z8</f>
        <v>0</v>
      </c>
      <c r="BG15" s="25">
        <f>'QTR Raw'!AA6+'QTR Raw'!AA8</f>
        <v>0</v>
      </c>
      <c r="BH15" s="25">
        <f>'QTR Raw'!AB6+'QTR Raw'!AB8</f>
        <v>2472.509</v>
      </c>
      <c r="BI15" s="25">
        <f>'QTR Raw'!AC6+'QTR Raw'!AC8</f>
        <v>1644.0119999999999</v>
      </c>
      <c r="BJ15" s="25">
        <f>'QTR Raw'!AD6+'QTR Raw'!AD8</f>
        <v>2325.2640000000001</v>
      </c>
      <c r="BK15" s="25">
        <f>'QTR Raw'!AE6+'QTR Raw'!AE8</f>
        <v>1244.95</v>
      </c>
      <c r="BL15" s="25">
        <f>'QTR Raw'!AF6+'QTR Raw'!AF8</f>
        <v>1193.33</v>
      </c>
      <c r="BM15" s="25">
        <f>'QTR Raw'!AG6+'QTR Raw'!AG8</f>
        <v>1076.3810000000001</v>
      </c>
      <c r="BN15" s="25">
        <f>'QTR Raw'!AH6+'QTR Raw'!AH8</f>
        <v>2060.63</v>
      </c>
      <c r="BO15" s="25">
        <f>'QTR Raw'!AI6+'QTR Raw'!AI8</f>
        <v>1067.9000000000001</v>
      </c>
      <c r="BP15" s="25">
        <f>'QTR Raw'!AJ6+'QTR Raw'!AJ8</f>
        <v>1336.63</v>
      </c>
      <c r="BQ15" s="25">
        <f>'QTR Raw'!AK6+'QTR Raw'!AK8</f>
        <v>1311.73</v>
      </c>
      <c r="BR15" s="25">
        <f>'QTR Raw'!AL6+'QTR Raw'!AL8</f>
        <v>1364.54</v>
      </c>
      <c r="BS15" s="25">
        <f>'QTR Raw'!AM6+'QTR Raw'!AM8</f>
        <v>1194.6300000000001</v>
      </c>
      <c r="BT15" s="25">
        <f>'QTR Raw'!AN6+'QTR Raw'!AN8</f>
        <v>1438.42</v>
      </c>
      <c r="BU15" s="25">
        <f>'QTR Raw'!AO6+'QTR Raw'!AO8</f>
        <v>1494.86</v>
      </c>
      <c r="BV15" s="25">
        <f>'QTR Raw'!AP6+'QTR Raw'!AP8</f>
        <v>1071.03</v>
      </c>
      <c r="BW15" s="25">
        <f>'QTR Raw'!AQ6+'QTR Raw'!AQ8</f>
        <v>1206.93</v>
      </c>
      <c r="BX15" s="25">
        <f>'QTR Raw'!AR6+'QTR Raw'!AR8</f>
        <v>312.69</v>
      </c>
      <c r="BY15" s="25">
        <f>'QTR Raw'!AS6+'QTR Raw'!AS8</f>
        <v>406.96</v>
      </c>
      <c r="BZ15" s="25">
        <f>'QTR Raw'!AT6+'QTR Raw'!AT8</f>
        <v>88.43</v>
      </c>
      <c r="CA15" s="25">
        <f>'QTR Raw'!AU6+'QTR Raw'!AU8</f>
        <v>514.96</v>
      </c>
      <c r="CB15" s="25">
        <f>'QTR Raw'!AV6+'QTR Raw'!AV8</f>
        <v>759.52</v>
      </c>
      <c r="CC15" s="25">
        <f>'QTR Raw'!AW6+'QTR Raw'!AW8</f>
        <v>582.88</v>
      </c>
      <c r="CD15" s="25">
        <f>'QTR Raw'!AX6+'QTR Raw'!AX8</f>
        <v>1178.01</v>
      </c>
      <c r="CE15" s="25">
        <f>'QTR Raw'!AY6+'QTR Raw'!AY8</f>
        <v>915.06</v>
      </c>
      <c r="CF15" s="25">
        <f>'QTR Raw'!AZ6+'QTR Raw'!AZ8</f>
        <v>1030.49</v>
      </c>
      <c r="CG15" s="25">
        <f>'QTR Raw'!BA6+'QTR Raw'!BA8</f>
        <v>1837.2</v>
      </c>
      <c r="CH15" s="25">
        <f>'QTR Raw'!BB6+'QTR Raw'!BB8</f>
        <v>2519.11</v>
      </c>
      <c r="CI15" s="25">
        <f>'QTR Raw'!BC6+'QTR Raw'!BC8</f>
        <v>1761.63</v>
      </c>
      <c r="CJ15" s="25">
        <f>'QTR Raw'!BD6+'QTR Raw'!BD8</f>
        <v>1748.6</v>
      </c>
      <c r="CK15" s="25">
        <f>'QTR Raw'!BE6+'QTR Raw'!BE8</f>
        <v>2092.21</v>
      </c>
      <c r="CL15" s="25">
        <f>'QTR Raw'!BF6+'QTR Raw'!BF8</f>
        <v>1945.61</v>
      </c>
      <c r="CM15" s="17">
        <f>CM7</f>
        <v>2431.7499662146265</v>
      </c>
      <c r="CN15" s="17">
        <f t="shared" ref="CN15:DB15" si="112">CN7</f>
        <v>2192.978935244028</v>
      </c>
      <c r="CO15" s="17">
        <f t="shared" si="112"/>
        <v>2352.0777437686525</v>
      </c>
      <c r="CP15" s="17">
        <f t="shared" si="112"/>
        <v>2550.9311543800436</v>
      </c>
      <c r="CQ15" s="17">
        <f t="shared" si="112"/>
        <v>2847.3527022537937</v>
      </c>
      <c r="CR15" s="17">
        <f t="shared" si="112"/>
        <v>2520.2250865142341</v>
      </c>
      <c r="CS15" s="17">
        <f t="shared" si="112"/>
        <v>2684.8585146922633</v>
      </c>
      <c r="CT15" s="17">
        <f t="shared" si="112"/>
        <v>2956.4651296873662</v>
      </c>
      <c r="CU15" s="17">
        <f t="shared" si="112"/>
        <v>3225.4454706370084</v>
      </c>
      <c r="CV15" s="17">
        <f t="shared" si="112"/>
        <v>2844.1088381228792</v>
      </c>
      <c r="CW15" s="17">
        <f t="shared" si="112"/>
        <v>3032.5929074306068</v>
      </c>
      <c r="CX15" s="17">
        <f t="shared" si="112"/>
        <v>3345.1107469396343</v>
      </c>
      <c r="CY15" s="17">
        <f t="shared" si="112"/>
        <v>3638.605135691098</v>
      </c>
      <c r="CZ15" s="17">
        <f t="shared" si="112"/>
        <v>3202.2713994283113</v>
      </c>
      <c r="DA15" s="17">
        <f t="shared" si="112"/>
        <v>3422.1461305893895</v>
      </c>
      <c r="DB15" s="17">
        <f t="shared" si="112"/>
        <v>3784.0851538326001</v>
      </c>
      <c r="DE15" s="119"/>
      <c r="DF15" s="25">
        <v>4345.0012747288838</v>
      </c>
    </row>
    <row r="16" spans="1:110" s="92" customFormat="1" outlineLevel="1" x14ac:dyDescent="0.2">
      <c r="A16" s="92" t="s">
        <v>109</v>
      </c>
      <c r="B16" s="92">
        <f>'Annual Raw'!C7+'Annual Raw'!C8+'Annual Raw'!C9</f>
        <v>0</v>
      </c>
      <c r="C16" s="92">
        <f>'Annual Raw'!D7+'Annual Raw'!D8+'Annual Raw'!D9</f>
        <v>0</v>
      </c>
      <c r="D16" s="92">
        <f>'Annual Raw'!E7+'Annual Raw'!E8+'Annual Raw'!E9</f>
        <v>0</v>
      </c>
      <c r="E16" s="92">
        <f>'Annual Raw'!F7+'Annual Raw'!F8+'Annual Raw'!F9</f>
        <v>0</v>
      </c>
      <c r="F16" s="92">
        <f>'Annual Raw'!G7+'Annual Raw'!G8+'Annual Raw'!G9</f>
        <v>0</v>
      </c>
      <c r="G16" s="92">
        <f>'Annual Raw'!H7+'Annual Raw'!H8+'Annual Raw'!H9</f>
        <v>0</v>
      </c>
      <c r="H16" s="92">
        <f>'Annual Raw'!I7+'Annual Raw'!I8+'Annual Raw'!I9</f>
        <v>0</v>
      </c>
      <c r="I16" s="92">
        <f>'Annual Raw'!J7+'Annual Raw'!J8+'Annual Raw'!J9</f>
        <v>0</v>
      </c>
      <c r="J16" s="92">
        <f>'Annual Raw'!K7+'Annual Raw'!K8+'Annual Raw'!K9</f>
        <v>0</v>
      </c>
      <c r="K16" s="92">
        <f>'Annual Raw'!L7+'Annual Raw'!L8+'Annual Raw'!L9</f>
        <v>0</v>
      </c>
      <c r="L16" s="92">
        <f>'Annual Raw'!M7+'Annual Raw'!M8+'Annual Raw'!M9</f>
        <v>0</v>
      </c>
      <c r="M16" s="92">
        <f>'Annual Raw'!N7+'Annual Raw'!N8+'Annual Raw'!N9</f>
        <v>0</v>
      </c>
      <c r="N16" s="92">
        <f>'Annual Raw'!O7+'Annual Raw'!O8+'Annual Raw'!O9</f>
        <v>0</v>
      </c>
      <c r="O16" s="92">
        <f>'Annual Raw'!P7+'Annual Raw'!P8+'Annual Raw'!P9</f>
        <v>0</v>
      </c>
      <c r="P16" s="92">
        <f>'Annual Raw'!Q7+'Annual Raw'!Q8+'Annual Raw'!Q9</f>
        <v>0</v>
      </c>
      <c r="Q16" s="92">
        <f>'Annual Raw'!R7+'Annual Raw'!R8+'Annual Raw'!R9</f>
        <v>0</v>
      </c>
      <c r="R16" s="92">
        <f>'Annual Raw'!S7+'Annual Raw'!S8+'Annual Raw'!S9</f>
        <v>0</v>
      </c>
      <c r="S16" s="92">
        <f>'Annual Raw'!T7+'Annual Raw'!T8+'Annual Raw'!T9</f>
        <v>0</v>
      </c>
      <c r="T16" s="92">
        <f>'Annual Raw'!U7+'Annual Raw'!U8+'Annual Raw'!U9</f>
        <v>0</v>
      </c>
      <c r="U16" s="92">
        <f>'Annual Raw'!V7+'Annual Raw'!V8+'Annual Raw'!V9</f>
        <v>0</v>
      </c>
      <c r="V16" s="92">
        <f>'Annual Raw'!W7+'Annual Raw'!W8+'Annual Raw'!W9</f>
        <v>0</v>
      </c>
      <c r="W16" s="92">
        <f>'Annual Raw'!X7+'Annual Raw'!X8+'Annual Raw'!X9</f>
        <v>0</v>
      </c>
      <c r="X16" s="92">
        <f>'Annual Raw'!Y7+'Annual Raw'!Y8+'Annual Raw'!Y9</f>
        <v>0</v>
      </c>
      <c r="Y16" s="92">
        <f>'Annual Raw'!Z7+'Annual Raw'!Z8+'Annual Raw'!Z9</f>
        <v>0</v>
      </c>
      <c r="Z16" s="92">
        <f>'Annual Raw'!AA7+'Annual Raw'!AA8+'Annual Raw'!AA9</f>
        <v>0</v>
      </c>
      <c r="AA16" s="92">
        <f>'Annual Raw'!AB7+'Annual Raw'!AB8+'Annual Raw'!AB9</f>
        <v>0</v>
      </c>
      <c r="AB16" s="76">
        <f>+SUM(CM16:CP16)</f>
        <v>0</v>
      </c>
      <c r="AC16" s="76">
        <f>+SUM(CQ16:CT16)</f>
        <v>0</v>
      </c>
      <c r="AD16" s="76">
        <f>+SUM(CU16:CX16)</f>
        <v>0</v>
      </c>
      <c r="AE16" s="76">
        <f>+SUM(CY16:DB16)</f>
        <v>0</v>
      </c>
      <c r="AI16" s="92">
        <f>+'QTR Raw'!C20+'QTR Raw'!C19+'QTR Raw'!C13+'QTR Raw'!C7</f>
        <v>0</v>
      </c>
      <c r="AJ16" s="92">
        <f>+'QTR Raw'!D20+'QTR Raw'!D19+'QTR Raw'!D13+'QTR Raw'!D7</f>
        <v>0</v>
      </c>
      <c r="AK16" s="92">
        <f>+'QTR Raw'!E20+'QTR Raw'!E19+'QTR Raw'!E13+'QTR Raw'!E7</f>
        <v>0</v>
      </c>
      <c r="AL16" s="92">
        <f>+'QTR Raw'!F20+'QTR Raw'!F19+'QTR Raw'!F13+'QTR Raw'!F7</f>
        <v>0</v>
      </c>
      <c r="AM16" s="92">
        <f>+'QTR Raw'!G20+'QTR Raw'!G19+'QTR Raw'!G13+'QTR Raw'!G7</f>
        <v>0</v>
      </c>
      <c r="AN16" s="92">
        <f>+'QTR Raw'!H20+'QTR Raw'!H19+'QTR Raw'!H13+'QTR Raw'!H7</f>
        <v>0</v>
      </c>
      <c r="AO16" s="92">
        <f>+'QTR Raw'!I20+'QTR Raw'!I19+'QTR Raw'!I13+'QTR Raw'!I7</f>
        <v>0</v>
      </c>
      <c r="AP16" s="92">
        <f>+'QTR Raw'!J20+'QTR Raw'!J19+'QTR Raw'!J13+'QTR Raw'!J7</f>
        <v>0</v>
      </c>
      <c r="AQ16" s="92">
        <f>+'QTR Raw'!K20+'QTR Raw'!K19+'QTR Raw'!K13+'QTR Raw'!K7</f>
        <v>0</v>
      </c>
      <c r="AR16" s="92">
        <f>+'QTR Raw'!L20+'QTR Raw'!L19+'QTR Raw'!L13+'QTR Raw'!L7</f>
        <v>0</v>
      </c>
      <c r="AS16" s="92">
        <f>+'QTR Raw'!M20+'QTR Raw'!M19+'QTR Raw'!M13+'QTR Raw'!M7</f>
        <v>0</v>
      </c>
      <c r="AT16" s="92">
        <f>+'QTR Raw'!N20+'QTR Raw'!N19+'QTR Raw'!N13+'QTR Raw'!N7</f>
        <v>0</v>
      </c>
      <c r="AU16" s="92">
        <f>+'QTR Raw'!O20+'QTR Raw'!O19+'QTR Raw'!O13+'QTR Raw'!O7</f>
        <v>0</v>
      </c>
      <c r="AV16" s="92">
        <f>+'QTR Raw'!P20+'QTR Raw'!P19+'QTR Raw'!P13+'QTR Raw'!P7</f>
        <v>0</v>
      </c>
      <c r="AW16" s="92">
        <f>+'QTR Raw'!Q20+'QTR Raw'!Q19+'QTR Raw'!Q13+'QTR Raw'!Q7</f>
        <v>0</v>
      </c>
      <c r="AX16" s="92">
        <f>+'QTR Raw'!R20+'QTR Raw'!R19+'QTR Raw'!R13+'QTR Raw'!R7</f>
        <v>0</v>
      </c>
      <c r="AY16" s="92">
        <f>+'QTR Raw'!S20+'QTR Raw'!S19+'QTR Raw'!S13+'QTR Raw'!S7</f>
        <v>0</v>
      </c>
      <c r="AZ16" s="92">
        <f>+'QTR Raw'!T20+'QTR Raw'!T19+'QTR Raw'!T13+'QTR Raw'!T7</f>
        <v>0</v>
      </c>
      <c r="BA16" s="92">
        <f>+'QTR Raw'!U20+'QTR Raw'!U19+'QTR Raw'!U13+'QTR Raw'!U7</f>
        <v>0</v>
      </c>
      <c r="BB16" s="92">
        <f>+'QTR Raw'!V20+'QTR Raw'!V19+'QTR Raw'!V13+'QTR Raw'!V7</f>
        <v>0</v>
      </c>
      <c r="BC16" s="92">
        <f>+'QTR Raw'!W20+'QTR Raw'!W19+'QTR Raw'!W13+'QTR Raw'!W7</f>
        <v>0</v>
      </c>
      <c r="BD16" s="92">
        <f>+'QTR Raw'!X20+'QTR Raw'!X19+'QTR Raw'!X13+'QTR Raw'!X7</f>
        <v>0</v>
      </c>
      <c r="BE16" s="92">
        <f>+'QTR Raw'!Y20+'QTR Raw'!Y19+'QTR Raw'!Y13+'QTR Raw'!Y7</f>
        <v>0</v>
      </c>
      <c r="BF16" s="92">
        <f>+'QTR Raw'!Z20+'QTR Raw'!Z19+'QTR Raw'!Z13+'QTR Raw'!Z7</f>
        <v>0</v>
      </c>
      <c r="BG16" s="92">
        <f>+'QTR Raw'!AA20+'QTR Raw'!AA19+'QTR Raw'!AA13+'QTR Raw'!AA7</f>
        <v>0</v>
      </c>
      <c r="BH16" s="92">
        <f>+'QTR Raw'!AB20+'QTR Raw'!AB19+'QTR Raw'!AB13+'QTR Raw'!AB7</f>
        <v>0</v>
      </c>
      <c r="BI16" s="92">
        <f>+'QTR Raw'!AC20+'QTR Raw'!AC19+'QTR Raw'!AC13+'QTR Raw'!AC7</f>
        <v>0</v>
      </c>
      <c r="BJ16" s="92">
        <f>+'QTR Raw'!AD20+'QTR Raw'!AD19+'QTR Raw'!AD13+'QTR Raw'!AD7</f>
        <v>0</v>
      </c>
      <c r="BK16" s="92">
        <f>+'QTR Raw'!AE20+'QTR Raw'!AE19+'QTR Raw'!AE13+'QTR Raw'!AE7</f>
        <v>0</v>
      </c>
      <c r="BL16" s="92">
        <f>+'QTR Raw'!AF20+'QTR Raw'!AF19+'QTR Raw'!AF13+'QTR Raw'!AF7</f>
        <v>0</v>
      </c>
      <c r="BM16" s="92">
        <f>+'QTR Raw'!AG20+'QTR Raw'!AG19+'QTR Raw'!AG13+'QTR Raw'!AG7</f>
        <v>0</v>
      </c>
      <c r="BN16" s="92">
        <f>+'QTR Raw'!AH20+'QTR Raw'!AH19+'QTR Raw'!AH13+'QTR Raw'!AH7</f>
        <v>0</v>
      </c>
      <c r="BO16" s="92">
        <f>+'QTR Raw'!AI20+'QTR Raw'!AI19+'QTR Raw'!AI13+'QTR Raw'!AI7</f>
        <v>0</v>
      </c>
      <c r="BP16" s="92">
        <f>+'QTR Raw'!AJ20+'QTR Raw'!AJ19+'QTR Raw'!AJ13+'QTR Raw'!AJ7</f>
        <v>0</v>
      </c>
      <c r="BQ16" s="92">
        <f>+'QTR Raw'!AK20+'QTR Raw'!AK19+'QTR Raw'!AK13+'QTR Raw'!AK7</f>
        <v>0</v>
      </c>
      <c r="BR16" s="92">
        <f>+'QTR Raw'!AL20+'QTR Raw'!AL19+'QTR Raw'!AL13+'QTR Raw'!AL7</f>
        <v>0</v>
      </c>
      <c r="BS16" s="92">
        <f>+'QTR Raw'!AM20+'QTR Raw'!AM19+'QTR Raw'!AM13+'QTR Raw'!AM7</f>
        <v>0</v>
      </c>
      <c r="BT16" s="92">
        <f>+'QTR Raw'!AN20+'QTR Raw'!AN19+'QTR Raw'!AN13+'QTR Raw'!AN7</f>
        <v>0</v>
      </c>
      <c r="BU16" s="92">
        <f>+'QTR Raw'!AO20+'QTR Raw'!AO19+'QTR Raw'!AO13+'QTR Raw'!AO7</f>
        <v>0</v>
      </c>
      <c r="BV16" s="92">
        <f>+'QTR Raw'!AP20+'QTR Raw'!AP19+'QTR Raw'!AP13+'QTR Raw'!AP7</f>
        <v>0</v>
      </c>
      <c r="BW16" s="92">
        <f>+'QTR Raw'!AQ20+'QTR Raw'!AQ19+'QTR Raw'!AQ13+'QTR Raw'!AQ7</f>
        <v>0</v>
      </c>
      <c r="BX16" s="92">
        <f>+'QTR Raw'!AR20+'QTR Raw'!AR19+'QTR Raw'!AR13+'QTR Raw'!AR7</f>
        <v>0</v>
      </c>
      <c r="BY16" s="92">
        <f>+'QTR Raw'!AS20+'QTR Raw'!AS19+'QTR Raw'!AS13+'QTR Raw'!AS7</f>
        <v>0</v>
      </c>
      <c r="BZ16" s="92">
        <f>+'QTR Raw'!AT20+'QTR Raw'!AT19+'QTR Raw'!AT13+'QTR Raw'!AT7</f>
        <v>0</v>
      </c>
      <c r="CA16" s="92">
        <f>+'QTR Raw'!AU20+'QTR Raw'!AU19+'QTR Raw'!AU13+'QTR Raw'!AU7</f>
        <v>0</v>
      </c>
      <c r="CB16" s="92">
        <f>+'QTR Raw'!AV20+'QTR Raw'!AV19+'QTR Raw'!AV13+'QTR Raw'!AV7</f>
        <v>0</v>
      </c>
      <c r="CC16" s="92">
        <f>+'QTR Raw'!AW20+'QTR Raw'!AW19+'QTR Raw'!AW13+'QTR Raw'!AW7</f>
        <v>0</v>
      </c>
      <c r="CD16" s="92">
        <f>+'QTR Raw'!AX20+'QTR Raw'!AX19+'QTR Raw'!AX13+'QTR Raw'!AX7</f>
        <v>0</v>
      </c>
      <c r="CE16" s="92">
        <f>+'QTR Raw'!AY20+'QTR Raw'!AY19+'QTR Raw'!AY13+'QTR Raw'!AY7</f>
        <v>0</v>
      </c>
      <c r="CF16" s="92">
        <f>+'QTR Raw'!AZ20+'QTR Raw'!AZ19+'QTR Raw'!AZ13+'QTR Raw'!AZ7</f>
        <v>0</v>
      </c>
      <c r="CG16" s="92">
        <f>+'QTR Raw'!BA20+'QTR Raw'!BA19+'QTR Raw'!BA13+'QTR Raw'!BA7</f>
        <v>0</v>
      </c>
      <c r="CH16" s="92">
        <f>+'QTR Raw'!BB20+'QTR Raw'!BB19+'QTR Raw'!BB13+'QTR Raw'!BB7</f>
        <v>0</v>
      </c>
      <c r="CI16" s="92">
        <f>+'QTR Raw'!BC20+'QTR Raw'!BC19+'QTR Raw'!BC13+'QTR Raw'!BC7</f>
        <v>0</v>
      </c>
      <c r="CJ16" s="92">
        <f>+'QTR Raw'!BD20+'QTR Raw'!BD19+'QTR Raw'!BD13+'QTR Raw'!BD7</f>
        <v>0</v>
      </c>
      <c r="CK16" s="92">
        <f>+'QTR Raw'!BE20+'QTR Raw'!BE19+'QTR Raw'!BE13+'QTR Raw'!BE7</f>
        <v>0</v>
      </c>
      <c r="CL16" s="92">
        <f>+'QTR Raw'!BF20+'QTR Raw'!BF19+'QTR Raw'!BF13+'QTR Raw'!BF7</f>
        <v>0</v>
      </c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E16" s="120"/>
      <c r="DF16" s="92">
        <v>0</v>
      </c>
    </row>
    <row r="17" spans="1:110" s="26" customFormat="1" x14ac:dyDescent="0.2">
      <c r="A17" s="26" t="s">
        <v>431</v>
      </c>
      <c r="B17" s="26">
        <f>+B15-B16</f>
        <v>0</v>
      </c>
      <c r="C17" s="26">
        <f>+C15-C16</f>
        <v>0</v>
      </c>
      <c r="D17" s="26">
        <f t="shared" ref="D17:U17" si="113">+D15-D16</f>
        <v>0</v>
      </c>
      <c r="E17" s="26">
        <f t="shared" si="113"/>
        <v>0</v>
      </c>
      <c r="F17" s="26">
        <f t="shared" si="113"/>
        <v>0</v>
      </c>
      <c r="G17" s="26">
        <f t="shared" si="113"/>
        <v>0</v>
      </c>
      <c r="H17" s="26">
        <f t="shared" si="113"/>
        <v>0</v>
      </c>
      <c r="I17" s="26">
        <f t="shared" si="113"/>
        <v>0</v>
      </c>
      <c r="J17" s="26">
        <f t="shared" si="113"/>
        <v>0</v>
      </c>
      <c r="K17" s="26">
        <f t="shared" si="113"/>
        <v>0</v>
      </c>
      <c r="L17" s="26">
        <f t="shared" si="113"/>
        <v>0</v>
      </c>
      <c r="M17" s="26">
        <f t="shared" si="113"/>
        <v>0</v>
      </c>
      <c r="N17" s="26">
        <f t="shared" si="113"/>
        <v>0</v>
      </c>
      <c r="O17" s="26">
        <f t="shared" si="113"/>
        <v>0</v>
      </c>
      <c r="P17" s="26">
        <f t="shared" si="113"/>
        <v>0</v>
      </c>
      <c r="Q17" s="26">
        <f t="shared" si="113"/>
        <v>0</v>
      </c>
      <c r="R17" s="26">
        <f t="shared" si="113"/>
        <v>0</v>
      </c>
      <c r="S17" s="26">
        <f t="shared" si="113"/>
        <v>6871.7079999999996</v>
      </c>
      <c r="T17" s="26">
        <f t="shared" si="113"/>
        <v>8240.4079999999994</v>
      </c>
      <c r="U17" s="26">
        <f t="shared" si="113"/>
        <v>5575.29</v>
      </c>
      <c r="V17" s="26">
        <f>+V15-V16</f>
        <v>5080.8</v>
      </c>
      <c r="W17" s="26">
        <f>+W15-W16</f>
        <v>5198.9399999999996</v>
      </c>
      <c r="X17" s="26">
        <f>+X15-X16</f>
        <v>2015.01</v>
      </c>
      <c r="Y17" s="26">
        <f>+Y15-Y16</f>
        <v>3035.37</v>
      </c>
      <c r="Z17" s="26">
        <f>+Z15-Z16</f>
        <v>6301.86</v>
      </c>
      <c r="AA17" s="26">
        <f>+AA15-AA16</f>
        <v>7548.05</v>
      </c>
      <c r="AB17" s="27">
        <f t="shared" ref="AB17:AD17" si="114">+AB15-AB16</f>
        <v>9527.7377996073501</v>
      </c>
      <c r="AC17" s="27">
        <f t="shared" si="114"/>
        <v>11008.901433147657</v>
      </c>
      <c r="AD17" s="27">
        <f t="shared" si="114"/>
        <v>12447.257963130127</v>
      </c>
      <c r="AE17" s="27">
        <f t="shared" ref="AE17" si="115">+AE15-AE16</f>
        <v>14047.107819541399</v>
      </c>
      <c r="AI17" s="26">
        <f t="shared" ref="AI17" si="116">+AI15-AI16</f>
        <v>0</v>
      </c>
      <c r="AJ17" s="26">
        <f t="shared" ref="AJ17" si="117">+AJ15-AJ16</f>
        <v>0</v>
      </c>
      <c r="AK17" s="26">
        <f t="shared" ref="AK17:AM17" si="118">+AK15-AK16</f>
        <v>0</v>
      </c>
      <c r="AL17" s="26">
        <f t="shared" si="118"/>
        <v>0</v>
      </c>
      <c r="AM17" s="26">
        <f t="shared" si="118"/>
        <v>0</v>
      </c>
      <c r="AN17" s="26">
        <f t="shared" ref="AN17:AO17" si="119">+AN15-AN16</f>
        <v>0</v>
      </c>
      <c r="AO17" s="26">
        <f t="shared" si="119"/>
        <v>0</v>
      </c>
      <c r="AP17" s="26">
        <f t="shared" ref="AP17:AW17" si="120">+AP15-AP16</f>
        <v>0</v>
      </c>
      <c r="AQ17" s="26">
        <f t="shared" si="120"/>
        <v>0</v>
      </c>
      <c r="AR17" s="26">
        <f t="shared" si="120"/>
        <v>0</v>
      </c>
      <c r="AS17" s="26">
        <f t="shared" si="120"/>
        <v>0</v>
      </c>
      <c r="AT17" s="26">
        <f t="shared" si="120"/>
        <v>0</v>
      </c>
      <c r="AU17" s="26">
        <f t="shared" si="120"/>
        <v>0</v>
      </c>
      <c r="AV17" s="26">
        <f t="shared" si="120"/>
        <v>0</v>
      </c>
      <c r="AW17" s="26">
        <f t="shared" si="120"/>
        <v>0</v>
      </c>
      <c r="AX17" s="26">
        <f t="shared" ref="AX17:CF17" si="121">+AX15-AX16</f>
        <v>0</v>
      </c>
      <c r="AY17" s="26">
        <f t="shared" si="121"/>
        <v>0</v>
      </c>
      <c r="AZ17" s="26">
        <f t="shared" si="121"/>
        <v>0</v>
      </c>
      <c r="BA17" s="26">
        <f t="shared" si="121"/>
        <v>0</v>
      </c>
      <c r="BB17" s="26">
        <f t="shared" si="121"/>
        <v>0</v>
      </c>
      <c r="BC17" s="26">
        <f t="shared" si="121"/>
        <v>0</v>
      </c>
      <c r="BD17" s="26">
        <f t="shared" si="121"/>
        <v>0</v>
      </c>
      <c r="BE17" s="26">
        <f t="shared" si="121"/>
        <v>0</v>
      </c>
      <c r="BF17" s="26">
        <f t="shared" si="121"/>
        <v>0</v>
      </c>
      <c r="BG17" s="26">
        <f t="shared" si="121"/>
        <v>0</v>
      </c>
      <c r="BH17" s="26">
        <f t="shared" si="121"/>
        <v>2472.509</v>
      </c>
      <c r="BI17" s="26">
        <f t="shared" si="121"/>
        <v>1644.0119999999999</v>
      </c>
      <c r="BJ17" s="26">
        <f t="shared" si="121"/>
        <v>2325.2640000000001</v>
      </c>
      <c r="BK17" s="26">
        <f t="shared" si="121"/>
        <v>1244.95</v>
      </c>
      <c r="BL17" s="26">
        <f t="shared" si="121"/>
        <v>1193.33</v>
      </c>
      <c r="BM17" s="26">
        <f t="shared" si="121"/>
        <v>1076.3810000000001</v>
      </c>
      <c r="BN17" s="26">
        <f t="shared" si="121"/>
        <v>2060.63</v>
      </c>
      <c r="BO17" s="26">
        <f t="shared" si="121"/>
        <v>1067.9000000000001</v>
      </c>
      <c r="BP17" s="26">
        <f t="shared" si="121"/>
        <v>1336.63</v>
      </c>
      <c r="BQ17" s="26">
        <f t="shared" si="121"/>
        <v>1311.73</v>
      </c>
      <c r="BR17" s="26">
        <f t="shared" si="121"/>
        <v>1364.54</v>
      </c>
      <c r="BS17" s="26">
        <f t="shared" si="121"/>
        <v>1194.6300000000001</v>
      </c>
      <c r="BT17" s="26">
        <f t="shared" si="121"/>
        <v>1438.42</v>
      </c>
      <c r="BU17" s="26">
        <f t="shared" si="121"/>
        <v>1494.86</v>
      </c>
      <c r="BV17" s="26">
        <f t="shared" si="121"/>
        <v>1071.03</v>
      </c>
      <c r="BW17" s="26">
        <f t="shared" si="121"/>
        <v>1206.93</v>
      </c>
      <c r="BX17" s="26">
        <f t="shared" si="121"/>
        <v>312.69</v>
      </c>
      <c r="BY17" s="26">
        <f t="shared" si="121"/>
        <v>406.96</v>
      </c>
      <c r="BZ17" s="26">
        <f t="shared" si="121"/>
        <v>88.43</v>
      </c>
      <c r="CA17" s="26">
        <f t="shared" si="121"/>
        <v>514.96</v>
      </c>
      <c r="CB17" s="26">
        <f t="shared" si="121"/>
        <v>759.52</v>
      </c>
      <c r="CC17" s="26">
        <f t="shared" si="121"/>
        <v>582.88</v>
      </c>
      <c r="CD17" s="26">
        <f t="shared" si="121"/>
        <v>1178.01</v>
      </c>
      <c r="CE17" s="26">
        <f t="shared" si="121"/>
        <v>915.06</v>
      </c>
      <c r="CF17" s="26">
        <f t="shared" si="121"/>
        <v>1030.49</v>
      </c>
      <c r="CG17" s="26">
        <f t="shared" ref="CG17:CH17" si="122">+CG15-CG16</f>
        <v>1837.2</v>
      </c>
      <c r="CH17" s="26">
        <f t="shared" si="122"/>
        <v>2519.11</v>
      </c>
      <c r="CI17" s="26">
        <f t="shared" ref="CI17:CJ17" si="123">+CI15-CI16</f>
        <v>1761.63</v>
      </c>
      <c r="CJ17" s="26">
        <f t="shared" si="123"/>
        <v>1748.6</v>
      </c>
      <c r="CK17" s="26">
        <f t="shared" ref="CK17:CL17" si="124">+CK15-CK16</f>
        <v>2092.21</v>
      </c>
      <c r="CL17" s="26">
        <f t="shared" si="124"/>
        <v>1945.61</v>
      </c>
      <c r="CM17" s="27">
        <f t="shared" ref="CM17:DB17" si="125">+CM15-CM16</f>
        <v>2431.7499662146265</v>
      </c>
      <c r="CN17" s="27">
        <f t="shared" si="125"/>
        <v>2192.978935244028</v>
      </c>
      <c r="CO17" s="27">
        <f t="shared" si="125"/>
        <v>2352.0777437686525</v>
      </c>
      <c r="CP17" s="27">
        <f t="shared" si="125"/>
        <v>2550.9311543800436</v>
      </c>
      <c r="CQ17" s="27">
        <f t="shared" si="125"/>
        <v>2847.3527022537937</v>
      </c>
      <c r="CR17" s="27">
        <f t="shared" si="125"/>
        <v>2520.2250865142341</v>
      </c>
      <c r="CS17" s="27">
        <f t="shared" si="125"/>
        <v>2684.8585146922633</v>
      </c>
      <c r="CT17" s="27">
        <f t="shared" si="125"/>
        <v>2956.4651296873662</v>
      </c>
      <c r="CU17" s="27">
        <f t="shared" si="125"/>
        <v>3225.4454706370084</v>
      </c>
      <c r="CV17" s="27">
        <f t="shared" si="125"/>
        <v>2844.1088381228792</v>
      </c>
      <c r="CW17" s="27">
        <f t="shared" si="125"/>
        <v>3032.5929074306068</v>
      </c>
      <c r="CX17" s="27">
        <f t="shared" si="125"/>
        <v>3345.1107469396343</v>
      </c>
      <c r="CY17" s="27">
        <f t="shared" si="125"/>
        <v>3638.605135691098</v>
      </c>
      <c r="CZ17" s="27">
        <f t="shared" si="125"/>
        <v>3202.2713994283113</v>
      </c>
      <c r="DA17" s="27">
        <f t="shared" si="125"/>
        <v>3422.1461305893895</v>
      </c>
      <c r="DB17" s="27">
        <f t="shared" si="125"/>
        <v>3784.0851538326001</v>
      </c>
      <c r="DE17" s="121"/>
      <c r="DF17" s="26">
        <v>4345.0012747288838</v>
      </c>
    </row>
    <row r="18" spans="1:110" s="39" customFormat="1" x14ac:dyDescent="0.2">
      <c r="A18" s="39" t="s">
        <v>484</v>
      </c>
      <c r="C18" s="39" t="e">
        <f t="shared" ref="C18" si="126">C17/B17-1</f>
        <v>#DIV/0!</v>
      </c>
      <c r="D18" s="39" t="e">
        <f t="shared" ref="D18" si="127">D17/C17-1</f>
        <v>#DIV/0!</v>
      </c>
      <c r="E18" s="39" t="e">
        <f t="shared" ref="E18" si="128">E17/D17-1</f>
        <v>#DIV/0!</v>
      </c>
      <c r="F18" s="39" t="e">
        <f t="shared" ref="F18:R18" si="129">F17/E17-1</f>
        <v>#DIV/0!</v>
      </c>
      <c r="G18" s="39" t="e">
        <f t="shared" si="129"/>
        <v>#DIV/0!</v>
      </c>
      <c r="H18" s="39" t="e">
        <f t="shared" si="129"/>
        <v>#DIV/0!</v>
      </c>
      <c r="I18" s="39" t="e">
        <f t="shared" si="129"/>
        <v>#DIV/0!</v>
      </c>
      <c r="J18" s="39" t="e">
        <f t="shared" si="129"/>
        <v>#DIV/0!</v>
      </c>
      <c r="K18" s="39" t="e">
        <f>K17/J17-1</f>
        <v>#DIV/0!</v>
      </c>
      <c r="L18" s="39" t="e">
        <f t="shared" si="129"/>
        <v>#DIV/0!</v>
      </c>
      <c r="M18" s="39" t="e">
        <f t="shared" si="129"/>
        <v>#DIV/0!</v>
      </c>
      <c r="N18" s="39" t="e">
        <f t="shared" si="129"/>
        <v>#DIV/0!</v>
      </c>
      <c r="O18" s="39" t="e">
        <f t="shared" si="129"/>
        <v>#DIV/0!</v>
      </c>
      <c r="P18" s="39" t="e">
        <f t="shared" si="129"/>
        <v>#DIV/0!</v>
      </c>
      <c r="Q18" s="39" t="e">
        <f t="shared" si="129"/>
        <v>#DIV/0!</v>
      </c>
      <c r="R18" s="39" t="e">
        <f t="shared" si="129"/>
        <v>#DIV/0!</v>
      </c>
      <c r="S18" s="39" t="e">
        <f t="shared" ref="S18:AA18" si="130">S17/R17-1</f>
        <v>#DIV/0!</v>
      </c>
      <c r="T18" s="39">
        <f t="shared" si="130"/>
        <v>0.1991790105167448</v>
      </c>
      <c r="U18" s="39">
        <f t="shared" si="130"/>
        <v>-0.32342063645392316</v>
      </c>
      <c r="V18" s="39">
        <f t="shared" si="130"/>
        <v>-8.8693144213126129E-2</v>
      </c>
      <c r="W18" s="39">
        <f t="shared" si="130"/>
        <v>2.3252243741143097E-2</v>
      </c>
      <c r="X18" s="39">
        <f t="shared" si="130"/>
        <v>-0.61241907004120066</v>
      </c>
      <c r="Y18" s="39">
        <f t="shared" si="130"/>
        <v>0.50637962094480926</v>
      </c>
      <c r="Z18" s="39">
        <f t="shared" si="130"/>
        <v>1.0761422824894495</v>
      </c>
      <c r="AA18" s="39">
        <f t="shared" si="130"/>
        <v>0.19774955330648414</v>
      </c>
      <c r="AB18" s="40">
        <f t="shared" ref="AB18" si="131">AB17/AA17-1</f>
        <v>0.26227804527094412</v>
      </c>
      <c r="AC18" s="40">
        <f t="shared" ref="AC18" si="132">AC17/AB17-1</f>
        <v>0.15545805989763362</v>
      </c>
      <c r="AD18" s="40">
        <f t="shared" ref="AD18" si="133">AD17/AC17-1</f>
        <v>0.13065395659294365</v>
      </c>
      <c r="AE18" s="40">
        <f t="shared" ref="AE18" si="134">AE17/AD17-1</f>
        <v>0.1285303045176831</v>
      </c>
      <c r="AM18" s="39" t="e">
        <f t="shared" ref="AM18:CI18" si="135">+IF(AI17&lt;0,1-AM17/AI17,AM17/AI17-1)</f>
        <v>#DIV/0!</v>
      </c>
      <c r="AN18" s="39" t="e">
        <f t="shared" si="135"/>
        <v>#DIV/0!</v>
      </c>
      <c r="AO18" s="39" t="e">
        <f t="shared" si="135"/>
        <v>#DIV/0!</v>
      </c>
      <c r="AP18" s="39" t="e">
        <f t="shared" si="135"/>
        <v>#DIV/0!</v>
      </c>
      <c r="AQ18" s="39" t="e">
        <f t="shared" si="135"/>
        <v>#DIV/0!</v>
      </c>
      <c r="AR18" s="39" t="e">
        <f t="shared" si="135"/>
        <v>#DIV/0!</v>
      </c>
      <c r="AS18" s="39" t="e">
        <f t="shared" si="135"/>
        <v>#DIV/0!</v>
      </c>
      <c r="AT18" s="39" t="e">
        <f t="shared" si="135"/>
        <v>#DIV/0!</v>
      </c>
      <c r="AU18" s="39" t="e">
        <f t="shared" si="135"/>
        <v>#DIV/0!</v>
      </c>
      <c r="AV18" s="39" t="e">
        <f t="shared" si="135"/>
        <v>#DIV/0!</v>
      </c>
      <c r="AW18" s="39" t="e">
        <f t="shared" si="135"/>
        <v>#DIV/0!</v>
      </c>
      <c r="AX18" s="39" t="e">
        <f t="shared" si="135"/>
        <v>#DIV/0!</v>
      </c>
      <c r="AY18" s="39" t="e">
        <f t="shared" si="135"/>
        <v>#DIV/0!</v>
      </c>
      <c r="AZ18" s="39" t="e">
        <f t="shared" si="135"/>
        <v>#DIV/0!</v>
      </c>
      <c r="BA18" s="39" t="e">
        <f t="shared" si="135"/>
        <v>#DIV/0!</v>
      </c>
      <c r="BB18" s="39" t="e">
        <f t="shared" si="135"/>
        <v>#DIV/0!</v>
      </c>
      <c r="BC18" s="39" t="e">
        <f t="shared" si="135"/>
        <v>#DIV/0!</v>
      </c>
      <c r="BD18" s="39" t="e">
        <f t="shared" si="135"/>
        <v>#DIV/0!</v>
      </c>
      <c r="BE18" s="39" t="e">
        <f t="shared" si="135"/>
        <v>#DIV/0!</v>
      </c>
      <c r="BF18" s="39" t="e">
        <f t="shared" si="135"/>
        <v>#DIV/0!</v>
      </c>
      <c r="BG18" s="39" t="e">
        <f t="shared" si="135"/>
        <v>#DIV/0!</v>
      </c>
      <c r="BH18" s="39" t="e">
        <f t="shared" si="135"/>
        <v>#DIV/0!</v>
      </c>
      <c r="BI18" s="39" t="e">
        <f t="shared" si="135"/>
        <v>#DIV/0!</v>
      </c>
      <c r="BJ18" s="39" t="e">
        <f t="shared" si="135"/>
        <v>#DIV/0!</v>
      </c>
      <c r="BK18" s="39" t="e">
        <f t="shared" si="135"/>
        <v>#DIV/0!</v>
      </c>
      <c r="BL18" s="39">
        <f t="shared" si="135"/>
        <v>-0.51736070525931355</v>
      </c>
      <c r="BM18" s="39">
        <f t="shared" si="135"/>
        <v>-0.34527181066804857</v>
      </c>
      <c r="BN18" s="39">
        <f t="shared" si="135"/>
        <v>-0.11380815253665821</v>
      </c>
      <c r="BO18" s="39">
        <f t="shared" si="135"/>
        <v>-0.14221454676894651</v>
      </c>
      <c r="BP18" s="39">
        <f t="shared" si="135"/>
        <v>0.1200841343132244</v>
      </c>
      <c r="BQ18" s="39">
        <f t="shared" si="135"/>
        <v>0.21864841538451518</v>
      </c>
      <c r="BR18" s="39">
        <f t="shared" si="135"/>
        <v>-0.33780445785997493</v>
      </c>
      <c r="BS18" s="39">
        <f t="shared" si="135"/>
        <v>0.11867216031463612</v>
      </c>
      <c r="BT18" s="39">
        <f t="shared" si="135"/>
        <v>7.6154208718942407E-2</v>
      </c>
      <c r="BU18" s="39">
        <f t="shared" si="135"/>
        <v>0.13960952330128906</v>
      </c>
      <c r="BV18" s="39">
        <f t="shared" si="135"/>
        <v>-0.21509812830697528</v>
      </c>
      <c r="BW18" s="39">
        <f t="shared" si="135"/>
        <v>1.0296074935335575E-2</v>
      </c>
      <c r="BX18" s="39">
        <f t="shared" si="135"/>
        <v>-0.78261564772458669</v>
      </c>
      <c r="BY18" s="39">
        <f t="shared" si="135"/>
        <v>-0.72776045917343435</v>
      </c>
      <c r="BZ18" s="39">
        <f t="shared" si="135"/>
        <v>-0.91743461901160561</v>
      </c>
      <c r="CA18" s="39">
        <f t="shared" si="135"/>
        <v>-0.57333068197824233</v>
      </c>
      <c r="CB18" s="39">
        <f t="shared" si="135"/>
        <v>1.4289871757971153</v>
      </c>
      <c r="CC18" s="39">
        <f t="shared" si="135"/>
        <v>0.43227835659524283</v>
      </c>
      <c r="CD18" s="39">
        <f t="shared" si="135"/>
        <v>12.321384145651926</v>
      </c>
      <c r="CE18" s="39">
        <f t="shared" si="135"/>
        <v>0.77695354979027464</v>
      </c>
      <c r="CF18" s="39">
        <f t="shared" si="135"/>
        <v>0.35676479882030754</v>
      </c>
      <c r="CG18" s="39">
        <f t="shared" si="135"/>
        <v>2.1519352182267362</v>
      </c>
      <c r="CH18" s="39">
        <f t="shared" si="135"/>
        <v>1.1384453442670268</v>
      </c>
      <c r="CI18" s="39">
        <f t="shared" si="135"/>
        <v>0.9251524490197367</v>
      </c>
      <c r="CJ18" s="39">
        <f>+IF(CF17&lt;0,1-CJ17/CF17,CJ17/CF17-1)</f>
        <v>0.69686265757067023</v>
      </c>
      <c r="CK18" s="39">
        <f>+IF(CG17&lt;0,1-CK17/CG17,CK17/CG17-1)</f>
        <v>0.1388036141955149</v>
      </c>
      <c r="CL18" s="39">
        <f>+IF(CH17&lt;0,1-CL17/CH17,CL17/CH17-1)</f>
        <v>-0.22765976872784444</v>
      </c>
      <c r="CM18" s="40">
        <f>+IF(CI17&lt;0,1-CM17/CI17,CM17/CI17-1)</f>
        <v>0.38039768067904522</v>
      </c>
      <c r="CN18" s="40">
        <f t="shared" ref="CN18:DB18" si="136">+IF(CJ17&lt;0,1-CN17/CJ17,CN17/CJ17-1)</f>
        <v>0.25413412744139774</v>
      </c>
      <c r="CO18" s="40">
        <f t="shared" si="136"/>
        <v>0.12420729456825663</v>
      </c>
      <c r="CP18" s="40">
        <f t="shared" si="136"/>
        <v>0.31112152712005159</v>
      </c>
      <c r="CQ18" s="40">
        <f t="shared" si="136"/>
        <v>0.1709068538350238</v>
      </c>
      <c r="CR18" s="40">
        <f t="shared" si="136"/>
        <v>0.14922448456341009</v>
      </c>
      <c r="CS18" s="40">
        <f t="shared" si="136"/>
        <v>0.14148374636223027</v>
      </c>
      <c r="CT18" s="40">
        <f t="shared" si="136"/>
        <v>0.15897488045140129</v>
      </c>
      <c r="CU18" s="40">
        <f t="shared" si="136"/>
        <v>0.13278747240689182</v>
      </c>
      <c r="CV18" s="40">
        <f t="shared" si="136"/>
        <v>0.12851381939722462</v>
      </c>
      <c r="CW18" s="40">
        <f t="shared" si="136"/>
        <v>0.12951684077036019</v>
      </c>
      <c r="CX18" s="40">
        <f t="shared" si="136"/>
        <v>0.13145618169133133</v>
      </c>
      <c r="CY18" s="40">
        <f t="shared" si="136"/>
        <v>0.12809383039189703</v>
      </c>
      <c r="CZ18" s="40">
        <f t="shared" si="136"/>
        <v>0.12593138367440981</v>
      </c>
      <c r="DA18" s="40">
        <f t="shared" si="136"/>
        <v>0.12845549503340203</v>
      </c>
      <c r="DB18" s="40">
        <f t="shared" si="136"/>
        <v>0.13122866179978443</v>
      </c>
      <c r="DE18" s="122"/>
      <c r="DF18" s="39">
        <v>0.72481601626323711</v>
      </c>
    </row>
    <row r="19" spans="1:110" s="39" customFormat="1" x14ac:dyDescent="0.2">
      <c r="A19" s="39" t="s">
        <v>446</v>
      </c>
      <c r="AB19" s="40"/>
      <c r="AC19" s="40"/>
      <c r="AD19" s="40"/>
      <c r="AE19" s="40"/>
      <c r="AJ19" s="39" t="e">
        <f t="shared" ref="AJ19:AL19" si="137">+IF(AI17&lt;0,1-AJ17/AI17,AJ17/AI17-1)</f>
        <v>#DIV/0!</v>
      </c>
      <c r="AK19" s="39" t="e">
        <f t="shared" si="137"/>
        <v>#DIV/0!</v>
      </c>
      <c r="AL19" s="39" t="e">
        <f t="shared" si="137"/>
        <v>#DIV/0!</v>
      </c>
      <c r="AM19" s="39" t="e">
        <f t="shared" ref="AM19:CI19" si="138">+IF(AL17&lt;0,1-AM17/AL17,AM17/AL17-1)</f>
        <v>#DIV/0!</v>
      </c>
      <c r="AN19" s="39" t="e">
        <f t="shared" si="138"/>
        <v>#DIV/0!</v>
      </c>
      <c r="AO19" s="39" t="e">
        <f t="shared" si="138"/>
        <v>#DIV/0!</v>
      </c>
      <c r="AP19" s="39" t="e">
        <f t="shared" si="138"/>
        <v>#DIV/0!</v>
      </c>
      <c r="AQ19" s="39" t="e">
        <f t="shared" si="138"/>
        <v>#DIV/0!</v>
      </c>
      <c r="AR19" s="39" t="e">
        <f t="shared" si="138"/>
        <v>#DIV/0!</v>
      </c>
      <c r="AS19" s="39" t="e">
        <f t="shared" si="138"/>
        <v>#DIV/0!</v>
      </c>
      <c r="AT19" s="39" t="e">
        <f t="shared" si="138"/>
        <v>#DIV/0!</v>
      </c>
      <c r="AU19" s="39" t="e">
        <f t="shared" si="138"/>
        <v>#DIV/0!</v>
      </c>
      <c r="AV19" s="39" t="e">
        <f t="shared" si="138"/>
        <v>#DIV/0!</v>
      </c>
      <c r="AW19" s="39" t="e">
        <f t="shared" si="138"/>
        <v>#DIV/0!</v>
      </c>
      <c r="AX19" s="39" t="e">
        <f t="shared" si="138"/>
        <v>#DIV/0!</v>
      </c>
      <c r="AY19" s="39" t="e">
        <f t="shared" si="138"/>
        <v>#DIV/0!</v>
      </c>
      <c r="AZ19" s="39" t="e">
        <f t="shared" si="138"/>
        <v>#DIV/0!</v>
      </c>
      <c r="BA19" s="39" t="e">
        <f t="shared" si="138"/>
        <v>#DIV/0!</v>
      </c>
      <c r="BB19" s="39" t="e">
        <f t="shared" si="138"/>
        <v>#DIV/0!</v>
      </c>
      <c r="BC19" s="39" t="e">
        <f t="shared" si="138"/>
        <v>#DIV/0!</v>
      </c>
      <c r="BD19" s="39" t="e">
        <f t="shared" si="138"/>
        <v>#DIV/0!</v>
      </c>
      <c r="BE19" s="39" t="e">
        <f t="shared" si="138"/>
        <v>#DIV/0!</v>
      </c>
      <c r="BF19" s="39" t="e">
        <f t="shared" si="138"/>
        <v>#DIV/0!</v>
      </c>
      <c r="BG19" s="39" t="e">
        <f t="shared" si="138"/>
        <v>#DIV/0!</v>
      </c>
      <c r="BH19" s="39" t="e">
        <f t="shared" si="138"/>
        <v>#DIV/0!</v>
      </c>
      <c r="BI19" s="39">
        <f t="shared" si="138"/>
        <v>-0.33508351233504108</v>
      </c>
      <c r="BJ19" s="39">
        <f t="shared" si="138"/>
        <v>0.41438383661433131</v>
      </c>
      <c r="BK19" s="39">
        <f t="shared" si="138"/>
        <v>-0.46459842839350718</v>
      </c>
      <c r="BL19" s="39">
        <f t="shared" si="138"/>
        <v>-4.1463512590867224E-2</v>
      </c>
      <c r="BM19" s="39">
        <f t="shared" si="138"/>
        <v>-9.8002229056505574E-2</v>
      </c>
      <c r="BN19" s="39">
        <f t="shared" si="138"/>
        <v>0.91440577267714684</v>
      </c>
      <c r="BO19" s="39">
        <f t="shared" si="138"/>
        <v>-0.48176043248909317</v>
      </c>
      <c r="BP19" s="39">
        <f t="shared" si="138"/>
        <v>0.25164341230452281</v>
      </c>
      <c r="BQ19" s="39">
        <f t="shared" si="138"/>
        <v>-1.862893994598358E-2</v>
      </c>
      <c r="BR19" s="39">
        <f t="shared" si="138"/>
        <v>4.0259809564468174E-2</v>
      </c>
      <c r="BS19" s="39">
        <f t="shared" si="138"/>
        <v>-0.12451815263751875</v>
      </c>
      <c r="BT19" s="39">
        <f t="shared" si="138"/>
        <v>0.20407155353540429</v>
      </c>
      <c r="BU19" s="39">
        <f t="shared" si="138"/>
        <v>3.923749669776555E-2</v>
      </c>
      <c r="BV19" s="39">
        <f t="shared" si="138"/>
        <v>-0.28352487858394759</v>
      </c>
      <c r="BW19" s="39">
        <f t="shared" si="138"/>
        <v>0.12688720203915871</v>
      </c>
      <c r="BX19" s="39">
        <f t="shared" si="138"/>
        <v>-0.74092118018443487</v>
      </c>
      <c r="BY19" s="39">
        <f t="shared" si="138"/>
        <v>0.30148069973456137</v>
      </c>
      <c r="BZ19" s="39">
        <f t="shared" si="138"/>
        <v>-0.78270591704344405</v>
      </c>
      <c r="CA19" s="39">
        <f t="shared" si="138"/>
        <v>4.8233631120660405</v>
      </c>
      <c r="CB19" s="39">
        <f t="shared" si="138"/>
        <v>0.47491067267360565</v>
      </c>
      <c r="CC19" s="39">
        <f t="shared" si="138"/>
        <v>-0.2325679376448283</v>
      </c>
      <c r="CD19" s="39">
        <f t="shared" si="138"/>
        <v>1.0210163326928354</v>
      </c>
      <c r="CE19" s="39">
        <f t="shared" si="138"/>
        <v>-0.22321542261950245</v>
      </c>
      <c r="CF19" s="39">
        <f t="shared" si="138"/>
        <v>0.12614473367866585</v>
      </c>
      <c r="CG19" s="39">
        <f t="shared" si="138"/>
        <v>0.78284117264602271</v>
      </c>
      <c r="CH19" s="39">
        <f t="shared" si="138"/>
        <v>0.37116808186370576</v>
      </c>
      <c r="CI19" s="39">
        <f t="shared" si="138"/>
        <v>-0.30069349889445085</v>
      </c>
      <c r="CJ19" s="39">
        <f>+IF(CI17&lt;0,1-CJ17/CI17,CJ17/CI17-1)</f>
        <v>-7.3965588687751049E-3</v>
      </c>
      <c r="CK19" s="39">
        <f>+IF(CJ17&lt;0,1-CK17/CJ17,CK17/CJ17-1)</f>
        <v>0.19650577604941111</v>
      </c>
      <c r="CL19" s="39">
        <f>+IF(CK17&lt;0,1-CL17/CK17,CL17/CK17-1)</f>
        <v>-7.0069448095554487E-2</v>
      </c>
      <c r="CM19" s="40">
        <f>+IF(CL17&lt;0,1-CM17/CL17,CM17/CL17-1)</f>
        <v>0.24986506350945281</v>
      </c>
      <c r="CN19" s="40">
        <f t="shared" ref="CN19:DB19" si="139">+IF(CM17&lt;0,1-CN17/CM17,CN17/CM17-1)</f>
        <v>-9.8188972669044805E-2</v>
      </c>
      <c r="CO19" s="40">
        <f t="shared" si="139"/>
        <v>7.2549173167010039E-2</v>
      </c>
      <c r="CP19" s="40">
        <f t="shared" si="139"/>
        <v>8.4543723581506747E-2</v>
      </c>
      <c r="CQ19" s="40">
        <f t="shared" si="139"/>
        <v>0.1162013123579535</v>
      </c>
      <c r="CR19" s="40">
        <f t="shared" si="139"/>
        <v>-0.1148883366225143</v>
      </c>
      <c r="CS19" s="40">
        <f t="shared" si="139"/>
        <v>6.5324890645278133E-2</v>
      </c>
      <c r="CT19" s="40">
        <f t="shared" si="139"/>
        <v>0.10116235679042274</v>
      </c>
      <c r="CU19" s="40">
        <f t="shared" si="139"/>
        <v>9.0980386762784304E-2</v>
      </c>
      <c r="CV19" s="40">
        <f t="shared" si="139"/>
        <v>-0.11822758623131124</v>
      </c>
      <c r="CW19" s="40">
        <f t="shared" si="139"/>
        <v>6.6271749794261536E-2</v>
      </c>
      <c r="CX19" s="40">
        <f t="shared" si="139"/>
        <v>0.10305301405384193</v>
      </c>
      <c r="CY19" s="40">
        <f t="shared" si="139"/>
        <v>8.7738317489181705E-2</v>
      </c>
      <c r="CZ19" s="40">
        <f t="shared" si="139"/>
        <v>-0.11991785862741378</v>
      </c>
      <c r="DA19" s="40">
        <f t="shared" si="139"/>
        <v>6.8662116271697604E-2</v>
      </c>
      <c r="DB19" s="40">
        <f t="shared" si="139"/>
        <v>0.1057637545071386</v>
      </c>
      <c r="DE19" s="122"/>
      <c r="DF19" s="39">
        <v>1.0767519870036391</v>
      </c>
    </row>
    <row r="20" spans="1:110" s="23" customFormat="1" outlineLevel="1" x14ac:dyDescent="0.2">
      <c r="A20" s="23" t="s">
        <v>2</v>
      </c>
      <c r="B20" s="23">
        <f>'Annual Raw'!C11</f>
        <v>0</v>
      </c>
      <c r="C20" s="23">
        <f>'Annual Raw'!D11</f>
        <v>0</v>
      </c>
      <c r="D20" s="23">
        <f>'Annual Raw'!E11</f>
        <v>0</v>
      </c>
      <c r="E20" s="23">
        <f>'Annual Raw'!F11</f>
        <v>0</v>
      </c>
      <c r="F20" s="23">
        <f>'Annual Raw'!G11</f>
        <v>0</v>
      </c>
      <c r="G20" s="23">
        <f>'Annual Raw'!H11</f>
        <v>0</v>
      </c>
      <c r="H20" s="23">
        <f>'Annual Raw'!I11</f>
        <v>0</v>
      </c>
      <c r="I20" s="23">
        <f>'Annual Raw'!J11</f>
        <v>0</v>
      </c>
      <c r="J20" s="23">
        <f>'Annual Raw'!K11</f>
        <v>0</v>
      </c>
      <c r="K20" s="23">
        <f>'Annual Raw'!L11</f>
        <v>0</v>
      </c>
      <c r="L20" s="23">
        <f>'Annual Raw'!M11</f>
        <v>0</v>
      </c>
      <c r="M20" s="23">
        <f>'Annual Raw'!N11</f>
        <v>0</v>
      </c>
      <c r="N20" s="23">
        <f>'Annual Raw'!O11</f>
        <v>0</v>
      </c>
      <c r="O20" s="23">
        <f>'Annual Raw'!P11</f>
        <v>0</v>
      </c>
      <c r="P20" s="23">
        <f>'Annual Raw'!Q11</f>
        <v>0</v>
      </c>
      <c r="Q20" s="23">
        <f>'Annual Raw'!R11</f>
        <v>0</v>
      </c>
      <c r="R20" s="23">
        <f>'Annual Raw'!S11</f>
        <v>0</v>
      </c>
      <c r="S20" s="23">
        <f>'Annual Raw'!T11</f>
        <v>11.897</v>
      </c>
      <c r="T20" s="23">
        <f>'Annual Raw'!U11</f>
        <v>1.2669999999999999</v>
      </c>
      <c r="U20" s="23">
        <f>'Annual Raw'!V11</f>
        <v>0</v>
      </c>
      <c r="V20" s="23">
        <f>'Annual Raw'!W11</f>
        <v>0</v>
      </c>
      <c r="W20" s="23">
        <f>'Annual Raw'!X11</f>
        <v>0</v>
      </c>
      <c r="X20" s="23">
        <f>'Annual Raw'!Y11</f>
        <v>0</v>
      </c>
      <c r="Y20" s="23">
        <f>'Annual Raw'!Z11</f>
        <v>0</v>
      </c>
      <c r="Z20" s="23">
        <f>'Annual Raw'!AA11</f>
        <v>0</v>
      </c>
      <c r="AA20" s="23">
        <f>'Annual Raw'!AB11</f>
        <v>0</v>
      </c>
      <c r="AB20" s="76">
        <f>+SUM(CM20:CP20)</f>
        <v>0</v>
      </c>
      <c r="AC20" s="76">
        <f>+SUM(CQ20:CT20)</f>
        <v>0</v>
      </c>
      <c r="AD20" s="76">
        <f>+SUM(CU20:CX20)</f>
        <v>0</v>
      </c>
      <c r="AE20" s="76">
        <f>+SUM(CY20:DB20)</f>
        <v>0</v>
      </c>
      <c r="AI20" s="23">
        <f>'QTR Raw'!C10</f>
        <v>0</v>
      </c>
      <c r="AJ20" s="23">
        <f>'QTR Raw'!D10</f>
        <v>0</v>
      </c>
      <c r="AK20" s="23">
        <f>'QTR Raw'!E10</f>
        <v>0</v>
      </c>
      <c r="AL20" s="23">
        <f>'QTR Raw'!F10</f>
        <v>0</v>
      </c>
      <c r="AM20" s="23">
        <f>'QTR Raw'!G10</f>
        <v>0</v>
      </c>
      <c r="AN20" s="23">
        <f>'QTR Raw'!H10</f>
        <v>0</v>
      </c>
      <c r="AO20" s="23">
        <f>'QTR Raw'!I10</f>
        <v>0</v>
      </c>
      <c r="AP20" s="23">
        <f>'QTR Raw'!J10</f>
        <v>0</v>
      </c>
      <c r="AQ20" s="23">
        <f>'QTR Raw'!K10</f>
        <v>0</v>
      </c>
      <c r="AR20" s="23">
        <f>'QTR Raw'!L10</f>
        <v>0</v>
      </c>
      <c r="AS20" s="23">
        <f>'QTR Raw'!M10</f>
        <v>0</v>
      </c>
      <c r="AT20" s="23">
        <f>'QTR Raw'!N10</f>
        <v>0</v>
      </c>
      <c r="AU20" s="23">
        <f>'QTR Raw'!O10</f>
        <v>0</v>
      </c>
      <c r="AV20" s="23">
        <f>'QTR Raw'!P10</f>
        <v>0</v>
      </c>
      <c r="AW20" s="23">
        <f>'QTR Raw'!Q10</f>
        <v>0</v>
      </c>
      <c r="AX20" s="23">
        <f>'QTR Raw'!R10</f>
        <v>0</v>
      </c>
      <c r="AY20" s="23">
        <f>'QTR Raw'!S10</f>
        <v>0</v>
      </c>
      <c r="AZ20" s="23">
        <f>'QTR Raw'!T10</f>
        <v>0</v>
      </c>
      <c r="BA20" s="23">
        <f>'QTR Raw'!U10</f>
        <v>0</v>
      </c>
      <c r="BB20" s="23">
        <f>'QTR Raw'!V10</f>
        <v>0</v>
      </c>
      <c r="BC20" s="23">
        <f>'QTR Raw'!W10</f>
        <v>0</v>
      </c>
      <c r="BD20" s="23">
        <f>'QTR Raw'!X10</f>
        <v>0</v>
      </c>
      <c r="BE20" s="23">
        <f>'QTR Raw'!Y10</f>
        <v>0</v>
      </c>
      <c r="BF20" s="23">
        <f>'QTR Raw'!Z10</f>
        <v>0</v>
      </c>
      <c r="BG20" s="23">
        <f>'QTR Raw'!AA10</f>
        <v>0</v>
      </c>
      <c r="BH20" s="23">
        <f>'QTR Raw'!AB10</f>
        <v>0</v>
      </c>
      <c r="BI20" s="23">
        <f>'QTR Raw'!AC10</f>
        <v>0</v>
      </c>
      <c r="BJ20" s="23">
        <f>'QTR Raw'!AD10</f>
        <v>0.34300000000000003</v>
      </c>
      <c r="BK20" s="23">
        <f>'QTR Raw'!AE10</f>
        <v>0</v>
      </c>
      <c r="BL20" s="23">
        <f>'QTR Raw'!AF10</f>
        <v>0</v>
      </c>
      <c r="BM20" s="23">
        <f>'QTR Raw'!AG10</f>
        <v>0</v>
      </c>
      <c r="BN20" s="23">
        <f>'QTR Raw'!AH10</f>
        <v>0</v>
      </c>
      <c r="BO20" s="23">
        <f>'QTR Raw'!AI10</f>
        <v>0</v>
      </c>
      <c r="BP20" s="23">
        <f>'QTR Raw'!AJ10</f>
        <v>0</v>
      </c>
      <c r="BQ20" s="23">
        <f>'QTR Raw'!AK10</f>
        <v>0</v>
      </c>
      <c r="BR20" s="23">
        <f>'QTR Raw'!AL10</f>
        <v>0</v>
      </c>
      <c r="BS20" s="23">
        <f>'QTR Raw'!AM10</f>
        <v>0</v>
      </c>
      <c r="BT20" s="23">
        <f>'QTR Raw'!AN10</f>
        <v>0</v>
      </c>
      <c r="BU20" s="23">
        <f>'QTR Raw'!AO10</f>
        <v>0</v>
      </c>
      <c r="BV20" s="23">
        <f>'QTR Raw'!AP10</f>
        <v>0</v>
      </c>
      <c r="BW20" s="23">
        <f>'QTR Raw'!AQ10</f>
        <v>0</v>
      </c>
      <c r="BX20" s="23">
        <f>'QTR Raw'!AR10</f>
        <v>0</v>
      </c>
      <c r="BY20" s="23">
        <f>'QTR Raw'!AS10</f>
        <v>0</v>
      </c>
      <c r="BZ20" s="23">
        <f>'QTR Raw'!AT10</f>
        <v>0</v>
      </c>
      <c r="CA20" s="23">
        <f>'QTR Raw'!AU10</f>
        <v>0</v>
      </c>
      <c r="CB20" s="23">
        <f>'QTR Raw'!AV10</f>
        <v>0</v>
      </c>
      <c r="CC20" s="23">
        <f>'QTR Raw'!AW10</f>
        <v>0</v>
      </c>
      <c r="CD20" s="23">
        <f>'QTR Raw'!AX10</f>
        <v>0</v>
      </c>
      <c r="CE20" s="23">
        <f>'QTR Raw'!AY10</f>
        <v>0</v>
      </c>
      <c r="CF20" s="23">
        <f>'QTR Raw'!AZ10</f>
        <v>0</v>
      </c>
      <c r="CG20" s="23">
        <f>'QTR Raw'!BA10</f>
        <v>0</v>
      </c>
      <c r="CH20" s="23">
        <f>'QTR Raw'!BB10</f>
        <v>0</v>
      </c>
      <c r="CI20" s="23">
        <f>'QTR Raw'!BC10</f>
        <v>0</v>
      </c>
      <c r="CJ20" s="23">
        <f>'QTR Raw'!BD10</f>
        <v>0</v>
      </c>
      <c r="CK20" s="23">
        <f>'QTR Raw'!BE10</f>
        <v>0</v>
      </c>
      <c r="CL20" s="23">
        <f>'QTR Raw'!BF10</f>
        <v>0</v>
      </c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E20" s="123"/>
      <c r="DF20" s="23">
        <v>0</v>
      </c>
    </row>
    <row r="21" spans="1:110" s="23" customFormat="1" outlineLevel="1" x14ac:dyDescent="0.2">
      <c r="A21" s="23" t="s">
        <v>3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76">
        <f>+SUM(CM21:CP21)</f>
        <v>0</v>
      </c>
      <c r="AC21" s="76">
        <f>+SUM(CQ21:CT21)</f>
        <v>0</v>
      </c>
      <c r="AD21" s="76">
        <f>+SUM(CU21:CX21)</f>
        <v>0</v>
      </c>
      <c r="AE21" s="76">
        <f>+SUM(CY21:DB21)</f>
        <v>0</v>
      </c>
      <c r="AI21" s="23">
        <f>'QTR Raw'!C12</f>
        <v>0</v>
      </c>
      <c r="AJ21" s="23">
        <f>'QTR Raw'!D12</f>
        <v>0</v>
      </c>
      <c r="AK21" s="23">
        <f>'QTR Raw'!E12</f>
        <v>0</v>
      </c>
      <c r="AL21" s="23">
        <f>'QTR Raw'!F12</f>
        <v>0</v>
      </c>
      <c r="AM21" s="23">
        <f>'QTR Raw'!G12</f>
        <v>0</v>
      </c>
      <c r="AN21" s="23">
        <f>'QTR Raw'!H12</f>
        <v>0</v>
      </c>
      <c r="AO21" s="23">
        <f>'QTR Raw'!I12</f>
        <v>0</v>
      </c>
      <c r="AP21" s="23">
        <f>'QTR Raw'!J12</f>
        <v>0</v>
      </c>
      <c r="AQ21" s="23">
        <f>'QTR Raw'!K12</f>
        <v>0</v>
      </c>
      <c r="AR21" s="23">
        <f>'QTR Raw'!L12</f>
        <v>0</v>
      </c>
      <c r="AS21" s="23">
        <f>'QTR Raw'!M12</f>
        <v>0</v>
      </c>
      <c r="AT21" s="23">
        <f>'QTR Raw'!N12</f>
        <v>0</v>
      </c>
      <c r="AU21" s="23">
        <f>'QTR Raw'!O12</f>
        <v>0</v>
      </c>
      <c r="AV21" s="23">
        <f>'QTR Raw'!P12</f>
        <v>0</v>
      </c>
      <c r="AW21" s="23">
        <f>'QTR Raw'!Q12</f>
        <v>0</v>
      </c>
      <c r="AX21" s="23">
        <f>'QTR Raw'!R12</f>
        <v>0</v>
      </c>
      <c r="AY21" s="23">
        <f>'QTR Raw'!S12</f>
        <v>0</v>
      </c>
      <c r="AZ21" s="23">
        <f>'QTR Raw'!T12</f>
        <v>0</v>
      </c>
      <c r="BA21" s="23">
        <f>'QTR Raw'!U12</f>
        <v>0</v>
      </c>
      <c r="BB21" s="23">
        <f>'QTR Raw'!V12</f>
        <v>0</v>
      </c>
      <c r="BC21" s="23">
        <f>'QTR Raw'!W12</f>
        <v>0</v>
      </c>
      <c r="BD21" s="23">
        <f>'QTR Raw'!X12</f>
        <v>0</v>
      </c>
      <c r="BE21" s="23">
        <f>'QTR Raw'!Y12</f>
        <v>0</v>
      </c>
      <c r="BF21" s="23">
        <f>'QTR Raw'!Z12</f>
        <v>0</v>
      </c>
      <c r="BG21" s="23">
        <f>'QTR Raw'!AA12</f>
        <v>0</v>
      </c>
      <c r="BH21" s="23">
        <f>'QTR Raw'!AB12</f>
        <v>0</v>
      </c>
      <c r="BI21" s="23">
        <f>'QTR Raw'!AC12</f>
        <v>178.53899999999999</v>
      </c>
      <c r="BJ21" s="23">
        <f>'QTR Raw'!AD12</f>
        <v>0</v>
      </c>
      <c r="BK21" s="23">
        <f>'QTR Raw'!AE12</f>
        <v>0</v>
      </c>
      <c r="BL21" s="23">
        <f>'QTR Raw'!AF12</f>
        <v>0</v>
      </c>
      <c r="BM21" s="23">
        <f>'QTR Raw'!AG12</f>
        <v>0</v>
      </c>
      <c r="BN21" s="23">
        <f>'QTR Raw'!AH12</f>
        <v>0</v>
      </c>
      <c r="BO21" s="23">
        <f>'QTR Raw'!AI12</f>
        <v>0</v>
      </c>
      <c r="BP21" s="23">
        <f>'QTR Raw'!AJ12</f>
        <v>0</v>
      </c>
      <c r="BQ21" s="23">
        <f>'QTR Raw'!AK12</f>
        <v>0</v>
      </c>
      <c r="BR21" s="23">
        <f>'QTR Raw'!AL12</f>
        <v>0</v>
      </c>
      <c r="BS21" s="23">
        <f>'QTR Raw'!AM12</f>
        <v>0</v>
      </c>
      <c r="BT21" s="23">
        <f>'QTR Raw'!AN12</f>
        <v>0</v>
      </c>
      <c r="BU21" s="23">
        <f>'QTR Raw'!AO12</f>
        <v>0</v>
      </c>
      <c r="BV21" s="23">
        <f>'QTR Raw'!AP12</f>
        <v>0</v>
      </c>
      <c r="BW21" s="23">
        <f>'QTR Raw'!AQ12</f>
        <v>0</v>
      </c>
      <c r="BX21" s="23">
        <f>'QTR Raw'!AR12</f>
        <v>0</v>
      </c>
      <c r="BY21" s="23">
        <f>'QTR Raw'!AS12</f>
        <v>0</v>
      </c>
      <c r="BZ21" s="23">
        <f>'QTR Raw'!AT12</f>
        <v>0</v>
      </c>
      <c r="CA21" s="23">
        <f>'QTR Raw'!AU12</f>
        <v>0</v>
      </c>
      <c r="CB21" s="23">
        <f>'QTR Raw'!AV12</f>
        <v>0</v>
      </c>
      <c r="CC21" s="23">
        <f>'QTR Raw'!AW12</f>
        <v>0</v>
      </c>
      <c r="CD21" s="23">
        <f>'QTR Raw'!AX12</f>
        <v>0</v>
      </c>
      <c r="CE21" s="23">
        <f>'QTR Raw'!AY12</f>
        <v>0</v>
      </c>
      <c r="CF21" s="23">
        <f>'QTR Raw'!AZ12</f>
        <v>0</v>
      </c>
      <c r="CG21" s="23">
        <f>'QTR Raw'!BA12</f>
        <v>0</v>
      </c>
      <c r="CH21" s="23">
        <f>'QTR Raw'!BB12</f>
        <v>0</v>
      </c>
      <c r="CI21" s="23">
        <f>'QTR Raw'!BC12</f>
        <v>0</v>
      </c>
      <c r="CJ21" s="23">
        <f>'QTR Raw'!BD12</f>
        <v>0</v>
      </c>
      <c r="CK21" s="23">
        <f>'QTR Raw'!BE12</f>
        <v>0</v>
      </c>
      <c r="CL21" s="23">
        <f>'QTR Raw'!BF12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4</v>
      </c>
      <c r="B22" s="23">
        <f>'Annual Raw'!C12</f>
        <v>0</v>
      </c>
      <c r="C22" s="23">
        <f>'Annual Raw'!D12</f>
        <v>0</v>
      </c>
      <c r="D22" s="23">
        <f>'Annual Raw'!E12</f>
        <v>0</v>
      </c>
      <c r="E22" s="23">
        <f>'Annual Raw'!F12</f>
        <v>0</v>
      </c>
      <c r="F22" s="23">
        <f>'Annual Raw'!G12</f>
        <v>0</v>
      </c>
      <c r="G22" s="23">
        <f>'Annual Raw'!H12</f>
        <v>0</v>
      </c>
      <c r="H22" s="23">
        <f>'Annual Raw'!I12</f>
        <v>0</v>
      </c>
      <c r="I22" s="23">
        <f>'Annual Raw'!J12</f>
        <v>0</v>
      </c>
      <c r="J22" s="23">
        <f>'Annual Raw'!K12</f>
        <v>0</v>
      </c>
      <c r="K22" s="23">
        <f>'Annual Raw'!L12</f>
        <v>0</v>
      </c>
      <c r="L22" s="23">
        <f>'Annual Raw'!M12</f>
        <v>0</v>
      </c>
      <c r="M22" s="23">
        <f>'Annual Raw'!N12</f>
        <v>0</v>
      </c>
      <c r="N22" s="23">
        <f>'Annual Raw'!O12</f>
        <v>0</v>
      </c>
      <c r="O22" s="23">
        <f>'Annual Raw'!P12</f>
        <v>0</v>
      </c>
      <c r="P22" s="23">
        <f>'Annual Raw'!Q12</f>
        <v>0</v>
      </c>
      <c r="Q22" s="23">
        <f>'Annual Raw'!R12</f>
        <v>0</v>
      </c>
      <c r="R22" s="23">
        <f>'Annual Raw'!S12</f>
        <v>0</v>
      </c>
      <c r="S22" s="23">
        <f>'Annual Raw'!T12</f>
        <v>5373.4489999999996</v>
      </c>
      <c r="T22" s="23">
        <f>'Annual Raw'!U12</f>
        <v>5609.0929999999998</v>
      </c>
      <c r="U22" s="23">
        <f>'Annual Raw'!V12</f>
        <v>3589.3</v>
      </c>
      <c r="V22" s="23">
        <f>'Annual Raw'!W12</f>
        <v>3069.1</v>
      </c>
      <c r="W22" s="23">
        <f>'Annual Raw'!X12</f>
        <v>2419.44</v>
      </c>
      <c r="X22" s="23">
        <f>'Annual Raw'!Y12</f>
        <v>1210.5</v>
      </c>
      <c r="Y22" s="23">
        <f>'Annual Raw'!Z12</f>
        <v>1941.73</v>
      </c>
      <c r="Z22" s="23">
        <f>'Annual Raw'!AA12</f>
        <v>4560.91</v>
      </c>
      <c r="AA22" s="23">
        <f>'Annual Raw'!AB12</f>
        <v>4687.99</v>
      </c>
      <c r="AB22" s="24">
        <f>+SUM(CM22:CP22)</f>
        <v>5879.4349083779971</v>
      </c>
      <c r="AC22" s="24">
        <f>+SUM(CQ22:CT22)</f>
        <v>6784.3559203007744</v>
      </c>
      <c r="AD22" s="24">
        <f>+SUM(CU22:CX22)</f>
        <v>7668.3513937358966</v>
      </c>
      <c r="AE22" s="24">
        <f>+SUM(CY22:DB22)</f>
        <v>8653.3982800246449</v>
      </c>
      <c r="AI22" s="23">
        <f>'QTR Raw'!C11</f>
        <v>0</v>
      </c>
      <c r="AJ22" s="23">
        <f>'QTR Raw'!D11</f>
        <v>0</v>
      </c>
      <c r="AK22" s="23">
        <f>'QTR Raw'!E11</f>
        <v>0</v>
      </c>
      <c r="AL22" s="23">
        <f>'QTR Raw'!F11</f>
        <v>0</v>
      </c>
      <c r="AM22" s="23">
        <f>'QTR Raw'!G11</f>
        <v>0</v>
      </c>
      <c r="AN22" s="23">
        <f>'QTR Raw'!H11</f>
        <v>0</v>
      </c>
      <c r="AO22" s="23">
        <f>'QTR Raw'!I11</f>
        <v>0</v>
      </c>
      <c r="AP22" s="23">
        <f>'QTR Raw'!J11</f>
        <v>0</v>
      </c>
      <c r="AQ22" s="23">
        <f>'QTR Raw'!K11</f>
        <v>0</v>
      </c>
      <c r="AR22" s="23">
        <f>'QTR Raw'!L11</f>
        <v>0</v>
      </c>
      <c r="AS22" s="23">
        <f>'QTR Raw'!M11</f>
        <v>0</v>
      </c>
      <c r="AT22" s="23">
        <f>'QTR Raw'!N11</f>
        <v>0</v>
      </c>
      <c r="AU22" s="23">
        <f>'QTR Raw'!O11</f>
        <v>0</v>
      </c>
      <c r="AV22" s="23">
        <f>'QTR Raw'!P11</f>
        <v>0</v>
      </c>
      <c r="AW22" s="23">
        <f>'QTR Raw'!Q11</f>
        <v>0</v>
      </c>
      <c r="AX22" s="23">
        <f>'QTR Raw'!R11</f>
        <v>0</v>
      </c>
      <c r="AY22" s="23">
        <f>'QTR Raw'!S11</f>
        <v>0</v>
      </c>
      <c r="AZ22" s="23">
        <f>'QTR Raw'!T11</f>
        <v>0</v>
      </c>
      <c r="BA22" s="23">
        <f>'QTR Raw'!U11</f>
        <v>0</v>
      </c>
      <c r="BB22" s="23">
        <f>'QTR Raw'!V11</f>
        <v>0</v>
      </c>
      <c r="BC22" s="23">
        <f>'QTR Raw'!W11</f>
        <v>0</v>
      </c>
      <c r="BD22" s="23">
        <f>'QTR Raw'!X11</f>
        <v>0</v>
      </c>
      <c r="BE22" s="23">
        <f>'QTR Raw'!Y11</f>
        <v>0</v>
      </c>
      <c r="BF22" s="23">
        <f>'QTR Raw'!Z11</f>
        <v>0</v>
      </c>
      <c r="BG22" s="23">
        <f>'QTR Raw'!AA11</f>
        <v>0</v>
      </c>
      <c r="BH22" s="23">
        <f>'QTR Raw'!AB11</f>
        <v>2339.8960000000002</v>
      </c>
      <c r="BI22" s="23">
        <f>'QTR Raw'!AC11</f>
        <v>921.22500000000002</v>
      </c>
      <c r="BJ22" s="23">
        <f>'QTR Raw'!AD11</f>
        <v>981.63599999999997</v>
      </c>
      <c r="BK22" s="23">
        <f>'QTR Raw'!AE11</f>
        <v>672.35</v>
      </c>
      <c r="BL22" s="23">
        <f>'QTR Raw'!AF11</f>
        <v>741.42</v>
      </c>
      <c r="BM22" s="23">
        <f>'QTR Raw'!AG11</f>
        <v>778.89</v>
      </c>
      <c r="BN22" s="23">
        <f>'QTR Raw'!AH11</f>
        <v>1396.63</v>
      </c>
      <c r="BO22" s="23">
        <f>'QTR Raw'!AI11</f>
        <v>635.75</v>
      </c>
      <c r="BP22" s="23">
        <f>'QTR Raw'!AJ11</f>
        <v>759.02</v>
      </c>
      <c r="BQ22" s="23">
        <f>'QTR Raw'!AK11</f>
        <v>605.05999999999995</v>
      </c>
      <c r="BR22" s="23">
        <f>'QTR Raw'!AL11</f>
        <v>1069.27</v>
      </c>
      <c r="BS22" s="23">
        <f>'QTR Raw'!AM11</f>
        <v>460.3</v>
      </c>
      <c r="BT22" s="23">
        <f>'QTR Raw'!AN11</f>
        <v>640.67999999999995</v>
      </c>
      <c r="BU22" s="23">
        <f>'QTR Raw'!AO11</f>
        <v>979.05</v>
      </c>
      <c r="BV22" s="23">
        <f>'QTR Raw'!AP11</f>
        <v>339.41</v>
      </c>
      <c r="BW22" s="23">
        <f>'QTR Raw'!AQ11</f>
        <v>893.32</v>
      </c>
      <c r="BX22" s="23">
        <f>'QTR Raw'!AR11</f>
        <v>157.82</v>
      </c>
      <c r="BY22" s="23">
        <f>'QTR Raw'!AS11</f>
        <v>151.35</v>
      </c>
      <c r="BZ22" s="23">
        <f>'QTR Raw'!AT11</f>
        <v>8.01</v>
      </c>
      <c r="CA22" s="23">
        <f>'QTR Raw'!AU11</f>
        <v>239.91</v>
      </c>
      <c r="CB22" s="23">
        <f>'QTR Raw'!AV11</f>
        <v>467.37</v>
      </c>
      <c r="CC22" s="23">
        <f>'QTR Raw'!AW11</f>
        <v>355.5</v>
      </c>
      <c r="CD22" s="23">
        <f>'QTR Raw'!AX11</f>
        <v>878.96</v>
      </c>
      <c r="CE22" s="23">
        <f>'QTR Raw'!AY11</f>
        <v>641.47</v>
      </c>
      <c r="CF22" s="23">
        <f>'QTR Raw'!AZ11</f>
        <v>729.38</v>
      </c>
      <c r="CG22" s="23">
        <f>'QTR Raw'!BA11</f>
        <v>1380.25</v>
      </c>
      <c r="CH22" s="23">
        <f>'QTR Raw'!BB11</f>
        <v>1809.81</v>
      </c>
      <c r="CI22" s="23">
        <f>'QTR Raw'!BC11</f>
        <v>1122.42</v>
      </c>
      <c r="CJ22" s="23">
        <f>'QTR Raw'!BD11</f>
        <v>1063.95</v>
      </c>
      <c r="CK22" s="23">
        <f>'QTR Raw'!BE11</f>
        <v>1345.6</v>
      </c>
      <c r="CL22" s="23">
        <f>'QTR Raw'!BF11</f>
        <v>1156.02</v>
      </c>
      <c r="CM22" s="24">
        <f t="shared" ref="CM22:DB22" si="140">+CM17-CM23</f>
        <v>1509.4618778049</v>
      </c>
      <c r="CN22" s="24">
        <f t="shared" si="140"/>
        <v>1352.2483712748485</v>
      </c>
      <c r="CO22" s="24">
        <f t="shared" si="140"/>
        <v>1455.1558459658168</v>
      </c>
      <c r="CP22" s="24">
        <f t="shared" si="140"/>
        <v>1562.5688133324318</v>
      </c>
      <c r="CQ22" s="24">
        <f t="shared" si="140"/>
        <v>1757.2249432281455</v>
      </c>
      <c r="CR22" s="24">
        <f t="shared" si="140"/>
        <v>1553.0800900727859</v>
      </c>
      <c r="CS22" s="24">
        <f t="shared" si="140"/>
        <v>1654.2800387802724</v>
      </c>
      <c r="CT22" s="24">
        <f t="shared" si="140"/>
        <v>1819.7708482195703</v>
      </c>
      <c r="CU22" s="24">
        <f t="shared" si="140"/>
        <v>1987.7325090582565</v>
      </c>
      <c r="CV22" s="24">
        <f t="shared" si="140"/>
        <v>1752.1038620806064</v>
      </c>
      <c r="CW22" s="24">
        <f t="shared" si="140"/>
        <v>1868.067311715183</v>
      </c>
      <c r="CX22" s="24">
        <f t="shared" si="140"/>
        <v>2060.447710881851</v>
      </c>
      <c r="CY22" s="24">
        <f t="shared" si="140"/>
        <v>2241.6240630378984</v>
      </c>
      <c r="CZ22" s="24">
        <f t="shared" si="140"/>
        <v>1972.653852950373</v>
      </c>
      <c r="DA22" s="24">
        <f t="shared" si="140"/>
        <v>2108.075094417427</v>
      </c>
      <c r="DB22" s="24">
        <f t="shared" si="140"/>
        <v>2331.0452696189459</v>
      </c>
      <c r="DE22" s="123"/>
      <c r="DF22" s="23">
        <v>2832.0574107897023</v>
      </c>
    </row>
    <row r="23" spans="1:110" s="31" customFormat="1" x14ac:dyDescent="0.2">
      <c r="A23" s="31" t="s">
        <v>5</v>
      </c>
      <c r="B23" s="31">
        <f t="shared" ref="B23:T23" si="141">B17-B20-B22-B21</f>
        <v>0</v>
      </c>
      <c r="C23" s="31">
        <f t="shared" si="141"/>
        <v>0</v>
      </c>
      <c r="D23" s="31">
        <f t="shared" si="141"/>
        <v>0</v>
      </c>
      <c r="E23" s="31">
        <f t="shared" si="141"/>
        <v>0</v>
      </c>
      <c r="F23" s="31">
        <f t="shared" si="141"/>
        <v>0</v>
      </c>
      <c r="G23" s="31">
        <f t="shared" si="141"/>
        <v>0</v>
      </c>
      <c r="H23" s="31">
        <f t="shared" si="141"/>
        <v>0</v>
      </c>
      <c r="I23" s="31">
        <f t="shared" si="141"/>
        <v>0</v>
      </c>
      <c r="J23" s="31">
        <f t="shared" si="141"/>
        <v>0</v>
      </c>
      <c r="K23" s="31">
        <f t="shared" si="141"/>
        <v>0</v>
      </c>
      <c r="L23" s="31">
        <f t="shared" si="141"/>
        <v>0</v>
      </c>
      <c r="M23" s="31">
        <f t="shared" si="141"/>
        <v>0</v>
      </c>
      <c r="N23" s="31">
        <f t="shared" si="141"/>
        <v>0</v>
      </c>
      <c r="O23" s="31">
        <f t="shared" si="141"/>
        <v>0</v>
      </c>
      <c r="P23" s="31">
        <f t="shared" si="141"/>
        <v>0</v>
      </c>
      <c r="Q23" s="31">
        <f t="shared" si="141"/>
        <v>0</v>
      </c>
      <c r="R23" s="31">
        <f t="shared" si="141"/>
        <v>0</v>
      </c>
      <c r="S23" s="31">
        <f t="shared" si="141"/>
        <v>1486.3620000000001</v>
      </c>
      <c r="T23" s="31">
        <f t="shared" si="141"/>
        <v>2630.0479999999998</v>
      </c>
      <c r="U23" s="31">
        <f t="shared" ref="U23:Z23" si="142">U17-U20-U22-U21</f>
        <v>1985.9899999999998</v>
      </c>
      <c r="V23" s="31">
        <f t="shared" si="142"/>
        <v>2011.7000000000003</v>
      </c>
      <c r="W23" s="31">
        <f t="shared" si="142"/>
        <v>2779.4999999999995</v>
      </c>
      <c r="X23" s="31">
        <f t="shared" si="142"/>
        <v>804.51</v>
      </c>
      <c r="Y23" s="31">
        <f t="shared" si="142"/>
        <v>1093.6399999999999</v>
      </c>
      <c r="Z23" s="31">
        <f t="shared" si="142"/>
        <v>1740.9499999999998</v>
      </c>
      <c r="AA23" s="31">
        <f t="shared" ref="AA23" si="143">AA17-AA20-AA22-AA21</f>
        <v>2860.0600000000004</v>
      </c>
      <c r="AB23" s="32">
        <f t="shared" ref="AA23:AD23" si="144">AB17-AB20-AB22-AB21</f>
        <v>3648.302891229353</v>
      </c>
      <c r="AC23" s="32">
        <f t="shared" si="144"/>
        <v>4224.545512846883</v>
      </c>
      <c r="AD23" s="32">
        <f t="shared" si="144"/>
        <v>4778.9065693942302</v>
      </c>
      <c r="AE23" s="32">
        <f t="shared" ref="AE23" si="145">AE17-AE20-AE22-AE21</f>
        <v>5393.7095395167544</v>
      </c>
      <c r="AI23" s="31">
        <f t="shared" ref="AI23" si="146">AI17-AI20-AI22-AI21</f>
        <v>0</v>
      </c>
      <c r="AJ23" s="31">
        <f t="shared" ref="AJ23" si="147">AJ17-AJ20-AJ22-AJ21</f>
        <v>0</v>
      </c>
      <c r="AK23" s="31">
        <f t="shared" ref="AK23:AM23" si="148">AK17-AK20-AK22-AK21</f>
        <v>0</v>
      </c>
      <c r="AL23" s="31">
        <f t="shared" si="148"/>
        <v>0</v>
      </c>
      <c r="AM23" s="31">
        <f t="shared" si="148"/>
        <v>0</v>
      </c>
      <c r="AN23" s="31">
        <f t="shared" ref="AN23:AO23" si="149">AN17-AN20-AN22-AN21</f>
        <v>0</v>
      </c>
      <c r="AO23" s="31">
        <f t="shared" si="149"/>
        <v>0</v>
      </c>
      <c r="AP23" s="31">
        <f t="shared" ref="AP23:CD23" si="150">AP17-AP20-AP22-AP21</f>
        <v>0</v>
      </c>
      <c r="AQ23" s="31">
        <f t="shared" si="150"/>
        <v>0</v>
      </c>
      <c r="AR23" s="31">
        <f t="shared" si="150"/>
        <v>0</v>
      </c>
      <c r="AS23" s="31">
        <f t="shared" si="150"/>
        <v>0</v>
      </c>
      <c r="AT23" s="31">
        <f t="shared" si="150"/>
        <v>0</v>
      </c>
      <c r="AU23" s="31">
        <f t="shared" si="150"/>
        <v>0</v>
      </c>
      <c r="AV23" s="31">
        <f t="shared" si="150"/>
        <v>0</v>
      </c>
      <c r="AW23" s="31">
        <f t="shared" si="150"/>
        <v>0</v>
      </c>
      <c r="AX23" s="31">
        <f t="shared" si="150"/>
        <v>0</v>
      </c>
      <c r="AY23" s="31">
        <f t="shared" si="150"/>
        <v>0</v>
      </c>
      <c r="AZ23" s="31">
        <f t="shared" si="150"/>
        <v>0</v>
      </c>
      <c r="BA23" s="31">
        <f t="shared" si="150"/>
        <v>0</v>
      </c>
      <c r="BB23" s="31">
        <f t="shared" si="150"/>
        <v>0</v>
      </c>
      <c r="BC23" s="31">
        <f t="shared" si="150"/>
        <v>0</v>
      </c>
      <c r="BD23" s="31">
        <f t="shared" si="150"/>
        <v>0</v>
      </c>
      <c r="BE23" s="31">
        <f t="shared" si="150"/>
        <v>0</v>
      </c>
      <c r="BF23" s="31">
        <f t="shared" si="150"/>
        <v>0</v>
      </c>
      <c r="BG23" s="31">
        <f t="shared" si="150"/>
        <v>0</v>
      </c>
      <c r="BH23" s="31">
        <f t="shared" si="150"/>
        <v>132.61299999999983</v>
      </c>
      <c r="BI23" s="31">
        <f t="shared" si="150"/>
        <v>544.24799999999993</v>
      </c>
      <c r="BJ23" s="31">
        <f t="shared" si="150"/>
        <v>1343.2850000000003</v>
      </c>
      <c r="BK23" s="31">
        <f t="shared" si="150"/>
        <v>572.6</v>
      </c>
      <c r="BL23" s="31">
        <f t="shared" si="150"/>
        <v>451.90999999999997</v>
      </c>
      <c r="BM23" s="31">
        <f t="shared" si="150"/>
        <v>297.4910000000001</v>
      </c>
      <c r="BN23" s="31">
        <f t="shared" si="150"/>
        <v>664</v>
      </c>
      <c r="BO23" s="31">
        <f t="shared" si="150"/>
        <v>432.15000000000009</v>
      </c>
      <c r="BP23" s="31">
        <f t="shared" si="150"/>
        <v>577.61000000000013</v>
      </c>
      <c r="BQ23" s="31">
        <f t="shared" si="150"/>
        <v>706.67000000000007</v>
      </c>
      <c r="BR23" s="31">
        <f t="shared" si="150"/>
        <v>295.27</v>
      </c>
      <c r="BS23" s="31">
        <f t="shared" si="150"/>
        <v>734.33000000000015</v>
      </c>
      <c r="BT23" s="31">
        <f t="shared" si="150"/>
        <v>797.74000000000012</v>
      </c>
      <c r="BU23" s="31">
        <f t="shared" si="150"/>
        <v>515.80999999999995</v>
      </c>
      <c r="BV23" s="31">
        <f t="shared" si="150"/>
        <v>731.61999999999989</v>
      </c>
      <c r="BW23" s="31">
        <f t="shared" si="150"/>
        <v>313.61</v>
      </c>
      <c r="BX23" s="31">
        <f t="shared" si="150"/>
        <v>154.87</v>
      </c>
      <c r="BY23" s="31">
        <f t="shared" si="150"/>
        <v>255.60999999999999</v>
      </c>
      <c r="BZ23" s="31">
        <f t="shared" si="150"/>
        <v>80.42</v>
      </c>
      <c r="CA23" s="31">
        <f t="shared" si="150"/>
        <v>275.05000000000007</v>
      </c>
      <c r="CB23" s="31">
        <f t="shared" si="150"/>
        <v>292.14999999999998</v>
      </c>
      <c r="CC23" s="31">
        <f t="shared" si="150"/>
        <v>227.38</v>
      </c>
      <c r="CD23" s="31">
        <f t="shared" si="150"/>
        <v>299.04999999999995</v>
      </c>
      <c r="CE23" s="31">
        <f t="shared" ref="CE23:CF23" si="151">CE17-CE20-CE22-CE21</f>
        <v>273.58999999999992</v>
      </c>
      <c r="CF23" s="31">
        <f t="shared" si="151"/>
        <v>301.11</v>
      </c>
      <c r="CG23" s="31">
        <f t="shared" ref="CG23:CH23" si="152">CG17-CG20-CG22-CG21</f>
        <v>456.95000000000005</v>
      </c>
      <c r="CH23" s="31">
        <f t="shared" si="152"/>
        <v>709.30000000000018</v>
      </c>
      <c r="CI23" s="31">
        <f t="shared" ref="CI23:CJ23" si="153">CI17-CI20-CI22-CI21</f>
        <v>639.21</v>
      </c>
      <c r="CJ23" s="31">
        <f t="shared" si="153"/>
        <v>684.64999999999986</v>
      </c>
      <c r="CK23" s="31">
        <f t="shared" ref="CK23:CL23" si="154">CK17-CK20-CK22-CK21</f>
        <v>746.61000000000013</v>
      </c>
      <c r="CL23" s="31">
        <f t="shared" si="154"/>
        <v>789.58999999999992</v>
      </c>
      <c r="CM23" s="32">
        <f t="shared" ref="CM23:DB23" si="155">+CM24*CM17</f>
        <v>922.28808840972647</v>
      </c>
      <c r="CN23" s="32">
        <f t="shared" si="155"/>
        <v>840.73056396917934</v>
      </c>
      <c r="CO23" s="32">
        <f t="shared" si="155"/>
        <v>896.9218978028357</v>
      </c>
      <c r="CP23" s="32">
        <f t="shared" si="155"/>
        <v>988.36234104761184</v>
      </c>
      <c r="CQ23" s="32">
        <f t="shared" si="155"/>
        <v>1090.1277590256482</v>
      </c>
      <c r="CR23" s="32">
        <f t="shared" si="155"/>
        <v>967.14499644144837</v>
      </c>
      <c r="CS23" s="32">
        <f t="shared" si="155"/>
        <v>1030.5784759119908</v>
      </c>
      <c r="CT23" s="32">
        <f t="shared" si="155"/>
        <v>1136.6942814677959</v>
      </c>
      <c r="CU23" s="32">
        <f t="shared" si="155"/>
        <v>1237.7129615787519</v>
      </c>
      <c r="CV23" s="32">
        <f t="shared" si="155"/>
        <v>1092.0049760422728</v>
      </c>
      <c r="CW23" s="32">
        <f t="shared" si="155"/>
        <v>1164.5255957154238</v>
      </c>
      <c r="CX23" s="32">
        <f t="shared" si="155"/>
        <v>1284.6630360577833</v>
      </c>
      <c r="CY23" s="32">
        <f t="shared" si="155"/>
        <v>1396.9810726531996</v>
      </c>
      <c r="CZ23" s="32">
        <f t="shared" si="155"/>
        <v>1229.6175464779383</v>
      </c>
      <c r="DA23" s="32">
        <f t="shared" si="155"/>
        <v>1314.0710361719628</v>
      </c>
      <c r="DB23" s="32">
        <f t="shared" si="155"/>
        <v>1453.039884213654</v>
      </c>
      <c r="DE23" s="124"/>
      <c r="DF23" s="31">
        <v>1512.9438639391815</v>
      </c>
    </row>
    <row r="24" spans="1:110" s="41" customFormat="1" x14ac:dyDescent="0.2">
      <c r="A24" s="41" t="s">
        <v>6</v>
      </c>
      <c r="B24" s="41" t="e">
        <f>B23/B17</f>
        <v>#DIV/0!</v>
      </c>
      <c r="C24" s="41" t="e">
        <f t="shared" ref="C24:U24" si="156">C23/C17</f>
        <v>#DIV/0!</v>
      </c>
      <c r="D24" s="41" t="e">
        <f t="shared" si="156"/>
        <v>#DIV/0!</v>
      </c>
      <c r="E24" s="41" t="e">
        <f t="shared" si="156"/>
        <v>#DIV/0!</v>
      </c>
      <c r="F24" s="41" t="e">
        <f t="shared" si="156"/>
        <v>#DIV/0!</v>
      </c>
      <c r="G24" s="41" t="e">
        <f t="shared" si="156"/>
        <v>#DIV/0!</v>
      </c>
      <c r="H24" s="41" t="e">
        <f t="shared" si="156"/>
        <v>#DIV/0!</v>
      </c>
      <c r="I24" s="41" t="e">
        <f t="shared" si="156"/>
        <v>#DIV/0!</v>
      </c>
      <c r="J24" s="41" t="e">
        <f t="shared" si="156"/>
        <v>#DIV/0!</v>
      </c>
      <c r="K24" s="41" t="e">
        <f t="shared" si="156"/>
        <v>#DIV/0!</v>
      </c>
      <c r="L24" s="41" t="e">
        <f t="shared" si="156"/>
        <v>#DIV/0!</v>
      </c>
      <c r="M24" s="41" t="e">
        <f t="shared" si="156"/>
        <v>#DIV/0!</v>
      </c>
      <c r="N24" s="41" t="e">
        <f t="shared" si="156"/>
        <v>#DIV/0!</v>
      </c>
      <c r="O24" s="41" t="e">
        <f t="shared" si="156"/>
        <v>#DIV/0!</v>
      </c>
      <c r="P24" s="41" t="e">
        <f t="shared" si="156"/>
        <v>#DIV/0!</v>
      </c>
      <c r="Q24" s="41" t="e">
        <f t="shared" si="156"/>
        <v>#DIV/0!</v>
      </c>
      <c r="R24" s="41" t="e">
        <f t="shared" si="156"/>
        <v>#DIV/0!</v>
      </c>
      <c r="S24" s="41">
        <f t="shared" si="156"/>
        <v>0.21630168220186308</v>
      </c>
      <c r="T24" s="41">
        <f t="shared" si="156"/>
        <v>0.31916477921966968</v>
      </c>
      <c r="U24" s="41">
        <f t="shared" si="156"/>
        <v>0.35621286067630559</v>
      </c>
      <c r="V24" s="41">
        <f>V23/V17</f>
        <v>0.39594158400251933</v>
      </c>
      <c r="W24" s="41">
        <f>W23/W17</f>
        <v>0.53462821267412197</v>
      </c>
      <c r="X24" s="41">
        <f>X23/X17</f>
        <v>0.39925856447362545</v>
      </c>
      <c r="Y24" s="41">
        <f>Y23/Y17</f>
        <v>0.36029874446937271</v>
      </c>
      <c r="Z24" s="41">
        <f>Z23/Z17</f>
        <v>0.27625970745145084</v>
      </c>
      <c r="AA24" s="41">
        <f>AA23/AA17</f>
        <v>0.37891375918283532</v>
      </c>
      <c r="AB24" s="42">
        <f t="shared" ref="AA24:AD24" si="157">AB23/AB17</f>
        <v>0.38291386349650641</v>
      </c>
      <c r="AC24" s="42">
        <f t="shared" si="157"/>
        <v>0.38373906229433863</v>
      </c>
      <c r="AD24" s="42">
        <f t="shared" si="157"/>
        <v>0.38393247601598457</v>
      </c>
      <c r="AE24" s="42">
        <f t="shared" ref="AE24" si="158">AE23/AE17</f>
        <v>0.38397295790763314</v>
      </c>
      <c r="AI24" s="41" t="e">
        <f t="shared" ref="AI24" si="159">AI23/AI17</f>
        <v>#DIV/0!</v>
      </c>
      <c r="AJ24" s="41" t="e">
        <f t="shared" ref="AJ24" si="160">AJ23/AJ17</f>
        <v>#DIV/0!</v>
      </c>
      <c r="AK24" s="41" t="e">
        <f t="shared" ref="AK24:AM24" si="161">AK23/AK17</f>
        <v>#DIV/0!</v>
      </c>
      <c r="AL24" s="41" t="e">
        <f t="shared" si="161"/>
        <v>#DIV/0!</v>
      </c>
      <c r="AM24" s="41" t="e">
        <f t="shared" si="161"/>
        <v>#DIV/0!</v>
      </c>
      <c r="AN24" s="41" t="e">
        <f t="shared" ref="AN24:AO24" si="162">AN23/AN17</f>
        <v>#DIV/0!</v>
      </c>
      <c r="AO24" s="41" t="e">
        <f t="shared" si="162"/>
        <v>#DIV/0!</v>
      </c>
      <c r="AP24" s="41" t="e">
        <f t="shared" ref="AP24:CD24" si="163">AP23/AP17</f>
        <v>#DIV/0!</v>
      </c>
      <c r="AQ24" s="41" t="e">
        <f t="shared" si="163"/>
        <v>#DIV/0!</v>
      </c>
      <c r="AR24" s="41" t="e">
        <f t="shared" si="163"/>
        <v>#DIV/0!</v>
      </c>
      <c r="AS24" s="41" t="e">
        <f t="shared" si="163"/>
        <v>#DIV/0!</v>
      </c>
      <c r="AT24" s="41" t="e">
        <f t="shared" si="163"/>
        <v>#DIV/0!</v>
      </c>
      <c r="AU24" s="41" t="e">
        <f t="shared" si="163"/>
        <v>#DIV/0!</v>
      </c>
      <c r="AV24" s="41" t="e">
        <f t="shared" si="163"/>
        <v>#DIV/0!</v>
      </c>
      <c r="AW24" s="41" t="e">
        <f t="shared" si="163"/>
        <v>#DIV/0!</v>
      </c>
      <c r="AX24" s="41" t="e">
        <f t="shared" si="163"/>
        <v>#DIV/0!</v>
      </c>
      <c r="AY24" s="41" t="e">
        <f t="shared" si="163"/>
        <v>#DIV/0!</v>
      </c>
      <c r="AZ24" s="41" t="e">
        <f t="shared" si="163"/>
        <v>#DIV/0!</v>
      </c>
      <c r="BA24" s="41" t="e">
        <f t="shared" si="163"/>
        <v>#DIV/0!</v>
      </c>
      <c r="BB24" s="41" t="e">
        <f t="shared" si="163"/>
        <v>#DIV/0!</v>
      </c>
      <c r="BC24" s="41" t="e">
        <f t="shared" si="163"/>
        <v>#DIV/0!</v>
      </c>
      <c r="BD24" s="41" t="e">
        <f t="shared" si="163"/>
        <v>#DIV/0!</v>
      </c>
      <c r="BE24" s="41" t="e">
        <f t="shared" si="163"/>
        <v>#DIV/0!</v>
      </c>
      <c r="BF24" s="41" t="e">
        <f t="shared" si="163"/>
        <v>#DIV/0!</v>
      </c>
      <c r="BG24" s="41" t="e">
        <f t="shared" si="163"/>
        <v>#DIV/0!</v>
      </c>
      <c r="BH24" s="41">
        <f t="shared" si="163"/>
        <v>5.3634991824094404E-2</v>
      </c>
      <c r="BI24" s="41">
        <f t="shared" si="163"/>
        <v>0.33104867847679942</v>
      </c>
      <c r="BJ24" s="41">
        <f t="shared" si="163"/>
        <v>0.57769139332136055</v>
      </c>
      <c r="BK24" s="41">
        <f t="shared" si="163"/>
        <v>0.45993815012651112</v>
      </c>
      <c r="BL24" s="41">
        <f t="shared" si="163"/>
        <v>0.37869658853795679</v>
      </c>
      <c r="BM24" s="41">
        <f t="shared" si="163"/>
        <v>0.27638076108738457</v>
      </c>
      <c r="BN24" s="41">
        <f t="shared" si="163"/>
        <v>0.32223155054522157</v>
      </c>
      <c r="BO24" s="41">
        <f t="shared" si="163"/>
        <v>0.40467272216499678</v>
      </c>
      <c r="BP24" s="41">
        <f t="shared" si="163"/>
        <v>0.43213903623291416</v>
      </c>
      <c r="BQ24" s="41">
        <f t="shared" si="163"/>
        <v>0.53873129378759355</v>
      </c>
      <c r="BR24" s="41">
        <f t="shared" si="163"/>
        <v>0.21638794025825553</v>
      </c>
      <c r="BS24" s="41">
        <f t="shared" si="163"/>
        <v>0.61469241522479767</v>
      </c>
      <c r="BT24" s="41">
        <f t="shared" si="163"/>
        <v>0.55459462465761045</v>
      </c>
      <c r="BU24" s="41">
        <f t="shared" si="163"/>
        <v>0.34505572428187253</v>
      </c>
      <c r="BV24" s="41">
        <f t="shared" si="163"/>
        <v>0.68309944632736708</v>
      </c>
      <c r="BW24" s="41">
        <f t="shared" si="163"/>
        <v>0.2598410844042322</v>
      </c>
      <c r="BX24" s="41">
        <f t="shared" si="163"/>
        <v>0.49528286801624616</v>
      </c>
      <c r="BY24" s="41">
        <f t="shared" si="163"/>
        <v>0.6280961273835266</v>
      </c>
      <c r="BZ24" s="41">
        <f t="shared" si="163"/>
        <v>0.90941988013117714</v>
      </c>
      <c r="CA24" s="41">
        <f t="shared" si="163"/>
        <v>0.53411915488581652</v>
      </c>
      <c r="CB24" s="41">
        <f t="shared" si="163"/>
        <v>0.38465083210448703</v>
      </c>
      <c r="CC24" s="41">
        <f t="shared" si="163"/>
        <v>0.39009744715893496</v>
      </c>
      <c r="CD24" s="41">
        <f t="shared" si="163"/>
        <v>0.2538603237663517</v>
      </c>
      <c r="CE24" s="41">
        <f t="shared" ref="CE24:CF24" si="164">CE23/CE17</f>
        <v>0.29898585885078566</v>
      </c>
      <c r="CF24" s="41">
        <f t="shared" si="164"/>
        <v>0.29220079767877416</v>
      </c>
      <c r="CG24" s="41">
        <f t="shared" ref="CG24:CH24" si="165">CG23/CG17</f>
        <v>0.2487208795993904</v>
      </c>
      <c r="CH24" s="41">
        <f t="shared" si="165"/>
        <v>0.281567696527742</v>
      </c>
      <c r="CI24" s="41">
        <f t="shared" ref="CI24:CJ24" si="166">CI23/CI17</f>
        <v>0.36285145007748504</v>
      </c>
      <c r="CJ24" s="41">
        <f t="shared" si="166"/>
        <v>0.39154180487246937</v>
      </c>
      <c r="CK24" s="41">
        <f t="shared" ref="CK24:CL24" si="167">CK23/CK17</f>
        <v>0.35685232361952202</v>
      </c>
      <c r="CL24" s="41">
        <f t="shared" si="167"/>
        <v>0.40583159009256736</v>
      </c>
      <c r="CM24" s="42">
        <f t="shared" ref="CM24:DB24" si="168">AVERAGE(CI24:CL24)</f>
        <v>0.37926929216551092</v>
      </c>
      <c r="CN24" s="42">
        <f t="shared" si="168"/>
        <v>0.38337375268751744</v>
      </c>
      <c r="CO24" s="42">
        <f t="shared" si="168"/>
        <v>0.38133173964127942</v>
      </c>
      <c r="CP24" s="42">
        <f t="shared" si="168"/>
        <v>0.38745159364671877</v>
      </c>
      <c r="CQ24" s="42">
        <f t="shared" si="168"/>
        <v>0.38285659453525667</v>
      </c>
      <c r="CR24" s="42">
        <f t="shared" si="168"/>
        <v>0.38375342012769303</v>
      </c>
      <c r="CS24" s="42">
        <f t="shared" si="168"/>
        <v>0.38384833698773702</v>
      </c>
      <c r="CT24" s="42">
        <f t="shared" si="168"/>
        <v>0.38447748632435136</v>
      </c>
      <c r="CU24" s="42">
        <f t="shared" si="168"/>
        <v>0.38373395949375955</v>
      </c>
      <c r="CV24" s="42">
        <f t="shared" si="168"/>
        <v>0.38395330073338529</v>
      </c>
      <c r="CW24" s="42">
        <f t="shared" si="168"/>
        <v>0.38400327088480835</v>
      </c>
      <c r="CX24" s="42">
        <f t="shared" si="168"/>
        <v>0.38404200435907609</v>
      </c>
      <c r="CY24" s="42">
        <f t="shared" si="168"/>
        <v>0.38393313386775729</v>
      </c>
      <c r="CZ24" s="42">
        <f t="shared" si="168"/>
        <v>0.38398292746125673</v>
      </c>
      <c r="DA24" s="42">
        <f t="shared" si="168"/>
        <v>0.38399033414322459</v>
      </c>
      <c r="DB24" s="42">
        <f t="shared" si="168"/>
        <v>0.38398709995782865</v>
      </c>
      <c r="DE24" s="125"/>
      <c r="DF24" s="41">
        <v>0.3482033187743046</v>
      </c>
    </row>
    <row r="25" spans="1:110" s="39" customFormat="1" x14ac:dyDescent="0.2">
      <c r="A25" s="39" t="s">
        <v>447</v>
      </c>
      <c r="C25" s="39" t="e">
        <f t="shared" ref="C25:AE25" si="169">+IF(B23&lt;0,1-C23/B23,C23/B23-1)</f>
        <v>#DIV/0!</v>
      </c>
      <c r="D25" s="39" t="e">
        <f t="shared" si="169"/>
        <v>#DIV/0!</v>
      </c>
      <c r="E25" s="39" t="e">
        <f t="shared" si="169"/>
        <v>#DIV/0!</v>
      </c>
      <c r="F25" s="39" t="e">
        <f t="shared" si="169"/>
        <v>#DIV/0!</v>
      </c>
      <c r="G25" s="39" t="e">
        <f t="shared" si="169"/>
        <v>#DIV/0!</v>
      </c>
      <c r="H25" s="39" t="e">
        <f t="shared" si="169"/>
        <v>#DIV/0!</v>
      </c>
      <c r="I25" s="39" t="e">
        <f t="shared" si="169"/>
        <v>#DIV/0!</v>
      </c>
      <c r="J25" s="39" t="e">
        <f t="shared" si="169"/>
        <v>#DIV/0!</v>
      </c>
      <c r="K25" s="39" t="e">
        <f t="shared" si="169"/>
        <v>#DIV/0!</v>
      </c>
      <c r="L25" s="39" t="e">
        <f t="shared" si="169"/>
        <v>#DIV/0!</v>
      </c>
      <c r="M25" s="39" t="e">
        <f t="shared" si="169"/>
        <v>#DIV/0!</v>
      </c>
      <c r="N25" s="39" t="e">
        <f t="shared" si="169"/>
        <v>#DIV/0!</v>
      </c>
      <c r="O25" s="39" t="e">
        <f t="shared" si="169"/>
        <v>#DIV/0!</v>
      </c>
      <c r="P25" s="39" t="e">
        <f t="shared" si="169"/>
        <v>#DIV/0!</v>
      </c>
      <c r="Q25" s="39" t="e">
        <f t="shared" si="169"/>
        <v>#DIV/0!</v>
      </c>
      <c r="R25" s="39" t="e">
        <f t="shared" si="169"/>
        <v>#DIV/0!</v>
      </c>
      <c r="S25" s="39" t="e">
        <f t="shared" si="169"/>
        <v>#DIV/0!</v>
      </c>
      <c r="T25" s="39">
        <f t="shared" si="169"/>
        <v>0.76945320184450328</v>
      </c>
      <c r="U25" s="39">
        <f t="shared" si="169"/>
        <v>-0.24488450400905237</v>
      </c>
      <c r="V25" s="39">
        <f t="shared" si="169"/>
        <v>1.2945684520063283E-2</v>
      </c>
      <c r="W25" s="39">
        <f t="shared" si="169"/>
        <v>0.38166724660734652</v>
      </c>
      <c r="X25" s="39">
        <f t="shared" si="169"/>
        <v>-0.7105558553696707</v>
      </c>
      <c r="Y25" s="39">
        <f t="shared" si="169"/>
        <v>0.35938645883829889</v>
      </c>
      <c r="Z25" s="39">
        <f t="shared" si="169"/>
        <v>0.59188581251600159</v>
      </c>
      <c r="AA25" s="39">
        <f t="shared" si="169"/>
        <v>0.64281570406961763</v>
      </c>
      <c r="AB25" s="40">
        <f t="shared" si="169"/>
        <v>0.27560362063360655</v>
      </c>
      <c r="AC25" s="40">
        <f t="shared" si="169"/>
        <v>0.15794813062337476</v>
      </c>
      <c r="AD25" s="40">
        <f t="shared" si="169"/>
        <v>0.13122383339498422</v>
      </c>
      <c r="AE25" s="40">
        <f t="shared" si="169"/>
        <v>0.1286492969040105</v>
      </c>
      <c r="AM25" s="39" t="e">
        <f>+IF(AI23&lt;0,1-AM23/AI23,AM23/AI23-1)</f>
        <v>#DIV/0!</v>
      </c>
      <c r="AN25" s="39" t="e">
        <f t="shared" ref="AN25" si="170">+IF(AJ23&lt;0,1-AN23/AJ23,AN23/AJ23-1)</f>
        <v>#DIV/0!</v>
      </c>
      <c r="AO25" s="39" t="e">
        <f t="shared" ref="AO25" si="171">+IF(AK23&lt;0,1-AO23/AK23,AO23/AK23-1)</f>
        <v>#DIV/0!</v>
      </c>
      <c r="AP25" s="39" t="e">
        <f t="shared" ref="AP25" si="172">+IF(AL23&lt;0,1-AP23/AL23,AP23/AL23-1)</f>
        <v>#DIV/0!</v>
      </c>
      <c r="AQ25" s="39" t="e">
        <f t="shared" ref="AQ25" si="173">+IF(AM23&lt;0,1-AQ23/AM23,AQ23/AM23-1)</f>
        <v>#DIV/0!</v>
      </c>
      <c r="AR25" s="39" t="e">
        <f t="shared" ref="AR25" si="174">+IF(AN23&lt;0,1-AR23/AN23,AR23/AN23-1)</f>
        <v>#DIV/0!</v>
      </c>
      <c r="AS25" s="39" t="e">
        <f t="shared" ref="AS25" si="175">+IF(AO23&lt;0,1-AS23/AO23,AS23/AO23-1)</f>
        <v>#DIV/0!</v>
      </c>
      <c r="AT25" s="39" t="e">
        <f t="shared" ref="AT25" si="176">+IF(AP23&lt;0,1-AT23/AP23,AT23/AP23-1)</f>
        <v>#DIV/0!</v>
      </c>
      <c r="AU25" s="39" t="e">
        <f t="shared" ref="AU25" si="177">+IF(AQ23&lt;0,1-AU23/AQ23,AU23/AQ23-1)</f>
        <v>#DIV/0!</v>
      </c>
      <c r="AV25" s="39" t="e">
        <f t="shared" ref="AV25" si="178">+IF(AR23&lt;0,1-AV23/AR23,AV23/AR23-1)</f>
        <v>#DIV/0!</v>
      </c>
      <c r="AW25" s="39" t="e">
        <f t="shared" ref="AW25" si="179">+IF(AS23&lt;0,1-AW23/AS23,AW23/AS23-1)</f>
        <v>#DIV/0!</v>
      </c>
      <c r="AX25" s="39" t="e">
        <f t="shared" ref="AX25" si="180">+IF(AT23&lt;0,1-AX23/AT23,AX23/AT23-1)</f>
        <v>#DIV/0!</v>
      </c>
      <c r="AY25" s="39" t="e">
        <f t="shared" ref="AY25" si="181">+IF(AU23&lt;0,1-AY23/AU23,AY23/AU23-1)</f>
        <v>#DIV/0!</v>
      </c>
      <c r="AZ25" s="39" t="e">
        <f t="shared" ref="AZ25" si="182">+IF(AV23&lt;0,1-AZ23/AV23,AZ23/AV23-1)</f>
        <v>#DIV/0!</v>
      </c>
      <c r="BA25" s="39" t="e">
        <f t="shared" ref="BA25" si="183">+IF(AW23&lt;0,1-BA23/AW23,BA23/AW23-1)</f>
        <v>#DIV/0!</v>
      </c>
      <c r="BB25" s="39" t="e">
        <f t="shared" ref="BB25" si="184">+IF(AX23&lt;0,1-BB23/AX23,BB23/AX23-1)</f>
        <v>#DIV/0!</v>
      </c>
      <c r="BC25" s="39" t="e">
        <f t="shared" ref="BC25" si="185">+IF(AY23&lt;0,1-BC23/AY23,BC23/AY23-1)</f>
        <v>#DIV/0!</v>
      </c>
      <c r="BD25" s="39" t="e">
        <f t="shared" ref="BD25" si="186">+IF(AZ23&lt;0,1-BD23/AZ23,BD23/AZ23-1)</f>
        <v>#DIV/0!</v>
      </c>
      <c r="BE25" s="39" t="e">
        <f t="shared" ref="BE25" si="187">+IF(BA23&lt;0,1-BE23/BA23,BE23/BA23-1)</f>
        <v>#DIV/0!</v>
      </c>
      <c r="BF25" s="39" t="e">
        <f t="shared" ref="BF25" si="188">+IF(BB23&lt;0,1-BF23/BB23,BF23/BB23-1)</f>
        <v>#DIV/0!</v>
      </c>
      <c r="BG25" s="39" t="e">
        <f t="shared" ref="BG25" si="189">+IF(BC23&lt;0,1-BG23/BC23,BG23/BC23-1)</f>
        <v>#DIV/0!</v>
      </c>
      <c r="BH25" s="39" t="e">
        <f t="shared" ref="BH25" si="190">+IF(BD23&lt;0,1-BH23/BD23,BH23/BD23-1)</f>
        <v>#DIV/0!</v>
      </c>
      <c r="BI25" s="39" t="e">
        <f t="shared" ref="BI25" si="191">+IF(BE23&lt;0,1-BI23/BE23,BI23/BE23-1)</f>
        <v>#DIV/0!</v>
      </c>
      <c r="BJ25" s="39" t="e">
        <f t="shared" ref="BJ25" si="192">+IF(BF23&lt;0,1-BJ23/BF23,BJ23/BF23-1)</f>
        <v>#DIV/0!</v>
      </c>
      <c r="BK25" s="39" t="e">
        <f t="shared" ref="BK25" si="193">+IF(BG23&lt;0,1-BK23/BG23,BK23/BG23-1)</f>
        <v>#DIV/0!</v>
      </c>
      <c r="BL25" s="39">
        <f t="shared" ref="BL25" si="194">+IF(BH23&lt;0,1-BL23/BH23,BL23/BH23-1)</f>
        <v>2.4077352899037088</v>
      </c>
      <c r="BM25" s="39">
        <f t="shared" ref="BM25" si="195">+IF(BI23&lt;0,1-BM23/BI23,BM23/BI23-1)</f>
        <v>-0.45339073363613625</v>
      </c>
      <c r="BN25" s="39">
        <f t="shared" ref="BN25" si="196">+IF(BJ23&lt;0,1-BN23/BJ23,BN23/BJ23-1)</f>
        <v>-0.50568941066117779</v>
      </c>
      <c r="BO25" s="39">
        <f t="shared" ref="BO25" si="197">+IF(BK23&lt;0,1-BO23/BK23,BO23/BK23-1)</f>
        <v>-0.24528466643381053</v>
      </c>
      <c r="BP25" s="39">
        <f t="shared" ref="BP25" si="198">+IF(BL23&lt;0,1-BP23/BL23,BP23/BL23-1)</f>
        <v>0.27815272952579084</v>
      </c>
      <c r="BQ25" s="39">
        <f t="shared" ref="BQ25" si="199">+IF(BM23&lt;0,1-BQ23/BM23,BQ23/BM23-1)</f>
        <v>1.3754332063827137</v>
      </c>
      <c r="BR25" s="39">
        <f t="shared" ref="BR25" si="200">+IF(BN23&lt;0,1-BR23/BN23,BR23/BN23-1)</f>
        <v>-0.55531626506024101</v>
      </c>
      <c r="BS25" s="39">
        <f t="shared" ref="BS25" si="201">+IF(BO23&lt;0,1-BS23/BO23,BS23/BO23-1)</f>
        <v>0.69924794631493703</v>
      </c>
      <c r="BT25" s="39">
        <f t="shared" ref="BT25" si="202">+IF(BP23&lt;0,1-BT23/BP23,BT23/BP23-1)</f>
        <v>0.3811048977683904</v>
      </c>
      <c r="BU25" s="39">
        <f t="shared" ref="BU25" si="203">+IF(BQ23&lt;0,1-BU23/BQ23,BU23/BQ23-1)</f>
        <v>-0.27008363168098282</v>
      </c>
      <c r="BV25" s="39">
        <f t="shared" ref="BV25" si="204">+IF(BR23&lt;0,1-BV23/BR23,BV23/BR23-1)</f>
        <v>1.4777999796796149</v>
      </c>
      <c r="BW25" s="39">
        <f t="shared" ref="BW25" si="205">+IF(BS23&lt;0,1-BW23/BS23,BW23/BS23-1)</f>
        <v>-0.57293042637506297</v>
      </c>
      <c r="BX25" s="39">
        <f t="shared" ref="BX25" si="206">+IF(BT23&lt;0,1-BX23/BT23,BX23/BT23-1)</f>
        <v>-0.80586406598641158</v>
      </c>
      <c r="BY25" s="39">
        <f t="shared" ref="BY25" si="207">+IF(BU23&lt;0,1-BY23/BU23,BY23/BU23-1)</f>
        <v>-0.50444931273143212</v>
      </c>
      <c r="BZ25" s="39">
        <f t="shared" ref="BZ25" si="208">+IF(BV23&lt;0,1-BZ23/BV23,BZ23/BV23-1)</f>
        <v>-0.89007954949290613</v>
      </c>
      <c r="CA25" s="39">
        <f t="shared" ref="CA25" si="209">+IF(BW23&lt;0,1-CA23/BW23,CA23/BW23-1)</f>
        <v>-0.1229552629061571</v>
      </c>
      <c r="CB25" s="39">
        <f t="shared" ref="CB25" si="210">+IF(BX23&lt;0,1-CB23/BX23,CB23/BX23-1)</f>
        <v>0.88642086911603268</v>
      </c>
      <c r="CC25" s="39">
        <f t="shared" ref="CC25" si="211">+IF(BY23&lt;0,1-CC23/BY23,CC23/BY23-1)</f>
        <v>-0.11044168850983915</v>
      </c>
      <c r="CD25" s="39">
        <f t="shared" ref="CD25" si="212">+IF(BZ23&lt;0,1-CD23/BZ23,CD23/BZ23-1)</f>
        <v>2.7186023377269328</v>
      </c>
      <c r="CE25" s="39">
        <f t="shared" ref="CE25" si="213">+IF(CA23&lt;0,1-CE23/CA23,CE23/CA23-1)</f>
        <v>-5.308125795310481E-3</v>
      </c>
      <c r="CF25" s="39">
        <f t="shared" ref="CF25" si="214">+IF(CB23&lt;0,1-CF23/CB23,CF23/CB23-1)</f>
        <v>3.0669176792743613E-2</v>
      </c>
      <c r="CG25" s="39">
        <f t="shared" ref="CG25" si="215">+IF(CC23&lt;0,1-CG23/CC23,CG23/CC23-1)</f>
        <v>1.0096314539537339</v>
      </c>
      <c r="CH25" s="39">
        <f t="shared" ref="CH25:CL25" si="216">+IF(CD23&lt;0,1-CH23/CD23,CH23/CD23-1)</f>
        <v>1.3718441732151825</v>
      </c>
      <c r="CI25" s="39">
        <f t="shared" si="216"/>
        <v>1.3363792536276917</v>
      </c>
      <c r="CJ25" s="39">
        <f t="shared" si="216"/>
        <v>1.2737537776892158</v>
      </c>
      <c r="CK25" s="39">
        <f t="shared" si="216"/>
        <v>0.63389867600393934</v>
      </c>
      <c r="CL25" s="39">
        <f t="shared" si="216"/>
        <v>0.11319610883970066</v>
      </c>
      <c r="CM25" s="40">
        <f t="shared" ref="CM25" si="217">+CM23/CI23-1</f>
        <v>0.44285616371728609</v>
      </c>
      <c r="CN25" s="40">
        <f t="shared" ref="CN25" si="218">+CN23/CJ23-1</f>
        <v>0.22797131960736072</v>
      </c>
      <c r="CO25" s="40">
        <f t="shared" ref="CO25" si="219">+CO23/CK23-1</f>
        <v>0.20132585660898661</v>
      </c>
      <c r="CP25" s="40">
        <f t="shared" ref="CP25" si="220">+CP23/CL23-1</f>
        <v>0.25174120878888018</v>
      </c>
      <c r="CQ25" s="40">
        <f t="shared" ref="CQ25" si="221">+CQ23/CM23-1</f>
        <v>0.18198182620500125</v>
      </c>
      <c r="CR25" s="40">
        <f t="shared" ref="CR25" si="222">+CR23/CN23-1</f>
        <v>0.15036259878010494</v>
      </c>
      <c r="CS25" s="40">
        <f t="shared" ref="CS25" si="223">+CS23/CO23-1</f>
        <v>0.14901696394810959</v>
      </c>
      <c r="CT25" s="40">
        <f t="shared" ref="CT25" si="224">+CT23/CP23-1</f>
        <v>0.15007850285246604</v>
      </c>
      <c r="CU25" s="40">
        <f t="shared" ref="CU25" si="225">+CU23/CQ23-1</f>
        <v>0.13538340009341177</v>
      </c>
      <c r="CV25" s="40">
        <f t="shared" ref="CV25" si="226">+CV23/CR23-1</f>
        <v>0.12910161357422023</v>
      </c>
      <c r="CW25" s="40">
        <f t="shared" ref="CW25" si="227">+CW23/CS23-1</f>
        <v>0.12997275116278661</v>
      </c>
      <c r="CX25" s="40">
        <f t="shared" ref="CX25" si="228">+CX23/CT23-1</f>
        <v>0.1301746274283333</v>
      </c>
      <c r="CY25" s="40">
        <f t="shared" ref="CY25" si="229">+CY23/CU23-1</f>
        <v>0.12867935944638975</v>
      </c>
      <c r="CZ25" s="40">
        <f t="shared" ref="CZ25" si="230">+CZ23/CV23-1</f>
        <v>0.12601826315335241</v>
      </c>
      <c r="DA25" s="40">
        <f t="shared" ref="DA25" si="231">+DA23/CW23-1</f>
        <v>0.12841747833345485</v>
      </c>
      <c r="DB25" s="40">
        <f t="shared" ref="DB25" si="232">+DB23/CX23-1</f>
        <v>0.13106693617694876</v>
      </c>
      <c r="DE25" s="122"/>
      <c r="DF25" s="39">
        <v>1.1330098180448065</v>
      </c>
    </row>
    <row r="26" spans="1:110" s="39" customFormat="1" x14ac:dyDescent="0.2">
      <c r="A26" s="39" t="s">
        <v>448</v>
      </c>
      <c r="AB26" s="40"/>
      <c r="AC26" s="40"/>
      <c r="AD26" s="40"/>
      <c r="AE26" s="40"/>
      <c r="AJ26" s="39" t="e">
        <f>+IF(AI23&lt;0,1-AJ23/AI23,AJ23/AI23-1)</f>
        <v>#DIV/0!</v>
      </c>
      <c r="AK26" s="39" t="e">
        <f t="shared" ref="AK26" si="233">+IF(AJ23&lt;0,1-AK23/AJ23,AK23/AJ23-1)</f>
        <v>#DIV/0!</v>
      </c>
      <c r="AL26" s="39" t="e">
        <f t="shared" ref="AL26" si="234">+IF(AK23&lt;0,1-AL23/AK23,AL23/AK23-1)</f>
        <v>#DIV/0!</v>
      </c>
      <c r="AM26" s="39" t="e">
        <f t="shared" ref="AM26" si="235">+IF(AL23&lt;0,1-AM23/AL23,AM23/AL23-1)</f>
        <v>#DIV/0!</v>
      </c>
      <c r="AN26" s="39" t="e">
        <f t="shared" ref="AN26" si="236">+IF(AM23&lt;0,1-AN23/AM23,AN23/AM23-1)</f>
        <v>#DIV/0!</v>
      </c>
      <c r="AO26" s="39" t="e">
        <f t="shared" ref="AO26" si="237">+IF(AN23&lt;0,1-AO23/AN23,AO23/AN23-1)</f>
        <v>#DIV/0!</v>
      </c>
      <c r="AP26" s="39" t="e">
        <f t="shared" ref="AP26" si="238">+IF(AO23&lt;0,1-AP23/AO23,AP23/AO23-1)</f>
        <v>#DIV/0!</v>
      </c>
      <c r="AQ26" s="39" t="e">
        <f t="shared" ref="AQ26" si="239">+IF(AP23&lt;0,1-AQ23/AP23,AQ23/AP23-1)</f>
        <v>#DIV/0!</v>
      </c>
      <c r="AR26" s="39" t="e">
        <f t="shared" ref="AR26" si="240">+IF(AQ23&lt;0,1-AR23/AQ23,AR23/AQ23-1)</f>
        <v>#DIV/0!</v>
      </c>
      <c r="AS26" s="39" t="e">
        <f t="shared" ref="AS26" si="241">+IF(AR23&lt;0,1-AS23/AR23,AS23/AR23-1)</f>
        <v>#DIV/0!</v>
      </c>
      <c r="AT26" s="39" t="e">
        <f t="shared" ref="AT26" si="242">+IF(AS23&lt;0,1-AT23/AS23,AT23/AS23-1)</f>
        <v>#DIV/0!</v>
      </c>
      <c r="AU26" s="39" t="e">
        <f t="shared" ref="AU26" si="243">+IF(AT23&lt;0,1-AU23/AT23,AU23/AT23-1)</f>
        <v>#DIV/0!</v>
      </c>
      <c r="AV26" s="39" t="e">
        <f t="shared" ref="AV26" si="244">+IF(AU23&lt;0,1-AV23/AU23,AV23/AU23-1)</f>
        <v>#DIV/0!</v>
      </c>
      <c r="AW26" s="39" t="e">
        <f t="shared" ref="AW26" si="245">+IF(AV23&lt;0,1-AW23/AV23,AW23/AV23-1)</f>
        <v>#DIV/0!</v>
      </c>
      <c r="AX26" s="39" t="e">
        <f t="shared" ref="AX26" si="246">+IF(AW23&lt;0,1-AX23/AW23,AX23/AW23-1)</f>
        <v>#DIV/0!</v>
      </c>
      <c r="AY26" s="39" t="e">
        <f t="shared" ref="AY26" si="247">+IF(AX23&lt;0,1-AY23/AX23,AY23/AX23-1)</f>
        <v>#DIV/0!</v>
      </c>
      <c r="AZ26" s="39" t="e">
        <f t="shared" ref="AZ26" si="248">+IF(AY23&lt;0,1-AZ23/AY23,AZ23/AY23-1)</f>
        <v>#DIV/0!</v>
      </c>
      <c r="BA26" s="39" t="e">
        <f t="shared" ref="BA26" si="249">+IF(AZ23&lt;0,1-BA23/AZ23,BA23/AZ23-1)</f>
        <v>#DIV/0!</v>
      </c>
      <c r="BB26" s="39" t="e">
        <f t="shared" ref="BB26" si="250">+IF(BA23&lt;0,1-BB23/BA23,BB23/BA23-1)</f>
        <v>#DIV/0!</v>
      </c>
      <c r="BC26" s="39" t="e">
        <f t="shared" ref="BC26" si="251">+IF(BB23&lt;0,1-BC23/BB23,BC23/BB23-1)</f>
        <v>#DIV/0!</v>
      </c>
      <c r="BD26" s="39" t="e">
        <f t="shared" ref="BD26" si="252">+IF(BC23&lt;0,1-BD23/BC23,BD23/BC23-1)</f>
        <v>#DIV/0!</v>
      </c>
      <c r="BE26" s="39" t="e">
        <f t="shared" ref="BE26" si="253">+IF(BD23&lt;0,1-BE23/BD23,BE23/BD23-1)</f>
        <v>#DIV/0!</v>
      </c>
      <c r="BF26" s="39" t="e">
        <f t="shared" ref="BF26" si="254">+IF(BE23&lt;0,1-BF23/BE23,BF23/BE23-1)</f>
        <v>#DIV/0!</v>
      </c>
      <c r="BG26" s="39" t="e">
        <f t="shared" ref="BG26" si="255">+IF(BF23&lt;0,1-BG23/BF23,BG23/BF23-1)</f>
        <v>#DIV/0!</v>
      </c>
      <c r="BH26" s="39" t="e">
        <f t="shared" ref="BH26" si="256">+IF(BG23&lt;0,1-BH23/BG23,BH23/BG23-1)</f>
        <v>#DIV/0!</v>
      </c>
      <c r="BI26" s="39">
        <f t="shared" ref="BI26" si="257">+IF(BH23&lt;0,1-BI23/BH23,BI23/BH23-1)</f>
        <v>3.104032033058604</v>
      </c>
      <c r="BJ26" s="39">
        <f t="shared" ref="BJ26" si="258">+IF(BI23&lt;0,1-BJ23/BI23,BJ23/BI23-1)</f>
        <v>1.468148711616764</v>
      </c>
      <c r="BK26" s="39">
        <f t="shared" ref="BK26" si="259">+IF(BJ23&lt;0,1-BK23/BJ23,BK23/BJ23-1)</f>
        <v>-0.57373156106112999</v>
      </c>
      <c r="BL26" s="39">
        <f t="shared" ref="BL26" si="260">+IF(BK23&lt;0,1-BL23/BK23,BL23/BK23-1)</f>
        <v>-0.21077541040866232</v>
      </c>
      <c r="BM26" s="39">
        <f t="shared" ref="BM26" si="261">+IF(BL23&lt;0,1-BM23/BL23,BM23/BL23-1)</f>
        <v>-0.34170299395897386</v>
      </c>
      <c r="BN26" s="39">
        <f t="shared" ref="BN26" si="262">+IF(BM23&lt;0,1-BN23/BM23,BN23/BM23-1)</f>
        <v>1.2320002958072673</v>
      </c>
      <c r="BO26" s="39">
        <f t="shared" ref="BO26" si="263">+IF(BN23&lt;0,1-BO23/BN23,BO23/BN23-1)</f>
        <v>-0.34917168674698784</v>
      </c>
      <c r="BP26" s="39">
        <f t="shared" ref="BP26" si="264">+IF(BO23&lt;0,1-BP23/BO23,BP23/BO23-1)</f>
        <v>0.33659608932083773</v>
      </c>
      <c r="BQ26" s="39">
        <f t="shared" ref="BQ26" si="265">+IF(BP23&lt;0,1-BQ23/BP23,BQ23/BP23-1)</f>
        <v>0.22343795986911563</v>
      </c>
      <c r="BR26" s="39">
        <f t="shared" ref="BR26" si="266">+IF(BQ23&lt;0,1-BR23/BQ23,BR23/BQ23-1)</f>
        <v>-0.58216706524969231</v>
      </c>
      <c r="BS26" s="39">
        <f t="shared" ref="BS26" si="267">+IF(BR23&lt;0,1-BS23/BR23,BS23/BR23-1)</f>
        <v>1.4869780201171814</v>
      </c>
      <c r="BT26" s="39">
        <f t="shared" ref="BT26" si="268">+IF(BS23&lt;0,1-BT23/BS23,BT23/BS23-1)</f>
        <v>8.6350823199379034E-2</v>
      </c>
      <c r="BU26" s="39">
        <f t="shared" ref="BU26" si="269">+IF(BT23&lt;0,1-BU23/BT23,BU23/BT23-1)</f>
        <v>-0.35341088575225033</v>
      </c>
      <c r="BV26" s="39">
        <f t="shared" ref="BV26" si="270">+IF(BU23&lt;0,1-BV23/BU23,BV23/BU23-1)</f>
        <v>0.41839049262325267</v>
      </c>
      <c r="BW26" s="39">
        <f t="shared" ref="BW26" si="271">+IF(BV23&lt;0,1-BW23/BV23,BW23/BV23-1)</f>
        <v>-0.57134851425603439</v>
      </c>
      <c r="BX26" s="39">
        <f t="shared" ref="BX26" si="272">+IF(BW23&lt;0,1-BX23/BW23,BX23/BW23-1)</f>
        <v>-0.5061700838621217</v>
      </c>
      <c r="BY26" s="39">
        <f t="shared" ref="BY26" si="273">+IF(BX23&lt;0,1-BY23/BX23,BY23/BX23-1)</f>
        <v>0.65048104862142431</v>
      </c>
      <c r="BZ26" s="39">
        <f t="shared" ref="BZ26" si="274">+IF(BY23&lt;0,1-BZ23/BY23,BZ23/BY23-1)</f>
        <v>-0.68538007120222211</v>
      </c>
      <c r="CA26" s="39">
        <f t="shared" ref="CA26" si="275">+IF(BZ23&lt;0,1-CA23/BZ23,CA23/BZ23-1)</f>
        <v>2.4201691121611546</v>
      </c>
      <c r="CB26" s="39">
        <f t="shared" ref="CB26" si="276">+IF(CA23&lt;0,1-CB23/CA23,CB23/CA23-1)</f>
        <v>6.2170514451917569E-2</v>
      </c>
      <c r="CC26" s="39">
        <f t="shared" ref="CC26" si="277">+IF(CB23&lt;0,1-CC23/CB23,CC23/CB23-1)</f>
        <v>-0.22170118090022239</v>
      </c>
      <c r="CD26" s="39">
        <f t="shared" ref="CD26" si="278">+IF(CC23&lt;0,1-CD23/CC23,CD23/CC23-1)</f>
        <v>0.31519922596534422</v>
      </c>
      <c r="CE26" s="39">
        <f t="shared" ref="CE26" si="279">+IF(CD23&lt;0,1-CE23/CD23,CE23/CD23-1)</f>
        <v>-8.5136264838655884E-2</v>
      </c>
      <c r="CF26" s="39">
        <f t="shared" ref="CF26" si="280">+IF(CE23&lt;0,1-CF23/CE23,CF23/CE23-1)</f>
        <v>0.10058847180087027</v>
      </c>
      <c r="CG26" s="39">
        <f t="shared" ref="CG26" si="281">+IF(CF23&lt;0,1-CG23/CF23,CG23/CF23-1)</f>
        <v>0.51755172528311921</v>
      </c>
      <c r="CH26" s="39">
        <f t="shared" ref="CH26:CL26" si="282">+IF(CG23&lt;0,1-CH23/CG23,CH23/CG23-1)</f>
        <v>0.55224860488018401</v>
      </c>
      <c r="CI26" s="39">
        <f t="shared" si="282"/>
        <v>-9.8815733822078311E-2</v>
      </c>
      <c r="CJ26" s="39">
        <f t="shared" si="282"/>
        <v>7.1087748940097617E-2</v>
      </c>
      <c r="CK26" s="39">
        <f t="shared" si="282"/>
        <v>9.0498795004747334E-2</v>
      </c>
      <c r="CL26" s="39">
        <f t="shared" si="282"/>
        <v>5.7566868914158409E-2</v>
      </c>
      <c r="CM26" s="40">
        <f t="shared" ref="CM26" si="283">+CM23/CL23-1</f>
        <v>0.16805948455492925</v>
      </c>
      <c r="CN26" s="40">
        <f t="shared" ref="CN26" si="284">+CN23/CM23-1</f>
        <v>-8.8429554133323207E-2</v>
      </c>
      <c r="CO26" s="40">
        <f t="shared" ref="CO26" si="285">+CO23/CN23-1</f>
        <v>6.6836316225225678E-2</v>
      </c>
      <c r="CP26" s="40">
        <f t="shared" ref="CP26" si="286">+CP23/CO23-1</f>
        <v>0.10194917023296579</v>
      </c>
      <c r="CQ26" s="40">
        <f t="shared" ref="CQ26" si="287">+CQ23/CP23-1</f>
        <v>0.10296367410171703</v>
      </c>
      <c r="CR26" s="40">
        <f t="shared" ref="CR26" si="288">+CR23/CQ23-1</f>
        <v>-0.11281499949521634</v>
      </c>
      <c r="CS26" s="40">
        <f t="shared" ref="CS26" si="289">+CS23/CR23-1</f>
        <v>6.558838613025153E-2</v>
      </c>
      <c r="CT26" s="40">
        <f t="shared" ref="CT26" si="290">+CT23/CS23-1</f>
        <v>0.10296722475394215</v>
      </c>
      <c r="CU26" s="40">
        <f t="shared" ref="CU26" si="291">+CU23/CT23-1</f>
        <v>8.8870580030113278E-2</v>
      </c>
      <c r="CV26" s="40">
        <f t="shared" ref="CV26" si="292">+CV23/CU23-1</f>
        <v>-0.11772356762800862</v>
      </c>
      <c r="CW26" s="40">
        <f t="shared" ref="CW26" si="293">+CW23/CV23-1</f>
        <v>6.6410521256034638E-2</v>
      </c>
      <c r="CX26" s="40">
        <f t="shared" ref="CX26" si="294">+CX23/CW23-1</f>
        <v>0.10316427632365888</v>
      </c>
      <c r="CY26" s="40">
        <f t="shared" ref="CY26" si="295">+CY23/CX23-1</f>
        <v>8.7429959018735515E-2</v>
      </c>
      <c r="CZ26" s="40">
        <f t="shared" ref="CZ26" si="296">+CZ23/CY23-1</f>
        <v>-0.11980371778223031</v>
      </c>
      <c r="DA26" s="40">
        <f t="shared" ref="DA26" si="297">+DA23/CZ23-1</f>
        <v>6.8682729793446251E-2</v>
      </c>
      <c r="DB26" s="40">
        <f t="shared" ref="DB26" si="298">+DB23/DA23-1</f>
        <v>0.10575444113472221</v>
      </c>
      <c r="DE26" s="122"/>
      <c r="DF26" s="39">
        <v>1.0264178941337261</v>
      </c>
    </row>
    <row r="27" spans="1:110" s="23" customFormat="1" outlineLevel="1" x14ac:dyDescent="0.2">
      <c r="A27" s="23" t="s">
        <v>8</v>
      </c>
      <c r="B27" s="23">
        <f>'Annual Raw'!C14</f>
        <v>0</v>
      </c>
      <c r="C27" s="23">
        <f>'Annual Raw'!D14</f>
        <v>0</v>
      </c>
      <c r="D27" s="23">
        <f>'Annual Raw'!E14</f>
        <v>0</v>
      </c>
      <c r="E27" s="23">
        <f>'Annual Raw'!F14</f>
        <v>0</v>
      </c>
      <c r="F27" s="23">
        <f>'Annual Raw'!G14</f>
        <v>0</v>
      </c>
      <c r="G27" s="23">
        <f>'Annual Raw'!H14</f>
        <v>0</v>
      </c>
      <c r="H27" s="23">
        <f>'Annual Raw'!I14</f>
        <v>0</v>
      </c>
      <c r="I27" s="23">
        <f>'Annual Raw'!J14</f>
        <v>0</v>
      </c>
      <c r="J27" s="23">
        <f>'Annual Raw'!K14</f>
        <v>0</v>
      </c>
      <c r="K27" s="23">
        <f>'Annual Raw'!L14</f>
        <v>0</v>
      </c>
      <c r="L27" s="23">
        <f>'Annual Raw'!M14</f>
        <v>0</v>
      </c>
      <c r="M27" s="23">
        <f>'Annual Raw'!N14</f>
        <v>0</v>
      </c>
      <c r="N27" s="23">
        <f>'Annual Raw'!O14</f>
        <v>0</v>
      </c>
      <c r="O27" s="23">
        <f>'Annual Raw'!P14</f>
        <v>0</v>
      </c>
      <c r="P27" s="23">
        <f>'Annual Raw'!Q14</f>
        <v>0</v>
      </c>
      <c r="Q27" s="23">
        <f>'Annual Raw'!R14</f>
        <v>0</v>
      </c>
      <c r="R27" s="23">
        <f>'Annual Raw'!S14</f>
        <v>0</v>
      </c>
      <c r="S27" s="23">
        <f>'Annual Raw'!T14</f>
        <v>98.623999999999995</v>
      </c>
      <c r="T27" s="23">
        <f>'Annual Raw'!U14</f>
        <v>177.88800000000001</v>
      </c>
      <c r="U27" s="23">
        <f>'Annual Raw'!V14</f>
        <v>240.27</v>
      </c>
      <c r="V27" s="23">
        <f>'Annual Raw'!W14</f>
        <v>208.48</v>
      </c>
      <c r="W27" s="23">
        <f>'Annual Raw'!X14</f>
        <v>227.89</v>
      </c>
      <c r="X27" s="23">
        <f>'Annual Raw'!Y14</f>
        <v>247.85</v>
      </c>
      <c r="Y27" s="23">
        <f>'Annual Raw'!Z14</f>
        <v>211.27</v>
      </c>
      <c r="Z27" s="23">
        <f>'Annual Raw'!AA14</f>
        <v>200.09</v>
      </c>
      <c r="AA27" s="23">
        <f>'Annual Raw'!AB14</f>
        <v>180.56</v>
      </c>
      <c r="AB27" s="76">
        <f t="shared" ref="AB27:AB32" si="299">+SUM(CM27:CP27)</f>
        <v>193.19920000000002</v>
      </c>
      <c r="AC27" s="76">
        <f t="shared" ref="AC27:AC32" si="300">+SUM(CQ27:CT27)</f>
        <v>206.72314400000002</v>
      </c>
      <c r="AD27" s="76">
        <f t="shared" ref="AD27:AD32" si="301">+SUM(CU27:CX27)</f>
        <v>221.19376408000005</v>
      </c>
      <c r="AE27" s="76">
        <f t="shared" ref="AE27:AE32" si="302">+SUM(CY27:DB27)</f>
        <v>236.67732756560008</v>
      </c>
      <c r="AI27" s="23">
        <f>'QTR Raw'!C16</f>
        <v>0</v>
      </c>
      <c r="AJ27" s="23">
        <f>'QTR Raw'!D16</f>
        <v>0</v>
      </c>
      <c r="AK27" s="23">
        <f>'QTR Raw'!E16</f>
        <v>0</v>
      </c>
      <c r="AL27" s="23">
        <f>'QTR Raw'!F16</f>
        <v>0</v>
      </c>
      <c r="AM27" s="23">
        <f>'QTR Raw'!G16</f>
        <v>0</v>
      </c>
      <c r="AN27" s="23">
        <f>'QTR Raw'!H16</f>
        <v>0</v>
      </c>
      <c r="AO27" s="23">
        <f>'QTR Raw'!I16</f>
        <v>0</v>
      </c>
      <c r="AP27" s="23">
        <f>'QTR Raw'!J16</f>
        <v>0</v>
      </c>
      <c r="AQ27" s="23">
        <f>'QTR Raw'!K16</f>
        <v>0</v>
      </c>
      <c r="AR27" s="23">
        <f>'QTR Raw'!L16</f>
        <v>0</v>
      </c>
      <c r="AS27" s="23">
        <f>'QTR Raw'!M16</f>
        <v>0</v>
      </c>
      <c r="AT27" s="23">
        <f>'QTR Raw'!N16</f>
        <v>0</v>
      </c>
      <c r="AU27" s="23">
        <f>'QTR Raw'!O16</f>
        <v>0</v>
      </c>
      <c r="AV27" s="23">
        <f>'QTR Raw'!P16</f>
        <v>0</v>
      </c>
      <c r="AW27" s="23">
        <f>'QTR Raw'!Q16</f>
        <v>0</v>
      </c>
      <c r="AX27" s="23">
        <f>'QTR Raw'!R16</f>
        <v>0</v>
      </c>
      <c r="AY27" s="23">
        <f>'QTR Raw'!S16</f>
        <v>0</v>
      </c>
      <c r="AZ27" s="23">
        <f>'QTR Raw'!T16</f>
        <v>0</v>
      </c>
      <c r="BA27" s="23">
        <f>'QTR Raw'!U16</f>
        <v>0</v>
      </c>
      <c r="BB27" s="23">
        <f>'QTR Raw'!V16</f>
        <v>0</v>
      </c>
      <c r="BC27" s="23">
        <f>'QTR Raw'!W16</f>
        <v>0</v>
      </c>
      <c r="BD27" s="23">
        <f>'QTR Raw'!X16</f>
        <v>0</v>
      </c>
      <c r="BE27" s="23">
        <f>'QTR Raw'!Y16</f>
        <v>0</v>
      </c>
      <c r="BF27" s="23">
        <f>'QTR Raw'!Z16</f>
        <v>0</v>
      </c>
      <c r="BG27" s="23">
        <f>'QTR Raw'!AA16</f>
        <v>0</v>
      </c>
      <c r="BH27" s="23">
        <f>'QTR Raw'!AB16</f>
        <v>42.317</v>
      </c>
      <c r="BI27" s="23">
        <f>'QTR Raw'!AC16</f>
        <v>57.564999999999998</v>
      </c>
      <c r="BJ27" s="23">
        <f>'QTR Raw'!AD16</f>
        <v>50.082999999999998</v>
      </c>
      <c r="BK27" s="23">
        <f>'QTR Raw'!AE16</f>
        <v>48.32</v>
      </c>
      <c r="BL27" s="23">
        <f>'QTR Raw'!AF16</f>
        <v>65.69</v>
      </c>
      <c r="BM27" s="23">
        <f>'QTR Raw'!AG16</f>
        <v>56.91</v>
      </c>
      <c r="BN27" s="23">
        <f>'QTR Raw'!AH16</f>
        <v>69.34</v>
      </c>
      <c r="BO27" s="23">
        <f>'QTR Raw'!AI16</f>
        <v>49.68</v>
      </c>
      <c r="BP27" s="23">
        <f>'QTR Raw'!AJ16</f>
        <v>53.65</v>
      </c>
      <c r="BQ27" s="23">
        <f>'QTR Raw'!AK16</f>
        <v>49.73</v>
      </c>
      <c r="BR27" s="23">
        <f>'QTR Raw'!AL16</f>
        <v>55.42</v>
      </c>
      <c r="BS27" s="23">
        <f>'QTR Raw'!AM16</f>
        <v>54.6</v>
      </c>
      <c r="BT27" s="23">
        <f>'QTR Raw'!AN16</f>
        <v>59.02</v>
      </c>
      <c r="BU27" s="23">
        <f>'QTR Raw'!AO16</f>
        <v>58.94</v>
      </c>
      <c r="BV27" s="23">
        <f>'QTR Raw'!AP16</f>
        <v>55.33</v>
      </c>
      <c r="BW27" s="23">
        <f>'QTR Raw'!AQ16</f>
        <v>60.18</v>
      </c>
      <c r="BX27" s="23">
        <f>'QTR Raw'!AR16</f>
        <v>63.5</v>
      </c>
      <c r="BY27" s="23">
        <f>'QTR Raw'!AS16</f>
        <v>62.91</v>
      </c>
      <c r="BZ27" s="23">
        <f>'QTR Raw'!AT16</f>
        <v>61.26</v>
      </c>
      <c r="CA27" s="23">
        <f>'QTR Raw'!AU16</f>
        <v>58.67</v>
      </c>
      <c r="CB27" s="23">
        <f>'QTR Raw'!AV16</f>
        <v>55.82</v>
      </c>
      <c r="CC27" s="23">
        <f>'QTR Raw'!AW16</f>
        <v>51.87</v>
      </c>
      <c r="CD27" s="23">
        <f>'QTR Raw'!AX16</f>
        <v>44.91</v>
      </c>
      <c r="CE27" s="23">
        <f>'QTR Raw'!AY16</f>
        <v>46.92</v>
      </c>
      <c r="CF27" s="23">
        <f>'QTR Raw'!AZ16</f>
        <v>47.36</v>
      </c>
      <c r="CG27" s="23">
        <f>'QTR Raw'!BA16</f>
        <v>47.76</v>
      </c>
      <c r="CH27" s="23">
        <f>'QTR Raw'!BB16</f>
        <v>58.05</v>
      </c>
      <c r="CI27" s="23">
        <f>'QTR Raw'!BC16</f>
        <v>44.47</v>
      </c>
      <c r="CJ27" s="23">
        <f>'QTR Raw'!BD16</f>
        <v>43.88</v>
      </c>
      <c r="CK27" s="23">
        <f>'QTR Raw'!BE16</f>
        <v>42.38</v>
      </c>
      <c r="CL27" s="23">
        <f>'QTR Raw'!BF16</f>
        <v>49.83</v>
      </c>
      <c r="CM27" s="24">
        <f t="shared" ref="CM27:DB27" si="303">CI27*107%</f>
        <v>47.582900000000002</v>
      </c>
      <c r="CN27" s="24">
        <f t="shared" si="303"/>
        <v>46.951600000000006</v>
      </c>
      <c r="CO27" s="24">
        <f t="shared" si="303"/>
        <v>45.346600000000002</v>
      </c>
      <c r="CP27" s="24">
        <f t="shared" si="303"/>
        <v>53.318100000000001</v>
      </c>
      <c r="CQ27" s="24">
        <f t="shared" si="303"/>
        <v>50.913703000000005</v>
      </c>
      <c r="CR27" s="24">
        <f t="shared" si="303"/>
        <v>50.238212000000011</v>
      </c>
      <c r="CS27" s="24">
        <f t="shared" si="303"/>
        <v>48.520862000000008</v>
      </c>
      <c r="CT27" s="24">
        <f t="shared" si="303"/>
        <v>57.050367000000001</v>
      </c>
      <c r="CU27" s="24">
        <f t="shared" si="303"/>
        <v>54.477662210000005</v>
      </c>
      <c r="CV27" s="24">
        <f t="shared" si="303"/>
        <v>53.754886840000019</v>
      </c>
      <c r="CW27" s="24">
        <f t="shared" si="303"/>
        <v>51.917322340000013</v>
      </c>
      <c r="CX27" s="24">
        <f t="shared" si="303"/>
        <v>61.043892690000007</v>
      </c>
      <c r="CY27" s="24">
        <f t="shared" si="303"/>
        <v>58.291098564700008</v>
      </c>
      <c r="CZ27" s="24">
        <f t="shared" si="303"/>
        <v>57.517728918800024</v>
      </c>
      <c r="DA27" s="24">
        <f t="shared" si="303"/>
        <v>55.551534903800018</v>
      </c>
      <c r="DB27" s="24">
        <f t="shared" si="303"/>
        <v>65.316965178300009</v>
      </c>
      <c r="DE27" s="123"/>
      <c r="DF27" s="23">
        <v>62.113500000000002</v>
      </c>
    </row>
    <row r="28" spans="1:110" s="23" customFormat="1" outlineLevel="1" x14ac:dyDescent="0.2">
      <c r="A28" s="23" t="s">
        <v>10</v>
      </c>
      <c r="B28" s="23">
        <f>'Annual Raw'!C17</f>
        <v>0</v>
      </c>
      <c r="C28" s="23">
        <f>'Annual Raw'!D17</f>
        <v>0</v>
      </c>
      <c r="D28" s="23">
        <f>'Annual Raw'!E17</f>
        <v>0</v>
      </c>
      <c r="E28" s="23">
        <f>'Annual Raw'!F17</f>
        <v>0</v>
      </c>
      <c r="F28" s="23">
        <f>'Annual Raw'!G17</f>
        <v>0</v>
      </c>
      <c r="G28" s="23">
        <f>'Annual Raw'!H17</f>
        <v>0</v>
      </c>
      <c r="H28" s="23">
        <f>'Annual Raw'!I17</f>
        <v>0</v>
      </c>
      <c r="I28" s="23">
        <f>'Annual Raw'!J17</f>
        <v>0</v>
      </c>
      <c r="J28" s="23">
        <f>'Annual Raw'!K17</f>
        <v>0</v>
      </c>
      <c r="K28" s="23">
        <f>'Annual Raw'!L17</f>
        <v>0</v>
      </c>
      <c r="L28" s="23">
        <f>'Annual Raw'!M17</f>
        <v>0</v>
      </c>
      <c r="M28" s="23">
        <f>'Annual Raw'!N17</f>
        <v>0</v>
      </c>
      <c r="N28" s="23">
        <f>'Annual Raw'!O17</f>
        <v>0</v>
      </c>
      <c r="O28" s="23">
        <f>'Annual Raw'!P17</f>
        <v>0</v>
      </c>
      <c r="P28" s="23">
        <f>'Annual Raw'!Q17</f>
        <v>0</v>
      </c>
      <c r="Q28" s="23">
        <f>'Annual Raw'!R17</f>
        <v>0</v>
      </c>
      <c r="R28" s="23">
        <f>'Annual Raw'!S17</f>
        <v>0</v>
      </c>
      <c r="S28" s="23">
        <f>'Annual Raw'!T17</f>
        <v>93.617999999999995</v>
      </c>
      <c r="T28" s="23">
        <f>'Annual Raw'!U17</f>
        <v>137.35599999999999</v>
      </c>
      <c r="U28" s="23">
        <f>'Annual Raw'!V17</f>
        <v>135.71</v>
      </c>
      <c r="V28" s="23">
        <f>'Annual Raw'!W17</f>
        <v>98.21</v>
      </c>
      <c r="W28" s="23">
        <f>'Annual Raw'!X17</f>
        <v>84.61</v>
      </c>
      <c r="X28" s="23">
        <f>'Annual Raw'!Y17</f>
        <v>92.35</v>
      </c>
      <c r="Y28" s="23">
        <f>'Annual Raw'!Z17</f>
        <v>84.26</v>
      </c>
      <c r="Z28" s="23">
        <f>'Annual Raw'!AA17</f>
        <v>112.15</v>
      </c>
      <c r="AA28" s="23">
        <f>'Annual Raw'!AB17</f>
        <v>137.47999999999999</v>
      </c>
      <c r="AB28" s="76">
        <f t="shared" si="299"/>
        <v>0</v>
      </c>
      <c r="AC28" s="76">
        <f t="shared" si="300"/>
        <v>0</v>
      </c>
      <c r="AD28" s="76">
        <f t="shared" si="301"/>
        <v>0</v>
      </c>
      <c r="AE28" s="76">
        <f t="shared" si="302"/>
        <v>0</v>
      </c>
      <c r="AI28" s="23">
        <f>'QTR Raw'!C17</f>
        <v>0</v>
      </c>
      <c r="AJ28" s="23">
        <f>'QTR Raw'!D17</f>
        <v>0</v>
      </c>
      <c r="AK28" s="23">
        <f>'QTR Raw'!E17</f>
        <v>0</v>
      </c>
      <c r="AL28" s="23">
        <f>'QTR Raw'!F17</f>
        <v>0</v>
      </c>
      <c r="AM28" s="23">
        <f>'QTR Raw'!G17</f>
        <v>0</v>
      </c>
      <c r="AN28" s="23">
        <f>'QTR Raw'!H17</f>
        <v>0</v>
      </c>
      <c r="AO28" s="23">
        <f>'QTR Raw'!I17</f>
        <v>0</v>
      </c>
      <c r="AP28" s="23">
        <f>'QTR Raw'!J17</f>
        <v>0</v>
      </c>
      <c r="AQ28" s="23">
        <f>'QTR Raw'!K17</f>
        <v>0</v>
      </c>
      <c r="AR28" s="23">
        <f>'QTR Raw'!L17</f>
        <v>0</v>
      </c>
      <c r="AS28" s="23">
        <f>'QTR Raw'!M17</f>
        <v>0</v>
      </c>
      <c r="AT28" s="23">
        <f>'QTR Raw'!N17</f>
        <v>0</v>
      </c>
      <c r="AU28" s="23">
        <f>'QTR Raw'!O17</f>
        <v>0</v>
      </c>
      <c r="AV28" s="23">
        <f>'QTR Raw'!P17</f>
        <v>0</v>
      </c>
      <c r="AW28" s="23">
        <f>'QTR Raw'!Q17</f>
        <v>0</v>
      </c>
      <c r="AX28" s="23">
        <f>'QTR Raw'!R17</f>
        <v>0</v>
      </c>
      <c r="AY28" s="23">
        <f>'QTR Raw'!S17</f>
        <v>0</v>
      </c>
      <c r="AZ28" s="23">
        <f>'QTR Raw'!T17</f>
        <v>0</v>
      </c>
      <c r="BA28" s="23">
        <f>'QTR Raw'!U17</f>
        <v>0</v>
      </c>
      <c r="BB28" s="23">
        <f>'QTR Raw'!V17</f>
        <v>0</v>
      </c>
      <c r="BC28" s="23">
        <f>'QTR Raw'!W17</f>
        <v>0</v>
      </c>
      <c r="BD28" s="23">
        <f>'QTR Raw'!X17</f>
        <v>0</v>
      </c>
      <c r="BE28" s="23">
        <f>'QTR Raw'!Y17</f>
        <v>0</v>
      </c>
      <c r="BF28" s="23">
        <f>'QTR Raw'!Z17</f>
        <v>0</v>
      </c>
      <c r="BG28" s="23">
        <f>'QTR Raw'!AA17</f>
        <v>0</v>
      </c>
      <c r="BH28" s="23">
        <f>'QTR Raw'!AB17</f>
        <v>0</v>
      </c>
      <c r="BI28" s="23">
        <f>'QTR Raw'!AC17</f>
        <v>0</v>
      </c>
      <c r="BJ28" s="23">
        <f>'QTR Raw'!AD17</f>
        <v>0</v>
      </c>
      <c r="BK28" s="23">
        <f>'QTR Raw'!AE17</f>
        <v>0</v>
      </c>
      <c r="BL28" s="23">
        <f>'QTR Raw'!AF17</f>
        <v>0</v>
      </c>
      <c r="BM28" s="23">
        <f>'QTR Raw'!AG17</f>
        <v>0</v>
      </c>
      <c r="BN28" s="23">
        <f>'QTR Raw'!AH17</f>
        <v>0</v>
      </c>
      <c r="BO28" s="23">
        <f>'QTR Raw'!AI17</f>
        <v>0</v>
      </c>
      <c r="BP28" s="23">
        <f>'QTR Raw'!AJ17</f>
        <v>0</v>
      </c>
      <c r="BQ28" s="23">
        <f>'QTR Raw'!AK17</f>
        <v>0</v>
      </c>
      <c r="BR28" s="23">
        <f>'QTR Raw'!AL17</f>
        <v>0</v>
      </c>
      <c r="BS28" s="23">
        <f>'QTR Raw'!AM17</f>
        <v>0</v>
      </c>
      <c r="BT28" s="23">
        <f>'QTR Raw'!AN17</f>
        <v>0</v>
      </c>
      <c r="BU28" s="23">
        <f>'QTR Raw'!AO17</f>
        <v>0</v>
      </c>
      <c r="BV28" s="23">
        <f>'QTR Raw'!AP17</f>
        <v>0</v>
      </c>
      <c r="BW28" s="23">
        <f>'QTR Raw'!AQ17</f>
        <v>0</v>
      </c>
      <c r="BX28" s="23">
        <f>'QTR Raw'!AR17</f>
        <v>0</v>
      </c>
      <c r="BY28" s="23">
        <f>'QTR Raw'!AS17</f>
        <v>0</v>
      </c>
      <c r="BZ28" s="23">
        <f>'QTR Raw'!AT17</f>
        <v>0</v>
      </c>
      <c r="CA28" s="23">
        <f>'QTR Raw'!AU17</f>
        <v>0</v>
      </c>
      <c r="CB28" s="23">
        <f>'QTR Raw'!AV17</f>
        <v>0</v>
      </c>
      <c r="CC28" s="23">
        <f>'QTR Raw'!AW17</f>
        <v>0</v>
      </c>
      <c r="CD28" s="23">
        <f>'QTR Raw'!AX17</f>
        <v>0</v>
      </c>
      <c r="CE28" s="23">
        <f>'QTR Raw'!AY17</f>
        <v>0</v>
      </c>
      <c r="CF28" s="23">
        <f>'QTR Raw'!AZ17</f>
        <v>0</v>
      </c>
      <c r="CG28" s="23">
        <f>'QTR Raw'!BA17</f>
        <v>0</v>
      </c>
      <c r="CH28" s="23">
        <f>'QTR Raw'!BB17</f>
        <v>0</v>
      </c>
      <c r="CI28" s="23">
        <f>'QTR Raw'!BC17</f>
        <v>0</v>
      </c>
      <c r="CJ28" s="23">
        <f>'QTR Raw'!BD17</f>
        <v>0</v>
      </c>
      <c r="CK28" s="23">
        <f>'QTR Raw'!BE17</f>
        <v>0</v>
      </c>
      <c r="CL28" s="23">
        <f>'QTR Raw'!BF17</f>
        <v>0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E28" s="123"/>
      <c r="DF28" s="23">
        <v>0</v>
      </c>
    </row>
    <row r="29" spans="1:110" s="23" customFormat="1" outlineLevel="1" x14ac:dyDescent="0.2">
      <c r="A29" s="23" t="s">
        <v>12</v>
      </c>
      <c r="B29" s="23">
        <f>'Annual Raw'!C19-'Annual Raw'!C20</f>
        <v>0</v>
      </c>
      <c r="C29" s="23">
        <f>'Annual Raw'!D19-'Annual Raw'!D20</f>
        <v>0</v>
      </c>
      <c r="D29" s="23">
        <f>'Annual Raw'!E19-'Annual Raw'!E20</f>
        <v>0</v>
      </c>
      <c r="E29" s="23">
        <f>'Annual Raw'!F19-'Annual Raw'!F20</f>
        <v>0</v>
      </c>
      <c r="F29" s="23">
        <f>'Annual Raw'!G19-'Annual Raw'!G20</f>
        <v>0</v>
      </c>
      <c r="G29" s="23">
        <f>'Annual Raw'!H19-'Annual Raw'!H20</f>
        <v>0</v>
      </c>
      <c r="H29" s="23">
        <f>'Annual Raw'!I19-'Annual Raw'!I20</f>
        <v>0</v>
      </c>
      <c r="I29" s="23">
        <f>'Annual Raw'!J19-'Annual Raw'!J20</f>
        <v>0</v>
      </c>
      <c r="J29" s="23">
        <f>'Annual Raw'!K19-'Annual Raw'!K20</f>
        <v>0</v>
      </c>
      <c r="K29" s="23">
        <f>'Annual Raw'!L19-'Annual Raw'!L20</f>
        <v>0</v>
      </c>
      <c r="L29" s="23">
        <f>'Annual Raw'!M19-'Annual Raw'!M20</f>
        <v>0</v>
      </c>
      <c r="M29" s="23">
        <f>'Annual Raw'!N19-'Annual Raw'!N20</f>
        <v>0</v>
      </c>
      <c r="N29" s="23">
        <f>'Annual Raw'!O19-'Annual Raw'!O20</f>
        <v>0</v>
      </c>
      <c r="O29" s="23">
        <f>'Annual Raw'!P19-'Annual Raw'!P20</f>
        <v>0</v>
      </c>
      <c r="P29" s="23">
        <f>'Annual Raw'!Q19-'Annual Raw'!Q20</f>
        <v>0</v>
      </c>
      <c r="Q29" s="23">
        <f>'Annual Raw'!R19-'Annual Raw'!R20</f>
        <v>0</v>
      </c>
      <c r="R29" s="23">
        <f>'Annual Raw'!S19-'Annual Raw'!S20</f>
        <v>0</v>
      </c>
      <c r="S29" s="23">
        <f>'Annual Raw'!T19-'Annual Raw'!T20</f>
        <v>46.094000000000001</v>
      </c>
      <c r="T29" s="23">
        <f>'Annual Raw'!U19-'Annual Raw'!U20</f>
        <v>87.004999999999995</v>
      </c>
      <c r="U29" s="23">
        <f>'Annual Raw'!V19-'Annual Raw'!V20</f>
        <v>70.819999999999993</v>
      </c>
      <c r="V29" s="23">
        <f>'Annual Raw'!W19-'Annual Raw'!W20</f>
        <v>152.05000000000001</v>
      </c>
      <c r="W29" s="23">
        <f>'Annual Raw'!X19-'Annual Raw'!X20</f>
        <v>112.79</v>
      </c>
      <c r="X29" s="23">
        <f>'Annual Raw'!Y19-'Annual Raw'!Y20</f>
        <v>28.59</v>
      </c>
      <c r="Y29" s="23">
        <f>'Annual Raw'!Z19-'Annual Raw'!Z20</f>
        <v>19.39</v>
      </c>
      <c r="Z29" s="23">
        <f>'Annual Raw'!AA19-'Annual Raw'!AA20</f>
        <v>59.36</v>
      </c>
      <c r="AA29" s="23">
        <f>'Annual Raw'!AB19-'Annual Raw'!AB20</f>
        <v>76.739999999999995</v>
      </c>
      <c r="AB29" s="76">
        <f t="shared" si="299"/>
        <v>0</v>
      </c>
      <c r="AC29" s="76">
        <f t="shared" si="300"/>
        <v>0</v>
      </c>
      <c r="AD29" s="76">
        <f t="shared" si="301"/>
        <v>0</v>
      </c>
      <c r="AE29" s="76">
        <f t="shared" si="302"/>
        <v>0</v>
      </c>
      <c r="AI29" s="23">
        <f>+'QTR Raw'!C21</f>
        <v>0</v>
      </c>
      <c r="AJ29" s="23">
        <f>+'QTR Raw'!D21</f>
        <v>0</v>
      </c>
      <c r="AK29" s="23">
        <f>+'QTR Raw'!E21</f>
        <v>0</v>
      </c>
      <c r="AL29" s="23">
        <f>+'QTR Raw'!F21</f>
        <v>0</v>
      </c>
      <c r="AM29" s="23">
        <f>+'QTR Raw'!G21</f>
        <v>0</v>
      </c>
      <c r="AN29" s="23">
        <f>+'QTR Raw'!H21</f>
        <v>0</v>
      </c>
      <c r="AO29" s="23">
        <f>+'QTR Raw'!I21</f>
        <v>0</v>
      </c>
      <c r="AP29" s="23">
        <f>+'QTR Raw'!J21</f>
        <v>0</v>
      </c>
      <c r="AQ29" s="23">
        <f>+'QTR Raw'!K21</f>
        <v>0</v>
      </c>
      <c r="AR29" s="23">
        <f>+'QTR Raw'!L21</f>
        <v>0</v>
      </c>
      <c r="AS29" s="23">
        <f>+'QTR Raw'!M21</f>
        <v>0</v>
      </c>
      <c r="AT29" s="23">
        <f>+'QTR Raw'!N21</f>
        <v>0</v>
      </c>
      <c r="AU29" s="23">
        <f>+'QTR Raw'!O21</f>
        <v>0</v>
      </c>
      <c r="AV29" s="23">
        <f>+'QTR Raw'!P21</f>
        <v>0</v>
      </c>
      <c r="AW29" s="23">
        <f>+'QTR Raw'!Q21</f>
        <v>0</v>
      </c>
      <c r="AX29" s="23">
        <f>+'QTR Raw'!R21</f>
        <v>0</v>
      </c>
      <c r="AY29" s="23">
        <f>+'QTR Raw'!S21</f>
        <v>0</v>
      </c>
      <c r="AZ29" s="23">
        <f>+'QTR Raw'!T21</f>
        <v>0</v>
      </c>
      <c r="BA29" s="23">
        <f>+'QTR Raw'!U21</f>
        <v>0</v>
      </c>
      <c r="BB29" s="23">
        <f>+'QTR Raw'!V21</f>
        <v>0</v>
      </c>
      <c r="BC29" s="23">
        <f>+'QTR Raw'!W21</f>
        <v>0</v>
      </c>
      <c r="BD29" s="23">
        <f>+'QTR Raw'!X21</f>
        <v>0</v>
      </c>
      <c r="BE29" s="23">
        <f>+'QTR Raw'!Y21</f>
        <v>0</v>
      </c>
      <c r="BF29" s="23">
        <f>+'QTR Raw'!Z21</f>
        <v>0</v>
      </c>
      <c r="BG29" s="23">
        <f>+'QTR Raw'!AA21</f>
        <v>0</v>
      </c>
      <c r="BH29" s="23">
        <f>+'QTR Raw'!AB21</f>
        <v>0</v>
      </c>
      <c r="BI29" s="23">
        <f>+'QTR Raw'!AC21</f>
        <v>0</v>
      </c>
      <c r="BJ29" s="23">
        <f>+'QTR Raw'!AD21</f>
        <v>0</v>
      </c>
      <c r="BK29" s="23">
        <f>+'QTR Raw'!AE21</f>
        <v>0</v>
      </c>
      <c r="BL29" s="23">
        <f>+'QTR Raw'!AF21</f>
        <v>0</v>
      </c>
      <c r="BM29" s="23">
        <f>+'QTR Raw'!AG21</f>
        <v>0</v>
      </c>
      <c r="BN29" s="23">
        <f>+'QTR Raw'!AH21</f>
        <v>0</v>
      </c>
      <c r="BO29" s="23">
        <f>+'QTR Raw'!AI21</f>
        <v>0</v>
      </c>
      <c r="BP29" s="23">
        <f>+'QTR Raw'!AJ21</f>
        <v>0</v>
      </c>
      <c r="BQ29" s="23">
        <f>+'QTR Raw'!AK21</f>
        <v>0</v>
      </c>
      <c r="BR29" s="23">
        <f>+'QTR Raw'!AL21</f>
        <v>0</v>
      </c>
      <c r="BS29" s="23">
        <f>+'QTR Raw'!AM21</f>
        <v>0</v>
      </c>
      <c r="BT29" s="23">
        <f>+'QTR Raw'!AN21</f>
        <v>0</v>
      </c>
      <c r="BU29" s="23">
        <f>+'QTR Raw'!AO21</f>
        <v>0</v>
      </c>
      <c r="BV29" s="23">
        <f>+'QTR Raw'!AP21</f>
        <v>0</v>
      </c>
      <c r="BW29" s="23">
        <f>+'QTR Raw'!AQ21</f>
        <v>0</v>
      </c>
      <c r="BX29" s="23">
        <f>+'QTR Raw'!AR21</f>
        <v>0</v>
      </c>
      <c r="BY29" s="23">
        <f>+'QTR Raw'!AS21</f>
        <v>0</v>
      </c>
      <c r="BZ29" s="23">
        <f>+'QTR Raw'!AT21</f>
        <v>0</v>
      </c>
      <c r="CA29" s="23">
        <f>+'QTR Raw'!AU21</f>
        <v>0</v>
      </c>
      <c r="CB29" s="23">
        <f>+'QTR Raw'!AV21</f>
        <v>0</v>
      </c>
      <c r="CC29" s="23">
        <f>+'QTR Raw'!AW21</f>
        <v>0</v>
      </c>
      <c r="CD29" s="23">
        <f>+'QTR Raw'!AX21</f>
        <v>0</v>
      </c>
      <c r="CE29" s="23">
        <f>+'QTR Raw'!AY21</f>
        <v>0</v>
      </c>
      <c r="CF29" s="23">
        <f>+'QTR Raw'!AZ21</f>
        <v>0</v>
      </c>
      <c r="CG29" s="23">
        <f>+'QTR Raw'!BA21</f>
        <v>0</v>
      </c>
      <c r="CH29" s="23">
        <f>+'QTR Raw'!BB21</f>
        <v>0</v>
      </c>
      <c r="CI29" s="23">
        <f>+'QTR Raw'!BC21</f>
        <v>0</v>
      </c>
      <c r="CJ29" s="23">
        <f>+'QTR Raw'!BD21</f>
        <v>0</v>
      </c>
      <c r="CK29" s="23">
        <f>+'QTR Raw'!BE21</f>
        <v>0</v>
      </c>
      <c r="CL29" s="23">
        <f>+'QTR Raw'!BF21</f>
        <v>0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0</v>
      </c>
    </row>
    <row r="30" spans="1:110" s="23" customFormat="1" outlineLevel="1" x14ac:dyDescent="0.2">
      <c r="A30" s="23" t="s">
        <v>9</v>
      </c>
      <c r="B30" s="23">
        <f>'Annual Raw'!C15+'Annual Raw'!C16</f>
        <v>0</v>
      </c>
      <c r="C30" s="23">
        <f>'Annual Raw'!D15+'Annual Raw'!D16</f>
        <v>0</v>
      </c>
      <c r="D30" s="23">
        <f>'Annual Raw'!E15+'Annual Raw'!E16</f>
        <v>0</v>
      </c>
      <c r="E30" s="23">
        <f>'Annual Raw'!F15+'Annual Raw'!F16</f>
        <v>0</v>
      </c>
      <c r="F30" s="23">
        <f>'Annual Raw'!G15+'Annual Raw'!G16</f>
        <v>0</v>
      </c>
      <c r="G30" s="23">
        <f>'Annual Raw'!H15+'Annual Raw'!H16</f>
        <v>0</v>
      </c>
      <c r="H30" s="23">
        <f>'Annual Raw'!I15+'Annual Raw'!I16</f>
        <v>0</v>
      </c>
      <c r="I30" s="23">
        <f>'Annual Raw'!J15+'Annual Raw'!J16</f>
        <v>0</v>
      </c>
      <c r="J30" s="23">
        <f>'Annual Raw'!K15+'Annual Raw'!K16</f>
        <v>0</v>
      </c>
      <c r="K30" s="23">
        <f>'Annual Raw'!L15+'Annual Raw'!L16</f>
        <v>0</v>
      </c>
      <c r="L30" s="23">
        <f>'Annual Raw'!M15+'Annual Raw'!M16</f>
        <v>0</v>
      </c>
      <c r="M30" s="23">
        <f>'Annual Raw'!N15+'Annual Raw'!N16</f>
        <v>0</v>
      </c>
      <c r="N30" s="23">
        <f>'Annual Raw'!O15+'Annual Raw'!O16</f>
        <v>0</v>
      </c>
      <c r="O30" s="23">
        <f>'Annual Raw'!P15+'Annual Raw'!P16</f>
        <v>0</v>
      </c>
      <c r="P30" s="23">
        <f>'Annual Raw'!Q15+'Annual Raw'!Q16</f>
        <v>0</v>
      </c>
      <c r="Q30" s="23">
        <f>'Annual Raw'!R15+'Annual Raw'!R16</f>
        <v>0</v>
      </c>
      <c r="R30" s="23">
        <f>'Annual Raw'!S15+'Annual Raw'!S16</f>
        <v>0</v>
      </c>
      <c r="S30" s="23">
        <f>'Annual Raw'!T15+'Annual Raw'!T16</f>
        <v>646.27300000000002</v>
      </c>
      <c r="T30" s="23">
        <f>'Annual Raw'!U15+'Annual Raw'!U16</f>
        <v>1505.6969999999999</v>
      </c>
      <c r="U30" s="23">
        <f>'Annual Raw'!V15+'Annual Raw'!V16</f>
        <v>1159.1600000000001</v>
      </c>
      <c r="V30" s="23">
        <f>'Annual Raw'!W15+'Annual Raw'!W16</f>
        <v>1928.66</v>
      </c>
      <c r="W30" s="23">
        <f>'Annual Raw'!X15+'Annual Raw'!X16</f>
        <v>3247.95</v>
      </c>
      <c r="X30" s="23">
        <f>'Annual Raw'!Y15+'Annual Raw'!Y16</f>
        <v>1556.31</v>
      </c>
      <c r="Y30" s="23">
        <f>'Annual Raw'!Z15+'Annual Raw'!Z16</f>
        <v>784.8</v>
      </c>
      <c r="Z30" s="23">
        <f>'Annual Raw'!AA15+'Annual Raw'!AA16</f>
        <v>1102.44</v>
      </c>
      <c r="AA30" s="23">
        <f>'Annual Raw'!AB15+'Annual Raw'!AB16</f>
        <v>2150</v>
      </c>
      <c r="AB30" s="76">
        <f t="shared" si="299"/>
        <v>3044.0484793455994</v>
      </c>
      <c r="AC30" s="76">
        <f t="shared" si="300"/>
        <v>3528.7432252133926</v>
      </c>
      <c r="AD30" s="76">
        <f t="shared" si="301"/>
        <v>4000.3458624518021</v>
      </c>
      <c r="AE30" s="76">
        <f t="shared" si="302"/>
        <v>4526.9946037072768</v>
      </c>
      <c r="AI30" s="23">
        <f>'QTR Raw'!C14</f>
        <v>0</v>
      </c>
      <c r="AJ30" s="23">
        <f>'QTR Raw'!D14</f>
        <v>0</v>
      </c>
      <c r="AK30" s="23">
        <f>'QTR Raw'!E14</f>
        <v>0</v>
      </c>
      <c r="AL30" s="23">
        <f>'QTR Raw'!F14</f>
        <v>0</v>
      </c>
      <c r="AM30" s="23">
        <f>'QTR Raw'!G14</f>
        <v>0</v>
      </c>
      <c r="AN30" s="23">
        <f>'QTR Raw'!H14</f>
        <v>0</v>
      </c>
      <c r="AO30" s="23">
        <f>'QTR Raw'!I14</f>
        <v>0</v>
      </c>
      <c r="AP30" s="23">
        <f>'QTR Raw'!J14</f>
        <v>0</v>
      </c>
      <c r="AQ30" s="23">
        <f>'QTR Raw'!K14</f>
        <v>0</v>
      </c>
      <c r="AR30" s="23">
        <f>'QTR Raw'!L14</f>
        <v>0</v>
      </c>
      <c r="AS30" s="23">
        <f>'QTR Raw'!M14</f>
        <v>0</v>
      </c>
      <c r="AT30" s="23">
        <f>'QTR Raw'!N14</f>
        <v>0</v>
      </c>
      <c r="AU30" s="23">
        <f>'QTR Raw'!O14</f>
        <v>0</v>
      </c>
      <c r="AV30" s="23">
        <f>'QTR Raw'!P14</f>
        <v>0</v>
      </c>
      <c r="AW30" s="23">
        <f>'QTR Raw'!Q14</f>
        <v>0</v>
      </c>
      <c r="AX30" s="23">
        <f>'QTR Raw'!R14</f>
        <v>0</v>
      </c>
      <c r="AY30" s="23">
        <f>'QTR Raw'!S14</f>
        <v>0</v>
      </c>
      <c r="AZ30" s="23">
        <f>'QTR Raw'!T14</f>
        <v>0</v>
      </c>
      <c r="BA30" s="23">
        <f>'QTR Raw'!U14</f>
        <v>0</v>
      </c>
      <c r="BB30" s="23">
        <f>'QTR Raw'!V14</f>
        <v>0</v>
      </c>
      <c r="BC30" s="23">
        <f>'QTR Raw'!W14</f>
        <v>0</v>
      </c>
      <c r="BD30" s="23">
        <f>'QTR Raw'!X14</f>
        <v>0</v>
      </c>
      <c r="BE30" s="23">
        <f>'QTR Raw'!Y14</f>
        <v>0</v>
      </c>
      <c r="BF30" s="23">
        <f>'QTR Raw'!Z14</f>
        <v>0</v>
      </c>
      <c r="BG30" s="23">
        <f>'QTR Raw'!AA14</f>
        <v>0</v>
      </c>
      <c r="BH30" s="23">
        <f>'QTR Raw'!AB14</f>
        <v>60.98</v>
      </c>
      <c r="BI30" s="23">
        <f>'QTR Raw'!AC14</f>
        <v>298.60500000000002</v>
      </c>
      <c r="BJ30" s="23">
        <f>'QTR Raw'!AD14</f>
        <v>961.33500000000004</v>
      </c>
      <c r="BK30" s="23">
        <f>'QTR Raw'!AE14</f>
        <v>458.25</v>
      </c>
      <c r="BL30" s="23">
        <f>'QTR Raw'!AF14</f>
        <v>291.52</v>
      </c>
      <c r="BM30" s="23">
        <f>'QTR Raw'!AG14</f>
        <v>230.72</v>
      </c>
      <c r="BN30" s="23">
        <f>'QTR Raw'!AH14</f>
        <v>461.07</v>
      </c>
      <c r="BO30" s="23">
        <f>'QTR Raw'!AI14</f>
        <v>365.89</v>
      </c>
      <c r="BP30" s="23">
        <f>'QTR Raw'!AJ14</f>
        <v>519.6</v>
      </c>
      <c r="BQ30" s="23">
        <f>'QTR Raw'!AK14</f>
        <v>642.5</v>
      </c>
      <c r="BR30" s="23">
        <f>'QTR Raw'!AL14</f>
        <v>664.16</v>
      </c>
      <c r="BS30" s="23">
        <f>'QTR Raw'!AM14</f>
        <v>783.44</v>
      </c>
      <c r="BT30" s="23">
        <f>'QTR Raw'!AN14</f>
        <v>1033.17</v>
      </c>
      <c r="BU30" s="23">
        <f>'QTR Raw'!AO14</f>
        <v>847.95</v>
      </c>
      <c r="BV30" s="23">
        <f>'QTR Raw'!AP14</f>
        <v>800.53</v>
      </c>
      <c r="BW30" s="23">
        <f>'QTR Raw'!AQ14</f>
        <v>597.29999999999995</v>
      </c>
      <c r="BX30" s="23">
        <f>'QTR Raw'!AR14</f>
        <v>461.56</v>
      </c>
      <c r="BY30" s="23">
        <f>'QTR Raw'!AS14</f>
        <v>256.51</v>
      </c>
      <c r="BZ30" s="23">
        <f>'QTR Raw'!AT14</f>
        <v>371.28</v>
      </c>
      <c r="CA30" s="23">
        <f>'QTR Raw'!AU14</f>
        <v>253.59</v>
      </c>
      <c r="CB30" s="23">
        <f>'QTR Raw'!AV14</f>
        <v>234.86</v>
      </c>
      <c r="CC30" s="23">
        <f>'QTR Raw'!AW14</f>
        <v>191.69</v>
      </c>
      <c r="CD30" s="23">
        <f>'QTR Raw'!AX14</f>
        <v>224.79</v>
      </c>
      <c r="CE30" s="23">
        <f>'QTR Raw'!AY14</f>
        <v>201.99</v>
      </c>
      <c r="CF30" s="23">
        <f>'QTR Raw'!AZ14</f>
        <v>235.6</v>
      </c>
      <c r="CG30" s="23">
        <f>'QTR Raw'!BA14</f>
        <v>338.86</v>
      </c>
      <c r="CH30" s="23">
        <f>'QTR Raw'!BB14</f>
        <v>517.67999999999995</v>
      </c>
      <c r="CI30" s="23">
        <f>'QTR Raw'!BC14</f>
        <v>509.28</v>
      </c>
      <c r="CJ30" s="23">
        <f>'QTR Raw'!BD14</f>
        <v>636.85</v>
      </c>
      <c r="CK30" s="23">
        <f>'QTR Raw'!BE14</f>
        <v>637.28</v>
      </c>
      <c r="CL30" s="23">
        <f>'QTR Raw'!BF14</f>
        <v>594</v>
      </c>
      <c r="CM30" s="24">
        <f t="shared" ref="CM30:DB30" si="304">CM33-CM27-CM28-CM29-CM31-CM32</f>
        <v>778.85124825250273</v>
      </c>
      <c r="CN30" s="24">
        <f t="shared" si="304"/>
        <v>712.32267663730056</v>
      </c>
      <c r="CO30" s="24">
        <f t="shared" si="304"/>
        <v>743.68617388000894</v>
      </c>
      <c r="CP30" s="24">
        <f t="shared" si="304"/>
        <v>809.18838057578705</v>
      </c>
      <c r="CQ30" s="24">
        <f t="shared" si="304"/>
        <v>916.94250998523</v>
      </c>
      <c r="CR30" s="24">
        <f t="shared" si="304"/>
        <v>806.46217608443669</v>
      </c>
      <c r="CS30" s="24">
        <f t="shared" si="304"/>
        <v>859.91505719462975</v>
      </c>
      <c r="CT30" s="24">
        <f t="shared" si="304"/>
        <v>945.42348194909607</v>
      </c>
      <c r="CU30" s="24">
        <f t="shared" si="304"/>
        <v>1039.9791061529402</v>
      </c>
      <c r="CV30" s="24">
        <f t="shared" si="304"/>
        <v>910.88395196007741</v>
      </c>
      <c r="CW30" s="24">
        <f t="shared" si="304"/>
        <v>976.07419655859508</v>
      </c>
      <c r="CX30" s="24">
        <f t="shared" si="304"/>
        <v>1073.4086077801894</v>
      </c>
      <c r="CY30" s="24">
        <f t="shared" si="304"/>
        <v>1175.7499993120523</v>
      </c>
      <c r="CZ30" s="24">
        <f t="shared" si="304"/>
        <v>1028.4058479081043</v>
      </c>
      <c r="DA30" s="24">
        <f t="shared" si="304"/>
        <v>1104.8821387375679</v>
      </c>
      <c r="DB30" s="24">
        <f t="shared" si="304"/>
        <v>1217.9566177495524</v>
      </c>
      <c r="DE30" s="123"/>
      <c r="DF30" s="23">
        <v>1303.3436044097389</v>
      </c>
    </row>
    <row r="31" spans="1:110" s="23" customFormat="1" outlineLevel="1" x14ac:dyDescent="0.2">
      <c r="A31" s="23" t="s">
        <v>7</v>
      </c>
      <c r="B31" s="23">
        <f>'Annual Raw'!C13</f>
        <v>0</v>
      </c>
      <c r="C31" s="23">
        <f>'Annual Raw'!D13</f>
        <v>0</v>
      </c>
      <c r="D31" s="23">
        <f>'Annual Raw'!E13</f>
        <v>0</v>
      </c>
      <c r="E31" s="23">
        <f>'Annual Raw'!F13</f>
        <v>0</v>
      </c>
      <c r="F31" s="23">
        <f>'Annual Raw'!G13</f>
        <v>0</v>
      </c>
      <c r="G31" s="23">
        <f>'Annual Raw'!H13</f>
        <v>0</v>
      </c>
      <c r="H31" s="23">
        <f>'Annual Raw'!I13</f>
        <v>0</v>
      </c>
      <c r="I31" s="23">
        <f>'Annual Raw'!J13</f>
        <v>0</v>
      </c>
      <c r="J31" s="23">
        <f>'Annual Raw'!K13</f>
        <v>0</v>
      </c>
      <c r="K31" s="23">
        <f>'Annual Raw'!L13</f>
        <v>0</v>
      </c>
      <c r="L31" s="23">
        <f>'Annual Raw'!M13</f>
        <v>0</v>
      </c>
      <c r="M31" s="23">
        <f>'Annual Raw'!N13</f>
        <v>0</v>
      </c>
      <c r="N31" s="23">
        <f>'Annual Raw'!O13</f>
        <v>0</v>
      </c>
      <c r="O31" s="23">
        <f>'Annual Raw'!P13</f>
        <v>0</v>
      </c>
      <c r="P31" s="23">
        <f>'Annual Raw'!Q13</f>
        <v>0</v>
      </c>
      <c r="Q31" s="23">
        <f>'Annual Raw'!R13</f>
        <v>0</v>
      </c>
      <c r="R31" s="23">
        <f>'Annual Raw'!S13</f>
        <v>0</v>
      </c>
      <c r="S31" s="23">
        <f>'Annual Raw'!T13</f>
        <v>4.8049999999999997</v>
      </c>
      <c r="T31" s="23">
        <f>'Annual Raw'!U13</f>
        <v>10.693</v>
      </c>
      <c r="U31" s="23">
        <f>'Annual Raw'!V13</f>
        <v>5.66</v>
      </c>
      <c r="V31" s="23">
        <f>'Annual Raw'!W13</f>
        <v>0.79</v>
      </c>
      <c r="W31" s="23">
        <f>'Annual Raw'!X13</f>
        <v>0.38</v>
      </c>
      <c r="X31" s="23">
        <f>'Annual Raw'!Y13</f>
        <v>0.57999999999999996</v>
      </c>
      <c r="Y31" s="23">
        <f>'Annual Raw'!Z13</f>
        <v>0.85</v>
      </c>
      <c r="Z31" s="23">
        <f>'Annual Raw'!AA13</f>
        <v>1.07</v>
      </c>
      <c r="AA31" s="23">
        <f>'Annual Raw'!AB13</f>
        <v>0.94</v>
      </c>
      <c r="AB31" s="76">
        <f t="shared" si="299"/>
        <v>0</v>
      </c>
      <c r="AC31" s="76">
        <f t="shared" si="300"/>
        <v>0</v>
      </c>
      <c r="AD31" s="76">
        <f t="shared" si="301"/>
        <v>0</v>
      </c>
      <c r="AE31" s="76">
        <f t="shared" si="302"/>
        <v>0</v>
      </c>
      <c r="AI31" s="23">
        <f>'QTR Raw'!C15</f>
        <v>0</v>
      </c>
      <c r="AJ31" s="23">
        <f>'QTR Raw'!D15</f>
        <v>0</v>
      </c>
      <c r="AK31" s="23">
        <f>'QTR Raw'!E15</f>
        <v>0</v>
      </c>
      <c r="AL31" s="23">
        <f>'QTR Raw'!F15</f>
        <v>0</v>
      </c>
      <c r="AM31" s="23">
        <f>'QTR Raw'!G15</f>
        <v>0</v>
      </c>
      <c r="AN31" s="23">
        <f>'QTR Raw'!H15</f>
        <v>0</v>
      </c>
      <c r="AO31" s="23">
        <f>'QTR Raw'!I15</f>
        <v>0</v>
      </c>
      <c r="AP31" s="23">
        <f>'QTR Raw'!J15</f>
        <v>0</v>
      </c>
      <c r="AQ31" s="23">
        <f>'QTR Raw'!K15</f>
        <v>0</v>
      </c>
      <c r="AR31" s="23">
        <f>'QTR Raw'!L15</f>
        <v>0</v>
      </c>
      <c r="AS31" s="23">
        <f>'QTR Raw'!M15</f>
        <v>0</v>
      </c>
      <c r="AT31" s="23">
        <f>'QTR Raw'!N15</f>
        <v>0</v>
      </c>
      <c r="AU31" s="23">
        <f>'QTR Raw'!O15</f>
        <v>0</v>
      </c>
      <c r="AV31" s="23">
        <f>'QTR Raw'!P15</f>
        <v>0</v>
      </c>
      <c r="AW31" s="23">
        <f>'QTR Raw'!Q15</f>
        <v>0</v>
      </c>
      <c r="AX31" s="23">
        <f>'QTR Raw'!R15</f>
        <v>0</v>
      </c>
      <c r="AY31" s="23">
        <f>'QTR Raw'!S15</f>
        <v>0</v>
      </c>
      <c r="AZ31" s="23">
        <f>'QTR Raw'!T15</f>
        <v>0</v>
      </c>
      <c r="BA31" s="23">
        <f>'QTR Raw'!U15</f>
        <v>0</v>
      </c>
      <c r="BB31" s="23">
        <f>'QTR Raw'!V15</f>
        <v>0</v>
      </c>
      <c r="BC31" s="23">
        <f>'QTR Raw'!W15</f>
        <v>0</v>
      </c>
      <c r="BD31" s="23">
        <f>'QTR Raw'!X15</f>
        <v>0</v>
      </c>
      <c r="BE31" s="23">
        <f>'QTR Raw'!Y15</f>
        <v>0</v>
      </c>
      <c r="BF31" s="23">
        <f>'QTR Raw'!Z15</f>
        <v>0</v>
      </c>
      <c r="BG31" s="23">
        <f>'QTR Raw'!AA15</f>
        <v>0</v>
      </c>
      <c r="BH31" s="23">
        <f>'QTR Raw'!AB15</f>
        <v>0</v>
      </c>
      <c r="BI31" s="23">
        <f>'QTR Raw'!AC15</f>
        <v>0</v>
      </c>
      <c r="BJ31" s="23">
        <f>'QTR Raw'!AD15</f>
        <v>0</v>
      </c>
      <c r="BK31" s="23">
        <f>'QTR Raw'!AE15</f>
        <v>0</v>
      </c>
      <c r="BL31" s="23">
        <f>'QTR Raw'!AF15</f>
        <v>0</v>
      </c>
      <c r="BM31" s="23">
        <f>'QTR Raw'!AG15</f>
        <v>0</v>
      </c>
      <c r="BN31" s="23">
        <f>'QTR Raw'!AH15</f>
        <v>0</v>
      </c>
      <c r="BO31" s="23">
        <f>'QTR Raw'!AI15</f>
        <v>0</v>
      </c>
      <c r="BP31" s="23">
        <f>'QTR Raw'!AJ15</f>
        <v>0</v>
      </c>
      <c r="BQ31" s="23">
        <f>'QTR Raw'!AK15</f>
        <v>0</v>
      </c>
      <c r="BR31" s="23">
        <f>'QTR Raw'!AL15</f>
        <v>0</v>
      </c>
      <c r="BS31" s="23">
        <f>'QTR Raw'!AM15</f>
        <v>0</v>
      </c>
      <c r="BT31" s="23">
        <f>'QTR Raw'!AN15</f>
        <v>0</v>
      </c>
      <c r="BU31" s="23">
        <f>'QTR Raw'!AO15</f>
        <v>0</v>
      </c>
      <c r="BV31" s="23">
        <f>'QTR Raw'!AP15</f>
        <v>0</v>
      </c>
      <c r="BW31" s="23">
        <f>'QTR Raw'!AQ15</f>
        <v>0</v>
      </c>
      <c r="BX31" s="23">
        <f>'QTR Raw'!AR15</f>
        <v>0</v>
      </c>
      <c r="BY31" s="23">
        <f>'QTR Raw'!AS15</f>
        <v>0</v>
      </c>
      <c r="BZ31" s="23">
        <f>'QTR Raw'!AT15</f>
        <v>0</v>
      </c>
      <c r="CA31" s="23">
        <f>'QTR Raw'!AU15</f>
        <v>0</v>
      </c>
      <c r="CB31" s="23">
        <f>'QTR Raw'!AV15</f>
        <v>0</v>
      </c>
      <c r="CC31" s="23">
        <f>'QTR Raw'!AW15</f>
        <v>0</v>
      </c>
      <c r="CD31" s="23">
        <f>'QTR Raw'!AX15</f>
        <v>0</v>
      </c>
      <c r="CE31" s="23">
        <f>'QTR Raw'!AY15</f>
        <v>0</v>
      </c>
      <c r="CF31" s="23">
        <f>'QTR Raw'!AZ15</f>
        <v>0</v>
      </c>
      <c r="CG31" s="23">
        <f>'QTR Raw'!BA15</f>
        <v>0</v>
      </c>
      <c r="CH31" s="23">
        <f>'QTR Raw'!BB15</f>
        <v>0</v>
      </c>
      <c r="CI31" s="23">
        <f>'QTR Raw'!BC15</f>
        <v>0</v>
      </c>
      <c r="CJ31" s="23">
        <f>'QTR Raw'!BD15</f>
        <v>0</v>
      </c>
      <c r="CK31" s="23">
        <f>'QTR Raw'!BE15</f>
        <v>0</v>
      </c>
      <c r="CL31" s="23">
        <f>'QTR Raw'!BF15</f>
        <v>0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0</v>
      </c>
    </row>
    <row r="32" spans="1:110" s="23" customFormat="1" outlineLevel="1" x14ac:dyDescent="0.2">
      <c r="A32" s="23" t="s">
        <v>11</v>
      </c>
      <c r="B32" s="23">
        <f>'Annual Raw'!C18</f>
        <v>0</v>
      </c>
      <c r="C32" s="23">
        <f>'Annual Raw'!D18</f>
        <v>0</v>
      </c>
      <c r="D32" s="23">
        <f>'Annual Raw'!E18</f>
        <v>0</v>
      </c>
      <c r="E32" s="23">
        <f>'Annual Raw'!F18</f>
        <v>0</v>
      </c>
      <c r="F32" s="23">
        <f>'Annual Raw'!G18</f>
        <v>0</v>
      </c>
      <c r="G32" s="23">
        <f>'Annual Raw'!H18</f>
        <v>0</v>
      </c>
      <c r="H32" s="23">
        <f>'Annual Raw'!I18</f>
        <v>0</v>
      </c>
      <c r="I32" s="23">
        <f>'Annual Raw'!J18</f>
        <v>0</v>
      </c>
      <c r="J32" s="23">
        <f>'Annual Raw'!K18</f>
        <v>0</v>
      </c>
      <c r="K32" s="23">
        <f>'Annual Raw'!L18</f>
        <v>0</v>
      </c>
      <c r="L32" s="23">
        <f>'Annual Raw'!M18</f>
        <v>0</v>
      </c>
      <c r="M32" s="23">
        <f>'Annual Raw'!N18</f>
        <v>0</v>
      </c>
      <c r="N32" s="23">
        <f>'Annual Raw'!O18</f>
        <v>0</v>
      </c>
      <c r="O32" s="23">
        <f>'Annual Raw'!P18</f>
        <v>0</v>
      </c>
      <c r="P32" s="23">
        <f>'Annual Raw'!Q18</f>
        <v>0</v>
      </c>
      <c r="Q32" s="23">
        <f>'Annual Raw'!R18</f>
        <v>0</v>
      </c>
      <c r="R32" s="23">
        <f>'Annual Raw'!S18</f>
        <v>0</v>
      </c>
      <c r="S32" s="23">
        <f>'Annual Raw'!T18</f>
        <v>2.0019999999999998</v>
      </c>
      <c r="T32" s="23">
        <f>'Annual Raw'!U18</f>
        <v>1.3540000000000001</v>
      </c>
      <c r="U32" s="23">
        <f>'Annual Raw'!V18</f>
        <v>1.61</v>
      </c>
      <c r="V32" s="23">
        <f>'Annual Raw'!W18</f>
        <v>0.56000000000000005</v>
      </c>
      <c r="W32" s="23">
        <f>'Annual Raw'!X18</f>
        <v>8.86</v>
      </c>
      <c r="X32" s="23">
        <f>'Annual Raw'!Y18</f>
        <v>2.4300000000000002</v>
      </c>
      <c r="Y32" s="23">
        <f>'Annual Raw'!Z18</f>
        <v>0.4</v>
      </c>
      <c r="Z32" s="23">
        <f>'Annual Raw'!AA18</f>
        <v>1.57</v>
      </c>
      <c r="AA32" s="23">
        <f>'Annual Raw'!AB18</f>
        <v>1.1599999999999999</v>
      </c>
      <c r="AB32" s="76">
        <f t="shared" si="299"/>
        <v>0</v>
      </c>
      <c r="AC32" s="76">
        <f t="shared" si="300"/>
        <v>0</v>
      </c>
      <c r="AD32" s="76">
        <f t="shared" si="301"/>
        <v>0</v>
      </c>
      <c r="AE32" s="76">
        <f t="shared" si="302"/>
        <v>0</v>
      </c>
      <c r="AI32" s="23">
        <f>'QTR Raw'!C18</f>
        <v>0</v>
      </c>
      <c r="AJ32" s="23">
        <f>'QTR Raw'!D18</f>
        <v>0</v>
      </c>
      <c r="AK32" s="23">
        <f>'QTR Raw'!E18</f>
        <v>0</v>
      </c>
      <c r="AL32" s="23">
        <f>'QTR Raw'!F18</f>
        <v>0</v>
      </c>
      <c r="AM32" s="23">
        <f>'QTR Raw'!G18</f>
        <v>0</v>
      </c>
      <c r="AN32" s="23">
        <f>'QTR Raw'!H18</f>
        <v>0</v>
      </c>
      <c r="AO32" s="23">
        <f>'QTR Raw'!I18</f>
        <v>0</v>
      </c>
      <c r="AP32" s="23">
        <f>'QTR Raw'!J18</f>
        <v>0</v>
      </c>
      <c r="AQ32" s="23">
        <f>'QTR Raw'!K18</f>
        <v>0</v>
      </c>
      <c r="AR32" s="23">
        <f>'QTR Raw'!L18</f>
        <v>0</v>
      </c>
      <c r="AS32" s="23">
        <f>'QTR Raw'!M18</f>
        <v>0</v>
      </c>
      <c r="AT32" s="23">
        <f>'QTR Raw'!N18</f>
        <v>0</v>
      </c>
      <c r="AU32" s="23">
        <f>'QTR Raw'!O18</f>
        <v>0</v>
      </c>
      <c r="AV32" s="23">
        <f>'QTR Raw'!P18</f>
        <v>0</v>
      </c>
      <c r="AW32" s="23">
        <f>'QTR Raw'!Q18</f>
        <v>0</v>
      </c>
      <c r="AX32" s="23">
        <f>'QTR Raw'!R18</f>
        <v>0</v>
      </c>
      <c r="AY32" s="23">
        <f>'QTR Raw'!S18</f>
        <v>0</v>
      </c>
      <c r="AZ32" s="23">
        <f>'QTR Raw'!T18</f>
        <v>0</v>
      </c>
      <c r="BA32" s="23">
        <f>'QTR Raw'!U18</f>
        <v>0</v>
      </c>
      <c r="BB32" s="23">
        <f>'QTR Raw'!V18</f>
        <v>0</v>
      </c>
      <c r="BC32" s="23">
        <f>'QTR Raw'!W18</f>
        <v>0</v>
      </c>
      <c r="BD32" s="23">
        <f>'QTR Raw'!X18</f>
        <v>0</v>
      </c>
      <c r="BE32" s="23">
        <f>'QTR Raw'!Y18</f>
        <v>0</v>
      </c>
      <c r="BF32" s="23">
        <f>'QTR Raw'!Z18</f>
        <v>0</v>
      </c>
      <c r="BG32" s="23">
        <f>'QTR Raw'!AA18</f>
        <v>0</v>
      </c>
      <c r="BH32" s="23">
        <f>'QTR Raw'!AB18</f>
        <v>0</v>
      </c>
      <c r="BI32" s="23">
        <f>'QTR Raw'!AC18</f>
        <v>0</v>
      </c>
      <c r="BJ32" s="23">
        <f>'QTR Raw'!AD18</f>
        <v>0</v>
      </c>
      <c r="BK32" s="23">
        <f>'QTR Raw'!AE18</f>
        <v>0</v>
      </c>
      <c r="BL32" s="23">
        <f>'QTR Raw'!AF18</f>
        <v>0</v>
      </c>
      <c r="BM32" s="23">
        <f>'QTR Raw'!AG18</f>
        <v>0</v>
      </c>
      <c r="BN32" s="23">
        <f>'QTR Raw'!AH18</f>
        <v>0</v>
      </c>
      <c r="BO32" s="23">
        <f>'QTR Raw'!AI18</f>
        <v>0</v>
      </c>
      <c r="BP32" s="23">
        <f>'QTR Raw'!AJ18</f>
        <v>0</v>
      </c>
      <c r="BQ32" s="23">
        <f>'QTR Raw'!AK18</f>
        <v>0</v>
      </c>
      <c r="BR32" s="23">
        <f>'QTR Raw'!AL18</f>
        <v>0</v>
      </c>
      <c r="BS32" s="23">
        <f>'QTR Raw'!AM18</f>
        <v>0</v>
      </c>
      <c r="BT32" s="23">
        <f>'QTR Raw'!AN18</f>
        <v>0</v>
      </c>
      <c r="BU32" s="23">
        <f>'QTR Raw'!AO18</f>
        <v>0</v>
      </c>
      <c r="BV32" s="23">
        <f>'QTR Raw'!AP18</f>
        <v>0</v>
      </c>
      <c r="BW32" s="23">
        <f>'QTR Raw'!AQ18</f>
        <v>0</v>
      </c>
      <c r="BX32" s="23">
        <f>'QTR Raw'!AR18</f>
        <v>0</v>
      </c>
      <c r="BY32" s="23">
        <f>'QTR Raw'!AS18</f>
        <v>0</v>
      </c>
      <c r="BZ32" s="23">
        <f>'QTR Raw'!AT18</f>
        <v>0</v>
      </c>
      <c r="CA32" s="23">
        <f>'QTR Raw'!AU18</f>
        <v>0</v>
      </c>
      <c r="CB32" s="23">
        <f>'QTR Raw'!AV18</f>
        <v>0</v>
      </c>
      <c r="CC32" s="23">
        <f>'QTR Raw'!AW18</f>
        <v>0</v>
      </c>
      <c r="CD32" s="23">
        <f>'QTR Raw'!AX18</f>
        <v>0</v>
      </c>
      <c r="CE32" s="23">
        <f>'QTR Raw'!AY18</f>
        <v>0</v>
      </c>
      <c r="CF32" s="23">
        <f>'QTR Raw'!AZ18</f>
        <v>0</v>
      </c>
      <c r="CG32" s="23">
        <f>'QTR Raw'!BA18</f>
        <v>0</v>
      </c>
      <c r="CH32" s="23">
        <f>'QTR Raw'!BB18</f>
        <v>0</v>
      </c>
      <c r="CI32" s="23">
        <f>'QTR Raw'!BC18</f>
        <v>0</v>
      </c>
      <c r="CJ32" s="23">
        <f>'QTR Raw'!BD18</f>
        <v>0</v>
      </c>
      <c r="CK32" s="23">
        <f>'QTR Raw'!BE18</f>
        <v>0</v>
      </c>
      <c r="CL32" s="23">
        <f>'QTR Raw'!BF18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2" customFormat="1" x14ac:dyDescent="0.2">
      <c r="A33" s="33" t="s">
        <v>348</v>
      </c>
      <c r="B33" s="22">
        <f t="shared" ref="B33:E33" si="305">+SUM(B27:B32)</f>
        <v>0</v>
      </c>
      <c r="C33" s="22">
        <f t="shared" si="305"/>
        <v>0</v>
      </c>
      <c r="D33" s="22">
        <f t="shared" si="305"/>
        <v>0</v>
      </c>
      <c r="E33" s="22">
        <f t="shared" si="305"/>
        <v>0</v>
      </c>
      <c r="F33" s="22">
        <f t="shared" ref="F33:AE33" si="306">+SUM(F27:F32)</f>
        <v>0</v>
      </c>
      <c r="G33" s="22">
        <f t="shared" si="306"/>
        <v>0</v>
      </c>
      <c r="H33" s="22">
        <f t="shared" si="306"/>
        <v>0</v>
      </c>
      <c r="I33" s="22">
        <f t="shared" si="306"/>
        <v>0</v>
      </c>
      <c r="J33" s="22">
        <f t="shared" si="306"/>
        <v>0</v>
      </c>
      <c r="K33" s="22">
        <f t="shared" si="306"/>
        <v>0</v>
      </c>
      <c r="L33" s="22">
        <f t="shared" si="306"/>
        <v>0</v>
      </c>
      <c r="M33" s="22">
        <f t="shared" si="306"/>
        <v>0</v>
      </c>
      <c r="N33" s="22">
        <f t="shared" si="306"/>
        <v>0</v>
      </c>
      <c r="O33" s="22">
        <f t="shared" si="306"/>
        <v>0</v>
      </c>
      <c r="P33" s="22">
        <f t="shared" si="306"/>
        <v>0</v>
      </c>
      <c r="Q33" s="22">
        <f t="shared" si="306"/>
        <v>0</v>
      </c>
      <c r="R33" s="22">
        <f t="shared" si="306"/>
        <v>0</v>
      </c>
      <c r="S33" s="22">
        <f t="shared" si="306"/>
        <v>891.41599999999994</v>
      </c>
      <c r="T33" s="22">
        <f t="shared" si="306"/>
        <v>1919.9929999999999</v>
      </c>
      <c r="U33" s="22">
        <f t="shared" si="306"/>
        <v>1613.23</v>
      </c>
      <c r="V33" s="22">
        <f t="shared" si="306"/>
        <v>2388.75</v>
      </c>
      <c r="W33" s="22">
        <f t="shared" si="306"/>
        <v>3682.48</v>
      </c>
      <c r="X33" s="22">
        <f t="shared" si="306"/>
        <v>1928.11</v>
      </c>
      <c r="Y33" s="22">
        <f t="shared" si="306"/>
        <v>1100.97</v>
      </c>
      <c r="Z33" s="22">
        <f t="shared" ref="Z33:AA33" si="307">+SUM(Z27:Z32)</f>
        <v>1476.6799999999998</v>
      </c>
      <c r="AA33" s="22">
        <f t="shared" si="307"/>
        <v>2546.8799999999997</v>
      </c>
      <c r="AB33" s="21">
        <f t="shared" si="306"/>
        <v>3237.2476793455994</v>
      </c>
      <c r="AC33" s="21">
        <f t="shared" si="306"/>
        <v>3735.4663692133927</v>
      </c>
      <c r="AD33" s="21">
        <f t="shared" si="306"/>
        <v>4221.5396265318022</v>
      </c>
      <c r="AE33" s="21">
        <f t="shared" si="306"/>
        <v>4763.6719312728765</v>
      </c>
      <c r="AI33" s="22">
        <f t="shared" ref="AI33:BN33" si="308">+SUM(AI27:AI32)</f>
        <v>0</v>
      </c>
      <c r="AJ33" s="22">
        <f t="shared" si="308"/>
        <v>0</v>
      </c>
      <c r="AK33" s="22">
        <f t="shared" si="308"/>
        <v>0</v>
      </c>
      <c r="AL33" s="22">
        <f t="shared" si="308"/>
        <v>0</v>
      </c>
      <c r="AM33" s="22">
        <f t="shared" si="308"/>
        <v>0</v>
      </c>
      <c r="AN33" s="22">
        <f t="shared" si="308"/>
        <v>0</v>
      </c>
      <c r="AO33" s="22">
        <f t="shared" si="308"/>
        <v>0</v>
      </c>
      <c r="AP33" s="22">
        <f t="shared" si="308"/>
        <v>0</v>
      </c>
      <c r="AQ33" s="22">
        <f t="shared" si="308"/>
        <v>0</v>
      </c>
      <c r="AR33" s="22">
        <f t="shared" si="308"/>
        <v>0</v>
      </c>
      <c r="AS33" s="22">
        <f t="shared" si="308"/>
        <v>0</v>
      </c>
      <c r="AT33" s="22">
        <f t="shared" si="308"/>
        <v>0</v>
      </c>
      <c r="AU33" s="22">
        <f t="shared" si="308"/>
        <v>0</v>
      </c>
      <c r="AV33" s="22">
        <f t="shared" si="308"/>
        <v>0</v>
      </c>
      <c r="AW33" s="22">
        <f t="shared" si="308"/>
        <v>0</v>
      </c>
      <c r="AX33" s="22">
        <f t="shared" si="308"/>
        <v>0</v>
      </c>
      <c r="AY33" s="22">
        <f t="shared" si="308"/>
        <v>0</v>
      </c>
      <c r="AZ33" s="22">
        <f t="shared" si="308"/>
        <v>0</v>
      </c>
      <c r="BA33" s="22">
        <f t="shared" si="308"/>
        <v>0</v>
      </c>
      <c r="BB33" s="22">
        <f t="shared" si="308"/>
        <v>0</v>
      </c>
      <c r="BC33" s="22">
        <f t="shared" si="308"/>
        <v>0</v>
      </c>
      <c r="BD33" s="22">
        <f t="shared" si="308"/>
        <v>0</v>
      </c>
      <c r="BE33" s="22">
        <f t="shared" si="308"/>
        <v>0</v>
      </c>
      <c r="BF33" s="22">
        <f t="shared" si="308"/>
        <v>0</v>
      </c>
      <c r="BG33" s="22">
        <f t="shared" si="308"/>
        <v>0</v>
      </c>
      <c r="BH33" s="22">
        <f t="shared" si="308"/>
        <v>103.297</v>
      </c>
      <c r="BI33" s="22">
        <f t="shared" si="308"/>
        <v>356.17</v>
      </c>
      <c r="BJ33" s="22">
        <f t="shared" si="308"/>
        <v>1011.418</v>
      </c>
      <c r="BK33" s="22">
        <f t="shared" si="308"/>
        <v>506.57</v>
      </c>
      <c r="BL33" s="22">
        <f t="shared" si="308"/>
        <v>357.21</v>
      </c>
      <c r="BM33" s="22">
        <f t="shared" si="308"/>
        <v>287.63</v>
      </c>
      <c r="BN33" s="22">
        <f t="shared" si="308"/>
        <v>530.41</v>
      </c>
      <c r="BO33" s="22">
        <f t="shared" ref="BO33:CH33" si="309">+SUM(BO27:BO32)</f>
        <v>415.57</v>
      </c>
      <c r="BP33" s="22">
        <f t="shared" si="309"/>
        <v>573.25</v>
      </c>
      <c r="BQ33" s="22">
        <f t="shared" si="309"/>
        <v>692.23</v>
      </c>
      <c r="BR33" s="22">
        <f t="shared" si="309"/>
        <v>719.57999999999993</v>
      </c>
      <c r="BS33" s="22">
        <f t="shared" si="309"/>
        <v>838.04000000000008</v>
      </c>
      <c r="BT33" s="22">
        <f t="shared" si="309"/>
        <v>1092.19</v>
      </c>
      <c r="BU33" s="22">
        <f t="shared" si="309"/>
        <v>906.8900000000001</v>
      </c>
      <c r="BV33" s="22">
        <f t="shared" si="309"/>
        <v>855.86</v>
      </c>
      <c r="BW33" s="22">
        <f t="shared" si="309"/>
        <v>657.4799999999999</v>
      </c>
      <c r="BX33" s="22">
        <f t="shared" si="309"/>
        <v>525.05999999999995</v>
      </c>
      <c r="BY33" s="22">
        <f t="shared" si="309"/>
        <v>319.41999999999996</v>
      </c>
      <c r="BZ33" s="22">
        <f t="shared" si="309"/>
        <v>432.53999999999996</v>
      </c>
      <c r="CA33" s="22">
        <f t="shared" si="309"/>
        <v>312.26</v>
      </c>
      <c r="CB33" s="22">
        <f t="shared" si="309"/>
        <v>290.68</v>
      </c>
      <c r="CC33" s="22">
        <f t="shared" si="309"/>
        <v>243.56</v>
      </c>
      <c r="CD33" s="22">
        <f t="shared" si="309"/>
        <v>269.7</v>
      </c>
      <c r="CE33" s="22">
        <f t="shared" si="309"/>
        <v>248.91000000000003</v>
      </c>
      <c r="CF33" s="22">
        <f t="shared" si="309"/>
        <v>282.95999999999998</v>
      </c>
      <c r="CG33" s="22">
        <f t="shared" si="309"/>
        <v>386.62</v>
      </c>
      <c r="CH33" s="22">
        <f t="shared" si="309"/>
        <v>575.7299999999999</v>
      </c>
      <c r="CI33" s="22">
        <f t="shared" ref="CI33:CJ33" si="310">+SUM(CI27:CI32)</f>
        <v>553.75</v>
      </c>
      <c r="CJ33" s="22">
        <f t="shared" si="310"/>
        <v>680.73</v>
      </c>
      <c r="CK33" s="22">
        <f t="shared" ref="CK33:CL33" si="311">+SUM(CK27:CK32)</f>
        <v>679.66</v>
      </c>
      <c r="CL33" s="22">
        <f t="shared" si="311"/>
        <v>643.83000000000004</v>
      </c>
      <c r="CM33" s="21">
        <f t="shared" ref="CM33:DB33" si="312">CM34*CM17</f>
        <v>826.43414825250272</v>
      </c>
      <c r="CN33" s="21">
        <f t="shared" si="312"/>
        <v>759.27427663730055</v>
      </c>
      <c r="CO33" s="21">
        <f t="shared" si="312"/>
        <v>789.0327738800089</v>
      </c>
      <c r="CP33" s="21">
        <f t="shared" si="312"/>
        <v>862.50648057578701</v>
      </c>
      <c r="CQ33" s="21">
        <f t="shared" si="312"/>
        <v>967.85621298523006</v>
      </c>
      <c r="CR33" s="21">
        <f t="shared" si="312"/>
        <v>856.70038808443667</v>
      </c>
      <c r="CS33" s="21">
        <f t="shared" si="312"/>
        <v>908.43591919462972</v>
      </c>
      <c r="CT33" s="21">
        <f t="shared" si="312"/>
        <v>1002.4738489490961</v>
      </c>
      <c r="CU33" s="21">
        <f t="shared" si="312"/>
        <v>1094.4567683629402</v>
      </c>
      <c r="CV33" s="21">
        <f t="shared" si="312"/>
        <v>964.63883880007745</v>
      </c>
      <c r="CW33" s="21">
        <f t="shared" si="312"/>
        <v>1027.9915188985951</v>
      </c>
      <c r="CX33" s="21">
        <f t="shared" si="312"/>
        <v>1134.4525004701893</v>
      </c>
      <c r="CY33" s="21">
        <f t="shared" si="312"/>
        <v>1234.0410978767522</v>
      </c>
      <c r="CZ33" s="21">
        <f t="shared" si="312"/>
        <v>1085.9235768269043</v>
      </c>
      <c r="DA33" s="21">
        <f t="shared" si="312"/>
        <v>1160.4336736413679</v>
      </c>
      <c r="DB33" s="21">
        <f t="shared" si="312"/>
        <v>1283.2735829278524</v>
      </c>
      <c r="DE33" s="126"/>
      <c r="DF33" s="22">
        <v>1365.4571044097388</v>
      </c>
    </row>
    <row r="34" spans="1:110" s="44" customFormat="1" x14ac:dyDescent="0.2">
      <c r="A34" s="43" t="s">
        <v>349</v>
      </c>
      <c r="B34" s="44" t="e">
        <f t="shared" ref="B34:E34" si="313">B33/B17</f>
        <v>#DIV/0!</v>
      </c>
      <c r="C34" s="44" t="e">
        <f t="shared" si="313"/>
        <v>#DIV/0!</v>
      </c>
      <c r="D34" s="44" t="e">
        <f t="shared" si="313"/>
        <v>#DIV/0!</v>
      </c>
      <c r="E34" s="44" t="e">
        <f t="shared" si="313"/>
        <v>#DIV/0!</v>
      </c>
      <c r="F34" s="44" t="e">
        <f t="shared" ref="F34:AE34" si="314">F33/F17</f>
        <v>#DIV/0!</v>
      </c>
      <c r="G34" s="44" t="e">
        <f t="shared" si="314"/>
        <v>#DIV/0!</v>
      </c>
      <c r="H34" s="44" t="e">
        <f t="shared" si="314"/>
        <v>#DIV/0!</v>
      </c>
      <c r="I34" s="44" t="e">
        <f t="shared" si="314"/>
        <v>#DIV/0!</v>
      </c>
      <c r="J34" s="44" t="e">
        <f t="shared" si="314"/>
        <v>#DIV/0!</v>
      </c>
      <c r="K34" s="44" t="e">
        <f t="shared" si="314"/>
        <v>#DIV/0!</v>
      </c>
      <c r="L34" s="44" t="e">
        <f t="shared" si="314"/>
        <v>#DIV/0!</v>
      </c>
      <c r="M34" s="44" t="e">
        <f t="shared" si="314"/>
        <v>#DIV/0!</v>
      </c>
      <c r="N34" s="44" t="e">
        <f t="shared" si="314"/>
        <v>#DIV/0!</v>
      </c>
      <c r="O34" s="44" t="e">
        <f t="shared" si="314"/>
        <v>#DIV/0!</v>
      </c>
      <c r="P34" s="44" t="e">
        <f t="shared" si="314"/>
        <v>#DIV/0!</v>
      </c>
      <c r="Q34" s="44" t="e">
        <f t="shared" si="314"/>
        <v>#DIV/0!</v>
      </c>
      <c r="R34" s="44" t="e">
        <f t="shared" si="314"/>
        <v>#DIV/0!</v>
      </c>
      <c r="S34" s="44">
        <f t="shared" si="314"/>
        <v>0.12972262500094592</v>
      </c>
      <c r="T34" s="44">
        <f t="shared" si="314"/>
        <v>0.23299732246267418</v>
      </c>
      <c r="U34" s="44">
        <f t="shared" si="314"/>
        <v>0.2893535582902414</v>
      </c>
      <c r="V34" s="44">
        <f t="shared" si="314"/>
        <v>0.4701523382144544</v>
      </c>
      <c r="W34" s="44">
        <f t="shared" si="314"/>
        <v>0.70831361777593127</v>
      </c>
      <c r="X34" s="44">
        <f t="shared" si="314"/>
        <v>0.95687366315799915</v>
      </c>
      <c r="Y34" s="44">
        <f t="shared" si="314"/>
        <v>0.36271360657844021</v>
      </c>
      <c r="Z34" s="44">
        <f t="shared" ref="Z34:AA34" si="315">Z33/Z17</f>
        <v>0.23432446928367179</v>
      </c>
      <c r="AA34" s="44">
        <f t="shared" si="315"/>
        <v>0.33742224813031174</v>
      </c>
      <c r="AB34" s="52">
        <f t="shared" si="314"/>
        <v>0.33977086139786616</v>
      </c>
      <c r="AC34" s="52">
        <f t="shared" si="314"/>
        <v>0.33931327225493657</v>
      </c>
      <c r="AD34" s="52">
        <f t="shared" si="314"/>
        <v>0.33915418472376602</v>
      </c>
      <c r="AE34" s="52">
        <f t="shared" si="314"/>
        <v>0.33912119081523484</v>
      </c>
      <c r="AI34" s="44" t="e">
        <f t="shared" ref="AI34:BN34" si="316">AI33/AI17</f>
        <v>#DIV/0!</v>
      </c>
      <c r="AJ34" s="44" t="e">
        <f t="shared" si="316"/>
        <v>#DIV/0!</v>
      </c>
      <c r="AK34" s="44" t="e">
        <f t="shared" si="316"/>
        <v>#DIV/0!</v>
      </c>
      <c r="AL34" s="44" t="e">
        <f t="shared" si="316"/>
        <v>#DIV/0!</v>
      </c>
      <c r="AM34" s="44" t="e">
        <f t="shared" si="316"/>
        <v>#DIV/0!</v>
      </c>
      <c r="AN34" s="44" t="e">
        <f t="shared" si="316"/>
        <v>#DIV/0!</v>
      </c>
      <c r="AO34" s="44" t="e">
        <f t="shared" si="316"/>
        <v>#DIV/0!</v>
      </c>
      <c r="AP34" s="44" t="e">
        <f t="shared" si="316"/>
        <v>#DIV/0!</v>
      </c>
      <c r="AQ34" s="44" t="e">
        <f t="shared" si="316"/>
        <v>#DIV/0!</v>
      </c>
      <c r="AR34" s="44" t="e">
        <f t="shared" si="316"/>
        <v>#DIV/0!</v>
      </c>
      <c r="AS34" s="44" t="e">
        <f t="shared" si="316"/>
        <v>#DIV/0!</v>
      </c>
      <c r="AT34" s="44" t="e">
        <f t="shared" si="316"/>
        <v>#DIV/0!</v>
      </c>
      <c r="AU34" s="44" t="e">
        <f t="shared" si="316"/>
        <v>#DIV/0!</v>
      </c>
      <c r="AV34" s="44" t="e">
        <f t="shared" si="316"/>
        <v>#DIV/0!</v>
      </c>
      <c r="AW34" s="44" t="e">
        <f t="shared" si="316"/>
        <v>#DIV/0!</v>
      </c>
      <c r="AX34" s="44" t="e">
        <f t="shared" si="316"/>
        <v>#DIV/0!</v>
      </c>
      <c r="AY34" s="44" t="e">
        <f t="shared" si="316"/>
        <v>#DIV/0!</v>
      </c>
      <c r="AZ34" s="44" t="e">
        <f t="shared" si="316"/>
        <v>#DIV/0!</v>
      </c>
      <c r="BA34" s="44" t="e">
        <f t="shared" si="316"/>
        <v>#DIV/0!</v>
      </c>
      <c r="BB34" s="44" t="e">
        <f t="shared" si="316"/>
        <v>#DIV/0!</v>
      </c>
      <c r="BC34" s="44" t="e">
        <f t="shared" si="316"/>
        <v>#DIV/0!</v>
      </c>
      <c r="BD34" s="44" t="e">
        <f t="shared" si="316"/>
        <v>#DIV/0!</v>
      </c>
      <c r="BE34" s="44" t="e">
        <f t="shared" si="316"/>
        <v>#DIV/0!</v>
      </c>
      <c r="BF34" s="44" t="e">
        <f t="shared" si="316"/>
        <v>#DIV/0!</v>
      </c>
      <c r="BG34" s="44" t="e">
        <f t="shared" si="316"/>
        <v>#DIV/0!</v>
      </c>
      <c r="BH34" s="44">
        <f t="shared" si="316"/>
        <v>4.177820990742602E-2</v>
      </c>
      <c r="BI34" s="44">
        <f t="shared" si="316"/>
        <v>0.21664683712770955</v>
      </c>
      <c r="BJ34" s="44">
        <f t="shared" si="316"/>
        <v>0.4349691045833935</v>
      </c>
      <c r="BK34" s="44">
        <f t="shared" si="316"/>
        <v>0.4068998754970079</v>
      </c>
      <c r="BL34" s="44">
        <f t="shared" si="316"/>
        <v>0.29933882496878483</v>
      </c>
      <c r="BM34" s="44">
        <f t="shared" si="316"/>
        <v>0.26721950684748241</v>
      </c>
      <c r="BN34" s="44">
        <f t="shared" si="316"/>
        <v>0.25740186253718522</v>
      </c>
      <c r="BO34" s="44">
        <f t="shared" ref="BO34:CH34" si="317">BO33/BO17</f>
        <v>0.38914692386927613</v>
      </c>
      <c r="BP34" s="44">
        <f t="shared" si="317"/>
        <v>0.42887710136687035</v>
      </c>
      <c r="BQ34" s="44">
        <f t="shared" si="317"/>
        <v>0.52772293078606114</v>
      </c>
      <c r="BR34" s="44">
        <f t="shared" si="317"/>
        <v>0.52734254767174282</v>
      </c>
      <c r="BS34" s="44">
        <f t="shared" si="317"/>
        <v>0.70150590559420067</v>
      </c>
      <c r="BT34" s="44">
        <f t="shared" si="317"/>
        <v>0.75929839685210165</v>
      </c>
      <c r="BU34" s="44">
        <f t="shared" si="317"/>
        <v>0.60667219672745287</v>
      </c>
      <c r="BV34" s="44">
        <f t="shared" si="317"/>
        <v>0.79909993184131167</v>
      </c>
      <c r="BW34" s="44">
        <f t="shared" si="317"/>
        <v>0.54475404538788486</v>
      </c>
      <c r="BX34" s="44">
        <f t="shared" si="317"/>
        <v>1.6791710639930921</v>
      </c>
      <c r="BY34" s="44">
        <f t="shared" si="317"/>
        <v>0.78489286416355408</v>
      </c>
      <c r="BZ34" s="44">
        <f t="shared" si="317"/>
        <v>4.8913264729164299</v>
      </c>
      <c r="CA34" s="44">
        <f t="shared" si="317"/>
        <v>0.60637719434519177</v>
      </c>
      <c r="CB34" s="44">
        <f t="shared" si="317"/>
        <v>0.38271539919949443</v>
      </c>
      <c r="CC34" s="44">
        <f t="shared" si="317"/>
        <v>0.41785616250343127</v>
      </c>
      <c r="CD34" s="44">
        <f t="shared" si="317"/>
        <v>0.2289454249115033</v>
      </c>
      <c r="CE34" s="44">
        <f t="shared" si="317"/>
        <v>0.27201494983935481</v>
      </c>
      <c r="CF34" s="44">
        <f t="shared" si="317"/>
        <v>0.2745878174460693</v>
      </c>
      <c r="CG34" s="44">
        <f t="shared" si="317"/>
        <v>0.21043979969518833</v>
      </c>
      <c r="CH34" s="44">
        <f t="shared" si="317"/>
        <v>0.2285450020046762</v>
      </c>
      <c r="CI34" s="44">
        <f t="shared" ref="CI34:CJ34" si="318">CI33/CI17</f>
        <v>0.31433956052065415</v>
      </c>
      <c r="CJ34" s="44">
        <f t="shared" si="318"/>
        <v>0.38930001143772164</v>
      </c>
      <c r="CK34" s="44">
        <f t="shared" ref="CK34:CL34" si="319">CK33/CK17</f>
        <v>0.32485266775323701</v>
      </c>
      <c r="CL34" s="44">
        <f t="shared" si="319"/>
        <v>0.33091421199520976</v>
      </c>
      <c r="CM34" s="52">
        <f t="shared" ref="CM34:DB34" si="320">AVERAGE(CI34:CL34)</f>
        <v>0.33985161292670563</v>
      </c>
      <c r="CN34" s="52">
        <f t="shared" si="320"/>
        <v>0.3462296260282185</v>
      </c>
      <c r="CO34" s="52">
        <f t="shared" si="320"/>
        <v>0.33546202967584271</v>
      </c>
      <c r="CP34" s="52">
        <f t="shared" si="320"/>
        <v>0.33811437015649415</v>
      </c>
      <c r="CQ34" s="52">
        <f t="shared" si="320"/>
        <v>0.33991440969681525</v>
      </c>
      <c r="CR34" s="52">
        <f t="shared" si="320"/>
        <v>0.33993010888934266</v>
      </c>
      <c r="CS34" s="52">
        <f t="shared" si="320"/>
        <v>0.33835522960462372</v>
      </c>
      <c r="CT34" s="52">
        <f t="shared" si="320"/>
        <v>0.33907852958681894</v>
      </c>
      <c r="CU34" s="52">
        <f t="shared" si="320"/>
        <v>0.33931956944440012</v>
      </c>
      <c r="CV34" s="52">
        <f t="shared" si="320"/>
        <v>0.33917085938129643</v>
      </c>
      <c r="CW34" s="52">
        <f t="shared" si="320"/>
        <v>0.33898104700428477</v>
      </c>
      <c r="CX34" s="52">
        <f t="shared" si="320"/>
        <v>0.33913750135420007</v>
      </c>
      <c r="CY34" s="52">
        <f t="shared" si="320"/>
        <v>0.33915224429604529</v>
      </c>
      <c r="CZ34" s="52">
        <f t="shared" si="320"/>
        <v>0.33911041300895667</v>
      </c>
      <c r="DA34" s="52">
        <f t="shared" si="320"/>
        <v>0.33909530141587169</v>
      </c>
      <c r="DB34" s="52">
        <f t="shared" si="320"/>
        <v>0.33912386501876846</v>
      </c>
      <c r="DE34" s="128"/>
      <c r="DF34" s="44">
        <v>0.31425931042907224</v>
      </c>
    </row>
    <row r="35" spans="1:110" s="26" customFormat="1" x14ac:dyDescent="0.2">
      <c r="A35" s="34" t="s">
        <v>13</v>
      </c>
      <c r="B35" s="26">
        <f t="shared" ref="B35:E35" si="321">B23-B33</f>
        <v>0</v>
      </c>
      <c r="C35" s="26">
        <f t="shared" si="321"/>
        <v>0</v>
      </c>
      <c r="D35" s="26">
        <f t="shared" si="321"/>
        <v>0</v>
      </c>
      <c r="E35" s="26">
        <f t="shared" si="321"/>
        <v>0</v>
      </c>
      <c r="F35" s="26">
        <f t="shared" ref="F35:AE35" si="322">F23-F33</f>
        <v>0</v>
      </c>
      <c r="G35" s="26">
        <f t="shared" si="322"/>
        <v>0</v>
      </c>
      <c r="H35" s="26">
        <f t="shared" si="322"/>
        <v>0</v>
      </c>
      <c r="I35" s="26">
        <f t="shared" si="322"/>
        <v>0</v>
      </c>
      <c r="J35" s="26">
        <f t="shared" si="322"/>
        <v>0</v>
      </c>
      <c r="K35" s="26">
        <f t="shared" si="322"/>
        <v>0</v>
      </c>
      <c r="L35" s="26">
        <f t="shared" si="322"/>
        <v>0</v>
      </c>
      <c r="M35" s="26">
        <f t="shared" si="322"/>
        <v>0</v>
      </c>
      <c r="N35" s="26">
        <f t="shared" si="322"/>
        <v>0</v>
      </c>
      <c r="O35" s="26">
        <f t="shared" si="322"/>
        <v>0</v>
      </c>
      <c r="P35" s="26">
        <f t="shared" si="322"/>
        <v>0</v>
      </c>
      <c r="Q35" s="26">
        <f t="shared" si="322"/>
        <v>0</v>
      </c>
      <c r="R35" s="26">
        <f t="shared" si="322"/>
        <v>0</v>
      </c>
      <c r="S35" s="26">
        <f t="shared" si="322"/>
        <v>594.94600000000014</v>
      </c>
      <c r="T35" s="26">
        <f t="shared" si="322"/>
        <v>710.05499999999984</v>
      </c>
      <c r="U35" s="26">
        <f t="shared" si="322"/>
        <v>372.75999999999976</v>
      </c>
      <c r="V35" s="26">
        <f t="shared" si="322"/>
        <v>-377.04999999999973</v>
      </c>
      <c r="W35" s="26">
        <f t="shared" si="322"/>
        <v>-902.98000000000047</v>
      </c>
      <c r="X35" s="26">
        <f t="shared" si="322"/>
        <v>-1123.5999999999999</v>
      </c>
      <c r="Y35" s="26">
        <f t="shared" si="322"/>
        <v>-7.3300000000001546</v>
      </c>
      <c r="Z35" s="26">
        <f t="shared" ref="Z35:AA35" si="323">Z23-Z33</f>
        <v>264.27</v>
      </c>
      <c r="AA35" s="26">
        <f t="shared" si="323"/>
        <v>313.18000000000075</v>
      </c>
      <c r="AB35" s="27">
        <f t="shared" si="322"/>
        <v>411.0552118837536</v>
      </c>
      <c r="AC35" s="27">
        <f t="shared" si="322"/>
        <v>489.07914363349028</v>
      </c>
      <c r="AD35" s="27">
        <f t="shared" si="322"/>
        <v>557.366942862428</v>
      </c>
      <c r="AE35" s="27">
        <f t="shared" si="322"/>
        <v>630.03760824387791</v>
      </c>
      <c r="AI35" s="26">
        <f t="shared" ref="AI35:BN35" si="324">AI23-AI33</f>
        <v>0</v>
      </c>
      <c r="AJ35" s="26">
        <f t="shared" si="324"/>
        <v>0</v>
      </c>
      <c r="AK35" s="26">
        <f t="shared" si="324"/>
        <v>0</v>
      </c>
      <c r="AL35" s="26">
        <f t="shared" si="324"/>
        <v>0</v>
      </c>
      <c r="AM35" s="26">
        <f t="shared" si="324"/>
        <v>0</v>
      </c>
      <c r="AN35" s="26">
        <f t="shared" si="324"/>
        <v>0</v>
      </c>
      <c r="AO35" s="26">
        <f t="shared" si="324"/>
        <v>0</v>
      </c>
      <c r="AP35" s="26">
        <f t="shared" si="324"/>
        <v>0</v>
      </c>
      <c r="AQ35" s="26">
        <f t="shared" si="324"/>
        <v>0</v>
      </c>
      <c r="AR35" s="26">
        <f t="shared" si="324"/>
        <v>0</v>
      </c>
      <c r="AS35" s="26">
        <f t="shared" si="324"/>
        <v>0</v>
      </c>
      <c r="AT35" s="26">
        <f t="shared" si="324"/>
        <v>0</v>
      </c>
      <c r="AU35" s="26">
        <f t="shared" si="324"/>
        <v>0</v>
      </c>
      <c r="AV35" s="26">
        <f t="shared" si="324"/>
        <v>0</v>
      </c>
      <c r="AW35" s="26">
        <f t="shared" si="324"/>
        <v>0</v>
      </c>
      <c r="AX35" s="26">
        <f t="shared" si="324"/>
        <v>0</v>
      </c>
      <c r="AY35" s="26">
        <f t="shared" si="324"/>
        <v>0</v>
      </c>
      <c r="AZ35" s="26">
        <f t="shared" si="324"/>
        <v>0</v>
      </c>
      <c r="BA35" s="26">
        <f t="shared" si="324"/>
        <v>0</v>
      </c>
      <c r="BB35" s="26">
        <f t="shared" si="324"/>
        <v>0</v>
      </c>
      <c r="BC35" s="26">
        <f t="shared" si="324"/>
        <v>0</v>
      </c>
      <c r="BD35" s="26">
        <f t="shared" si="324"/>
        <v>0</v>
      </c>
      <c r="BE35" s="26">
        <f t="shared" si="324"/>
        <v>0</v>
      </c>
      <c r="BF35" s="26">
        <f t="shared" si="324"/>
        <v>0</v>
      </c>
      <c r="BG35" s="26">
        <f t="shared" si="324"/>
        <v>0</v>
      </c>
      <c r="BH35" s="26">
        <f t="shared" si="324"/>
        <v>29.315999999999832</v>
      </c>
      <c r="BI35" s="26">
        <f t="shared" si="324"/>
        <v>188.07799999999992</v>
      </c>
      <c r="BJ35" s="26">
        <f t="shared" si="324"/>
        <v>331.8670000000003</v>
      </c>
      <c r="BK35" s="26">
        <f t="shared" si="324"/>
        <v>66.03000000000003</v>
      </c>
      <c r="BL35" s="26">
        <f t="shared" si="324"/>
        <v>94.699999999999989</v>
      </c>
      <c r="BM35" s="26">
        <f t="shared" si="324"/>
        <v>9.8610000000001037</v>
      </c>
      <c r="BN35" s="26">
        <f t="shared" si="324"/>
        <v>133.59000000000003</v>
      </c>
      <c r="BO35" s="26">
        <f t="shared" ref="BO35:CT35" si="325">BO23-BO33</f>
        <v>16.580000000000098</v>
      </c>
      <c r="BP35" s="26">
        <f t="shared" si="325"/>
        <v>4.3600000000001273</v>
      </c>
      <c r="BQ35" s="26">
        <f t="shared" si="325"/>
        <v>14.440000000000055</v>
      </c>
      <c r="BR35" s="26">
        <f t="shared" si="325"/>
        <v>-424.30999999999995</v>
      </c>
      <c r="BS35" s="26">
        <f t="shared" si="325"/>
        <v>-103.70999999999992</v>
      </c>
      <c r="BT35" s="26">
        <f t="shared" si="325"/>
        <v>-294.44999999999993</v>
      </c>
      <c r="BU35" s="26">
        <f t="shared" si="325"/>
        <v>-391.08000000000015</v>
      </c>
      <c r="BV35" s="26">
        <f t="shared" si="325"/>
        <v>-124.24000000000012</v>
      </c>
      <c r="BW35" s="26">
        <f t="shared" si="325"/>
        <v>-343.86999999999989</v>
      </c>
      <c r="BX35" s="26">
        <f t="shared" si="325"/>
        <v>-370.18999999999994</v>
      </c>
      <c r="BY35" s="26">
        <f t="shared" si="325"/>
        <v>-63.809999999999974</v>
      </c>
      <c r="BZ35" s="26">
        <f t="shared" si="325"/>
        <v>-352.11999999999995</v>
      </c>
      <c r="CA35" s="26">
        <f t="shared" si="325"/>
        <v>-37.209999999999923</v>
      </c>
      <c r="CB35" s="26">
        <f t="shared" si="325"/>
        <v>1.4699999999999704</v>
      </c>
      <c r="CC35" s="26">
        <f t="shared" si="325"/>
        <v>-16.180000000000007</v>
      </c>
      <c r="CD35" s="26">
        <f t="shared" si="325"/>
        <v>29.349999999999966</v>
      </c>
      <c r="CE35" s="26">
        <f t="shared" si="325"/>
        <v>24.679999999999893</v>
      </c>
      <c r="CF35" s="26">
        <f t="shared" si="325"/>
        <v>18.150000000000034</v>
      </c>
      <c r="CG35" s="26">
        <f t="shared" si="325"/>
        <v>70.330000000000041</v>
      </c>
      <c r="CH35" s="26">
        <f t="shared" si="325"/>
        <v>133.57000000000028</v>
      </c>
      <c r="CI35" s="26">
        <f t="shared" ref="CI35:CJ35" si="326">CI23-CI33</f>
        <v>85.460000000000036</v>
      </c>
      <c r="CJ35" s="26">
        <f t="shared" si="326"/>
        <v>3.9199999999998454</v>
      </c>
      <c r="CK35" s="26">
        <f t="shared" ref="CK35:CL35" si="327">CK23-CK33</f>
        <v>66.950000000000159</v>
      </c>
      <c r="CL35" s="26">
        <f t="shared" si="327"/>
        <v>145.75999999999988</v>
      </c>
      <c r="CM35" s="27">
        <f t="shared" si="325"/>
        <v>95.853940157223747</v>
      </c>
      <c r="CN35" s="27">
        <f t="shared" si="325"/>
        <v>81.456287331878798</v>
      </c>
      <c r="CO35" s="27">
        <f t="shared" si="325"/>
        <v>107.8891239228268</v>
      </c>
      <c r="CP35" s="27">
        <f t="shared" si="325"/>
        <v>125.85586047182483</v>
      </c>
      <c r="CQ35" s="27">
        <f t="shared" si="325"/>
        <v>122.27154604041812</v>
      </c>
      <c r="CR35" s="27">
        <f t="shared" si="325"/>
        <v>110.4446083570117</v>
      </c>
      <c r="CS35" s="27">
        <f t="shared" si="325"/>
        <v>122.14255671736112</v>
      </c>
      <c r="CT35" s="27">
        <f t="shared" si="325"/>
        <v>134.22043251869979</v>
      </c>
      <c r="CU35" s="27">
        <f t="shared" ref="CU35:DB35" si="328">CU23-CU33</f>
        <v>143.25619321581166</v>
      </c>
      <c r="CV35" s="27">
        <f t="shared" si="328"/>
        <v>127.36613724219535</v>
      </c>
      <c r="CW35" s="27">
        <f t="shared" si="328"/>
        <v>136.5340768168287</v>
      </c>
      <c r="CX35" s="27">
        <f t="shared" si="328"/>
        <v>150.21053558759399</v>
      </c>
      <c r="CY35" s="27">
        <f t="shared" si="328"/>
        <v>162.93997477644734</v>
      </c>
      <c r="CZ35" s="27">
        <f t="shared" si="328"/>
        <v>143.69396965103397</v>
      </c>
      <c r="DA35" s="27">
        <f t="shared" si="328"/>
        <v>153.63736253059483</v>
      </c>
      <c r="DB35" s="27">
        <f t="shared" si="328"/>
        <v>169.76630128580155</v>
      </c>
      <c r="DE35" s="121"/>
      <c r="DF35" s="26">
        <v>147.48675952944268</v>
      </c>
    </row>
    <row r="36" spans="1:110" s="168" customFormat="1" x14ac:dyDescent="0.2">
      <c r="A36" s="165" t="s">
        <v>14</v>
      </c>
      <c r="B36" s="166" t="e">
        <f t="shared" ref="B36:E36" si="329">B35/B17</f>
        <v>#DIV/0!</v>
      </c>
      <c r="C36" s="166" t="e">
        <f t="shared" si="329"/>
        <v>#DIV/0!</v>
      </c>
      <c r="D36" s="166" t="e">
        <f t="shared" si="329"/>
        <v>#DIV/0!</v>
      </c>
      <c r="E36" s="166" t="e">
        <f t="shared" si="329"/>
        <v>#DIV/0!</v>
      </c>
      <c r="F36" s="166" t="e">
        <f t="shared" ref="F36:AE36" si="330">F35/F17</f>
        <v>#DIV/0!</v>
      </c>
      <c r="G36" s="166" t="e">
        <f t="shared" si="330"/>
        <v>#DIV/0!</v>
      </c>
      <c r="H36" s="166" t="e">
        <f t="shared" si="330"/>
        <v>#DIV/0!</v>
      </c>
      <c r="I36" s="166" t="e">
        <f t="shared" si="330"/>
        <v>#DIV/0!</v>
      </c>
      <c r="J36" s="166" t="e">
        <f t="shared" si="330"/>
        <v>#DIV/0!</v>
      </c>
      <c r="K36" s="166" t="e">
        <f t="shared" si="330"/>
        <v>#DIV/0!</v>
      </c>
      <c r="L36" s="166" t="e">
        <f t="shared" si="330"/>
        <v>#DIV/0!</v>
      </c>
      <c r="M36" s="166" t="e">
        <f t="shared" si="330"/>
        <v>#DIV/0!</v>
      </c>
      <c r="N36" s="166" t="e">
        <f t="shared" si="330"/>
        <v>#DIV/0!</v>
      </c>
      <c r="O36" s="166" t="e">
        <f t="shared" si="330"/>
        <v>#DIV/0!</v>
      </c>
      <c r="P36" s="166" t="e">
        <f t="shared" si="330"/>
        <v>#DIV/0!</v>
      </c>
      <c r="Q36" s="166" t="e">
        <f t="shared" si="330"/>
        <v>#DIV/0!</v>
      </c>
      <c r="R36" s="166" t="e">
        <f t="shared" si="330"/>
        <v>#DIV/0!</v>
      </c>
      <c r="S36" s="166">
        <f t="shared" si="330"/>
        <v>8.6579057200917173E-2</v>
      </c>
      <c r="T36" s="166">
        <f t="shared" si="330"/>
        <v>8.6167456756995511E-2</v>
      </c>
      <c r="U36" s="166">
        <f t="shared" si="330"/>
        <v>6.6859302386064176E-2</v>
      </c>
      <c r="V36" s="166">
        <f t="shared" si="330"/>
        <v>-7.421075421193507E-2</v>
      </c>
      <c r="W36" s="166">
        <f t="shared" si="330"/>
        <v>-0.17368540510180933</v>
      </c>
      <c r="X36" s="166">
        <f t="shared" si="330"/>
        <v>-0.55761509868437376</v>
      </c>
      <c r="Y36" s="166">
        <f t="shared" si="330"/>
        <v>-2.4148621090674793E-3</v>
      </c>
      <c r="Z36" s="166">
        <f t="shared" ref="Z36:AA36" si="331">Z35/Z17</f>
        <v>4.1935238167779033E-2</v>
      </c>
      <c r="AA36" s="166">
        <f t="shared" si="331"/>
        <v>4.1491511052523598E-2</v>
      </c>
      <c r="AB36" s="167">
        <f t="shared" si="330"/>
        <v>4.3143002098640214E-2</v>
      </c>
      <c r="AC36" s="167">
        <f t="shared" si="330"/>
        <v>4.4425790039402065E-2</v>
      </c>
      <c r="AD36" s="167">
        <f t="shared" si="330"/>
        <v>4.4778291292218567E-2</v>
      </c>
      <c r="AE36" s="167">
        <f t="shared" si="330"/>
        <v>4.4851767092398312E-2</v>
      </c>
      <c r="AI36" s="166" t="e">
        <f t="shared" ref="AI36:BN36" si="332">AI35/AI17</f>
        <v>#DIV/0!</v>
      </c>
      <c r="AJ36" s="166" t="e">
        <f t="shared" si="332"/>
        <v>#DIV/0!</v>
      </c>
      <c r="AK36" s="166" t="e">
        <f t="shared" si="332"/>
        <v>#DIV/0!</v>
      </c>
      <c r="AL36" s="166" t="e">
        <f t="shared" si="332"/>
        <v>#DIV/0!</v>
      </c>
      <c r="AM36" s="166" t="e">
        <f t="shared" si="332"/>
        <v>#DIV/0!</v>
      </c>
      <c r="AN36" s="166" t="e">
        <f t="shared" si="332"/>
        <v>#DIV/0!</v>
      </c>
      <c r="AO36" s="166" t="e">
        <f t="shared" si="332"/>
        <v>#DIV/0!</v>
      </c>
      <c r="AP36" s="166" t="e">
        <f t="shared" si="332"/>
        <v>#DIV/0!</v>
      </c>
      <c r="AQ36" s="166" t="e">
        <f t="shared" si="332"/>
        <v>#DIV/0!</v>
      </c>
      <c r="AR36" s="166" t="e">
        <f t="shared" si="332"/>
        <v>#DIV/0!</v>
      </c>
      <c r="AS36" s="166" t="e">
        <f t="shared" si="332"/>
        <v>#DIV/0!</v>
      </c>
      <c r="AT36" s="166" t="e">
        <f t="shared" si="332"/>
        <v>#DIV/0!</v>
      </c>
      <c r="AU36" s="166" t="e">
        <f t="shared" si="332"/>
        <v>#DIV/0!</v>
      </c>
      <c r="AV36" s="166" t="e">
        <f t="shared" si="332"/>
        <v>#DIV/0!</v>
      </c>
      <c r="AW36" s="166" t="e">
        <f t="shared" si="332"/>
        <v>#DIV/0!</v>
      </c>
      <c r="AX36" s="166" t="e">
        <f t="shared" si="332"/>
        <v>#DIV/0!</v>
      </c>
      <c r="AY36" s="166" t="e">
        <f t="shared" si="332"/>
        <v>#DIV/0!</v>
      </c>
      <c r="AZ36" s="166" t="e">
        <f t="shared" si="332"/>
        <v>#DIV/0!</v>
      </c>
      <c r="BA36" s="166" t="e">
        <f t="shared" si="332"/>
        <v>#DIV/0!</v>
      </c>
      <c r="BB36" s="166" t="e">
        <f t="shared" si="332"/>
        <v>#DIV/0!</v>
      </c>
      <c r="BC36" s="166" t="e">
        <f t="shared" si="332"/>
        <v>#DIV/0!</v>
      </c>
      <c r="BD36" s="166" t="e">
        <f t="shared" si="332"/>
        <v>#DIV/0!</v>
      </c>
      <c r="BE36" s="166" t="e">
        <f t="shared" si="332"/>
        <v>#DIV/0!</v>
      </c>
      <c r="BF36" s="166" t="e">
        <f t="shared" si="332"/>
        <v>#DIV/0!</v>
      </c>
      <c r="BG36" s="166" t="e">
        <f t="shared" si="332"/>
        <v>#DIV/0!</v>
      </c>
      <c r="BH36" s="166">
        <f t="shared" si="332"/>
        <v>1.1856781916668386E-2</v>
      </c>
      <c r="BI36" s="166">
        <f t="shared" si="332"/>
        <v>0.11440184134908986</v>
      </c>
      <c r="BJ36" s="166">
        <f t="shared" si="332"/>
        <v>0.14272228873796708</v>
      </c>
      <c r="BK36" s="166">
        <f t="shared" si="332"/>
        <v>5.3038274629503217E-2</v>
      </c>
      <c r="BL36" s="166">
        <f t="shared" si="332"/>
        <v>7.9357763569171971E-2</v>
      </c>
      <c r="BM36" s="166">
        <f t="shared" si="332"/>
        <v>9.161254239902137E-3</v>
      </c>
      <c r="BN36" s="166">
        <f t="shared" si="332"/>
        <v>6.4829688008036387E-2</v>
      </c>
      <c r="BO36" s="166">
        <f t="shared" ref="BO36:CT36" si="333">BO35/BO17</f>
        <v>1.5525798295720664E-2</v>
      </c>
      <c r="BP36" s="166">
        <f t="shared" si="333"/>
        <v>3.261934866043802E-3</v>
      </c>
      <c r="BQ36" s="166">
        <f t="shared" si="333"/>
        <v>1.1008363001532368E-2</v>
      </c>
      <c r="BR36" s="166">
        <f t="shared" si="333"/>
        <v>-0.31095460741348729</v>
      </c>
      <c r="BS36" s="166">
        <f t="shared" si="333"/>
        <v>-8.6813490369403001E-2</v>
      </c>
      <c r="BT36" s="166">
        <f t="shared" si="333"/>
        <v>-0.20470377219449112</v>
      </c>
      <c r="BU36" s="166">
        <f t="shared" si="333"/>
        <v>-0.26161647244558028</v>
      </c>
      <c r="BV36" s="166">
        <f t="shared" si="333"/>
        <v>-0.11600048551394464</v>
      </c>
      <c r="BW36" s="166">
        <f t="shared" si="333"/>
        <v>-0.28491296098365265</v>
      </c>
      <c r="BX36" s="166">
        <f t="shared" si="333"/>
        <v>-1.1838881959768459</v>
      </c>
      <c r="BY36" s="166">
        <f t="shared" si="333"/>
        <v>-0.15679673678002745</v>
      </c>
      <c r="BZ36" s="166">
        <f t="shared" si="333"/>
        <v>-3.9819065927852528</v>
      </c>
      <c r="CA36" s="166">
        <f t="shared" si="333"/>
        <v>-7.2258039459375326E-2</v>
      </c>
      <c r="CB36" s="166">
        <f t="shared" si="333"/>
        <v>1.935432904992588E-3</v>
      </c>
      <c r="CC36" s="166">
        <f t="shared" si="333"/>
        <v>-2.7758715344496306E-2</v>
      </c>
      <c r="CD36" s="166">
        <f t="shared" si="333"/>
        <v>2.4914898854848402E-2</v>
      </c>
      <c r="CE36" s="166">
        <f t="shared" si="333"/>
        <v>2.697090901143083E-2</v>
      </c>
      <c r="CF36" s="166">
        <f t="shared" si="333"/>
        <v>1.7612980232704863E-2</v>
      </c>
      <c r="CG36" s="166">
        <f t="shared" si="333"/>
        <v>3.828107990420207E-2</v>
      </c>
      <c r="CH36" s="166">
        <f t="shared" si="333"/>
        <v>5.3022694523065794E-2</v>
      </c>
      <c r="CI36" s="166">
        <f t="shared" ref="CI36:CJ36" si="334">CI35/CI17</f>
        <v>4.851188955683091E-2</v>
      </c>
      <c r="CJ36" s="166">
        <f t="shared" si="334"/>
        <v>2.2417934347477098E-3</v>
      </c>
      <c r="CK36" s="166">
        <f t="shared" ref="CK36:CL36" si="335">CK35/CK17</f>
        <v>3.1999655866285011E-2</v>
      </c>
      <c r="CL36" s="166">
        <f t="shared" si="335"/>
        <v>7.4917378097357587E-2</v>
      </c>
      <c r="CM36" s="167">
        <f t="shared" si="333"/>
        <v>3.9417679238805292E-2</v>
      </c>
      <c r="CN36" s="167">
        <f t="shared" si="333"/>
        <v>3.7144126659298983E-2</v>
      </c>
      <c r="CO36" s="167">
        <f t="shared" si="333"/>
        <v>4.586970996543669E-2</v>
      </c>
      <c r="CP36" s="167">
        <f t="shared" si="333"/>
        <v>4.9337223490224597E-2</v>
      </c>
      <c r="CQ36" s="167">
        <f t="shared" si="333"/>
        <v>4.2942184838441436E-2</v>
      </c>
      <c r="CR36" s="167">
        <f t="shared" si="333"/>
        <v>4.3823311238350343E-2</v>
      </c>
      <c r="CS36" s="167">
        <f t="shared" si="333"/>
        <v>4.5493107383113268E-2</v>
      </c>
      <c r="CT36" s="167">
        <f t="shared" si="333"/>
        <v>4.539895673753238E-2</v>
      </c>
      <c r="CU36" s="167">
        <f t="shared" ref="CU36:DB36" si="336">CU35/CU17</f>
        <v>4.441439004935939E-2</v>
      </c>
      <c r="CV36" s="167">
        <f t="shared" si="336"/>
        <v>4.478244135208883E-2</v>
      </c>
      <c r="CW36" s="167">
        <f t="shared" si="336"/>
        <v>4.5022223880523578E-2</v>
      </c>
      <c r="CX36" s="167">
        <f t="shared" si="336"/>
        <v>4.4904503004876056E-2</v>
      </c>
      <c r="CY36" s="167">
        <f t="shared" si="336"/>
        <v>4.4780889571712036E-2</v>
      </c>
      <c r="CZ36" s="167">
        <f t="shared" si="336"/>
        <v>4.487251445230004E-2</v>
      </c>
      <c r="DA36" s="167">
        <f t="shared" si="336"/>
        <v>4.4895032727352929E-2</v>
      </c>
      <c r="DB36" s="167">
        <f t="shared" si="336"/>
        <v>4.4863234939060158E-2</v>
      </c>
      <c r="DE36" s="169"/>
      <c r="DF36" s="168">
        <v>3.394400834523241E-2</v>
      </c>
    </row>
    <row r="37" spans="1:110" s="38" customFormat="1" x14ac:dyDescent="0.2">
      <c r="A37" s="39" t="s">
        <v>449</v>
      </c>
      <c r="B37" s="39"/>
      <c r="C37" s="39" t="e">
        <f t="shared" ref="C37:E37" si="337">+IF(B35&lt;0,1-C35/B35,C35/B35-1)</f>
        <v>#DIV/0!</v>
      </c>
      <c r="D37" s="39" t="e">
        <f t="shared" si="337"/>
        <v>#DIV/0!</v>
      </c>
      <c r="E37" s="39" t="e">
        <f t="shared" si="337"/>
        <v>#DIV/0!</v>
      </c>
      <c r="F37" s="39" t="e">
        <f t="shared" ref="F37:Y37" si="338">+IF(E35&lt;0,1-F35/E35,F35/E35-1)</f>
        <v>#DIV/0!</v>
      </c>
      <c r="G37" s="39" t="e">
        <f t="shared" si="338"/>
        <v>#DIV/0!</v>
      </c>
      <c r="H37" s="39" t="e">
        <f t="shared" si="338"/>
        <v>#DIV/0!</v>
      </c>
      <c r="I37" s="39" t="e">
        <f t="shared" si="338"/>
        <v>#DIV/0!</v>
      </c>
      <c r="J37" s="39" t="e">
        <f t="shared" si="338"/>
        <v>#DIV/0!</v>
      </c>
      <c r="K37" s="39" t="e">
        <f t="shared" si="338"/>
        <v>#DIV/0!</v>
      </c>
      <c r="L37" s="39" t="e">
        <f t="shared" si="338"/>
        <v>#DIV/0!</v>
      </c>
      <c r="M37" s="39" t="e">
        <f t="shared" si="338"/>
        <v>#DIV/0!</v>
      </c>
      <c r="N37" s="39" t="e">
        <f t="shared" si="338"/>
        <v>#DIV/0!</v>
      </c>
      <c r="O37" s="39" t="e">
        <f t="shared" si="338"/>
        <v>#DIV/0!</v>
      </c>
      <c r="P37" s="39" t="e">
        <f t="shared" si="338"/>
        <v>#DIV/0!</v>
      </c>
      <c r="Q37" s="39" t="e">
        <f t="shared" si="338"/>
        <v>#DIV/0!</v>
      </c>
      <c r="R37" s="39" t="e">
        <f t="shared" si="338"/>
        <v>#DIV/0!</v>
      </c>
      <c r="S37" s="39" t="e">
        <f t="shared" si="338"/>
        <v>#DIV/0!</v>
      </c>
      <c r="T37" s="39">
        <f t="shared" si="338"/>
        <v>0.19347806355534725</v>
      </c>
      <c r="U37" s="39">
        <f t="shared" si="338"/>
        <v>-0.4750265824478388</v>
      </c>
      <c r="V37" s="39">
        <f t="shared" si="338"/>
        <v>-2.0115087455735594</v>
      </c>
      <c r="W37" s="39">
        <f t="shared" si="338"/>
        <v>-1.3948547937939297</v>
      </c>
      <c r="X37" s="39">
        <f t="shared" si="338"/>
        <v>-0.2443243482690638</v>
      </c>
      <c r="Y37" s="39">
        <f t="shared" si="338"/>
        <v>0.99347632609469549</v>
      </c>
      <c r="Z37" s="39">
        <f t="shared" ref="Z37:AE37" si="339">+IF(Y35&lt;0,1-Z35/Y35,Z35/Y35-1)</f>
        <v>37.053206002727748</v>
      </c>
      <c r="AA37" s="39">
        <f t="shared" si="339"/>
        <v>0.18507586937601994</v>
      </c>
      <c r="AB37" s="40">
        <f t="shared" si="339"/>
        <v>0.31252063313031675</v>
      </c>
      <c r="AC37" s="40">
        <f t="shared" si="339"/>
        <v>0.18981375127729039</v>
      </c>
      <c r="AD37" s="40">
        <f t="shared" si="339"/>
        <v>0.13962525312694951</v>
      </c>
      <c r="AE37" s="40">
        <f t="shared" si="339"/>
        <v>0.13038208726237066</v>
      </c>
      <c r="AI37" s="39"/>
      <c r="AJ37" s="39"/>
      <c r="AK37" s="39"/>
      <c r="AL37" s="39"/>
      <c r="AM37" s="39" t="e">
        <f>+IF(AI35&lt;0,1-AM35/AI35,AM35/AI35-1)</f>
        <v>#DIV/0!</v>
      </c>
      <c r="AN37" s="39" t="e">
        <f t="shared" ref="AN37" si="340">+IF(AJ35&lt;0,1-AN35/AJ35,AN35/AJ35-1)</f>
        <v>#DIV/0!</v>
      </c>
      <c r="AO37" s="39" t="e">
        <f t="shared" ref="AO37" si="341">+IF(AK35&lt;0,1-AO35/AK35,AO35/AK35-1)</f>
        <v>#DIV/0!</v>
      </c>
      <c r="AP37" s="39" t="e">
        <f t="shared" ref="AP37" si="342">+IF(AL35&lt;0,1-AP35/AL35,AP35/AL35-1)</f>
        <v>#DIV/0!</v>
      </c>
      <c r="AQ37" s="39" t="e">
        <f t="shared" ref="AQ37" si="343">+IF(AM35&lt;0,1-AQ35/AM35,AQ35/AM35-1)</f>
        <v>#DIV/0!</v>
      </c>
      <c r="AR37" s="39" t="e">
        <f t="shared" ref="AR37" si="344">+IF(AN35&lt;0,1-AR35/AN35,AR35/AN35-1)</f>
        <v>#DIV/0!</v>
      </c>
      <c r="AS37" s="39" t="e">
        <f t="shared" ref="AS37" si="345">+IF(AO35&lt;0,1-AS35/AO35,AS35/AO35-1)</f>
        <v>#DIV/0!</v>
      </c>
      <c r="AT37" s="39" t="e">
        <f t="shared" ref="AT37" si="346">+IF(AP35&lt;0,1-AT35/AP35,AT35/AP35-1)</f>
        <v>#DIV/0!</v>
      </c>
      <c r="AU37" s="39" t="e">
        <f t="shared" ref="AU37" si="347">+IF(AQ35&lt;0,1-AU35/AQ35,AU35/AQ35-1)</f>
        <v>#DIV/0!</v>
      </c>
      <c r="AV37" s="39" t="e">
        <f t="shared" ref="AV37" si="348">+IF(AR35&lt;0,1-AV35/AR35,AV35/AR35-1)</f>
        <v>#DIV/0!</v>
      </c>
      <c r="AW37" s="39" t="e">
        <f t="shared" ref="AW37" si="349">+IF(AS35&lt;0,1-AW35/AS35,AW35/AS35-1)</f>
        <v>#DIV/0!</v>
      </c>
      <c r="AX37" s="39" t="e">
        <f t="shared" ref="AX37" si="350">+IF(AT35&lt;0,1-AX35/AT35,AX35/AT35-1)</f>
        <v>#DIV/0!</v>
      </c>
      <c r="AY37" s="39" t="e">
        <f t="shared" ref="AY37" si="351">+IF(AU35&lt;0,1-AY35/AU35,AY35/AU35-1)</f>
        <v>#DIV/0!</v>
      </c>
      <c r="AZ37" s="39" t="e">
        <f t="shared" ref="AZ37" si="352">+IF(AV35&lt;0,1-AZ35/AV35,AZ35/AV35-1)</f>
        <v>#DIV/0!</v>
      </c>
      <c r="BA37" s="39" t="e">
        <f t="shared" ref="BA37" si="353">+IF(AW35&lt;0,1-BA35/AW35,BA35/AW35-1)</f>
        <v>#DIV/0!</v>
      </c>
      <c r="BB37" s="39" t="e">
        <f t="shared" ref="BB37" si="354">+IF(AX35&lt;0,1-BB35/AX35,BB35/AX35-1)</f>
        <v>#DIV/0!</v>
      </c>
      <c r="BC37" s="39" t="e">
        <f t="shared" ref="BC37" si="355">+IF(AY35&lt;0,1-BC35/AY35,BC35/AY35-1)</f>
        <v>#DIV/0!</v>
      </c>
      <c r="BD37" s="39" t="e">
        <f t="shared" ref="BD37" si="356">+IF(AZ35&lt;0,1-BD35/AZ35,BD35/AZ35-1)</f>
        <v>#DIV/0!</v>
      </c>
      <c r="BE37" s="39" t="e">
        <f t="shared" ref="BE37" si="357">+IF(BA35&lt;0,1-BE35/BA35,BE35/BA35-1)</f>
        <v>#DIV/0!</v>
      </c>
      <c r="BF37" s="39" t="e">
        <f t="shared" ref="BF37" si="358">+IF(BB35&lt;0,1-BF35/BB35,BF35/BB35-1)</f>
        <v>#DIV/0!</v>
      </c>
      <c r="BG37" s="39" t="e">
        <f t="shared" ref="BG37" si="359">+IF(BC35&lt;0,1-BG35/BC35,BG35/BC35-1)</f>
        <v>#DIV/0!</v>
      </c>
      <c r="BH37" s="39" t="e">
        <f t="shared" ref="BH37" si="360">+IF(BD35&lt;0,1-BH35/BD35,BH35/BD35-1)</f>
        <v>#DIV/0!</v>
      </c>
      <c r="BI37" s="39" t="e">
        <f t="shared" ref="BI37" si="361">+IF(BE35&lt;0,1-BI35/BE35,BI35/BE35-1)</f>
        <v>#DIV/0!</v>
      </c>
      <c r="BJ37" s="39" t="e">
        <f t="shared" ref="BJ37" si="362">+IF(BF35&lt;0,1-BJ35/BF35,BJ35/BF35-1)</f>
        <v>#DIV/0!</v>
      </c>
      <c r="BK37" s="39" t="e">
        <f t="shared" ref="BK37" si="363">+IF(BG35&lt;0,1-BK35/BG35,BK35/BG35-1)</f>
        <v>#DIV/0!</v>
      </c>
      <c r="BL37" s="39">
        <f t="shared" ref="BL37" si="364">+IF(BH35&lt;0,1-BL35/BH35,BL35/BH35-1)</f>
        <v>2.2303179151316868</v>
      </c>
      <c r="BM37" s="39">
        <f t="shared" ref="BM37" si="365">+IF(BI35&lt;0,1-BM35/BI35,BM35/BI35-1)</f>
        <v>-0.94756962536819778</v>
      </c>
      <c r="BN37" s="39">
        <f t="shared" ref="BN37" si="366">+IF(BJ35&lt;0,1-BN35/BJ35,BN35/BJ35-1)</f>
        <v>-0.5974592231225162</v>
      </c>
      <c r="BO37" s="39">
        <f t="shared" ref="BO37" si="367">+IF(BK35&lt;0,1-BO35/BK35,BO35/BK35-1)</f>
        <v>-0.74890201423595193</v>
      </c>
      <c r="BP37" s="39">
        <f t="shared" ref="BP37" si="368">+IF(BL35&lt;0,1-BP35/BL35,BP35/BL35-1)</f>
        <v>-0.95395987328405352</v>
      </c>
      <c r="BQ37" s="39">
        <f t="shared" ref="BQ37" si="369">+IF(BM35&lt;0,1-BQ35/BM35,BQ35/BM35-1)</f>
        <v>0.46435452793833321</v>
      </c>
      <c r="BR37" s="39">
        <f t="shared" ref="BR37" si="370">+IF(BN35&lt;0,1-BR35/BN35,BR35/BN35-1)</f>
        <v>-4.1762107942211237</v>
      </c>
      <c r="BS37" s="39">
        <f t="shared" ref="BS37" si="371">+IF(BO35&lt;0,1-BS35/BO35,BS35/BO35-1)</f>
        <v>-7.2551266586248078</v>
      </c>
      <c r="BT37" s="39">
        <f t="shared" ref="BT37" si="372">+IF(BP35&lt;0,1-BT35/BP35,BT35/BP35-1)</f>
        <v>-68.534403669722778</v>
      </c>
      <c r="BU37" s="39">
        <f t="shared" ref="BU37" si="373">+IF(BQ35&lt;0,1-BU35/BQ35,BU35/BQ35-1)</f>
        <v>-28.083102493074701</v>
      </c>
      <c r="BV37" s="39">
        <f t="shared" ref="BV37" si="374">+IF(BR35&lt;0,1-BV35/BR35,BV35/BR35-1)</f>
        <v>0.70719521104852556</v>
      </c>
      <c r="BW37" s="39">
        <f t="shared" ref="BW37" si="375">+IF(BS35&lt;0,1-BW35/BS35,BW35/BS35-1)</f>
        <v>-2.3156879760871676</v>
      </c>
      <c r="BX37" s="39">
        <f t="shared" ref="BX37" si="376">+IF(BT35&lt;0,1-BX35/BT35,BX35/BT35-1)</f>
        <v>-0.25722533537103076</v>
      </c>
      <c r="BY37" s="39">
        <f t="shared" ref="BY37" si="377">+IF(BU35&lt;0,1-BY35/BU35,BY35/BU35-1)</f>
        <v>0.83683645289966258</v>
      </c>
      <c r="BZ37" s="39">
        <f t="shared" ref="BZ37" si="378">+IF(BV35&lt;0,1-BZ35/BV35,BZ35/BV35-1)</f>
        <v>-1.8341918866709563</v>
      </c>
      <c r="CA37" s="39">
        <f t="shared" ref="CA37" si="379">+IF(BW35&lt;0,1-CA35/BW35,CA35/BW35-1)</f>
        <v>0.89179050222467815</v>
      </c>
      <c r="CB37" s="39">
        <f t="shared" ref="CB37" si="380">+IF(BX35&lt;0,1-CB35/BX35,CB35/BX35-1)</f>
        <v>1.0039709338447824</v>
      </c>
      <c r="CC37" s="39">
        <f t="shared" ref="CC37" si="381">+IF(BY35&lt;0,1-CC35/BY35,CC35/BY35-1)</f>
        <v>0.74643472809904376</v>
      </c>
      <c r="CD37" s="39">
        <f t="shared" ref="CD37" si="382">+IF(BZ35&lt;0,1-CD35/BZ35,CD35/BZ35-1)</f>
        <v>1.0833522662728614</v>
      </c>
      <c r="CE37" s="39">
        <f t="shared" ref="CE37" si="383">+IF(CA35&lt;0,1-CE35/CA35,CE35/CA35-1)</f>
        <v>1.6632625638269267</v>
      </c>
      <c r="CF37" s="39">
        <f t="shared" ref="CF37" si="384">+IF(CB35&lt;0,1-CF35/CB35,CF35/CB35-1)</f>
        <v>11.346938775510475</v>
      </c>
      <c r="CG37" s="39">
        <f t="shared" ref="CG37" si="385">+IF(CC35&lt;0,1-CG35/CC35,CG35/CC35-1)</f>
        <v>5.3467243510506801</v>
      </c>
      <c r="CH37" s="39">
        <f t="shared" ref="CH37:CL37" si="386">+IF(CD35&lt;0,1-CH35/CD35,CH35/CD35-1)</f>
        <v>3.5509369676320421</v>
      </c>
      <c r="CI37" s="39">
        <f t="shared" si="386"/>
        <v>2.4627228525121723</v>
      </c>
      <c r="CJ37" s="39">
        <f t="shared" si="386"/>
        <v>-0.78402203856750208</v>
      </c>
      <c r="CK37" s="39">
        <f t="shared" si="386"/>
        <v>-4.8059149722733951E-2</v>
      </c>
      <c r="CL37" s="39">
        <f t="shared" si="386"/>
        <v>9.1263008160511916E-2</v>
      </c>
      <c r="CM37" s="40">
        <f t="shared" ref="CM37" si="387">+CM35/CI35-1</f>
        <v>0.12162345140678332</v>
      </c>
      <c r="CN37" s="40">
        <f t="shared" ref="CN37" si="388">+CN35/CJ35-1</f>
        <v>19.779665135684187</v>
      </c>
      <c r="CO37" s="40">
        <f t="shared" ref="CO37" si="389">+CO35/CK35-1</f>
        <v>0.6114880346949445</v>
      </c>
      <c r="CP37" s="40">
        <f t="shared" ref="CP37" si="390">+CP35/CL35-1</f>
        <v>-0.13655419544576752</v>
      </c>
      <c r="CQ37" s="40">
        <f t="shared" ref="CQ37" si="391">+CQ35/CM35-1</f>
        <v>0.27560271220841925</v>
      </c>
      <c r="CR37" s="40">
        <f t="shared" ref="CR37" si="392">+CR35/CN35-1</f>
        <v>0.35587579516146217</v>
      </c>
      <c r="CS37" s="40">
        <f t="shared" ref="CS37" si="393">+CS35/CO35-1</f>
        <v>0.1321118596229387</v>
      </c>
      <c r="CT37" s="40">
        <f t="shared" ref="CT37" si="394">+CT35/CP35-1</f>
        <v>6.6461522057985833E-2</v>
      </c>
      <c r="CU37" s="40">
        <f t="shared" ref="CU37" si="395">+CU35/CQ35-1</f>
        <v>0.17162330775188583</v>
      </c>
      <c r="CV37" s="40">
        <f t="shared" ref="CV37" si="396">+CV35/CR35-1</f>
        <v>0.15321281080996618</v>
      </c>
      <c r="CW37" s="40">
        <f t="shared" ref="CW37" si="397">+CW35/CS35-1</f>
        <v>0.11782560056254332</v>
      </c>
      <c r="CX37" s="40">
        <f t="shared" ref="CX37" si="398">+CX35/CT35-1</f>
        <v>0.11913315110697797</v>
      </c>
      <c r="CY37" s="40">
        <f t="shared" ref="CY37" si="399">+CY35/CU35-1</f>
        <v>0.13740265686791342</v>
      </c>
      <c r="CZ37" s="40">
        <f t="shared" ref="CZ37" si="400">+CZ35/CV35-1</f>
        <v>0.12819602417391485</v>
      </c>
      <c r="DA37" s="40">
        <f t="shared" ref="DA37" si="401">+DA35/CW35-1</f>
        <v>0.12526752377511974</v>
      </c>
      <c r="DB37" s="40">
        <f t="shared" ref="DB37" si="402">+DB35/CX35-1</f>
        <v>0.13018904181194246</v>
      </c>
      <c r="DE37" s="122"/>
      <c r="DF37" s="38">
        <v>0.10419075787558874</v>
      </c>
    </row>
    <row r="38" spans="1:110" s="38" customFormat="1" x14ac:dyDescent="0.2">
      <c r="A38" s="39" t="s">
        <v>450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40"/>
      <c r="AC38" s="40"/>
      <c r="AD38" s="40"/>
      <c r="AE38" s="40"/>
      <c r="AI38" s="39"/>
      <c r="AJ38" s="39" t="e">
        <f>+IF(AI35&lt;0,1-AJ35/AI35,AJ35/AI35-1)</f>
        <v>#DIV/0!</v>
      </c>
      <c r="AK38" s="39" t="e">
        <f t="shared" ref="AK38:AM38" si="403">+IF(AJ35&lt;0,1-AK35/AJ35,AK35/AJ35-1)</f>
        <v>#DIV/0!</v>
      </c>
      <c r="AL38" s="39" t="e">
        <f t="shared" si="403"/>
        <v>#DIV/0!</v>
      </c>
      <c r="AM38" s="39" t="e">
        <f t="shared" si="403"/>
        <v>#DIV/0!</v>
      </c>
      <c r="AN38" s="39" t="e">
        <f t="shared" ref="AN38" si="404">+IF(AM35&lt;0,1-AN35/AM35,AN35/AM35-1)</f>
        <v>#DIV/0!</v>
      </c>
      <c r="AO38" s="39" t="e">
        <f t="shared" ref="AO38" si="405">+IF(AN35&lt;0,1-AO35/AN35,AO35/AN35-1)</f>
        <v>#DIV/0!</v>
      </c>
      <c r="AP38" s="39" t="e">
        <f t="shared" ref="AP38" si="406">+IF(AO35&lt;0,1-AP35/AO35,AP35/AO35-1)</f>
        <v>#DIV/0!</v>
      </c>
      <c r="AQ38" s="39" t="e">
        <f t="shared" ref="AQ38" si="407">+IF(AP35&lt;0,1-AQ35/AP35,AQ35/AP35-1)</f>
        <v>#DIV/0!</v>
      </c>
      <c r="AR38" s="39" t="e">
        <f t="shared" ref="AR38" si="408">+IF(AQ35&lt;0,1-AR35/AQ35,AR35/AQ35-1)</f>
        <v>#DIV/0!</v>
      </c>
      <c r="AS38" s="39" t="e">
        <f t="shared" ref="AS38" si="409">+IF(AR35&lt;0,1-AS35/AR35,AS35/AR35-1)</f>
        <v>#DIV/0!</v>
      </c>
      <c r="AT38" s="39" t="e">
        <f t="shared" ref="AT38" si="410">+IF(AS35&lt;0,1-AT35/AS35,AT35/AS35-1)</f>
        <v>#DIV/0!</v>
      </c>
      <c r="AU38" s="39" t="e">
        <f t="shared" ref="AU38" si="411">+IF(AT35&lt;0,1-AU35/AT35,AU35/AT35-1)</f>
        <v>#DIV/0!</v>
      </c>
      <c r="AV38" s="39" t="e">
        <f t="shared" ref="AV38" si="412">+IF(AU35&lt;0,1-AV35/AU35,AV35/AU35-1)</f>
        <v>#DIV/0!</v>
      </c>
      <c r="AW38" s="39" t="e">
        <f t="shared" ref="AW38" si="413">+IF(AV35&lt;0,1-AW35/AV35,AW35/AV35-1)</f>
        <v>#DIV/0!</v>
      </c>
      <c r="AX38" s="39" t="e">
        <f t="shared" ref="AX38" si="414">+IF(AW35&lt;0,1-AX35/AW35,AX35/AW35-1)</f>
        <v>#DIV/0!</v>
      </c>
      <c r="AY38" s="39" t="e">
        <f t="shared" ref="AY38" si="415">+IF(AX35&lt;0,1-AY35/AX35,AY35/AX35-1)</f>
        <v>#DIV/0!</v>
      </c>
      <c r="AZ38" s="39" t="e">
        <f t="shared" ref="AZ38" si="416">+IF(AY35&lt;0,1-AZ35/AY35,AZ35/AY35-1)</f>
        <v>#DIV/0!</v>
      </c>
      <c r="BA38" s="39" t="e">
        <f t="shared" ref="BA38" si="417">+IF(AZ35&lt;0,1-BA35/AZ35,BA35/AZ35-1)</f>
        <v>#DIV/0!</v>
      </c>
      <c r="BB38" s="39" t="e">
        <f t="shared" ref="BB38" si="418">+IF(BA35&lt;0,1-BB35/BA35,BB35/BA35-1)</f>
        <v>#DIV/0!</v>
      </c>
      <c r="BC38" s="39" t="e">
        <f t="shared" ref="BC38" si="419">+IF(BB35&lt;0,1-BC35/BB35,BC35/BB35-1)</f>
        <v>#DIV/0!</v>
      </c>
      <c r="BD38" s="39" t="e">
        <f t="shared" ref="BD38" si="420">+IF(BC35&lt;0,1-BD35/BC35,BD35/BC35-1)</f>
        <v>#DIV/0!</v>
      </c>
      <c r="BE38" s="39" t="e">
        <f t="shared" ref="BE38" si="421">+IF(BD35&lt;0,1-BE35/BD35,BE35/BD35-1)</f>
        <v>#DIV/0!</v>
      </c>
      <c r="BF38" s="39" t="e">
        <f t="shared" ref="BF38" si="422">+IF(BE35&lt;0,1-BF35/BE35,BF35/BE35-1)</f>
        <v>#DIV/0!</v>
      </c>
      <c r="BG38" s="39" t="e">
        <f t="shared" ref="BG38" si="423">+IF(BF35&lt;0,1-BG35/BF35,BG35/BF35-1)</f>
        <v>#DIV/0!</v>
      </c>
      <c r="BH38" s="39" t="e">
        <f t="shared" ref="BH38" si="424">+IF(BG35&lt;0,1-BH35/BG35,BH35/BG35-1)</f>
        <v>#DIV/0!</v>
      </c>
      <c r="BI38" s="39">
        <f t="shared" ref="BI38" si="425">+IF(BH35&lt;0,1-BI35/BH35,BI35/BH35-1)</f>
        <v>5.4155410015009204</v>
      </c>
      <c r="BJ38" s="39">
        <f t="shared" ref="BJ38" si="426">+IF(BI35&lt;0,1-BJ35/BI35,BJ35/BI35-1)</f>
        <v>0.76451791278086989</v>
      </c>
      <c r="BK38" s="39">
        <f t="shared" ref="BK38" si="427">+IF(BJ35&lt;0,1-BK35/BJ35,BK35/BJ35-1)</f>
        <v>-0.8010347518734916</v>
      </c>
      <c r="BL38" s="39">
        <f t="shared" ref="BL38" si="428">+IF(BK35&lt;0,1-BL35/BK35,BL35/BK35-1)</f>
        <v>0.4341965773133416</v>
      </c>
      <c r="BM38" s="39">
        <f t="shared" ref="BM38" si="429">+IF(BL35&lt;0,1-BM35/BL35,BM35/BL35-1)</f>
        <v>-0.89587117212249101</v>
      </c>
      <c r="BN38" s="39">
        <f t="shared" ref="BN38" si="430">+IF(BM35&lt;0,1-BN35/BM35,BN35/BM35-1)</f>
        <v>12.547307575296484</v>
      </c>
      <c r="BO38" s="39">
        <f t="shared" ref="BO38" si="431">+IF(BN35&lt;0,1-BO35/BN35,BO35/BN35-1)</f>
        <v>-0.87588891384085565</v>
      </c>
      <c r="BP38" s="39">
        <f t="shared" ref="BP38" si="432">+IF(BO35&lt;0,1-BP35/BO35,BP35/BO35-1)</f>
        <v>-0.73703256936066941</v>
      </c>
      <c r="BQ38" s="39">
        <f t="shared" ref="BQ38" si="433">+IF(BP35&lt;0,1-BQ35/BP35,BQ35/BP35-1)</f>
        <v>2.3119266055045031</v>
      </c>
      <c r="BR38" s="39">
        <f t="shared" ref="BR38" si="434">+IF(BQ35&lt;0,1-BR35/BQ35,BR35/BQ35-1)</f>
        <v>-30.384349030470798</v>
      </c>
      <c r="BS38" s="39">
        <f t="shared" ref="BS38" si="435">+IF(BR35&lt;0,1-BS35/BR35,BS35/BR35-1)</f>
        <v>0.75557964695623503</v>
      </c>
      <c r="BT38" s="39">
        <f t="shared" ref="BT38" si="436">+IF(BS35&lt;0,1-BT35/BS35,BT35/BS35-1)</f>
        <v>-1.8391669077234609</v>
      </c>
      <c r="BU38" s="39">
        <f t="shared" ref="BU38" si="437">+IF(BT35&lt;0,1-BU35/BT35,BU35/BT35-1)</f>
        <v>-0.32817116658176348</v>
      </c>
      <c r="BV38" s="39">
        <f t="shared" ref="BV38" si="438">+IF(BU35&lt;0,1-BV35/BU35,BV35/BU35-1)</f>
        <v>0.68231563874399082</v>
      </c>
      <c r="BW38" s="39">
        <f t="shared" ref="BW38" si="439">+IF(BV35&lt;0,1-BW35/BV35,BW35/BV35-1)</f>
        <v>-1.7677881519639373</v>
      </c>
      <c r="BX38" s="39">
        <f t="shared" ref="BX38" si="440">+IF(BW35&lt;0,1-BX35/BW35,BX35/BW35-1)</f>
        <v>-7.6540553116003274E-2</v>
      </c>
      <c r="BY38" s="39">
        <f t="shared" ref="BY38" si="441">+IF(BX35&lt;0,1-BY35/BX35,BY35/BX35-1)</f>
        <v>0.82762905534995546</v>
      </c>
      <c r="BZ38" s="39">
        <f t="shared" ref="BZ38" si="442">+IF(BY35&lt;0,1-BZ35/BY35,BZ35/BY35-1)</f>
        <v>-4.5182573264378636</v>
      </c>
      <c r="CA38" s="39">
        <f t="shared" ref="CA38" si="443">+IF(BZ35&lt;0,1-CA35/BZ35,CA35/BZ35-1)</f>
        <v>0.89432579802340129</v>
      </c>
      <c r="CB38" s="39">
        <f t="shared" ref="CB38" si="444">+IF(CA35&lt;0,1-CB35/CA35,CB35/CA35-1)</f>
        <v>1.0395055092717005</v>
      </c>
      <c r="CC38" s="39">
        <f t="shared" ref="CC38" si="445">+IF(CB35&lt;0,1-CC35/CB35,CC35/CB35-1)</f>
        <v>-12.006802721088661</v>
      </c>
      <c r="CD38" s="39">
        <f t="shared" ref="CD38" si="446">+IF(CC35&lt;0,1-CD35/CC35,CD35/CC35-1)</f>
        <v>2.8139678615574755</v>
      </c>
      <c r="CE38" s="39">
        <f t="shared" ref="CE38" si="447">+IF(CD35&lt;0,1-CE35/CD35,CE35/CD35-1)</f>
        <v>-0.15911413969335875</v>
      </c>
      <c r="CF38" s="39">
        <f t="shared" ref="CF38" si="448">+IF(CE35&lt;0,1-CF35/CE35,CF35/CE35-1)</f>
        <v>-0.2645867098865432</v>
      </c>
      <c r="CG38" s="39">
        <f t="shared" ref="CG38" si="449">+IF(CF35&lt;0,1-CG35/CF35,CG35/CF35-1)</f>
        <v>2.8749311294765789</v>
      </c>
      <c r="CH38" s="39">
        <f t="shared" ref="CH38:CI38" si="450">+IF(CG35&lt;0,1-CH35/CG35,CH35/CG35-1)</f>
        <v>0.8991895350490573</v>
      </c>
      <c r="CI38" s="39">
        <f t="shared" si="450"/>
        <v>-0.36018567043497896</v>
      </c>
      <c r="CJ38" s="39">
        <f>+IF(CI35&gt;1,CJ35/CI35-1,1-CJ35/CI35)</f>
        <v>-0.95413058740931611</v>
      </c>
      <c r="CK38" s="39">
        <f>+IF(CJ35&gt;1,CK35/CJ35-1,1-CK35/CJ35)</f>
        <v>16.079081632653775</v>
      </c>
      <c r="CL38" s="39">
        <f>+IF(CK35&gt;1,CL35/CK35-1,1-CL35/CK35)</f>
        <v>1.1771471247199332</v>
      </c>
      <c r="CM38" s="40">
        <f t="shared" ref="CM38" si="451">+CM35/CL35-1</f>
        <v>-0.34238515259862912</v>
      </c>
      <c r="CN38" s="40">
        <f t="shared" ref="CN38" si="452">+CN35/CM35-1</f>
        <v>-0.15020407926611368</v>
      </c>
      <c r="CO38" s="40">
        <f t="shared" ref="CO38" si="453">+CO35/CN35-1</f>
        <v>0.32450333125609099</v>
      </c>
      <c r="CP38" s="40">
        <f t="shared" ref="CP38" si="454">+CP35/CO35-1</f>
        <v>0.16652963612763827</v>
      </c>
      <c r="CQ38" s="40">
        <f t="shared" ref="CQ38" si="455">+CQ35/CP35-1</f>
        <v>-2.8479519491340088E-2</v>
      </c>
      <c r="CR38" s="40">
        <f t="shared" ref="CR38" si="456">+CR35/CQ35-1</f>
        <v>-9.6726818842193252E-2</v>
      </c>
      <c r="CS38" s="40">
        <f t="shared" ref="CS38" si="457">+CS35/CR35-1</f>
        <v>0.10591688027482382</v>
      </c>
      <c r="CT38" s="40">
        <f t="shared" ref="CT38" si="458">+CT35/CS35-1</f>
        <v>9.8883436911239464E-2</v>
      </c>
      <c r="CU38" s="40">
        <f t="shared" ref="CU38" si="459">+CU35/CT35-1</f>
        <v>6.7320306808376529E-2</v>
      </c>
      <c r="CV38" s="40">
        <f t="shared" ref="CV38" si="460">+CV35/CU35-1</f>
        <v>-0.11092055161397707</v>
      </c>
      <c r="CW38" s="40">
        <f t="shared" ref="CW38" si="461">+CW35/CV35-1</f>
        <v>7.1980981547708378E-2</v>
      </c>
      <c r="CX38" s="40">
        <f t="shared" ref="CX38" si="462">+CX35/CW35-1</f>
        <v>0.10016883029951096</v>
      </c>
      <c r="CY38" s="40">
        <f t="shared" ref="CY38" si="463">+CY35/CX35-1</f>
        <v>8.4743983762911812E-2</v>
      </c>
      <c r="CZ38" s="40">
        <f t="shared" ref="CZ38" si="464">+CZ35/CY35-1</f>
        <v>-0.11811714805908602</v>
      </c>
      <c r="DA38" s="40">
        <f t="shared" ref="DA38" si="465">+DA35/CZ35-1</f>
        <v>6.9198400626753864E-2</v>
      </c>
      <c r="DB38" s="40">
        <f t="shared" ref="DB38" si="466">+DB35/DA35-1</f>
        <v>0.10498057562004059</v>
      </c>
      <c r="DE38" s="122"/>
      <c r="DF38" s="38">
        <v>1.2029389026055615</v>
      </c>
    </row>
    <row r="39" spans="1:110" s="23" customFormat="1" x14ac:dyDescent="0.2">
      <c r="A39" s="23" t="s">
        <v>15</v>
      </c>
      <c r="B39" s="23">
        <f>'Annual Raw'!C27</f>
        <v>0</v>
      </c>
      <c r="C39" s="23">
        <f>'Annual Raw'!D27</f>
        <v>0</v>
      </c>
      <c r="D39" s="23">
        <f>'Annual Raw'!E27</f>
        <v>0</v>
      </c>
      <c r="E39" s="23">
        <f>'Annual Raw'!F27</f>
        <v>0</v>
      </c>
      <c r="F39" s="23">
        <f>'Annual Raw'!G27</f>
        <v>0</v>
      </c>
      <c r="G39" s="23">
        <f>'Annual Raw'!H27</f>
        <v>0</v>
      </c>
      <c r="H39" s="23">
        <f>'Annual Raw'!I27</f>
        <v>0</v>
      </c>
      <c r="I39" s="23">
        <f>'Annual Raw'!J27</f>
        <v>0</v>
      </c>
      <c r="J39" s="23">
        <f>'Annual Raw'!K27</f>
        <v>0</v>
      </c>
      <c r="K39" s="23">
        <f>'Annual Raw'!L27</f>
        <v>0</v>
      </c>
      <c r="L39" s="23">
        <f>'Annual Raw'!M27</f>
        <v>0</v>
      </c>
      <c r="M39" s="23">
        <f>'Annual Raw'!N27</f>
        <v>0</v>
      </c>
      <c r="N39" s="23">
        <f>'Annual Raw'!O27</f>
        <v>0</v>
      </c>
      <c r="O39" s="23">
        <f>'Annual Raw'!P27</f>
        <v>0</v>
      </c>
      <c r="P39" s="23">
        <f>'Annual Raw'!Q27</f>
        <v>0</v>
      </c>
      <c r="Q39" s="23">
        <f>'Annual Raw'!R27</f>
        <v>0</v>
      </c>
      <c r="R39" s="23">
        <f>'Annual Raw'!S27</f>
        <v>0</v>
      </c>
      <c r="S39" s="23">
        <f>'Annual Raw'!T27</f>
        <v>3.1680000000000001</v>
      </c>
      <c r="T39" s="23">
        <f>'Annual Raw'!U27</f>
        <v>7.8040000000000003</v>
      </c>
      <c r="U39" s="23">
        <f>'Annual Raw'!V27</f>
        <v>14.23</v>
      </c>
      <c r="V39" s="23">
        <f>'Annual Raw'!W27</f>
        <v>16.510000000000002</v>
      </c>
      <c r="W39" s="23">
        <f>'Annual Raw'!X27</f>
        <v>14.67</v>
      </c>
      <c r="X39" s="23">
        <f>'Annual Raw'!Y27</f>
        <v>14.7</v>
      </c>
      <c r="Y39" s="23">
        <f>'Annual Raw'!Z27</f>
        <v>16.649999999999999</v>
      </c>
      <c r="Z39" s="23">
        <f>'Annual Raw'!AA27</f>
        <v>14.34</v>
      </c>
      <c r="AA39" s="23">
        <f>'Annual Raw'!AB27</f>
        <v>11.28</v>
      </c>
      <c r="AB39" s="76">
        <f>+SUM(CM39:CP39)</f>
        <v>12.614476619243867</v>
      </c>
      <c r="AC39" s="76">
        <f>+SUM(CQ39:CT39)</f>
        <v>5.6718492031247454</v>
      </c>
      <c r="AD39" s="76">
        <f>+SUM(CU39:CX39)</f>
        <v>2.5502344927977769</v>
      </c>
      <c r="AE39" s="76">
        <f>+SUM(CY39:DB39)</f>
        <v>1.1466623556692046</v>
      </c>
      <c r="AI39" s="23">
        <f>'QTR Raw'!C28</f>
        <v>0</v>
      </c>
      <c r="AJ39" s="23">
        <f>'QTR Raw'!D28</f>
        <v>0</v>
      </c>
      <c r="AK39" s="23">
        <f>'QTR Raw'!E28</f>
        <v>0</v>
      </c>
      <c r="AL39" s="23">
        <f>'QTR Raw'!F28</f>
        <v>0</v>
      </c>
      <c r="AM39" s="23">
        <f>'QTR Raw'!G28</f>
        <v>0</v>
      </c>
      <c r="AN39" s="23">
        <f>'QTR Raw'!H28</f>
        <v>0</v>
      </c>
      <c r="AO39" s="23">
        <f>'QTR Raw'!I28</f>
        <v>0</v>
      </c>
      <c r="AP39" s="23">
        <f>'QTR Raw'!J28</f>
        <v>0</v>
      </c>
      <c r="AQ39" s="23">
        <f>'QTR Raw'!K28</f>
        <v>0</v>
      </c>
      <c r="AR39" s="23">
        <f>'QTR Raw'!L28</f>
        <v>0</v>
      </c>
      <c r="AS39" s="23">
        <f>'QTR Raw'!M28</f>
        <v>0</v>
      </c>
      <c r="AT39" s="23">
        <f>'QTR Raw'!N28</f>
        <v>0</v>
      </c>
      <c r="AU39" s="23">
        <f>'QTR Raw'!O28</f>
        <v>0</v>
      </c>
      <c r="AV39" s="23">
        <f>'QTR Raw'!P28</f>
        <v>0</v>
      </c>
      <c r="AW39" s="23">
        <f>'QTR Raw'!Q28</f>
        <v>0</v>
      </c>
      <c r="AX39" s="23">
        <f>'QTR Raw'!R28</f>
        <v>0</v>
      </c>
      <c r="AY39" s="23">
        <f>'QTR Raw'!S28</f>
        <v>0</v>
      </c>
      <c r="AZ39" s="23">
        <f>'QTR Raw'!T28</f>
        <v>0</v>
      </c>
      <c r="BA39" s="23">
        <f>'QTR Raw'!U28</f>
        <v>0</v>
      </c>
      <c r="BB39" s="23">
        <f>'QTR Raw'!V28</f>
        <v>0</v>
      </c>
      <c r="BC39" s="23">
        <f>'QTR Raw'!W28</f>
        <v>0</v>
      </c>
      <c r="BD39" s="23">
        <f>'QTR Raw'!X28</f>
        <v>0</v>
      </c>
      <c r="BE39" s="23">
        <f>'QTR Raw'!Y28</f>
        <v>0</v>
      </c>
      <c r="BF39" s="23">
        <f>'QTR Raw'!Z28</f>
        <v>0</v>
      </c>
      <c r="BG39" s="23">
        <f>'QTR Raw'!AA28</f>
        <v>0</v>
      </c>
      <c r="BH39" s="23">
        <f>'QTR Raw'!AB28</f>
        <v>2.109</v>
      </c>
      <c r="BI39" s="23">
        <f>'QTR Raw'!AC28</f>
        <v>2.923</v>
      </c>
      <c r="BJ39" s="23">
        <f>'QTR Raw'!AD28</f>
        <v>2.226</v>
      </c>
      <c r="BK39" s="23">
        <f>'QTR Raw'!AE28</f>
        <v>3.14</v>
      </c>
      <c r="BL39" s="23">
        <f>'QTR Raw'!AF28</f>
        <v>3.91</v>
      </c>
      <c r="BM39" s="23">
        <f>'QTR Raw'!AG28</f>
        <v>3.76</v>
      </c>
      <c r="BN39" s="23">
        <f>'QTR Raw'!AH28</f>
        <v>3.43</v>
      </c>
      <c r="BO39" s="23">
        <f>'QTR Raw'!AI28</f>
        <v>3.89</v>
      </c>
      <c r="BP39" s="23">
        <f>'QTR Raw'!AJ28</f>
        <v>3.73</v>
      </c>
      <c r="BQ39" s="23">
        <f>'QTR Raw'!AK28</f>
        <v>3.88</v>
      </c>
      <c r="BR39" s="23">
        <f>'QTR Raw'!AL28</f>
        <v>5.01</v>
      </c>
      <c r="BS39" s="23">
        <f>'QTR Raw'!AM28</f>
        <v>3.08</v>
      </c>
      <c r="BT39" s="23">
        <f>'QTR Raw'!AN28</f>
        <v>3.28</v>
      </c>
      <c r="BU39" s="23">
        <f>'QTR Raw'!AO28</f>
        <v>4.49</v>
      </c>
      <c r="BV39" s="23">
        <f>'QTR Raw'!AP28</f>
        <v>3.82</v>
      </c>
      <c r="BW39" s="23">
        <f>'QTR Raw'!AQ28</f>
        <v>3.46</v>
      </c>
      <c r="BX39" s="23">
        <f>'QTR Raw'!AR28</f>
        <v>3.3</v>
      </c>
      <c r="BY39" s="23">
        <f>'QTR Raw'!AS28</f>
        <v>4.1100000000000003</v>
      </c>
      <c r="BZ39" s="23">
        <f>'QTR Raw'!AT28</f>
        <v>3.83</v>
      </c>
      <c r="CA39" s="23">
        <f>'QTR Raw'!AU28</f>
        <v>3.42</v>
      </c>
      <c r="CB39" s="23">
        <f>'QTR Raw'!AV28</f>
        <v>4.29</v>
      </c>
      <c r="CC39" s="23">
        <f>'QTR Raw'!AW28</f>
        <v>4.49</v>
      </c>
      <c r="CD39" s="23">
        <f>'QTR Raw'!AX28</f>
        <v>4.46</v>
      </c>
      <c r="CE39" s="23">
        <f>'QTR Raw'!AY28</f>
        <v>4.01</v>
      </c>
      <c r="CF39" s="23">
        <f>'QTR Raw'!AZ28</f>
        <v>3.83</v>
      </c>
      <c r="CG39" s="23">
        <f>'QTR Raw'!BA28</f>
        <v>3.37</v>
      </c>
      <c r="CH39" s="23">
        <f>'QTR Raw'!BB28</f>
        <v>3.13</v>
      </c>
      <c r="CI39" s="23">
        <f>'QTR Raw'!BC28</f>
        <v>2.81</v>
      </c>
      <c r="CJ39" s="23">
        <f>'QTR Raw'!BD28</f>
        <v>2.73</v>
      </c>
      <c r="CK39" s="23">
        <f>'QTR Raw'!BE28</f>
        <v>2.86</v>
      </c>
      <c r="CL39" s="23">
        <f>'QTR Raw'!BF28</f>
        <v>2.88</v>
      </c>
      <c r="CM39" s="24">
        <f t="shared" ref="CM39:DB39" si="467">CM40*CL146</f>
        <v>4.1515471698113195</v>
      </c>
      <c r="CN39" s="24">
        <f t="shared" si="467"/>
        <v>3.3995688145247405</v>
      </c>
      <c r="CO39" s="24">
        <f t="shared" si="467"/>
        <v>2.7837978594410142</v>
      </c>
      <c r="CP39" s="24">
        <f t="shared" si="467"/>
        <v>2.2795627754667938</v>
      </c>
      <c r="CQ39" s="24">
        <f t="shared" si="467"/>
        <v>1.8666608387784678</v>
      </c>
      <c r="CR39" s="24">
        <f t="shared" si="467"/>
        <v>1.5285486868487823</v>
      </c>
      <c r="CS39" s="24">
        <f t="shared" si="467"/>
        <v>1.2516794907403244</v>
      </c>
      <c r="CT39" s="24">
        <f t="shared" si="467"/>
        <v>1.0249601867571705</v>
      </c>
      <c r="CU39" s="24">
        <f t="shared" si="467"/>
        <v>0.83930702085398501</v>
      </c>
      <c r="CV39" s="24">
        <f t="shared" si="467"/>
        <v>0.68728159820873591</v>
      </c>
      <c r="CW39" s="24">
        <f t="shared" si="467"/>
        <v>0.56279285589168082</v>
      </c>
      <c r="CX39" s="24">
        <f t="shared" si="467"/>
        <v>0.46085301784337546</v>
      </c>
      <c r="CY39" s="24">
        <f t="shared" si="467"/>
        <v>0.3773777542340091</v>
      </c>
      <c r="CZ39" s="24">
        <f t="shared" si="467"/>
        <v>0.30902253837275556</v>
      </c>
      <c r="DA39" s="24">
        <f t="shared" si="467"/>
        <v>0.25304864462976534</v>
      </c>
      <c r="DB39" s="24">
        <f t="shared" si="467"/>
        <v>0.20721341843267468</v>
      </c>
      <c r="DE39" s="123"/>
      <c r="DF39" s="23">
        <v>2.4239872068230284</v>
      </c>
    </row>
    <row r="40" spans="1:110" s="46" customFormat="1" x14ac:dyDescent="0.2">
      <c r="A40" s="46" t="s">
        <v>483</v>
      </c>
      <c r="B40" s="46" t="e">
        <f t="shared" ref="B40:D40" si="468">+B39/B146</f>
        <v>#DIV/0!</v>
      </c>
      <c r="C40" s="46" t="e">
        <f t="shared" si="468"/>
        <v>#DIV/0!</v>
      </c>
      <c r="D40" s="46" t="e">
        <f t="shared" si="468"/>
        <v>#DIV/0!</v>
      </c>
      <c r="E40" s="46" t="e">
        <f t="shared" ref="E40:AE40" si="469">+E39/E146</f>
        <v>#DIV/0!</v>
      </c>
      <c r="F40" s="46" t="e">
        <f t="shared" si="469"/>
        <v>#DIV/0!</v>
      </c>
      <c r="G40" s="46" t="e">
        <f t="shared" si="469"/>
        <v>#DIV/0!</v>
      </c>
      <c r="H40" s="46" t="e">
        <f t="shared" si="469"/>
        <v>#DIV/0!</v>
      </c>
      <c r="I40" s="46" t="e">
        <f t="shared" si="469"/>
        <v>#DIV/0!</v>
      </c>
      <c r="J40" s="46" t="e">
        <f t="shared" si="469"/>
        <v>#DIV/0!</v>
      </c>
      <c r="K40" s="46" t="e">
        <f t="shared" si="469"/>
        <v>#DIV/0!</v>
      </c>
      <c r="L40" s="46" t="e">
        <f t="shared" si="469"/>
        <v>#DIV/0!</v>
      </c>
      <c r="M40" s="46" t="e">
        <f t="shared" si="469"/>
        <v>#DIV/0!</v>
      </c>
      <c r="N40" s="46" t="e">
        <f t="shared" si="469"/>
        <v>#DIV/0!</v>
      </c>
      <c r="O40" s="46" t="e">
        <f t="shared" si="469"/>
        <v>#DIV/0!</v>
      </c>
      <c r="P40" s="46" t="e">
        <f t="shared" si="469"/>
        <v>#DIV/0!</v>
      </c>
      <c r="Q40" s="46" t="e">
        <f t="shared" si="469"/>
        <v>#DIV/0!</v>
      </c>
      <c r="R40" s="46" t="e">
        <f t="shared" si="469"/>
        <v>#DIV/0!</v>
      </c>
      <c r="S40" s="46">
        <f t="shared" si="469"/>
        <v>0.14907533763117028</v>
      </c>
      <c r="T40" s="46">
        <f t="shared" si="469"/>
        <v>0.27504053006273349</v>
      </c>
      <c r="U40" s="46">
        <f t="shared" si="469"/>
        <v>0.33776406361262751</v>
      </c>
      <c r="V40" s="46">
        <f t="shared" si="469"/>
        <v>0.35627967198964183</v>
      </c>
      <c r="W40" s="46">
        <f t="shared" si="469"/>
        <v>0.34771272813462906</v>
      </c>
      <c r="X40" s="46">
        <f t="shared" si="469"/>
        <v>0.33227848101265817</v>
      </c>
      <c r="Y40" s="46">
        <f t="shared" si="469"/>
        <v>0.29621063867639214</v>
      </c>
      <c r="Z40" s="46">
        <f t="shared" si="469"/>
        <v>0.31269079808111644</v>
      </c>
      <c r="AA40" s="46">
        <f t="shared" ref="AA40" si="470">+AA39/AA146</f>
        <v>0.27325581395348836</v>
      </c>
      <c r="AB40" s="110">
        <f t="shared" si="469"/>
        <v>1.2240500703534698</v>
      </c>
      <c r="AC40" s="110">
        <f t="shared" si="469"/>
        <v>1.2240500703534702</v>
      </c>
      <c r="AD40" s="110">
        <f t="shared" si="469"/>
        <v>1.2240500703534731</v>
      </c>
      <c r="AE40" s="110">
        <f t="shared" si="469"/>
        <v>1.2240500703534727</v>
      </c>
      <c r="AI40" s="46" t="e">
        <f t="shared" ref="AI40:BN40" si="471">+AI39/AH146</f>
        <v>#DIV/0!</v>
      </c>
      <c r="AJ40" s="46" t="e">
        <f t="shared" si="471"/>
        <v>#DIV/0!</v>
      </c>
      <c r="AK40" s="46" t="e">
        <f t="shared" si="471"/>
        <v>#DIV/0!</v>
      </c>
      <c r="AL40" s="46" t="e">
        <f t="shared" si="471"/>
        <v>#DIV/0!</v>
      </c>
      <c r="AM40" s="46" t="e">
        <f t="shared" si="471"/>
        <v>#DIV/0!</v>
      </c>
      <c r="AN40" s="46" t="e">
        <f t="shared" si="471"/>
        <v>#DIV/0!</v>
      </c>
      <c r="AO40" s="46" t="e">
        <f t="shared" si="471"/>
        <v>#DIV/0!</v>
      </c>
      <c r="AP40" s="46" t="e">
        <f t="shared" si="471"/>
        <v>#DIV/0!</v>
      </c>
      <c r="AQ40" s="46" t="e">
        <f t="shared" si="471"/>
        <v>#DIV/0!</v>
      </c>
      <c r="AR40" s="46" t="e">
        <f t="shared" si="471"/>
        <v>#DIV/0!</v>
      </c>
      <c r="AS40" s="46" t="e">
        <f t="shared" si="471"/>
        <v>#DIV/0!</v>
      </c>
      <c r="AT40" s="46" t="e">
        <f t="shared" si="471"/>
        <v>#DIV/0!</v>
      </c>
      <c r="AU40" s="46" t="e">
        <f t="shared" si="471"/>
        <v>#DIV/0!</v>
      </c>
      <c r="AV40" s="46" t="e">
        <f t="shared" si="471"/>
        <v>#DIV/0!</v>
      </c>
      <c r="AW40" s="46" t="e">
        <f t="shared" si="471"/>
        <v>#DIV/0!</v>
      </c>
      <c r="AX40" s="46" t="e">
        <f t="shared" si="471"/>
        <v>#DIV/0!</v>
      </c>
      <c r="AY40" s="46" t="e">
        <f t="shared" si="471"/>
        <v>#DIV/0!</v>
      </c>
      <c r="AZ40" s="46" t="e">
        <f t="shared" si="471"/>
        <v>#DIV/0!</v>
      </c>
      <c r="BA40" s="46" t="e">
        <f t="shared" si="471"/>
        <v>#DIV/0!</v>
      </c>
      <c r="BB40" s="46" t="e">
        <f t="shared" si="471"/>
        <v>#DIV/0!</v>
      </c>
      <c r="BC40" s="46" t="e">
        <f t="shared" si="471"/>
        <v>#DIV/0!</v>
      </c>
      <c r="BD40" s="46" t="e">
        <f t="shared" si="471"/>
        <v>#DIV/0!</v>
      </c>
      <c r="BE40" s="46" t="e">
        <f t="shared" si="471"/>
        <v>#DIV/0!</v>
      </c>
      <c r="BF40" s="46" t="e">
        <f t="shared" si="471"/>
        <v>#DIV/0!</v>
      </c>
      <c r="BG40" s="46" t="e">
        <f t="shared" si="471"/>
        <v>#DIV/0!</v>
      </c>
      <c r="BH40" s="46" t="e">
        <f t="shared" si="471"/>
        <v>#DIV/0!</v>
      </c>
      <c r="BI40" s="46" t="e">
        <f t="shared" si="471"/>
        <v>#DIV/0!</v>
      </c>
      <c r="BJ40" s="46" t="e">
        <f t="shared" si="471"/>
        <v>#DIV/0!</v>
      </c>
      <c r="BK40" s="46">
        <f t="shared" si="471"/>
        <v>0.11066469302882923</v>
      </c>
      <c r="BL40" s="46">
        <f t="shared" si="471"/>
        <v>0.13780221329386058</v>
      </c>
      <c r="BM40" s="46">
        <f t="shared" si="471"/>
        <v>0.10410609962067724</v>
      </c>
      <c r="BN40" s="46">
        <f t="shared" si="471"/>
        <v>9.4969128111415682E-2</v>
      </c>
      <c r="BO40" s="46">
        <f t="shared" ref="BO40:CL40" si="472">+BO39/BN146</f>
        <v>0.12107065048241518</v>
      </c>
      <c r="BP40" s="46">
        <f t="shared" si="472"/>
        <v>0.11609088079676314</v>
      </c>
      <c r="BQ40" s="46">
        <f t="shared" si="472"/>
        <v>0.10240168910002639</v>
      </c>
      <c r="BR40" s="46">
        <f t="shared" si="472"/>
        <v>0.13222486144101345</v>
      </c>
      <c r="BS40" s="46">
        <f t="shared" si="472"/>
        <v>8.3265747499324139E-2</v>
      </c>
      <c r="BT40" s="46">
        <f t="shared" si="472"/>
        <v>8.8672614220059467E-2</v>
      </c>
      <c r="BU40" s="46">
        <f t="shared" si="472"/>
        <v>0.12708746108123409</v>
      </c>
      <c r="BV40" s="46">
        <f t="shared" si="472"/>
        <v>0.10812340786866685</v>
      </c>
      <c r="BW40" s="46">
        <f t="shared" si="472"/>
        <v>0.10462654974296946</v>
      </c>
      <c r="BX40" s="46">
        <f t="shared" si="472"/>
        <v>9.9788327789537334E-2</v>
      </c>
      <c r="BY40" s="46">
        <f t="shared" si="472"/>
        <v>0.12045720984759674</v>
      </c>
      <c r="BZ40" s="46">
        <f t="shared" si="472"/>
        <v>0.11225087924970693</v>
      </c>
      <c r="CA40" s="46">
        <f t="shared" si="472"/>
        <v>0.10694183864915571</v>
      </c>
      <c r="CB40" s="46">
        <f t="shared" si="472"/>
        <v>0.13414634146341464</v>
      </c>
      <c r="CC40" s="46">
        <f t="shared" si="472"/>
        <v>0.1588818117480538</v>
      </c>
      <c r="CD40" s="46">
        <f t="shared" si="472"/>
        <v>0.15782024062278838</v>
      </c>
      <c r="CE40" s="46">
        <f t="shared" si="472"/>
        <v>0.1676421404682274</v>
      </c>
      <c r="CF40" s="46">
        <f t="shared" si="472"/>
        <v>0.1601170568561873</v>
      </c>
      <c r="CG40" s="46">
        <f t="shared" si="472"/>
        <v>0.16543937162493863</v>
      </c>
      <c r="CH40" s="46">
        <f t="shared" si="472"/>
        <v>0.15365733922434952</v>
      </c>
      <c r="CI40" s="46">
        <f t="shared" si="472"/>
        <v>6.1273440907108595E-2</v>
      </c>
      <c r="CJ40" s="46">
        <f t="shared" si="472"/>
        <v>6.3414634146341464E-2</v>
      </c>
      <c r="CK40" s="46">
        <f t="shared" si="472"/>
        <v>0.15245202558635393</v>
      </c>
      <c r="CL40" s="46">
        <f t="shared" si="472"/>
        <v>0.18113207547169805</v>
      </c>
      <c r="CM40" s="47">
        <f t="shared" ref="CM40" si="473">CL40</f>
        <v>0.18113207547169805</v>
      </c>
      <c r="CN40" s="47">
        <f t="shared" ref="CN40" si="474">CM40</f>
        <v>0.18113207547169805</v>
      </c>
      <c r="CO40" s="47">
        <f t="shared" ref="CO40" si="475">CN40</f>
        <v>0.18113207547169805</v>
      </c>
      <c r="CP40" s="47">
        <f t="shared" ref="CP40" si="476">CO40</f>
        <v>0.18113207547169805</v>
      </c>
      <c r="CQ40" s="47">
        <f t="shared" ref="CQ40" si="477">CP40</f>
        <v>0.18113207547169805</v>
      </c>
      <c r="CR40" s="47">
        <f t="shared" ref="CR40" si="478">CQ40</f>
        <v>0.18113207547169805</v>
      </c>
      <c r="CS40" s="47">
        <f t="shared" ref="CS40" si="479">CR40</f>
        <v>0.18113207547169805</v>
      </c>
      <c r="CT40" s="47">
        <f t="shared" ref="CT40" si="480">CS40</f>
        <v>0.18113207547169805</v>
      </c>
      <c r="CU40" s="47">
        <f t="shared" ref="CU40" si="481">CT40</f>
        <v>0.18113207547169805</v>
      </c>
      <c r="CV40" s="47">
        <f t="shared" ref="CV40" si="482">CU40</f>
        <v>0.18113207547169805</v>
      </c>
      <c r="CW40" s="47">
        <f t="shared" ref="CW40" si="483">CV40</f>
        <v>0.18113207547169805</v>
      </c>
      <c r="CX40" s="47">
        <f t="shared" ref="CX40" si="484">CW40</f>
        <v>0.18113207547169805</v>
      </c>
      <c r="CY40" s="47">
        <f t="shared" ref="CY40" si="485">CX40</f>
        <v>0.18113207547169805</v>
      </c>
      <c r="CZ40" s="47">
        <f t="shared" ref="CZ40" si="486">CY40</f>
        <v>0.18113207547169805</v>
      </c>
      <c r="DA40" s="47">
        <f t="shared" ref="DA40" si="487">CZ40</f>
        <v>0.18113207547169805</v>
      </c>
      <c r="DB40" s="47">
        <f t="shared" ref="DB40" si="488">DA40</f>
        <v>0.18113207547169805</v>
      </c>
      <c r="DE40" s="130"/>
      <c r="DF40" s="46">
        <v>0.15245202558635393</v>
      </c>
    </row>
    <row r="41" spans="1:110" s="26" customFormat="1" x14ac:dyDescent="0.2">
      <c r="A41" s="34" t="s">
        <v>16</v>
      </c>
      <c r="B41" s="26">
        <f>B35-B39</f>
        <v>0</v>
      </c>
      <c r="C41" s="26">
        <f t="shared" ref="C41:T41" si="489">C35-C39</f>
        <v>0</v>
      </c>
      <c r="D41" s="26">
        <f>D35-D39</f>
        <v>0</v>
      </c>
      <c r="E41" s="26">
        <f t="shared" si="489"/>
        <v>0</v>
      </c>
      <c r="F41" s="26">
        <f t="shared" si="489"/>
        <v>0</v>
      </c>
      <c r="G41" s="26">
        <f t="shared" si="489"/>
        <v>0</v>
      </c>
      <c r="H41" s="26">
        <f t="shared" si="489"/>
        <v>0</v>
      </c>
      <c r="I41" s="26">
        <f t="shared" si="489"/>
        <v>0</v>
      </c>
      <c r="J41" s="26">
        <f t="shared" si="489"/>
        <v>0</v>
      </c>
      <c r="K41" s="26">
        <f t="shared" si="489"/>
        <v>0</v>
      </c>
      <c r="L41" s="26">
        <f t="shared" si="489"/>
        <v>0</v>
      </c>
      <c r="M41" s="26">
        <f t="shared" si="489"/>
        <v>0</v>
      </c>
      <c r="N41" s="26">
        <f t="shared" si="489"/>
        <v>0</v>
      </c>
      <c r="O41" s="26">
        <f t="shared" si="489"/>
        <v>0</v>
      </c>
      <c r="P41" s="26">
        <f t="shared" si="489"/>
        <v>0</v>
      </c>
      <c r="Q41" s="26">
        <f t="shared" si="489"/>
        <v>0</v>
      </c>
      <c r="R41" s="26">
        <f t="shared" si="489"/>
        <v>0</v>
      </c>
      <c r="S41" s="26">
        <f t="shared" si="489"/>
        <v>591.77800000000013</v>
      </c>
      <c r="T41" s="26">
        <f t="shared" si="489"/>
        <v>702.25099999999986</v>
      </c>
      <c r="U41" s="26">
        <f t="shared" ref="U41:Z41" si="490">U35-U39</f>
        <v>358.52999999999975</v>
      </c>
      <c r="V41" s="26">
        <f t="shared" si="490"/>
        <v>-393.55999999999972</v>
      </c>
      <c r="W41" s="26">
        <f t="shared" si="490"/>
        <v>-917.65000000000043</v>
      </c>
      <c r="X41" s="26">
        <f t="shared" si="490"/>
        <v>-1138.3</v>
      </c>
      <c r="Y41" s="26">
        <f t="shared" si="490"/>
        <v>-23.980000000000153</v>
      </c>
      <c r="Z41" s="26">
        <f t="shared" si="490"/>
        <v>249.92999999999998</v>
      </c>
      <c r="AA41" s="26">
        <f t="shared" ref="AA41" si="491">AA35-AA39</f>
        <v>301.90000000000077</v>
      </c>
      <c r="AB41" s="27">
        <f t="shared" ref="AA41:AD41" si="492">AB35-AB39</f>
        <v>398.44073526450973</v>
      </c>
      <c r="AC41" s="27">
        <f t="shared" si="492"/>
        <v>483.40729443036554</v>
      </c>
      <c r="AD41" s="27">
        <f t="shared" si="492"/>
        <v>554.81670836963019</v>
      </c>
      <c r="AE41" s="27">
        <f t="shared" ref="AE41" si="493">AE35-AE39</f>
        <v>628.89094588820876</v>
      </c>
      <c r="AI41" s="26">
        <f t="shared" ref="AI41" si="494">AI35-AI39</f>
        <v>0</v>
      </c>
      <c r="AJ41" s="26">
        <f t="shared" ref="AJ41" si="495">AJ35-AJ39</f>
        <v>0</v>
      </c>
      <c r="AK41" s="26">
        <f t="shared" ref="AK41:AM41" si="496">AK35-AK39</f>
        <v>0</v>
      </c>
      <c r="AL41" s="26">
        <f t="shared" si="496"/>
        <v>0</v>
      </c>
      <c r="AM41" s="26">
        <f t="shared" si="496"/>
        <v>0</v>
      </c>
      <c r="AN41" s="26">
        <f t="shared" ref="AN41:AO41" si="497">AN35-AN39</f>
        <v>0</v>
      </c>
      <c r="AO41" s="26">
        <f t="shared" si="497"/>
        <v>0</v>
      </c>
      <c r="AP41" s="26">
        <f t="shared" ref="AP41:CD41" si="498">AP35-AP39</f>
        <v>0</v>
      </c>
      <c r="AQ41" s="26">
        <f t="shared" si="498"/>
        <v>0</v>
      </c>
      <c r="AR41" s="26">
        <f t="shared" si="498"/>
        <v>0</v>
      </c>
      <c r="AS41" s="26">
        <f t="shared" si="498"/>
        <v>0</v>
      </c>
      <c r="AT41" s="26">
        <f t="shared" si="498"/>
        <v>0</v>
      </c>
      <c r="AU41" s="26">
        <f t="shared" si="498"/>
        <v>0</v>
      </c>
      <c r="AV41" s="26">
        <f t="shared" si="498"/>
        <v>0</v>
      </c>
      <c r="AW41" s="26">
        <f t="shared" si="498"/>
        <v>0</v>
      </c>
      <c r="AX41" s="26">
        <f t="shared" si="498"/>
        <v>0</v>
      </c>
      <c r="AY41" s="26">
        <f t="shared" si="498"/>
        <v>0</v>
      </c>
      <c r="AZ41" s="26">
        <f t="shared" si="498"/>
        <v>0</v>
      </c>
      <c r="BA41" s="26">
        <f t="shared" si="498"/>
        <v>0</v>
      </c>
      <c r="BB41" s="26">
        <f t="shared" si="498"/>
        <v>0</v>
      </c>
      <c r="BC41" s="26">
        <f t="shared" si="498"/>
        <v>0</v>
      </c>
      <c r="BD41" s="26">
        <f t="shared" si="498"/>
        <v>0</v>
      </c>
      <c r="BE41" s="26">
        <f t="shared" si="498"/>
        <v>0</v>
      </c>
      <c r="BF41" s="26">
        <f t="shared" si="498"/>
        <v>0</v>
      </c>
      <c r="BG41" s="26">
        <f t="shared" si="498"/>
        <v>0</v>
      </c>
      <c r="BH41" s="26">
        <f t="shared" si="498"/>
        <v>27.20699999999983</v>
      </c>
      <c r="BI41" s="26">
        <f t="shared" si="498"/>
        <v>185.15499999999992</v>
      </c>
      <c r="BJ41" s="26">
        <f t="shared" si="498"/>
        <v>329.6410000000003</v>
      </c>
      <c r="BK41" s="26">
        <f t="shared" si="498"/>
        <v>62.890000000000029</v>
      </c>
      <c r="BL41" s="26">
        <f t="shared" si="498"/>
        <v>90.789999999999992</v>
      </c>
      <c r="BM41" s="26">
        <f t="shared" si="498"/>
        <v>6.1010000000001039</v>
      </c>
      <c r="BN41" s="26">
        <f t="shared" si="498"/>
        <v>130.16000000000003</v>
      </c>
      <c r="BO41" s="26">
        <f t="shared" si="498"/>
        <v>12.690000000000097</v>
      </c>
      <c r="BP41" s="26">
        <f t="shared" si="498"/>
        <v>0.63000000000012735</v>
      </c>
      <c r="BQ41" s="26">
        <f t="shared" si="498"/>
        <v>10.560000000000056</v>
      </c>
      <c r="BR41" s="26">
        <f t="shared" si="498"/>
        <v>-429.31999999999994</v>
      </c>
      <c r="BS41" s="26">
        <f t="shared" si="498"/>
        <v>-106.78999999999992</v>
      </c>
      <c r="BT41" s="26">
        <f t="shared" si="498"/>
        <v>-297.7299999999999</v>
      </c>
      <c r="BU41" s="26">
        <f t="shared" si="498"/>
        <v>-395.57000000000016</v>
      </c>
      <c r="BV41" s="26">
        <f t="shared" si="498"/>
        <v>-128.06000000000012</v>
      </c>
      <c r="BW41" s="26">
        <f t="shared" si="498"/>
        <v>-347.32999999999987</v>
      </c>
      <c r="BX41" s="26">
        <f t="shared" si="498"/>
        <v>-373.48999999999995</v>
      </c>
      <c r="BY41" s="26">
        <f t="shared" si="498"/>
        <v>-67.919999999999973</v>
      </c>
      <c r="BZ41" s="26">
        <f t="shared" si="498"/>
        <v>-355.94999999999993</v>
      </c>
      <c r="CA41" s="26">
        <f t="shared" si="498"/>
        <v>-40.629999999999924</v>
      </c>
      <c r="CB41" s="26">
        <f t="shared" si="498"/>
        <v>-2.8200000000000296</v>
      </c>
      <c r="CC41" s="26">
        <f t="shared" si="498"/>
        <v>-20.670000000000009</v>
      </c>
      <c r="CD41" s="26">
        <f t="shared" si="498"/>
        <v>24.889999999999965</v>
      </c>
      <c r="CE41" s="26">
        <f t="shared" ref="CE41:CF41" si="499">CE35-CE39</f>
        <v>20.669999999999895</v>
      </c>
      <c r="CF41" s="26">
        <f t="shared" si="499"/>
        <v>14.320000000000034</v>
      </c>
      <c r="CG41" s="26">
        <f t="shared" ref="CG41:CH41" si="500">CG35-CG39</f>
        <v>66.960000000000036</v>
      </c>
      <c r="CH41" s="26">
        <f t="shared" si="500"/>
        <v>130.44000000000028</v>
      </c>
      <c r="CI41" s="26">
        <f t="shared" ref="CI41:CJ41" si="501">CI35-CI39</f>
        <v>82.650000000000034</v>
      </c>
      <c r="CJ41" s="26">
        <f t="shared" si="501"/>
        <v>1.1899999999998454</v>
      </c>
      <c r="CK41" s="26">
        <f t="shared" ref="CK41:CL41" si="502">CK35-CK39</f>
        <v>64.09000000000016</v>
      </c>
      <c r="CL41" s="26">
        <f t="shared" si="502"/>
        <v>142.87999999999988</v>
      </c>
      <c r="CM41" s="27">
        <f t="shared" ref="CM41:DB41" si="503">CM35-CM39</f>
        <v>91.702392987412424</v>
      </c>
      <c r="CN41" s="27">
        <f t="shared" si="503"/>
        <v>78.056718517354057</v>
      </c>
      <c r="CO41" s="27">
        <f t="shared" si="503"/>
        <v>105.10532606338579</v>
      </c>
      <c r="CP41" s="27">
        <f t="shared" si="503"/>
        <v>123.57629769635803</v>
      </c>
      <c r="CQ41" s="27">
        <f t="shared" si="503"/>
        <v>120.40488520163964</v>
      </c>
      <c r="CR41" s="27">
        <f t="shared" si="503"/>
        <v>108.91605967016292</v>
      </c>
      <c r="CS41" s="27">
        <f t="shared" si="503"/>
        <v>120.89087722662079</v>
      </c>
      <c r="CT41" s="27">
        <f t="shared" si="503"/>
        <v>133.19547233194263</v>
      </c>
      <c r="CU41" s="27">
        <f t="shared" si="503"/>
        <v>142.41688619495767</v>
      </c>
      <c r="CV41" s="27">
        <f t="shared" si="503"/>
        <v>126.67885564398661</v>
      </c>
      <c r="CW41" s="27">
        <f t="shared" si="503"/>
        <v>135.97128396093703</v>
      </c>
      <c r="CX41" s="27">
        <f t="shared" si="503"/>
        <v>149.74968256975063</v>
      </c>
      <c r="CY41" s="27">
        <f t="shared" si="503"/>
        <v>162.56259702221334</v>
      </c>
      <c r="CZ41" s="27">
        <f t="shared" si="503"/>
        <v>143.38494711266122</v>
      </c>
      <c r="DA41" s="27">
        <f t="shared" si="503"/>
        <v>153.38431388596507</v>
      </c>
      <c r="DB41" s="27">
        <f t="shared" si="503"/>
        <v>169.55908786736887</v>
      </c>
      <c r="DE41" s="121"/>
      <c r="DF41" s="26">
        <v>145.06277232261965</v>
      </c>
    </row>
    <row r="42" spans="1:110" s="23" customFormat="1" x14ac:dyDescent="0.2">
      <c r="A42" s="23" t="s">
        <v>17</v>
      </c>
      <c r="B42" s="23">
        <f>'Annual Raw'!C23</f>
        <v>0</v>
      </c>
      <c r="C42" s="23">
        <f>'Annual Raw'!D23</f>
        <v>0</v>
      </c>
      <c r="D42" s="23">
        <f>'Annual Raw'!E23</f>
        <v>0</v>
      </c>
      <c r="E42" s="23">
        <f>'Annual Raw'!F23</f>
        <v>0</v>
      </c>
      <c r="F42" s="23">
        <f>'Annual Raw'!G23</f>
        <v>0</v>
      </c>
      <c r="G42" s="23">
        <f>'Annual Raw'!H23</f>
        <v>0</v>
      </c>
      <c r="H42" s="23">
        <f>'Annual Raw'!I23</f>
        <v>0</v>
      </c>
      <c r="I42" s="23">
        <f>'Annual Raw'!J23</f>
        <v>0</v>
      </c>
      <c r="J42" s="23">
        <f>'Annual Raw'!K23</f>
        <v>0</v>
      </c>
      <c r="K42" s="23">
        <f>'Annual Raw'!L23</f>
        <v>0</v>
      </c>
      <c r="L42" s="23">
        <f>'Annual Raw'!M23</f>
        <v>0</v>
      </c>
      <c r="M42" s="23">
        <f>'Annual Raw'!N23</f>
        <v>0</v>
      </c>
      <c r="N42" s="23">
        <f>'Annual Raw'!O23</f>
        <v>0</v>
      </c>
      <c r="O42" s="23">
        <f>'Annual Raw'!P23</f>
        <v>0</v>
      </c>
      <c r="P42" s="23">
        <f>'Annual Raw'!Q23</f>
        <v>0</v>
      </c>
      <c r="Q42" s="23">
        <f>'Annual Raw'!R23</f>
        <v>0</v>
      </c>
      <c r="R42" s="23">
        <f>'Annual Raw'!S23</f>
        <v>0</v>
      </c>
      <c r="S42" s="23">
        <f>'Annual Raw'!T23</f>
        <v>12.712</v>
      </c>
      <c r="T42" s="23">
        <f>'Annual Raw'!U23</f>
        <v>209.52500000000001</v>
      </c>
      <c r="U42" s="23">
        <f>'Annual Raw'!V23</f>
        <v>303.49</v>
      </c>
      <c r="V42" s="23">
        <f>'Annual Raw'!W23</f>
        <v>158.49</v>
      </c>
      <c r="W42" s="23">
        <f>'Annual Raw'!X23</f>
        <v>94.7</v>
      </c>
      <c r="X42" s="23">
        <f>'Annual Raw'!Y23</f>
        <v>110.86</v>
      </c>
      <c r="Y42" s="23">
        <f>'Annual Raw'!Z23</f>
        <v>85.42</v>
      </c>
      <c r="Z42" s="23">
        <f>'Annual Raw'!AA23</f>
        <v>39.6</v>
      </c>
      <c r="AA42" s="23">
        <f>'Annual Raw'!AB23</f>
        <v>203.67</v>
      </c>
      <c r="AB42" s="76">
        <f t="shared" ref="AB42:AB43" si="504">+SUM(CM42:CP42)</f>
        <v>0</v>
      </c>
      <c r="AC42" s="76">
        <f t="shared" ref="AC42:AC43" si="505">+SUM(CQ42:CT42)</f>
        <v>0</v>
      </c>
      <c r="AD42" s="76">
        <f t="shared" ref="AD42:AD43" si="506">+SUM(CU42:CX42)</f>
        <v>0</v>
      </c>
      <c r="AE42" s="76">
        <f t="shared" ref="AE42:AE43" si="507">+SUM(CY42:DB42)</f>
        <v>0</v>
      </c>
      <c r="AI42" s="23">
        <f>'QTR Raw'!C23</f>
        <v>0</v>
      </c>
      <c r="AJ42" s="23">
        <f>'QTR Raw'!D23</f>
        <v>0</v>
      </c>
      <c r="AK42" s="23">
        <f>'QTR Raw'!E23</f>
        <v>0</v>
      </c>
      <c r="AL42" s="23">
        <f>'QTR Raw'!F23</f>
        <v>0</v>
      </c>
      <c r="AM42" s="23">
        <f>'QTR Raw'!G23</f>
        <v>0</v>
      </c>
      <c r="AN42" s="23">
        <f>'QTR Raw'!H23</f>
        <v>0</v>
      </c>
      <c r="AO42" s="23">
        <f>'QTR Raw'!I23</f>
        <v>0</v>
      </c>
      <c r="AP42" s="23">
        <f>'QTR Raw'!J23</f>
        <v>0</v>
      </c>
      <c r="AQ42" s="23">
        <f>'QTR Raw'!K23</f>
        <v>0</v>
      </c>
      <c r="AR42" s="23">
        <f>'QTR Raw'!L23</f>
        <v>0</v>
      </c>
      <c r="AS42" s="23">
        <f>'QTR Raw'!M23</f>
        <v>0</v>
      </c>
      <c r="AT42" s="23">
        <f>'QTR Raw'!N23</f>
        <v>0</v>
      </c>
      <c r="AU42" s="23">
        <f>'QTR Raw'!O23</f>
        <v>0</v>
      </c>
      <c r="AV42" s="23">
        <f>'QTR Raw'!P23</f>
        <v>0</v>
      </c>
      <c r="AW42" s="23">
        <f>'QTR Raw'!Q23</f>
        <v>0</v>
      </c>
      <c r="AX42" s="23">
        <f>'QTR Raw'!R23</f>
        <v>0</v>
      </c>
      <c r="AY42" s="23">
        <f>'QTR Raw'!S23</f>
        <v>0</v>
      </c>
      <c r="AZ42" s="23">
        <f>'QTR Raw'!T23</f>
        <v>0</v>
      </c>
      <c r="BA42" s="23">
        <f>'QTR Raw'!U23</f>
        <v>0</v>
      </c>
      <c r="BB42" s="23">
        <f>'QTR Raw'!V23</f>
        <v>0</v>
      </c>
      <c r="BC42" s="23">
        <f>'QTR Raw'!W23</f>
        <v>0</v>
      </c>
      <c r="BD42" s="23">
        <f>'QTR Raw'!X23</f>
        <v>0</v>
      </c>
      <c r="BE42" s="23">
        <f>'QTR Raw'!Y23</f>
        <v>0</v>
      </c>
      <c r="BF42" s="23">
        <f>'QTR Raw'!Z23</f>
        <v>0</v>
      </c>
      <c r="BG42" s="23">
        <f>'QTR Raw'!AA23</f>
        <v>0</v>
      </c>
      <c r="BH42" s="23">
        <f>'QTR Raw'!AB23</f>
        <v>67.784000000000006</v>
      </c>
      <c r="BI42" s="23">
        <f>'QTR Raw'!AC23</f>
        <v>85.400999999999996</v>
      </c>
      <c r="BJ42" s="23">
        <f>'QTR Raw'!AD23</f>
        <v>42.91</v>
      </c>
      <c r="BK42" s="23">
        <f>'QTR Raw'!AE23</f>
        <v>64.39</v>
      </c>
      <c r="BL42" s="23">
        <f>'QTR Raw'!AF23</f>
        <v>72.319999999999993</v>
      </c>
      <c r="BM42" s="23">
        <f>'QTR Raw'!AG23</f>
        <v>106.9</v>
      </c>
      <c r="BN42" s="23">
        <f>'QTR Raw'!AH23</f>
        <v>59.87</v>
      </c>
      <c r="BO42" s="23">
        <f>'QTR Raw'!AI23</f>
        <v>31.48</v>
      </c>
      <c r="BP42" s="23">
        <f>'QTR Raw'!AJ23</f>
        <v>39.31</v>
      </c>
      <c r="BQ42" s="23">
        <f>'QTR Raw'!AK23</f>
        <v>35.909999999999997</v>
      </c>
      <c r="BR42" s="23">
        <f>'QTR Raw'!AL23</f>
        <v>51.79</v>
      </c>
      <c r="BS42" s="23">
        <f>'QTR Raw'!AM23</f>
        <v>32.57</v>
      </c>
      <c r="BT42" s="23">
        <f>'QTR Raw'!AN23</f>
        <v>31.32</v>
      </c>
      <c r="BU42" s="23">
        <f>'QTR Raw'!AO23</f>
        <v>7.37</v>
      </c>
      <c r="BV42" s="23">
        <f>'QTR Raw'!AP23</f>
        <v>23.44</v>
      </c>
      <c r="BW42" s="23">
        <f>'QTR Raw'!AQ23</f>
        <v>4.13</v>
      </c>
      <c r="BX42" s="23">
        <f>'QTR Raw'!AR23</f>
        <v>98.11</v>
      </c>
      <c r="BY42" s="23">
        <f>'QTR Raw'!AS23</f>
        <v>10.69</v>
      </c>
      <c r="BZ42" s="23">
        <f>'QTR Raw'!AT23</f>
        <v>-2.0699999999999998</v>
      </c>
      <c r="CA42" s="23">
        <f>'QTR Raw'!AU23</f>
        <v>7.39</v>
      </c>
      <c r="CB42" s="23">
        <f>'QTR Raw'!AV23</f>
        <v>17.21</v>
      </c>
      <c r="CC42" s="23">
        <f>'QTR Raw'!AW23</f>
        <v>27.43</v>
      </c>
      <c r="CD42" s="23">
        <f>'QTR Raw'!AX23</f>
        <v>33.39</v>
      </c>
      <c r="CE42" s="23">
        <f>'QTR Raw'!AY23</f>
        <v>12.83</v>
      </c>
      <c r="CF42" s="23">
        <f>'QTR Raw'!AZ23</f>
        <v>33.96</v>
      </c>
      <c r="CG42" s="23">
        <f>'QTR Raw'!BA23</f>
        <v>5.47</v>
      </c>
      <c r="CH42" s="23">
        <f>'QTR Raw'!BB23</f>
        <v>-12.66</v>
      </c>
      <c r="CI42" s="23">
        <f>'QTR Raw'!BC23</f>
        <v>21.11</v>
      </c>
      <c r="CJ42" s="23">
        <f>'QTR Raw'!BD23</f>
        <v>111.05</v>
      </c>
      <c r="CK42" s="23">
        <f>'QTR Raw'!BE23</f>
        <v>18.579999999999998</v>
      </c>
      <c r="CL42" s="23">
        <f>'QTR Raw'!BF23</f>
        <v>52.93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3"/>
      <c r="DF42" s="23">
        <v>203.67000000000002</v>
      </c>
    </row>
    <row r="43" spans="1:110" s="23" customFormat="1" x14ac:dyDescent="0.2">
      <c r="A43" s="23" t="s">
        <v>18</v>
      </c>
      <c r="B43" s="23">
        <f>'Annual Raw'!C25</f>
        <v>0</v>
      </c>
      <c r="C43" s="23">
        <f>'Annual Raw'!D25</f>
        <v>0</v>
      </c>
      <c r="D43" s="23">
        <f>'Annual Raw'!E25</f>
        <v>0</v>
      </c>
      <c r="E43" s="23">
        <f>'Annual Raw'!F25</f>
        <v>0</v>
      </c>
      <c r="F43" s="23">
        <f>'Annual Raw'!G25</f>
        <v>0</v>
      </c>
      <c r="G43" s="23">
        <f>'Annual Raw'!H25</f>
        <v>0</v>
      </c>
      <c r="H43" s="23">
        <f>'Annual Raw'!I25</f>
        <v>0</v>
      </c>
      <c r="I43" s="23">
        <f>'Annual Raw'!J25</f>
        <v>0</v>
      </c>
      <c r="J43" s="23">
        <f>'Annual Raw'!K25</f>
        <v>0</v>
      </c>
      <c r="K43" s="23">
        <f>'Annual Raw'!L25</f>
        <v>0</v>
      </c>
      <c r="L43" s="23">
        <f>'Annual Raw'!M25</f>
        <v>0</v>
      </c>
      <c r="M43" s="23">
        <f>'Annual Raw'!N25</f>
        <v>0</v>
      </c>
      <c r="N43" s="23">
        <f>'Annual Raw'!O25</f>
        <v>0</v>
      </c>
      <c r="O43" s="23">
        <f>'Annual Raw'!P25</f>
        <v>0</v>
      </c>
      <c r="P43" s="23">
        <f>'Annual Raw'!Q25</f>
        <v>0</v>
      </c>
      <c r="Q43" s="23">
        <f>'Annual Raw'!R25</f>
        <v>0</v>
      </c>
      <c r="R43" s="23">
        <f>'Annual Raw'!S25</f>
        <v>0</v>
      </c>
      <c r="S43" s="23">
        <f>'Annual Raw'!T25</f>
        <v>75.811999999999998</v>
      </c>
      <c r="T43" s="23">
        <f>'Annual Raw'!U25</f>
        <v>152.60499999999999</v>
      </c>
      <c r="U43" s="23">
        <f>'Annual Raw'!V25</f>
        <v>263.52</v>
      </c>
      <c r="V43" s="23">
        <f>'Annual Raw'!W25</f>
        <v>104.97</v>
      </c>
      <c r="W43" s="23">
        <f>'Annual Raw'!X25</f>
        <v>87.21</v>
      </c>
      <c r="X43" s="23">
        <f>'Annual Raw'!Y25</f>
        <v>151.30000000000001</v>
      </c>
      <c r="Y43" s="23">
        <f>'Annual Raw'!Z25</f>
        <v>233.76</v>
      </c>
      <c r="Z43" s="23">
        <f>'Annual Raw'!AA25</f>
        <v>126.99</v>
      </c>
      <c r="AA43" s="23">
        <f>'Annual Raw'!AB25</f>
        <v>164.87</v>
      </c>
      <c r="AB43" s="76">
        <f t="shared" si="504"/>
        <v>-30.802461597030259</v>
      </c>
      <c r="AC43" s="76">
        <f t="shared" si="505"/>
        <v>-23.068869876670366</v>
      </c>
      <c r="AD43" s="76">
        <f t="shared" si="506"/>
        <v>-11.151176784924601</v>
      </c>
      <c r="AE43" s="76">
        <f t="shared" si="507"/>
        <v>2.5072230907277953</v>
      </c>
      <c r="AI43" s="23">
        <f>'QTR Raw'!C25</f>
        <v>0</v>
      </c>
      <c r="AJ43" s="23">
        <f>'QTR Raw'!D25</f>
        <v>0</v>
      </c>
      <c r="AK43" s="23">
        <f>'QTR Raw'!E25</f>
        <v>0</v>
      </c>
      <c r="AL43" s="23">
        <f>'QTR Raw'!F25</f>
        <v>0</v>
      </c>
      <c r="AM43" s="23">
        <f>'QTR Raw'!G25</f>
        <v>0</v>
      </c>
      <c r="AN43" s="23">
        <f>'QTR Raw'!H25</f>
        <v>0</v>
      </c>
      <c r="AO43" s="23">
        <f>'QTR Raw'!I25</f>
        <v>0</v>
      </c>
      <c r="AP43" s="23">
        <f>'QTR Raw'!J25</f>
        <v>0</v>
      </c>
      <c r="AQ43" s="23">
        <f>'QTR Raw'!K25</f>
        <v>0</v>
      </c>
      <c r="AR43" s="23">
        <f>'QTR Raw'!L25</f>
        <v>0</v>
      </c>
      <c r="AS43" s="23">
        <f>'QTR Raw'!M25</f>
        <v>0</v>
      </c>
      <c r="AT43" s="23">
        <f>'QTR Raw'!N25</f>
        <v>0</v>
      </c>
      <c r="AU43" s="23">
        <f>'QTR Raw'!O25</f>
        <v>0</v>
      </c>
      <c r="AV43" s="23">
        <f>'QTR Raw'!P25</f>
        <v>0</v>
      </c>
      <c r="AW43" s="23">
        <f>'QTR Raw'!Q25</f>
        <v>0</v>
      </c>
      <c r="AX43" s="23">
        <f>'QTR Raw'!R25</f>
        <v>0</v>
      </c>
      <c r="AY43" s="23">
        <f>'QTR Raw'!S25</f>
        <v>0</v>
      </c>
      <c r="AZ43" s="23">
        <f>'QTR Raw'!T25</f>
        <v>0</v>
      </c>
      <c r="BA43" s="23">
        <f>'QTR Raw'!U25</f>
        <v>0</v>
      </c>
      <c r="BB43" s="23">
        <f>'QTR Raw'!V25</f>
        <v>0</v>
      </c>
      <c r="BC43" s="23">
        <f>'QTR Raw'!W25</f>
        <v>0</v>
      </c>
      <c r="BD43" s="23">
        <f>'QTR Raw'!X25</f>
        <v>0</v>
      </c>
      <c r="BE43" s="23">
        <f>'QTR Raw'!Y25</f>
        <v>0</v>
      </c>
      <c r="BF43" s="23">
        <f>'QTR Raw'!Z25</f>
        <v>0</v>
      </c>
      <c r="BG43" s="23">
        <f>'QTR Raw'!AA25</f>
        <v>0</v>
      </c>
      <c r="BH43" s="23">
        <f>'QTR Raw'!AB25</f>
        <v>9.7370000000000001</v>
      </c>
      <c r="BI43" s="23">
        <f>'QTR Raw'!AC25</f>
        <v>41.125</v>
      </c>
      <c r="BJ43" s="23">
        <f>'QTR Raw'!AD25</f>
        <v>31.62</v>
      </c>
      <c r="BK43" s="23">
        <f>'QTR Raw'!AE25</f>
        <v>50.81</v>
      </c>
      <c r="BL43" s="23">
        <f>'QTR Raw'!AF25</f>
        <v>62.26</v>
      </c>
      <c r="BM43" s="23">
        <f>'QTR Raw'!AG25</f>
        <v>50.93</v>
      </c>
      <c r="BN43" s="23">
        <f>'QTR Raw'!AH25</f>
        <v>30.93</v>
      </c>
      <c r="BO43" s="23">
        <f>'QTR Raw'!AI25</f>
        <v>24.63</v>
      </c>
      <c r="BP43" s="23">
        <f>'QTR Raw'!AJ25</f>
        <v>22.42</v>
      </c>
      <c r="BQ43" s="23">
        <f>'QTR Raw'!AK25</f>
        <v>23.11</v>
      </c>
      <c r="BR43" s="23">
        <f>'QTR Raw'!AL25</f>
        <v>22.93</v>
      </c>
      <c r="BS43" s="23">
        <f>'QTR Raw'!AM25</f>
        <v>12.52</v>
      </c>
      <c r="BT43" s="23">
        <f>'QTR Raw'!AN25</f>
        <v>17.11</v>
      </c>
      <c r="BU43" s="23">
        <f>'QTR Raw'!AO25</f>
        <v>28.25</v>
      </c>
      <c r="BV43" s="23">
        <f>'QTR Raw'!AP25</f>
        <v>18.829999999999998</v>
      </c>
      <c r="BW43" s="23">
        <f>'QTR Raw'!AQ25</f>
        <v>14.66</v>
      </c>
      <c r="BX43" s="23">
        <f>'QTR Raw'!AR25</f>
        <v>32.840000000000003</v>
      </c>
      <c r="BY43" s="23">
        <f>'QTR Raw'!AS25</f>
        <v>37.909999999999997</v>
      </c>
      <c r="BZ43" s="23">
        <f>'QTR Raw'!AT25</f>
        <v>59.5</v>
      </c>
      <c r="CA43" s="23">
        <f>'QTR Raw'!AU25</f>
        <v>62.09</v>
      </c>
      <c r="CB43" s="23">
        <f>'QTR Raw'!AV25</f>
        <v>64.34</v>
      </c>
      <c r="CC43" s="23">
        <f>'QTR Raw'!AW25</f>
        <v>67.55</v>
      </c>
      <c r="CD43" s="23">
        <f>'QTR Raw'!AX25</f>
        <v>24.54</v>
      </c>
      <c r="CE43" s="23">
        <f>'QTR Raw'!AY25</f>
        <v>18.84</v>
      </c>
      <c r="CF43" s="23">
        <f>'QTR Raw'!AZ25</f>
        <v>28.21</v>
      </c>
      <c r="CG43" s="23">
        <f>'QTR Raw'!BA25</f>
        <v>31.34</v>
      </c>
      <c r="CH43" s="23">
        <f>'QTR Raw'!BB25</f>
        <v>31.06</v>
      </c>
      <c r="CI43" s="23">
        <f>'QTR Raw'!BC25</f>
        <v>29.09</v>
      </c>
      <c r="CJ43" s="23">
        <f>'QTR Raw'!BD25</f>
        <v>35.549999999999997</v>
      </c>
      <c r="CK43" s="23">
        <f>'QTR Raw'!BE25</f>
        <v>47.44</v>
      </c>
      <c r="CL43" s="23">
        <f>'QTR Raw'!BF25</f>
        <v>41.7</v>
      </c>
      <c r="CM43" s="24">
        <f t="shared" ref="CM43:DB43" si="508">CM44*CL180</f>
        <v>-7.2042273751794843</v>
      </c>
      <c r="CN43" s="24">
        <f t="shared" si="508"/>
        <v>-9.6728537197839195</v>
      </c>
      <c r="CO43" s="24">
        <f t="shared" si="508"/>
        <v>-6.9759416036393835</v>
      </c>
      <c r="CP43" s="24">
        <f t="shared" si="508"/>
        <v>-6.9494388984274718</v>
      </c>
      <c r="CQ43" s="24">
        <f t="shared" si="508"/>
        <v>-7.0034541696384096</v>
      </c>
      <c r="CR43" s="24">
        <f t="shared" si="508"/>
        <v>-7.7822749118329329</v>
      </c>
      <c r="CS43" s="24">
        <f t="shared" si="508"/>
        <v>-4.205172180249666</v>
      </c>
      <c r="CT43" s="24">
        <f t="shared" si="508"/>
        <v>-4.0779686149493592</v>
      </c>
      <c r="CU43" s="24">
        <f t="shared" si="508"/>
        <v>-4.5811280187857317</v>
      </c>
      <c r="CV43" s="24">
        <f t="shared" si="508"/>
        <v>-4.9572659218776032</v>
      </c>
      <c r="CW43" s="24">
        <f t="shared" si="508"/>
        <v>-0.84752718942591188</v>
      </c>
      <c r="CX43" s="24">
        <f t="shared" si="508"/>
        <v>-0.76525565483535385</v>
      </c>
      <c r="CY43" s="24">
        <f t="shared" si="508"/>
        <v>-1.4201161717338593</v>
      </c>
      <c r="CZ43" s="24">
        <f t="shared" si="508"/>
        <v>-1.7908214582026003</v>
      </c>
      <c r="DA43" s="24">
        <f t="shared" si="508"/>
        <v>2.8560305819899652</v>
      </c>
      <c r="DB43" s="24">
        <f t="shared" si="508"/>
        <v>2.8621301386742899</v>
      </c>
      <c r="DE43" s="123"/>
      <c r="DF43" s="23">
        <v>37.559825936872983</v>
      </c>
    </row>
    <row r="44" spans="1:110" s="46" customFormat="1" x14ac:dyDescent="0.2">
      <c r="A44" s="46" t="s">
        <v>482</v>
      </c>
      <c r="B44" s="46" t="e">
        <f t="shared" ref="B44:D44" si="509">+B43/B140</f>
        <v>#DIV/0!</v>
      </c>
      <c r="C44" s="46" t="e">
        <f t="shared" si="509"/>
        <v>#DIV/0!</v>
      </c>
      <c r="D44" s="46" t="e">
        <f t="shared" si="509"/>
        <v>#DIV/0!</v>
      </c>
      <c r="E44" s="46" t="e">
        <f t="shared" ref="E44:AE44" si="510">+E43/E140</f>
        <v>#DIV/0!</v>
      </c>
      <c r="F44" s="46" t="e">
        <f t="shared" si="510"/>
        <v>#DIV/0!</v>
      </c>
      <c r="G44" s="46" t="e">
        <f t="shared" si="510"/>
        <v>#DIV/0!</v>
      </c>
      <c r="H44" s="46" t="e">
        <f t="shared" si="510"/>
        <v>#DIV/0!</v>
      </c>
      <c r="I44" s="46" t="e">
        <f t="shared" si="510"/>
        <v>#DIV/0!</v>
      </c>
      <c r="J44" s="46" t="e">
        <f t="shared" si="510"/>
        <v>#DIV/0!</v>
      </c>
      <c r="K44" s="46" t="e">
        <f t="shared" si="510"/>
        <v>#DIV/0!</v>
      </c>
      <c r="L44" s="46" t="e">
        <f t="shared" si="510"/>
        <v>#DIV/0!</v>
      </c>
      <c r="M44" s="46" t="e">
        <f t="shared" si="510"/>
        <v>#DIV/0!</v>
      </c>
      <c r="N44" s="46" t="e">
        <f t="shared" si="510"/>
        <v>#DIV/0!</v>
      </c>
      <c r="O44" s="46" t="e">
        <f t="shared" si="510"/>
        <v>#DIV/0!</v>
      </c>
      <c r="P44" s="46" t="e">
        <f t="shared" si="510"/>
        <v>#DIV/0!</v>
      </c>
      <c r="Q44" s="46" t="e">
        <f t="shared" si="510"/>
        <v>#DIV/0!</v>
      </c>
      <c r="R44" s="46" t="e">
        <f t="shared" si="510"/>
        <v>#DIV/0!</v>
      </c>
      <c r="S44" s="46">
        <f t="shared" si="510"/>
        <v>0.41171519032025067</v>
      </c>
      <c r="T44" s="46">
        <f t="shared" si="510"/>
        <v>6.8501052170415702E-2</v>
      </c>
      <c r="U44" s="46">
        <f t="shared" si="510"/>
        <v>0.2152870821214993</v>
      </c>
      <c r="V44" s="46">
        <f t="shared" si="510"/>
        <v>0.22412725525781999</v>
      </c>
      <c r="W44" s="46">
        <f t="shared" si="510"/>
        <v>0.20045510964004964</v>
      </c>
      <c r="X44" s="46">
        <f t="shared" si="510"/>
        <v>7.5088711878706665E-2</v>
      </c>
      <c r="Y44" s="46">
        <f t="shared" si="510"/>
        <v>0.4904124533210254</v>
      </c>
      <c r="Z44" s="46">
        <f t="shared" si="510"/>
        <v>0.14086991247628872</v>
      </c>
      <c r="AA44" s="46">
        <f t="shared" ref="AA44" si="511">+AA43/AA140</f>
        <v>0.14166645185127899</v>
      </c>
      <c r="AB44" s="110">
        <f t="shared" si="510"/>
        <v>-2.6467370914881775E-2</v>
      </c>
      <c r="AC44" s="110">
        <f t="shared" si="510"/>
        <v>-1.9822192901357089E-2</v>
      </c>
      <c r="AD44" s="110">
        <f t="shared" si="510"/>
        <v>-9.5817774554899093E-3</v>
      </c>
      <c r="AE44" s="110">
        <f t="shared" si="510"/>
        <v>2.1543604006975447E-3</v>
      </c>
      <c r="AI44" s="46" t="e">
        <f t="shared" ref="AI44:BN44" si="512">(AI43-AI42)/AH180</f>
        <v>#DIV/0!</v>
      </c>
      <c r="AJ44" s="46" t="e">
        <f t="shared" si="512"/>
        <v>#DIV/0!</v>
      </c>
      <c r="AK44" s="46" t="e">
        <f t="shared" si="512"/>
        <v>#DIV/0!</v>
      </c>
      <c r="AL44" s="46" t="e">
        <f t="shared" si="512"/>
        <v>#DIV/0!</v>
      </c>
      <c r="AM44" s="46" t="e">
        <f t="shared" si="512"/>
        <v>#DIV/0!</v>
      </c>
      <c r="AN44" s="46" t="e">
        <f t="shared" si="512"/>
        <v>#DIV/0!</v>
      </c>
      <c r="AO44" s="46" t="e">
        <f t="shared" si="512"/>
        <v>#DIV/0!</v>
      </c>
      <c r="AP44" s="46" t="e">
        <f t="shared" si="512"/>
        <v>#DIV/0!</v>
      </c>
      <c r="AQ44" s="46" t="e">
        <f t="shared" si="512"/>
        <v>#DIV/0!</v>
      </c>
      <c r="AR44" s="46" t="e">
        <f t="shared" si="512"/>
        <v>#DIV/0!</v>
      </c>
      <c r="AS44" s="46" t="e">
        <f t="shared" si="512"/>
        <v>#DIV/0!</v>
      </c>
      <c r="AT44" s="46" t="e">
        <f t="shared" si="512"/>
        <v>#DIV/0!</v>
      </c>
      <c r="AU44" s="46" t="e">
        <f t="shared" si="512"/>
        <v>#DIV/0!</v>
      </c>
      <c r="AV44" s="46" t="e">
        <f t="shared" si="512"/>
        <v>#DIV/0!</v>
      </c>
      <c r="AW44" s="46" t="e">
        <f t="shared" si="512"/>
        <v>#DIV/0!</v>
      </c>
      <c r="AX44" s="46" t="e">
        <f t="shared" si="512"/>
        <v>#DIV/0!</v>
      </c>
      <c r="AY44" s="46" t="e">
        <f t="shared" si="512"/>
        <v>#DIV/0!</v>
      </c>
      <c r="AZ44" s="46" t="e">
        <f t="shared" si="512"/>
        <v>#DIV/0!</v>
      </c>
      <c r="BA44" s="46" t="e">
        <f t="shared" si="512"/>
        <v>#DIV/0!</v>
      </c>
      <c r="BB44" s="46" t="e">
        <f t="shared" si="512"/>
        <v>#DIV/0!</v>
      </c>
      <c r="BC44" s="46" t="e">
        <f t="shared" si="512"/>
        <v>#DIV/0!</v>
      </c>
      <c r="BD44" s="46" t="e">
        <f t="shared" si="512"/>
        <v>#DIV/0!</v>
      </c>
      <c r="BE44" s="46" t="e">
        <f t="shared" si="512"/>
        <v>#DIV/0!</v>
      </c>
      <c r="BF44" s="46" t="e">
        <f t="shared" si="512"/>
        <v>#DIV/0!</v>
      </c>
      <c r="BG44" s="46" t="e">
        <f t="shared" si="512"/>
        <v>#DIV/0!</v>
      </c>
      <c r="BH44" s="46" t="e">
        <f t="shared" si="512"/>
        <v>#DIV/0!</v>
      </c>
      <c r="BI44" s="46" t="e">
        <f t="shared" si="512"/>
        <v>#DIV/0!</v>
      </c>
      <c r="BJ44" s="46">
        <f t="shared" si="512"/>
        <v>5.9476772976788786E-2</v>
      </c>
      <c r="BK44" s="46">
        <f t="shared" si="512"/>
        <v>-7.659049352928768E-3</v>
      </c>
      <c r="BL44" s="46">
        <f t="shared" si="512"/>
        <v>-5.8334163436514876E-3</v>
      </c>
      <c r="BM44" s="46">
        <f t="shared" si="512"/>
        <v>-3.0986027776147687E-2</v>
      </c>
      <c r="BN44" s="46">
        <f t="shared" si="512"/>
        <v>-1.6691751924118575E-2</v>
      </c>
      <c r="BO44" s="46">
        <f t="shared" ref="BO44:CL44" si="513">(BO43-BO42)/BN180</f>
        <v>-9.4583212515361153E-3</v>
      </c>
      <c r="BP44" s="46">
        <f t="shared" si="513"/>
        <v>-2.1305474348385506E-2</v>
      </c>
      <c r="BQ44" s="46">
        <f t="shared" si="513"/>
        <v>-2.9825706030384935E-2</v>
      </c>
      <c r="BR44" s="46">
        <f t="shared" si="513"/>
        <v>-6.9999324283536835E-2</v>
      </c>
      <c r="BS44" s="46">
        <f t="shared" si="513"/>
        <v>-0.11302142051860201</v>
      </c>
      <c r="BT44" s="46">
        <f t="shared" si="513"/>
        <v>-3.7529710529329657E-2</v>
      </c>
      <c r="BU44" s="46">
        <f t="shared" si="513"/>
        <v>8.4836665041443188E-2</v>
      </c>
      <c r="BV44" s="46">
        <f t="shared" si="513"/>
        <v>-7.0758235578467724E-3</v>
      </c>
      <c r="BW44" s="46">
        <f t="shared" si="513"/>
        <v>-0.15265294288199477</v>
      </c>
      <c r="BX44" s="46">
        <f t="shared" si="513"/>
        <v>-0.31547499221308756</v>
      </c>
      <c r="BY44" s="46">
        <f t="shared" si="513"/>
        <v>3.2634367993861574E-2</v>
      </c>
      <c r="BZ44" s="46">
        <f t="shared" si="513"/>
        <v>8.1292326289539543E-2</v>
      </c>
      <c r="CA44" s="46">
        <f t="shared" si="513"/>
        <v>2.8492996556879212E-2</v>
      </c>
      <c r="CB44" s="46">
        <f t="shared" si="513"/>
        <v>1.745890319628093E-2</v>
      </c>
      <c r="CC44" s="46">
        <f t="shared" si="513"/>
        <v>1.9297368016007382E-2</v>
      </c>
      <c r="CD44" s="46">
        <f t="shared" si="513"/>
        <v>-3.8633263370575141E-3</v>
      </c>
      <c r="CE44" s="46">
        <f t="shared" si="513"/>
        <v>4.3718629519167829E-2</v>
      </c>
      <c r="CF44" s="46">
        <f t="shared" si="513"/>
        <v>-2.0250173951434011E-2</v>
      </c>
      <c r="CG44" s="46">
        <f t="shared" si="513"/>
        <v>8.215828252032524E-2</v>
      </c>
      <c r="CH44" s="46">
        <f t="shared" si="513"/>
        <v>-0.2396629679365618</v>
      </c>
      <c r="CI44" s="46">
        <f t="shared" si="513"/>
        <v>4.1885366365735886E-2</v>
      </c>
      <c r="CJ44" s="46">
        <f t="shared" si="513"/>
        <v>0.42085210309386867</v>
      </c>
      <c r="CK44" s="46">
        <f t="shared" si="513"/>
        <v>3.8283478145519668E-2</v>
      </c>
      <c r="CL44" s="46">
        <f t="shared" si="513"/>
        <v>-1.1446364535787802E-2</v>
      </c>
      <c r="CM44" s="47">
        <f t="shared" ref="CM44" si="514">+CL44</f>
        <v>-1.1446364535787802E-2</v>
      </c>
      <c r="CN44" s="47">
        <f t="shared" ref="CN44" si="515">+CM44</f>
        <v>-1.1446364535787802E-2</v>
      </c>
      <c r="CO44" s="47">
        <f t="shared" ref="CO44" si="516">+CN44</f>
        <v>-1.1446364535787802E-2</v>
      </c>
      <c r="CP44" s="47">
        <f t="shared" ref="CP44" si="517">+CO44</f>
        <v>-1.1446364535787802E-2</v>
      </c>
      <c r="CQ44" s="47">
        <f t="shared" ref="CQ44" si="518">+CP44</f>
        <v>-1.1446364535787802E-2</v>
      </c>
      <c r="CR44" s="47">
        <f t="shared" ref="CR44" si="519">+CQ44</f>
        <v>-1.1446364535787802E-2</v>
      </c>
      <c r="CS44" s="47">
        <f t="shared" ref="CS44" si="520">+CR44</f>
        <v>-1.1446364535787802E-2</v>
      </c>
      <c r="CT44" s="47">
        <f t="shared" ref="CT44" si="521">+CS44</f>
        <v>-1.1446364535787802E-2</v>
      </c>
      <c r="CU44" s="47">
        <f t="shared" ref="CU44" si="522">+CT44</f>
        <v>-1.1446364535787802E-2</v>
      </c>
      <c r="CV44" s="47">
        <f t="shared" ref="CV44" si="523">+CU44</f>
        <v>-1.1446364535787802E-2</v>
      </c>
      <c r="CW44" s="47">
        <f t="shared" ref="CW44" si="524">+CV44</f>
        <v>-1.1446364535787802E-2</v>
      </c>
      <c r="CX44" s="47">
        <f t="shared" ref="CX44" si="525">+CW44</f>
        <v>-1.1446364535787802E-2</v>
      </c>
      <c r="CY44" s="47">
        <f t="shared" ref="CY44" si="526">+CX44</f>
        <v>-1.1446364535787802E-2</v>
      </c>
      <c r="CZ44" s="47">
        <f t="shared" ref="CZ44" si="527">+CY44</f>
        <v>-1.1446364535787802E-2</v>
      </c>
      <c r="DA44" s="47">
        <f t="shared" ref="DA44" si="528">+CZ44</f>
        <v>-1.1446364535787802E-2</v>
      </c>
      <c r="DB44" s="47">
        <f t="shared" ref="DB44" si="529">+DA44</f>
        <v>-1.1446364535787802E-2</v>
      </c>
      <c r="DE44" s="130"/>
      <c r="DF44" s="46">
        <v>3.8283478145519668E-2</v>
      </c>
    </row>
    <row r="45" spans="1:110" s="26" customFormat="1" x14ac:dyDescent="0.2">
      <c r="A45" s="26" t="s">
        <v>20</v>
      </c>
      <c r="B45" s="26">
        <f>B41+B42-B43</f>
        <v>0</v>
      </c>
      <c r="C45" s="26">
        <f t="shared" ref="C45:T45" si="530">C41+C42-C43</f>
        <v>0</v>
      </c>
      <c r="D45" s="26">
        <f>D41+D42-D43</f>
        <v>0</v>
      </c>
      <c r="E45" s="26">
        <f t="shared" si="530"/>
        <v>0</v>
      </c>
      <c r="F45" s="26">
        <f t="shared" si="530"/>
        <v>0</v>
      </c>
      <c r="G45" s="26">
        <f t="shared" si="530"/>
        <v>0</v>
      </c>
      <c r="H45" s="26">
        <f t="shared" si="530"/>
        <v>0</v>
      </c>
      <c r="I45" s="26">
        <f t="shared" si="530"/>
        <v>0</v>
      </c>
      <c r="J45" s="26">
        <f t="shared" si="530"/>
        <v>0</v>
      </c>
      <c r="K45" s="26">
        <f t="shared" si="530"/>
        <v>0</v>
      </c>
      <c r="L45" s="26">
        <f t="shared" si="530"/>
        <v>0</v>
      </c>
      <c r="M45" s="26">
        <f t="shared" si="530"/>
        <v>0</v>
      </c>
      <c r="N45" s="26">
        <f t="shared" si="530"/>
        <v>0</v>
      </c>
      <c r="O45" s="26">
        <f t="shared" si="530"/>
        <v>0</v>
      </c>
      <c r="P45" s="26">
        <f t="shared" si="530"/>
        <v>0</v>
      </c>
      <c r="Q45" s="26">
        <f t="shared" si="530"/>
        <v>0</v>
      </c>
      <c r="R45" s="26">
        <f t="shared" si="530"/>
        <v>0</v>
      </c>
      <c r="S45" s="26">
        <f t="shared" si="530"/>
        <v>528.67800000000011</v>
      </c>
      <c r="T45" s="26">
        <f t="shared" si="530"/>
        <v>759.17099999999982</v>
      </c>
      <c r="U45" s="26">
        <f t="shared" ref="U45:Z45" si="531">U41+U42-U43</f>
        <v>398.49999999999977</v>
      </c>
      <c r="V45" s="26">
        <f t="shared" si="531"/>
        <v>-340.03999999999974</v>
      </c>
      <c r="W45" s="26">
        <f t="shared" si="531"/>
        <v>-910.16000000000042</v>
      </c>
      <c r="X45" s="26">
        <f t="shared" si="531"/>
        <v>-1178.74</v>
      </c>
      <c r="Y45" s="26">
        <f t="shared" si="531"/>
        <v>-172.32000000000014</v>
      </c>
      <c r="Z45" s="26">
        <f t="shared" si="531"/>
        <v>162.53999999999996</v>
      </c>
      <c r="AA45" s="26">
        <f t="shared" ref="AA45" si="532">AA41+AA42-AA43</f>
        <v>340.70000000000073</v>
      </c>
      <c r="AB45" s="27">
        <f t="shared" ref="AB45:AD45" si="533">AB41+AB42-AB43</f>
        <v>429.24319686154001</v>
      </c>
      <c r="AC45" s="27">
        <f t="shared" si="533"/>
        <v>506.4761643070359</v>
      </c>
      <c r="AD45" s="27">
        <f t="shared" si="533"/>
        <v>565.96788515455478</v>
      </c>
      <c r="AE45" s="27">
        <f t="shared" ref="AE45" si="534">AE41+AE42-AE43</f>
        <v>626.38372279748091</v>
      </c>
      <c r="AI45" s="26">
        <f>AI41+AI42-AI43</f>
        <v>0</v>
      </c>
      <c r="AJ45" s="26">
        <f t="shared" ref="AJ45" si="535">AJ41+AJ42-AJ43</f>
        <v>0</v>
      </c>
      <c r="AK45" s="26">
        <f t="shared" ref="AK45:AM45" si="536">AK41+AK42-AK43</f>
        <v>0</v>
      </c>
      <c r="AL45" s="26">
        <f t="shared" si="536"/>
        <v>0</v>
      </c>
      <c r="AM45" s="26">
        <f t="shared" si="536"/>
        <v>0</v>
      </c>
      <c r="AN45" s="26">
        <f t="shared" ref="AN45:AO45" si="537">AN41+AN42-AN43</f>
        <v>0</v>
      </c>
      <c r="AO45" s="26">
        <f t="shared" si="537"/>
        <v>0</v>
      </c>
      <c r="AP45" s="26">
        <f t="shared" ref="AP45:CD45" si="538">AP41+AP42-AP43</f>
        <v>0</v>
      </c>
      <c r="AQ45" s="26">
        <f t="shared" si="538"/>
        <v>0</v>
      </c>
      <c r="AR45" s="26">
        <f t="shared" si="538"/>
        <v>0</v>
      </c>
      <c r="AS45" s="26">
        <f t="shared" si="538"/>
        <v>0</v>
      </c>
      <c r="AT45" s="26">
        <f t="shared" si="538"/>
        <v>0</v>
      </c>
      <c r="AU45" s="26">
        <f t="shared" si="538"/>
        <v>0</v>
      </c>
      <c r="AV45" s="26">
        <f t="shared" si="538"/>
        <v>0</v>
      </c>
      <c r="AW45" s="26">
        <f t="shared" si="538"/>
        <v>0</v>
      </c>
      <c r="AX45" s="26">
        <f t="shared" si="538"/>
        <v>0</v>
      </c>
      <c r="AY45" s="26">
        <f t="shared" si="538"/>
        <v>0</v>
      </c>
      <c r="AZ45" s="26">
        <f t="shared" si="538"/>
        <v>0</v>
      </c>
      <c r="BA45" s="26">
        <f t="shared" si="538"/>
        <v>0</v>
      </c>
      <c r="BB45" s="26">
        <f t="shared" si="538"/>
        <v>0</v>
      </c>
      <c r="BC45" s="26">
        <f t="shared" si="538"/>
        <v>0</v>
      </c>
      <c r="BD45" s="26">
        <f t="shared" si="538"/>
        <v>0</v>
      </c>
      <c r="BE45" s="26">
        <f t="shared" si="538"/>
        <v>0</v>
      </c>
      <c r="BF45" s="26">
        <f t="shared" si="538"/>
        <v>0</v>
      </c>
      <c r="BG45" s="26">
        <f t="shared" si="538"/>
        <v>0</v>
      </c>
      <c r="BH45" s="26">
        <f t="shared" si="538"/>
        <v>85.253999999999849</v>
      </c>
      <c r="BI45" s="26">
        <f t="shared" si="538"/>
        <v>229.43099999999993</v>
      </c>
      <c r="BJ45" s="26">
        <f t="shared" si="538"/>
        <v>340.93100000000027</v>
      </c>
      <c r="BK45" s="26">
        <f t="shared" si="538"/>
        <v>76.470000000000027</v>
      </c>
      <c r="BL45" s="26">
        <f t="shared" si="538"/>
        <v>100.85</v>
      </c>
      <c r="BM45" s="26">
        <f t="shared" si="538"/>
        <v>62.071000000000105</v>
      </c>
      <c r="BN45" s="26">
        <f t="shared" si="538"/>
        <v>159.10000000000002</v>
      </c>
      <c r="BO45" s="26">
        <f t="shared" si="538"/>
        <v>19.540000000000102</v>
      </c>
      <c r="BP45" s="26">
        <f t="shared" si="538"/>
        <v>17.520000000000131</v>
      </c>
      <c r="BQ45" s="26">
        <f t="shared" si="538"/>
        <v>23.360000000000056</v>
      </c>
      <c r="BR45" s="26">
        <f t="shared" si="538"/>
        <v>-400.45999999999992</v>
      </c>
      <c r="BS45" s="26">
        <f t="shared" si="538"/>
        <v>-86.73999999999991</v>
      </c>
      <c r="BT45" s="26">
        <f t="shared" si="538"/>
        <v>-283.51999999999992</v>
      </c>
      <c r="BU45" s="26">
        <f t="shared" si="538"/>
        <v>-416.45000000000016</v>
      </c>
      <c r="BV45" s="26">
        <f t="shared" si="538"/>
        <v>-123.45000000000012</v>
      </c>
      <c r="BW45" s="26">
        <f t="shared" si="538"/>
        <v>-357.8599999999999</v>
      </c>
      <c r="BX45" s="26">
        <f t="shared" si="538"/>
        <v>-308.21999999999991</v>
      </c>
      <c r="BY45" s="26">
        <f t="shared" si="538"/>
        <v>-95.139999999999972</v>
      </c>
      <c r="BZ45" s="26">
        <f t="shared" si="538"/>
        <v>-417.51999999999992</v>
      </c>
      <c r="CA45" s="26">
        <f t="shared" si="538"/>
        <v>-95.329999999999927</v>
      </c>
      <c r="CB45" s="26">
        <f t="shared" si="538"/>
        <v>-49.950000000000031</v>
      </c>
      <c r="CC45" s="26">
        <f t="shared" si="538"/>
        <v>-60.790000000000006</v>
      </c>
      <c r="CD45" s="26">
        <f t="shared" si="538"/>
        <v>33.739999999999966</v>
      </c>
      <c r="CE45" s="26">
        <f t="shared" ref="CE45:CF45" si="539">CE41+CE42-CE43</f>
        <v>14.659999999999894</v>
      </c>
      <c r="CF45" s="26">
        <f t="shared" si="539"/>
        <v>20.070000000000036</v>
      </c>
      <c r="CG45" s="26">
        <f t="shared" ref="CG45:CH45" si="540">CG41+CG42-CG43</f>
        <v>41.090000000000032</v>
      </c>
      <c r="CH45" s="26">
        <f t="shared" si="540"/>
        <v>86.720000000000283</v>
      </c>
      <c r="CI45" s="26">
        <f t="shared" ref="CI45:CJ45" si="541">CI41+CI42-CI43</f>
        <v>74.67000000000003</v>
      </c>
      <c r="CJ45" s="26">
        <f t="shared" si="541"/>
        <v>76.689999999999841</v>
      </c>
      <c r="CK45" s="26">
        <f t="shared" ref="CK45:CL45" si="542">CK41+CK42-CK43</f>
        <v>35.23000000000016</v>
      </c>
      <c r="CL45" s="26">
        <f t="shared" si="542"/>
        <v>154.1099999999999</v>
      </c>
      <c r="CM45" s="27">
        <f t="shared" ref="CM45:DB45" si="543">CM41+CM42-CM43</f>
        <v>98.906620362591909</v>
      </c>
      <c r="CN45" s="27">
        <f t="shared" si="543"/>
        <v>87.729572237137972</v>
      </c>
      <c r="CO45" s="27">
        <f t="shared" si="543"/>
        <v>112.08126766702517</v>
      </c>
      <c r="CP45" s="27">
        <f t="shared" si="543"/>
        <v>130.52573659478549</v>
      </c>
      <c r="CQ45" s="27">
        <f t="shared" si="543"/>
        <v>127.40833937127806</v>
      </c>
      <c r="CR45" s="27">
        <f t="shared" si="543"/>
        <v>116.69833458199585</v>
      </c>
      <c r="CS45" s="27">
        <f t="shared" si="543"/>
        <v>125.09604940687045</v>
      </c>
      <c r="CT45" s="27">
        <f t="shared" si="543"/>
        <v>137.27344094689198</v>
      </c>
      <c r="CU45" s="27">
        <f t="shared" si="543"/>
        <v>146.9980142137434</v>
      </c>
      <c r="CV45" s="27">
        <f t="shared" si="543"/>
        <v>131.63612156586422</v>
      </c>
      <c r="CW45" s="27">
        <f t="shared" si="543"/>
        <v>136.81881115036293</v>
      </c>
      <c r="CX45" s="27">
        <f t="shared" si="543"/>
        <v>150.51493822458599</v>
      </c>
      <c r="CY45" s="27">
        <f t="shared" si="543"/>
        <v>163.98271319394721</v>
      </c>
      <c r="CZ45" s="27">
        <f t="shared" si="543"/>
        <v>145.17576857086382</v>
      </c>
      <c r="DA45" s="27">
        <f t="shared" si="543"/>
        <v>150.52828330397512</v>
      </c>
      <c r="DB45" s="27">
        <f t="shared" si="543"/>
        <v>166.69695772869457</v>
      </c>
      <c r="DE45" s="121"/>
      <c r="DF45" s="26">
        <v>107.50294638574667</v>
      </c>
    </row>
    <row r="46" spans="1:110" s="23" customFormat="1" x14ac:dyDescent="0.2">
      <c r="A46" s="23" t="s">
        <v>21</v>
      </c>
      <c r="B46" s="23">
        <f>'Annual Raw'!C30</f>
        <v>0</v>
      </c>
      <c r="C46" s="23">
        <f>'Annual Raw'!D30</f>
        <v>0</v>
      </c>
      <c r="D46" s="23">
        <f>'Annual Raw'!E30</f>
        <v>0</v>
      </c>
      <c r="E46" s="23">
        <f>'Annual Raw'!F30</f>
        <v>0</v>
      </c>
      <c r="F46" s="23">
        <f>'Annual Raw'!G30</f>
        <v>0</v>
      </c>
      <c r="G46" s="23">
        <f>'Annual Raw'!H30</f>
        <v>0</v>
      </c>
      <c r="H46" s="23">
        <f>'Annual Raw'!I30</f>
        <v>0</v>
      </c>
      <c r="I46" s="23">
        <f>'Annual Raw'!J30</f>
        <v>0</v>
      </c>
      <c r="J46" s="23">
        <f>'Annual Raw'!K30</f>
        <v>0</v>
      </c>
      <c r="K46" s="23">
        <f>'Annual Raw'!L30</f>
        <v>0</v>
      </c>
      <c r="L46" s="23">
        <f>'Annual Raw'!M30</f>
        <v>0</v>
      </c>
      <c r="M46" s="23">
        <f>'Annual Raw'!N30</f>
        <v>0</v>
      </c>
      <c r="N46" s="23">
        <f>'Annual Raw'!O30</f>
        <v>0</v>
      </c>
      <c r="O46" s="23">
        <f>'Annual Raw'!P30</f>
        <v>0</v>
      </c>
      <c r="P46" s="23">
        <f>'Annual Raw'!Q30</f>
        <v>0</v>
      </c>
      <c r="Q46" s="23">
        <f>'Annual Raw'!R30</f>
        <v>0</v>
      </c>
      <c r="R46" s="23">
        <f>'Annual Raw'!S30</f>
        <v>0</v>
      </c>
      <c r="S46" s="23">
        <f>'Annual Raw'!T30</f>
        <v>78.143000000000001</v>
      </c>
      <c r="T46" s="23">
        <f>'Annual Raw'!U30</f>
        <v>120.938</v>
      </c>
      <c r="U46" s="23">
        <f>'Annual Raw'!V30</f>
        <v>94.23</v>
      </c>
      <c r="V46" s="23">
        <f>'Annual Raw'!W30</f>
        <v>-50</v>
      </c>
      <c r="W46" s="23">
        <f>'Annual Raw'!X30</f>
        <v>5.6</v>
      </c>
      <c r="X46" s="23">
        <f>'Annual Raw'!Y30</f>
        <v>-3.78</v>
      </c>
      <c r="Y46" s="23">
        <f>'Annual Raw'!Z30</f>
        <v>38.47</v>
      </c>
      <c r="Z46" s="23">
        <f>'Annual Raw'!AA30</f>
        <v>76.989999999999995</v>
      </c>
      <c r="AA46" s="23">
        <f>'Annual Raw'!AB30</f>
        <v>25.55</v>
      </c>
      <c r="AB46" s="24">
        <f>+SUM(CM46:CP46)</f>
        <v>17.577538280169996</v>
      </c>
      <c r="AC46" s="24">
        <f>+SUM(CQ46:CT46)</f>
        <v>18.761410086741254</v>
      </c>
      <c r="AD46" s="24">
        <f>+SUM(CU46:CX46)</f>
        <v>21.161535597009841</v>
      </c>
      <c r="AE46" s="24">
        <f>+SUM(CY46:DB46)</f>
        <v>23.528151596564349</v>
      </c>
      <c r="AI46" s="23">
        <f>'QTR Raw'!C29</f>
        <v>0</v>
      </c>
      <c r="AJ46" s="23">
        <f>'QTR Raw'!D29</f>
        <v>0</v>
      </c>
      <c r="AK46" s="23">
        <f>'QTR Raw'!E29</f>
        <v>0</v>
      </c>
      <c r="AL46" s="23">
        <f>'QTR Raw'!F29</f>
        <v>0</v>
      </c>
      <c r="AM46" s="23">
        <f>'QTR Raw'!G29</f>
        <v>0</v>
      </c>
      <c r="AN46" s="23">
        <f>'QTR Raw'!H29</f>
        <v>0</v>
      </c>
      <c r="AO46" s="23">
        <f>'QTR Raw'!I29</f>
        <v>0</v>
      </c>
      <c r="AP46" s="23">
        <f>'QTR Raw'!J29</f>
        <v>0</v>
      </c>
      <c r="AQ46" s="23">
        <f>'QTR Raw'!K29</f>
        <v>0</v>
      </c>
      <c r="AR46" s="23">
        <f>'QTR Raw'!L29</f>
        <v>0</v>
      </c>
      <c r="AS46" s="23">
        <f>'QTR Raw'!M29</f>
        <v>0</v>
      </c>
      <c r="AT46" s="23">
        <f>'QTR Raw'!N29</f>
        <v>0</v>
      </c>
      <c r="AU46" s="23">
        <f>'QTR Raw'!O29</f>
        <v>0</v>
      </c>
      <c r="AV46" s="23">
        <f>'QTR Raw'!P29</f>
        <v>0</v>
      </c>
      <c r="AW46" s="23">
        <f>'QTR Raw'!Q29</f>
        <v>0</v>
      </c>
      <c r="AX46" s="23">
        <f>'QTR Raw'!R29</f>
        <v>0</v>
      </c>
      <c r="AY46" s="23">
        <f>'QTR Raw'!S29</f>
        <v>0</v>
      </c>
      <c r="AZ46" s="23">
        <f>'QTR Raw'!T29</f>
        <v>0</v>
      </c>
      <c r="BA46" s="23">
        <f>'QTR Raw'!U29</f>
        <v>0</v>
      </c>
      <c r="BB46" s="23">
        <f>'QTR Raw'!V29</f>
        <v>0</v>
      </c>
      <c r="BC46" s="23">
        <f>'QTR Raw'!W29</f>
        <v>0</v>
      </c>
      <c r="BD46" s="23">
        <f>'QTR Raw'!X29</f>
        <v>0</v>
      </c>
      <c r="BE46" s="23">
        <f>'QTR Raw'!Y29</f>
        <v>0</v>
      </c>
      <c r="BF46" s="23">
        <f>'QTR Raw'!Z29</f>
        <v>0</v>
      </c>
      <c r="BG46" s="23">
        <f>'QTR Raw'!AA29</f>
        <v>0</v>
      </c>
      <c r="BH46" s="23">
        <f>'QTR Raw'!AB29</f>
        <v>26.893000000000001</v>
      </c>
      <c r="BI46" s="23">
        <f>'QTR Raw'!AC29</f>
        <v>40.932000000000002</v>
      </c>
      <c r="BJ46" s="23">
        <f>'QTR Raw'!AD29</f>
        <v>46.128</v>
      </c>
      <c r="BK46" s="23">
        <f>'QTR Raw'!AE29</f>
        <v>30.46</v>
      </c>
      <c r="BL46" s="23">
        <f>'QTR Raw'!AF29</f>
        <v>21.44</v>
      </c>
      <c r="BM46" s="23">
        <f>'QTR Raw'!AG29</f>
        <v>11.8</v>
      </c>
      <c r="BN46" s="23">
        <f>'QTR Raw'!AH29</f>
        <v>30.51</v>
      </c>
      <c r="BO46" s="23">
        <f>'QTR Raw'!AI29</f>
        <v>2.3199999999999998</v>
      </c>
      <c r="BP46" s="23">
        <f>'QTR Raw'!AJ29</f>
        <v>2.4300000000000002</v>
      </c>
      <c r="BQ46" s="23">
        <f>'QTR Raw'!AK29</f>
        <v>0.91</v>
      </c>
      <c r="BR46" s="23">
        <f>'QTR Raw'!AL29</f>
        <v>-55.66</v>
      </c>
      <c r="BS46" s="23">
        <f>'QTR Raw'!AM29</f>
        <v>-10.72</v>
      </c>
      <c r="BT46" s="23">
        <f>'QTR Raw'!AN29</f>
        <v>0.83</v>
      </c>
      <c r="BU46" s="23">
        <f>'QTR Raw'!AO29</f>
        <v>12.33</v>
      </c>
      <c r="BV46" s="23">
        <f>'QTR Raw'!AP29</f>
        <v>3.16</v>
      </c>
      <c r="BW46" s="23">
        <f>'QTR Raw'!AQ29</f>
        <v>-1.87</v>
      </c>
      <c r="BX46" s="23">
        <f>'QTR Raw'!AR29</f>
        <v>-9.51</v>
      </c>
      <c r="BY46" s="23">
        <f>'QTR Raw'!AS29</f>
        <v>4.01</v>
      </c>
      <c r="BZ46" s="23">
        <f>'QTR Raw'!AT29</f>
        <v>3.59</v>
      </c>
      <c r="CA46" s="23">
        <f>'QTR Raw'!AU29</f>
        <v>-0.01</v>
      </c>
      <c r="CB46" s="23">
        <f>'QTR Raw'!AV29</f>
        <v>4.5599999999999996</v>
      </c>
      <c r="CC46" s="23">
        <f>'QTR Raw'!AW29</f>
        <v>1.6</v>
      </c>
      <c r="CD46" s="23">
        <f>'QTR Raw'!AX29</f>
        <v>32.340000000000003</v>
      </c>
      <c r="CE46" s="23">
        <f>'QTR Raw'!AY29</f>
        <v>9.83</v>
      </c>
      <c r="CF46" s="23">
        <f>'QTR Raw'!AZ29</f>
        <v>11.5</v>
      </c>
      <c r="CG46" s="23">
        <f>'QTR Raw'!BA29</f>
        <v>23.95</v>
      </c>
      <c r="CH46" s="23">
        <f>'QTR Raw'!BB29</f>
        <v>31.71</v>
      </c>
      <c r="CI46" s="23">
        <f>'QTR Raw'!BC29</f>
        <v>35.979999999999997</v>
      </c>
      <c r="CJ46" s="23">
        <f>'QTR Raw'!BD29</f>
        <v>-25.79</v>
      </c>
      <c r="CK46" s="23">
        <f>'QTR Raw'!BE29</f>
        <v>2.84</v>
      </c>
      <c r="CL46" s="23">
        <f>'QTR Raw'!BF29</f>
        <v>12.52</v>
      </c>
      <c r="CM46" s="24">
        <f t="shared" ref="CM46:DB46" si="544">+CM45*CM47</f>
        <v>7.6014267478702306</v>
      </c>
      <c r="CN46" s="24">
        <f t="shared" si="544"/>
        <v>-2.1401758473804917</v>
      </c>
      <c r="CO46" s="24">
        <f t="shared" si="544"/>
        <v>6.005124300705873</v>
      </c>
      <c r="CP46" s="24">
        <f t="shared" si="544"/>
        <v>6.1111630789743856</v>
      </c>
      <c r="CQ46" s="24">
        <f t="shared" si="544"/>
        <v>4.868824940795589</v>
      </c>
      <c r="CR46" s="24">
        <f t="shared" si="544"/>
        <v>3.3322361726394902</v>
      </c>
      <c r="CS46" s="24">
        <f t="shared" si="544"/>
        <v>5.22796766563253</v>
      </c>
      <c r="CT46" s="24">
        <f t="shared" si="544"/>
        <v>5.3323813076736437</v>
      </c>
      <c r="CU46" s="24">
        <f t="shared" si="544"/>
        <v>5.4170678161555923</v>
      </c>
      <c r="CV46" s="24">
        <f t="shared" si="544"/>
        <v>4.8061059344559496</v>
      </c>
      <c r="CW46" s="24">
        <f t="shared" si="544"/>
        <v>5.2674704735742974</v>
      </c>
      <c r="CX46" s="24">
        <f t="shared" si="544"/>
        <v>5.6708913728240029</v>
      </c>
      <c r="CY46" s="24">
        <f t="shared" si="544"/>
        <v>6.1304137279451769</v>
      </c>
      <c r="CZ46" s="24">
        <f t="shared" si="544"/>
        <v>5.4466776744121468</v>
      </c>
      <c r="DA46" s="24">
        <f t="shared" si="544"/>
        <v>5.6853981748869149</v>
      </c>
      <c r="DB46" s="24">
        <f t="shared" si="544"/>
        <v>6.2656620193201098</v>
      </c>
      <c r="DE46" s="123"/>
      <c r="DF46" s="23">
        <v>15.906061798896047</v>
      </c>
    </row>
    <row r="47" spans="1:110" s="90" customFormat="1" x14ac:dyDescent="0.2">
      <c r="A47" s="90" t="s">
        <v>106</v>
      </c>
      <c r="B47" s="90" t="e">
        <f t="shared" ref="B47:E47" si="545">B46/B45</f>
        <v>#DIV/0!</v>
      </c>
      <c r="C47" s="90" t="e">
        <f t="shared" si="545"/>
        <v>#DIV/0!</v>
      </c>
      <c r="D47" s="90" t="e">
        <f t="shared" si="545"/>
        <v>#DIV/0!</v>
      </c>
      <c r="E47" s="90" t="e">
        <f t="shared" si="545"/>
        <v>#DIV/0!</v>
      </c>
      <c r="F47" s="90" t="e">
        <f t="shared" ref="F47:T47" si="546">F46/F45</f>
        <v>#DIV/0!</v>
      </c>
      <c r="G47" s="90" t="e">
        <f t="shared" si="546"/>
        <v>#DIV/0!</v>
      </c>
      <c r="H47" s="90" t="e">
        <f t="shared" si="546"/>
        <v>#DIV/0!</v>
      </c>
      <c r="I47" s="90" t="e">
        <f t="shared" si="546"/>
        <v>#DIV/0!</v>
      </c>
      <c r="J47" s="90" t="e">
        <f t="shared" si="546"/>
        <v>#DIV/0!</v>
      </c>
      <c r="K47" s="90" t="e">
        <f t="shared" si="546"/>
        <v>#DIV/0!</v>
      </c>
      <c r="L47" s="90" t="e">
        <f t="shared" si="546"/>
        <v>#DIV/0!</v>
      </c>
      <c r="M47" s="90" t="e">
        <f t="shared" si="546"/>
        <v>#DIV/0!</v>
      </c>
      <c r="N47" s="90" t="e">
        <f t="shared" si="546"/>
        <v>#DIV/0!</v>
      </c>
      <c r="O47" s="90" t="e">
        <f t="shared" si="546"/>
        <v>#DIV/0!</v>
      </c>
      <c r="P47" s="90" t="e">
        <f t="shared" si="546"/>
        <v>#DIV/0!</v>
      </c>
      <c r="Q47" s="90" t="e">
        <f t="shared" si="546"/>
        <v>#DIV/0!</v>
      </c>
      <c r="R47" s="90" t="e">
        <f t="shared" si="546"/>
        <v>#DIV/0!</v>
      </c>
      <c r="S47" s="90">
        <f t="shared" si="546"/>
        <v>0.14780830675761047</v>
      </c>
      <c r="T47" s="90">
        <f t="shared" si="546"/>
        <v>0.15930271309099009</v>
      </c>
      <c r="U47" s="90">
        <f t="shared" ref="U47:Z47" si="547">U46/U45</f>
        <v>0.23646173149309926</v>
      </c>
      <c r="V47" s="90">
        <f t="shared" si="547"/>
        <v>0.14704152452652641</v>
      </c>
      <c r="W47" s="90">
        <f t="shared" si="547"/>
        <v>-6.1527643491254254E-3</v>
      </c>
      <c r="X47" s="90">
        <f t="shared" si="547"/>
        <v>3.2068140556865805E-3</v>
      </c>
      <c r="Y47" s="90">
        <f t="shared" si="547"/>
        <v>-0.22324744661095619</v>
      </c>
      <c r="Z47" s="90">
        <f t="shared" si="547"/>
        <v>0.47366802017964815</v>
      </c>
      <c r="AA47" s="90">
        <f t="shared" ref="AA47" si="548">AA46/AA45</f>
        <v>7.4992662166128404E-2</v>
      </c>
      <c r="AB47" s="91">
        <f t="shared" ref="AA47:AD47" si="549">AB46/AB45</f>
        <v>4.0950068419698081E-2</v>
      </c>
      <c r="AC47" s="91">
        <f t="shared" si="549"/>
        <v>3.7043026718563826E-2</v>
      </c>
      <c r="AD47" s="91">
        <f t="shared" si="549"/>
        <v>3.7389993588118592E-2</v>
      </c>
      <c r="AE47" s="91">
        <f t="shared" ref="AE47" si="550">AE46/AE45</f>
        <v>3.7561882182196082E-2</v>
      </c>
      <c r="AI47" s="90" t="e">
        <f t="shared" ref="AI47" si="551">AI46/AI45</f>
        <v>#DIV/0!</v>
      </c>
      <c r="AJ47" s="90" t="e">
        <f t="shared" ref="AJ47" si="552">AJ46/AJ45</f>
        <v>#DIV/0!</v>
      </c>
      <c r="AK47" s="90" t="e">
        <f t="shared" ref="AK47:AM47" si="553">AK46/AK45</f>
        <v>#DIV/0!</v>
      </c>
      <c r="AL47" s="90" t="e">
        <f t="shared" si="553"/>
        <v>#DIV/0!</v>
      </c>
      <c r="AM47" s="90" t="e">
        <f t="shared" si="553"/>
        <v>#DIV/0!</v>
      </c>
      <c r="AN47" s="90" t="e">
        <f t="shared" ref="AN47:AO47" si="554">AN46/AN45</f>
        <v>#DIV/0!</v>
      </c>
      <c r="AO47" s="90" t="e">
        <f t="shared" si="554"/>
        <v>#DIV/0!</v>
      </c>
      <c r="AP47" s="90" t="e">
        <f t="shared" ref="AP47:CD47" si="555">AP46/AP45</f>
        <v>#DIV/0!</v>
      </c>
      <c r="AQ47" s="90" t="e">
        <f t="shared" si="555"/>
        <v>#DIV/0!</v>
      </c>
      <c r="AR47" s="90" t="e">
        <f t="shared" si="555"/>
        <v>#DIV/0!</v>
      </c>
      <c r="AS47" s="90" t="e">
        <f t="shared" si="555"/>
        <v>#DIV/0!</v>
      </c>
      <c r="AT47" s="90" t="e">
        <f t="shared" si="555"/>
        <v>#DIV/0!</v>
      </c>
      <c r="AU47" s="90" t="e">
        <f t="shared" si="555"/>
        <v>#DIV/0!</v>
      </c>
      <c r="AV47" s="90" t="e">
        <f t="shared" si="555"/>
        <v>#DIV/0!</v>
      </c>
      <c r="AW47" s="90" t="e">
        <f t="shared" si="555"/>
        <v>#DIV/0!</v>
      </c>
      <c r="AX47" s="90" t="e">
        <f t="shared" si="555"/>
        <v>#DIV/0!</v>
      </c>
      <c r="AY47" s="90" t="e">
        <f t="shared" si="555"/>
        <v>#DIV/0!</v>
      </c>
      <c r="AZ47" s="90" t="e">
        <f t="shared" si="555"/>
        <v>#DIV/0!</v>
      </c>
      <c r="BA47" s="90" t="e">
        <f t="shared" si="555"/>
        <v>#DIV/0!</v>
      </c>
      <c r="BB47" s="90" t="e">
        <f t="shared" si="555"/>
        <v>#DIV/0!</v>
      </c>
      <c r="BC47" s="90" t="e">
        <f t="shared" si="555"/>
        <v>#DIV/0!</v>
      </c>
      <c r="BD47" s="90" t="e">
        <f t="shared" si="555"/>
        <v>#DIV/0!</v>
      </c>
      <c r="BE47" s="90" t="e">
        <f t="shared" si="555"/>
        <v>#DIV/0!</v>
      </c>
      <c r="BF47" s="90" t="e">
        <f t="shared" si="555"/>
        <v>#DIV/0!</v>
      </c>
      <c r="BG47" s="90" t="e">
        <f t="shared" si="555"/>
        <v>#DIV/0!</v>
      </c>
      <c r="BH47" s="90">
        <f t="shared" si="555"/>
        <v>0.31544560959016643</v>
      </c>
      <c r="BI47" s="90">
        <f t="shared" si="555"/>
        <v>0.17840657975600513</v>
      </c>
      <c r="BJ47" s="90">
        <f t="shared" si="555"/>
        <v>0.13530010471327031</v>
      </c>
      <c r="BK47" s="90">
        <f t="shared" si="555"/>
        <v>0.39832614097031505</v>
      </c>
      <c r="BL47" s="90">
        <f t="shared" si="555"/>
        <v>0.21259295984134857</v>
      </c>
      <c r="BM47" s="90">
        <f t="shared" si="555"/>
        <v>0.19010487989560312</v>
      </c>
      <c r="BN47" s="90">
        <f t="shared" si="555"/>
        <v>0.19176618478944057</v>
      </c>
      <c r="BO47" s="90">
        <f t="shared" si="555"/>
        <v>0.11873080859774758</v>
      </c>
      <c r="BP47" s="90">
        <f t="shared" si="555"/>
        <v>0.13869863013698527</v>
      </c>
      <c r="BQ47" s="90">
        <f t="shared" si="555"/>
        <v>3.89554794520547E-2</v>
      </c>
      <c r="BR47" s="90">
        <f t="shared" si="555"/>
        <v>0.13899016131448835</v>
      </c>
      <c r="BS47" s="90">
        <f t="shared" si="555"/>
        <v>0.12358773345630635</v>
      </c>
      <c r="BT47" s="90">
        <f t="shared" si="555"/>
        <v>-2.9274830699774273E-3</v>
      </c>
      <c r="BU47" s="90">
        <f t="shared" si="555"/>
        <v>-2.9607395845839827E-2</v>
      </c>
      <c r="BV47" s="90">
        <f t="shared" si="555"/>
        <v>-2.5597407857432135E-2</v>
      </c>
      <c r="BW47" s="90">
        <f t="shared" si="555"/>
        <v>5.2255071815793903E-3</v>
      </c>
      <c r="BX47" s="90">
        <f t="shared" si="555"/>
        <v>3.0854584387774973E-2</v>
      </c>
      <c r="BY47" s="90">
        <f t="shared" si="555"/>
        <v>-4.2148412865251221E-2</v>
      </c>
      <c r="BZ47" s="90">
        <f t="shared" si="555"/>
        <v>-8.5983904962636526E-3</v>
      </c>
      <c r="CA47" s="90">
        <f t="shared" si="555"/>
        <v>1.0489877268435968E-4</v>
      </c>
      <c r="CB47" s="90">
        <f t="shared" si="555"/>
        <v>-9.1291291291291224E-2</v>
      </c>
      <c r="CC47" s="90">
        <f t="shared" si="555"/>
        <v>-2.6320118440532982E-2</v>
      </c>
      <c r="CD47" s="90">
        <f t="shared" si="555"/>
        <v>0.95850622406639108</v>
      </c>
      <c r="CE47" s="90">
        <f t="shared" ref="CE47:CF47" si="556">CE46/CE45</f>
        <v>0.67053206002729004</v>
      </c>
      <c r="CF47" s="90">
        <f t="shared" si="556"/>
        <v>0.57299451918285893</v>
      </c>
      <c r="CG47" s="90">
        <f t="shared" ref="CG47:CH47" si="557">CG46/CG45</f>
        <v>0.58286687758578681</v>
      </c>
      <c r="CH47" s="90">
        <f t="shared" si="557"/>
        <v>0.36565959409593979</v>
      </c>
      <c r="CI47" s="90">
        <f t="shared" ref="CI47:CJ47" si="558">CI46/CI45</f>
        <v>0.48185348868354066</v>
      </c>
      <c r="CJ47" s="90">
        <f t="shared" si="558"/>
        <v>-0.33628895553527255</v>
      </c>
      <c r="CK47" s="90">
        <f t="shared" ref="CK47:CL47" si="559">CK46/CK45</f>
        <v>8.0613113823445562E-2</v>
      </c>
      <c r="CL47" s="90">
        <f t="shared" si="559"/>
        <v>8.1240672247096274E-2</v>
      </c>
      <c r="CM47" s="91">
        <f t="shared" ref="CM47:DB47" si="560">AVERAGE(CI47:CL47)</f>
        <v>7.6854579804702478E-2</v>
      </c>
      <c r="CN47" s="91">
        <f t="shared" si="560"/>
        <v>-2.4395147415007062E-2</v>
      </c>
      <c r="CO47" s="91">
        <f t="shared" si="560"/>
        <v>5.3578304615059316E-2</v>
      </c>
      <c r="CP47" s="91">
        <f t="shared" si="560"/>
        <v>4.6819602312962755E-2</v>
      </c>
      <c r="CQ47" s="91">
        <f t="shared" si="560"/>
        <v>3.8214334829429375E-2</v>
      </c>
      <c r="CR47" s="91">
        <f t="shared" si="560"/>
        <v>2.8554273585611096E-2</v>
      </c>
      <c r="CS47" s="91">
        <f t="shared" si="560"/>
        <v>4.1791628835765642E-2</v>
      </c>
      <c r="CT47" s="91">
        <f t="shared" si="560"/>
        <v>3.8844959890942214E-2</v>
      </c>
      <c r="CU47" s="91">
        <f t="shared" si="560"/>
        <v>3.6851299285437081E-2</v>
      </c>
      <c r="CV47" s="91">
        <f t="shared" si="560"/>
        <v>3.6510540399439004E-2</v>
      </c>
      <c r="CW47" s="91">
        <f t="shared" si="560"/>
        <v>3.8499607102895989E-2</v>
      </c>
      <c r="CX47" s="91">
        <f t="shared" si="560"/>
        <v>3.7676601669678567E-2</v>
      </c>
      <c r="CY47" s="91">
        <f t="shared" si="560"/>
        <v>3.738451211436266E-2</v>
      </c>
      <c r="CZ47" s="91">
        <f t="shared" si="560"/>
        <v>3.7517815321594053E-2</v>
      </c>
      <c r="DA47" s="91">
        <f t="shared" si="560"/>
        <v>3.7769634052132822E-2</v>
      </c>
      <c r="DB47" s="91">
        <f t="shared" si="560"/>
        <v>3.7587140789442031E-2</v>
      </c>
      <c r="DE47" s="127"/>
      <c r="DF47" s="90">
        <v>0.14795931026691339</v>
      </c>
    </row>
    <row r="48" spans="1:110" s="26" customFormat="1" x14ac:dyDescent="0.2">
      <c r="A48" s="26" t="s">
        <v>22</v>
      </c>
      <c r="B48" s="26">
        <f t="shared" ref="B48:E48" si="561">B45-B46</f>
        <v>0</v>
      </c>
      <c r="C48" s="26">
        <f t="shared" si="561"/>
        <v>0</v>
      </c>
      <c r="D48" s="26">
        <f t="shared" si="561"/>
        <v>0</v>
      </c>
      <c r="E48" s="26">
        <f t="shared" si="561"/>
        <v>0</v>
      </c>
      <c r="F48" s="26">
        <f t="shared" ref="F48:T48" si="562">F45-F46</f>
        <v>0</v>
      </c>
      <c r="G48" s="26">
        <f t="shared" si="562"/>
        <v>0</v>
      </c>
      <c r="H48" s="26">
        <f t="shared" si="562"/>
        <v>0</v>
      </c>
      <c r="I48" s="26">
        <f t="shared" si="562"/>
        <v>0</v>
      </c>
      <c r="J48" s="26">
        <f t="shared" si="562"/>
        <v>0</v>
      </c>
      <c r="K48" s="26">
        <f t="shared" si="562"/>
        <v>0</v>
      </c>
      <c r="L48" s="26">
        <f t="shared" si="562"/>
        <v>0</v>
      </c>
      <c r="M48" s="26">
        <f t="shared" si="562"/>
        <v>0</v>
      </c>
      <c r="N48" s="26">
        <f t="shared" si="562"/>
        <v>0</v>
      </c>
      <c r="O48" s="26">
        <f t="shared" si="562"/>
        <v>0</v>
      </c>
      <c r="P48" s="26">
        <f t="shared" si="562"/>
        <v>0</v>
      </c>
      <c r="Q48" s="26">
        <f t="shared" si="562"/>
        <v>0</v>
      </c>
      <c r="R48" s="26">
        <f t="shared" si="562"/>
        <v>0</v>
      </c>
      <c r="S48" s="26">
        <f t="shared" si="562"/>
        <v>450.53500000000008</v>
      </c>
      <c r="T48" s="26">
        <f t="shared" si="562"/>
        <v>638.23299999999983</v>
      </c>
      <c r="U48" s="26">
        <f t="shared" ref="U48:Z48" si="563">U45-U46</f>
        <v>304.26999999999975</v>
      </c>
      <c r="V48" s="26">
        <f t="shared" si="563"/>
        <v>-290.03999999999974</v>
      </c>
      <c r="W48" s="26">
        <f t="shared" si="563"/>
        <v>-915.76000000000045</v>
      </c>
      <c r="X48" s="26">
        <f t="shared" si="563"/>
        <v>-1174.96</v>
      </c>
      <c r="Y48" s="26">
        <f t="shared" si="563"/>
        <v>-210.79000000000013</v>
      </c>
      <c r="Z48" s="26">
        <f t="shared" si="563"/>
        <v>85.549999999999969</v>
      </c>
      <c r="AA48" s="26">
        <f t="shared" ref="AA48" si="564">AA45-AA46</f>
        <v>315.15000000000072</v>
      </c>
      <c r="AB48" s="27">
        <f t="shared" ref="AA48:AD48" si="565">AB45-AB46</f>
        <v>411.66565858137</v>
      </c>
      <c r="AC48" s="27">
        <f t="shared" si="565"/>
        <v>487.71475422029465</v>
      </c>
      <c r="AD48" s="27">
        <f t="shared" si="565"/>
        <v>544.80634955754499</v>
      </c>
      <c r="AE48" s="27">
        <f t="shared" ref="AE48" si="566">AE45-AE46</f>
        <v>602.85557120091653</v>
      </c>
      <c r="AI48" s="26">
        <f>AI45-AI46</f>
        <v>0</v>
      </c>
      <c r="AJ48" s="26">
        <f t="shared" ref="AJ48" si="567">AJ45-AJ46</f>
        <v>0</v>
      </c>
      <c r="AK48" s="26">
        <f t="shared" ref="AK48:AM48" si="568">AK45-AK46</f>
        <v>0</v>
      </c>
      <c r="AL48" s="26">
        <f t="shared" si="568"/>
        <v>0</v>
      </c>
      <c r="AM48" s="26">
        <f t="shared" si="568"/>
        <v>0</v>
      </c>
      <c r="AN48" s="26">
        <f t="shared" ref="AN48:AO48" si="569">AN45-AN46</f>
        <v>0</v>
      </c>
      <c r="AO48" s="26">
        <f t="shared" si="569"/>
        <v>0</v>
      </c>
      <c r="AP48" s="26">
        <f t="shared" ref="AP48:CD48" si="570">AP45-AP46</f>
        <v>0</v>
      </c>
      <c r="AQ48" s="26">
        <f t="shared" si="570"/>
        <v>0</v>
      </c>
      <c r="AR48" s="26">
        <f t="shared" si="570"/>
        <v>0</v>
      </c>
      <c r="AS48" s="26">
        <f t="shared" si="570"/>
        <v>0</v>
      </c>
      <c r="AT48" s="26">
        <f t="shared" si="570"/>
        <v>0</v>
      </c>
      <c r="AU48" s="26">
        <f t="shared" si="570"/>
        <v>0</v>
      </c>
      <c r="AV48" s="26">
        <f t="shared" si="570"/>
        <v>0</v>
      </c>
      <c r="AW48" s="26">
        <f t="shared" si="570"/>
        <v>0</v>
      </c>
      <c r="AX48" s="26">
        <f t="shared" si="570"/>
        <v>0</v>
      </c>
      <c r="AY48" s="26">
        <f t="shared" si="570"/>
        <v>0</v>
      </c>
      <c r="AZ48" s="26">
        <f t="shared" si="570"/>
        <v>0</v>
      </c>
      <c r="BA48" s="26">
        <f t="shared" si="570"/>
        <v>0</v>
      </c>
      <c r="BB48" s="26">
        <f t="shared" si="570"/>
        <v>0</v>
      </c>
      <c r="BC48" s="26">
        <f t="shared" si="570"/>
        <v>0</v>
      </c>
      <c r="BD48" s="26">
        <f t="shared" si="570"/>
        <v>0</v>
      </c>
      <c r="BE48" s="26">
        <f t="shared" si="570"/>
        <v>0</v>
      </c>
      <c r="BF48" s="26">
        <f t="shared" si="570"/>
        <v>0</v>
      </c>
      <c r="BG48" s="26">
        <f t="shared" si="570"/>
        <v>0</v>
      </c>
      <c r="BH48" s="26">
        <f t="shared" si="570"/>
        <v>58.360999999999848</v>
      </c>
      <c r="BI48" s="26">
        <f t="shared" si="570"/>
        <v>188.49899999999991</v>
      </c>
      <c r="BJ48" s="26">
        <f t="shared" si="570"/>
        <v>294.80300000000028</v>
      </c>
      <c r="BK48" s="26">
        <f t="shared" si="570"/>
        <v>46.010000000000026</v>
      </c>
      <c r="BL48" s="26">
        <f t="shared" si="570"/>
        <v>79.41</v>
      </c>
      <c r="BM48" s="26">
        <f t="shared" si="570"/>
        <v>50.2710000000001</v>
      </c>
      <c r="BN48" s="26">
        <f t="shared" si="570"/>
        <v>128.59000000000003</v>
      </c>
      <c r="BO48" s="26">
        <f t="shared" si="570"/>
        <v>17.220000000000102</v>
      </c>
      <c r="BP48" s="26">
        <f t="shared" si="570"/>
        <v>15.090000000000131</v>
      </c>
      <c r="BQ48" s="26">
        <f t="shared" si="570"/>
        <v>22.450000000000056</v>
      </c>
      <c r="BR48" s="26">
        <f t="shared" si="570"/>
        <v>-344.79999999999995</v>
      </c>
      <c r="BS48" s="26">
        <f t="shared" si="570"/>
        <v>-76.019999999999911</v>
      </c>
      <c r="BT48" s="26">
        <f t="shared" si="570"/>
        <v>-284.34999999999991</v>
      </c>
      <c r="BU48" s="26">
        <f t="shared" si="570"/>
        <v>-428.78000000000014</v>
      </c>
      <c r="BV48" s="26">
        <f t="shared" si="570"/>
        <v>-126.61000000000011</v>
      </c>
      <c r="BW48" s="26">
        <f t="shared" si="570"/>
        <v>-355.9899999999999</v>
      </c>
      <c r="BX48" s="26">
        <f t="shared" si="570"/>
        <v>-298.70999999999992</v>
      </c>
      <c r="BY48" s="26">
        <f t="shared" si="570"/>
        <v>-99.149999999999977</v>
      </c>
      <c r="BZ48" s="26">
        <f t="shared" si="570"/>
        <v>-421.1099999999999</v>
      </c>
      <c r="CA48" s="26">
        <f t="shared" si="570"/>
        <v>-95.319999999999922</v>
      </c>
      <c r="CB48" s="26">
        <f t="shared" si="570"/>
        <v>-54.510000000000034</v>
      </c>
      <c r="CC48" s="26">
        <f t="shared" si="570"/>
        <v>-62.390000000000008</v>
      </c>
      <c r="CD48" s="26">
        <f t="shared" si="570"/>
        <v>1.3999999999999631</v>
      </c>
      <c r="CE48" s="26">
        <f t="shared" ref="CE48:CF48" si="571">CE45-CE46</f>
        <v>4.8299999999998935</v>
      </c>
      <c r="CF48" s="26">
        <f t="shared" si="571"/>
        <v>8.5700000000000358</v>
      </c>
      <c r="CG48" s="26">
        <f t="shared" ref="CG48:CH48" si="572">CG45-CG46</f>
        <v>17.140000000000033</v>
      </c>
      <c r="CH48" s="26">
        <f t="shared" si="572"/>
        <v>55.010000000000282</v>
      </c>
      <c r="CI48" s="26">
        <f t="shared" ref="CI48:CJ48" si="573">CI45-CI46</f>
        <v>38.690000000000033</v>
      </c>
      <c r="CJ48" s="26">
        <f t="shared" si="573"/>
        <v>102.47999999999985</v>
      </c>
      <c r="CK48" s="26">
        <f t="shared" ref="CK48:CL48" si="574">CK45-CK46</f>
        <v>32.390000000000157</v>
      </c>
      <c r="CL48" s="26">
        <f t="shared" si="574"/>
        <v>141.58999999999989</v>
      </c>
      <c r="CM48" s="27">
        <f t="shared" ref="CM48:DB48" si="575">CM45-CM46</f>
        <v>91.305193614721674</v>
      </c>
      <c r="CN48" s="27">
        <f t="shared" si="575"/>
        <v>89.869748084518463</v>
      </c>
      <c r="CO48" s="27">
        <f t="shared" si="575"/>
        <v>106.0761433663193</v>
      </c>
      <c r="CP48" s="27">
        <f t="shared" si="575"/>
        <v>124.4145735158111</v>
      </c>
      <c r="CQ48" s="27">
        <f t="shared" si="575"/>
        <v>122.53951443048247</v>
      </c>
      <c r="CR48" s="27">
        <f t="shared" si="575"/>
        <v>113.36609840935637</v>
      </c>
      <c r="CS48" s="27">
        <f t="shared" si="575"/>
        <v>119.86808174123792</v>
      </c>
      <c r="CT48" s="27">
        <f t="shared" si="575"/>
        <v>131.94105963921834</v>
      </c>
      <c r="CU48" s="27">
        <f t="shared" si="575"/>
        <v>141.58094639758781</v>
      </c>
      <c r="CV48" s="27">
        <f t="shared" si="575"/>
        <v>126.83001563140826</v>
      </c>
      <c r="CW48" s="27">
        <f t="shared" si="575"/>
        <v>131.55134067678864</v>
      </c>
      <c r="CX48" s="27">
        <f t="shared" si="575"/>
        <v>144.84404685176199</v>
      </c>
      <c r="CY48" s="27">
        <f t="shared" si="575"/>
        <v>157.85229946600202</v>
      </c>
      <c r="CZ48" s="27">
        <f t="shared" si="575"/>
        <v>139.72909089645168</v>
      </c>
      <c r="DA48" s="27">
        <f t="shared" si="575"/>
        <v>144.84288512908819</v>
      </c>
      <c r="DB48" s="27">
        <f t="shared" si="575"/>
        <v>160.43129570937447</v>
      </c>
      <c r="DE48" s="121"/>
      <c r="DF48" s="26">
        <v>91.596884586850621</v>
      </c>
    </row>
    <row r="49" spans="1:110" s="45" customFormat="1" x14ac:dyDescent="0.2">
      <c r="A49" s="45" t="s">
        <v>107</v>
      </c>
      <c r="B49" s="45" t="e">
        <f t="shared" ref="B49:E49" si="576">+B48/B17</f>
        <v>#DIV/0!</v>
      </c>
      <c r="C49" s="45" t="e">
        <f t="shared" si="576"/>
        <v>#DIV/0!</v>
      </c>
      <c r="D49" s="45" t="e">
        <f t="shared" si="576"/>
        <v>#DIV/0!</v>
      </c>
      <c r="E49" s="45" t="e">
        <f t="shared" si="576"/>
        <v>#DIV/0!</v>
      </c>
      <c r="F49" s="45" t="e">
        <f t="shared" ref="F49:AE49" si="577">+F48/F17</f>
        <v>#DIV/0!</v>
      </c>
      <c r="G49" s="45" t="e">
        <f t="shared" si="577"/>
        <v>#DIV/0!</v>
      </c>
      <c r="H49" s="45" t="e">
        <f t="shared" si="577"/>
        <v>#DIV/0!</v>
      </c>
      <c r="I49" s="45" t="e">
        <f t="shared" si="577"/>
        <v>#DIV/0!</v>
      </c>
      <c r="J49" s="45" t="e">
        <f t="shared" si="577"/>
        <v>#DIV/0!</v>
      </c>
      <c r="K49" s="45" t="e">
        <f t="shared" si="577"/>
        <v>#DIV/0!</v>
      </c>
      <c r="L49" s="45" t="e">
        <f t="shared" si="577"/>
        <v>#DIV/0!</v>
      </c>
      <c r="M49" s="45" t="e">
        <f t="shared" si="577"/>
        <v>#DIV/0!</v>
      </c>
      <c r="N49" s="45" t="e">
        <f t="shared" si="577"/>
        <v>#DIV/0!</v>
      </c>
      <c r="O49" s="45" t="e">
        <f t="shared" si="577"/>
        <v>#DIV/0!</v>
      </c>
      <c r="P49" s="45" t="e">
        <f t="shared" si="577"/>
        <v>#DIV/0!</v>
      </c>
      <c r="Q49" s="45" t="e">
        <f t="shared" si="577"/>
        <v>#DIV/0!</v>
      </c>
      <c r="R49" s="45" t="e">
        <f t="shared" si="577"/>
        <v>#DIV/0!</v>
      </c>
      <c r="S49" s="45">
        <f t="shared" si="577"/>
        <v>6.5563757947805709E-2</v>
      </c>
      <c r="T49" s="45">
        <f t="shared" si="577"/>
        <v>7.7451626181616232E-2</v>
      </c>
      <c r="U49" s="45">
        <f t="shared" si="577"/>
        <v>5.4574739609957464E-2</v>
      </c>
      <c r="V49" s="45">
        <f t="shared" si="577"/>
        <v>-5.7085498346717001E-2</v>
      </c>
      <c r="W49" s="45">
        <f t="shared" si="577"/>
        <v>-0.17614359850277181</v>
      </c>
      <c r="X49" s="45">
        <f t="shared" si="577"/>
        <v>-0.58310380593644695</v>
      </c>
      <c r="Y49" s="45">
        <f t="shared" si="577"/>
        <v>-6.9444581714914536E-2</v>
      </c>
      <c r="Z49" s="45">
        <f t="shared" ref="Z49:AA49" si="578">+Z48/Z17</f>
        <v>1.3575357116787737E-2</v>
      </c>
      <c r="AA49" s="45">
        <f t="shared" si="578"/>
        <v>4.1752505614032855E-2</v>
      </c>
      <c r="AB49" s="48">
        <f t="shared" si="577"/>
        <v>4.320707257480734E-2</v>
      </c>
      <c r="AC49" s="48">
        <f t="shared" si="577"/>
        <v>4.4301854929120532E-2</v>
      </c>
      <c r="AD49" s="48">
        <f t="shared" si="577"/>
        <v>4.3769186046542084E-2</v>
      </c>
      <c r="AE49" s="48">
        <f t="shared" si="577"/>
        <v>4.2916704203143093E-2</v>
      </c>
      <c r="AI49" s="45" t="e">
        <f t="shared" ref="AI49:BN49" si="579">+AI48/AI17</f>
        <v>#DIV/0!</v>
      </c>
      <c r="AJ49" s="45" t="e">
        <f t="shared" si="579"/>
        <v>#DIV/0!</v>
      </c>
      <c r="AK49" s="45" t="e">
        <f t="shared" si="579"/>
        <v>#DIV/0!</v>
      </c>
      <c r="AL49" s="45" t="e">
        <f t="shared" si="579"/>
        <v>#DIV/0!</v>
      </c>
      <c r="AM49" s="45" t="e">
        <f t="shared" si="579"/>
        <v>#DIV/0!</v>
      </c>
      <c r="AN49" s="45" t="e">
        <f t="shared" si="579"/>
        <v>#DIV/0!</v>
      </c>
      <c r="AO49" s="45" t="e">
        <f t="shared" si="579"/>
        <v>#DIV/0!</v>
      </c>
      <c r="AP49" s="45" t="e">
        <f t="shared" si="579"/>
        <v>#DIV/0!</v>
      </c>
      <c r="AQ49" s="45" t="e">
        <f t="shared" si="579"/>
        <v>#DIV/0!</v>
      </c>
      <c r="AR49" s="45" t="e">
        <f t="shared" si="579"/>
        <v>#DIV/0!</v>
      </c>
      <c r="AS49" s="45" t="e">
        <f t="shared" si="579"/>
        <v>#DIV/0!</v>
      </c>
      <c r="AT49" s="45" t="e">
        <f t="shared" si="579"/>
        <v>#DIV/0!</v>
      </c>
      <c r="AU49" s="45" t="e">
        <f t="shared" si="579"/>
        <v>#DIV/0!</v>
      </c>
      <c r="AV49" s="45" t="e">
        <f t="shared" si="579"/>
        <v>#DIV/0!</v>
      </c>
      <c r="AW49" s="45" t="e">
        <f t="shared" si="579"/>
        <v>#DIV/0!</v>
      </c>
      <c r="AX49" s="45" t="e">
        <f t="shared" si="579"/>
        <v>#DIV/0!</v>
      </c>
      <c r="AY49" s="45" t="e">
        <f t="shared" si="579"/>
        <v>#DIV/0!</v>
      </c>
      <c r="AZ49" s="45" t="e">
        <f t="shared" si="579"/>
        <v>#DIV/0!</v>
      </c>
      <c r="BA49" s="45" t="e">
        <f t="shared" si="579"/>
        <v>#DIV/0!</v>
      </c>
      <c r="BB49" s="45" t="e">
        <f t="shared" si="579"/>
        <v>#DIV/0!</v>
      </c>
      <c r="BC49" s="45" t="e">
        <f t="shared" si="579"/>
        <v>#DIV/0!</v>
      </c>
      <c r="BD49" s="45" t="e">
        <f t="shared" si="579"/>
        <v>#DIV/0!</v>
      </c>
      <c r="BE49" s="45" t="e">
        <f t="shared" si="579"/>
        <v>#DIV/0!</v>
      </c>
      <c r="BF49" s="45" t="e">
        <f t="shared" si="579"/>
        <v>#DIV/0!</v>
      </c>
      <c r="BG49" s="45" t="e">
        <f t="shared" si="579"/>
        <v>#DIV/0!</v>
      </c>
      <c r="BH49" s="45">
        <f t="shared" si="579"/>
        <v>2.36039585700193E-2</v>
      </c>
      <c r="BI49" s="45">
        <f t="shared" si="579"/>
        <v>0.11465792220494736</v>
      </c>
      <c r="BJ49" s="45">
        <f t="shared" si="579"/>
        <v>0.12678259328833211</v>
      </c>
      <c r="BK49" s="45">
        <f t="shared" si="579"/>
        <v>3.695730752239048E-2</v>
      </c>
      <c r="BL49" s="45">
        <f t="shared" si="579"/>
        <v>6.6544878616979372E-2</v>
      </c>
      <c r="BM49" s="45">
        <f t="shared" si="579"/>
        <v>4.6703722938253367E-2</v>
      </c>
      <c r="BN49" s="45">
        <f t="shared" si="579"/>
        <v>6.2403245609352495E-2</v>
      </c>
      <c r="BO49" s="45">
        <f t="shared" ref="BO49:CT49" si="580">+BO48/BO17</f>
        <v>1.6125105346942691E-2</v>
      </c>
      <c r="BP49" s="45">
        <f t="shared" si="580"/>
        <v>1.1289586497385313E-2</v>
      </c>
      <c r="BQ49" s="45">
        <f t="shared" si="580"/>
        <v>1.7114802588947462E-2</v>
      </c>
      <c r="BR49" s="45">
        <f t="shared" si="580"/>
        <v>-0.25268588681900123</v>
      </c>
      <c r="BS49" s="45">
        <f t="shared" si="580"/>
        <v>-6.363476557595231E-2</v>
      </c>
      <c r="BT49" s="45">
        <f t="shared" si="580"/>
        <v>-0.19768217905757698</v>
      </c>
      <c r="BU49" s="45">
        <f t="shared" si="580"/>
        <v>-0.28683622546593002</v>
      </c>
      <c r="BV49" s="45">
        <f t="shared" si="580"/>
        <v>-0.11821330868416395</v>
      </c>
      <c r="BW49" s="45">
        <f t="shared" si="580"/>
        <v>-0.29495496839087593</v>
      </c>
      <c r="BX49" s="45">
        <f t="shared" si="580"/>
        <v>-0.95529118296075965</v>
      </c>
      <c r="BY49" s="45">
        <f t="shared" si="580"/>
        <v>-0.24363573815608408</v>
      </c>
      <c r="BZ49" s="45">
        <f t="shared" si="580"/>
        <v>-4.7620716951260871</v>
      </c>
      <c r="CA49" s="45">
        <f t="shared" si="580"/>
        <v>-0.18510175547615332</v>
      </c>
      <c r="CB49" s="45">
        <f t="shared" si="580"/>
        <v>-7.1769012007583788E-2</v>
      </c>
      <c r="CC49" s="45">
        <f t="shared" si="580"/>
        <v>-0.1070374691188581</v>
      </c>
      <c r="CD49" s="45">
        <f t="shared" si="580"/>
        <v>1.1884449198223811E-3</v>
      </c>
      <c r="CE49" s="45">
        <f t="shared" si="580"/>
        <v>5.2783424037766858E-3</v>
      </c>
      <c r="CF49" s="45">
        <f t="shared" si="580"/>
        <v>8.3164319886656207E-3</v>
      </c>
      <c r="CG49" s="45">
        <f t="shared" si="580"/>
        <v>9.3294143261485035E-3</v>
      </c>
      <c r="CH49" s="45">
        <f t="shared" si="580"/>
        <v>2.1837077380503542E-2</v>
      </c>
      <c r="CI49" s="45">
        <f t="shared" ref="CI49:CJ49" si="581">+CI48/CI17</f>
        <v>2.1962614169831366E-2</v>
      </c>
      <c r="CJ49" s="45">
        <f t="shared" si="581"/>
        <v>5.8606885508406641E-2</v>
      </c>
      <c r="CK49" s="45">
        <f t="shared" ref="CK49:CL49" si="582">+CK48/CK17</f>
        <v>1.5481237543076535E-2</v>
      </c>
      <c r="CL49" s="45">
        <f t="shared" si="582"/>
        <v>7.2774091416059686E-2</v>
      </c>
      <c r="CM49" s="48">
        <f t="shared" si="580"/>
        <v>3.7547114170151108E-2</v>
      </c>
      <c r="CN49" s="48">
        <f t="shared" si="580"/>
        <v>4.098067092218468E-2</v>
      </c>
      <c r="CO49" s="48">
        <f t="shared" si="580"/>
        <v>4.5098910377153259E-2</v>
      </c>
      <c r="CP49" s="48">
        <f t="shared" si="580"/>
        <v>4.8772219235390442E-2</v>
      </c>
      <c r="CQ49" s="48">
        <f t="shared" si="580"/>
        <v>4.3036296252827247E-2</v>
      </c>
      <c r="CR49" s="48">
        <f t="shared" si="580"/>
        <v>4.4982529146297377E-2</v>
      </c>
      <c r="CS49" s="48">
        <f t="shared" si="580"/>
        <v>4.4645958468681961E-2</v>
      </c>
      <c r="CT49" s="48">
        <f t="shared" si="580"/>
        <v>4.462797761905974E-2</v>
      </c>
      <c r="CU49" s="48">
        <f t="shared" ref="CU49:DB49" si="583">+CU48/CU17</f>
        <v>4.3895005414438561E-2</v>
      </c>
      <c r="CV49" s="48">
        <f t="shared" si="583"/>
        <v>4.4593938857528555E-2</v>
      </c>
      <c r="CW49" s="48">
        <f t="shared" si="583"/>
        <v>4.3379162549135805E-2</v>
      </c>
      <c r="CX49" s="48">
        <f t="shared" si="583"/>
        <v>4.3300224659012114E-2</v>
      </c>
      <c r="CY49" s="48">
        <f t="shared" si="583"/>
        <v>4.3382640759127157E-2</v>
      </c>
      <c r="CZ49" s="48">
        <f t="shared" si="583"/>
        <v>4.3634368692608928E-2</v>
      </c>
      <c r="DA49" s="48">
        <f t="shared" si="583"/>
        <v>4.2325160762244303E-2</v>
      </c>
      <c r="DB49" s="48">
        <f t="shared" si="583"/>
        <v>4.2396322806553734E-2</v>
      </c>
      <c r="DE49" s="129"/>
      <c r="DF49" s="45">
        <v>2.1080979911235129E-2</v>
      </c>
    </row>
    <row r="50" spans="1:110" s="39" customFormat="1" x14ac:dyDescent="0.2">
      <c r="A50" s="39" t="s">
        <v>451</v>
      </c>
      <c r="C50" s="39" t="e">
        <f t="shared" ref="C50:E50" si="584">+IF(B48&lt;0,1-C48/B48,C48/B48-1)</f>
        <v>#DIV/0!</v>
      </c>
      <c r="D50" s="39" t="e">
        <f t="shared" si="584"/>
        <v>#DIV/0!</v>
      </c>
      <c r="E50" s="39" t="e">
        <f t="shared" si="584"/>
        <v>#DIV/0!</v>
      </c>
      <c r="F50" s="39" t="e">
        <f t="shared" ref="F50:AE50" si="585">+IF(E48&lt;0,1-F48/E48,F48/E48-1)</f>
        <v>#DIV/0!</v>
      </c>
      <c r="G50" s="39" t="e">
        <f t="shared" si="585"/>
        <v>#DIV/0!</v>
      </c>
      <c r="H50" s="39" t="e">
        <f t="shared" si="585"/>
        <v>#DIV/0!</v>
      </c>
      <c r="I50" s="39" t="e">
        <f t="shared" si="585"/>
        <v>#DIV/0!</v>
      </c>
      <c r="J50" s="39" t="e">
        <f t="shared" si="585"/>
        <v>#DIV/0!</v>
      </c>
      <c r="K50" s="39" t="e">
        <f t="shared" si="585"/>
        <v>#DIV/0!</v>
      </c>
      <c r="L50" s="39" t="e">
        <f t="shared" si="585"/>
        <v>#DIV/0!</v>
      </c>
      <c r="M50" s="39" t="e">
        <f t="shared" si="585"/>
        <v>#DIV/0!</v>
      </c>
      <c r="N50" s="39" t="e">
        <f t="shared" si="585"/>
        <v>#DIV/0!</v>
      </c>
      <c r="O50" s="39" t="e">
        <f t="shared" si="585"/>
        <v>#DIV/0!</v>
      </c>
      <c r="P50" s="39" t="e">
        <f t="shared" si="585"/>
        <v>#DIV/0!</v>
      </c>
      <c r="Q50" s="39" t="e">
        <f t="shared" si="585"/>
        <v>#DIV/0!</v>
      </c>
      <c r="R50" s="39" t="e">
        <f t="shared" si="585"/>
        <v>#DIV/0!</v>
      </c>
      <c r="S50" s="39" t="e">
        <f t="shared" si="585"/>
        <v>#DIV/0!</v>
      </c>
      <c r="T50" s="39">
        <f t="shared" si="585"/>
        <v>0.41661136204734306</v>
      </c>
      <c r="U50" s="39">
        <f t="shared" si="585"/>
        <v>-0.52326188084915726</v>
      </c>
      <c r="V50" s="39">
        <f t="shared" si="585"/>
        <v>-1.9532323265520755</v>
      </c>
      <c r="W50" s="39">
        <f t="shared" si="585"/>
        <v>-2.1573576058474737</v>
      </c>
      <c r="X50" s="39">
        <f t="shared" si="585"/>
        <v>-0.2830435922075647</v>
      </c>
      <c r="Y50" s="39">
        <f t="shared" si="585"/>
        <v>0.82059814802206021</v>
      </c>
      <c r="Z50" s="39">
        <f t="shared" ref="Z50:AA50" si="586">+IF(Y48&lt;0,1-Z48/Y48,Z48/Y48-1)</f>
        <v>1.4058541676550118</v>
      </c>
      <c r="AA50" s="39">
        <f t="shared" si="586"/>
        <v>2.6838106370543637</v>
      </c>
      <c r="AB50" s="40">
        <f t="shared" si="585"/>
        <v>0.30625308133069673</v>
      </c>
      <c r="AC50" s="40">
        <f t="shared" si="585"/>
        <v>0.18473509765423568</v>
      </c>
      <c r="AD50" s="40">
        <f t="shared" si="585"/>
        <v>0.11705939761556361</v>
      </c>
      <c r="AE50" s="40">
        <f t="shared" si="585"/>
        <v>0.10655019290893941</v>
      </c>
      <c r="AM50" s="39" t="e">
        <f>+IF(AI48&lt;0,1-AM48/AI48,AM48/AI48-1)</f>
        <v>#DIV/0!</v>
      </c>
      <c r="AN50" s="39" t="e">
        <f t="shared" ref="AN50" si="587">+IF(AJ48&lt;0,1-AN48/AJ48,AN48/AJ48-1)</f>
        <v>#DIV/0!</v>
      </c>
      <c r="AO50" s="39" t="e">
        <f t="shared" ref="AO50" si="588">+IF(AK48&lt;0,1-AO48/AK48,AO48/AK48-1)</f>
        <v>#DIV/0!</v>
      </c>
      <c r="AP50" s="39" t="e">
        <f t="shared" ref="AP50" si="589">+IF(AL48&lt;0,1-AP48/AL48,AP48/AL48-1)</f>
        <v>#DIV/0!</v>
      </c>
      <c r="AQ50" s="39" t="e">
        <f t="shared" ref="AQ50" si="590">+IF(AM48&lt;0,1-AQ48/AM48,AQ48/AM48-1)</f>
        <v>#DIV/0!</v>
      </c>
      <c r="AR50" s="39" t="e">
        <f t="shared" ref="AR50" si="591">+IF(AN48&lt;0,1-AR48/AN48,AR48/AN48-1)</f>
        <v>#DIV/0!</v>
      </c>
      <c r="AS50" s="39" t="e">
        <f t="shared" ref="AS50" si="592">+IF(AO48&lt;0,1-AS48/AO48,AS48/AO48-1)</f>
        <v>#DIV/0!</v>
      </c>
      <c r="AT50" s="39" t="e">
        <f t="shared" ref="AT50" si="593">+IF(AP48&lt;0,1-AT48/AP48,AT48/AP48-1)</f>
        <v>#DIV/0!</v>
      </c>
      <c r="AU50" s="39" t="e">
        <f t="shared" ref="AU50" si="594">+IF(AQ48&lt;0,1-AU48/AQ48,AU48/AQ48-1)</f>
        <v>#DIV/0!</v>
      </c>
      <c r="AV50" s="39" t="e">
        <f t="shared" ref="AV50" si="595">+IF(AR48&lt;0,1-AV48/AR48,AV48/AR48-1)</f>
        <v>#DIV/0!</v>
      </c>
      <c r="AW50" s="39" t="e">
        <f t="shared" ref="AW50" si="596">+IF(AS48&lt;0,1-AW48/AS48,AW48/AS48-1)</f>
        <v>#DIV/0!</v>
      </c>
      <c r="AX50" s="39" t="e">
        <f t="shared" ref="AX50" si="597">+IF(AT48&lt;0,1-AX48/AT48,AX48/AT48-1)</f>
        <v>#DIV/0!</v>
      </c>
      <c r="AY50" s="39" t="e">
        <f t="shared" ref="AY50" si="598">+IF(AU48&lt;0,1-AY48/AU48,AY48/AU48-1)</f>
        <v>#DIV/0!</v>
      </c>
      <c r="AZ50" s="39" t="e">
        <f t="shared" ref="AZ50" si="599">+IF(AV48&lt;0,1-AZ48/AV48,AZ48/AV48-1)</f>
        <v>#DIV/0!</v>
      </c>
      <c r="BA50" s="39" t="e">
        <f t="shared" ref="BA50" si="600">+IF(AW48&lt;0,1-BA48/AW48,BA48/AW48-1)</f>
        <v>#DIV/0!</v>
      </c>
      <c r="BB50" s="39" t="e">
        <f t="shared" ref="BB50" si="601">+IF(AX48&lt;0,1-BB48/AX48,BB48/AX48-1)</f>
        <v>#DIV/0!</v>
      </c>
      <c r="BC50" s="39" t="e">
        <f t="shared" ref="BC50" si="602">+IF(AY48&lt;0,1-BC48/AY48,BC48/AY48-1)</f>
        <v>#DIV/0!</v>
      </c>
      <c r="BD50" s="39" t="e">
        <f t="shared" ref="BD50" si="603">+IF(AZ48&lt;0,1-BD48/AZ48,BD48/AZ48-1)</f>
        <v>#DIV/0!</v>
      </c>
      <c r="BE50" s="39" t="e">
        <f t="shared" ref="BE50" si="604">+IF(BA48&lt;0,1-BE48/BA48,BE48/BA48-1)</f>
        <v>#DIV/0!</v>
      </c>
      <c r="BF50" s="39" t="e">
        <f t="shared" ref="BF50" si="605">+IF(BB48&lt;0,1-BF48/BB48,BF48/BB48-1)</f>
        <v>#DIV/0!</v>
      </c>
      <c r="BG50" s="39" t="e">
        <f t="shared" ref="BG50" si="606">+IF(BC48&lt;0,1-BG48/BC48,BG48/BC48-1)</f>
        <v>#DIV/0!</v>
      </c>
      <c r="BH50" s="39" t="e">
        <f t="shared" ref="BH50" si="607">+IF(BD48&lt;0,1-BH48/BD48,BH48/BD48-1)</f>
        <v>#DIV/0!</v>
      </c>
      <c r="BI50" s="39" t="e">
        <f t="shared" ref="BI50" si="608">+IF(BE48&lt;0,1-BI48/BE48,BI48/BE48-1)</f>
        <v>#DIV/0!</v>
      </c>
      <c r="BJ50" s="39" t="e">
        <f t="shared" ref="BJ50" si="609">+IF(BF48&lt;0,1-BJ48/BF48,BJ48/BF48-1)</f>
        <v>#DIV/0!</v>
      </c>
      <c r="BK50" s="39" t="e">
        <f t="shared" ref="BK50" si="610">+IF(BG48&lt;0,1-BK48/BG48,BK48/BG48-1)</f>
        <v>#DIV/0!</v>
      </c>
      <c r="BL50" s="39">
        <f t="shared" ref="BL50" si="611">+IF(BH48&lt;0,1-BL48/BH48,BL48/BH48-1)</f>
        <v>0.36066893987423465</v>
      </c>
      <c r="BM50" s="39">
        <f t="shared" ref="BM50" si="612">+IF(BI48&lt;0,1-BM48/BI48,BM48/BI48-1)</f>
        <v>-0.73330893002084818</v>
      </c>
      <c r="BN50" s="39">
        <f t="shared" ref="BN50" si="613">+IF(BJ48&lt;0,1-BN48/BJ48,BN48/BJ48-1)</f>
        <v>-0.56381040898498358</v>
      </c>
      <c r="BO50" s="39">
        <f t="shared" ref="BO50" si="614">+IF(BK48&lt;0,1-BO48/BK48,BO48/BK48-1)</f>
        <v>-0.62573353618778327</v>
      </c>
      <c r="BP50" s="39">
        <f t="shared" ref="BP50" si="615">+IF(BL48&lt;0,1-BP48/BL48,BP48/BL48-1)</f>
        <v>-0.80997355496788648</v>
      </c>
      <c r="BQ50" s="39">
        <f t="shared" ref="BQ50" si="616">+IF(BM48&lt;0,1-BQ48/BM48,BQ48/BM48-1)</f>
        <v>-0.55342046110083332</v>
      </c>
      <c r="BR50" s="39">
        <f t="shared" ref="BR50" si="617">+IF(BN48&lt;0,1-BR48/BN48,BR48/BN48-1)</f>
        <v>-3.6813904658216026</v>
      </c>
      <c r="BS50" s="39">
        <f t="shared" ref="BS50" si="618">+IF(BO48&lt;0,1-BS48/BO48,BS48/BO48-1)</f>
        <v>-5.4146341463414318</v>
      </c>
      <c r="BT50" s="39">
        <f t="shared" ref="BT50" si="619">+IF(BP48&lt;0,1-BT48/BP48,BT48/BP48-1)</f>
        <v>-19.843605036447808</v>
      </c>
      <c r="BU50" s="39">
        <f t="shared" ref="BU50" si="620">+IF(BQ48&lt;0,1-BU48/BQ48,BU48/BQ48-1)</f>
        <v>-20.099331848552296</v>
      </c>
      <c r="BV50" s="39">
        <f t="shared" ref="BV50" si="621">+IF(BR48&lt;0,1-BV48/BR48,BV48/BR48-1)</f>
        <v>0.63280162412993002</v>
      </c>
      <c r="BW50" s="39">
        <f t="shared" ref="BW50" si="622">+IF(BS48&lt;0,1-BW48/BS48,BW48/BS48-1)</f>
        <v>-3.6828466193107117</v>
      </c>
      <c r="BX50" s="39">
        <f t="shared" ref="BX50" si="623">+IF(BT48&lt;0,1-BX48/BT48,BX48/BT48-1)</f>
        <v>-5.0501142957622758E-2</v>
      </c>
      <c r="BY50" s="39">
        <f t="shared" ref="BY50" si="624">+IF(BU48&lt;0,1-BY48/BU48,BY48/BU48-1)</f>
        <v>0.7687625355660247</v>
      </c>
      <c r="BZ50" s="39">
        <f t="shared" ref="BZ50" si="625">+IF(BV48&lt;0,1-BZ48/BV48,BZ48/BV48-1)</f>
        <v>-2.3260405971092295</v>
      </c>
      <c r="CA50" s="39">
        <f t="shared" ref="CA50" si="626">+IF(BW48&lt;0,1-CA48/BW48,CA48/BW48-1)</f>
        <v>0.73223966965364218</v>
      </c>
      <c r="CB50" s="39">
        <f t="shared" ref="CB50" si="627">+IF(BX48&lt;0,1-CB48/BX48,CB48/BX48-1)</f>
        <v>0.81751531585819004</v>
      </c>
      <c r="CC50" s="39">
        <f t="shared" ref="CC50" si="628">+IF(BY48&lt;0,1-CC48/BY48,CC48/BY48-1)</f>
        <v>0.37075138678769515</v>
      </c>
      <c r="CD50" s="39">
        <f t="shared" ref="CD50" si="629">+IF(BZ48&lt;0,1-CD48/BZ48,CD48/BZ48-1)</f>
        <v>1.003324547030467</v>
      </c>
      <c r="CE50" s="39">
        <f t="shared" ref="CE50" si="630">+IF(CA48&lt;0,1-CE48/CA48,CE48/CA48-1)</f>
        <v>1.050671422576583</v>
      </c>
      <c r="CF50" s="39">
        <f t="shared" ref="CF50" si="631">+IF(CB48&lt;0,1-CF48/CB48,CF48/CB48-1)</f>
        <v>1.1572188589249683</v>
      </c>
      <c r="CG50" s="39">
        <f t="shared" ref="CG50" si="632">+IF(CC48&lt;0,1-CG48/CC48,CG48/CC48-1)</f>
        <v>1.2747235133835555</v>
      </c>
      <c r="CH50" s="39">
        <f t="shared" ref="CH50:CL50" si="633">+IF(CD48&lt;0,1-CH48/CD48,CH48/CD48-1)</f>
        <v>38.292857142858381</v>
      </c>
      <c r="CI50" s="39">
        <f t="shared" si="633"/>
        <v>7.0103519668738894</v>
      </c>
      <c r="CJ50" s="39">
        <f t="shared" si="633"/>
        <v>10.95799299883307</v>
      </c>
      <c r="CK50" s="39">
        <f t="shared" si="633"/>
        <v>0.88973162193699507</v>
      </c>
      <c r="CL50" s="39">
        <f t="shared" si="633"/>
        <v>1.5738956553353782</v>
      </c>
      <c r="CM50" s="40">
        <f t="shared" ref="CM50" si="634">+CM48/CI48-1</f>
        <v>1.3599171262528196</v>
      </c>
      <c r="CN50" s="40">
        <f t="shared" ref="CN50" si="635">+CN48/CJ48-1</f>
        <v>-0.12305085787940484</v>
      </c>
      <c r="CO50" s="40">
        <f t="shared" ref="CO50" si="636">+CO48/CK48-1</f>
        <v>2.2749658340944361</v>
      </c>
      <c r="CP50" s="40">
        <f t="shared" ref="CP50" si="637">+CP48/CL48-1</f>
        <v>-0.12130395143858186</v>
      </c>
      <c r="CQ50" s="40">
        <f t="shared" ref="CQ50" si="638">+CQ48/CM48-1</f>
        <v>0.34208701147450071</v>
      </c>
      <c r="CR50" s="40">
        <f t="shared" ref="CR50" si="639">+CR48/CN48-1</f>
        <v>0.26144893944445746</v>
      </c>
      <c r="CS50" s="40">
        <f t="shared" ref="CS50" si="640">+CS48/CO48-1</f>
        <v>0.1300192289918578</v>
      </c>
      <c r="CT50" s="40">
        <f t="shared" ref="CT50" si="641">+CT48/CP48-1</f>
        <v>6.0495212986047431E-2</v>
      </c>
      <c r="CU50" s="40">
        <f t="shared" ref="CU50" si="642">+CU48/CQ48-1</f>
        <v>0.15539013725982787</v>
      </c>
      <c r="CV50" s="40">
        <f t="shared" ref="CV50" si="643">+CV48/CR48-1</f>
        <v>0.11876493423487777</v>
      </c>
      <c r="CW50" s="40">
        <f t="shared" ref="CW50" si="644">+CW48/CS48-1</f>
        <v>9.7467639139930951E-2</v>
      </c>
      <c r="CX50" s="40">
        <f t="shared" ref="CX50" si="645">+CX48/CT48-1</f>
        <v>9.7793569703212846E-2</v>
      </c>
      <c r="CY50" s="40">
        <f t="shared" ref="CY50" si="646">+CY48/CU48-1</f>
        <v>0.11492614989817196</v>
      </c>
      <c r="CZ50" s="40">
        <f t="shared" ref="CZ50" si="647">+CZ48/CV48-1</f>
        <v>0.10170364799552289</v>
      </c>
      <c r="DA50" s="40">
        <f t="shared" ref="DA50" si="648">+DA48/CW48-1</f>
        <v>0.10103693648364898</v>
      </c>
      <c r="DB50" s="40">
        <f t="shared" ref="DB50" si="649">+DB48/CX48-1</f>
        <v>0.10761401104434043</v>
      </c>
      <c r="DE50" s="122"/>
      <c r="DF50" s="39">
        <v>0.6650951570050927</v>
      </c>
    </row>
    <row r="51" spans="1:110" s="39" customFormat="1" x14ac:dyDescent="0.2">
      <c r="A51" s="39" t="s">
        <v>452</v>
      </c>
      <c r="AB51" s="40"/>
      <c r="AC51" s="40"/>
      <c r="AD51" s="40"/>
      <c r="AE51" s="40"/>
      <c r="AJ51" s="39" t="e">
        <f>+IF(AI48&lt;0,1-AJ48/AI48,AJ48/AI48-1)</f>
        <v>#DIV/0!</v>
      </c>
      <c r="AK51" s="39" t="e">
        <f t="shared" ref="AK51:AM51" si="650">+IF(AJ48&lt;0,1-AK48/AJ48,AK48/AJ48-1)</f>
        <v>#DIV/0!</v>
      </c>
      <c r="AL51" s="39" t="e">
        <f t="shared" si="650"/>
        <v>#DIV/0!</v>
      </c>
      <c r="AM51" s="39" t="e">
        <f t="shared" si="650"/>
        <v>#DIV/0!</v>
      </c>
      <c r="AN51" s="39" t="e">
        <f t="shared" ref="AN51" si="651">+IF(AM48&lt;0,1-AN48/AM48,AN48/AM48-1)</f>
        <v>#DIV/0!</v>
      </c>
      <c r="AO51" s="39" t="e">
        <f t="shared" ref="AO51" si="652">+IF(AN48&lt;0,1-AO48/AN48,AO48/AN48-1)</f>
        <v>#DIV/0!</v>
      </c>
      <c r="AP51" s="39" t="e">
        <f t="shared" ref="AP51" si="653">+IF(AO48&lt;0,1-AP48/AO48,AP48/AO48-1)</f>
        <v>#DIV/0!</v>
      </c>
      <c r="AQ51" s="39" t="e">
        <f t="shared" ref="AQ51" si="654">+IF(AP48&lt;0,1-AQ48/AP48,AQ48/AP48-1)</f>
        <v>#DIV/0!</v>
      </c>
      <c r="AR51" s="39" t="e">
        <f t="shared" ref="AR51" si="655">+IF(AQ48&lt;0,1-AR48/AQ48,AR48/AQ48-1)</f>
        <v>#DIV/0!</v>
      </c>
      <c r="AS51" s="39" t="e">
        <f t="shared" ref="AS51" si="656">+IF(AR48&lt;0,1-AS48/AR48,AS48/AR48-1)</f>
        <v>#DIV/0!</v>
      </c>
      <c r="AT51" s="39" t="e">
        <f t="shared" ref="AT51" si="657">+IF(AS48&lt;0,1-AT48/AS48,AT48/AS48-1)</f>
        <v>#DIV/0!</v>
      </c>
      <c r="AU51" s="39" t="e">
        <f t="shared" ref="AU51" si="658">+IF(AT48&lt;0,1-AU48/AT48,AU48/AT48-1)</f>
        <v>#DIV/0!</v>
      </c>
      <c r="AV51" s="39" t="e">
        <f t="shared" ref="AV51" si="659">+IF(AU48&lt;0,1-AV48/AU48,AV48/AU48-1)</f>
        <v>#DIV/0!</v>
      </c>
      <c r="AW51" s="39" t="e">
        <f t="shared" ref="AW51" si="660">+IF(AV48&lt;0,1-AW48/AV48,AW48/AV48-1)</f>
        <v>#DIV/0!</v>
      </c>
      <c r="AX51" s="39" t="e">
        <f t="shared" ref="AX51" si="661">+IF(AW48&lt;0,1-AX48/AW48,AX48/AW48-1)</f>
        <v>#DIV/0!</v>
      </c>
      <c r="AY51" s="39" t="e">
        <f t="shared" ref="AY51" si="662">+IF(AX48&lt;0,1-AY48/AX48,AY48/AX48-1)</f>
        <v>#DIV/0!</v>
      </c>
      <c r="AZ51" s="39" t="e">
        <f t="shared" ref="AZ51" si="663">+IF(AY48&lt;0,1-AZ48/AY48,AZ48/AY48-1)</f>
        <v>#DIV/0!</v>
      </c>
      <c r="BA51" s="39" t="e">
        <f t="shared" ref="BA51" si="664">+IF(AZ48&lt;0,1-BA48/AZ48,BA48/AZ48-1)</f>
        <v>#DIV/0!</v>
      </c>
      <c r="BB51" s="39" t="e">
        <f t="shared" ref="BB51" si="665">+IF(BA48&lt;0,1-BB48/BA48,BB48/BA48-1)</f>
        <v>#DIV/0!</v>
      </c>
      <c r="BC51" s="39" t="e">
        <f t="shared" ref="BC51" si="666">+IF(BB48&lt;0,1-BC48/BB48,BC48/BB48-1)</f>
        <v>#DIV/0!</v>
      </c>
      <c r="BD51" s="39" t="e">
        <f t="shared" ref="BD51" si="667">+IF(BC48&lt;0,1-BD48/BC48,BD48/BC48-1)</f>
        <v>#DIV/0!</v>
      </c>
      <c r="BE51" s="39" t="e">
        <f t="shared" ref="BE51" si="668">+IF(BD48&lt;0,1-BE48/BD48,BE48/BD48-1)</f>
        <v>#DIV/0!</v>
      </c>
      <c r="BF51" s="39" t="e">
        <f t="shared" ref="BF51" si="669">+IF(BE48&lt;0,1-BF48/BE48,BF48/BE48-1)</f>
        <v>#DIV/0!</v>
      </c>
      <c r="BG51" s="39" t="e">
        <f t="shared" ref="BG51" si="670">+IF(BF48&lt;0,1-BG48/BF48,BG48/BF48-1)</f>
        <v>#DIV/0!</v>
      </c>
      <c r="BH51" s="39" t="e">
        <f t="shared" ref="BH51" si="671">+IF(BG48&lt;0,1-BH48/BG48,BH48/BG48-1)</f>
        <v>#DIV/0!</v>
      </c>
      <c r="BI51" s="39">
        <f t="shared" ref="BI51" si="672">+IF(BH48&lt;0,1-BI48/BH48,BI48/BH48-1)</f>
        <v>2.2298795428454001</v>
      </c>
      <c r="BJ51" s="39">
        <f t="shared" ref="BJ51" si="673">+IF(BI48&lt;0,1-BJ48/BI48,BJ48/BI48-1)</f>
        <v>0.56394994137900167</v>
      </c>
      <c r="BK51" s="39">
        <f t="shared" ref="BK51" si="674">+IF(BJ48&lt;0,1-BK48/BJ48,BK48/BJ48-1)</f>
        <v>-0.84392967507114924</v>
      </c>
      <c r="BL51" s="39">
        <f t="shared" ref="BL51" si="675">+IF(BK48&lt;0,1-BL48/BK48,BL48/BK48-1)</f>
        <v>0.72592914583786028</v>
      </c>
      <c r="BM51" s="39">
        <f t="shared" ref="BM51" si="676">+IF(BL48&lt;0,1-BM48/BL48,BM48/BL48-1)</f>
        <v>-0.36694370986021785</v>
      </c>
      <c r="BN51" s="39">
        <f t="shared" ref="BN51" si="677">+IF(BM48&lt;0,1-BN48/BM48,BN48/BM48-1)</f>
        <v>1.5579359869507226</v>
      </c>
      <c r="BO51" s="39">
        <f t="shared" ref="BO51" si="678">+IF(BN48&lt;0,1-BO48/BN48,BO48/BN48-1)</f>
        <v>-0.86608600979858386</v>
      </c>
      <c r="BP51" s="39">
        <f t="shared" ref="BP51" si="679">+IF(BO48&lt;0,1-BP48/BO48,BP48/BO48-1)</f>
        <v>-0.12369337979093831</v>
      </c>
      <c r="BQ51" s="39">
        <f t="shared" ref="BQ51" si="680">+IF(BP48&lt;0,1-BQ48/BP48,BQ48/BP48-1)</f>
        <v>0.48774022531476868</v>
      </c>
      <c r="BR51" s="39">
        <f t="shared" ref="BR51" si="681">+IF(BQ48&lt;0,1-BR48/BQ48,BR48/BQ48-1)</f>
        <v>-16.358574610244951</v>
      </c>
      <c r="BS51" s="39">
        <f t="shared" ref="BS51" si="682">+IF(BR48&lt;0,1-BS48/BR48,BS48/BR48-1)</f>
        <v>0.77952436194895613</v>
      </c>
      <c r="BT51" s="39">
        <f t="shared" ref="BT51" si="683">+IF(BS48&lt;0,1-BT48/BS48,BT48/BS48-1)</f>
        <v>-2.7404630360431499</v>
      </c>
      <c r="BU51" s="39">
        <f t="shared" ref="BU51" si="684">+IF(BT48&lt;0,1-BU48/BT48,BU48/BT48-1)</f>
        <v>-0.50793036750483656</v>
      </c>
      <c r="BV51" s="39">
        <f t="shared" ref="BV51" si="685">+IF(BU48&lt;0,1-BV48/BU48,BV48/BU48-1)</f>
        <v>0.70472036942021532</v>
      </c>
      <c r="BW51" s="39">
        <f t="shared" ref="BW51" si="686">+IF(BV48&lt;0,1-BW48/BV48,BW48/BV48-1)</f>
        <v>-1.8117052365531916</v>
      </c>
      <c r="BX51" s="39">
        <f t="shared" ref="BX51" si="687">+IF(BW48&lt;0,1-BX48/BW48,BX48/BW48-1)</f>
        <v>0.16090339616281357</v>
      </c>
      <c r="BY51" s="39">
        <f t="shared" ref="BY51" si="688">+IF(BX48&lt;0,1-BY48/BX48,BY48/BX48-1)</f>
        <v>0.66807271266445722</v>
      </c>
      <c r="BZ51" s="39">
        <f t="shared" ref="BZ51" si="689">+IF(BY48&lt;0,1-BZ48/BY48,BZ48/BY48-1)</f>
        <v>-3.247201210287443</v>
      </c>
      <c r="CA51" s="39">
        <f t="shared" ref="CA51" si="690">+IF(BZ48&lt;0,1-CA48/BZ48,CA48/BZ48-1)</f>
        <v>0.7736458407541974</v>
      </c>
      <c r="CB51" s="39">
        <f t="shared" ref="CB51" si="691">+IF(CA48&lt;0,1-CB48/CA48,CB48/CA48-1)</f>
        <v>0.4281368023499782</v>
      </c>
      <c r="CC51" s="39">
        <f t="shared" ref="CC51" si="692">+IF(CB48&lt;0,1-CC48/CB48,CC48/CB48-1)</f>
        <v>-0.14456063107686612</v>
      </c>
      <c r="CD51" s="39">
        <f t="shared" ref="CD51" si="693">+IF(CC48&lt;0,1-CD48/CC48,CD48/CC48-1)</f>
        <v>1.0224394935085745</v>
      </c>
      <c r="CE51" s="39">
        <f t="shared" ref="CE51" si="694">+IF(CD48&lt;0,1-CE48/CD48,CE48/CD48-1)</f>
        <v>2.4500000000000148</v>
      </c>
      <c r="CF51" s="39">
        <f t="shared" ref="CF51" si="695">+IF(CE48&lt;0,1-CF48/CE48,CF48/CE48-1)</f>
        <v>0.77432712215325572</v>
      </c>
      <c r="CG51" s="39">
        <f t="shared" ref="CG51" si="696">+IF(CF48&lt;0,1-CG48/CF48,CG48/CF48-1)</f>
        <v>0.99999999999999534</v>
      </c>
      <c r="CH51" s="39">
        <f t="shared" ref="CH51:CL51" si="697">+IF(CG48&lt;0,1-CH48/CG48,CH48/CG48-1)</f>
        <v>2.2094515752625541</v>
      </c>
      <c r="CI51" s="39">
        <f t="shared" si="697"/>
        <v>-0.29667333212143543</v>
      </c>
      <c r="CJ51" s="39">
        <f t="shared" si="697"/>
        <v>1.6487464461100996</v>
      </c>
      <c r="CK51" s="39">
        <f t="shared" si="697"/>
        <v>-0.68393832943013066</v>
      </c>
      <c r="CL51" s="39">
        <f t="shared" si="697"/>
        <v>3.3714109292991417</v>
      </c>
      <c r="CM51" s="40">
        <f t="shared" ref="CM51" si="698">+CM48/CL48-1</f>
        <v>-0.35514376993628261</v>
      </c>
      <c r="CN51" s="40">
        <f t="shared" ref="CN51" si="699">+CN48/CM48-1</f>
        <v>-1.5721400649565731E-2</v>
      </c>
      <c r="CO51" s="40">
        <f t="shared" ref="CO51" si="700">+CO48/CN48-1</f>
        <v>0.1803320430648081</v>
      </c>
      <c r="CP51" s="40">
        <f t="shared" ref="CP51" si="701">+CP48/CO48-1</f>
        <v>0.17287987258513504</v>
      </c>
      <c r="CQ51" s="40">
        <f t="shared" ref="CQ51" si="702">+CQ48/CP48-1</f>
        <v>-1.5071056648282011E-2</v>
      </c>
      <c r="CR51" s="40">
        <f t="shared" ref="CR51" si="703">+CR48/CQ48-1</f>
        <v>-7.4860881110559996E-2</v>
      </c>
      <c r="CS51" s="40">
        <f t="shared" ref="CS51" si="704">+CS48/CR48-1</f>
        <v>5.7353859955587172E-2</v>
      </c>
      <c r="CT51" s="40">
        <f t="shared" ref="CT51" si="705">+CT48/CS48-1</f>
        <v>0.10071887130089108</v>
      </c>
      <c r="CU51" s="40">
        <f t="shared" ref="CU51" si="706">+CU48/CT48-1</f>
        <v>7.3062068659512924E-2</v>
      </c>
      <c r="CV51" s="40">
        <f t="shared" ref="CV51" si="707">+CV48/CU48-1</f>
        <v>-0.10418725924289252</v>
      </c>
      <c r="CW51" s="40">
        <f t="shared" ref="CW51" si="708">+CW48/CV48-1</f>
        <v>3.7225612737456615E-2</v>
      </c>
      <c r="CX51" s="40">
        <f t="shared" ref="CX51" si="709">+CX48/CW48-1</f>
        <v>0.10104576742879789</v>
      </c>
      <c r="CY51" s="40">
        <f t="shared" ref="CY51" si="710">+CY48/CX48-1</f>
        <v>8.9808679728156759E-2</v>
      </c>
      <c r="CZ51" s="40">
        <f t="shared" ref="CZ51" si="711">+CZ48/CY48-1</f>
        <v>-0.1148111787465832</v>
      </c>
      <c r="DA51" s="40">
        <f t="shared" ref="DA51" si="712">+DA48/CZ48-1</f>
        <v>3.659792101865289E-2</v>
      </c>
      <c r="DB51" s="40">
        <f t="shared" ref="DB51" si="713">+DB48/DA48-1</f>
        <v>0.10762289474138442</v>
      </c>
      <c r="DE51" s="122"/>
      <c r="DF51" s="39">
        <v>1.8279371592111819</v>
      </c>
    </row>
    <row r="52" spans="1:110" s="75" customFormat="1" x14ac:dyDescent="0.2">
      <c r="A52" s="23" t="s">
        <v>23</v>
      </c>
      <c r="B52" s="75">
        <f>'Annual Raw'!C32</f>
        <v>0</v>
      </c>
      <c r="C52" s="75">
        <f>'Annual Raw'!D32</f>
        <v>0</v>
      </c>
      <c r="D52" s="75">
        <f>'Annual Raw'!E32</f>
        <v>0</v>
      </c>
      <c r="E52" s="75">
        <f>'Annual Raw'!F32</f>
        <v>0</v>
      </c>
      <c r="F52" s="75">
        <f>'Annual Raw'!G32</f>
        <v>0</v>
      </c>
      <c r="G52" s="75">
        <f>'Annual Raw'!H32</f>
        <v>0</v>
      </c>
      <c r="H52" s="75">
        <f>'Annual Raw'!I32</f>
        <v>0</v>
      </c>
      <c r="I52" s="75">
        <f>'Annual Raw'!J32</f>
        <v>0</v>
      </c>
      <c r="J52" s="75">
        <f>'Annual Raw'!K32</f>
        <v>0</v>
      </c>
      <c r="K52" s="75">
        <f>'Annual Raw'!L32</f>
        <v>0</v>
      </c>
      <c r="L52" s="75">
        <f>'Annual Raw'!M32</f>
        <v>0</v>
      </c>
      <c r="M52" s="75">
        <f>'Annual Raw'!N32</f>
        <v>0</v>
      </c>
      <c r="N52" s="75">
        <f>'Annual Raw'!O32</f>
        <v>0</v>
      </c>
      <c r="O52" s="75">
        <f>'Annual Raw'!P32</f>
        <v>0</v>
      </c>
      <c r="P52" s="75">
        <f>'Annual Raw'!Q32</f>
        <v>0</v>
      </c>
      <c r="Q52" s="75">
        <f>'Annual Raw'!R32</f>
        <v>0</v>
      </c>
      <c r="R52" s="75">
        <f>'Annual Raw'!S32</f>
        <v>0</v>
      </c>
      <c r="S52" s="75">
        <f>'Annual Raw'!T32</f>
        <v>1.641</v>
      </c>
      <c r="T52" s="75">
        <f>'Annual Raw'!U32</f>
        <v>0.75600000000000001</v>
      </c>
      <c r="U52" s="75">
        <f>'Annual Raw'!V32</f>
        <v>5.79</v>
      </c>
      <c r="V52" s="75">
        <f>'Annual Raw'!W32</f>
        <v>4.66</v>
      </c>
      <c r="W52" s="75">
        <f>'Annual Raw'!X32</f>
        <v>6.3</v>
      </c>
      <c r="X52" s="75">
        <f>'Annual Raw'!Y32</f>
        <v>5.41</v>
      </c>
      <c r="Y52" s="75">
        <f>'Annual Raw'!Z32</f>
        <v>-1.1299999999999999</v>
      </c>
      <c r="Z52" s="75">
        <f>'Annual Raw'!AA32</f>
        <v>-4.0999999999999996</v>
      </c>
      <c r="AA52" s="75">
        <f>'Annual Raw'!AB32</f>
        <v>-13.64</v>
      </c>
      <c r="AB52" s="76">
        <f t="shared" ref="AB52:AB53" si="714">+SUM(CM52:CP52)</f>
        <v>-28.08</v>
      </c>
      <c r="AC52" s="76">
        <f t="shared" ref="AC52:AC53" si="715">+SUM(CQ52:CT52)</f>
        <v>-28.08</v>
      </c>
      <c r="AD52" s="76">
        <f t="shared" ref="AD52:AD53" si="716">+SUM(CU52:CX52)</f>
        <v>-28.08</v>
      </c>
      <c r="AE52" s="76">
        <f t="shared" ref="AE52:AE53" si="717">+SUM(CY52:DB52)</f>
        <v>-28.08</v>
      </c>
      <c r="AI52" s="75">
        <f>'QTR Raw'!C34</f>
        <v>0</v>
      </c>
      <c r="AJ52" s="75">
        <f>'QTR Raw'!D34</f>
        <v>0</v>
      </c>
      <c r="AK52" s="75">
        <f>'QTR Raw'!E34</f>
        <v>0</v>
      </c>
      <c r="AL52" s="75">
        <f>'QTR Raw'!F34</f>
        <v>0</v>
      </c>
      <c r="AM52" s="75">
        <f>'QTR Raw'!G34</f>
        <v>0</v>
      </c>
      <c r="AN52" s="75">
        <f>'QTR Raw'!H34</f>
        <v>0</v>
      </c>
      <c r="AO52" s="75">
        <f>'QTR Raw'!I34</f>
        <v>0</v>
      </c>
      <c r="AP52" s="75">
        <f>'QTR Raw'!J34</f>
        <v>0</v>
      </c>
      <c r="AQ52" s="75">
        <f>'QTR Raw'!K34</f>
        <v>0</v>
      </c>
      <c r="AR52" s="75">
        <f>'QTR Raw'!L34</f>
        <v>0</v>
      </c>
      <c r="AS52" s="75">
        <f>'QTR Raw'!M34</f>
        <v>0</v>
      </c>
      <c r="AT52" s="75">
        <f>'QTR Raw'!N34</f>
        <v>0</v>
      </c>
      <c r="AU52" s="75">
        <f>'QTR Raw'!O34</f>
        <v>0</v>
      </c>
      <c r="AV52" s="75">
        <f>'QTR Raw'!P34</f>
        <v>0</v>
      </c>
      <c r="AW52" s="75">
        <f>'QTR Raw'!Q34</f>
        <v>0</v>
      </c>
      <c r="AX52" s="75">
        <f>'QTR Raw'!R34</f>
        <v>0</v>
      </c>
      <c r="AY52" s="75">
        <f>'QTR Raw'!S34</f>
        <v>0</v>
      </c>
      <c r="AZ52" s="75">
        <f>'QTR Raw'!T34</f>
        <v>0</v>
      </c>
      <c r="BA52" s="75">
        <f>'QTR Raw'!U34</f>
        <v>0</v>
      </c>
      <c r="BB52" s="75">
        <f>'QTR Raw'!V34</f>
        <v>0</v>
      </c>
      <c r="BC52" s="75">
        <f>'QTR Raw'!W34</f>
        <v>0</v>
      </c>
      <c r="BD52" s="75">
        <f>'QTR Raw'!X34</f>
        <v>0</v>
      </c>
      <c r="BE52" s="75">
        <f>'QTR Raw'!Y34</f>
        <v>0</v>
      </c>
      <c r="BF52" s="75">
        <f>'QTR Raw'!Z34</f>
        <v>0</v>
      </c>
      <c r="BG52" s="75">
        <f>'QTR Raw'!AA34</f>
        <v>0</v>
      </c>
      <c r="BH52" s="75">
        <f>'QTR Raw'!AB34</f>
        <v>-0.314</v>
      </c>
      <c r="BI52" s="75">
        <f>'QTR Raw'!AC34</f>
        <v>1.323</v>
      </c>
      <c r="BJ52" s="75">
        <f>'QTR Raw'!AD34</f>
        <v>1.0860000000000001</v>
      </c>
      <c r="BK52" s="75">
        <f>'QTR Raw'!AE34</f>
        <v>2.13</v>
      </c>
      <c r="BL52" s="75">
        <f>'QTR Raw'!AF34</f>
        <v>0.62</v>
      </c>
      <c r="BM52" s="75">
        <f>'QTR Raw'!AG34</f>
        <v>-0.66</v>
      </c>
      <c r="BN52" s="75">
        <f>'QTR Raw'!AH34</f>
        <v>3.69</v>
      </c>
      <c r="BO52" s="75">
        <f>'QTR Raw'!AI34</f>
        <v>-0.8</v>
      </c>
      <c r="BP52" s="75">
        <f>'QTR Raw'!AJ34</f>
        <v>8.33</v>
      </c>
      <c r="BQ52" s="75">
        <f>'QTR Raw'!AK34</f>
        <v>-0.82</v>
      </c>
      <c r="BR52" s="75">
        <f>'QTR Raw'!AL34</f>
        <v>-2.0499999999999998</v>
      </c>
      <c r="BS52" s="75">
        <f>'QTR Raw'!AM34</f>
        <v>-0.1</v>
      </c>
      <c r="BT52" s="75">
        <f>'QTR Raw'!AN34</f>
        <v>-0.28000000000000003</v>
      </c>
      <c r="BU52" s="75">
        <f>'QTR Raw'!AO34</f>
        <v>6.37</v>
      </c>
      <c r="BV52" s="75">
        <f>'QTR Raw'!AP34</f>
        <v>0.31</v>
      </c>
      <c r="BW52" s="75">
        <f>'QTR Raw'!AQ34</f>
        <v>2.08</v>
      </c>
      <c r="BX52" s="75">
        <f>'QTR Raw'!AR34</f>
        <v>1.76</v>
      </c>
      <c r="BY52" s="75">
        <f>'QTR Raw'!AS34</f>
        <v>-2.09</v>
      </c>
      <c r="BZ52" s="75">
        <f>'QTR Raw'!AT34</f>
        <v>3.66</v>
      </c>
      <c r="CA52" s="75">
        <f>'QTR Raw'!AU34</f>
        <v>-0.15</v>
      </c>
      <c r="CB52" s="75">
        <f>'QTR Raw'!AV34</f>
        <v>0.26</v>
      </c>
      <c r="CC52" s="75">
        <f>'QTR Raw'!AW34</f>
        <v>-1.28</v>
      </c>
      <c r="CD52" s="75">
        <f>'QTR Raw'!AX34</f>
        <v>0.04</v>
      </c>
      <c r="CE52" s="75">
        <f>'QTR Raw'!AY34</f>
        <v>-0.64</v>
      </c>
      <c r="CF52" s="75">
        <f>'QTR Raw'!AZ34</f>
        <v>-1.52</v>
      </c>
      <c r="CG52" s="75">
        <f>'QTR Raw'!BA34</f>
        <v>-2.31</v>
      </c>
      <c r="CH52" s="75">
        <f>'QTR Raw'!BB34</f>
        <v>0.37</v>
      </c>
      <c r="CI52" s="75">
        <f>'QTR Raw'!BC34</f>
        <v>-6.72</v>
      </c>
      <c r="CJ52" s="75">
        <f>'QTR Raw'!BD34</f>
        <v>4.42</v>
      </c>
      <c r="CK52" s="75">
        <f>'QTR Raw'!BE34</f>
        <v>-4.32</v>
      </c>
      <c r="CL52" s="75">
        <f>'QTR Raw'!BF34</f>
        <v>-7.02</v>
      </c>
      <c r="CM52" s="76">
        <f t="shared" ref="CM52:CM53" si="718">+CL52</f>
        <v>-7.02</v>
      </c>
      <c r="CN52" s="76">
        <f t="shared" ref="CN52:CN53" si="719">+CM52</f>
        <v>-7.02</v>
      </c>
      <c r="CO52" s="76">
        <f t="shared" ref="CO52:CO53" si="720">+CN52</f>
        <v>-7.02</v>
      </c>
      <c r="CP52" s="76">
        <f t="shared" ref="CP52:CP53" si="721">+CO52</f>
        <v>-7.02</v>
      </c>
      <c r="CQ52" s="76">
        <f t="shared" ref="CQ52:CQ53" si="722">+CP52</f>
        <v>-7.02</v>
      </c>
      <c r="CR52" s="76">
        <f t="shared" ref="CR52:CR53" si="723">+CQ52</f>
        <v>-7.02</v>
      </c>
      <c r="CS52" s="76">
        <f t="shared" ref="CS52:CS53" si="724">+CR52</f>
        <v>-7.02</v>
      </c>
      <c r="CT52" s="76">
        <f t="shared" ref="CT52:CT53" si="725">+CS52</f>
        <v>-7.02</v>
      </c>
      <c r="CU52" s="76">
        <f t="shared" ref="CU52:CU53" si="726">+CT52</f>
        <v>-7.02</v>
      </c>
      <c r="CV52" s="76">
        <f t="shared" ref="CV52:CV53" si="727">+CU52</f>
        <v>-7.02</v>
      </c>
      <c r="CW52" s="76">
        <f t="shared" ref="CW52:CW53" si="728">+CV52</f>
        <v>-7.02</v>
      </c>
      <c r="CX52" s="76">
        <f t="shared" ref="CX52:CX53" si="729">+CW52</f>
        <v>-7.02</v>
      </c>
      <c r="CY52" s="76">
        <f t="shared" ref="CY52:CY53" si="730">+CX52</f>
        <v>-7.02</v>
      </c>
      <c r="CZ52" s="76">
        <f t="shared" ref="CZ52:CZ53" si="731">+CY52</f>
        <v>-7.02</v>
      </c>
      <c r="DA52" s="76">
        <f t="shared" ref="DA52:DA53" si="732">+CZ52</f>
        <v>-7.02</v>
      </c>
      <c r="DB52" s="76">
        <f t="shared" ref="DB52:DB53" si="733">+DA52</f>
        <v>-7.02</v>
      </c>
      <c r="DE52" s="131"/>
      <c r="DF52" s="75">
        <v>-4.32</v>
      </c>
    </row>
    <row r="53" spans="1:110" s="75" customFormat="1" x14ac:dyDescent="0.2">
      <c r="A53" s="23" t="s">
        <v>24</v>
      </c>
      <c r="B53" s="75">
        <f>'Annual Raw'!C33+'Annual Raw'!C28</f>
        <v>0</v>
      </c>
      <c r="C53" s="75">
        <f>'Annual Raw'!D33+'Annual Raw'!D28</f>
        <v>0</v>
      </c>
      <c r="D53" s="75">
        <f>'Annual Raw'!E33+'Annual Raw'!E28</f>
        <v>0</v>
      </c>
      <c r="E53" s="75">
        <f>'Annual Raw'!F33+'Annual Raw'!F28</f>
        <v>0</v>
      </c>
      <c r="F53" s="75">
        <f>'Annual Raw'!G33+'Annual Raw'!G28</f>
        <v>0</v>
      </c>
      <c r="G53" s="75">
        <f>'Annual Raw'!H33+'Annual Raw'!H28</f>
        <v>0</v>
      </c>
      <c r="H53" s="75">
        <f>'Annual Raw'!I33+'Annual Raw'!I28</f>
        <v>0</v>
      </c>
      <c r="I53" s="75">
        <f>'Annual Raw'!J33+'Annual Raw'!J28</f>
        <v>0</v>
      </c>
      <c r="J53" s="75">
        <f>'Annual Raw'!K33+'Annual Raw'!K28</f>
        <v>0</v>
      </c>
      <c r="K53" s="75">
        <f>'Annual Raw'!L33+'Annual Raw'!L28</f>
        <v>0</v>
      </c>
      <c r="L53" s="75">
        <f>'Annual Raw'!M33+'Annual Raw'!M28</f>
        <v>0</v>
      </c>
      <c r="M53" s="75">
        <f>'Annual Raw'!N33+'Annual Raw'!N28</f>
        <v>0</v>
      </c>
      <c r="N53" s="75">
        <f>'Annual Raw'!O33+'Annual Raw'!O28</f>
        <v>0</v>
      </c>
      <c r="O53" s="75">
        <f>'Annual Raw'!P33+'Annual Raw'!P28</f>
        <v>0</v>
      </c>
      <c r="P53" s="75">
        <f>'Annual Raw'!Q33+'Annual Raw'!Q28</f>
        <v>0</v>
      </c>
      <c r="Q53" s="75">
        <f>'Annual Raw'!R33+'Annual Raw'!R28</f>
        <v>0</v>
      </c>
      <c r="R53" s="75">
        <f>'Annual Raw'!S33+'Annual Raw'!S28</f>
        <v>0</v>
      </c>
      <c r="S53" s="75">
        <f>'Annual Raw'!T33+'Annual Raw'!T28</f>
        <v>0</v>
      </c>
      <c r="T53" s="75">
        <f>'Annual Raw'!U33+'Annual Raw'!U28</f>
        <v>0</v>
      </c>
      <c r="U53" s="75">
        <f>'Annual Raw'!V33+'Annual Raw'!V28</f>
        <v>0</v>
      </c>
      <c r="V53" s="75">
        <f>'Annual Raw'!W33+'Annual Raw'!W28</f>
        <v>0</v>
      </c>
      <c r="W53" s="75">
        <f>'Annual Raw'!X33+'Annual Raw'!X28</f>
        <v>0</v>
      </c>
      <c r="X53" s="75">
        <f>'Annual Raw'!Y33+'Annual Raw'!Y28</f>
        <v>0</v>
      </c>
      <c r="Y53" s="75">
        <f>'Annual Raw'!Z33+'Annual Raw'!Z28</f>
        <v>0</v>
      </c>
      <c r="Z53" s="75">
        <f>'Annual Raw'!AA33+'Annual Raw'!AA28</f>
        <v>0</v>
      </c>
      <c r="AA53" s="75">
        <f>'Annual Raw'!AB33+'Annual Raw'!AB28</f>
        <v>0</v>
      </c>
      <c r="AB53" s="76">
        <f t="shared" si="714"/>
        <v>0</v>
      </c>
      <c r="AC53" s="76">
        <f t="shared" si="715"/>
        <v>0</v>
      </c>
      <c r="AD53" s="76">
        <f t="shared" si="716"/>
        <v>0</v>
      </c>
      <c r="AE53" s="76">
        <f t="shared" si="717"/>
        <v>0</v>
      </c>
      <c r="AI53" s="75">
        <f>'QTR Raw'!C35</f>
        <v>0</v>
      </c>
      <c r="AJ53" s="75">
        <f>'QTR Raw'!D35</f>
        <v>0</v>
      </c>
      <c r="AK53" s="75">
        <f>'QTR Raw'!E35</f>
        <v>0</v>
      </c>
      <c r="AL53" s="75">
        <f>'QTR Raw'!F35</f>
        <v>0</v>
      </c>
      <c r="AM53" s="75">
        <f>'QTR Raw'!G35</f>
        <v>0</v>
      </c>
      <c r="AN53" s="75">
        <f>'QTR Raw'!H35</f>
        <v>0</v>
      </c>
      <c r="AO53" s="75">
        <f>'QTR Raw'!I35</f>
        <v>0</v>
      </c>
      <c r="AP53" s="75">
        <f>'QTR Raw'!J35</f>
        <v>0</v>
      </c>
      <c r="AQ53" s="75">
        <f>'QTR Raw'!K35</f>
        <v>0</v>
      </c>
      <c r="AR53" s="75">
        <f>'QTR Raw'!L35</f>
        <v>0</v>
      </c>
      <c r="AS53" s="75">
        <f>'QTR Raw'!M35</f>
        <v>0</v>
      </c>
      <c r="AT53" s="75">
        <f>'QTR Raw'!N35</f>
        <v>0</v>
      </c>
      <c r="AU53" s="75">
        <f>'QTR Raw'!O35</f>
        <v>0</v>
      </c>
      <c r="AV53" s="75">
        <f>'QTR Raw'!P35</f>
        <v>0</v>
      </c>
      <c r="AW53" s="75">
        <f>'QTR Raw'!Q35</f>
        <v>0</v>
      </c>
      <c r="AX53" s="75">
        <f>'QTR Raw'!R35</f>
        <v>0</v>
      </c>
      <c r="AY53" s="75">
        <f>'QTR Raw'!S35</f>
        <v>0</v>
      </c>
      <c r="AZ53" s="75">
        <f>'QTR Raw'!T35</f>
        <v>0</v>
      </c>
      <c r="BA53" s="75">
        <f>'QTR Raw'!U35</f>
        <v>0</v>
      </c>
      <c r="BB53" s="75">
        <f>'QTR Raw'!V35</f>
        <v>0</v>
      </c>
      <c r="BC53" s="75">
        <f>'QTR Raw'!W35</f>
        <v>0</v>
      </c>
      <c r="BD53" s="75">
        <f>'QTR Raw'!X35</f>
        <v>0</v>
      </c>
      <c r="BE53" s="75">
        <f>'QTR Raw'!Y35</f>
        <v>0</v>
      </c>
      <c r="BF53" s="75">
        <f>'QTR Raw'!Z35</f>
        <v>0</v>
      </c>
      <c r="BG53" s="75">
        <f>'QTR Raw'!AA35</f>
        <v>0</v>
      </c>
      <c r="BH53" s="75">
        <f>'QTR Raw'!AB35</f>
        <v>0</v>
      </c>
      <c r="BI53" s="75">
        <f>'QTR Raw'!AC35</f>
        <v>0</v>
      </c>
      <c r="BJ53" s="75">
        <f>'QTR Raw'!AD35</f>
        <v>0</v>
      </c>
      <c r="BK53" s="75">
        <f>'QTR Raw'!AE35</f>
        <v>0</v>
      </c>
      <c r="BL53" s="75">
        <f>'QTR Raw'!AF35</f>
        <v>0</v>
      </c>
      <c r="BM53" s="75">
        <f>'QTR Raw'!AG35</f>
        <v>0</v>
      </c>
      <c r="BN53" s="75">
        <f>'QTR Raw'!AH35</f>
        <v>0</v>
      </c>
      <c r="BO53" s="75">
        <f>'QTR Raw'!AI35</f>
        <v>0</v>
      </c>
      <c r="BP53" s="75">
        <f>'QTR Raw'!AJ35</f>
        <v>0</v>
      </c>
      <c r="BQ53" s="75">
        <f>'QTR Raw'!AK35</f>
        <v>0</v>
      </c>
      <c r="BR53" s="75">
        <f>'QTR Raw'!AL35</f>
        <v>0</v>
      </c>
      <c r="BS53" s="75">
        <f>'QTR Raw'!AM35</f>
        <v>0</v>
      </c>
      <c r="BT53" s="75">
        <f>'QTR Raw'!AN35</f>
        <v>0</v>
      </c>
      <c r="BU53" s="75">
        <f>'QTR Raw'!AO35</f>
        <v>0</v>
      </c>
      <c r="BV53" s="75">
        <f>'QTR Raw'!AP35</f>
        <v>0</v>
      </c>
      <c r="BW53" s="75">
        <f>'QTR Raw'!AQ35</f>
        <v>0</v>
      </c>
      <c r="BX53" s="75">
        <f>'QTR Raw'!AR35</f>
        <v>0</v>
      </c>
      <c r="BY53" s="75">
        <f>'QTR Raw'!AS35</f>
        <v>0</v>
      </c>
      <c r="BZ53" s="75">
        <f>'QTR Raw'!AT35</f>
        <v>0</v>
      </c>
      <c r="CA53" s="75">
        <f>'QTR Raw'!AU35</f>
        <v>0</v>
      </c>
      <c r="CB53" s="75">
        <f>'QTR Raw'!AV35</f>
        <v>0</v>
      </c>
      <c r="CC53" s="75">
        <f>'QTR Raw'!AW35</f>
        <v>0</v>
      </c>
      <c r="CD53" s="75">
        <f>'QTR Raw'!AX35</f>
        <v>0</v>
      </c>
      <c r="CE53" s="75">
        <f>'QTR Raw'!AY35</f>
        <v>0</v>
      </c>
      <c r="CF53" s="75">
        <f>'QTR Raw'!AZ35</f>
        <v>0</v>
      </c>
      <c r="CG53" s="75">
        <f>'QTR Raw'!BA35</f>
        <v>0</v>
      </c>
      <c r="CH53" s="75">
        <f>'QTR Raw'!BB35</f>
        <v>0</v>
      </c>
      <c r="CI53" s="75">
        <f>'QTR Raw'!BC35</f>
        <v>0</v>
      </c>
      <c r="CJ53" s="75">
        <f>'QTR Raw'!BD35</f>
        <v>0</v>
      </c>
      <c r="CK53" s="75">
        <f>'QTR Raw'!BE35</f>
        <v>0</v>
      </c>
      <c r="CL53" s="75">
        <f>'QTR Raw'!BF35</f>
        <v>0</v>
      </c>
      <c r="CM53" s="76">
        <f t="shared" si="718"/>
        <v>0</v>
      </c>
      <c r="CN53" s="76">
        <f t="shared" si="719"/>
        <v>0</v>
      </c>
      <c r="CO53" s="76">
        <f t="shared" si="720"/>
        <v>0</v>
      </c>
      <c r="CP53" s="76">
        <f t="shared" si="721"/>
        <v>0</v>
      </c>
      <c r="CQ53" s="76">
        <f t="shared" si="722"/>
        <v>0</v>
      </c>
      <c r="CR53" s="76">
        <f t="shared" si="723"/>
        <v>0</v>
      </c>
      <c r="CS53" s="76">
        <f t="shared" si="724"/>
        <v>0</v>
      </c>
      <c r="CT53" s="76">
        <f t="shared" si="725"/>
        <v>0</v>
      </c>
      <c r="CU53" s="76">
        <f t="shared" si="726"/>
        <v>0</v>
      </c>
      <c r="CV53" s="76">
        <f t="shared" si="727"/>
        <v>0</v>
      </c>
      <c r="CW53" s="76">
        <f t="shared" si="728"/>
        <v>0</v>
      </c>
      <c r="CX53" s="76">
        <f t="shared" si="729"/>
        <v>0</v>
      </c>
      <c r="CY53" s="76">
        <f t="shared" si="730"/>
        <v>0</v>
      </c>
      <c r="CZ53" s="76">
        <f t="shared" si="731"/>
        <v>0</v>
      </c>
      <c r="DA53" s="76">
        <f t="shared" si="732"/>
        <v>0</v>
      </c>
      <c r="DB53" s="76">
        <f t="shared" si="733"/>
        <v>0</v>
      </c>
      <c r="DE53" s="131"/>
      <c r="DF53" s="75">
        <v>0</v>
      </c>
    </row>
    <row r="54" spans="1:110" s="23" customFormat="1" x14ac:dyDescent="0.2">
      <c r="A54" s="23" t="s">
        <v>19</v>
      </c>
      <c r="B54" s="75">
        <f>'Annual Raw'!C29+'Annual Raw'!C31+'Annual Raw'!C34+'Annual Raw'!C36</f>
        <v>0</v>
      </c>
      <c r="C54" s="75">
        <f>'Annual Raw'!D29+'Annual Raw'!D31+'Annual Raw'!D34+'Annual Raw'!D36</f>
        <v>0</v>
      </c>
      <c r="D54" s="75">
        <f>'Annual Raw'!E29+'Annual Raw'!E31+'Annual Raw'!E34+'Annual Raw'!E36</f>
        <v>0</v>
      </c>
      <c r="E54" s="75">
        <f>'Annual Raw'!F29+'Annual Raw'!F31+'Annual Raw'!F34+'Annual Raw'!F36</f>
        <v>0</v>
      </c>
      <c r="F54" s="75">
        <f>'Annual Raw'!G29+'Annual Raw'!G31+'Annual Raw'!G34+'Annual Raw'!G36</f>
        <v>0</v>
      </c>
      <c r="G54" s="75">
        <f>'Annual Raw'!H29+'Annual Raw'!H31+'Annual Raw'!H34+'Annual Raw'!H36</f>
        <v>0</v>
      </c>
      <c r="H54" s="75">
        <f>'Annual Raw'!I29+'Annual Raw'!I31+'Annual Raw'!I34+'Annual Raw'!I36</f>
        <v>0</v>
      </c>
      <c r="I54" s="75">
        <f>'Annual Raw'!J29+'Annual Raw'!J31+'Annual Raw'!J34+'Annual Raw'!J36</f>
        <v>0</v>
      </c>
      <c r="J54" s="75">
        <f>'Annual Raw'!K29+'Annual Raw'!K31+'Annual Raw'!K34+'Annual Raw'!K36</f>
        <v>0</v>
      </c>
      <c r="K54" s="75">
        <f>'Annual Raw'!L29+'Annual Raw'!L31+'Annual Raw'!L34+'Annual Raw'!L36</f>
        <v>0</v>
      </c>
      <c r="L54" s="75">
        <f>'Annual Raw'!M29+'Annual Raw'!M31+'Annual Raw'!M34+'Annual Raw'!M36</f>
        <v>0</v>
      </c>
      <c r="M54" s="75">
        <f>'Annual Raw'!N29+'Annual Raw'!N31+'Annual Raw'!N34+'Annual Raw'!N36</f>
        <v>0</v>
      </c>
      <c r="N54" s="75">
        <f>'Annual Raw'!O29+'Annual Raw'!O31+'Annual Raw'!O34+'Annual Raw'!O36</f>
        <v>0</v>
      </c>
      <c r="O54" s="75">
        <f>'Annual Raw'!P29+'Annual Raw'!P31+'Annual Raw'!P34+'Annual Raw'!P36</f>
        <v>0</v>
      </c>
      <c r="P54" s="75">
        <f>'Annual Raw'!Q29+'Annual Raw'!Q31+'Annual Raw'!Q34+'Annual Raw'!Q36</f>
        <v>0</v>
      </c>
      <c r="Q54" s="75">
        <f>'Annual Raw'!R29+'Annual Raw'!R31+'Annual Raw'!R34+'Annual Raw'!R36</f>
        <v>0</v>
      </c>
      <c r="R54" s="75">
        <f>'Annual Raw'!S29+'Annual Raw'!S31+'Annual Raw'!S34+'Annual Raw'!S36</f>
        <v>0</v>
      </c>
      <c r="S54" s="75">
        <f>'Annual Raw'!T29+'Annual Raw'!T31+'Annual Raw'!T34+'Annual Raw'!T36</f>
        <v>0</v>
      </c>
      <c r="T54" s="75">
        <f>'Annual Raw'!U29+'Annual Raw'!U31+'Annual Raw'!U34+'Annual Raw'!U36</f>
        <v>0</v>
      </c>
      <c r="U54" s="75">
        <f>'Annual Raw'!V29+'Annual Raw'!V31+'Annual Raw'!V34+'Annual Raw'!V36</f>
        <v>0</v>
      </c>
      <c r="V54" s="75">
        <f>'Annual Raw'!W29+'Annual Raw'!W31+'Annual Raw'!W34+'Annual Raw'!W36</f>
        <v>0</v>
      </c>
      <c r="W54" s="75">
        <f>'Annual Raw'!X29+'Annual Raw'!X31+'Annual Raw'!X34+'Annual Raw'!X36</f>
        <v>0</v>
      </c>
      <c r="X54" s="75">
        <f>'Annual Raw'!Y29+'Annual Raw'!Y31+'Annual Raw'!Y34+'Annual Raw'!Y36</f>
        <v>0</v>
      </c>
      <c r="Y54" s="75">
        <f>'Annual Raw'!Z29+'Annual Raw'!Z31+'Annual Raw'!Z34+'Annual Raw'!Z36</f>
        <v>0</v>
      </c>
      <c r="Z54" s="75">
        <f>'Annual Raw'!AA29+'Annual Raw'!AA31+'Annual Raw'!AA34+'Annual Raw'!AA36</f>
        <v>0</v>
      </c>
      <c r="AA54" s="75">
        <f>'Annual Raw'!AB29+'Annual Raw'!AB31+'Annual Raw'!AB34+'Annual Raw'!AB36</f>
        <v>-610.94000000000005</v>
      </c>
      <c r="AB54" s="76">
        <f>+SUM(CM54:CP54)</f>
        <v>0</v>
      </c>
      <c r="AC54" s="76">
        <f>+SUM(CQ54:CT54)</f>
        <v>0</v>
      </c>
      <c r="AD54" s="76">
        <f>+SUM(CU54:CX54)</f>
        <v>0</v>
      </c>
      <c r="AE54" s="76">
        <f>+SUM(CY54:DB54)</f>
        <v>0</v>
      </c>
      <c r="AI54" s="75">
        <f>'QTR Raw'!C26+'QTR Raw'!C31+'QTR Raw'!C32+'QTR Raw'!C33+'QTR Raw'!C36+'QTR Raw'!C37+'QTR Raw'!C39</f>
        <v>0</v>
      </c>
      <c r="AJ54" s="75">
        <f>'QTR Raw'!D26+'QTR Raw'!D31+'QTR Raw'!D32+'QTR Raw'!D33+'QTR Raw'!D36+'QTR Raw'!D37+'QTR Raw'!D39</f>
        <v>0</v>
      </c>
      <c r="AK54" s="75">
        <f>'QTR Raw'!E26+'QTR Raw'!E31+'QTR Raw'!E32+'QTR Raw'!E33+'QTR Raw'!E36+'QTR Raw'!E37+'QTR Raw'!E39</f>
        <v>0</v>
      </c>
      <c r="AL54" s="75">
        <f>'QTR Raw'!F26+'QTR Raw'!F31+'QTR Raw'!F32+'QTR Raw'!F33+'QTR Raw'!F36+'QTR Raw'!F37+'QTR Raw'!F39</f>
        <v>0</v>
      </c>
      <c r="AM54" s="75">
        <f>'QTR Raw'!G26+'QTR Raw'!G31+'QTR Raw'!G32+'QTR Raw'!G33+'QTR Raw'!G36+'QTR Raw'!G37+'QTR Raw'!G39</f>
        <v>0</v>
      </c>
      <c r="AN54" s="75">
        <f>'QTR Raw'!H26+'QTR Raw'!H31+'QTR Raw'!H32+'QTR Raw'!H33+'QTR Raw'!H36+'QTR Raw'!H37+'QTR Raw'!H39</f>
        <v>0</v>
      </c>
      <c r="AO54" s="75">
        <f>'QTR Raw'!I26+'QTR Raw'!I31+'QTR Raw'!I32+'QTR Raw'!I33+'QTR Raw'!I36+'QTR Raw'!I37+'QTR Raw'!I39</f>
        <v>0</v>
      </c>
      <c r="AP54" s="75">
        <f>'QTR Raw'!J26+'QTR Raw'!J31+'QTR Raw'!J32+'QTR Raw'!J33+'QTR Raw'!J36+'QTR Raw'!J37+'QTR Raw'!J39</f>
        <v>0</v>
      </c>
      <c r="AQ54" s="75">
        <f>'QTR Raw'!K26+'QTR Raw'!K31+'QTR Raw'!K32+'QTR Raw'!K33+'QTR Raw'!K36+'QTR Raw'!K37+'QTR Raw'!K39</f>
        <v>0</v>
      </c>
      <c r="AR54" s="75">
        <f>'QTR Raw'!L26+'QTR Raw'!L31+'QTR Raw'!L32+'QTR Raw'!L33+'QTR Raw'!L36+'QTR Raw'!L37+'QTR Raw'!L39</f>
        <v>0</v>
      </c>
      <c r="AS54" s="75">
        <f>'QTR Raw'!M26+'QTR Raw'!M31+'QTR Raw'!M32+'QTR Raw'!M33+'QTR Raw'!M36+'QTR Raw'!M37+'QTR Raw'!M39</f>
        <v>0</v>
      </c>
      <c r="AT54" s="75">
        <f>'QTR Raw'!N26+'QTR Raw'!N31+'QTR Raw'!N32+'QTR Raw'!N33+'QTR Raw'!N36+'QTR Raw'!N37+'QTR Raw'!N39</f>
        <v>0</v>
      </c>
      <c r="AU54" s="75">
        <f>'QTR Raw'!O26+'QTR Raw'!O31+'QTR Raw'!O32+'QTR Raw'!O33+'QTR Raw'!O36+'QTR Raw'!O37+'QTR Raw'!O39</f>
        <v>0</v>
      </c>
      <c r="AV54" s="75">
        <f>'QTR Raw'!P26+'QTR Raw'!P31+'QTR Raw'!P32+'QTR Raw'!P33+'QTR Raw'!P36+'QTR Raw'!P37+'QTR Raw'!P39</f>
        <v>0</v>
      </c>
      <c r="AW54" s="75">
        <f>'QTR Raw'!Q26+'QTR Raw'!Q31+'QTR Raw'!Q32+'QTR Raw'!Q33+'QTR Raw'!Q36+'QTR Raw'!Q37+'QTR Raw'!Q39</f>
        <v>0</v>
      </c>
      <c r="AX54" s="75">
        <f>'QTR Raw'!R26+'QTR Raw'!R31+'QTR Raw'!R32+'QTR Raw'!R33+'QTR Raw'!R36+'QTR Raw'!R37+'QTR Raw'!R39</f>
        <v>0</v>
      </c>
      <c r="AY54" s="75">
        <f>'QTR Raw'!S26+'QTR Raw'!S31+'QTR Raw'!S32+'QTR Raw'!S33+'QTR Raw'!S36+'QTR Raw'!S37+'QTR Raw'!S39</f>
        <v>0</v>
      </c>
      <c r="AZ54" s="75">
        <f>'QTR Raw'!T26+'QTR Raw'!T31+'QTR Raw'!T32+'QTR Raw'!T33+'QTR Raw'!T36+'QTR Raw'!T37+'QTR Raw'!T39</f>
        <v>0</v>
      </c>
      <c r="BA54" s="75">
        <f>'QTR Raw'!U26+'QTR Raw'!U31+'QTR Raw'!U32+'QTR Raw'!U33+'QTR Raw'!U36+'QTR Raw'!U37+'QTR Raw'!U39</f>
        <v>0</v>
      </c>
      <c r="BB54" s="75">
        <f>'QTR Raw'!V26+'QTR Raw'!V31+'QTR Raw'!V32+'QTR Raw'!V33+'QTR Raw'!V36+'QTR Raw'!V37+'QTR Raw'!V39</f>
        <v>0</v>
      </c>
      <c r="BC54" s="75">
        <f>'QTR Raw'!W26+'QTR Raw'!W31+'QTR Raw'!W32+'QTR Raw'!W33+'QTR Raw'!W36+'QTR Raw'!W37+'QTR Raw'!W39</f>
        <v>0</v>
      </c>
      <c r="BD54" s="75">
        <f>'QTR Raw'!X26+'QTR Raw'!X31+'QTR Raw'!X32+'QTR Raw'!X33+'QTR Raw'!X36+'QTR Raw'!X37+'QTR Raw'!X39</f>
        <v>0</v>
      </c>
      <c r="BE54" s="75">
        <f>'QTR Raw'!Y26+'QTR Raw'!Y31+'QTR Raw'!Y32+'QTR Raw'!Y33+'QTR Raw'!Y36+'QTR Raw'!Y37+'QTR Raw'!Y39</f>
        <v>0</v>
      </c>
      <c r="BF54" s="75">
        <f>'QTR Raw'!Z26+'QTR Raw'!Z31+'QTR Raw'!Z32+'QTR Raw'!Z33+'QTR Raw'!Z36+'QTR Raw'!Z37+'QTR Raw'!Z39</f>
        <v>0</v>
      </c>
      <c r="BG54" s="75">
        <f>'QTR Raw'!AA26+'QTR Raw'!AA31+'QTR Raw'!AA32+'QTR Raw'!AA33+'QTR Raw'!AA36+'QTR Raw'!AA37+'QTR Raw'!AA39</f>
        <v>0</v>
      </c>
      <c r="BH54" s="75">
        <f>'QTR Raw'!AB26+'QTR Raw'!AB31+'QTR Raw'!AB32+'QTR Raw'!AB33+'QTR Raw'!AB36+'QTR Raw'!AB37+'QTR Raw'!AB39</f>
        <v>0</v>
      </c>
      <c r="BI54" s="75">
        <f>'QTR Raw'!AC26+'QTR Raw'!AC31+'QTR Raw'!AC32+'QTR Raw'!AC33+'QTR Raw'!AC36+'QTR Raw'!AC37+'QTR Raw'!AC39</f>
        <v>0</v>
      </c>
      <c r="BJ54" s="75">
        <f>'QTR Raw'!AD26+'QTR Raw'!AD31+'QTR Raw'!AD32+'QTR Raw'!AD33+'QTR Raw'!AD36+'QTR Raw'!AD37+'QTR Raw'!AD39</f>
        <v>0</v>
      </c>
      <c r="BK54" s="75">
        <f>'QTR Raw'!AE26+'QTR Raw'!AE31+'QTR Raw'!AE32+'QTR Raw'!AE33+'QTR Raw'!AE36+'QTR Raw'!AE37+'QTR Raw'!AE39</f>
        <v>0</v>
      </c>
      <c r="BL54" s="75">
        <f>'QTR Raw'!AF26+'QTR Raw'!AF31+'QTR Raw'!AF32+'QTR Raw'!AF33+'QTR Raw'!AF36+'QTR Raw'!AF37+'QTR Raw'!AF39</f>
        <v>0</v>
      </c>
      <c r="BM54" s="75">
        <f>'QTR Raw'!AG26+'QTR Raw'!AG31+'QTR Raw'!AG32+'QTR Raw'!AG33+'QTR Raw'!AG36+'QTR Raw'!AG37+'QTR Raw'!AG39</f>
        <v>0</v>
      </c>
      <c r="BN54" s="75">
        <f>'QTR Raw'!AH26+'QTR Raw'!AH31+'QTR Raw'!AH32+'QTR Raw'!AH33+'QTR Raw'!AH36+'QTR Raw'!AH37+'QTR Raw'!AH39</f>
        <v>0</v>
      </c>
      <c r="BO54" s="75">
        <f>'QTR Raw'!AI26+'QTR Raw'!AI31+'QTR Raw'!AI32+'QTR Raw'!AI33+'QTR Raw'!AI36+'QTR Raw'!AI37+'QTR Raw'!AI39</f>
        <v>0</v>
      </c>
      <c r="BP54" s="75">
        <f>'QTR Raw'!AJ26+'QTR Raw'!AJ31+'QTR Raw'!AJ32+'QTR Raw'!AJ33+'QTR Raw'!AJ36+'QTR Raw'!AJ37+'QTR Raw'!AJ39</f>
        <v>0</v>
      </c>
      <c r="BQ54" s="75">
        <f>'QTR Raw'!AK26+'QTR Raw'!AK31+'QTR Raw'!AK32+'QTR Raw'!AK33+'QTR Raw'!AK36+'QTR Raw'!AK37+'QTR Raw'!AK39</f>
        <v>0</v>
      </c>
      <c r="BR54" s="75">
        <f>'QTR Raw'!AL26+'QTR Raw'!AL31+'QTR Raw'!AL32+'QTR Raw'!AL33+'QTR Raw'!AL36+'QTR Raw'!AL37+'QTR Raw'!AL39</f>
        <v>0</v>
      </c>
      <c r="BS54" s="75">
        <f>'QTR Raw'!AM26+'QTR Raw'!AM31+'QTR Raw'!AM32+'QTR Raw'!AM33+'QTR Raw'!AM36+'QTR Raw'!AM37+'QTR Raw'!AM39</f>
        <v>0</v>
      </c>
      <c r="BT54" s="75">
        <f>'QTR Raw'!AN26+'QTR Raw'!AN31+'QTR Raw'!AN32+'QTR Raw'!AN33+'QTR Raw'!AN36+'QTR Raw'!AN37+'QTR Raw'!AN39</f>
        <v>0</v>
      </c>
      <c r="BU54" s="75">
        <f>'QTR Raw'!AO26+'QTR Raw'!AO31+'QTR Raw'!AO32+'QTR Raw'!AO33+'QTR Raw'!AO36+'QTR Raw'!AO37+'QTR Raw'!AO39</f>
        <v>0</v>
      </c>
      <c r="BV54" s="75">
        <f>'QTR Raw'!AP26+'QTR Raw'!AP31+'QTR Raw'!AP32+'QTR Raw'!AP33+'QTR Raw'!AP36+'QTR Raw'!AP37+'QTR Raw'!AP39</f>
        <v>0</v>
      </c>
      <c r="BW54" s="75">
        <f>'QTR Raw'!AQ26+'QTR Raw'!AQ31+'QTR Raw'!AQ32+'QTR Raw'!AQ33+'QTR Raw'!AQ36+'QTR Raw'!AQ37+'QTR Raw'!AQ39</f>
        <v>0</v>
      </c>
      <c r="BX54" s="75">
        <f>'QTR Raw'!AR26+'QTR Raw'!AR31+'QTR Raw'!AR32+'QTR Raw'!AR33+'QTR Raw'!AR36+'QTR Raw'!AR37+'QTR Raw'!AR39</f>
        <v>0</v>
      </c>
      <c r="BY54" s="75">
        <f>'QTR Raw'!AS26+'QTR Raw'!AS31+'QTR Raw'!AS32+'QTR Raw'!AS33+'QTR Raw'!AS36+'QTR Raw'!AS37+'QTR Raw'!AS39</f>
        <v>0</v>
      </c>
      <c r="BZ54" s="75">
        <f>'QTR Raw'!AT26+'QTR Raw'!AT31+'QTR Raw'!AT32+'QTR Raw'!AT33+'QTR Raw'!AT36+'QTR Raw'!AT37+'QTR Raw'!AT39</f>
        <v>0</v>
      </c>
      <c r="CA54" s="75">
        <f>'QTR Raw'!AU26+'QTR Raw'!AU31+'QTR Raw'!AU32+'QTR Raw'!AU33+'QTR Raw'!AU36+'QTR Raw'!AU37+'QTR Raw'!AU39</f>
        <v>0</v>
      </c>
      <c r="CB54" s="75">
        <f>'QTR Raw'!AV26+'QTR Raw'!AV31+'QTR Raw'!AV32+'QTR Raw'!AV33+'QTR Raw'!AV36+'QTR Raw'!AV37+'QTR Raw'!AV39</f>
        <v>0</v>
      </c>
      <c r="CC54" s="75">
        <f>'QTR Raw'!AW26+'QTR Raw'!AW31+'QTR Raw'!AW32+'QTR Raw'!AW33+'QTR Raw'!AW36+'QTR Raw'!AW37+'QTR Raw'!AW39</f>
        <v>0</v>
      </c>
      <c r="CD54" s="75">
        <f>'QTR Raw'!AX26+'QTR Raw'!AX31+'QTR Raw'!AX32+'QTR Raw'!AX33+'QTR Raw'!AX36+'QTR Raw'!AX37+'QTR Raw'!AX39</f>
        <v>0</v>
      </c>
      <c r="CE54" s="75">
        <f>'QTR Raw'!AY26+'QTR Raw'!AY31+'QTR Raw'!AY32+'QTR Raw'!AY33+'QTR Raw'!AY36+'QTR Raw'!AY37+'QTR Raw'!AY39</f>
        <v>0</v>
      </c>
      <c r="CF54" s="75">
        <f>'QTR Raw'!AZ26+'QTR Raw'!AZ31+'QTR Raw'!AZ32+'QTR Raw'!AZ33+'QTR Raw'!AZ36+'QTR Raw'!AZ37+'QTR Raw'!AZ39</f>
        <v>0</v>
      </c>
      <c r="CG54" s="75">
        <f>'QTR Raw'!BA26+'QTR Raw'!BA31+'QTR Raw'!BA32+'QTR Raw'!BA33+'QTR Raw'!BA36+'QTR Raw'!BA37+'QTR Raw'!BA39</f>
        <v>0</v>
      </c>
      <c r="CH54" s="75">
        <f>'QTR Raw'!BB26+'QTR Raw'!BB31+'QTR Raw'!BB32+'QTR Raw'!BB33+'QTR Raw'!BB36+'QTR Raw'!BB37+'QTR Raw'!BB39</f>
        <v>0</v>
      </c>
      <c r="CI54" s="75">
        <f>'QTR Raw'!BC26+'QTR Raw'!BC31+'QTR Raw'!BC32+'QTR Raw'!BC33+'QTR Raw'!BC36+'QTR Raw'!BC37+'QTR Raw'!BC39</f>
        <v>0</v>
      </c>
      <c r="CJ54" s="75">
        <f>'QTR Raw'!BD26+'QTR Raw'!BD31+'QTR Raw'!BD32+'QTR Raw'!BD33+'QTR Raw'!BD36+'QTR Raw'!BD37+'QTR Raw'!BD39</f>
        <v>-580.1</v>
      </c>
      <c r="CK54" s="75">
        <f>'QTR Raw'!BE26+'QTR Raw'!BE31+'QTR Raw'!BE32+'QTR Raw'!BE33+'QTR Raw'!BE36+'QTR Raw'!BE37+'QTR Raw'!BE39</f>
        <v>-30.84</v>
      </c>
      <c r="CL54" s="75">
        <f>'QTR Raw'!BF26+'QTR Raw'!BF31+'QTR Raw'!BF32+'QTR Raw'!BF33+'QTR Raw'!BF36+'QTR Raw'!BF37+'QTR Raw'!BF39</f>
        <v>0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E54" s="123"/>
      <c r="DF54" s="23">
        <v>-610.94000000000005</v>
      </c>
    </row>
    <row r="55" spans="1:110" s="26" customFormat="1" x14ac:dyDescent="0.2">
      <c r="A55" s="35" t="s">
        <v>25</v>
      </c>
      <c r="B55" s="26">
        <f>B48+B52+B53+B54</f>
        <v>0</v>
      </c>
      <c r="C55" s="26">
        <f>C48+C52+C53+C54</f>
        <v>0</v>
      </c>
      <c r="D55" s="26">
        <f>D48+D52+D53+D54</f>
        <v>0</v>
      </c>
      <c r="E55" s="26">
        <f t="shared" ref="E55:U55" si="734">E48+E52+E53+E54</f>
        <v>0</v>
      </c>
      <c r="F55" s="26">
        <f t="shared" si="734"/>
        <v>0</v>
      </c>
      <c r="G55" s="26">
        <f t="shared" si="734"/>
        <v>0</v>
      </c>
      <c r="H55" s="26">
        <f t="shared" si="734"/>
        <v>0</v>
      </c>
      <c r="I55" s="26">
        <f t="shared" si="734"/>
        <v>0</v>
      </c>
      <c r="J55" s="26">
        <f t="shared" si="734"/>
        <v>0</v>
      </c>
      <c r="K55" s="26">
        <f t="shared" si="734"/>
        <v>0</v>
      </c>
      <c r="L55" s="26">
        <f t="shared" si="734"/>
        <v>0</v>
      </c>
      <c r="M55" s="26">
        <f t="shared" si="734"/>
        <v>0</v>
      </c>
      <c r="N55" s="26">
        <f t="shared" si="734"/>
        <v>0</v>
      </c>
      <c r="O55" s="26">
        <f t="shared" si="734"/>
        <v>0</v>
      </c>
      <c r="P55" s="26">
        <f t="shared" si="734"/>
        <v>0</v>
      </c>
      <c r="Q55" s="26">
        <f t="shared" si="734"/>
        <v>0</v>
      </c>
      <c r="R55" s="26">
        <f t="shared" si="734"/>
        <v>0</v>
      </c>
      <c r="S55" s="26">
        <f t="shared" si="734"/>
        <v>452.1760000000001</v>
      </c>
      <c r="T55" s="26">
        <f t="shared" si="734"/>
        <v>638.98899999999981</v>
      </c>
      <c r="U55" s="26">
        <f t="shared" si="734"/>
        <v>310.05999999999977</v>
      </c>
      <c r="V55" s="26">
        <f>V48+V52+V53+V54</f>
        <v>-285.37999999999971</v>
      </c>
      <c r="W55" s="26">
        <f>W48+W52+W53+W54</f>
        <v>-909.46000000000049</v>
      </c>
      <c r="X55" s="26">
        <f>X48+X52+X53+X54</f>
        <v>-1169.55</v>
      </c>
      <c r="Y55" s="26">
        <f>Y48+Y52+Y53+Y54</f>
        <v>-211.92000000000013</v>
      </c>
      <c r="Z55" s="26">
        <f>Z48+Z52+Z53+Z54</f>
        <v>81.449999999999974</v>
      </c>
      <c r="AA55" s="26">
        <f>AA48+AA52+AA53+AA54</f>
        <v>-309.42999999999932</v>
      </c>
      <c r="AB55" s="27">
        <f t="shared" ref="AA55:AD55" si="735">AB48+AB52+AB53+AB54</f>
        <v>383.58565858137001</v>
      </c>
      <c r="AC55" s="27">
        <f t="shared" si="735"/>
        <v>459.63475422029467</v>
      </c>
      <c r="AD55" s="27">
        <f t="shared" si="735"/>
        <v>516.72634955754495</v>
      </c>
      <c r="AE55" s="27">
        <f t="shared" ref="AE55" si="736">AE48+AE52+AE53+AE54</f>
        <v>574.77557120091649</v>
      </c>
      <c r="AI55" s="26">
        <f t="shared" ref="AI55" si="737">AI48+AI52+AI53+AI54</f>
        <v>0</v>
      </c>
      <c r="AJ55" s="26">
        <f t="shared" ref="AJ55" si="738">AJ48+AJ52+AJ53+AJ54</f>
        <v>0</v>
      </c>
      <c r="AK55" s="26">
        <f t="shared" ref="AK55:AM55" si="739">AK48+AK52+AK53+AK54</f>
        <v>0</v>
      </c>
      <c r="AL55" s="26">
        <f t="shared" si="739"/>
        <v>0</v>
      </c>
      <c r="AM55" s="26">
        <f t="shared" si="739"/>
        <v>0</v>
      </c>
      <c r="AN55" s="26">
        <f t="shared" ref="AN55:AO55" si="740">AN48+AN52+AN53+AN54</f>
        <v>0</v>
      </c>
      <c r="AO55" s="26">
        <f t="shared" si="740"/>
        <v>0</v>
      </c>
      <c r="AP55" s="26">
        <f t="shared" ref="AP55:CD55" si="741">AP48+AP52+AP53+AP54</f>
        <v>0</v>
      </c>
      <c r="AQ55" s="26">
        <f t="shared" si="741"/>
        <v>0</v>
      </c>
      <c r="AR55" s="26">
        <f t="shared" si="741"/>
        <v>0</v>
      </c>
      <c r="AS55" s="26">
        <f t="shared" si="741"/>
        <v>0</v>
      </c>
      <c r="AT55" s="26">
        <f t="shared" si="741"/>
        <v>0</v>
      </c>
      <c r="AU55" s="26">
        <f t="shared" si="741"/>
        <v>0</v>
      </c>
      <c r="AV55" s="26">
        <f t="shared" si="741"/>
        <v>0</v>
      </c>
      <c r="AW55" s="26">
        <f t="shared" si="741"/>
        <v>0</v>
      </c>
      <c r="AX55" s="26">
        <f t="shared" si="741"/>
        <v>0</v>
      </c>
      <c r="AY55" s="26">
        <f t="shared" si="741"/>
        <v>0</v>
      </c>
      <c r="AZ55" s="26">
        <f t="shared" si="741"/>
        <v>0</v>
      </c>
      <c r="BA55" s="26">
        <f t="shared" si="741"/>
        <v>0</v>
      </c>
      <c r="BB55" s="26">
        <f t="shared" si="741"/>
        <v>0</v>
      </c>
      <c r="BC55" s="26">
        <f t="shared" si="741"/>
        <v>0</v>
      </c>
      <c r="BD55" s="26">
        <f t="shared" si="741"/>
        <v>0</v>
      </c>
      <c r="BE55" s="26">
        <f t="shared" si="741"/>
        <v>0</v>
      </c>
      <c r="BF55" s="26">
        <f t="shared" si="741"/>
        <v>0</v>
      </c>
      <c r="BG55" s="26">
        <f t="shared" si="741"/>
        <v>0</v>
      </c>
      <c r="BH55" s="26">
        <f t="shared" si="741"/>
        <v>58.046999999999848</v>
      </c>
      <c r="BI55" s="26">
        <f t="shared" si="741"/>
        <v>189.82199999999992</v>
      </c>
      <c r="BJ55" s="26">
        <f t="shared" si="741"/>
        <v>295.88900000000029</v>
      </c>
      <c r="BK55" s="26">
        <f t="shared" si="741"/>
        <v>48.140000000000029</v>
      </c>
      <c r="BL55" s="26">
        <f t="shared" si="741"/>
        <v>80.03</v>
      </c>
      <c r="BM55" s="26">
        <f t="shared" si="741"/>
        <v>49.611000000000104</v>
      </c>
      <c r="BN55" s="26">
        <f t="shared" si="741"/>
        <v>132.28000000000003</v>
      </c>
      <c r="BO55" s="26">
        <f t="shared" si="741"/>
        <v>16.420000000000101</v>
      </c>
      <c r="BP55" s="26">
        <f t="shared" si="741"/>
        <v>23.42000000000013</v>
      </c>
      <c r="BQ55" s="26">
        <f t="shared" si="741"/>
        <v>21.630000000000056</v>
      </c>
      <c r="BR55" s="26">
        <f t="shared" si="741"/>
        <v>-346.84999999999997</v>
      </c>
      <c r="BS55" s="26">
        <f t="shared" si="741"/>
        <v>-76.119999999999905</v>
      </c>
      <c r="BT55" s="26">
        <f t="shared" si="741"/>
        <v>-284.62999999999988</v>
      </c>
      <c r="BU55" s="26">
        <f t="shared" si="741"/>
        <v>-422.41000000000014</v>
      </c>
      <c r="BV55" s="26">
        <f t="shared" si="741"/>
        <v>-126.30000000000011</v>
      </c>
      <c r="BW55" s="26">
        <f t="shared" si="741"/>
        <v>-353.90999999999991</v>
      </c>
      <c r="BX55" s="26">
        <f t="shared" si="741"/>
        <v>-296.94999999999993</v>
      </c>
      <c r="BY55" s="26">
        <f t="shared" si="741"/>
        <v>-101.23999999999998</v>
      </c>
      <c r="BZ55" s="26">
        <f t="shared" si="741"/>
        <v>-417.44999999999987</v>
      </c>
      <c r="CA55" s="26">
        <f t="shared" si="741"/>
        <v>-95.469999999999928</v>
      </c>
      <c r="CB55" s="26">
        <f t="shared" si="741"/>
        <v>-54.250000000000036</v>
      </c>
      <c r="CC55" s="26">
        <f t="shared" si="741"/>
        <v>-63.670000000000009</v>
      </c>
      <c r="CD55" s="26">
        <f t="shared" si="741"/>
        <v>1.4399999999999631</v>
      </c>
      <c r="CE55" s="26">
        <f t="shared" ref="CE55:CF55" si="742">CE48+CE52+CE53+CE54</f>
        <v>4.1899999999998938</v>
      </c>
      <c r="CF55" s="26">
        <f t="shared" si="742"/>
        <v>7.0500000000000362</v>
      </c>
      <c r="CG55" s="26">
        <f t="shared" ref="CG55:CH55" si="743">CG48+CG52+CG53+CG54</f>
        <v>14.830000000000032</v>
      </c>
      <c r="CH55" s="26">
        <f t="shared" si="743"/>
        <v>55.38000000000028</v>
      </c>
      <c r="CI55" s="26">
        <f t="shared" ref="CI55:CJ55" si="744">CI48+CI52+CI53+CI54</f>
        <v>31.970000000000034</v>
      </c>
      <c r="CJ55" s="26">
        <f t="shared" si="744"/>
        <v>-473.20000000000016</v>
      </c>
      <c r="CK55" s="26">
        <f t="shared" ref="CK55:CL55" si="745">CK48+CK52+CK53+CK54</f>
        <v>-2.7699999999998433</v>
      </c>
      <c r="CL55" s="26">
        <f t="shared" si="745"/>
        <v>134.56999999999988</v>
      </c>
      <c r="CM55" s="27">
        <f t="shared" ref="CM55:DB55" si="746">CM48+CM52+CM53+CM54</f>
        <v>84.285193614721678</v>
      </c>
      <c r="CN55" s="27">
        <f t="shared" si="746"/>
        <v>82.849748084518467</v>
      </c>
      <c r="CO55" s="27">
        <f t="shared" si="746"/>
        <v>99.056143366319304</v>
      </c>
      <c r="CP55" s="27">
        <f t="shared" si="746"/>
        <v>117.3945735158111</v>
      </c>
      <c r="CQ55" s="27">
        <f t="shared" si="746"/>
        <v>115.51951443048247</v>
      </c>
      <c r="CR55" s="27">
        <f t="shared" si="746"/>
        <v>106.34609840935637</v>
      </c>
      <c r="CS55" s="27">
        <f t="shared" si="746"/>
        <v>112.84808174123792</v>
      </c>
      <c r="CT55" s="27">
        <f t="shared" si="746"/>
        <v>124.92105963921834</v>
      </c>
      <c r="CU55" s="27">
        <f t="shared" si="746"/>
        <v>134.5609463975878</v>
      </c>
      <c r="CV55" s="27">
        <f t="shared" si="746"/>
        <v>119.81001563140826</v>
      </c>
      <c r="CW55" s="27">
        <f t="shared" si="746"/>
        <v>124.53134067678864</v>
      </c>
      <c r="CX55" s="27">
        <f t="shared" si="746"/>
        <v>137.82404685176198</v>
      </c>
      <c r="CY55" s="27">
        <f t="shared" si="746"/>
        <v>150.83229946600201</v>
      </c>
      <c r="CZ55" s="27">
        <f t="shared" si="746"/>
        <v>132.70909089645167</v>
      </c>
      <c r="DA55" s="27">
        <f t="shared" si="746"/>
        <v>137.82288512908818</v>
      </c>
      <c r="DB55" s="27">
        <f t="shared" si="746"/>
        <v>153.41129570937446</v>
      </c>
      <c r="DE55" s="121"/>
      <c r="DF55" s="26">
        <v>87.276884586850628</v>
      </c>
    </row>
    <row r="56" spans="1:110" s="25" customFormat="1" x14ac:dyDescent="0.2">
      <c r="A56" s="151" t="s">
        <v>486</v>
      </c>
      <c r="AB56" s="17"/>
      <c r="AC56" s="17"/>
      <c r="AD56" s="17"/>
      <c r="AE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1" customFormat="1" x14ac:dyDescent="0.2">
      <c r="AB57" s="20"/>
      <c r="AC57" s="20"/>
      <c r="AD57" s="20"/>
      <c r="AE57" s="20"/>
      <c r="BV57" s="183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E57" s="119"/>
    </row>
    <row r="58" spans="1:110" s="22" customFormat="1" x14ac:dyDescent="0.2">
      <c r="A58" s="22" t="s">
        <v>434</v>
      </c>
      <c r="B58" s="22">
        <f>'Annual Raw'!C35</f>
        <v>0</v>
      </c>
      <c r="C58" s="22">
        <f>'Annual Raw'!D35</f>
        <v>0</v>
      </c>
      <c r="D58" s="22">
        <f>'Annual Raw'!E35</f>
        <v>0</v>
      </c>
      <c r="E58" s="22">
        <f>'Annual Raw'!F35</f>
        <v>0</v>
      </c>
      <c r="F58" s="22">
        <f>'Annual Raw'!G35</f>
        <v>0</v>
      </c>
      <c r="G58" s="22">
        <f>'Annual Raw'!H35</f>
        <v>0</v>
      </c>
      <c r="H58" s="22">
        <f>'Annual Raw'!I35</f>
        <v>0</v>
      </c>
      <c r="I58" s="22">
        <f>'Annual Raw'!J35</f>
        <v>0</v>
      </c>
      <c r="J58" s="22">
        <f>'Annual Raw'!K35</f>
        <v>0</v>
      </c>
      <c r="K58" s="22">
        <f>'Annual Raw'!L35</f>
        <v>0</v>
      </c>
      <c r="L58" s="22">
        <f>'Annual Raw'!M35</f>
        <v>0</v>
      </c>
      <c r="M58" s="22">
        <f>'Annual Raw'!N35</f>
        <v>0</v>
      </c>
      <c r="N58" s="22">
        <f>'Annual Raw'!O35</f>
        <v>0</v>
      </c>
      <c r="O58" s="22">
        <f>'Annual Raw'!P35</f>
        <v>0</v>
      </c>
      <c r="P58" s="22">
        <f>'Annual Raw'!Q35</f>
        <v>0</v>
      </c>
      <c r="Q58" s="22">
        <f>'Annual Raw'!R35</f>
        <v>0</v>
      </c>
      <c r="R58" s="22">
        <f>'Annual Raw'!S35</f>
        <v>0</v>
      </c>
      <c r="S58" s="22">
        <f>'Annual Raw'!T35</f>
        <v>452.17599999999999</v>
      </c>
      <c r="T58" s="22">
        <f>'Annual Raw'!U35</f>
        <v>638.98900000000003</v>
      </c>
      <c r="U58" s="22">
        <f>'Annual Raw'!V35</f>
        <v>310.06</v>
      </c>
      <c r="V58" s="22">
        <f>'Annual Raw'!W35</f>
        <v>-285.38</v>
      </c>
      <c r="W58" s="22">
        <f>'Annual Raw'!X35</f>
        <v>-909.46</v>
      </c>
      <c r="X58" s="22">
        <f>'Annual Raw'!Y35</f>
        <v>-1169.55</v>
      </c>
      <c r="Y58" s="22">
        <f>'Annual Raw'!Z35</f>
        <v>-211.92</v>
      </c>
      <c r="Z58" s="22">
        <f>'Annual Raw'!AA35</f>
        <v>81.45</v>
      </c>
      <c r="AA58" s="22">
        <f>'Annual Raw'!AB35</f>
        <v>-309.43</v>
      </c>
      <c r="AB58" s="21">
        <f t="shared" ref="AA58:AD58" si="747">+AB55</f>
        <v>383.58565858137001</v>
      </c>
      <c r="AC58" s="21">
        <f t="shared" si="747"/>
        <v>459.63475422029467</v>
      </c>
      <c r="AD58" s="21">
        <f t="shared" si="747"/>
        <v>516.72634955754495</v>
      </c>
      <c r="AE58" s="21">
        <f t="shared" ref="AE58" si="748">+AE55</f>
        <v>574.77557120091649</v>
      </c>
      <c r="AI58" s="22">
        <f>'QTR Raw'!C42</f>
        <v>0</v>
      </c>
      <c r="AJ58" s="22">
        <f>'QTR Raw'!D42</f>
        <v>0</v>
      </c>
      <c r="AK58" s="22">
        <f>'QTR Raw'!E42</f>
        <v>0</v>
      </c>
      <c r="AL58" s="22">
        <f>'QTR Raw'!F42</f>
        <v>0</v>
      </c>
      <c r="AM58" s="22">
        <f>'QTR Raw'!G42</f>
        <v>0</v>
      </c>
      <c r="AN58" s="22">
        <f>'QTR Raw'!H42</f>
        <v>0</v>
      </c>
      <c r="AO58" s="22">
        <f>'QTR Raw'!I42</f>
        <v>0</v>
      </c>
      <c r="AP58" s="22">
        <f>'QTR Raw'!J42</f>
        <v>0</v>
      </c>
      <c r="AQ58" s="22">
        <f>'QTR Raw'!K42</f>
        <v>0</v>
      </c>
      <c r="AR58" s="22">
        <f>'QTR Raw'!L42</f>
        <v>0</v>
      </c>
      <c r="AS58" s="22">
        <f>'QTR Raw'!M42</f>
        <v>0</v>
      </c>
      <c r="AT58" s="22">
        <f>'QTR Raw'!N42</f>
        <v>0</v>
      </c>
      <c r="AU58" s="22">
        <f>'QTR Raw'!O42</f>
        <v>0</v>
      </c>
      <c r="AV58" s="22">
        <f>'QTR Raw'!P42</f>
        <v>0</v>
      </c>
      <c r="AW58" s="22">
        <f>'QTR Raw'!Q42</f>
        <v>0</v>
      </c>
      <c r="AX58" s="22">
        <f>'QTR Raw'!R42</f>
        <v>0</v>
      </c>
      <c r="AY58" s="22">
        <f>'QTR Raw'!S42</f>
        <v>0</v>
      </c>
      <c r="AZ58" s="22">
        <f>'QTR Raw'!T42</f>
        <v>0</v>
      </c>
      <c r="BA58" s="22">
        <f>'QTR Raw'!U42</f>
        <v>0</v>
      </c>
      <c r="BB58" s="22">
        <f>'QTR Raw'!V42</f>
        <v>0</v>
      </c>
      <c r="BC58" s="22">
        <f>'QTR Raw'!W42</f>
        <v>0</v>
      </c>
      <c r="BD58" s="22">
        <f>'QTR Raw'!X42</f>
        <v>0</v>
      </c>
      <c r="BE58" s="22">
        <f>'QTR Raw'!Y42</f>
        <v>0</v>
      </c>
      <c r="BF58" s="22">
        <f>'QTR Raw'!Z42</f>
        <v>0</v>
      </c>
      <c r="BG58" s="22">
        <f>'QTR Raw'!AA42</f>
        <v>0</v>
      </c>
      <c r="BH58" s="22">
        <f>'QTR Raw'!AB42</f>
        <v>58.046999999999997</v>
      </c>
      <c r="BI58" s="22">
        <f>'QTR Raw'!AC42</f>
        <v>189.822</v>
      </c>
      <c r="BJ58" s="22">
        <f>'QTR Raw'!AD42</f>
        <v>295.88900000000001</v>
      </c>
      <c r="BK58" s="22">
        <f>'QTR Raw'!AE42</f>
        <v>48.14</v>
      </c>
      <c r="BL58" s="22">
        <f>'QTR Raw'!AF42</f>
        <v>80.03</v>
      </c>
      <c r="BM58" s="22">
        <f>'QTR Raw'!AG42</f>
        <v>49.61</v>
      </c>
      <c r="BN58" s="22">
        <f>'QTR Raw'!AH42</f>
        <v>132.28</v>
      </c>
      <c r="BO58" s="22">
        <f>'QTR Raw'!AI42</f>
        <v>16.420000000000002</v>
      </c>
      <c r="BP58" s="22">
        <f>'QTR Raw'!AJ42</f>
        <v>23.42</v>
      </c>
      <c r="BQ58" s="22">
        <f>'QTR Raw'!AK42</f>
        <v>21.63</v>
      </c>
      <c r="BR58" s="22">
        <f>'QTR Raw'!AL42</f>
        <v>-346.85</v>
      </c>
      <c r="BS58" s="22">
        <f>'QTR Raw'!AM42</f>
        <v>-76.12</v>
      </c>
      <c r="BT58" s="22">
        <f>'QTR Raw'!AN42</f>
        <v>-284.63</v>
      </c>
      <c r="BU58" s="22">
        <f>'QTR Raw'!AO42</f>
        <v>-422.41</v>
      </c>
      <c r="BV58" s="22">
        <f>'QTR Raw'!AP42</f>
        <v>-126.3</v>
      </c>
      <c r="BW58" s="22">
        <f>'QTR Raw'!AQ42</f>
        <v>-353.91</v>
      </c>
      <c r="BX58" s="22">
        <f>'QTR Raw'!AR42</f>
        <v>-296.95</v>
      </c>
      <c r="BY58" s="22">
        <f>'QTR Raw'!AS42</f>
        <v>-101.24</v>
      </c>
      <c r="BZ58" s="22">
        <f>'QTR Raw'!AT42</f>
        <v>-417.45</v>
      </c>
      <c r="CA58" s="22">
        <f>'QTR Raw'!AU42</f>
        <v>-95.47</v>
      </c>
      <c r="CB58" s="22">
        <f>'QTR Raw'!AV42</f>
        <v>-54.25</v>
      </c>
      <c r="CC58" s="22">
        <f>'QTR Raw'!AW42</f>
        <v>-63.67</v>
      </c>
      <c r="CD58" s="22">
        <f>'QTR Raw'!AX42</f>
        <v>1.44</v>
      </c>
      <c r="CE58" s="22">
        <f>'QTR Raw'!AY42</f>
        <v>4.1900000000000004</v>
      </c>
      <c r="CF58" s="22">
        <f>'QTR Raw'!AZ42</f>
        <v>7.05</v>
      </c>
      <c r="CG58" s="22">
        <f>'QTR Raw'!BA42</f>
        <v>14.83</v>
      </c>
      <c r="CH58" s="22">
        <f>'QTR Raw'!BB42</f>
        <v>55.38</v>
      </c>
      <c r="CI58" s="22">
        <f>'QTR Raw'!BC42</f>
        <v>31.97</v>
      </c>
      <c r="CJ58" s="22">
        <f>'QTR Raw'!BD42</f>
        <v>-473.2</v>
      </c>
      <c r="CK58" s="22">
        <f>'QTR Raw'!BE42</f>
        <v>-2.77</v>
      </c>
      <c r="CL58" s="22">
        <f>'QTR Raw'!BF42</f>
        <v>134.57</v>
      </c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  <c r="DF58" s="22">
        <v>-309.42999999999944</v>
      </c>
    </row>
    <row r="59" spans="1:110" s="25" customFormat="1" x14ac:dyDescent="0.2">
      <c r="A59" s="36" t="s">
        <v>435</v>
      </c>
      <c r="B59" s="25">
        <f t="shared" ref="B59:V59" si="749">B58-B55</f>
        <v>0</v>
      </c>
      <c r="C59" s="25">
        <f>C58-C55</f>
        <v>0</v>
      </c>
      <c r="D59" s="25">
        <f t="shared" si="749"/>
        <v>0</v>
      </c>
      <c r="E59" s="25">
        <f t="shared" si="749"/>
        <v>0</v>
      </c>
      <c r="F59" s="25">
        <f t="shared" si="749"/>
        <v>0</v>
      </c>
      <c r="G59" s="25">
        <f t="shared" si="749"/>
        <v>0</v>
      </c>
      <c r="H59" s="25">
        <f t="shared" si="749"/>
        <v>0</v>
      </c>
      <c r="I59" s="25">
        <f t="shared" si="749"/>
        <v>0</v>
      </c>
      <c r="J59" s="25">
        <f t="shared" si="749"/>
        <v>0</v>
      </c>
      <c r="K59" s="25">
        <f t="shared" si="749"/>
        <v>0</v>
      </c>
      <c r="L59" s="25">
        <f t="shared" si="749"/>
        <v>0</v>
      </c>
      <c r="M59" s="25">
        <f t="shared" si="749"/>
        <v>0</v>
      </c>
      <c r="N59" s="25">
        <f t="shared" si="749"/>
        <v>0</v>
      </c>
      <c r="O59" s="25">
        <f t="shared" si="749"/>
        <v>0</v>
      </c>
      <c r="P59" s="25">
        <f t="shared" si="749"/>
        <v>0</v>
      </c>
      <c r="Q59" s="25">
        <f t="shared" si="749"/>
        <v>0</v>
      </c>
      <c r="R59" s="25">
        <f t="shared" si="749"/>
        <v>0</v>
      </c>
      <c r="S59" s="25">
        <f t="shared" si="749"/>
        <v>0</v>
      </c>
      <c r="T59" s="25">
        <f t="shared" si="749"/>
        <v>0</v>
      </c>
      <c r="U59" s="25">
        <f t="shared" si="749"/>
        <v>0</v>
      </c>
      <c r="V59" s="25">
        <f t="shared" si="749"/>
        <v>0</v>
      </c>
      <c r="W59" s="25">
        <f t="shared" ref="W59" si="750">W58-W55</f>
        <v>0</v>
      </c>
      <c r="X59" s="25">
        <f t="shared" ref="X59:Y59" si="751">X58-X55</f>
        <v>0</v>
      </c>
      <c r="Y59" s="25">
        <f t="shared" si="751"/>
        <v>0</v>
      </c>
      <c r="Z59" s="25">
        <f t="shared" ref="Z59:AA59" si="752">Z58-Z55</f>
        <v>0</v>
      </c>
      <c r="AA59" s="25">
        <f t="shared" si="752"/>
        <v>-6.8212102632969618E-13</v>
      </c>
      <c r="AB59" s="17">
        <f t="shared" ref="AA59:AD59" si="753">AB58-AB55</f>
        <v>0</v>
      </c>
      <c r="AC59" s="17">
        <f t="shared" si="753"/>
        <v>0</v>
      </c>
      <c r="AD59" s="17">
        <f t="shared" si="753"/>
        <v>0</v>
      </c>
      <c r="AE59" s="17">
        <f t="shared" ref="AE59" si="754">AE58-AE55</f>
        <v>0</v>
      </c>
      <c r="AI59" s="25">
        <f t="shared" ref="AI59" si="755">AI58-AI55</f>
        <v>0</v>
      </c>
      <c r="AJ59" s="25">
        <f t="shared" ref="AJ59" si="756">AJ58-AJ55</f>
        <v>0</v>
      </c>
      <c r="AK59" s="25">
        <f t="shared" ref="AK59:AM59" si="757">AK58-AK55</f>
        <v>0</v>
      </c>
      <c r="AL59" s="25">
        <f t="shared" si="757"/>
        <v>0</v>
      </c>
      <c r="AM59" s="25">
        <f t="shared" si="757"/>
        <v>0</v>
      </c>
      <c r="AN59" s="25">
        <f t="shared" ref="AN59:AO59" si="758">AN58-AN55</f>
        <v>0</v>
      </c>
      <c r="AO59" s="25">
        <f t="shared" si="758"/>
        <v>0</v>
      </c>
      <c r="AP59" s="25">
        <f t="shared" ref="AP59:CD59" si="759">AP58-AP55</f>
        <v>0</v>
      </c>
      <c r="AQ59" s="25">
        <f t="shared" si="759"/>
        <v>0</v>
      </c>
      <c r="AR59" s="25">
        <f t="shared" si="759"/>
        <v>0</v>
      </c>
      <c r="AS59" s="25">
        <f t="shared" si="759"/>
        <v>0</v>
      </c>
      <c r="AT59" s="25">
        <f t="shared" si="759"/>
        <v>0</v>
      </c>
      <c r="AU59" s="25">
        <f t="shared" si="759"/>
        <v>0</v>
      </c>
      <c r="AV59" s="25">
        <f t="shared" si="759"/>
        <v>0</v>
      </c>
      <c r="AW59" s="25">
        <f t="shared" si="759"/>
        <v>0</v>
      </c>
      <c r="AX59" s="25">
        <f t="shared" si="759"/>
        <v>0</v>
      </c>
      <c r="AY59" s="25">
        <f t="shared" si="759"/>
        <v>0</v>
      </c>
      <c r="AZ59" s="25">
        <f t="shared" si="759"/>
        <v>0</v>
      </c>
      <c r="BA59" s="25">
        <f t="shared" si="759"/>
        <v>0</v>
      </c>
      <c r="BB59" s="25">
        <f t="shared" si="759"/>
        <v>0</v>
      </c>
      <c r="BC59" s="25">
        <f t="shared" si="759"/>
        <v>0</v>
      </c>
      <c r="BD59" s="25">
        <f t="shared" si="759"/>
        <v>0</v>
      </c>
      <c r="BE59" s="25">
        <f t="shared" si="759"/>
        <v>0</v>
      </c>
      <c r="BF59" s="25">
        <f t="shared" si="759"/>
        <v>0</v>
      </c>
      <c r="BG59" s="25">
        <f t="shared" si="759"/>
        <v>0</v>
      </c>
      <c r="BH59" s="25">
        <f t="shared" si="759"/>
        <v>1.4921397450962104E-13</v>
      </c>
      <c r="BI59" s="25">
        <f t="shared" si="759"/>
        <v>0</v>
      </c>
      <c r="BJ59" s="25">
        <f t="shared" si="759"/>
        <v>0</v>
      </c>
      <c r="BK59" s="25">
        <f t="shared" si="759"/>
        <v>0</v>
      </c>
      <c r="BL59" s="25">
        <f t="shared" si="759"/>
        <v>0</v>
      </c>
      <c r="BM59" s="25">
        <f t="shared" si="759"/>
        <v>-1.0000000001042508E-3</v>
      </c>
      <c r="BN59" s="25">
        <f t="shared" si="759"/>
        <v>0</v>
      </c>
      <c r="BO59" s="25">
        <f t="shared" si="759"/>
        <v>-9.9475983006414026E-14</v>
      </c>
      <c r="BP59" s="25">
        <f t="shared" si="759"/>
        <v>-1.2789769243681803E-13</v>
      </c>
      <c r="BQ59" s="25">
        <f t="shared" si="759"/>
        <v>-5.6843418860808015E-14</v>
      </c>
      <c r="BR59" s="25">
        <f t="shared" si="759"/>
        <v>0</v>
      </c>
      <c r="BS59" s="25">
        <f t="shared" si="759"/>
        <v>0</v>
      </c>
      <c r="BT59" s="25">
        <f t="shared" si="759"/>
        <v>0</v>
      </c>
      <c r="BU59" s="25">
        <f t="shared" si="759"/>
        <v>0</v>
      </c>
      <c r="BV59" s="25">
        <f t="shared" si="759"/>
        <v>1.1368683772161603E-13</v>
      </c>
      <c r="BW59" s="25">
        <f t="shared" si="759"/>
        <v>0</v>
      </c>
      <c r="BX59" s="25">
        <f t="shared" si="759"/>
        <v>0</v>
      </c>
      <c r="BY59" s="25">
        <f t="shared" si="759"/>
        <v>0</v>
      </c>
      <c r="BZ59" s="25">
        <f t="shared" si="759"/>
        <v>0</v>
      </c>
      <c r="CA59" s="25">
        <f t="shared" si="759"/>
        <v>0</v>
      </c>
      <c r="CB59" s="25">
        <f t="shared" si="759"/>
        <v>0</v>
      </c>
      <c r="CC59" s="25">
        <f t="shared" si="759"/>
        <v>0</v>
      </c>
      <c r="CD59" s="25">
        <f t="shared" si="759"/>
        <v>3.6859404417555197E-14</v>
      </c>
      <c r="CE59" s="25">
        <f t="shared" ref="CE59:CF59" si="760">CE58-CE55</f>
        <v>1.0658141036401503E-13</v>
      </c>
      <c r="CF59" s="25">
        <f t="shared" si="760"/>
        <v>-3.6415315207705135E-14</v>
      </c>
      <c r="CG59" s="25">
        <f t="shared" ref="CG59:CH59" si="761">CG58-CG55</f>
        <v>-3.1974423109204508E-14</v>
      </c>
      <c r="CH59" s="25">
        <f t="shared" si="761"/>
        <v>-2.7711166694643907E-13</v>
      </c>
      <c r="CI59" s="25">
        <f t="shared" ref="CI59:CJ59" si="762">CI58-CI55</f>
        <v>-3.5527136788005009E-14</v>
      </c>
      <c r="CJ59" s="25">
        <f t="shared" si="762"/>
        <v>0</v>
      </c>
      <c r="CK59" s="25">
        <f t="shared" ref="CK59:CL59" si="763">CK58-CK55</f>
        <v>-1.567634910770721E-13</v>
      </c>
      <c r="CL59" s="25">
        <f t="shared" si="763"/>
        <v>0</v>
      </c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  <c r="DF59" s="25">
        <v>0</v>
      </c>
    </row>
    <row r="60" spans="1:110" s="1" customFormat="1" x14ac:dyDescent="0.2">
      <c r="A60" s="150" t="s">
        <v>487</v>
      </c>
      <c r="AB60" s="20"/>
      <c r="AC60" s="20"/>
      <c r="AD60" s="20"/>
      <c r="AE60" s="20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</row>
    <row r="61" spans="1:110" s="38" customFormat="1" x14ac:dyDescent="0.2">
      <c r="A61" s="38" t="s">
        <v>350</v>
      </c>
      <c r="B61" s="39" t="e">
        <f t="shared" ref="B61:AE61" si="764">(B55-B54)/B132</f>
        <v>#DIV/0!</v>
      </c>
      <c r="C61" s="39" t="e">
        <f t="shared" si="764"/>
        <v>#DIV/0!</v>
      </c>
      <c r="D61" s="39" t="e">
        <f t="shared" si="764"/>
        <v>#DIV/0!</v>
      </c>
      <c r="E61" s="39" t="e">
        <f t="shared" si="764"/>
        <v>#DIV/0!</v>
      </c>
      <c r="F61" s="39" t="e">
        <f t="shared" si="764"/>
        <v>#DIV/0!</v>
      </c>
      <c r="G61" s="39" t="e">
        <f t="shared" si="764"/>
        <v>#DIV/0!</v>
      </c>
      <c r="H61" s="39" t="e">
        <f t="shared" si="764"/>
        <v>#DIV/0!</v>
      </c>
      <c r="I61" s="39" t="e">
        <f t="shared" si="764"/>
        <v>#DIV/0!</v>
      </c>
      <c r="J61" s="39" t="e">
        <f t="shared" si="764"/>
        <v>#DIV/0!</v>
      </c>
      <c r="K61" s="39" t="e">
        <f t="shared" si="764"/>
        <v>#DIV/0!</v>
      </c>
      <c r="L61" s="39" t="e">
        <f t="shared" si="764"/>
        <v>#DIV/0!</v>
      </c>
      <c r="M61" s="39" t="e">
        <f t="shared" si="764"/>
        <v>#DIV/0!</v>
      </c>
      <c r="N61" s="39" t="e">
        <f t="shared" si="764"/>
        <v>#DIV/0!</v>
      </c>
      <c r="O61" s="39" t="e">
        <f t="shared" si="764"/>
        <v>#DIV/0!</v>
      </c>
      <c r="P61" s="39" t="e">
        <f t="shared" si="764"/>
        <v>#DIV/0!</v>
      </c>
      <c r="Q61" s="39" t="e">
        <f t="shared" si="764"/>
        <v>#DIV/0!</v>
      </c>
      <c r="R61" s="39" t="e">
        <f t="shared" si="764"/>
        <v>#DIV/0!</v>
      </c>
      <c r="S61" s="39">
        <f t="shared" si="764"/>
        <v>2.3000849479375969</v>
      </c>
      <c r="T61" s="39">
        <f t="shared" si="764"/>
        <v>0.75979125000297232</v>
      </c>
      <c r="U61" s="39">
        <f t="shared" si="764"/>
        <v>0.28683762581409095</v>
      </c>
      <c r="V61" s="39">
        <f t="shared" si="764"/>
        <v>-0.43116577023025277</v>
      </c>
      <c r="W61" s="39">
        <f t="shared" si="764"/>
        <v>-0.99203717439678929</v>
      </c>
      <c r="X61" s="39">
        <f t="shared" si="764"/>
        <v>5.1961524791185356</v>
      </c>
      <c r="Y61" s="39">
        <f t="shared" si="764"/>
        <v>-0.21866132876585134</v>
      </c>
      <c r="Z61" s="39">
        <f t="shared" si="764"/>
        <v>8.0878994300240273E-2</v>
      </c>
      <c r="AA61" s="39">
        <f t="shared" ref="AA61" si="765">(AA55-AA54)/AA132</f>
        <v>0.46404001539053596</v>
      </c>
      <c r="AB61" s="40">
        <f t="shared" si="764"/>
        <v>0.37121109234532862</v>
      </c>
      <c r="AC61" s="40">
        <f t="shared" si="764"/>
        <v>0.30786594984006233</v>
      </c>
      <c r="AD61" s="40">
        <f t="shared" si="764"/>
        <v>0.25711657561260759</v>
      </c>
      <c r="AE61" s="40">
        <f t="shared" si="764"/>
        <v>0.22239571448968048</v>
      </c>
      <c r="AF61" s="39"/>
      <c r="AG61" s="39"/>
      <c r="AH61" s="39"/>
      <c r="AI61" s="39"/>
      <c r="AJ61" s="39"/>
      <c r="AK61" s="39"/>
      <c r="AL61" s="39" t="e">
        <f t="shared" ref="AL61:BQ61" si="766">(SUM(AI55:AL55)-SUM(AI54:AL54))/AL132</f>
        <v>#DIV/0!</v>
      </c>
      <c r="AM61" s="39" t="e">
        <f t="shared" si="766"/>
        <v>#DIV/0!</v>
      </c>
      <c r="AN61" s="39" t="e">
        <f t="shared" si="766"/>
        <v>#DIV/0!</v>
      </c>
      <c r="AO61" s="39" t="e">
        <f t="shared" si="766"/>
        <v>#DIV/0!</v>
      </c>
      <c r="AP61" s="39" t="e">
        <f t="shared" si="766"/>
        <v>#DIV/0!</v>
      </c>
      <c r="AQ61" s="39" t="e">
        <f t="shared" si="766"/>
        <v>#DIV/0!</v>
      </c>
      <c r="AR61" s="39" t="e">
        <f t="shared" si="766"/>
        <v>#DIV/0!</v>
      </c>
      <c r="AS61" s="39" t="e">
        <f t="shared" si="766"/>
        <v>#DIV/0!</v>
      </c>
      <c r="AT61" s="39" t="e">
        <f t="shared" si="766"/>
        <v>#DIV/0!</v>
      </c>
      <c r="AU61" s="39" t="e">
        <f t="shared" si="766"/>
        <v>#DIV/0!</v>
      </c>
      <c r="AV61" s="39" t="e">
        <f t="shared" si="766"/>
        <v>#DIV/0!</v>
      </c>
      <c r="AW61" s="39" t="e">
        <f t="shared" si="766"/>
        <v>#DIV/0!</v>
      </c>
      <c r="AX61" s="39" t="e">
        <f t="shared" si="766"/>
        <v>#DIV/0!</v>
      </c>
      <c r="AY61" s="39" t="e">
        <f t="shared" si="766"/>
        <v>#DIV/0!</v>
      </c>
      <c r="AZ61" s="39" t="e">
        <f t="shared" si="766"/>
        <v>#DIV/0!</v>
      </c>
      <c r="BA61" s="39" t="e">
        <f t="shared" si="766"/>
        <v>#DIV/0!</v>
      </c>
      <c r="BB61" s="39" t="e">
        <f t="shared" si="766"/>
        <v>#DIV/0!</v>
      </c>
      <c r="BC61" s="39" t="e">
        <f t="shared" si="766"/>
        <v>#DIV/0!</v>
      </c>
      <c r="BD61" s="39" t="e">
        <f t="shared" si="766"/>
        <v>#DIV/0!</v>
      </c>
      <c r="BE61" s="39" t="e">
        <f t="shared" si="766"/>
        <v>#DIV/0!</v>
      </c>
      <c r="BF61" s="39" t="e">
        <f t="shared" si="766"/>
        <v>#DIV/0!</v>
      </c>
      <c r="BG61" s="39" t="e">
        <f t="shared" si="766"/>
        <v>#DIV/0!</v>
      </c>
      <c r="BH61" s="39" t="e">
        <f t="shared" si="766"/>
        <v>#DIV/0!</v>
      </c>
      <c r="BI61" s="39">
        <f t="shared" si="766"/>
        <v>1.3057970098302614</v>
      </c>
      <c r="BJ61" s="39">
        <f t="shared" si="766"/>
        <v>0.64655662385286194</v>
      </c>
      <c r="BK61" s="39">
        <f t="shared" si="766"/>
        <v>0.66569269838699163</v>
      </c>
      <c r="BL61" s="39">
        <f t="shared" si="766"/>
        <v>0.6266457744250381</v>
      </c>
      <c r="BM61" s="39">
        <f t="shared" si="766"/>
        <v>0.4602129141765634</v>
      </c>
      <c r="BN61" s="39">
        <f t="shared" si="766"/>
        <v>0.28683855091770288</v>
      </c>
      <c r="BO61" s="39">
        <f t="shared" si="766"/>
        <v>0.25364140042647049</v>
      </c>
      <c r="BP61" s="39">
        <f t="shared" si="766"/>
        <v>0.20928088042360038</v>
      </c>
      <c r="BQ61" s="39">
        <f t="shared" si="766"/>
        <v>0.17921229835725941</v>
      </c>
      <c r="BR61" s="39">
        <f t="shared" ref="BR61:CW61" si="767">(SUM(BO55:BR55)-SUM(BO54:BR54))/BR132</f>
        <v>-0.43116577023025271</v>
      </c>
      <c r="BS61" s="39">
        <f t="shared" si="767"/>
        <v>-0.64517891286533668</v>
      </c>
      <c r="BT61" s="39">
        <f t="shared" si="767"/>
        <v>-1.5511611604821014</v>
      </c>
      <c r="BU61" s="39">
        <f t="shared" si="767"/>
        <v>-57.013622603431273</v>
      </c>
      <c r="BV61" s="39">
        <f t="shared" si="767"/>
        <v>-0.99203717439678862</v>
      </c>
      <c r="BW61" s="39">
        <f t="shared" si="767"/>
        <v>-2.1093541796215685</v>
      </c>
      <c r="BX61" s="39">
        <f t="shared" si="767"/>
        <v>-3.4270491100762799</v>
      </c>
      <c r="BY61" s="39">
        <f t="shared" si="767"/>
        <v>-3.5306885324972863</v>
      </c>
      <c r="BZ61" s="39">
        <f t="shared" si="767"/>
        <v>5.1961524791185338</v>
      </c>
      <c r="CA61" s="39">
        <f t="shared" si="767"/>
        <v>2.842333489315239</v>
      </c>
      <c r="CB61" s="39">
        <f t="shared" si="767"/>
        <v>1.6722373720947679</v>
      </c>
      <c r="CC61" s="39">
        <f t="shared" si="767"/>
        <v>1.3613880616340797</v>
      </c>
      <c r="CD61" s="39">
        <f t="shared" si="767"/>
        <v>-0.21869228308759042</v>
      </c>
      <c r="CE61" s="39">
        <f t="shared" si="767"/>
        <v>-0.11536327771841885</v>
      </c>
      <c r="CF61" s="39">
        <f t="shared" si="767"/>
        <v>-5.2796156514356249E-2</v>
      </c>
      <c r="CG61" s="39">
        <f t="shared" si="767"/>
        <v>2.8053680324692465E-2</v>
      </c>
      <c r="CH61" s="39">
        <f t="shared" si="767"/>
        <v>8.0878994300240536E-2</v>
      </c>
      <c r="CI61" s="39">
        <f t="shared" si="767"/>
        <v>0.10512689720219857</v>
      </c>
      <c r="CJ61" s="39">
        <f t="shared" si="767"/>
        <v>0.44471859446122475</v>
      </c>
      <c r="CK61" s="39">
        <f t="shared" si="767"/>
        <v>0.47568307764726075</v>
      </c>
      <c r="CL61" s="39">
        <f t="shared" si="767"/>
        <v>0.46404001539053474</v>
      </c>
      <c r="CM61" s="40">
        <f t="shared" si="767"/>
        <v>0.48202756038484484</v>
      </c>
      <c r="CN61" s="40">
        <f t="shared" si="767"/>
        <v>0.40369815241453721</v>
      </c>
      <c r="CO61" s="40">
        <f t="shared" si="767"/>
        <v>0.43754024314443157</v>
      </c>
      <c r="CP61" s="40">
        <f t="shared" si="767"/>
        <v>0.37121109234532912</v>
      </c>
      <c r="CQ61" s="40">
        <f t="shared" si="767"/>
        <v>0.36107247383465585</v>
      </c>
      <c r="CR61" s="40">
        <f t="shared" si="767"/>
        <v>0.34920003644171183</v>
      </c>
      <c r="CS61" s="40">
        <f t="shared" si="767"/>
        <v>0.33047657750926401</v>
      </c>
      <c r="CT61" s="40">
        <f t="shared" si="767"/>
        <v>0.30786594984006266</v>
      </c>
      <c r="CU61" s="40">
        <f t="shared" si="767"/>
        <v>0.29411180526985947</v>
      </c>
      <c r="CV61" s="40">
        <f t="shared" si="767"/>
        <v>0.28165080418652977</v>
      </c>
      <c r="CW61" s="40">
        <f t="shared" si="767"/>
        <v>0.26915471237499206</v>
      </c>
      <c r="CX61" s="40">
        <f t="shared" ref="CX61:DB61" si="768">(SUM(CU55:CX55)-SUM(CU54:CX54))/CX132</f>
        <v>0.25711657561260842</v>
      </c>
      <c r="CY61" s="40">
        <f t="shared" si="768"/>
        <v>0.24669777048760672</v>
      </c>
      <c r="CZ61" s="40">
        <f t="shared" si="768"/>
        <v>0.23804626538378584</v>
      </c>
      <c r="DA61" s="40">
        <f t="shared" si="768"/>
        <v>0.23001821576543782</v>
      </c>
      <c r="DB61" s="40">
        <f t="shared" si="768"/>
        <v>0.22239571448968046</v>
      </c>
      <c r="DE61" s="122"/>
      <c r="DF61" s="38">
        <v>0.45834005680247092</v>
      </c>
    </row>
    <row r="62" spans="1:110" s="38" customFormat="1" x14ac:dyDescent="0.2">
      <c r="A62" s="38" t="s">
        <v>351</v>
      </c>
      <c r="B62" s="39" t="e">
        <f t="shared" ref="B62:AE62" si="769">+B41/B141</f>
        <v>#DIV/0!</v>
      </c>
      <c r="C62" s="39" t="e">
        <f t="shared" si="769"/>
        <v>#DIV/0!</v>
      </c>
      <c r="D62" s="39" t="e">
        <f t="shared" si="769"/>
        <v>#DIV/0!</v>
      </c>
      <c r="E62" s="39" t="e">
        <f t="shared" si="769"/>
        <v>#DIV/0!</v>
      </c>
      <c r="F62" s="39" t="e">
        <f t="shared" si="769"/>
        <v>#DIV/0!</v>
      </c>
      <c r="G62" s="39" t="e">
        <f t="shared" si="769"/>
        <v>#DIV/0!</v>
      </c>
      <c r="H62" s="39" t="e">
        <f t="shared" si="769"/>
        <v>#DIV/0!</v>
      </c>
      <c r="I62" s="39" t="e">
        <f t="shared" si="769"/>
        <v>#DIV/0!</v>
      </c>
      <c r="J62" s="39" t="e">
        <f t="shared" si="769"/>
        <v>#DIV/0!</v>
      </c>
      <c r="K62" s="39" t="e">
        <f t="shared" si="769"/>
        <v>#DIV/0!</v>
      </c>
      <c r="L62" s="39" t="e">
        <f t="shared" si="769"/>
        <v>#DIV/0!</v>
      </c>
      <c r="M62" s="39" t="e">
        <f t="shared" si="769"/>
        <v>#DIV/0!</v>
      </c>
      <c r="N62" s="39" t="e">
        <f t="shared" si="769"/>
        <v>#DIV/0!</v>
      </c>
      <c r="O62" s="39" t="e">
        <f t="shared" si="769"/>
        <v>#DIV/0!</v>
      </c>
      <c r="P62" s="39" t="e">
        <f t="shared" si="769"/>
        <v>#DIV/0!</v>
      </c>
      <c r="Q62" s="39" t="e">
        <f t="shared" si="769"/>
        <v>#DIV/0!</v>
      </c>
      <c r="R62" s="39" t="e">
        <f t="shared" si="769"/>
        <v>#DIV/0!</v>
      </c>
      <c r="S62" s="39">
        <f t="shared" si="769"/>
        <v>1.565496424726134</v>
      </c>
      <c r="T62" s="39">
        <f t="shared" si="769"/>
        <v>0.22909721309223866</v>
      </c>
      <c r="U62" s="39">
        <f t="shared" si="769"/>
        <v>0.1561106660164413</v>
      </c>
      <c r="V62" s="39">
        <f t="shared" si="769"/>
        <v>-0.34948007778853213</v>
      </c>
      <c r="W62" s="39">
        <f t="shared" si="769"/>
        <v>-0.68435889595716315</v>
      </c>
      <c r="X62" s="39">
        <f t="shared" si="769"/>
        <v>-0.64142225227509642</v>
      </c>
      <c r="Y62" s="39">
        <f t="shared" si="769"/>
        <v>-1.6749669965844195E-2</v>
      </c>
      <c r="Z62" s="39">
        <f t="shared" si="769"/>
        <v>0.13182031550799317</v>
      </c>
      <c r="AA62" s="39">
        <f t="shared" ref="AA62" si="770">+AA41/AA141</f>
        <v>0.1663342552699148</v>
      </c>
      <c r="AB62" s="40">
        <f t="shared" si="769"/>
        <v>0.18122428354050535</v>
      </c>
      <c r="AC62" s="40">
        <f t="shared" si="769"/>
        <v>0.18185236072040453</v>
      </c>
      <c r="AD62" s="40">
        <f t="shared" si="769"/>
        <v>0.1747472493089548</v>
      </c>
      <c r="AE62" s="40">
        <f t="shared" si="769"/>
        <v>0.16771577616404357</v>
      </c>
      <c r="AF62" s="39"/>
      <c r="AG62" s="39"/>
      <c r="AH62" s="39"/>
      <c r="AI62" s="39"/>
      <c r="AJ62" s="39"/>
      <c r="AK62" s="39"/>
      <c r="AL62" s="39" t="e">
        <f t="shared" ref="AL62:BQ62" si="771">+SUM(AI41:AL41)/AL141</f>
        <v>#DIV/0!</v>
      </c>
      <c r="AM62" s="39" t="e">
        <f t="shared" si="771"/>
        <v>#DIV/0!</v>
      </c>
      <c r="AN62" s="39" t="e">
        <f t="shared" si="771"/>
        <v>#DIV/0!</v>
      </c>
      <c r="AO62" s="39" t="e">
        <f t="shared" si="771"/>
        <v>#DIV/0!</v>
      </c>
      <c r="AP62" s="39" t="e">
        <f t="shared" si="771"/>
        <v>#DIV/0!</v>
      </c>
      <c r="AQ62" s="39" t="e">
        <f t="shared" si="771"/>
        <v>#DIV/0!</v>
      </c>
      <c r="AR62" s="39" t="e">
        <f t="shared" si="771"/>
        <v>#DIV/0!</v>
      </c>
      <c r="AS62" s="39" t="e">
        <f t="shared" si="771"/>
        <v>#DIV/0!</v>
      </c>
      <c r="AT62" s="39" t="e">
        <f t="shared" si="771"/>
        <v>#DIV/0!</v>
      </c>
      <c r="AU62" s="39" t="e">
        <f t="shared" si="771"/>
        <v>#DIV/0!</v>
      </c>
      <c r="AV62" s="39" t="e">
        <f t="shared" si="771"/>
        <v>#DIV/0!</v>
      </c>
      <c r="AW62" s="39" t="e">
        <f t="shared" si="771"/>
        <v>#DIV/0!</v>
      </c>
      <c r="AX62" s="39" t="e">
        <f t="shared" si="771"/>
        <v>#DIV/0!</v>
      </c>
      <c r="AY62" s="39" t="e">
        <f t="shared" si="771"/>
        <v>#DIV/0!</v>
      </c>
      <c r="AZ62" s="39" t="e">
        <f t="shared" si="771"/>
        <v>#DIV/0!</v>
      </c>
      <c r="BA62" s="39" t="e">
        <f t="shared" si="771"/>
        <v>#DIV/0!</v>
      </c>
      <c r="BB62" s="39" t="e">
        <f t="shared" si="771"/>
        <v>#DIV/0!</v>
      </c>
      <c r="BC62" s="39" t="e">
        <f t="shared" si="771"/>
        <v>#DIV/0!</v>
      </c>
      <c r="BD62" s="39" t="e">
        <f t="shared" si="771"/>
        <v>#DIV/0!</v>
      </c>
      <c r="BE62" s="39" t="e">
        <f t="shared" si="771"/>
        <v>#DIV/0!</v>
      </c>
      <c r="BF62" s="39" t="e">
        <f t="shared" si="771"/>
        <v>#DIV/0!</v>
      </c>
      <c r="BG62" s="39" t="e">
        <f t="shared" si="771"/>
        <v>#DIV/0!</v>
      </c>
      <c r="BH62" s="39" t="e">
        <f t="shared" si="771"/>
        <v>#DIV/0!</v>
      </c>
      <c r="BI62" s="39">
        <f t="shared" si="771"/>
        <v>1.1187428222229236</v>
      </c>
      <c r="BJ62" s="39">
        <f t="shared" si="771"/>
        <v>0.17681908147889097</v>
      </c>
      <c r="BK62" s="39">
        <f t="shared" si="771"/>
        <v>0.1942846442693397</v>
      </c>
      <c r="BL62" s="39">
        <f t="shared" si="771"/>
        <v>0.20664100331286639</v>
      </c>
      <c r="BM62" s="39">
        <f t="shared" si="771"/>
        <v>0.14900623338064553</v>
      </c>
      <c r="BN62" s="39">
        <f t="shared" si="771"/>
        <v>0.12624573289675359</v>
      </c>
      <c r="BO62" s="39">
        <f t="shared" si="771"/>
        <v>0.1036466844785696</v>
      </c>
      <c r="BP62" s="39">
        <f t="shared" si="771"/>
        <v>7.5216223826860218E-2</v>
      </c>
      <c r="BQ62" s="39">
        <f t="shared" si="771"/>
        <v>7.6624998134616207E-2</v>
      </c>
      <c r="BR62" s="39">
        <f t="shared" ref="BR62:CW62" si="772">+SUM(BO41:BR41)/BR141</f>
        <v>-0.36002948149858333</v>
      </c>
      <c r="BS62" s="39">
        <f t="shared" si="772"/>
        <v>-0.499919048390015</v>
      </c>
      <c r="BT62" s="39">
        <f t="shared" si="772"/>
        <v>-0.74033973903581707</v>
      </c>
      <c r="BU62" s="39">
        <f t="shared" si="772"/>
        <v>-1.7827354195063951</v>
      </c>
      <c r="BV62" s="39">
        <f t="shared" si="772"/>
        <v>-0.69218951591853184</v>
      </c>
      <c r="BW62" s="39">
        <f t="shared" si="772"/>
        <v>-1.1841070741048449</v>
      </c>
      <c r="BX62" s="39">
        <f t="shared" si="772"/>
        <v>-0.75406587813272596</v>
      </c>
      <c r="BY62" s="39">
        <f t="shared" si="772"/>
        <v>-0.59183515376868845</v>
      </c>
      <c r="BZ62" s="39">
        <f t="shared" si="772"/>
        <v>-0.64502296227425104</v>
      </c>
      <c r="CA62" s="39">
        <f t="shared" si="772"/>
        <v>-0.49904715396800803</v>
      </c>
      <c r="CB62" s="39">
        <f t="shared" si="772"/>
        <v>-0.26506488792086386</v>
      </c>
      <c r="CC62" s="39">
        <f t="shared" si="772"/>
        <v>-0.24719160630115861</v>
      </c>
      <c r="CD62" s="39">
        <f t="shared" si="772"/>
        <v>-2.7401566003338759E-2</v>
      </c>
      <c r="CE62" s="39">
        <f t="shared" si="772"/>
        <v>1.5370579304388884E-2</v>
      </c>
      <c r="CF62" s="39">
        <f t="shared" si="772"/>
        <v>2.1481988768661763E-2</v>
      </c>
      <c r="CG62" s="39">
        <f t="shared" si="772"/>
        <v>6.8931785574540189E-2</v>
      </c>
      <c r="CH62" s="39">
        <f t="shared" si="772"/>
        <v>0.12256921186293188</v>
      </c>
      <c r="CI62" s="39">
        <f t="shared" si="772"/>
        <v>0.15268470300213718</v>
      </c>
      <c r="CJ62" s="39">
        <f t="shared" si="772"/>
        <v>0.1700157175674043</v>
      </c>
      <c r="CK62" s="39">
        <f t="shared" si="772"/>
        <v>0.16856300297318103</v>
      </c>
      <c r="CL62" s="39">
        <f t="shared" si="772"/>
        <v>0.16022412976165548</v>
      </c>
      <c r="CM62" s="40">
        <f t="shared" si="772"/>
        <v>0.15788004686951856</v>
      </c>
      <c r="CN62" s="40">
        <f t="shared" si="772"/>
        <v>0.19006037498855072</v>
      </c>
      <c r="CO62" s="40">
        <f t="shared" si="772"/>
        <v>0.20072180115021487</v>
      </c>
      <c r="CP62" s="40">
        <f t="shared" si="772"/>
        <v>0.1812242835405056</v>
      </c>
      <c r="CQ62" s="40">
        <f t="shared" si="772"/>
        <v>0.18458086557297468</v>
      </c>
      <c r="CR62" s="40">
        <f t="shared" si="772"/>
        <v>0.18922041093370409</v>
      </c>
      <c r="CS62" s="40">
        <f t="shared" si="772"/>
        <v>0.18702265831717271</v>
      </c>
      <c r="CT62" s="40">
        <f t="shared" si="772"/>
        <v>0.18185236072040467</v>
      </c>
      <c r="CU62" s="40">
        <f t="shared" si="772"/>
        <v>0.18097216035751176</v>
      </c>
      <c r="CV62" s="40">
        <f t="shared" si="772"/>
        <v>0.17962646713481489</v>
      </c>
      <c r="CW62" s="40">
        <f t="shared" si="772"/>
        <v>0.17722660689716394</v>
      </c>
      <c r="CX62" s="40">
        <f t="shared" ref="CX62:DB62" si="773">+SUM(CU41:CX41)/CX141</f>
        <v>0.17474724930895533</v>
      </c>
      <c r="CY62" s="40">
        <f t="shared" si="773"/>
        <v>0.17287948204584122</v>
      </c>
      <c r="CZ62" s="40">
        <f t="shared" si="773"/>
        <v>0.17107622261926722</v>
      </c>
      <c r="DA62" s="40">
        <f t="shared" si="773"/>
        <v>0.16936192307663389</v>
      </c>
      <c r="DB62" s="40">
        <f t="shared" si="773"/>
        <v>0.16771577616404348</v>
      </c>
      <c r="DE62" s="122"/>
      <c r="DF62" s="38">
        <v>0.16851188369927012</v>
      </c>
    </row>
    <row r="63" spans="1:110" s="1" customFormat="1" x14ac:dyDescent="0.2">
      <c r="A63" s="150" t="s">
        <v>488</v>
      </c>
      <c r="AB63" s="20"/>
      <c r="AC63" s="20"/>
      <c r="AD63" s="20"/>
      <c r="AE63" s="20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</row>
    <row r="64" spans="1:110" s="8" customFormat="1" x14ac:dyDescent="0.2">
      <c r="A64" s="12" t="s">
        <v>26</v>
      </c>
      <c r="AB64" s="58"/>
      <c r="AC64" s="58"/>
      <c r="AD64" s="58"/>
      <c r="AE64" s="58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E64" s="132"/>
    </row>
    <row r="65" spans="1:110" s="9" customFormat="1" x14ac:dyDescent="0.2">
      <c r="A65" s="9" t="s">
        <v>453</v>
      </c>
      <c r="N65" s="9">
        <f>N17-SUM(AI17:AL17)</f>
        <v>0</v>
      </c>
      <c r="O65" s="9">
        <f>O17-SUM(AM17:AP17)</f>
        <v>0</v>
      </c>
      <c r="P65" s="9">
        <f>P17-SUM(AQ17:AT17)</f>
        <v>0</v>
      </c>
      <c r="Q65" s="9">
        <f>Q17-SUM(AU17:AX17)</f>
        <v>0</v>
      </c>
      <c r="R65" s="9">
        <f>R17-SUM(AY17:BB17)</f>
        <v>0</v>
      </c>
      <c r="S65" s="9">
        <f>S17-SUM(BC17:BF17)</f>
        <v>6871.7079999999996</v>
      </c>
      <c r="T65" s="9">
        <f>T17-SUM(BG17:BJ17)</f>
        <v>1798.6229999999996</v>
      </c>
      <c r="U65" s="9">
        <f>U17-SUM(BK17:BN17)</f>
        <v>-1.0000000002037268E-3</v>
      </c>
      <c r="V65" s="9">
        <f>V17-SUM(BO17:BR17)</f>
        <v>0</v>
      </c>
      <c r="W65" s="9">
        <f>W17-SUM(BS17:BV17)</f>
        <v>0</v>
      </c>
      <c r="X65" s="9">
        <f>X17-SUM(BW17:BZ17)</f>
        <v>0</v>
      </c>
      <c r="Y65" s="9">
        <f>Y17-SUM(CA17:CD17)</f>
        <v>0</v>
      </c>
      <c r="Z65" s="9">
        <f>Z17-SUM(CE17:CH17)</f>
        <v>0</v>
      </c>
      <c r="AA65" s="9">
        <f>AA17-SUM(CF17:CI17)</f>
        <v>399.61999999999989</v>
      </c>
      <c r="AB65" s="15">
        <f>AB17-SUM(CM17:CP17)</f>
        <v>0</v>
      </c>
      <c r="AC65" s="15">
        <f>AC17-SUM(CQ17:CT17)</f>
        <v>0</v>
      </c>
      <c r="AD65" s="15">
        <f>AD17-SUM(CU17:CX17)</f>
        <v>0</v>
      </c>
      <c r="AE65" s="15">
        <f>AE17-SUM(CY17:DB17)</f>
        <v>0</v>
      </c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E65" s="133"/>
      <c r="DF65" s="9">
        <v>0</v>
      </c>
    </row>
    <row r="66" spans="1:110" s="9" customFormat="1" x14ac:dyDescent="0.2">
      <c r="A66" s="9" t="s">
        <v>454</v>
      </c>
      <c r="N66" s="9">
        <f>N23-SUM(AI23:AL23)</f>
        <v>0</v>
      </c>
      <c r="O66" s="9">
        <f>O23-SUM(AM23:AP23)</f>
        <v>0</v>
      </c>
      <c r="P66" s="9">
        <f>P23-SUM(AQ23:AT23)</f>
        <v>0</v>
      </c>
      <c r="Q66" s="9">
        <f>Q23-SUM(AU23:AX23)</f>
        <v>0</v>
      </c>
      <c r="R66" s="9">
        <f>R23-SUM(AY23:BB23)</f>
        <v>0</v>
      </c>
      <c r="S66" s="9">
        <f>S23-SUM(BC23:BF23)</f>
        <v>1486.3620000000001</v>
      </c>
      <c r="T66" s="9">
        <f>T23-SUM(BG23:BJ23)</f>
        <v>609.90199999999959</v>
      </c>
      <c r="U66" s="9">
        <f>U23-SUM(BK23:BN23)</f>
        <v>-1.1000000000422006E-2</v>
      </c>
      <c r="V66" s="9">
        <f>V23-SUM(BO23:BR23)</f>
        <v>0</v>
      </c>
      <c r="W66" s="9">
        <f>W23-SUM(BS23:BV23)</f>
        <v>0</v>
      </c>
      <c r="X66" s="9">
        <f>X23-SUM(BW23:BZ23)</f>
        <v>0</v>
      </c>
      <c r="Y66" s="9">
        <f>Y23-SUM(CA23:CD23)</f>
        <v>9.9999999997635314E-3</v>
      </c>
      <c r="Z66" s="9">
        <f>Z23-SUM(CE23:CH23)</f>
        <v>0</v>
      </c>
      <c r="AA66" s="9">
        <f>AA23-SUM(CF23:CI23)</f>
        <v>753.49000000000024</v>
      </c>
      <c r="AB66" s="15">
        <f>AB23-SUM(CM23:CP23)</f>
        <v>0</v>
      </c>
      <c r="AC66" s="15">
        <f>AC23-SUM(CQ23:CT23)</f>
        <v>0</v>
      </c>
      <c r="AD66" s="15">
        <f>AD23-SUM(CU23:CX23)</f>
        <v>0</v>
      </c>
      <c r="AE66" s="15">
        <f>AE23-SUM(CY23:DB23)</f>
        <v>0</v>
      </c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E66" s="133"/>
      <c r="DF66" s="9">
        <v>0</v>
      </c>
    </row>
    <row r="67" spans="1:110" s="9" customFormat="1" x14ac:dyDescent="0.2">
      <c r="A67" s="9" t="s">
        <v>455</v>
      </c>
      <c r="N67" s="9">
        <f>N35-SUM(AI35:AL35)</f>
        <v>0</v>
      </c>
      <c r="O67" s="9">
        <f>O35-SUM(AM35:AP35)</f>
        <v>0</v>
      </c>
      <c r="P67" s="9">
        <f>P35-SUM(AQ35:AT35)</f>
        <v>0</v>
      </c>
      <c r="Q67" s="9">
        <f>Q35-SUM(AU35:AX35)</f>
        <v>0</v>
      </c>
      <c r="R67" s="9">
        <f>R35-SUM(AY35:BB35)</f>
        <v>0</v>
      </c>
      <c r="S67" s="9">
        <f>S35-SUM(BC35:BF35)</f>
        <v>594.94600000000014</v>
      </c>
      <c r="T67" s="9">
        <f>T35-SUM(BG35:BJ35)</f>
        <v>160.79399999999976</v>
      </c>
      <c r="U67" s="9">
        <f>U35-SUM(BK35:BN35)</f>
        <v>68.57899999999961</v>
      </c>
      <c r="V67" s="9">
        <f>V35-SUM(BO35:BR35)</f>
        <v>11.879999999999939</v>
      </c>
      <c r="W67" s="9">
        <f>W35-SUM(BS35:BV35)</f>
        <v>10.499999999999659</v>
      </c>
      <c r="X67" s="9">
        <f>X35-SUM(BW35:BZ35)</f>
        <v>6.3899999999998727</v>
      </c>
      <c r="Y67" s="9">
        <f>Y35-SUM(CA35:CD35)</f>
        <v>15.239999999999839</v>
      </c>
      <c r="Z67" s="9">
        <f>Z35-SUM(CE35:CH35)</f>
        <v>17.539999999999736</v>
      </c>
      <c r="AA67" s="9">
        <f>AA35-SUM(CF35:CI35)</f>
        <v>5.670000000000357</v>
      </c>
      <c r="AB67" s="15">
        <f>AB35-SUM(CM35:CP35)</f>
        <v>-5.6843418860808015E-13</v>
      </c>
      <c r="AC67" s="15">
        <f>AC35-SUM(CQ35:CT35)</f>
        <v>-4.5474735088646412E-13</v>
      </c>
      <c r="AD67" s="15">
        <f>AD35-SUM(CU35:CX35)</f>
        <v>-1.7053025658242404E-12</v>
      </c>
      <c r="AE67" s="15">
        <f>AE35-SUM(CY35:DB35)</f>
        <v>0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6.8212102632969618E-13</v>
      </c>
    </row>
    <row r="68" spans="1:110" s="9" customFormat="1" x14ac:dyDescent="0.2">
      <c r="A68" s="9" t="s">
        <v>456</v>
      </c>
      <c r="N68" s="9">
        <f>N55-SUM(AI55:AL55)</f>
        <v>0</v>
      </c>
      <c r="O68" s="9">
        <f>O55-SUM(AM55:AP55)</f>
        <v>0</v>
      </c>
      <c r="P68" s="9">
        <f>P55-SUM(AQ55:AT55)</f>
        <v>0</v>
      </c>
      <c r="Q68" s="9">
        <f>Q55-SUM(AU55:AX55)</f>
        <v>0</v>
      </c>
      <c r="R68" s="9">
        <f>R55-SUM(AY55:BB55)</f>
        <v>0</v>
      </c>
      <c r="S68" s="9">
        <f>S55-SUM(BC55:BF55)</f>
        <v>452.1760000000001</v>
      </c>
      <c r="T68" s="9">
        <f>T55-SUM(BG55:BJ55)</f>
        <v>95.230999999999767</v>
      </c>
      <c r="U68" s="9">
        <f>U55-SUM(BK55:BN55)</f>
        <v>-1.0000000003742571E-3</v>
      </c>
      <c r="V68" s="9">
        <f>V55-SUM(BO55:BR55)</f>
        <v>0</v>
      </c>
      <c r="W68" s="9">
        <f>W48-SUM(BS48:BV48)</f>
        <v>0</v>
      </c>
      <c r="X68" s="9">
        <f>X48-SUM(BW48:BZ48)</f>
        <v>0</v>
      </c>
      <c r="Y68" s="9">
        <f>Y48-SUM(CA48:CD48)</f>
        <v>2.9999999999859028E-2</v>
      </c>
      <c r="Z68" s="9">
        <f>Z48-SUM(CE48:CH48)</f>
        <v>-2.7000623958883807E-13</v>
      </c>
      <c r="AA68" s="9">
        <f>AA48-SUM(CF48:CI48)</f>
        <v>195.74000000000032</v>
      </c>
      <c r="AB68" s="15">
        <f>AB48-SUM(CM48:CP48)</f>
        <v>-5.1159076974727213E-13</v>
      </c>
      <c r="AC68" s="15">
        <f>AC48-SUM(CQ48:CT48)</f>
        <v>-4.5474735088646412E-13</v>
      </c>
      <c r="AD68" s="15">
        <f>AD48-SUM(CU48:CX48)</f>
        <v>-1.7053025658242404E-12</v>
      </c>
      <c r="AE68" s="15">
        <f>AE48-SUM(CY48:DB48)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6.8212102632969618E-13</v>
      </c>
    </row>
    <row r="69" spans="1:110" s="8" customFormat="1" x14ac:dyDescent="0.2">
      <c r="A69" s="149" t="s">
        <v>489</v>
      </c>
      <c r="AB69" s="58"/>
      <c r="AC69" s="58"/>
      <c r="AD69" s="58"/>
      <c r="AE69" s="58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E69" s="132"/>
    </row>
    <row r="70" spans="1:110" s="3" customFormat="1" x14ac:dyDescent="0.2">
      <c r="A70" s="3" t="s">
        <v>27</v>
      </c>
      <c r="B70" s="3">
        <f>'Annual Raw'!C104</f>
        <v>0</v>
      </c>
      <c r="C70" s="3">
        <f>'Annual Raw'!D104</f>
        <v>0</v>
      </c>
      <c r="D70" s="3">
        <f>'Annual Raw'!E104</f>
        <v>0</v>
      </c>
      <c r="E70" s="3">
        <f t="shared" ref="E70:Y70" ca="1" si="774">+F70</f>
        <v>0</v>
      </c>
      <c r="F70" s="3">
        <f t="shared" ca="1" si="774"/>
        <v>0</v>
      </c>
      <c r="G70" s="3">
        <f t="shared" ca="1" si="774"/>
        <v>0</v>
      </c>
      <c r="H70" s="3">
        <f t="shared" ca="1" si="774"/>
        <v>0</v>
      </c>
      <c r="I70" s="3">
        <f t="shared" ca="1" si="774"/>
        <v>0</v>
      </c>
      <c r="J70" s="3">
        <f t="shared" ca="1" si="774"/>
        <v>0</v>
      </c>
      <c r="K70" s="3">
        <f t="shared" ca="1" si="774"/>
        <v>0</v>
      </c>
      <c r="L70" s="3">
        <f t="shared" ca="1" si="774"/>
        <v>0</v>
      </c>
      <c r="M70" s="3">
        <f t="shared" ca="1" si="774"/>
        <v>0</v>
      </c>
      <c r="N70" s="3">
        <f t="shared" ca="1" si="774"/>
        <v>0</v>
      </c>
      <c r="O70" s="3">
        <f t="shared" ca="1" si="774"/>
        <v>0</v>
      </c>
      <c r="P70" s="3">
        <f t="shared" ca="1" si="774"/>
        <v>0</v>
      </c>
      <c r="Q70" s="3">
        <f t="shared" ca="1" si="774"/>
        <v>0</v>
      </c>
      <c r="R70" s="3">
        <f t="shared" ca="1" si="774"/>
        <v>0</v>
      </c>
      <c r="S70" s="3">
        <f t="shared" ca="1" si="774"/>
        <v>0</v>
      </c>
      <c r="T70" s="3">
        <f t="shared" ca="1" si="774"/>
        <v>0</v>
      </c>
      <c r="U70" s="3">
        <f t="shared" ca="1" si="774"/>
        <v>0</v>
      </c>
      <c r="V70" s="3">
        <f t="shared" ca="1" si="774"/>
        <v>0</v>
      </c>
      <c r="W70" s="3">
        <f t="shared" ca="1" si="774"/>
        <v>0</v>
      </c>
      <c r="X70" s="3">
        <f t="shared" ca="1" si="774"/>
        <v>0</v>
      </c>
      <c r="Y70" s="3">
        <f t="shared" ca="1" si="774"/>
        <v>0</v>
      </c>
      <c r="Z70" s="3">
        <f ca="1">+AA70</f>
        <v>0</v>
      </c>
      <c r="AA70" s="3">
        <f ca="1">+AB70</f>
        <v>0</v>
      </c>
      <c r="AB70" s="37">
        <f t="shared" ref="AB70:AB71" ca="1" si="775">AA70</f>
        <v>0</v>
      </c>
      <c r="AC70" s="37">
        <f t="shared" ref="AC70:AC71" ca="1" si="776">AB70</f>
        <v>0</v>
      </c>
      <c r="AD70" s="37">
        <f t="shared" ref="AD70:AD71" ca="1" si="777">AC70</f>
        <v>0</v>
      </c>
      <c r="AE70" s="37">
        <f t="shared" ref="AE70:AE71" ca="1" si="778">AD70</f>
        <v>0</v>
      </c>
      <c r="AI70" s="3">
        <f t="shared" ref="AI70:CH70" si="779">+AJ70</f>
        <v>23.35</v>
      </c>
      <c r="AJ70" s="3">
        <f t="shared" si="779"/>
        <v>23.35</v>
      </c>
      <c r="AK70" s="3">
        <f t="shared" si="779"/>
        <v>23.35</v>
      </c>
      <c r="AL70" s="3">
        <f t="shared" si="779"/>
        <v>23.35</v>
      </c>
      <c r="AM70" s="3">
        <f t="shared" si="779"/>
        <v>23.35</v>
      </c>
      <c r="AN70" s="3">
        <f t="shared" si="779"/>
        <v>23.35</v>
      </c>
      <c r="AO70" s="3">
        <f t="shared" si="779"/>
        <v>23.35</v>
      </c>
      <c r="AP70" s="3">
        <f t="shared" si="779"/>
        <v>23.35</v>
      </c>
      <c r="AQ70" s="3">
        <f t="shared" si="779"/>
        <v>23.35</v>
      </c>
      <c r="AR70" s="3">
        <f t="shared" si="779"/>
        <v>23.35</v>
      </c>
      <c r="AS70" s="3">
        <f t="shared" si="779"/>
        <v>23.35</v>
      </c>
      <c r="AT70" s="3">
        <f t="shared" si="779"/>
        <v>23.35</v>
      </c>
      <c r="AU70" s="3">
        <f t="shared" si="779"/>
        <v>23.35</v>
      </c>
      <c r="AV70" s="3">
        <f t="shared" si="779"/>
        <v>23.35</v>
      </c>
      <c r="AW70" s="3">
        <f t="shared" si="779"/>
        <v>23.35</v>
      </c>
      <c r="AX70" s="3">
        <f t="shared" si="779"/>
        <v>23.35</v>
      </c>
      <c r="AY70" s="3">
        <f t="shared" si="779"/>
        <v>23.35</v>
      </c>
      <c r="AZ70" s="3">
        <f t="shared" si="779"/>
        <v>23.35</v>
      </c>
      <c r="BA70" s="3">
        <f t="shared" si="779"/>
        <v>23.35</v>
      </c>
      <c r="BB70" s="3">
        <f t="shared" si="779"/>
        <v>23.35</v>
      </c>
      <c r="BC70" s="3">
        <f t="shared" si="779"/>
        <v>23.35</v>
      </c>
      <c r="BD70" s="3">
        <f t="shared" si="779"/>
        <v>23.35</v>
      </c>
      <c r="BE70" s="3">
        <f t="shared" si="779"/>
        <v>23.35</v>
      </c>
      <c r="BF70" s="3">
        <f t="shared" si="779"/>
        <v>23.35</v>
      </c>
      <c r="BG70" s="3">
        <f t="shared" si="779"/>
        <v>23.35</v>
      </c>
      <c r="BH70" s="3">
        <f t="shared" si="779"/>
        <v>23.35</v>
      </c>
      <c r="BI70" s="3">
        <f t="shared" si="779"/>
        <v>23.35</v>
      </c>
      <c r="BJ70" s="3">
        <f t="shared" si="779"/>
        <v>23.35</v>
      </c>
      <c r="BK70" s="3">
        <f t="shared" si="779"/>
        <v>23.35</v>
      </c>
      <c r="BL70" s="3">
        <f t="shared" si="779"/>
        <v>23.35</v>
      </c>
      <c r="BM70" s="3">
        <f t="shared" si="779"/>
        <v>23.35</v>
      </c>
      <c r="BN70" s="3">
        <f t="shared" si="779"/>
        <v>23.35</v>
      </c>
      <c r="BO70" s="3">
        <f t="shared" si="779"/>
        <v>23.35</v>
      </c>
      <c r="BP70" s="3">
        <f t="shared" si="779"/>
        <v>23.35</v>
      </c>
      <c r="BQ70" s="3">
        <f t="shared" si="779"/>
        <v>23.35</v>
      </c>
      <c r="BR70" s="3">
        <f t="shared" si="779"/>
        <v>23.35</v>
      </c>
      <c r="BS70" s="3">
        <f t="shared" si="779"/>
        <v>23.35</v>
      </c>
      <c r="BT70" s="3">
        <f t="shared" si="779"/>
        <v>23.35</v>
      </c>
      <c r="BU70" s="3">
        <f t="shared" si="779"/>
        <v>23.35</v>
      </c>
      <c r="BV70" s="3">
        <f t="shared" si="779"/>
        <v>23.35</v>
      </c>
      <c r="BW70" s="3">
        <f t="shared" si="779"/>
        <v>23.35</v>
      </c>
      <c r="BX70" s="3">
        <f t="shared" si="779"/>
        <v>23.35</v>
      </c>
      <c r="BY70" s="3">
        <f t="shared" si="779"/>
        <v>23.35</v>
      </c>
      <c r="BZ70" s="3">
        <f t="shared" si="779"/>
        <v>23.35</v>
      </c>
      <c r="CA70" s="3">
        <f t="shared" si="779"/>
        <v>23.35</v>
      </c>
      <c r="CB70" s="3">
        <f t="shared" si="779"/>
        <v>23.35</v>
      </c>
      <c r="CC70" s="3">
        <f t="shared" si="779"/>
        <v>23.35</v>
      </c>
      <c r="CD70" s="3">
        <f t="shared" si="779"/>
        <v>23.35</v>
      </c>
      <c r="CE70" s="3">
        <f t="shared" si="779"/>
        <v>23.35</v>
      </c>
      <c r="CF70" s="3">
        <f t="shared" si="779"/>
        <v>23.35</v>
      </c>
      <c r="CG70" s="3">
        <f t="shared" si="779"/>
        <v>23.35</v>
      </c>
      <c r="CH70" s="3">
        <f t="shared" si="779"/>
        <v>23.35</v>
      </c>
      <c r="CI70" s="3">
        <f>+CJ70</f>
        <v>23.35</v>
      </c>
      <c r="CJ70" s="3">
        <f>'QTR Raw'!BD45</f>
        <v>23.35</v>
      </c>
      <c r="CK70" s="3">
        <f>'QTR Raw'!BE45</f>
        <v>23.35</v>
      </c>
      <c r="CL70" s="3">
        <f>'QTR Raw'!BF45</f>
        <v>23.35</v>
      </c>
      <c r="CM70" s="37">
        <f t="shared" ref="CM70:CM71" si="780">+CL70</f>
        <v>23.35</v>
      </c>
      <c r="CN70" s="37">
        <f t="shared" ref="CN70:CN71" si="781">+CM70</f>
        <v>23.35</v>
      </c>
      <c r="CO70" s="37">
        <f t="shared" ref="CO70:CO71" si="782">+CN70</f>
        <v>23.35</v>
      </c>
      <c r="CP70" s="37">
        <f t="shared" ref="CP70:CP71" si="783">+CO70</f>
        <v>23.35</v>
      </c>
      <c r="CQ70" s="37">
        <f t="shared" ref="CQ70:CQ71" si="784">+CP70</f>
        <v>23.35</v>
      </c>
      <c r="CR70" s="37">
        <f t="shared" ref="CR70:CR71" si="785">+CQ70</f>
        <v>23.35</v>
      </c>
      <c r="CS70" s="37">
        <f t="shared" ref="CS70:CS71" si="786">+CR70</f>
        <v>23.35</v>
      </c>
      <c r="CT70" s="37">
        <f t="shared" ref="CT70:CT71" si="787">+CS70</f>
        <v>23.35</v>
      </c>
      <c r="CU70" s="37">
        <f t="shared" ref="CU70:CU71" si="788">+CT70</f>
        <v>23.35</v>
      </c>
      <c r="CV70" s="37">
        <f t="shared" ref="CV70:CV71" si="789">+CU70</f>
        <v>23.35</v>
      </c>
      <c r="CW70" s="37">
        <f t="shared" ref="CW70:CW71" si="790">+CV70</f>
        <v>23.35</v>
      </c>
      <c r="CX70" s="37">
        <f t="shared" ref="CX70:CX71" si="791">+CW70</f>
        <v>23.35</v>
      </c>
      <c r="CY70" s="37">
        <f t="shared" ref="CY70:CY71" si="792">+CX70</f>
        <v>23.35</v>
      </c>
      <c r="CZ70" s="37">
        <f t="shared" ref="CZ70:CZ71" si="793">+CY70</f>
        <v>23.35</v>
      </c>
      <c r="DA70" s="37">
        <f t="shared" ref="DA70:DA71" si="794">+CZ70</f>
        <v>23.35</v>
      </c>
      <c r="DB70" s="37">
        <f t="shared" ref="DB70:DB71" si="795">+DA70</f>
        <v>23.35</v>
      </c>
      <c r="DE70" s="134"/>
      <c r="DF70" s="3">
        <v>23.35</v>
      </c>
    </row>
    <row r="71" spans="1:110" s="3" customFormat="1" x14ac:dyDescent="0.2">
      <c r="A71" s="3" t="s">
        <v>28</v>
      </c>
      <c r="B71" s="3">
        <f>'Annual Raw'!C105</f>
        <v>0</v>
      </c>
      <c r="C71" s="3">
        <f>'Annual Raw'!D105</f>
        <v>0</v>
      </c>
      <c r="D71" s="3">
        <f>'Annual Raw'!E105</f>
        <v>0</v>
      </c>
      <c r="E71" s="3">
        <f t="shared" ref="E71:Y71" ca="1" si="796">+F71</f>
        <v>0</v>
      </c>
      <c r="F71" s="3">
        <f t="shared" ca="1" si="796"/>
        <v>0</v>
      </c>
      <c r="G71" s="3">
        <f t="shared" ca="1" si="796"/>
        <v>0</v>
      </c>
      <c r="H71" s="3">
        <f t="shared" ca="1" si="796"/>
        <v>0</v>
      </c>
      <c r="I71" s="3">
        <f t="shared" ca="1" si="796"/>
        <v>0</v>
      </c>
      <c r="J71" s="3">
        <f t="shared" ca="1" si="796"/>
        <v>0</v>
      </c>
      <c r="K71" s="3">
        <f t="shared" ca="1" si="796"/>
        <v>0</v>
      </c>
      <c r="L71" s="3">
        <f t="shared" ca="1" si="796"/>
        <v>0</v>
      </c>
      <c r="M71" s="3">
        <f t="shared" ca="1" si="796"/>
        <v>0</v>
      </c>
      <c r="N71" s="3">
        <f t="shared" ca="1" si="796"/>
        <v>0</v>
      </c>
      <c r="O71" s="3">
        <f t="shared" ca="1" si="796"/>
        <v>0</v>
      </c>
      <c r="P71" s="3">
        <f t="shared" ca="1" si="796"/>
        <v>0</v>
      </c>
      <c r="Q71" s="3">
        <f t="shared" ca="1" si="796"/>
        <v>0</v>
      </c>
      <c r="R71" s="3">
        <f t="shared" ca="1" si="796"/>
        <v>0</v>
      </c>
      <c r="S71" s="3">
        <f t="shared" ca="1" si="796"/>
        <v>0</v>
      </c>
      <c r="T71" s="3">
        <f t="shared" ca="1" si="796"/>
        <v>0</v>
      </c>
      <c r="U71" s="3">
        <f t="shared" ca="1" si="796"/>
        <v>0</v>
      </c>
      <c r="V71" s="3">
        <f t="shared" ca="1" si="796"/>
        <v>0</v>
      </c>
      <c r="W71" s="3">
        <f t="shared" ca="1" si="796"/>
        <v>0</v>
      </c>
      <c r="X71" s="3">
        <f t="shared" ca="1" si="796"/>
        <v>0</v>
      </c>
      <c r="Y71" s="3">
        <f t="shared" ca="1" si="796"/>
        <v>0</v>
      </c>
      <c r="Z71" s="3">
        <f ca="1">+AA71</f>
        <v>0</v>
      </c>
      <c r="AA71" s="3">
        <f ca="1">+AB71</f>
        <v>0</v>
      </c>
      <c r="AB71" s="37">
        <f t="shared" ca="1" si="775"/>
        <v>0</v>
      </c>
      <c r="AC71" s="37">
        <f t="shared" ca="1" si="776"/>
        <v>0</v>
      </c>
      <c r="AD71" s="37">
        <f t="shared" ca="1" si="777"/>
        <v>0</v>
      </c>
      <c r="AE71" s="37">
        <f t="shared" ca="1" si="778"/>
        <v>0</v>
      </c>
      <c r="AI71" s="3">
        <f t="shared" ref="AI71:CH71" si="797">AJ71</f>
        <v>1</v>
      </c>
      <c r="AJ71" s="3">
        <f t="shared" si="797"/>
        <v>1</v>
      </c>
      <c r="AK71" s="3">
        <f t="shared" si="797"/>
        <v>1</v>
      </c>
      <c r="AL71" s="3">
        <f t="shared" si="797"/>
        <v>1</v>
      </c>
      <c r="AM71" s="3">
        <f t="shared" si="797"/>
        <v>1</v>
      </c>
      <c r="AN71" s="3">
        <f t="shared" si="797"/>
        <v>1</v>
      </c>
      <c r="AO71" s="3">
        <f t="shared" si="797"/>
        <v>1</v>
      </c>
      <c r="AP71" s="3">
        <f t="shared" si="797"/>
        <v>1</v>
      </c>
      <c r="AQ71" s="3">
        <f t="shared" si="797"/>
        <v>1</v>
      </c>
      <c r="AR71" s="3">
        <f t="shared" si="797"/>
        <v>1</v>
      </c>
      <c r="AS71" s="3">
        <f t="shared" si="797"/>
        <v>1</v>
      </c>
      <c r="AT71" s="3">
        <f t="shared" si="797"/>
        <v>1</v>
      </c>
      <c r="AU71" s="3">
        <f t="shared" si="797"/>
        <v>1</v>
      </c>
      <c r="AV71" s="3">
        <f t="shared" si="797"/>
        <v>1</v>
      </c>
      <c r="AW71" s="3">
        <f t="shared" si="797"/>
        <v>1</v>
      </c>
      <c r="AX71" s="3">
        <f t="shared" si="797"/>
        <v>1</v>
      </c>
      <c r="AY71" s="3">
        <f t="shared" si="797"/>
        <v>1</v>
      </c>
      <c r="AZ71" s="3">
        <f t="shared" si="797"/>
        <v>1</v>
      </c>
      <c r="BA71" s="3">
        <f t="shared" si="797"/>
        <v>1</v>
      </c>
      <c r="BB71" s="3">
        <f t="shared" si="797"/>
        <v>1</v>
      </c>
      <c r="BC71" s="3">
        <f t="shared" si="797"/>
        <v>1</v>
      </c>
      <c r="BD71" s="3">
        <f t="shared" si="797"/>
        <v>1</v>
      </c>
      <c r="BE71" s="3">
        <f t="shared" si="797"/>
        <v>1</v>
      </c>
      <c r="BF71" s="3">
        <f t="shared" si="797"/>
        <v>1</v>
      </c>
      <c r="BG71" s="3">
        <f t="shared" si="797"/>
        <v>1</v>
      </c>
      <c r="BH71" s="3">
        <f t="shared" si="797"/>
        <v>1</v>
      </c>
      <c r="BI71" s="3">
        <f t="shared" si="797"/>
        <v>1</v>
      </c>
      <c r="BJ71" s="3">
        <f t="shared" si="797"/>
        <v>1</v>
      </c>
      <c r="BK71" s="3">
        <f t="shared" si="797"/>
        <v>1</v>
      </c>
      <c r="BL71" s="3">
        <f t="shared" si="797"/>
        <v>1</v>
      </c>
      <c r="BM71" s="3">
        <f t="shared" si="797"/>
        <v>1</v>
      </c>
      <c r="BN71" s="3">
        <f t="shared" si="797"/>
        <v>1</v>
      </c>
      <c r="BO71" s="3">
        <f t="shared" si="797"/>
        <v>1</v>
      </c>
      <c r="BP71" s="3">
        <f t="shared" si="797"/>
        <v>1</v>
      </c>
      <c r="BQ71" s="3">
        <f t="shared" si="797"/>
        <v>1</v>
      </c>
      <c r="BR71" s="3">
        <f t="shared" si="797"/>
        <v>1</v>
      </c>
      <c r="BS71" s="3">
        <f t="shared" si="797"/>
        <v>1</v>
      </c>
      <c r="BT71" s="3">
        <f t="shared" si="797"/>
        <v>1</v>
      </c>
      <c r="BU71" s="3">
        <f t="shared" si="797"/>
        <v>1</v>
      </c>
      <c r="BV71" s="3">
        <f t="shared" si="797"/>
        <v>1</v>
      </c>
      <c r="BW71" s="3">
        <f t="shared" si="797"/>
        <v>1</v>
      </c>
      <c r="BX71" s="3">
        <f t="shared" si="797"/>
        <v>1</v>
      </c>
      <c r="BY71" s="3">
        <f t="shared" si="797"/>
        <v>1</v>
      </c>
      <c r="BZ71" s="3">
        <f t="shared" si="797"/>
        <v>1</v>
      </c>
      <c r="CA71" s="3">
        <f t="shared" si="797"/>
        <v>1</v>
      </c>
      <c r="CB71" s="3">
        <f t="shared" si="797"/>
        <v>1</v>
      </c>
      <c r="CC71" s="3">
        <f t="shared" si="797"/>
        <v>1</v>
      </c>
      <c r="CD71" s="3">
        <f t="shared" si="797"/>
        <v>1</v>
      </c>
      <c r="CE71" s="3">
        <f t="shared" si="797"/>
        <v>1</v>
      </c>
      <c r="CF71" s="3">
        <f t="shared" si="797"/>
        <v>1</v>
      </c>
      <c r="CG71" s="3">
        <f t="shared" si="797"/>
        <v>1</v>
      </c>
      <c r="CH71" s="3">
        <f t="shared" si="797"/>
        <v>1</v>
      </c>
      <c r="CI71" s="3">
        <f>CJ71</f>
        <v>1</v>
      </c>
      <c r="CJ71" s="3">
        <f>'QTR Raw'!BD46</f>
        <v>1</v>
      </c>
      <c r="CK71" s="3">
        <f>'QTR Raw'!BE46</f>
        <v>1</v>
      </c>
      <c r="CL71" s="3">
        <f>'QTR Raw'!BF46</f>
        <v>1</v>
      </c>
      <c r="CM71" s="37">
        <f t="shared" si="780"/>
        <v>1</v>
      </c>
      <c r="CN71" s="37">
        <f t="shared" si="781"/>
        <v>1</v>
      </c>
      <c r="CO71" s="37">
        <f t="shared" si="782"/>
        <v>1</v>
      </c>
      <c r="CP71" s="37">
        <f t="shared" si="783"/>
        <v>1</v>
      </c>
      <c r="CQ71" s="37">
        <f t="shared" si="784"/>
        <v>1</v>
      </c>
      <c r="CR71" s="37">
        <f t="shared" si="785"/>
        <v>1</v>
      </c>
      <c r="CS71" s="37">
        <f t="shared" si="786"/>
        <v>1</v>
      </c>
      <c r="CT71" s="37">
        <f t="shared" si="787"/>
        <v>1</v>
      </c>
      <c r="CU71" s="37">
        <f t="shared" si="788"/>
        <v>1</v>
      </c>
      <c r="CV71" s="37">
        <f t="shared" si="789"/>
        <v>1</v>
      </c>
      <c r="CW71" s="37">
        <f t="shared" si="790"/>
        <v>1</v>
      </c>
      <c r="CX71" s="37">
        <f t="shared" si="791"/>
        <v>1</v>
      </c>
      <c r="CY71" s="37">
        <f t="shared" si="792"/>
        <v>1</v>
      </c>
      <c r="CZ71" s="37">
        <f t="shared" si="793"/>
        <v>1</v>
      </c>
      <c r="DA71" s="37">
        <f t="shared" si="794"/>
        <v>1</v>
      </c>
      <c r="DB71" s="37">
        <f t="shared" si="795"/>
        <v>1</v>
      </c>
      <c r="DE71" s="134"/>
      <c r="DF71" s="3">
        <v>1</v>
      </c>
    </row>
    <row r="72" spans="1:110" s="3" customFormat="1" x14ac:dyDescent="0.2">
      <c r="A72" s="3" t="s">
        <v>29</v>
      </c>
      <c r="B72" s="3" t="e">
        <f>B70/B71</f>
        <v>#DIV/0!</v>
      </c>
      <c r="C72" s="3" t="e">
        <f t="shared" ref="C72:W72" si="798">C70/C71</f>
        <v>#DIV/0!</v>
      </c>
      <c r="D72" s="3" t="e">
        <f t="shared" si="798"/>
        <v>#DIV/0!</v>
      </c>
      <c r="E72" s="3" t="e">
        <f t="shared" ca="1" si="798"/>
        <v>#DIV/0!</v>
      </c>
      <c r="F72" s="3" t="e">
        <f t="shared" ca="1" si="798"/>
        <v>#DIV/0!</v>
      </c>
      <c r="G72" s="3" t="e">
        <f t="shared" ca="1" si="798"/>
        <v>#DIV/0!</v>
      </c>
      <c r="H72" s="3" t="e">
        <f t="shared" ca="1" si="798"/>
        <v>#DIV/0!</v>
      </c>
      <c r="I72" s="3" t="e">
        <f t="shared" ca="1" si="798"/>
        <v>#DIV/0!</v>
      </c>
      <c r="J72" s="3" t="e">
        <f t="shared" ca="1" si="798"/>
        <v>#DIV/0!</v>
      </c>
      <c r="K72" s="3" t="e">
        <f t="shared" ca="1" si="798"/>
        <v>#DIV/0!</v>
      </c>
      <c r="L72" s="3" t="e">
        <f t="shared" ca="1" si="798"/>
        <v>#DIV/0!</v>
      </c>
      <c r="M72" s="3" t="e">
        <f t="shared" ca="1" si="798"/>
        <v>#DIV/0!</v>
      </c>
      <c r="N72" s="3" t="e">
        <f t="shared" ca="1" si="798"/>
        <v>#DIV/0!</v>
      </c>
      <c r="O72" s="3" t="e">
        <f t="shared" ca="1" si="798"/>
        <v>#DIV/0!</v>
      </c>
      <c r="P72" s="3" t="e">
        <f t="shared" ca="1" si="798"/>
        <v>#DIV/0!</v>
      </c>
      <c r="Q72" s="3" t="e">
        <f t="shared" ca="1" si="798"/>
        <v>#DIV/0!</v>
      </c>
      <c r="R72" s="3" t="e">
        <f t="shared" ca="1" si="798"/>
        <v>#DIV/0!</v>
      </c>
      <c r="S72" s="3" t="e">
        <f t="shared" ca="1" si="798"/>
        <v>#DIV/0!</v>
      </c>
      <c r="T72" s="3" t="e">
        <f t="shared" ca="1" si="798"/>
        <v>#DIV/0!</v>
      </c>
      <c r="U72" s="3" t="e">
        <f t="shared" ca="1" si="798"/>
        <v>#DIV/0!</v>
      </c>
      <c r="V72" s="3" t="e">
        <f ca="1">V70/V71</f>
        <v>#DIV/0!</v>
      </c>
      <c r="W72" s="3" t="e">
        <f t="shared" ca="1" si="798"/>
        <v>#DIV/0!</v>
      </c>
      <c r="X72" s="3" t="e">
        <f t="shared" ref="X72:Y72" ca="1" si="799">X70/X71</f>
        <v>#DIV/0!</v>
      </c>
      <c r="Y72" s="3" t="e">
        <f t="shared" ca="1" si="799"/>
        <v>#DIV/0!</v>
      </c>
      <c r="Z72" s="3" t="e">
        <f t="shared" ref="Z72:AA72" ca="1" si="800">Z70/Z71</f>
        <v>#DIV/0!</v>
      </c>
      <c r="AA72" s="3" t="e">
        <f t="shared" ca="1" si="800"/>
        <v>#DIV/0!</v>
      </c>
      <c r="AB72" s="37" t="e">
        <f t="shared" ref="AA72:AD72" ca="1" si="801">AB70/AB71</f>
        <v>#DIV/0!</v>
      </c>
      <c r="AC72" s="37" t="e">
        <f t="shared" ca="1" si="801"/>
        <v>#DIV/0!</v>
      </c>
      <c r="AD72" s="37" t="e">
        <f t="shared" ca="1" si="801"/>
        <v>#DIV/0!</v>
      </c>
      <c r="AE72" s="37" t="e">
        <f t="shared" ref="AE72" ca="1" si="802">AE70/AE71</f>
        <v>#DIV/0!</v>
      </c>
      <c r="AI72" s="3">
        <f t="shared" ref="AI72" si="803">AI70/AI71</f>
        <v>23.35</v>
      </c>
      <c r="AJ72" s="3">
        <f t="shared" ref="AJ72" si="804">AJ70/AJ71</f>
        <v>23.35</v>
      </c>
      <c r="AK72" s="3">
        <f t="shared" ref="AK72:AM72" si="805">AK70/AK71</f>
        <v>23.35</v>
      </c>
      <c r="AL72" s="3">
        <f t="shared" si="805"/>
        <v>23.35</v>
      </c>
      <c r="AM72" s="3">
        <f t="shared" si="805"/>
        <v>23.35</v>
      </c>
      <c r="AN72" s="3">
        <f t="shared" ref="AN72:AO72" si="806">AN70/AN71</f>
        <v>23.35</v>
      </c>
      <c r="AO72" s="3">
        <f t="shared" si="806"/>
        <v>23.35</v>
      </c>
      <c r="AP72" s="3">
        <f t="shared" ref="AP72:CD72" si="807">AP70/AP71</f>
        <v>23.35</v>
      </c>
      <c r="AQ72" s="3">
        <f t="shared" si="807"/>
        <v>23.35</v>
      </c>
      <c r="AR72" s="3">
        <f t="shared" si="807"/>
        <v>23.35</v>
      </c>
      <c r="AS72" s="3">
        <f t="shared" si="807"/>
        <v>23.35</v>
      </c>
      <c r="AT72" s="3">
        <f t="shared" si="807"/>
        <v>23.35</v>
      </c>
      <c r="AU72" s="3">
        <f t="shared" si="807"/>
        <v>23.35</v>
      </c>
      <c r="AV72" s="3">
        <f t="shared" si="807"/>
        <v>23.35</v>
      </c>
      <c r="AW72" s="3">
        <f t="shared" si="807"/>
        <v>23.35</v>
      </c>
      <c r="AX72" s="3">
        <f t="shared" si="807"/>
        <v>23.35</v>
      </c>
      <c r="AY72" s="3">
        <f t="shared" si="807"/>
        <v>23.35</v>
      </c>
      <c r="AZ72" s="3">
        <f t="shared" si="807"/>
        <v>23.35</v>
      </c>
      <c r="BA72" s="3">
        <f t="shared" si="807"/>
        <v>23.35</v>
      </c>
      <c r="BB72" s="3">
        <f t="shared" si="807"/>
        <v>23.35</v>
      </c>
      <c r="BC72" s="3">
        <f t="shared" si="807"/>
        <v>23.35</v>
      </c>
      <c r="BD72" s="3">
        <f t="shared" si="807"/>
        <v>23.35</v>
      </c>
      <c r="BE72" s="3">
        <f t="shared" si="807"/>
        <v>23.35</v>
      </c>
      <c r="BF72" s="3">
        <f t="shared" si="807"/>
        <v>23.35</v>
      </c>
      <c r="BG72" s="3">
        <f t="shared" si="807"/>
        <v>23.35</v>
      </c>
      <c r="BH72" s="3">
        <f t="shared" si="807"/>
        <v>23.35</v>
      </c>
      <c r="BI72" s="3">
        <f t="shared" si="807"/>
        <v>23.35</v>
      </c>
      <c r="BJ72" s="3">
        <f t="shared" si="807"/>
        <v>23.35</v>
      </c>
      <c r="BK72" s="3">
        <f t="shared" si="807"/>
        <v>23.35</v>
      </c>
      <c r="BL72" s="3">
        <f t="shared" si="807"/>
        <v>23.35</v>
      </c>
      <c r="BM72" s="3">
        <f t="shared" si="807"/>
        <v>23.35</v>
      </c>
      <c r="BN72" s="3">
        <f t="shared" si="807"/>
        <v>23.35</v>
      </c>
      <c r="BO72" s="3">
        <f t="shared" si="807"/>
        <v>23.35</v>
      </c>
      <c r="BP72" s="3">
        <f t="shared" si="807"/>
        <v>23.35</v>
      </c>
      <c r="BQ72" s="3">
        <f t="shared" si="807"/>
        <v>23.35</v>
      </c>
      <c r="BR72" s="3">
        <f t="shared" si="807"/>
        <v>23.35</v>
      </c>
      <c r="BS72" s="3">
        <f t="shared" si="807"/>
        <v>23.35</v>
      </c>
      <c r="BT72" s="3">
        <f t="shared" si="807"/>
        <v>23.35</v>
      </c>
      <c r="BU72" s="3">
        <f t="shared" si="807"/>
        <v>23.35</v>
      </c>
      <c r="BV72" s="3">
        <f t="shared" si="807"/>
        <v>23.35</v>
      </c>
      <c r="BW72" s="3">
        <f t="shared" si="807"/>
        <v>23.35</v>
      </c>
      <c r="BX72" s="3">
        <f t="shared" si="807"/>
        <v>23.35</v>
      </c>
      <c r="BY72" s="3">
        <f t="shared" si="807"/>
        <v>23.35</v>
      </c>
      <c r="BZ72" s="3">
        <f t="shared" si="807"/>
        <v>23.35</v>
      </c>
      <c r="CA72" s="3">
        <f t="shared" si="807"/>
        <v>23.35</v>
      </c>
      <c r="CB72" s="3">
        <f t="shared" si="807"/>
        <v>23.35</v>
      </c>
      <c r="CC72" s="3">
        <f t="shared" si="807"/>
        <v>23.35</v>
      </c>
      <c r="CD72" s="3">
        <f t="shared" si="807"/>
        <v>23.35</v>
      </c>
      <c r="CE72" s="3">
        <f t="shared" ref="CE72:CF72" si="808">CE70/CE71</f>
        <v>23.35</v>
      </c>
      <c r="CF72" s="3">
        <f t="shared" si="808"/>
        <v>23.35</v>
      </c>
      <c r="CG72" s="3">
        <f t="shared" ref="CG72:CH72" si="809">CG70/CG71</f>
        <v>23.35</v>
      </c>
      <c r="CH72" s="3">
        <f t="shared" si="809"/>
        <v>23.35</v>
      </c>
      <c r="CI72" s="3">
        <f t="shared" ref="CI72:CJ72" si="810">CI70/CI71</f>
        <v>23.35</v>
      </c>
      <c r="CJ72" s="3">
        <f t="shared" si="810"/>
        <v>23.35</v>
      </c>
      <c r="CK72" s="3">
        <f t="shared" ref="CK72:CL72" si="811">CK70/CK71</f>
        <v>23.35</v>
      </c>
      <c r="CL72" s="3">
        <f t="shared" si="811"/>
        <v>23.35</v>
      </c>
      <c r="CM72" s="37">
        <f t="shared" ref="CM72:DB72" si="812">CM70/CM71</f>
        <v>23.35</v>
      </c>
      <c r="CN72" s="37">
        <f t="shared" si="812"/>
        <v>23.35</v>
      </c>
      <c r="CO72" s="37">
        <f t="shared" si="812"/>
        <v>23.35</v>
      </c>
      <c r="CP72" s="37">
        <f t="shared" si="812"/>
        <v>23.35</v>
      </c>
      <c r="CQ72" s="37">
        <f t="shared" si="812"/>
        <v>23.35</v>
      </c>
      <c r="CR72" s="37">
        <f t="shared" si="812"/>
        <v>23.35</v>
      </c>
      <c r="CS72" s="37">
        <f t="shared" si="812"/>
        <v>23.35</v>
      </c>
      <c r="CT72" s="37">
        <f t="shared" si="812"/>
        <v>23.35</v>
      </c>
      <c r="CU72" s="37">
        <f t="shared" si="812"/>
        <v>23.35</v>
      </c>
      <c r="CV72" s="37">
        <f t="shared" si="812"/>
        <v>23.35</v>
      </c>
      <c r="CW72" s="37">
        <f t="shared" si="812"/>
        <v>23.35</v>
      </c>
      <c r="CX72" s="37">
        <f t="shared" si="812"/>
        <v>23.35</v>
      </c>
      <c r="CY72" s="37">
        <f t="shared" si="812"/>
        <v>23.35</v>
      </c>
      <c r="CZ72" s="37">
        <f t="shared" si="812"/>
        <v>23.35</v>
      </c>
      <c r="DA72" s="37">
        <f t="shared" si="812"/>
        <v>23.35</v>
      </c>
      <c r="DB72" s="37">
        <f t="shared" si="812"/>
        <v>23.35</v>
      </c>
      <c r="DE72" s="134"/>
      <c r="DF72" s="3">
        <v>23.35</v>
      </c>
    </row>
    <row r="73" spans="1:110" s="53" customFormat="1" x14ac:dyDescent="0.2">
      <c r="A73" s="53" t="s">
        <v>30</v>
      </c>
      <c r="B73" s="53" t="e">
        <f t="shared" ref="B73:AE73" si="813">(B55-B54)/B72</f>
        <v>#DIV/0!</v>
      </c>
      <c r="C73" s="53" t="e">
        <f t="shared" si="813"/>
        <v>#DIV/0!</v>
      </c>
      <c r="D73" s="53" t="e">
        <f t="shared" si="813"/>
        <v>#DIV/0!</v>
      </c>
      <c r="E73" s="53" t="e">
        <f t="shared" ca="1" si="813"/>
        <v>#DIV/0!</v>
      </c>
      <c r="F73" s="53" t="e">
        <f t="shared" ca="1" si="813"/>
        <v>#DIV/0!</v>
      </c>
      <c r="G73" s="53" t="e">
        <f t="shared" ca="1" si="813"/>
        <v>#DIV/0!</v>
      </c>
      <c r="H73" s="53" t="e">
        <f t="shared" ca="1" si="813"/>
        <v>#DIV/0!</v>
      </c>
      <c r="I73" s="53" t="e">
        <f t="shared" ca="1" si="813"/>
        <v>#DIV/0!</v>
      </c>
      <c r="J73" s="53" t="e">
        <f t="shared" ca="1" si="813"/>
        <v>#DIV/0!</v>
      </c>
      <c r="K73" s="53" t="e">
        <f t="shared" ca="1" si="813"/>
        <v>#DIV/0!</v>
      </c>
      <c r="L73" s="53" t="e">
        <f t="shared" ca="1" si="813"/>
        <v>#DIV/0!</v>
      </c>
      <c r="M73" s="53" t="e">
        <f t="shared" ca="1" si="813"/>
        <v>#DIV/0!</v>
      </c>
      <c r="N73" s="53" t="e">
        <f t="shared" ca="1" si="813"/>
        <v>#DIV/0!</v>
      </c>
      <c r="O73" s="53" t="e">
        <f t="shared" ca="1" si="813"/>
        <v>#DIV/0!</v>
      </c>
      <c r="P73" s="53" t="e">
        <f t="shared" ca="1" si="813"/>
        <v>#DIV/0!</v>
      </c>
      <c r="Q73" s="53" t="e">
        <f t="shared" ca="1" si="813"/>
        <v>#DIV/0!</v>
      </c>
      <c r="R73" s="53" t="e">
        <f t="shared" ca="1" si="813"/>
        <v>#DIV/0!</v>
      </c>
      <c r="S73" s="53" t="e">
        <f t="shared" ca="1" si="813"/>
        <v>#DIV/0!</v>
      </c>
      <c r="T73" s="53" t="e">
        <f t="shared" ca="1" si="813"/>
        <v>#DIV/0!</v>
      </c>
      <c r="U73" s="53" t="e">
        <f t="shared" ca="1" si="813"/>
        <v>#DIV/0!</v>
      </c>
      <c r="V73" s="53" t="e">
        <f t="shared" ca="1" si="813"/>
        <v>#DIV/0!</v>
      </c>
      <c r="W73" s="53" t="e">
        <f t="shared" ca="1" si="813"/>
        <v>#DIV/0!</v>
      </c>
      <c r="X73" s="53" t="e">
        <f t="shared" ca="1" si="813"/>
        <v>#DIV/0!</v>
      </c>
      <c r="Y73" s="53" t="e">
        <f t="shared" ca="1" si="813"/>
        <v>#DIV/0!</v>
      </c>
      <c r="Z73" s="53" t="e">
        <f t="shared" ca="1" si="813"/>
        <v>#DIV/0!</v>
      </c>
      <c r="AA73" s="53" t="e">
        <f t="shared" ref="AA73" ca="1" si="814">(AA55-AA54)/AA72</f>
        <v>#DIV/0!</v>
      </c>
      <c r="AB73" s="54" t="e">
        <f t="shared" ca="1" si="813"/>
        <v>#DIV/0!</v>
      </c>
      <c r="AC73" s="54" t="e">
        <f t="shared" ca="1" si="813"/>
        <v>#DIV/0!</v>
      </c>
      <c r="AD73" s="54" t="e">
        <f t="shared" ca="1" si="813"/>
        <v>#DIV/0!</v>
      </c>
      <c r="AE73" s="54" t="e">
        <f t="shared" ca="1" si="813"/>
        <v>#DIV/0!</v>
      </c>
      <c r="AI73" s="53">
        <f t="shared" ref="AI73:BN73" si="815">(AI55-AI54)/AI72</f>
        <v>0</v>
      </c>
      <c r="AJ73" s="53">
        <f t="shared" si="815"/>
        <v>0</v>
      </c>
      <c r="AK73" s="53">
        <f t="shared" si="815"/>
        <v>0</v>
      </c>
      <c r="AL73" s="53">
        <f t="shared" si="815"/>
        <v>0</v>
      </c>
      <c r="AM73" s="53">
        <f t="shared" si="815"/>
        <v>0</v>
      </c>
      <c r="AN73" s="53">
        <f t="shared" si="815"/>
        <v>0</v>
      </c>
      <c r="AO73" s="53">
        <f t="shared" si="815"/>
        <v>0</v>
      </c>
      <c r="AP73" s="53">
        <f t="shared" si="815"/>
        <v>0</v>
      </c>
      <c r="AQ73" s="53">
        <f t="shared" si="815"/>
        <v>0</v>
      </c>
      <c r="AR73" s="53">
        <f t="shared" si="815"/>
        <v>0</v>
      </c>
      <c r="AS73" s="53">
        <f t="shared" si="815"/>
        <v>0</v>
      </c>
      <c r="AT73" s="53">
        <f t="shared" si="815"/>
        <v>0</v>
      </c>
      <c r="AU73" s="53">
        <f t="shared" si="815"/>
        <v>0</v>
      </c>
      <c r="AV73" s="53">
        <f t="shared" si="815"/>
        <v>0</v>
      </c>
      <c r="AW73" s="53">
        <f t="shared" si="815"/>
        <v>0</v>
      </c>
      <c r="AX73" s="53">
        <f t="shared" si="815"/>
        <v>0</v>
      </c>
      <c r="AY73" s="53">
        <f t="shared" si="815"/>
        <v>0</v>
      </c>
      <c r="AZ73" s="53">
        <f t="shared" si="815"/>
        <v>0</v>
      </c>
      <c r="BA73" s="53">
        <f t="shared" si="815"/>
        <v>0</v>
      </c>
      <c r="BB73" s="53">
        <f t="shared" si="815"/>
        <v>0</v>
      </c>
      <c r="BC73" s="53">
        <f t="shared" si="815"/>
        <v>0</v>
      </c>
      <c r="BD73" s="53">
        <f t="shared" si="815"/>
        <v>0</v>
      </c>
      <c r="BE73" s="53">
        <f t="shared" si="815"/>
        <v>0</v>
      </c>
      <c r="BF73" s="53">
        <f t="shared" si="815"/>
        <v>0</v>
      </c>
      <c r="BG73" s="53">
        <f t="shared" si="815"/>
        <v>0</v>
      </c>
      <c r="BH73" s="53">
        <f t="shared" si="815"/>
        <v>2.4859528907922845</v>
      </c>
      <c r="BI73" s="53">
        <f t="shared" si="815"/>
        <v>8.1294218415417525</v>
      </c>
      <c r="BJ73" s="53">
        <f t="shared" si="815"/>
        <v>12.671905781584595</v>
      </c>
      <c r="BK73" s="53">
        <f t="shared" si="815"/>
        <v>2.0616702355460395</v>
      </c>
      <c r="BL73" s="53">
        <f t="shared" si="815"/>
        <v>3.4274089935760168</v>
      </c>
      <c r="BM73" s="53">
        <f t="shared" si="815"/>
        <v>2.1246680942184195</v>
      </c>
      <c r="BN73" s="53">
        <f t="shared" si="815"/>
        <v>5.6650963597430417</v>
      </c>
      <c r="BO73" s="53">
        <f t="shared" ref="BO73:CT73" si="816">(BO55-BO54)/BO72</f>
        <v>0.70321199143469382</v>
      </c>
      <c r="BP73" s="53">
        <f t="shared" si="816"/>
        <v>1.0029978586723824</v>
      </c>
      <c r="BQ73" s="53">
        <f t="shared" si="816"/>
        <v>0.92633832976445629</v>
      </c>
      <c r="BR73" s="53">
        <f t="shared" si="816"/>
        <v>-14.854389721627406</v>
      </c>
      <c r="BS73" s="53">
        <f t="shared" si="816"/>
        <v>-3.2599571734475332</v>
      </c>
      <c r="BT73" s="53">
        <f t="shared" si="816"/>
        <v>-12.189721627408987</v>
      </c>
      <c r="BU73" s="53">
        <f t="shared" si="816"/>
        <v>-18.090364025695937</v>
      </c>
      <c r="BV73" s="53">
        <f t="shared" si="816"/>
        <v>-5.408993576017135</v>
      </c>
      <c r="BW73" s="53">
        <f t="shared" si="816"/>
        <v>-15.156745182012843</v>
      </c>
      <c r="BX73" s="53">
        <f t="shared" si="816"/>
        <v>-12.717344753747319</v>
      </c>
      <c r="BY73" s="53">
        <f t="shared" si="816"/>
        <v>-4.3357601713062088</v>
      </c>
      <c r="BZ73" s="53">
        <f t="shared" si="816"/>
        <v>-17.877944325481792</v>
      </c>
      <c r="CA73" s="53">
        <f t="shared" si="816"/>
        <v>-4.0886509635974271</v>
      </c>
      <c r="CB73" s="53">
        <f t="shared" si="816"/>
        <v>-2.3233404710920786</v>
      </c>
      <c r="CC73" s="53">
        <f t="shared" si="816"/>
        <v>-2.7267665952890794</v>
      </c>
      <c r="CD73" s="53">
        <f t="shared" si="816"/>
        <v>6.1670235546036963E-2</v>
      </c>
      <c r="CE73" s="53">
        <f t="shared" si="816"/>
        <v>0.17944325481798259</v>
      </c>
      <c r="CF73" s="53">
        <f t="shared" si="816"/>
        <v>0.30192719486081526</v>
      </c>
      <c r="CG73" s="53">
        <f t="shared" si="816"/>
        <v>0.6351177730192733</v>
      </c>
      <c r="CH73" s="53">
        <f t="shared" si="816"/>
        <v>2.371734475374744</v>
      </c>
      <c r="CI73" s="53">
        <f t="shared" si="816"/>
        <v>1.3691648822269822</v>
      </c>
      <c r="CJ73" s="53">
        <f t="shared" si="816"/>
        <v>4.5781584582441051</v>
      </c>
      <c r="CK73" s="53">
        <f t="shared" ref="CK73:CL73" si="817">(CK55-CK54)/CK72</f>
        <v>1.202141327623133</v>
      </c>
      <c r="CL73" s="53">
        <f t="shared" si="817"/>
        <v>5.7631691648822212</v>
      </c>
      <c r="CM73" s="54">
        <f t="shared" si="816"/>
        <v>3.6096442661551036</v>
      </c>
      <c r="CN73" s="54">
        <f t="shared" si="816"/>
        <v>3.5481690828487564</v>
      </c>
      <c r="CO73" s="54">
        <f t="shared" si="816"/>
        <v>4.2422331206132462</v>
      </c>
      <c r="CP73" s="54">
        <f t="shared" si="816"/>
        <v>5.0276048614908389</v>
      </c>
      <c r="CQ73" s="54">
        <f t="shared" si="816"/>
        <v>4.9473025452026755</v>
      </c>
      <c r="CR73" s="54">
        <f t="shared" si="816"/>
        <v>4.5544367627133351</v>
      </c>
      <c r="CS73" s="54">
        <f t="shared" si="816"/>
        <v>4.8328942929866345</v>
      </c>
      <c r="CT73" s="54">
        <f t="shared" si="816"/>
        <v>5.3499383143134187</v>
      </c>
      <c r="CU73" s="54">
        <f t="shared" ref="CU73:DB73" si="818">(CU55-CU54)/CU72</f>
        <v>5.7627814303035461</v>
      </c>
      <c r="CV73" s="54">
        <f t="shared" si="818"/>
        <v>5.1310499199746573</v>
      </c>
      <c r="CW73" s="54">
        <f t="shared" si="818"/>
        <v>5.3332479947232825</v>
      </c>
      <c r="CX73" s="54">
        <f t="shared" si="818"/>
        <v>5.9025287730947307</v>
      </c>
      <c r="CY73" s="54">
        <f t="shared" si="818"/>
        <v>6.459627386124283</v>
      </c>
      <c r="CZ73" s="54">
        <f t="shared" si="818"/>
        <v>5.6834728435311206</v>
      </c>
      <c r="DA73" s="54">
        <f t="shared" si="818"/>
        <v>5.9024790205176947</v>
      </c>
      <c r="DB73" s="54">
        <f t="shared" si="818"/>
        <v>6.5700769040417324</v>
      </c>
      <c r="DE73" s="132"/>
      <c r="DF73" s="53">
        <v>3.7377680765246519</v>
      </c>
    </row>
    <row r="74" spans="1:110" s="3" customFormat="1" x14ac:dyDescent="0.2">
      <c r="A74" s="3" t="s">
        <v>31</v>
      </c>
      <c r="B74" s="3">
        <f>'Annual Raw'!C110</f>
        <v>0</v>
      </c>
      <c r="C74" s="3">
        <f>'Annual Raw'!D110</f>
        <v>0</v>
      </c>
      <c r="D74" s="3">
        <f>'Annual Raw'!E110</f>
        <v>0</v>
      </c>
      <c r="E74" s="3">
        <f>'Annual Raw'!F110</f>
        <v>0</v>
      </c>
      <c r="F74" s="3">
        <f>'Annual Raw'!G110</f>
        <v>0</v>
      </c>
      <c r="G74" s="3">
        <f>'Annual Raw'!H110</f>
        <v>0</v>
      </c>
      <c r="H74" s="3">
        <f>'Annual Raw'!I110</f>
        <v>0</v>
      </c>
      <c r="I74" s="3">
        <f>'Annual Raw'!J110</f>
        <v>0</v>
      </c>
      <c r="J74" s="3">
        <f>'Annual Raw'!K110</f>
        <v>0</v>
      </c>
      <c r="K74" s="3">
        <f>'Annual Raw'!L110</f>
        <v>0</v>
      </c>
      <c r="L74" s="3">
        <f>'Annual Raw'!M110</f>
        <v>0</v>
      </c>
      <c r="M74" s="3">
        <f>'Annual Raw'!N110</f>
        <v>0</v>
      </c>
      <c r="N74" s="3">
        <f>'Annual Raw'!O110</f>
        <v>0</v>
      </c>
      <c r="O74" s="3">
        <f>'Annual Raw'!P110</f>
        <v>0</v>
      </c>
      <c r="P74" s="3">
        <f>'Annual Raw'!Q110</f>
        <v>0</v>
      </c>
      <c r="Q74" s="3">
        <f>'Annual Raw'!R110</f>
        <v>0</v>
      </c>
      <c r="R74" s="3">
        <f>'Annual Raw'!S110</f>
        <v>0</v>
      </c>
      <c r="S74" s="3">
        <f>'Annual Raw'!T110</f>
        <v>0</v>
      </c>
      <c r="T74" s="3">
        <f>'Annual Raw'!U110</f>
        <v>0</v>
      </c>
      <c r="U74" s="3">
        <f>'Annual Raw'!V110</f>
        <v>6</v>
      </c>
      <c r="V74" s="3">
        <f>'Annual Raw'!W110</f>
        <v>0</v>
      </c>
      <c r="W74" s="3">
        <f>'Annual Raw'!X110</f>
        <v>0</v>
      </c>
      <c r="X74" s="3">
        <f>'Annual Raw'!Y110</f>
        <v>0</v>
      </c>
      <c r="Y74" s="3">
        <f>'Annual Raw'!Z110</f>
        <v>0</v>
      </c>
      <c r="Z74" s="3">
        <f>'Annual Raw'!AA110</f>
        <v>0</v>
      </c>
      <c r="AA74" s="3">
        <f>'Annual Raw'!AB110</f>
        <v>0</v>
      </c>
      <c r="AB74" s="37"/>
      <c r="AC74" s="37"/>
      <c r="AD74" s="37"/>
      <c r="AE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75" s="3" t="s">
        <v>32</v>
      </c>
      <c r="B75" s="3" t="e">
        <f>B74/B73</f>
        <v>#DIV/0!</v>
      </c>
      <c r="C75" s="3" t="e">
        <f t="shared" ref="C75:U75" si="819">C74/C73</f>
        <v>#DIV/0!</v>
      </c>
      <c r="D75" s="3" t="e">
        <f t="shared" si="819"/>
        <v>#DIV/0!</v>
      </c>
      <c r="E75" s="3" t="e">
        <f t="shared" ca="1" si="819"/>
        <v>#DIV/0!</v>
      </c>
      <c r="F75" s="3" t="e">
        <f t="shared" ca="1" si="819"/>
        <v>#DIV/0!</v>
      </c>
      <c r="G75" s="3" t="e">
        <f t="shared" ca="1" si="819"/>
        <v>#DIV/0!</v>
      </c>
      <c r="H75" s="3" t="e">
        <f t="shared" ca="1" si="819"/>
        <v>#DIV/0!</v>
      </c>
      <c r="I75" s="3" t="e">
        <f t="shared" ca="1" si="819"/>
        <v>#DIV/0!</v>
      </c>
      <c r="J75" s="3" t="e">
        <f t="shared" ca="1" si="819"/>
        <v>#DIV/0!</v>
      </c>
      <c r="K75" s="3" t="e">
        <f t="shared" ca="1" si="819"/>
        <v>#DIV/0!</v>
      </c>
      <c r="L75" s="3" t="e">
        <f t="shared" ca="1" si="819"/>
        <v>#DIV/0!</v>
      </c>
      <c r="M75" s="3" t="e">
        <f t="shared" ca="1" si="819"/>
        <v>#DIV/0!</v>
      </c>
      <c r="N75" s="3" t="e">
        <f t="shared" ca="1" si="819"/>
        <v>#DIV/0!</v>
      </c>
      <c r="O75" s="3" t="e">
        <f t="shared" ca="1" si="819"/>
        <v>#DIV/0!</v>
      </c>
      <c r="P75" s="3" t="e">
        <f t="shared" ca="1" si="819"/>
        <v>#DIV/0!</v>
      </c>
      <c r="Q75" s="3" t="e">
        <f t="shared" ca="1" si="819"/>
        <v>#DIV/0!</v>
      </c>
      <c r="R75" s="3" t="e">
        <f t="shared" ca="1" si="819"/>
        <v>#DIV/0!</v>
      </c>
      <c r="S75" s="3" t="e">
        <f t="shared" ca="1" si="819"/>
        <v>#DIV/0!</v>
      </c>
      <c r="T75" s="3" t="e">
        <f t="shared" ca="1" si="819"/>
        <v>#DIV/0!</v>
      </c>
      <c r="U75" s="3" t="e">
        <f t="shared" ca="1" si="819"/>
        <v>#DIV/0!</v>
      </c>
      <c r="V75" s="3" t="e">
        <f ca="1">V74/V73</f>
        <v>#DIV/0!</v>
      </c>
      <c r="W75" s="3" t="e">
        <f t="shared" ref="W75" ca="1" si="820">W74/W73</f>
        <v>#DIV/0!</v>
      </c>
      <c r="X75" s="3" t="e">
        <f t="shared" ref="X75:Y75" ca="1" si="821">X74/X73</f>
        <v>#DIV/0!</v>
      </c>
      <c r="Y75" s="3" t="e">
        <f t="shared" ca="1" si="821"/>
        <v>#DIV/0!</v>
      </c>
      <c r="Z75" s="3" t="e">
        <f t="shared" ref="Z75:AA75" ca="1" si="822">Z74/Z73</f>
        <v>#DIV/0!</v>
      </c>
      <c r="AA75" s="3" t="e">
        <f t="shared" ca="1" si="822"/>
        <v>#DIV/0!</v>
      </c>
      <c r="AB75" s="37" t="e">
        <f t="shared" ref="AA75:AD75" ca="1" si="823">AB74/AB73</f>
        <v>#DIV/0!</v>
      </c>
      <c r="AC75" s="37" t="e">
        <f t="shared" ca="1" si="823"/>
        <v>#DIV/0!</v>
      </c>
      <c r="AD75" s="37" t="e">
        <f t="shared" ca="1" si="823"/>
        <v>#DIV/0!</v>
      </c>
      <c r="AE75" s="37" t="e">
        <f t="shared" ref="AE75" ca="1" si="824">AE74/AE73</f>
        <v>#DIV/0!</v>
      </c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  <c r="DF75" s="3">
        <v>0</v>
      </c>
    </row>
    <row r="76" spans="1:110" s="3" customFormat="1" x14ac:dyDescent="0.2">
      <c r="A76" s="3" t="s">
        <v>33</v>
      </c>
      <c r="B76" s="3" t="e">
        <f>+B73</f>
        <v>#DIV/0!</v>
      </c>
      <c r="C76" s="3" t="e">
        <f t="shared" ref="C76:U76" si="825">+C73</f>
        <v>#DIV/0!</v>
      </c>
      <c r="D76" s="3" t="e">
        <f t="shared" si="825"/>
        <v>#DIV/0!</v>
      </c>
      <c r="E76" s="3" t="e">
        <f t="shared" ca="1" si="825"/>
        <v>#DIV/0!</v>
      </c>
      <c r="F76" s="3" t="e">
        <f t="shared" ca="1" si="825"/>
        <v>#DIV/0!</v>
      </c>
      <c r="G76" s="3" t="e">
        <f t="shared" ca="1" si="825"/>
        <v>#DIV/0!</v>
      </c>
      <c r="H76" s="3" t="e">
        <f t="shared" ca="1" si="825"/>
        <v>#DIV/0!</v>
      </c>
      <c r="I76" s="3" t="e">
        <f t="shared" ca="1" si="825"/>
        <v>#DIV/0!</v>
      </c>
      <c r="J76" s="3" t="e">
        <f t="shared" ca="1" si="825"/>
        <v>#DIV/0!</v>
      </c>
      <c r="K76" s="3" t="e">
        <f t="shared" ca="1" si="825"/>
        <v>#DIV/0!</v>
      </c>
      <c r="L76" s="3" t="e">
        <f t="shared" ca="1" si="825"/>
        <v>#DIV/0!</v>
      </c>
      <c r="M76" s="3" t="e">
        <f t="shared" ca="1" si="825"/>
        <v>#DIV/0!</v>
      </c>
      <c r="N76" s="3" t="e">
        <f t="shared" ca="1" si="825"/>
        <v>#DIV/0!</v>
      </c>
      <c r="O76" s="3" t="e">
        <f t="shared" ca="1" si="825"/>
        <v>#DIV/0!</v>
      </c>
      <c r="P76" s="3" t="e">
        <f t="shared" ca="1" si="825"/>
        <v>#DIV/0!</v>
      </c>
      <c r="Q76" s="3" t="e">
        <f t="shared" ca="1" si="825"/>
        <v>#DIV/0!</v>
      </c>
      <c r="R76" s="3" t="e">
        <f t="shared" ca="1" si="825"/>
        <v>#DIV/0!</v>
      </c>
      <c r="S76" s="3" t="e">
        <f t="shared" ca="1" si="825"/>
        <v>#DIV/0!</v>
      </c>
      <c r="T76" s="3" t="e">
        <f ca="1">+T73</f>
        <v>#DIV/0!</v>
      </c>
      <c r="U76" s="3" t="e">
        <f t="shared" ca="1" si="825"/>
        <v>#DIV/0!</v>
      </c>
      <c r="V76" s="3" t="e">
        <f ca="1">+V73</f>
        <v>#DIV/0!</v>
      </c>
      <c r="W76" s="3" t="e">
        <f t="shared" ref="W76" ca="1" si="826">+W73</f>
        <v>#DIV/0!</v>
      </c>
      <c r="X76" s="3" t="e">
        <f t="shared" ref="X76:Y76" ca="1" si="827">+X73</f>
        <v>#DIV/0!</v>
      </c>
      <c r="Y76" s="3" t="e">
        <f t="shared" ca="1" si="827"/>
        <v>#DIV/0!</v>
      </c>
      <c r="Z76" s="3" t="e">
        <f t="shared" ref="Z76:AA76" ca="1" si="828">+Z73</f>
        <v>#DIV/0!</v>
      </c>
      <c r="AA76" s="3" t="e">
        <f t="shared" ca="1" si="828"/>
        <v>#DIV/0!</v>
      </c>
      <c r="AB76" s="37" t="e">
        <f t="shared" ref="AA76:AD76" ca="1" si="829">+AB73</f>
        <v>#DIV/0!</v>
      </c>
      <c r="AC76" s="37" t="e">
        <f t="shared" ca="1" si="829"/>
        <v>#DIV/0!</v>
      </c>
      <c r="AD76" s="37" t="e">
        <f t="shared" ca="1" si="829"/>
        <v>#DIV/0!</v>
      </c>
      <c r="AE76" s="37" t="e">
        <f t="shared" ref="AE76" ca="1" si="830">+AE73</f>
        <v>#DIV/0!</v>
      </c>
      <c r="AL76" s="3">
        <f>SUM(AI73:AL73)</f>
        <v>0</v>
      </c>
      <c r="AM76" s="3">
        <f t="shared" ref="AM76" si="831">SUM(AJ73:AM73)</f>
        <v>0</v>
      </c>
      <c r="AN76" s="3">
        <f t="shared" ref="AN76" si="832">SUM(AK73:AN73)</f>
        <v>0</v>
      </c>
      <c r="AO76" s="3">
        <f t="shared" ref="AO76" si="833">SUM(AL73:AO73)</f>
        <v>0</v>
      </c>
      <c r="AP76" s="3">
        <f t="shared" ref="AP76" si="834">SUM(AM73:AP73)</f>
        <v>0</v>
      </c>
      <c r="AQ76" s="3">
        <f t="shared" ref="AQ76" si="835">SUM(AN73:AQ73)</f>
        <v>0</v>
      </c>
      <c r="AR76" s="3">
        <f t="shared" ref="AR76" si="836">SUM(AO73:AR73)</f>
        <v>0</v>
      </c>
      <c r="AS76" s="3">
        <f t="shared" ref="AS76" si="837">SUM(AP73:AS73)</f>
        <v>0</v>
      </c>
      <c r="AT76" s="3">
        <f t="shared" ref="AT76" si="838">SUM(AQ73:AT73)</f>
        <v>0</v>
      </c>
      <c r="AU76" s="3">
        <f t="shared" ref="AU76" si="839">SUM(AR73:AU73)</f>
        <v>0</v>
      </c>
      <c r="AV76" s="3">
        <f t="shared" ref="AV76" si="840">SUM(AS73:AV73)</f>
        <v>0</v>
      </c>
      <c r="AW76" s="3">
        <f t="shared" ref="AW76" si="841">SUM(AT73:AW73)</f>
        <v>0</v>
      </c>
      <c r="AX76" s="3">
        <f t="shared" ref="AX76" si="842">SUM(AU73:AX73)</f>
        <v>0</v>
      </c>
      <c r="AY76" s="3">
        <f t="shared" ref="AY76" si="843">SUM(AV73:AY73)</f>
        <v>0</v>
      </c>
      <c r="AZ76" s="3">
        <f t="shared" ref="AZ76" si="844">SUM(AW73:AZ73)</f>
        <v>0</v>
      </c>
      <c r="BA76" s="3">
        <f t="shared" ref="BA76" si="845">SUM(AX73:BA73)</f>
        <v>0</v>
      </c>
      <c r="BB76" s="3">
        <f t="shared" ref="BB76" si="846">SUM(AY73:BB73)</f>
        <v>0</v>
      </c>
      <c r="BC76" s="3">
        <f t="shared" ref="BC76" si="847">SUM(AZ73:BC73)</f>
        <v>0</v>
      </c>
      <c r="BD76" s="3">
        <f t="shared" ref="BD76" si="848">SUM(BA73:BD73)</f>
        <v>0</v>
      </c>
      <c r="BE76" s="3">
        <f t="shared" ref="BE76" si="849">SUM(BB73:BE73)</f>
        <v>0</v>
      </c>
      <c r="BF76" s="3">
        <f t="shared" ref="BF76" si="850">SUM(BC73:BF73)</f>
        <v>0</v>
      </c>
      <c r="BG76" s="3">
        <f t="shared" ref="BG76" si="851">SUM(BD73:BG73)</f>
        <v>0</v>
      </c>
      <c r="BH76" s="3">
        <f t="shared" ref="BH76" si="852">SUM(BE73:BH73)</f>
        <v>2.4859528907922845</v>
      </c>
      <c r="BI76" s="3">
        <f t="shared" ref="BI76" si="853">SUM(BF73:BI73)</f>
        <v>10.615374732334036</v>
      </c>
      <c r="BJ76" s="3">
        <f t="shared" ref="BJ76" si="854">SUM(BG73:BJ73)</f>
        <v>23.287280513918631</v>
      </c>
      <c r="BK76" s="3">
        <f t="shared" ref="BK76" si="855">SUM(BH73:BK73)</f>
        <v>25.34895074946467</v>
      </c>
      <c r="BL76" s="3">
        <f t="shared" ref="BL76" si="856">SUM(BI73:BL73)</f>
        <v>26.290406852248402</v>
      </c>
      <c r="BM76" s="3">
        <f t="shared" ref="BM76" si="857">SUM(BJ73:BM73)</f>
        <v>20.285653104925068</v>
      </c>
      <c r="BN76" s="3">
        <f t="shared" ref="BN76" si="858">SUM(BK73:BN73)</f>
        <v>13.278843683083519</v>
      </c>
      <c r="BO76" s="3">
        <f t="shared" ref="BO76" si="859">SUM(BL73:BO73)</f>
        <v>11.920385438972172</v>
      </c>
      <c r="BP76" s="3">
        <f t="shared" ref="BP76" si="860">SUM(BM73:BP73)</f>
        <v>9.495974304068536</v>
      </c>
      <c r="BQ76" s="3">
        <f t="shared" ref="BQ76" si="861">SUM(BN73:BQ73)</f>
        <v>8.2976445396145753</v>
      </c>
      <c r="BR76" s="3">
        <f t="shared" ref="BR76" si="862">SUM(BO73:BR73)</f>
        <v>-12.221841541755873</v>
      </c>
      <c r="BS76" s="3">
        <f t="shared" ref="BS76" si="863">SUM(BP73:BS73)</f>
        <v>-16.185010706638099</v>
      </c>
      <c r="BT76" s="3">
        <f t="shared" ref="BT76" si="864">SUM(BQ73:BT73)</f>
        <v>-29.377730192719469</v>
      </c>
      <c r="BU76" s="3">
        <f t="shared" ref="BU76" si="865">SUM(BR73:BU73)</f>
        <v>-48.394432548179864</v>
      </c>
      <c r="BV76" s="3">
        <f t="shared" ref="BV76" si="866">SUM(BS73:BV73)</f>
        <v>-38.94903640256959</v>
      </c>
      <c r="BW76" s="3">
        <f t="shared" ref="BW76" si="867">SUM(BT73:BW73)</f>
        <v>-50.845824411134899</v>
      </c>
      <c r="BX76" s="3">
        <f t="shared" ref="BX76" si="868">SUM(BU73:BX73)</f>
        <v>-51.373447537473233</v>
      </c>
      <c r="BY76" s="3">
        <f t="shared" ref="BY76" si="869">SUM(BV73:BY73)</f>
        <v>-37.618843683083512</v>
      </c>
      <c r="BZ76" s="3">
        <f t="shared" ref="BZ76" si="870">SUM(BW73:BZ73)</f>
        <v>-50.087794432548165</v>
      </c>
      <c r="CA76" s="3">
        <f t="shared" ref="CA76" si="871">SUM(BX73:CA73)</f>
        <v>-39.019700214132754</v>
      </c>
      <c r="CB76" s="3">
        <f t="shared" ref="CB76" si="872">SUM(BY73:CB73)</f>
        <v>-28.625695931477505</v>
      </c>
      <c r="CC76" s="3">
        <f t="shared" ref="CC76" si="873">SUM(BZ73:CC73)</f>
        <v>-27.016702355460374</v>
      </c>
      <c r="CD76" s="3">
        <f t="shared" ref="CD76" si="874">SUM(CA73:CD73)</f>
        <v>-9.0770877944325488</v>
      </c>
      <c r="CE76" s="3">
        <f t="shared" ref="CE76" si="875">SUM(CB73:CE73)</f>
        <v>-4.8089935760171381</v>
      </c>
      <c r="CF76" s="3">
        <f t="shared" ref="CF76" si="876">SUM(CC73:CF73)</f>
        <v>-2.1837259100642448</v>
      </c>
      <c r="CG76" s="3">
        <f t="shared" ref="CG76" si="877">SUM(CD73:CG73)</f>
        <v>1.1781584582441083</v>
      </c>
      <c r="CH76" s="3">
        <f t="shared" ref="CH76:CL76" si="878">SUM(CE73:CH73)</f>
        <v>3.488222698072815</v>
      </c>
      <c r="CI76" s="3">
        <f t="shared" si="878"/>
        <v>4.677944325481814</v>
      </c>
      <c r="CJ76" s="3">
        <f t="shared" si="878"/>
        <v>8.9541755888651053</v>
      </c>
      <c r="CK76" s="3">
        <f t="shared" si="878"/>
        <v>9.521199143468964</v>
      </c>
      <c r="CL76" s="3">
        <f t="shared" si="878"/>
        <v>12.912633832976441</v>
      </c>
      <c r="CM76" s="37">
        <f t="shared" ref="CM76" si="879">SUM(CJ73:CM73)</f>
        <v>15.153113216904565</v>
      </c>
      <c r="CN76" s="37">
        <f t="shared" ref="CN76" si="880">SUM(CK73:CN73)</f>
        <v>14.123123841509214</v>
      </c>
      <c r="CO76" s="37">
        <f t="shared" ref="CO76" si="881">SUM(CL73:CO73)</f>
        <v>17.163215634499331</v>
      </c>
      <c r="CP76" s="37">
        <f t="shared" ref="CP76" si="882">SUM(CM73:CP73)</f>
        <v>16.427651331107946</v>
      </c>
      <c r="CQ76" s="37">
        <f t="shared" ref="CQ76" si="883">SUM(CN73:CQ73)</f>
        <v>17.765309610155516</v>
      </c>
      <c r="CR76" s="37">
        <f t="shared" ref="CR76" si="884">SUM(CO73:CR73)</f>
        <v>18.771577290020097</v>
      </c>
      <c r="CS76" s="37">
        <f t="shared" ref="CS76" si="885">SUM(CP73:CS73)</f>
        <v>19.362238462393485</v>
      </c>
      <c r="CT76" s="37">
        <f t="shared" ref="CT76" si="886">SUM(CQ73:CT73)</f>
        <v>19.684571915216065</v>
      </c>
      <c r="CU76" s="37">
        <f t="shared" ref="CU76" si="887">SUM(CR73:CU73)</f>
        <v>20.500050800316934</v>
      </c>
      <c r="CV76" s="37">
        <f t="shared" ref="CV76" si="888">SUM(CS73:CV73)</f>
        <v>21.076663957578255</v>
      </c>
      <c r="CW76" s="37">
        <f t="shared" ref="CW76" si="889">SUM(CT73:CW73)</f>
        <v>21.577017659314905</v>
      </c>
      <c r="CX76" s="37">
        <f t="shared" ref="CX76" si="890">SUM(CU73:CX73)</f>
        <v>22.129608118096215</v>
      </c>
      <c r="CY76" s="37">
        <f t="shared" ref="CY76" si="891">SUM(CV73:CY73)</f>
        <v>22.826454073916953</v>
      </c>
      <c r="CZ76" s="37">
        <f t="shared" ref="CZ76" si="892">SUM(CW73:CZ73)</f>
        <v>23.378876997473416</v>
      </c>
      <c r="DA76" s="37">
        <f t="shared" ref="DA76" si="893">SUM(CX73:DA73)</f>
        <v>23.948108023267828</v>
      </c>
      <c r="DB76" s="37">
        <f t="shared" ref="DB76" si="894">SUM(CY73:DB73)</f>
        <v>24.615656154214832</v>
      </c>
      <c r="DE76" s="134"/>
      <c r="DF76" s="3">
        <v>10.887232744618872</v>
      </c>
    </row>
    <row r="77" spans="1:110" s="97" customFormat="1" x14ac:dyDescent="0.2">
      <c r="A77" s="97" t="s">
        <v>425</v>
      </c>
      <c r="C77" s="101" t="e">
        <f t="shared" ref="C77:AA77" si="895">+C76/B76-1</f>
        <v>#DIV/0!</v>
      </c>
      <c r="D77" s="101" t="e">
        <f t="shared" si="895"/>
        <v>#DIV/0!</v>
      </c>
      <c r="E77" s="101" t="e">
        <f t="shared" ca="1" si="895"/>
        <v>#DIV/0!</v>
      </c>
      <c r="F77" s="101" t="e">
        <f t="shared" ca="1" si="895"/>
        <v>#DIV/0!</v>
      </c>
      <c r="G77" s="101" t="e">
        <f t="shared" ca="1" si="895"/>
        <v>#DIV/0!</v>
      </c>
      <c r="H77" s="101" t="e">
        <f t="shared" ca="1" si="895"/>
        <v>#DIV/0!</v>
      </c>
      <c r="I77" s="101" t="e">
        <f t="shared" ca="1" si="895"/>
        <v>#DIV/0!</v>
      </c>
      <c r="J77" s="101" t="e">
        <f t="shared" ca="1" si="895"/>
        <v>#DIV/0!</v>
      </c>
      <c r="K77" s="101" t="e">
        <f t="shared" ca="1" si="895"/>
        <v>#DIV/0!</v>
      </c>
      <c r="L77" s="101" t="e">
        <f t="shared" ca="1" si="895"/>
        <v>#DIV/0!</v>
      </c>
      <c r="M77" s="101" t="e">
        <f t="shared" ca="1" si="895"/>
        <v>#DIV/0!</v>
      </c>
      <c r="N77" s="101" t="e">
        <f t="shared" ca="1" si="895"/>
        <v>#DIV/0!</v>
      </c>
      <c r="O77" s="101" t="e">
        <f t="shared" ca="1" si="895"/>
        <v>#DIV/0!</v>
      </c>
      <c r="P77" s="101" t="e">
        <f t="shared" ca="1" si="895"/>
        <v>#DIV/0!</v>
      </c>
      <c r="Q77" s="101" t="e">
        <f t="shared" ca="1" si="895"/>
        <v>#DIV/0!</v>
      </c>
      <c r="R77" s="101" t="e">
        <f t="shared" ca="1" si="895"/>
        <v>#DIV/0!</v>
      </c>
      <c r="S77" s="101" t="e">
        <f t="shared" ca="1" si="895"/>
        <v>#DIV/0!</v>
      </c>
      <c r="T77" s="101" t="e">
        <f t="shared" ca="1" si="895"/>
        <v>#DIV/0!</v>
      </c>
      <c r="U77" s="101" t="e">
        <f t="shared" ca="1" si="895"/>
        <v>#DIV/0!</v>
      </c>
      <c r="V77" s="101" t="e">
        <f t="shared" ca="1" si="895"/>
        <v>#DIV/0!</v>
      </c>
      <c r="W77" s="101" t="e">
        <f t="shared" ca="1" si="895"/>
        <v>#DIV/0!</v>
      </c>
      <c r="X77" s="101" t="e">
        <f t="shared" ca="1" si="895"/>
        <v>#DIV/0!</v>
      </c>
      <c r="Y77" s="101" t="e">
        <f t="shared" ca="1" si="895"/>
        <v>#DIV/0!</v>
      </c>
      <c r="Z77" s="101" t="e">
        <f t="shared" ca="1" si="895"/>
        <v>#DIV/0!</v>
      </c>
      <c r="AA77" s="101" t="e">
        <f t="shared" ca="1" si="895"/>
        <v>#DIV/0!</v>
      </c>
      <c r="AB77" s="174" t="e">
        <f t="shared" ref="AB77" ca="1" si="896">+AB76/AA76-1</f>
        <v>#DIV/0!</v>
      </c>
      <c r="AC77" s="174" t="e">
        <f t="shared" ref="AC77" ca="1" si="897">+AC76/AB76-1</f>
        <v>#DIV/0!</v>
      </c>
      <c r="AD77" s="174" t="e">
        <f t="shared" ref="AD77" ca="1" si="898">+AD76/AC76-1</f>
        <v>#DIV/0!</v>
      </c>
      <c r="AE77" s="174" t="e">
        <f t="shared" ref="AE77" ca="1" si="899">+AE76/AD76-1</f>
        <v>#DIV/0!</v>
      </c>
      <c r="AL77" s="176"/>
      <c r="AM77" s="176"/>
      <c r="AN77" s="176"/>
      <c r="AO77" s="176"/>
      <c r="AP77" s="176" t="e">
        <f t="shared" ref="AP77:CL77" si="900">+IF(AL76&lt;0,1-AP76/AL76,AP76/AL76-1)</f>
        <v>#DIV/0!</v>
      </c>
      <c r="AQ77" s="176" t="e">
        <f t="shared" si="900"/>
        <v>#DIV/0!</v>
      </c>
      <c r="AR77" s="176" t="e">
        <f t="shared" si="900"/>
        <v>#DIV/0!</v>
      </c>
      <c r="AS77" s="176" t="e">
        <f t="shared" si="900"/>
        <v>#DIV/0!</v>
      </c>
      <c r="AT77" s="176" t="e">
        <f t="shared" si="900"/>
        <v>#DIV/0!</v>
      </c>
      <c r="AU77" s="176" t="e">
        <f t="shared" si="900"/>
        <v>#DIV/0!</v>
      </c>
      <c r="AV77" s="176" t="e">
        <f t="shared" si="900"/>
        <v>#DIV/0!</v>
      </c>
      <c r="AW77" s="176" t="e">
        <f t="shared" si="900"/>
        <v>#DIV/0!</v>
      </c>
      <c r="AX77" s="176" t="e">
        <f t="shared" si="900"/>
        <v>#DIV/0!</v>
      </c>
      <c r="AY77" s="176" t="e">
        <f t="shared" si="900"/>
        <v>#DIV/0!</v>
      </c>
      <c r="AZ77" s="176" t="e">
        <f t="shared" si="900"/>
        <v>#DIV/0!</v>
      </c>
      <c r="BA77" s="176" t="e">
        <f t="shared" si="900"/>
        <v>#DIV/0!</v>
      </c>
      <c r="BB77" s="176" t="e">
        <f t="shared" si="900"/>
        <v>#DIV/0!</v>
      </c>
      <c r="BC77" s="176" t="e">
        <f t="shared" si="900"/>
        <v>#DIV/0!</v>
      </c>
      <c r="BD77" s="176" t="e">
        <f t="shared" si="900"/>
        <v>#DIV/0!</v>
      </c>
      <c r="BE77" s="176" t="e">
        <f t="shared" si="900"/>
        <v>#DIV/0!</v>
      </c>
      <c r="BF77" s="176" t="e">
        <f t="shared" si="900"/>
        <v>#DIV/0!</v>
      </c>
      <c r="BG77" s="176" t="e">
        <f t="shared" si="900"/>
        <v>#DIV/0!</v>
      </c>
      <c r="BH77" s="176" t="e">
        <f t="shared" si="900"/>
        <v>#DIV/0!</v>
      </c>
      <c r="BI77" s="176" t="e">
        <f t="shared" si="900"/>
        <v>#DIV/0!</v>
      </c>
      <c r="BJ77" s="176" t="e">
        <f t="shared" si="900"/>
        <v>#DIV/0!</v>
      </c>
      <c r="BK77" s="176" t="e">
        <f t="shared" si="900"/>
        <v>#DIV/0!</v>
      </c>
      <c r="BL77" s="176">
        <f t="shared" si="900"/>
        <v>9.5755853015660044</v>
      </c>
      <c r="BM77" s="176">
        <f t="shared" si="900"/>
        <v>0.91096910061363379</v>
      </c>
      <c r="BN77" s="176">
        <f t="shared" si="900"/>
        <v>-0.42978126298831443</v>
      </c>
      <c r="BO77" s="176">
        <f t="shared" si="900"/>
        <v>-0.52974836880678733</v>
      </c>
      <c r="BP77" s="176">
        <f t="shared" si="900"/>
        <v>-0.63880458916304583</v>
      </c>
      <c r="BQ77" s="176">
        <f t="shared" si="900"/>
        <v>-0.59095995102075238</v>
      </c>
      <c r="BR77" s="176">
        <f t="shared" si="900"/>
        <v>-1.9203995342851874</v>
      </c>
      <c r="BS77" s="176">
        <f t="shared" si="900"/>
        <v>-2.3577590078357096</v>
      </c>
      <c r="BT77" s="176">
        <f t="shared" si="900"/>
        <v>-4.0937036318782605</v>
      </c>
      <c r="BU77" s="176">
        <f t="shared" si="900"/>
        <v>-6.8323096774193441</v>
      </c>
      <c r="BV77" s="176">
        <f t="shared" si="900"/>
        <v>-2.1868386011633647</v>
      </c>
      <c r="BW77" s="176">
        <f t="shared" si="900"/>
        <v>-2.1415378916172765</v>
      </c>
      <c r="BX77" s="176">
        <f t="shared" si="900"/>
        <v>-0.74872078953890209</v>
      </c>
      <c r="BY77" s="176">
        <f t="shared" si="900"/>
        <v>0.22266174635622682</v>
      </c>
      <c r="BZ77" s="176">
        <f t="shared" si="900"/>
        <v>-0.2859828909462756</v>
      </c>
      <c r="CA77" s="176">
        <f t="shared" si="900"/>
        <v>0.2325879132448937</v>
      </c>
      <c r="CB77" s="176">
        <f t="shared" si="900"/>
        <v>0.4427920004668342</v>
      </c>
      <c r="CC77" s="176">
        <f t="shared" si="900"/>
        <v>0.28183060109289648</v>
      </c>
      <c r="CD77" s="176">
        <f t="shared" si="900"/>
        <v>0.8187764524817237</v>
      </c>
      <c r="CE77" s="176">
        <f t="shared" si="900"/>
        <v>0.87675472774966778</v>
      </c>
      <c r="CF77" s="176">
        <f t="shared" si="900"/>
        <v>0.923714486617495</v>
      </c>
      <c r="CG77" s="176">
        <f t="shared" si="900"/>
        <v>1.0436085219707056</v>
      </c>
      <c r="CH77" s="176">
        <f t="shared" si="900"/>
        <v>1.3842887473460732</v>
      </c>
      <c r="CI77" s="176">
        <f t="shared" si="900"/>
        <v>1.9727491317125319</v>
      </c>
      <c r="CJ77" s="176">
        <f t="shared" si="900"/>
        <v>5.100411845459889</v>
      </c>
      <c r="CK77" s="176">
        <f t="shared" si="900"/>
        <v>7.0814249363868011</v>
      </c>
      <c r="CL77" s="176">
        <f t="shared" si="900"/>
        <v>2.7017802332719341</v>
      </c>
      <c r="CM77" s="102">
        <f t="shared" ref="CM77:DB77" si="901">+IF(CI76&lt;0,1-CM76/CI76,CM76/CI76-1)</f>
        <v>2.239267542018863</v>
      </c>
      <c r="CN77" s="102">
        <f t="shared" si="901"/>
        <v>0.57726679595963182</v>
      </c>
      <c r="CO77" s="102">
        <f t="shared" si="901"/>
        <v>0.8026317248360868</v>
      </c>
      <c r="CP77" s="102">
        <f t="shared" si="901"/>
        <v>0.27221537786929351</v>
      </c>
      <c r="CQ77" s="102">
        <f t="shared" si="901"/>
        <v>0.17238677992168805</v>
      </c>
      <c r="CR77" s="102">
        <f t="shared" si="901"/>
        <v>0.32913776730107203</v>
      </c>
      <c r="CS77" s="102">
        <f t="shared" si="901"/>
        <v>0.1281241740897292</v>
      </c>
      <c r="CT77" s="102">
        <f t="shared" si="901"/>
        <v>0.19825844355125222</v>
      </c>
      <c r="CU77" s="102">
        <f t="shared" si="901"/>
        <v>0.15393715337210367</v>
      </c>
      <c r="CV77" s="102">
        <f t="shared" si="901"/>
        <v>0.12279664260198619</v>
      </c>
      <c r="CW77" s="102">
        <f t="shared" si="901"/>
        <v>0.11438652618720191</v>
      </c>
      <c r="CX77" s="102">
        <f t="shared" si="901"/>
        <v>0.1242107887035202</v>
      </c>
      <c r="CY77" s="102">
        <f t="shared" si="901"/>
        <v>0.11348280529939236</v>
      </c>
      <c r="CZ77" s="102">
        <f t="shared" si="901"/>
        <v>0.10923042871153177</v>
      </c>
      <c r="DA77" s="102">
        <f t="shared" si="901"/>
        <v>0.10988962429334204</v>
      </c>
      <c r="DB77" s="102">
        <f t="shared" si="901"/>
        <v>0.11234035518621233</v>
      </c>
      <c r="DE77" s="135"/>
      <c r="DF77" s="97">
        <v>2.1211403878066291</v>
      </c>
    </row>
    <row r="78" spans="1:110" s="144" customFormat="1" x14ac:dyDescent="0.2">
      <c r="A78" s="144" t="s">
        <v>424</v>
      </c>
      <c r="AB78" s="145"/>
      <c r="AC78" s="145"/>
      <c r="AD78" s="145"/>
      <c r="AE78" s="145"/>
      <c r="CM78" s="145"/>
      <c r="CN78" s="145"/>
      <c r="CO78" s="145"/>
      <c r="CP78" s="145"/>
      <c r="CQ78" s="145"/>
      <c r="CR78" s="145"/>
      <c r="CS78" s="145"/>
      <c r="CT78" s="145"/>
      <c r="CU78" s="145"/>
      <c r="CV78" s="145"/>
      <c r="CW78" s="145"/>
      <c r="CX78" s="145"/>
      <c r="CY78" s="145"/>
      <c r="CZ78" s="145"/>
      <c r="DA78" s="145"/>
      <c r="DB78" s="145"/>
      <c r="DE78" s="146"/>
    </row>
    <row r="79" spans="1:110" s="144" customFormat="1" x14ac:dyDescent="0.2">
      <c r="A79" s="144" t="s">
        <v>436</v>
      </c>
      <c r="AB79" s="145"/>
      <c r="AC79" s="145"/>
      <c r="AD79" s="145"/>
      <c r="AE79" s="145"/>
      <c r="CM79" s="145"/>
      <c r="CN79" s="145"/>
      <c r="CO79" s="145"/>
      <c r="CP79" s="145"/>
      <c r="CQ79" s="145"/>
      <c r="CR79" s="145"/>
      <c r="CS79" s="145"/>
      <c r="CT79" s="145"/>
      <c r="CU79" s="145"/>
      <c r="CV79" s="145"/>
      <c r="CW79" s="145"/>
      <c r="CX79" s="145"/>
      <c r="CY79" s="145"/>
      <c r="CZ79" s="145"/>
      <c r="DA79" s="145"/>
      <c r="DB79" s="145"/>
      <c r="DE79" s="146"/>
    </row>
    <row r="80" spans="1:110" s="3" customFormat="1" x14ac:dyDescent="0.2">
      <c r="A80" s="3" t="s">
        <v>34</v>
      </c>
      <c r="B80" s="3">
        <f>'Annual Raw'!C112</f>
        <v>0</v>
      </c>
      <c r="C80" s="3">
        <f>'Annual Raw'!D112</f>
        <v>0</v>
      </c>
      <c r="D80" s="3">
        <f>'Annual Raw'!E112</f>
        <v>0</v>
      </c>
      <c r="E80" s="3">
        <f>'Annual Raw'!F112</f>
        <v>0</v>
      </c>
      <c r="F80" s="3">
        <f>'Annual Raw'!G112</f>
        <v>0</v>
      </c>
      <c r="G80" s="3">
        <f>'Annual Raw'!H112</f>
        <v>0</v>
      </c>
      <c r="H80" s="3">
        <f>'Annual Raw'!I112</f>
        <v>0</v>
      </c>
      <c r="I80" s="3">
        <f>'Annual Raw'!J112</f>
        <v>0</v>
      </c>
      <c r="J80" s="3">
        <f>'Annual Raw'!K112</f>
        <v>0</v>
      </c>
      <c r="K80" s="3">
        <f>'Annual Raw'!L112</f>
        <v>0</v>
      </c>
      <c r="L80" s="3">
        <f>'Annual Raw'!M112</f>
        <v>0</v>
      </c>
      <c r="M80" s="3">
        <f>'Annual Raw'!N112</f>
        <v>0</v>
      </c>
      <c r="N80" s="3">
        <f>'Annual Raw'!O112</f>
        <v>0</v>
      </c>
      <c r="O80" s="3">
        <f>'Annual Raw'!P112</f>
        <v>0</v>
      </c>
      <c r="P80" s="3">
        <f>'Annual Raw'!Q112</f>
        <v>0</v>
      </c>
      <c r="Q80" s="3">
        <f>'Annual Raw'!R112</f>
        <v>0</v>
      </c>
      <c r="R80" s="3">
        <f>'Annual Raw'!S112</f>
        <v>0</v>
      </c>
      <c r="S80" s="3">
        <f>'Annual Raw'!T112</f>
        <v>0</v>
      </c>
      <c r="T80" s="3">
        <f>'Annual Raw'!U112</f>
        <v>0</v>
      </c>
      <c r="U80" s="3">
        <f>'Annual Raw'!V112</f>
        <v>77.22</v>
      </c>
      <c r="V80" s="3">
        <f>'Annual Raw'!W112</f>
        <v>69.36</v>
      </c>
      <c r="W80" s="3">
        <f>'Annual Raw'!X112</f>
        <v>78.56</v>
      </c>
      <c r="X80" s="3">
        <f>'Annual Raw'!Y112</f>
        <v>72.73</v>
      </c>
      <c r="Y80" s="3">
        <f>'Annual Raw'!Z112</f>
        <v>52.94</v>
      </c>
      <c r="Z80" s="3">
        <f>'Annual Raw'!AA112</f>
        <v>45.73</v>
      </c>
      <c r="AA80" s="3">
        <f>'Annual Raw'!AB112</f>
        <v>45.72</v>
      </c>
      <c r="AB80" s="37"/>
      <c r="AC80" s="37"/>
      <c r="AD80" s="37"/>
      <c r="AE80" s="37"/>
      <c r="AI80" s="3">
        <f>'QTR Raw'!C49</f>
        <v>0</v>
      </c>
      <c r="AJ80" s="3">
        <f>'QTR Raw'!D49</f>
        <v>0</v>
      </c>
      <c r="AK80" s="3">
        <f>'QTR Raw'!E49</f>
        <v>0</v>
      </c>
      <c r="AL80" s="3">
        <f>'QTR Raw'!F49</f>
        <v>0</v>
      </c>
      <c r="AM80" s="3">
        <f>'QTR Raw'!G49</f>
        <v>0</v>
      </c>
      <c r="AN80" s="3">
        <f>'QTR Raw'!H49</f>
        <v>0</v>
      </c>
      <c r="AO80" s="3">
        <f>'QTR Raw'!I49</f>
        <v>0</v>
      </c>
      <c r="AP80" s="3">
        <f>'QTR Raw'!J49</f>
        <v>0</v>
      </c>
      <c r="AQ80" s="3">
        <f>'QTR Raw'!K49</f>
        <v>0</v>
      </c>
      <c r="AR80" s="3">
        <f>'QTR Raw'!L49</f>
        <v>0</v>
      </c>
      <c r="AS80" s="3">
        <f>'QTR Raw'!M49</f>
        <v>0</v>
      </c>
      <c r="AT80" s="3">
        <f>'QTR Raw'!N49</f>
        <v>0</v>
      </c>
      <c r="AU80" s="3">
        <f>'QTR Raw'!O49</f>
        <v>0</v>
      </c>
      <c r="AV80" s="3">
        <f>'QTR Raw'!P49</f>
        <v>0</v>
      </c>
      <c r="AW80" s="3">
        <f>'QTR Raw'!Q49</f>
        <v>0</v>
      </c>
      <c r="AX80" s="3">
        <f>'QTR Raw'!R49</f>
        <v>0</v>
      </c>
      <c r="AY80" s="3">
        <f>'QTR Raw'!S49</f>
        <v>0</v>
      </c>
      <c r="AZ80" s="3">
        <f>'QTR Raw'!T49</f>
        <v>0</v>
      </c>
      <c r="BA80" s="3">
        <f>'QTR Raw'!U49</f>
        <v>0</v>
      </c>
      <c r="BB80" s="3">
        <f>'QTR Raw'!V49</f>
        <v>0</v>
      </c>
      <c r="BC80" s="3">
        <f>'QTR Raw'!W49</f>
        <v>0</v>
      </c>
      <c r="BD80" s="3">
        <f>'QTR Raw'!X49</f>
        <v>0</v>
      </c>
      <c r="BE80" s="3">
        <f>'QTR Raw'!Y49</f>
        <v>0</v>
      </c>
      <c r="BF80" s="3">
        <f>'QTR Raw'!Z49</f>
        <v>0</v>
      </c>
      <c r="BG80" s="3">
        <f>'QTR Raw'!AA49</f>
        <v>0</v>
      </c>
      <c r="BH80" s="3">
        <f>'QTR Raw'!AB49</f>
        <v>100</v>
      </c>
      <c r="BI80" s="3">
        <f>'QTR Raw'!AC49</f>
        <v>0</v>
      </c>
      <c r="BJ80" s="3">
        <f>'QTR Raw'!AD49</f>
        <v>0</v>
      </c>
      <c r="BK80" s="3">
        <f>'QTR Raw'!AE49</f>
        <v>0</v>
      </c>
      <c r="BL80" s="3">
        <f>'QTR Raw'!AF49</f>
        <v>77.22</v>
      </c>
      <c r="BM80" s="3">
        <f>'QTR Raw'!AG49</f>
        <v>77.22</v>
      </c>
      <c r="BN80" s="3">
        <f>'QTR Raw'!AH49</f>
        <v>77.22</v>
      </c>
      <c r="BO80" s="3">
        <f>'QTR Raw'!AI49</f>
        <v>77.22</v>
      </c>
      <c r="BP80" s="3">
        <f>'QTR Raw'!AJ49</f>
        <v>77.22</v>
      </c>
      <c r="BQ80" s="3">
        <f>'QTR Raw'!AK49</f>
        <v>75.349999999999994</v>
      </c>
      <c r="BR80" s="3">
        <f>'QTR Raw'!AL49</f>
        <v>69.36</v>
      </c>
      <c r="BS80" s="3">
        <f>'QTR Raw'!AM49</f>
        <v>69.36</v>
      </c>
      <c r="BT80" s="3">
        <f>'QTR Raw'!AN49</f>
        <v>69.36</v>
      </c>
      <c r="BU80" s="3">
        <f>'QTR Raw'!AO49</f>
        <v>74.099999999999994</v>
      </c>
      <c r="BV80" s="3">
        <f>'QTR Raw'!AP49</f>
        <v>78.56</v>
      </c>
      <c r="BW80" s="3">
        <f>'QTR Raw'!AQ49</f>
        <v>78.56</v>
      </c>
      <c r="BX80" s="3">
        <f>'QTR Raw'!AR49</f>
        <v>76.69</v>
      </c>
      <c r="BY80" s="3">
        <f>'QTR Raw'!AS49</f>
        <v>72.73</v>
      </c>
      <c r="BZ80" s="3">
        <f>'QTR Raw'!AT49</f>
        <v>72.73</v>
      </c>
      <c r="CA80" s="3">
        <f>'QTR Raw'!AU49</f>
        <v>69.040000000000006</v>
      </c>
      <c r="CB80" s="3">
        <f>'QTR Raw'!AV49</f>
        <v>67.56</v>
      </c>
      <c r="CC80" s="3">
        <f>'QTR Raw'!AW49</f>
        <v>52.98</v>
      </c>
      <c r="CD80" s="3">
        <f>'QTR Raw'!AX49</f>
        <v>52.94</v>
      </c>
      <c r="CE80" s="3">
        <f>'QTR Raw'!AY49</f>
        <v>52.91</v>
      </c>
      <c r="CF80" s="3">
        <f>'QTR Raw'!AZ49</f>
        <v>45.75</v>
      </c>
      <c r="CG80" s="3">
        <f>'QTR Raw'!BA49</f>
        <v>45.73</v>
      </c>
      <c r="CH80" s="3">
        <f>'QTR Raw'!BB49</f>
        <v>45.73</v>
      </c>
      <c r="CI80" s="3">
        <f>'QTR Raw'!BC49</f>
        <v>45.73</v>
      </c>
      <c r="CJ80" s="3">
        <f>'QTR Raw'!BD49</f>
        <v>45.72</v>
      </c>
      <c r="CK80" s="3">
        <f>'QTR Raw'!BE49</f>
        <v>45.72</v>
      </c>
      <c r="CL80" s="3">
        <f>'QTR Raw'!BF49</f>
        <v>45.72</v>
      </c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3" customFormat="1" x14ac:dyDescent="0.2">
      <c r="A81" s="3" t="s">
        <v>35</v>
      </c>
      <c r="B81" s="3">
        <f>'Annual Raw'!C113</f>
        <v>0</v>
      </c>
      <c r="C81" s="3">
        <f>'Annual Raw'!D113</f>
        <v>0</v>
      </c>
      <c r="D81" s="3">
        <f>'Annual Raw'!E113</f>
        <v>0</v>
      </c>
      <c r="E81" s="3">
        <f>'Annual Raw'!F113</f>
        <v>0</v>
      </c>
      <c r="F81" s="3">
        <f>'Annual Raw'!G113</f>
        <v>0</v>
      </c>
      <c r="G81" s="3">
        <f>'Annual Raw'!H113</f>
        <v>0</v>
      </c>
      <c r="H81" s="3">
        <f>'Annual Raw'!I113</f>
        <v>0</v>
      </c>
      <c r="I81" s="3">
        <f>'Annual Raw'!J113</f>
        <v>0</v>
      </c>
      <c r="J81" s="3">
        <f>'Annual Raw'!K113</f>
        <v>0</v>
      </c>
      <c r="K81" s="3">
        <f>'Annual Raw'!L113</f>
        <v>0</v>
      </c>
      <c r="L81" s="3">
        <f>'Annual Raw'!M113</f>
        <v>0</v>
      </c>
      <c r="M81" s="3">
        <f>'Annual Raw'!N113</f>
        <v>0</v>
      </c>
      <c r="N81" s="3">
        <f>'Annual Raw'!O113</f>
        <v>0</v>
      </c>
      <c r="O81" s="3">
        <f>'Annual Raw'!P113</f>
        <v>0</v>
      </c>
      <c r="P81" s="3">
        <f>'Annual Raw'!Q113</f>
        <v>0</v>
      </c>
      <c r="Q81" s="3">
        <f>'Annual Raw'!R113</f>
        <v>0</v>
      </c>
      <c r="R81" s="3">
        <f>'Annual Raw'!S113</f>
        <v>0</v>
      </c>
      <c r="S81" s="3">
        <f>'Annual Raw'!T113</f>
        <v>0</v>
      </c>
      <c r="T81" s="3">
        <f>'Annual Raw'!U113</f>
        <v>0</v>
      </c>
      <c r="U81" s="3">
        <f>'Annual Raw'!V113</f>
        <v>48.23</v>
      </c>
      <c r="V81" s="3">
        <f>'Annual Raw'!W113</f>
        <v>53.69</v>
      </c>
      <c r="W81" s="3">
        <f>'Annual Raw'!X113</f>
        <v>30.87</v>
      </c>
      <c r="X81" s="3">
        <f>'Annual Raw'!Y113</f>
        <v>39.520000000000003</v>
      </c>
      <c r="Y81" s="3">
        <f>'Annual Raw'!Z113</f>
        <v>37.159999999999997</v>
      </c>
      <c r="Z81" s="3">
        <f>'Annual Raw'!AA113</f>
        <v>27.62</v>
      </c>
      <c r="AA81" s="3">
        <f>'Annual Raw'!AB113</f>
        <v>27.62</v>
      </c>
      <c r="AB81" s="37"/>
      <c r="AC81" s="37"/>
      <c r="AD81" s="37"/>
      <c r="AE81" s="37"/>
      <c r="AI81" s="3">
        <f>'QTR Raw'!C50</f>
        <v>0</v>
      </c>
      <c r="AJ81" s="3">
        <f>'QTR Raw'!D50</f>
        <v>0</v>
      </c>
      <c r="AK81" s="3">
        <f>'QTR Raw'!E50</f>
        <v>0</v>
      </c>
      <c r="AL81" s="3">
        <f>'QTR Raw'!F50</f>
        <v>0</v>
      </c>
      <c r="AM81" s="3">
        <f>'QTR Raw'!G50</f>
        <v>0</v>
      </c>
      <c r="AN81" s="3">
        <f>'QTR Raw'!H50</f>
        <v>0</v>
      </c>
      <c r="AO81" s="3">
        <f>'QTR Raw'!I50</f>
        <v>0</v>
      </c>
      <c r="AP81" s="3">
        <f>'QTR Raw'!J50</f>
        <v>0</v>
      </c>
      <c r="AQ81" s="3">
        <f>'QTR Raw'!K50</f>
        <v>0</v>
      </c>
      <c r="AR81" s="3">
        <f>'QTR Raw'!L50</f>
        <v>0</v>
      </c>
      <c r="AS81" s="3">
        <f>'QTR Raw'!M50</f>
        <v>0</v>
      </c>
      <c r="AT81" s="3">
        <f>'QTR Raw'!N50</f>
        <v>0</v>
      </c>
      <c r="AU81" s="3">
        <f>'QTR Raw'!O50</f>
        <v>0</v>
      </c>
      <c r="AV81" s="3">
        <f>'QTR Raw'!P50</f>
        <v>0</v>
      </c>
      <c r="AW81" s="3">
        <f>'QTR Raw'!Q50</f>
        <v>0</v>
      </c>
      <c r="AX81" s="3">
        <f>'QTR Raw'!R50</f>
        <v>0</v>
      </c>
      <c r="AY81" s="3">
        <f>'QTR Raw'!S50</f>
        <v>0</v>
      </c>
      <c r="AZ81" s="3">
        <f>'QTR Raw'!T50</f>
        <v>0</v>
      </c>
      <c r="BA81" s="3">
        <f>'QTR Raw'!U50</f>
        <v>0</v>
      </c>
      <c r="BB81" s="3">
        <f>'QTR Raw'!V50</f>
        <v>0</v>
      </c>
      <c r="BC81" s="3">
        <f>'QTR Raw'!W50</f>
        <v>0</v>
      </c>
      <c r="BD81" s="3">
        <f>'QTR Raw'!X50</f>
        <v>0</v>
      </c>
      <c r="BE81" s="3">
        <f>'QTR Raw'!Y50</f>
        <v>0</v>
      </c>
      <c r="BF81" s="3">
        <f>'QTR Raw'!Z50</f>
        <v>0</v>
      </c>
      <c r="BG81" s="3">
        <f>'QTR Raw'!AA50</f>
        <v>0</v>
      </c>
      <c r="BH81" s="3">
        <f>'QTR Raw'!AB50</f>
        <v>0</v>
      </c>
      <c r="BI81" s="3">
        <f>'QTR Raw'!AC50</f>
        <v>0</v>
      </c>
      <c r="BJ81" s="3">
        <f>'QTR Raw'!AD50</f>
        <v>0</v>
      </c>
      <c r="BK81" s="3">
        <f>'QTR Raw'!AE50</f>
        <v>0</v>
      </c>
      <c r="BL81" s="3">
        <f>'QTR Raw'!AF50</f>
        <v>48.23</v>
      </c>
      <c r="BM81" s="3">
        <f>'QTR Raw'!AG50</f>
        <v>48.23</v>
      </c>
      <c r="BN81" s="3">
        <f>'QTR Raw'!AH50</f>
        <v>48.23</v>
      </c>
      <c r="BO81" s="3">
        <f>'QTR Raw'!AI50</f>
        <v>48.23</v>
      </c>
      <c r="BP81" s="3">
        <f>'QTR Raw'!AJ50</f>
        <v>48.23</v>
      </c>
      <c r="BQ81" s="3">
        <f>'QTR Raw'!AK50</f>
        <v>49.43</v>
      </c>
      <c r="BR81" s="3">
        <f>'QTR Raw'!AL50</f>
        <v>53.69</v>
      </c>
      <c r="BS81" s="3">
        <f>'QTR Raw'!AM50</f>
        <v>53.69</v>
      </c>
      <c r="BT81" s="3">
        <f>'QTR Raw'!AN50</f>
        <v>60.89</v>
      </c>
      <c r="BU81" s="3">
        <f>'QTR Raw'!AO50</f>
        <v>48.18</v>
      </c>
      <c r="BV81" s="3">
        <f>'QTR Raw'!AP50</f>
        <v>30.87</v>
      </c>
      <c r="BW81" s="3">
        <f>'QTR Raw'!AQ50</f>
        <v>39.5</v>
      </c>
      <c r="BX81" s="3">
        <f>'QTR Raw'!AR50</f>
        <v>40.89</v>
      </c>
      <c r="BY81" s="3">
        <f>'QTR Raw'!AS50</f>
        <v>38.93</v>
      </c>
      <c r="BZ81" s="3">
        <f>'QTR Raw'!AT50</f>
        <v>39.520000000000003</v>
      </c>
      <c r="CA81" s="3">
        <f>'QTR Raw'!AU50</f>
        <v>39.479999999999997</v>
      </c>
      <c r="CB81" s="3">
        <f>'QTR Raw'!AV50</f>
        <v>38.75</v>
      </c>
      <c r="CC81" s="3">
        <f>'QTR Raw'!AW50</f>
        <v>37.380000000000003</v>
      </c>
      <c r="CD81" s="3">
        <f>'QTR Raw'!AX50</f>
        <v>37.159999999999997</v>
      </c>
      <c r="CE81" s="3">
        <f>'QTR Raw'!AY50</f>
        <v>34.880000000000003</v>
      </c>
      <c r="CF81" s="3">
        <f>'QTR Raw'!AZ50</f>
        <v>27.15</v>
      </c>
      <c r="CG81" s="3">
        <f>'QTR Raw'!BA50</f>
        <v>27.62</v>
      </c>
      <c r="CH81" s="3">
        <f>'QTR Raw'!BB50</f>
        <v>27.62</v>
      </c>
      <c r="CI81" s="3">
        <f>'QTR Raw'!BC50</f>
        <v>27.62</v>
      </c>
      <c r="CJ81" s="3">
        <f>'QTR Raw'!BD50</f>
        <v>27.62</v>
      </c>
      <c r="CK81" s="3">
        <f>'QTR Raw'!BE50</f>
        <v>27.62</v>
      </c>
      <c r="CL81" s="3">
        <f>'QTR Raw'!BF50</f>
        <v>27.62</v>
      </c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3" customFormat="1" x14ac:dyDescent="0.2">
      <c r="AB82" s="37"/>
      <c r="AC82" s="37"/>
      <c r="AD82" s="37"/>
      <c r="AE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13" customFormat="1" x14ac:dyDescent="0.2">
      <c r="A83" s="13" t="s">
        <v>36</v>
      </c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457</v>
      </c>
      <c r="B84" s="13">
        <f>'Annual Raw'!C106</f>
        <v>0</v>
      </c>
      <c r="C84" s="13">
        <f>'Annual Raw'!D106</f>
        <v>0</v>
      </c>
      <c r="D84" s="13">
        <f>'Annual Raw'!E106</f>
        <v>0</v>
      </c>
      <c r="E84" s="13">
        <f>'Annual Raw'!F106</f>
        <v>0</v>
      </c>
      <c r="F84" s="13">
        <f>'Annual Raw'!G106</f>
        <v>0</v>
      </c>
      <c r="G84" s="13">
        <f>'Annual Raw'!H106</f>
        <v>0</v>
      </c>
      <c r="H84" s="13">
        <f>'Annual Raw'!I106</f>
        <v>0</v>
      </c>
      <c r="I84" s="13">
        <f>'Annual Raw'!J106</f>
        <v>0</v>
      </c>
      <c r="J84" s="13">
        <f>'Annual Raw'!K106</f>
        <v>0</v>
      </c>
      <c r="K84" s="13">
        <f>'Annual Raw'!L106</f>
        <v>0</v>
      </c>
      <c r="L84" s="13">
        <f>'Annual Raw'!M106</f>
        <v>0</v>
      </c>
      <c r="M84" s="13">
        <f>'Annual Raw'!N106</f>
        <v>0</v>
      </c>
      <c r="N84" s="13">
        <f>'Annual Raw'!O106</f>
        <v>0</v>
      </c>
      <c r="O84" s="13">
        <f>'Annual Raw'!P106</f>
        <v>0</v>
      </c>
      <c r="P84" s="13">
        <f>'Annual Raw'!Q106</f>
        <v>0</v>
      </c>
      <c r="Q84" s="13">
        <f>'Annual Raw'!R106</f>
        <v>0</v>
      </c>
      <c r="R84" s="13">
        <f>'Annual Raw'!S106</f>
        <v>0</v>
      </c>
      <c r="S84" s="13">
        <f>'Annual Raw'!T106</f>
        <v>0</v>
      </c>
      <c r="T84" s="13">
        <f>'Annual Raw'!U106</f>
        <v>0</v>
      </c>
      <c r="U84" s="13">
        <f>'Annual Raw'!V106</f>
        <v>76.900000000000006</v>
      </c>
      <c r="V84" s="13">
        <f>'Annual Raw'!W106</f>
        <v>257.60000000000002</v>
      </c>
      <c r="W84" s="13">
        <f>'Annual Raw'!X106</f>
        <v>317.39999999999998</v>
      </c>
      <c r="X84" s="13">
        <f>'Annual Raw'!Y106</f>
        <v>292.14999999999998</v>
      </c>
      <c r="Y84" s="13">
        <f>'Annual Raw'!Z106</f>
        <v>523.85</v>
      </c>
      <c r="Z84" s="13">
        <f>'Annual Raw'!AA106</f>
        <v>250.5</v>
      </c>
      <c r="AA84" s="13">
        <f>'Annual Raw'!AB106</f>
        <v>148.94999999999999</v>
      </c>
      <c r="AB84" s="37">
        <f>+CP84</f>
        <v>195</v>
      </c>
      <c r="AC84" s="37">
        <f>+CT84</f>
        <v>195</v>
      </c>
      <c r="AD84" s="37">
        <f>+CX84</f>
        <v>195</v>
      </c>
      <c r="AE84" s="37">
        <f>+DB84</f>
        <v>195</v>
      </c>
      <c r="AJ84" s="13">
        <f>'QTR Share Price'!HP21</f>
        <v>0</v>
      </c>
      <c r="AK84" s="13">
        <f>'QTR Share Price'!HQ21</f>
        <v>0</v>
      </c>
      <c r="AL84" s="13">
        <f>'QTR Share Price'!HR21</f>
        <v>0</v>
      </c>
      <c r="AM84" s="13">
        <f>'QTR Share Price'!HS21</f>
        <v>0</v>
      </c>
      <c r="AN84" s="13">
        <f>'QTR Share Price'!HT21</f>
        <v>0</v>
      </c>
      <c r="AO84" s="13">
        <f>'QTR Share Price'!HU21</f>
        <v>0</v>
      </c>
      <c r="AP84" s="13">
        <f>'QTR Share Price'!HV21</f>
        <v>0</v>
      </c>
      <c r="AQ84" s="13">
        <f>'QTR Share Price'!HW21</f>
        <v>0</v>
      </c>
      <c r="AR84" s="13">
        <f>'QTR Share Price'!HX21</f>
        <v>0</v>
      </c>
      <c r="AS84" s="13">
        <f>'QTR Share Price'!HY21</f>
        <v>0</v>
      </c>
      <c r="AT84" s="13">
        <f>'QTR Share Price'!HZ21</f>
        <v>0</v>
      </c>
      <c r="AU84" s="13">
        <f>'QTR Share Price'!IA21</f>
        <v>0</v>
      </c>
      <c r="AV84" s="13">
        <f>'QTR Share Price'!IB21</f>
        <v>0</v>
      </c>
      <c r="AW84" s="13">
        <f>'QTR Share Price'!IC21</f>
        <v>0</v>
      </c>
      <c r="AX84" s="13">
        <f>'QTR Share Price'!ID21</f>
        <v>0</v>
      </c>
      <c r="AY84" s="13">
        <f>'QTR Share Price'!IE21</f>
        <v>0</v>
      </c>
      <c r="AZ84" s="13">
        <f>'QTR Share Price'!IF21</f>
        <v>0</v>
      </c>
      <c r="BA84" s="13">
        <f>'QTR Share Price'!IG21</f>
        <v>0</v>
      </c>
      <c r="BB84" s="13">
        <f>'QTR Share Price'!IH21</f>
        <v>0</v>
      </c>
      <c r="BC84" s="13">
        <f>'QTR Share Price'!II21</f>
        <v>0</v>
      </c>
      <c r="BD84" s="13">
        <f>'QTR Share Price'!IJ21</f>
        <v>0</v>
      </c>
      <c r="BE84" s="13">
        <f>'QTR Share Price'!IK21</f>
        <v>0</v>
      </c>
      <c r="BF84" s="13">
        <f>'QTR Share Price'!IL21</f>
        <v>0</v>
      </c>
      <c r="BG84" s="13">
        <f>'QTR Share Price'!IM21</f>
        <v>0</v>
      </c>
      <c r="BH84" s="13">
        <f>'QTR Share Price'!IN21</f>
        <v>0</v>
      </c>
      <c r="BI84" s="13">
        <f>'QTR Share Price'!IO21</f>
        <v>0</v>
      </c>
      <c r="BJ84" s="13">
        <f>'QTR Share Price'!IP21</f>
        <v>0</v>
      </c>
      <c r="BK84" s="13">
        <f>'QTR Share Price'!IQ21</f>
        <v>0</v>
      </c>
      <c r="BL84" s="13">
        <f>'QTR Share Price'!IR21</f>
        <v>623.20000000000005</v>
      </c>
      <c r="BM84" s="13">
        <f>'QTR Share Price'!IS21</f>
        <v>322.14999999999998</v>
      </c>
      <c r="BN84" s="13">
        <f>'QTR Share Price'!IT21</f>
        <v>76.900000000000006</v>
      </c>
      <c r="BO84" s="13">
        <f>'QTR Share Price'!IU21</f>
        <v>219.65</v>
      </c>
      <c r="BP84" s="13">
        <f>'QTR Share Price'!IV21</f>
        <v>225.3</v>
      </c>
      <c r="BQ84" s="13">
        <f>'QTR Share Price'!IW21</f>
        <v>259.39999999999998</v>
      </c>
      <c r="BR84" s="13">
        <f>'QTR Share Price'!IX21</f>
        <v>257.60000000000002</v>
      </c>
      <c r="BS84" s="13">
        <f>'QTR Share Price'!IY21</f>
        <v>271.60000000000002</v>
      </c>
      <c r="BT84" s="13">
        <f>'QTR Share Price'!IZ21</f>
        <v>399.4</v>
      </c>
      <c r="BU84" s="13">
        <f>'QTR Share Price'!JA21</f>
        <v>382.25</v>
      </c>
      <c r="BV84" s="13">
        <f>'QTR Share Price'!JB21</f>
        <v>317.39999999999998</v>
      </c>
      <c r="BW84" s="13">
        <f>'QTR Share Price'!JC21</f>
        <v>296.75</v>
      </c>
      <c r="BX84" s="13">
        <f>'QTR Share Price'!JD21</f>
        <v>310.05</v>
      </c>
      <c r="BY84" s="13">
        <f>'QTR Share Price'!JE21</f>
        <v>267.55</v>
      </c>
      <c r="BZ84" s="13">
        <f>'QTR Share Price'!JF21</f>
        <v>292.14999999999998</v>
      </c>
      <c r="CA84" s="13">
        <f>'QTR Share Price'!JG21</f>
        <v>289.10000000000002</v>
      </c>
      <c r="CB84" s="13">
        <f>'QTR Share Price'!JH21</f>
        <v>361.05</v>
      </c>
      <c r="CC84" s="13">
        <f>'QTR Share Price'!JI21</f>
        <v>432.6</v>
      </c>
      <c r="CD84" s="13">
        <f>'QTR Share Price'!JJ21</f>
        <v>523.85</v>
      </c>
      <c r="CE84" s="13">
        <f>'QTR Share Price'!JK21</f>
        <v>712.55</v>
      </c>
      <c r="CF84" s="13">
        <f>'QTR Share Price'!JL21</f>
        <v>617.15</v>
      </c>
      <c r="CG84" s="13">
        <f>'QTR Share Price'!JM21</f>
        <v>458.55</v>
      </c>
      <c r="CH84" s="13">
        <f>'QTR Share Price'!JN21</f>
        <v>250.5</v>
      </c>
      <c r="CI84" s="13">
        <f>'QTR Share Price'!JO21</f>
        <v>319.8</v>
      </c>
      <c r="CJ84" s="13">
        <f>'QTR Share Price'!JP21</f>
        <v>242.4</v>
      </c>
      <c r="CK84" s="13">
        <f>'QTR Share Price'!JQ21</f>
        <v>214.3</v>
      </c>
      <c r="CL84" s="13">
        <f>'QTR Share Price'!JR21</f>
        <v>148.94999999999999</v>
      </c>
      <c r="CM84" s="37">
        <v>195</v>
      </c>
      <c r="CN84" s="37">
        <f t="shared" ref="CN84" si="902">+CM84</f>
        <v>195</v>
      </c>
      <c r="CO84" s="37">
        <f t="shared" ref="CO84" si="903">+CN84</f>
        <v>195</v>
      </c>
      <c r="CP84" s="37">
        <f t="shared" ref="CP84" si="904">+CO84</f>
        <v>195</v>
      </c>
      <c r="CQ84" s="37">
        <f t="shared" ref="CQ84" si="905">+CP84</f>
        <v>195</v>
      </c>
      <c r="CR84" s="37">
        <f t="shared" ref="CR84" si="906">+CQ84</f>
        <v>195</v>
      </c>
      <c r="CS84" s="37">
        <f t="shared" ref="CS84" si="907">+CR84</f>
        <v>195</v>
      </c>
      <c r="CT84" s="37">
        <f t="shared" ref="CT84" si="908">+CS84</f>
        <v>195</v>
      </c>
      <c r="CU84" s="37">
        <f t="shared" ref="CU84" si="909">+CT84</f>
        <v>195</v>
      </c>
      <c r="CV84" s="37">
        <f t="shared" ref="CV84" si="910">+CU84</f>
        <v>195</v>
      </c>
      <c r="CW84" s="37">
        <f t="shared" ref="CW84" si="911">+CV84</f>
        <v>195</v>
      </c>
      <c r="CX84" s="37">
        <f t="shared" ref="CX84" si="912">+CW84</f>
        <v>195</v>
      </c>
      <c r="CY84" s="37">
        <f t="shared" ref="CY84" si="913">+CX84</f>
        <v>195</v>
      </c>
      <c r="CZ84" s="37">
        <f t="shared" ref="CZ84" si="914">+CY84</f>
        <v>195</v>
      </c>
      <c r="DA84" s="37">
        <f t="shared" ref="DA84" si="915">+CZ84</f>
        <v>195</v>
      </c>
      <c r="DB84" s="37">
        <f t="shared" ref="DB84" si="916">+DA84</f>
        <v>195</v>
      </c>
      <c r="DE84" s="134"/>
      <c r="DF84" s="13">
        <v>148.94999999999999</v>
      </c>
    </row>
    <row r="85" spans="1:110" s="13" customFormat="1" x14ac:dyDescent="0.2">
      <c r="A85" s="13" t="s">
        <v>458</v>
      </c>
      <c r="B85" s="13">
        <f>'Annual Raw'!C107</f>
        <v>0</v>
      </c>
      <c r="C85" s="13">
        <f>'Annual Raw'!D107</f>
        <v>0</v>
      </c>
      <c r="D85" s="13">
        <f>'Annual Raw'!E107</f>
        <v>0</v>
      </c>
      <c r="E85" s="13">
        <f>'Annual Raw'!F107</f>
        <v>0</v>
      </c>
      <c r="F85" s="13">
        <f>'Annual Raw'!G107</f>
        <v>0</v>
      </c>
      <c r="G85" s="13">
        <f>'Annual Raw'!H107</f>
        <v>0</v>
      </c>
      <c r="H85" s="13">
        <f>'Annual Raw'!I107</f>
        <v>0</v>
      </c>
      <c r="I85" s="13">
        <f>'Annual Raw'!J107</f>
        <v>0</v>
      </c>
      <c r="J85" s="13">
        <f>'Annual Raw'!K107</f>
        <v>0</v>
      </c>
      <c r="K85" s="13">
        <f>'Annual Raw'!L107</f>
        <v>0</v>
      </c>
      <c r="L85" s="13">
        <f>'Annual Raw'!M107</f>
        <v>0</v>
      </c>
      <c r="M85" s="13">
        <f>'Annual Raw'!N107</f>
        <v>0</v>
      </c>
      <c r="N85" s="13">
        <f>'Annual Raw'!O107</f>
        <v>0</v>
      </c>
      <c r="O85" s="13">
        <f>'Annual Raw'!P107</f>
        <v>0</v>
      </c>
      <c r="P85" s="13">
        <f>'Annual Raw'!Q107</f>
        <v>0</v>
      </c>
      <c r="Q85" s="13">
        <f>'Annual Raw'!R107</f>
        <v>0</v>
      </c>
      <c r="R85" s="13">
        <f>'Annual Raw'!S107</f>
        <v>0</v>
      </c>
      <c r="S85" s="13">
        <f>'Annual Raw'!T107</f>
        <v>0</v>
      </c>
      <c r="T85" s="13">
        <f>'Annual Raw'!U107</f>
        <v>0</v>
      </c>
      <c r="U85" s="13">
        <f>'Annual Raw'!V107</f>
        <v>755.5</v>
      </c>
      <c r="V85" s="13">
        <f>'Annual Raw'!W107</f>
        <v>327</v>
      </c>
      <c r="W85" s="13">
        <f>'Annual Raw'!X107</f>
        <v>509</v>
      </c>
      <c r="X85" s="13">
        <f>'Annual Raw'!Y107</f>
        <v>400</v>
      </c>
      <c r="Y85" s="13">
        <f>'Annual Raw'!Z107</f>
        <v>646.95000000000005</v>
      </c>
      <c r="Z85" s="13">
        <f>'Annual Raw'!AA107</f>
        <v>828</v>
      </c>
      <c r="AA85" s="13">
        <f>'Annual Raw'!AB107</f>
        <v>348.9</v>
      </c>
      <c r="AB85" s="37">
        <f>+MAX(CM85:CP85)</f>
        <v>297.20466525375309</v>
      </c>
      <c r="AC85" s="37">
        <f>+MAX(CQ85:CT85)</f>
        <v>340.86541422724952</v>
      </c>
      <c r="AD85" s="37">
        <f>+MAX(CU85:CX85)</f>
        <v>383.20457617016831</v>
      </c>
      <c r="AE85" s="37">
        <f>+MAX(CY85:DB85)</f>
        <v>426.25391436610698</v>
      </c>
      <c r="AJ85" s="13">
        <f>'QTR Share Price'!HP19</f>
        <v>0</v>
      </c>
      <c r="AK85" s="13">
        <f>'QTR Share Price'!HQ19</f>
        <v>0</v>
      </c>
      <c r="AL85" s="13">
        <f>'QTR Share Price'!HR19</f>
        <v>0</v>
      </c>
      <c r="AM85" s="13">
        <f>'QTR Share Price'!HS19</f>
        <v>0</v>
      </c>
      <c r="AN85" s="13">
        <f>'QTR Share Price'!HT19</f>
        <v>0</v>
      </c>
      <c r="AO85" s="13">
        <f>'QTR Share Price'!HU19</f>
        <v>0</v>
      </c>
      <c r="AP85" s="13">
        <f>'QTR Share Price'!HV19</f>
        <v>0</v>
      </c>
      <c r="AQ85" s="13">
        <f>'QTR Share Price'!HW19</f>
        <v>0</v>
      </c>
      <c r="AR85" s="13">
        <f>'QTR Share Price'!HX19</f>
        <v>0</v>
      </c>
      <c r="AS85" s="13">
        <f>'QTR Share Price'!HY19</f>
        <v>0</v>
      </c>
      <c r="AT85" s="13">
        <f>'QTR Share Price'!HZ19</f>
        <v>0</v>
      </c>
      <c r="AU85" s="13">
        <f>'QTR Share Price'!IA19</f>
        <v>0</v>
      </c>
      <c r="AV85" s="13">
        <f>'QTR Share Price'!IB19</f>
        <v>0</v>
      </c>
      <c r="AW85" s="13">
        <f>'QTR Share Price'!IC19</f>
        <v>0</v>
      </c>
      <c r="AX85" s="13">
        <f>'QTR Share Price'!ID19</f>
        <v>0</v>
      </c>
      <c r="AY85" s="13">
        <f>'QTR Share Price'!IE19</f>
        <v>0</v>
      </c>
      <c r="AZ85" s="13">
        <f>'QTR Share Price'!IF19</f>
        <v>0</v>
      </c>
      <c r="BA85" s="13">
        <f>'QTR Share Price'!IG19</f>
        <v>0</v>
      </c>
      <c r="BB85" s="13">
        <f>'QTR Share Price'!IH19</f>
        <v>0</v>
      </c>
      <c r="BC85" s="13">
        <f>'QTR Share Price'!II19</f>
        <v>0</v>
      </c>
      <c r="BD85" s="13">
        <f>'QTR Share Price'!IJ19</f>
        <v>0</v>
      </c>
      <c r="BE85" s="13">
        <f>'QTR Share Price'!IK19</f>
        <v>0</v>
      </c>
      <c r="BF85" s="13">
        <f>'QTR Share Price'!IL19</f>
        <v>0</v>
      </c>
      <c r="BG85" s="13">
        <f>'QTR Share Price'!IM19</f>
        <v>0</v>
      </c>
      <c r="BH85" s="13">
        <f>'QTR Share Price'!IN19</f>
        <v>0</v>
      </c>
      <c r="BI85" s="13">
        <f>'QTR Share Price'!IO19</f>
        <v>0</v>
      </c>
      <c r="BJ85" s="13">
        <f>'QTR Share Price'!IP19</f>
        <v>0</v>
      </c>
      <c r="BK85" s="13">
        <f>'QTR Share Price'!IQ19</f>
        <v>0</v>
      </c>
      <c r="BL85" s="13">
        <f>'QTR Share Price'!IR19</f>
        <v>755.5</v>
      </c>
      <c r="BM85" s="13">
        <f>'QTR Share Price'!IS19</f>
        <v>631.5</v>
      </c>
      <c r="BN85" s="13">
        <f>'QTR Share Price'!IT19</f>
        <v>338.25</v>
      </c>
      <c r="BO85" s="13">
        <f>'QTR Share Price'!IU19</f>
        <v>219.65</v>
      </c>
      <c r="BP85" s="13">
        <f>'QTR Share Price'!IV19</f>
        <v>289.45</v>
      </c>
      <c r="BQ85" s="13">
        <f>'QTR Share Price'!IW19</f>
        <v>294.60000000000002</v>
      </c>
      <c r="BR85" s="13">
        <f>'QTR Share Price'!IX19</f>
        <v>327</v>
      </c>
      <c r="BS85" s="13">
        <f>'QTR Share Price'!IY19</f>
        <v>343.5</v>
      </c>
      <c r="BT85" s="13">
        <f>'QTR Share Price'!IZ19</f>
        <v>427.5</v>
      </c>
      <c r="BU85" s="13">
        <f>'QTR Share Price'!JA19</f>
        <v>509</v>
      </c>
      <c r="BV85" s="13">
        <f>'QTR Share Price'!JB19</f>
        <v>423.15</v>
      </c>
      <c r="BW85" s="13">
        <f>'QTR Share Price'!JC19</f>
        <v>400</v>
      </c>
      <c r="BX85" s="13">
        <f>'QTR Share Price'!JD19</f>
        <v>362.1</v>
      </c>
      <c r="BY85" s="13">
        <f>'QTR Share Price'!JE19</f>
        <v>317.10000000000002</v>
      </c>
      <c r="BZ85" s="13">
        <f>'QTR Share Price'!JF19</f>
        <v>338.45</v>
      </c>
      <c r="CA85" s="13">
        <f>'QTR Share Price'!JG19</f>
        <v>330</v>
      </c>
      <c r="CB85" s="13">
        <f>'QTR Share Price'!JH19</f>
        <v>408.75</v>
      </c>
      <c r="CC85" s="13">
        <f>'QTR Share Price'!JI19</f>
        <v>459</v>
      </c>
      <c r="CD85" s="13">
        <f>'QTR Share Price'!JJ19</f>
        <v>646.95000000000005</v>
      </c>
      <c r="CE85" s="13">
        <f>'QTR Share Price'!JK19</f>
        <v>828</v>
      </c>
      <c r="CF85" s="13">
        <f>'QTR Share Price'!JL19</f>
        <v>758.35</v>
      </c>
      <c r="CG85" s="13">
        <f>'QTR Share Price'!JM19</f>
        <v>642</v>
      </c>
      <c r="CH85" s="13">
        <f>'QTR Share Price'!JN19</f>
        <v>475.35</v>
      </c>
      <c r="CI85" s="13">
        <f>'QTR Share Price'!JO19</f>
        <v>348.9</v>
      </c>
      <c r="CJ85" s="13">
        <f>'QTR Share Price'!JP19</f>
        <v>341</v>
      </c>
      <c r="CK85" s="13">
        <f>'QTR Share Price'!JQ19</f>
        <v>253</v>
      </c>
      <c r="CL85" s="13">
        <f>'QTR Share Price'!JR19</f>
        <v>223.6</v>
      </c>
      <c r="CM85" s="37">
        <f t="shared" ref="CM85:DB85" si="917">+CM76*CM93</f>
        <v>262.39697951063567</v>
      </c>
      <c r="CN85" s="37">
        <f t="shared" si="917"/>
        <v>244.56129801316743</v>
      </c>
      <c r="CO85" s="37">
        <f t="shared" si="917"/>
        <v>297.20466525375309</v>
      </c>
      <c r="CP85" s="37">
        <f t="shared" si="917"/>
        <v>284.46735849157398</v>
      </c>
      <c r="CQ85" s="37">
        <f t="shared" si="917"/>
        <v>307.63074986965137</v>
      </c>
      <c r="CR85" s="37">
        <f t="shared" si="917"/>
        <v>325.05565760947349</v>
      </c>
      <c r="CS85" s="37">
        <f t="shared" si="917"/>
        <v>335.28376752500463</v>
      </c>
      <c r="CT85" s="37">
        <f t="shared" si="917"/>
        <v>340.86541422724952</v>
      </c>
      <c r="CU85" s="37">
        <f t="shared" si="917"/>
        <v>354.98655179431114</v>
      </c>
      <c r="CV85" s="37">
        <f t="shared" si="917"/>
        <v>364.97140102269759</v>
      </c>
      <c r="CW85" s="37">
        <f t="shared" si="917"/>
        <v>373.63571297914729</v>
      </c>
      <c r="CX85" s="37">
        <f t="shared" si="917"/>
        <v>383.20457617016831</v>
      </c>
      <c r="CY85" s="37">
        <f t="shared" si="917"/>
        <v>395.2714215354876</v>
      </c>
      <c r="CZ85" s="37">
        <f t="shared" si="917"/>
        <v>404.8373836238552</v>
      </c>
      <c r="DA85" s="37">
        <f t="shared" si="917"/>
        <v>414.69440110100078</v>
      </c>
      <c r="DB85" s="37">
        <f t="shared" si="917"/>
        <v>426.25391436610698</v>
      </c>
      <c r="DE85" s="134"/>
      <c r="DF85" s="13">
        <v>223.6</v>
      </c>
    </row>
    <row r="86" spans="1:110" s="13" customFormat="1" x14ac:dyDescent="0.2">
      <c r="A86" s="13" t="s">
        <v>459</v>
      </c>
      <c r="B86" s="13">
        <f>'Annual Raw'!C108</f>
        <v>0</v>
      </c>
      <c r="C86" s="13">
        <f>'Annual Raw'!D108</f>
        <v>0</v>
      </c>
      <c r="D86" s="13">
        <f>'Annual Raw'!E108</f>
        <v>0</v>
      </c>
      <c r="E86" s="13">
        <f>'Annual Raw'!F108</f>
        <v>0</v>
      </c>
      <c r="F86" s="13">
        <f>'Annual Raw'!G108</f>
        <v>0</v>
      </c>
      <c r="G86" s="13">
        <f>'Annual Raw'!H108</f>
        <v>0</v>
      </c>
      <c r="H86" s="13">
        <f>'Annual Raw'!I108</f>
        <v>0</v>
      </c>
      <c r="I86" s="13">
        <f>'Annual Raw'!J108</f>
        <v>0</v>
      </c>
      <c r="J86" s="13">
        <f>'Annual Raw'!K108</f>
        <v>0</v>
      </c>
      <c r="K86" s="13">
        <f>'Annual Raw'!L108</f>
        <v>0</v>
      </c>
      <c r="L86" s="13">
        <f>'Annual Raw'!M108</f>
        <v>0</v>
      </c>
      <c r="M86" s="13">
        <f>'Annual Raw'!N108</f>
        <v>0</v>
      </c>
      <c r="N86" s="13">
        <f>'Annual Raw'!O108</f>
        <v>0</v>
      </c>
      <c r="O86" s="13">
        <f>'Annual Raw'!P108</f>
        <v>0</v>
      </c>
      <c r="P86" s="13">
        <f>'Annual Raw'!Q108</f>
        <v>0</v>
      </c>
      <c r="Q86" s="13">
        <f>'Annual Raw'!R108</f>
        <v>0</v>
      </c>
      <c r="R86" s="13">
        <f>'Annual Raw'!S108</f>
        <v>0</v>
      </c>
      <c r="S86" s="13">
        <f>'Annual Raw'!T108</f>
        <v>0</v>
      </c>
      <c r="T86" s="13">
        <f>'Annual Raw'!U108</f>
        <v>0</v>
      </c>
      <c r="U86" s="13">
        <f>'Annual Raw'!V108</f>
        <v>69.75</v>
      </c>
      <c r="V86" s="13">
        <f>'Annual Raw'!W108</f>
        <v>73.099999999999994</v>
      </c>
      <c r="W86" s="13">
        <f>'Annual Raw'!X108</f>
        <v>219</v>
      </c>
      <c r="X86" s="13">
        <f>'Annual Raw'!Y108</f>
        <v>255.25</v>
      </c>
      <c r="Y86" s="13">
        <f>'Annual Raw'!Z108</f>
        <v>253.45</v>
      </c>
      <c r="Z86" s="13">
        <f>'Annual Raw'!AA108</f>
        <v>218.2</v>
      </c>
      <c r="AA86" s="13">
        <f>'Annual Raw'!AB108</f>
        <v>148.30000000000001</v>
      </c>
      <c r="AB86" s="37">
        <f>+MIN(CM86:CP86)</f>
        <v>162.20232779674748</v>
      </c>
      <c r="AC86" s="37">
        <f>+MIN(CQ86:CT86)</f>
        <v>204.03238016846737</v>
      </c>
      <c r="AD86" s="37">
        <f>+MIN(CU86:CX86)</f>
        <v>235.44054396733611</v>
      </c>
      <c r="AE86" s="37">
        <f>+MIN(CY86:DB86)</f>
        <v>262.15899737796434</v>
      </c>
      <c r="AJ86" s="13">
        <f>+'QTR Share Price'!HP20</f>
        <v>0</v>
      </c>
      <c r="AK86" s="13">
        <f>+'QTR Share Price'!HQ20</f>
        <v>0</v>
      </c>
      <c r="AL86" s="13">
        <f>+'QTR Share Price'!HR20</f>
        <v>0</v>
      </c>
      <c r="AM86" s="13">
        <f>+'QTR Share Price'!HS20</f>
        <v>0</v>
      </c>
      <c r="AN86" s="13">
        <f>+'QTR Share Price'!HT20</f>
        <v>0</v>
      </c>
      <c r="AO86" s="13">
        <f>+'QTR Share Price'!HU20</f>
        <v>0</v>
      </c>
      <c r="AP86" s="13">
        <f>+'QTR Share Price'!HV20</f>
        <v>0</v>
      </c>
      <c r="AQ86" s="13">
        <f>+'QTR Share Price'!HW20</f>
        <v>0</v>
      </c>
      <c r="AR86" s="13">
        <f>+'QTR Share Price'!HX20</f>
        <v>0</v>
      </c>
      <c r="AS86" s="13">
        <f>+'QTR Share Price'!HY20</f>
        <v>0</v>
      </c>
      <c r="AT86" s="13">
        <f>+'QTR Share Price'!HZ20</f>
        <v>0</v>
      </c>
      <c r="AU86" s="13">
        <f>+'QTR Share Price'!IA20</f>
        <v>0</v>
      </c>
      <c r="AV86" s="13">
        <f>+'QTR Share Price'!IB20</f>
        <v>0</v>
      </c>
      <c r="AW86" s="13">
        <f>+'QTR Share Price'!IC20</f>
        <v>0</v>
      </c>
      <c r="AX86" s="13">
        <f>+'QTR Share Price'!ID20</f>
        <v>0</v>
      </c>
      <c r="AY86" s="13">
        <f>+'QTR Share Price'!IE20</f>
        <v>0</v>
      </c>
      <c r="AZ86" s="13">
        <f>+'QTR Share Price'!IF20</f>
        <v>0</v>
      </c>
      <c r="BA86" s="13">
        <f>+'QTR Share Price'!IG20</f>
        <v>0</v>
      </c>
      <c r="BB86" s="13">
        <f>+'QTR Share Price'!IH20</f>
        <v>0</v>
      </c>
      <c r="BC86" s="13">
        <f>+'QTR Share Price'!II20</f>
        <v>0</v>
      </c>
      <c r="BD86" s="13">
        <f>+'QTR Share Price'!IJ20</f>
        <v>0</v>
      </c>
      <c r="BE86" s="13">
        <f>+'QTR Share Price'!IK20</f>
        <v>0</v>
      </c>
      <c r="BF86" s="13">
        <f>+'QTR Share Price'!IL20</f>
        <v>0</v>
      </c>
      <c r="BG86" s="13">
        <f>+'QTR Share Price'!IM20</f>
        <v>0</v>
      </c>
      <c r="BH86" s="13">
        <f>+'QTR Share Price'!IN20</f>
        <v>0</v>
      </c>
      <c r="BI86" s="13">
        <f>+'QTR Share Price'!IO20</f>
        <v>0</v>
      </c>
      <c r="BJ86" s="13">
        <f>+'QTR Share Price'!IP20</f>
        <v>0</v>
      </c>
      <c r="BK86" s="13">
        <f>+'QTR Share Price'!IQ20</f>
        <v>0</v>
      </c>
      <c r="BL86" s="13">
        <f>+'QTR Share Price'!IR20</f>
        <v>0</v>
      </c>
      <c r="BM86" s="13">
        <f>+'QTR Share Price'!IS20</f>
        <v>245.1</v>
      </c>
      <c r="BN86" s="13">
        <f>+'QTR Share Price'!IT20</f>
        <v>69.75</v>
      </c>
      <c r="BO86" s="13">
        <f>+'QTR Share Price'!IU20</f>
        <v>73.099999999999994</v>
      </c>
      <c r="BP86" s="13">
        <f>+'QTR Share Price'!IV20</f>
        <v>187.25</v>
      </c>
      <c r="BQ86" s="13">
        <f>+'QTR Share Price'!IW20</f>
        <v>202.35</v>
      </c>
      <c r="BR86" s="13">
        <f>+'QTR Share Price'!IX20</f>
        <v>225.5</v>
      </c>
      <c r="BS86" s="13">
        <f>+'QTR Share Price'!IY20</f>
        <v>219</v>
      </c>
      <c r="BT86" s="13">
        <f>+'QTR Share Price'!IZ20</f>
        <v>248.35</v>
      </c>
      <c r="BU86" s="13">
        <f>+'QTR Share Price'!JA20</f>
        <v>372.05</v>
      </c>
      <c r="BV86" s="13">
        <f>+'QTR Share Price'!JB20</f>
        <v>295.25</v>
      </c>
      <c r="BW86" s="13">
        <f>+'QTR Share Price'!JC20</f>
        <v>278.35000000000002</v>
      </c>
      <c r="BX86" s="13">
        <f>+'QTR Share Price'!JD20</f>
        <v>273.35000000000002</v>
      </c>
      <c r="BY86" s="13">
        <f>+'QTR Share Price'!JE20</f>
        <v>255.25</v>
      </c>
      <c r="BZ86" s="13">
        <f>+'QTR Share Price'!JF20</f>
        <v>262</v>
      </c>
      <c r="CA86" s="13">
        <f>+'QTR Share Price'!JG20</f>
        <v>277.2</v>
      </c>
      <c r="CB86" s="13">
        <f>+'QTR Share Price'!JH20</f>
        <v>285.05</v>
      </c>
      <c r="CC86" s="13">
        <f>+'QTR Share Price'!JI20</f>
        <v>253.45</v>
      </c>
      <c r="CD86" s="13">
        <f>+'QTR Share Price'!JJ20</f>
        <v>434</v>
      </c>
      <c r="CE86" s="13">
        <f>+'QTR Share Price'!JK20</f>
        <v>476.65</v>
      </c>
      <c r="CF86" s="13">
        <f>+'QTR Share Price'!JL20</f>
        <v>608.1</v>
      </c>
      <c r="CG86" s="13">
        <f>+'QTR Share Price'!JM20</f>
        <v>441.45</v>
      </c>
      <c r="CH86" s="13">
        <f>+'QTR Share Price'!JN20</f>
        <v>218.2</v>
      </c>
      <c r="CI86" s="13">
        <f>+'QTR Share Price'!JO20</f>
        <v>216.05</v>
      </c>
      <c r="CJ86" s="13">
        <f>+'QTR Share Price'!JP20</f>
        <v>235</v>
      </c>
      <c r="CK86" s="13">
        <f>+'QTR Share Price'!JQ20</f>
        <v>196.55</v>
      </c>
      <c r="CL86" s="13">
        <f>+'QTR Share Price'!JR20</f>
        <v>148.30000000000001</v>
      </c>
      <c r="CM86" s="37">
        <f t="shared" ref="CM86:DB86" si="918">+CM94*CM76</f>
        <v>174.03162818169625</v>
      </c>
      <c r="CN86" s="37">
        <f t="shared" si="918"/>
        <v>162.20232779674748</v>
      </c>
      <c r="CO86" s="37">
        <f t="shared" si="918"/>
        <v>197.11740544334344</v>
      </c>
      <c r="CP86" s="37">
        <f t="shared" si="918"/>
        <v>188.66954053801624</v>
      </c>
      <c r="CQ86" s="37">
        <f t="shared" si="918"/>
        <v>204.03238016846737</v>
      </c>
      <c r="CR86" s="37">
        <f t="shared" si="918"/>
        <v>215.58923981880559</v>
      </c>
      <c r="CS86" s="37">
        <f t="shared" si="918"/>
        <v>222.37291021448212</v>
      </c>
      <c r="CT86" s="37">
        <f t="shared" si="918"/>
        <v>226.07486999061322</v>
      </c>
      <c r="CU86" s="37">
        <f t="shared" si="918"/>
        <v>235.44054396733611</v>
      </c>
      <c r="CV86" s="37">
        <f t="shared" si="918"/>
        <v>242.06287464966934</v>
      </c>
      <c r="CW86" s="37">
        <f t="shared" si="918"/>
        <v>247.80937493205525</v>
      </c>
      <c r="CX86" s="37">
        <f t="shared" si="918"/>
        <v>254.15580789819307</v>
      </c>
      <c r="CY86" s="37">
        <f t="shared" si="918"/>
        <v>262.15899737796434</v>
      </c>
      <c r="CZ86" s="37">
        <f t="shared" si="918"/>
        <v>268.50350622279848</v>
      </c>
      <c r="DA86" s="37">
        <f t="shared" si="918"/>
        <v>275.04105403970675</v>
      </c>
      <c r="DB86" s="37">
        <f t="shared" si="918"/>
        <v>282.70776163011487</v>
      </c>
      <c r="DE86" s="134"/>
      <c r="DF86" s="13">
        <v>148.30000000000001</v>
      </c>
    </row>
    <row r="87" spans="1:110" s="14" customFormat="1" x14ac:dyDescent="0.2">
      <c r="AB87" s="16"/>
      <c r="AC87" s="16"/>
      <c r="AD87" s="16"/>
      <c r="AE87" s="16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51" customFormat="1" x14ac:dyDescent="0.2">
      <c r="A88" s="51" t="s">
        <v>346</v>
      </c>
      <c r="AB88" s="48">
        <f t="shared" ref="AB88:AD88" si="919">+AB85/AB84-1</f>
        <v>0.52412648848078502</v>
      </c>
      <c r="AC88" s="48">
        <f t="shared" si="919"/>
        <v>0.74802776526794634</v>
      </c>
      <c r="AD88" s="48">
        <f t="shared" si="919"/>
        <v>0.96515167266752977</v>
      </c>
      <c r="AE88" s="48">
        <f t="shared" ref="AE88" si="920">+AE85/AE84-1</f>
        <v>1.1859175095697796</v>
      </c>
      <c r="CM88" s="48">
        <f t="shared" ref="CM88:DB88" si="921">+CM85/CM84-1</f>
        <v>0.34562553595197776</v>
      </c>
      <c r="CN88" s="48">
        <f t="shared" si="921"/>
        <v>0.25416050263162782</v>
      </c>
      <c r="CO88" s="48">
        <f t="shared" si="921"/>
        <v>0.52412648848078502</v>
      </c>
      <c r="CP88" s="48">
        <f t="shared" si="921"/>
        <v>0.45880696662345621</v>
      </c>
      <c r="CQ88" s="48">
        <f t="shared" si="921"/>
        <v>0.57759358907513514</v>
      </c>
      <c r="CR88" s="48">
        <f t="shared" si="921"/>
        <v>0.66695209030499214</v>
      </c>
      <c r="CS88" s="48">
        <f t="shared" si="921"/>
        <v>0.71940393602566477</v>
      </c>
      <c r="CT88" s="48">
        <f t="shared" si="921"/>
        <v>0.74802776526794634</v>
      </c>
      <c r="CU88" s="48">
        <f t="shared" si="921"/>
        <v>0.82044385535544184</v>
      </c>
      <c r="CV88" s="48">
        <f t="shared" si="921"/>
        <v>0.87164821037280826</v>
      </c>
      <c r="CW88" s="48">
        <f t="shared" si="921"/>
        <v>0.91608057938024245</v>
      </c>
      <c r="CX88" s="48">
        <f t="shared" si="921"/>
        <v>0.96515167266752977</v>
      </c>
      <c r="CY88" s="48">
        <f t="shared" si="921"/>
        <v>1.0270329309512185</v>
      </c>
      <c r="CZ88" s="48">
        <f t="shared" si="921"/>
        <v>1.076089146789001</v>
      </c>
      <c r="DA88" s="48">
        <f t="shared" si="921"/>
        <v>1.1266379543641065</v>
      </c>
      <c r="DB88" s="48">
        <f t="shared" si="921"/>
        <v>1.1859175095697796</v>
      </c>
      <c r="DE88" s="129"/>
      <c r="DF88" s="51">
        <v>1.3423967774420946</v>
      </c>
    </row>
    <row r="89" spans="1:110" s="51" customFormat="1" x14ac:dyDescent="0.2">
      <c r="A89" s="51" t="s">
        <v>347</v>
      </c>
      <c r="AB89" s="48">
        <f t="shared" ref="AB89:AD89" si="922">+AB86/AB84-1</f>
        <v>-0.16819319078591033</v>
      </c>
      <c r="AC89" s="48">
        <f t="shared" si="922"/>
        <v>4.631989829983274E-2</v>
      </c>
      <c r="AD89" s="48">
        <f t="shared" si="922"/>
        <v>0.20738740496069807</v>
      </c>
      <c r="AE89" s="48">
        <f t="shared" ref="AE89" si="923">+AE86/AE84-1</f>
        <v>0.34440511475879143</v>
      </c>
      <c r="CM89" s="48">
        <f t="shared" ref="CM89:DB89" si="924">+CM86/CM84-1</f>
        <v>-0.10753011188873718</v>
      </c>
      <c r="CN89" s="48">
        <f t="shared" si="924"/>
        <v>-0.16819319078591033</v>
      </c>
      <c r="CO89" s="48">
        <f t="shared" si="924"/>
        <v>1.0858489453043241E-2</v>
      </c>
      <c r="CP89" s="48">
        <f t="shared" si="924"/>
        <v>-3.2463894676839855E-2</v>
      </c>
      <c r="CQ89" s="48">
        <f t="shared" si="924"/>
        <v>4.631989829983274E-2</v>
      </c>
      <c r="CR89" s="48">
        <f t="shared" si="924"/>
        <v>0.10558584522464409</v>
      </c>
      <c r="CS89" s="48">
        <f t="shared" si="924"/>
        <v>0.14037389853580584</v>
      </c>
      <c r="CT89" s="48">
        <f t="shared" si="924"/>
        <v>0.15935830764417047</v>
      </c>
      <c r="CU89" s="48">
        <f t="shared" si="924"/>
        <v>0.20738740496069807</v>
      </c>
      <c r="CV89" s="48">
        <f t="shared" si="924"/>
        <v>0.24134807512650935</v>
      </c>
      <c r="CW89" s="48">
        <f t="shared" si="924"/>
        <v>0.2708173073438731</v>
      </c>
      <c r="CX89" s="48">
        <f t="shared" si="924"/>
        <v>0.30336311742663113</v>
      </c>
      <c r="CY89" s="48">
        <f t="shared" si="924"/>
        <v>0.34440511475879143</v>
      </c>
      <c r="CZ89" s="48">
        <f t="shared" si="924"/>
        <v>0.37694105755281271</v>
      </c>
      <c r="DA89" s="48">
        <f t="shared" si="924"/>
        <v>0.4104669437933679</v>
      </c>
      <c r="DB89" s="48">
        <f t="shared" si="924"/>
        <v>0.44978339297494796</v>
      </c>
      <c r="DE89" s="129"/>
      <c r="DF89" s="51">
        <v>-4.3638804968109124E-3</v>
      </c>
    </row>
    <row r="90" spans="1:110" s="14" customFormat="1" x14ac:dyDescent="0.2">
      <c r="AB90" s="16"/>
      <c r="AC90" s="16"/>
      <c r="AD90" s="16"/>
      <c r="AE90" s="16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13" customFormat="1" x14ac:dyDescent="0.2">
      <c r="A91" s="13" t="s">
        <v>40</v>
      </c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460</v>
      </c>
      <c r="B92" s="13" t="e">
        <f t="shared" ref="B92:D92" si="925">+B84/B76</f>
        <v>#DIV/0!</v>
      </c>
      <c r="C92" s="13" t="e">
        <f t="shared" si="925"/>
        <v>#DIV/0!</v>
      </c>
      <c r="D92" s="13" t="e">
        <f t="shared" si="925"/>
        <v>#DIV/0!</v>
      </c>
      <c r="E92" s="13" t="e">
        <f t="shared" ref="E92:AE92" ca="1" si="926">+E84/E76</f>
        <v>#DIV/0!</v>
      </c>
      <c r="F92" s="13" t="e">
        <f t="shared" ca="1" si="926"/>
        <v>#DIV/0!</v>
      </c>
      <c r="G92" s="13" t="e">
        <f t="shared" ca="1" si="926"/>
        <v>#DIV/0!</v>
      </c>
      <c r="H92" s="13" t="e">
        <f t="shared" ca="1" si="926"/>
        <v>#DIV/0!</v>
      </c>
      <c r="I92" s="13" t="e">
        <f t="shared" ca="1" si="926"/>
        <v>#DIV/0!</v>
      </c>
      <c r="J92" s="13" t="e">
        <f t="shared" ca="1" si="926"/>
        <v>#DIV/0!</v>
      </c>
      <c r="K92" s="13" t="e">
        <f t="shared" ca="1" si="926"/>
        <v>#DIV/0!</v>
      </c>
      <c r="L92" s="13" t="e">
        <f t="shared" ca="1" si="926"/>
        <v>#DIV/0!</v>
      </c>
      <c r="M92" s="13" t="e">
        <f t="shared" ca="1" si="926"/>
        <v>#DIV/0!</v>
      </c>
      <c r="N92" s="13" t="e">
        <f t="shared" ca="1" si="926"/>
        <v>#DIV/0!</v>
      </c>
      <c r="O92" s="13" t="e">
        <f t="shared" ca="1" si="926"/>
        <v>#DIV/0!</v>
      </c>
      <c r="P92" s="13" t="e">
        <f t="shared" ca="1" si="926"/>
        <v>#DIV/0!</v>
      </c>
      <c r="Q92" s="13" t="e">
        <f t="shared" ca="1" si="926"/>
        <v>#DIV/0!</v>
      </c>
      <c r="R92" s="13" t="e">
        <f t="shared" ca="1" si="926"/>
        <v>#DIV/0!</v>
      </c>
      <c r="S92" s="13" t="e">
        <f t="shared" ca="1" si="926"/>
        <v>#DIV/0!</v>
      </c>
      <c r="T92" s="13" t="e">
        <f t="shared" ca="1" si="926"/>
        <v>#DIV/0!</v>
      </c>
      <c r="U92" s="13" t="e">
        <f t="shared" ca="1" si="926"/>
        <v>#DIV/0!</v>
      </c>
      <c r="V92" s="13" t="e">
        <f t="shared" ca="1" si="926"/>
        <v>#DIV/0!</v>
      </c>
      <c r="W92" s="13" t="e">
        <f t="shared" ca="1" si="926"/>
        <v>#DIV/0!</v>
      </c>
      <c r="X92" s="13" t="e">
        <f t="shared" ca="1" si="926"/>
        <v>#DIV/0!</v>
      </c>
      <c r="Y92" s="13" t="e">
        <f t="shared" ca="1" si="926"/>
        <v>#DIV/0!</v>
      </c>
      <c r="Z92" s="13" t="e">
        <f t="shared" ref="Z92:AA92" ca="1" si="927">+Z84/Z76</f>
        <v>#DIV/0!</v>
      </c>
      <c r="AA92" s="13" t="e">
        <f t="shared" ca="1" si="927"/>
        <v>#DIV/0!</v>
      </c>
      <c r="AB92" s="37" t="e">
        <f t="shared" ca="1" si="926"/>
        <v>#DIV/0!</v>
      </c>
      <c r="AC92" s="37" t="e">
        <f t="shared" ca="1" si="926"/>
        <v>#DIV/0!</v>
      </c>
      <c r="AD92" s="37" t="e">
        <f t="shared" ca="1" si="926"/>
        <v>#DIV/0!</v>
      </c>
      <c r="AE92" s="37" t="e">
        <f t="shared" ca="1" si="926"/>
        <v>#DIV/0!</v>
      </c>
      <c r="AL92" s="13" t="e">
        <f t="shared" ref="AL92:BQ92" si="928">+AL84/AL76</f>
        <v>#DIV/0!</v>
      </c>
      <c r="AM92" s="13" t="e">
        <f t="shared" si="928"/>
        <v>#DIV/0!</v>
      </c>
      <c r="AN92" s="13" t="e">
        <f t="shared" si="928"/>
        <v>#DIV/0!</v>
      </c>
      <c r="AO92" s="13" t="e">
        <f t="shared" si="928"/>
        <v>#DIV/0!</v>
      </c>
      <c r="AP92" s="13" t="e">
        <f t="shared" si="928"/>
        <v>#DIV/0!</v>
      </c>
      <c r="AQ92" s="13" t="e">
        <f t="shared" si="928"/>
        <v>#DIV/0!</v>
      </c>
      <c r="AR92" s="13" t="e">
        <f t="shared" si="928"/>
        <v>#DIV/0!</v>
      </c>
      <c r="AS92" s="13" t="e">
        <f t="shared" si="928"/>
        <v>#DIV/0!</v>
      </c>
      <c r="AT92" s="13" t="e">
        <f t="shared" si="928"/>
        <v>#DIV/0!</v>
      </c>
      <c r="AU92" s="13" t="e">
        <f t="shared" si="928"/>
        <v>#DIV/0!</v>
      </c>
      <c r="AV92" s="13" t="e">
        <f t="shared" si="928"/>
        <v>#DIV/0!</v>
      </c>
      <c r="AW92" s="13" t="e">
        <f t="shared" si="928"/>
        <v>#DIV/0!</v>
      </c>
      <c r="AX92" s="13" t="e">
        <f t="shared" si="928"/>
        <v>#DIV/0!</v>
      </c>
      <c r="AY92" s="13" t="e">
        <f t="shared" si="928"/>
        <v>#DIV/0!</v>
      </c>
      <c r="AZ92" s="13" t="e">
        <f t="shared" si="928"/>
        <v>#DIV/0!</v>
      </c>
      <c r="BA92" s="13" t="e">
        <f t="shared" si="928"/>
        <v>#DIV/0!</v>
      </c>
      <c r="BB92" s="13" t="e">
        <f t="shared" si="928"/>
        <v>#DIV/0!</v>
      </c>
      <c r="BC92" s="13" t="e">
        <f t="shared" si="928"/>
        <v>#DIV/0!</v>
      </c>
      <c r="BD92" s="13" t="e">
        <f t="shared" si="928"/>
        <v>#DIV/0!</v>
      </c>
      <c r="BE92" s="13" t="e">
        <f t="shared" si="928"/>
        <v>#DIV/0!</v>
      </c>
      <c r="BF92" s="13" t="e">
        <f t="shared" si="928"/>
        <v>#DIV/0!</v>
      </c>
      <c r="BG92" s="13" t="e">
        <f t="shared" si="928"/>
        <v>#DIV/0!</v>
      </c>
      <c r="BH92" s="13">
        <f t="shared" si="928"/>
        <v>0</v>
      </c>
      <c r="BI92" s="13">
        <f t="shared" si="928"/>
        <v>0</v>
      </c>
      <c r="BJ92" s="13">
        <f t="shared" si="928"/>
        <v>0</v>
      </c>
      <c r="BK92" s="13">
        <f t="shared" si="928"/>
        <v>0</v>
      </c>
      <c r="BL92" s="13">
        <f t="shared" si="928"/>
        <v>23.704463894468141</v>
      </c>
      <c r="BM92" s="13">
        <f t="shared" si="928"/>
        <v>15.880681698228713</v>
      </c>
      <c r="BN92" s="13">
        <f t="shared" si="928"/>
        <v>5.7911668994165639</v>
      </c>
      <c r="BO92" s="13">
        <f t="shared" si="928"/>
        <v>18.426417595682981</v>
      </c>
      <c r="BP92" s="13">
        <f t="shared" si="928"/>
        <v>23.725843477005888</v>
      </c>
      <c r="BQ92" s="13">
        <f t="shared" si="928"/>
        <v>31.261883870967687</v>
      </c>
      <c r="BR92" s="13">
        <f t="shared" ref="BR92:DB92" si="929">+BR84/BR76</f>
        <v>-21.077020113532861</v>
      </c>
      <c r="BS92" s="13">
        <f t="shared" si="929"/>
        <v>-16.780958933107556</v>
      </c>
      <c r="BT92" s="13">
        <f t="shared" si="929"/>
        <v>-13.595332157382984</v>
      </c>
      <c r="BU92" s="13">
        <f t="shared" si="929"/>
        <v>-7.8986358527800649</v>
      </c>
      <c r="BV92" s="13">
        <f t="shared" si="929"/>
        <v>-8.1491104611527714</v>
      </c>
      <c r="BW92" s="13">
        <f t="shared" si="929"/>
        <v>-5.8362707938513374</v>
      </c>
      <c r="BX92" s="13">
        <f t="shared" si="929"/>
        <v>-6.0352188700951181</v>
      </c>
      <c r="BY92" s="13">
        <f t="shared" si="929"/>
        <v>-7.11212716302368</v>
      </c>
      <c r="BZ92" s="13">
        <f t="shared" si="929"/>
        <v>-5.8327583258518247</v>
      </c>
      <c r="CA92" s="13">
        <f t="shared" si="929"/>
        <v>-7.4090779378999265</v>
      </c>
      <c r="CB92" s="13">
        <f t="shared" si="929"/>
        <v>-12.612793794228098</v>
      </c>
      <c r="CC92" s="13">
        <f t="shared" si="929"/>
        <v>-16.012316910785625</v>
      </c>
      <c r="CD92" s="13">
        <f t="shared" si="929"/>
        <v>-57.711240858693088</v>
      </c>
      <c r="CE92" s="13">
        <f t="shared" si="929"/>
        <v>-148.17029566301517</v>
      </c>
      <c r="CF92" s="13">
        <f t="shared" si="929"/>
        <v>-282.61330653069166</v>
      </c>
      <c r="CG92" s="13">
        <f t="shared" si="929"/>
        <v>389.2091057797175</v>
      </c>
      <c r="CH92" s="13">
        <f t="shared" si="929"/>
        <v>71.813075506445472</v>
      </c>
      <c r="CI92" s="13">
        <f t="shared" ref="CI92:CJ92" si="930">+CI84/CI76</f>
        <v>68.363361713814669</v>
      </c>
      <c r="CJ92" s="13">
        <f t="shared" si="930"/>
        <v>27.071168930552872</v>
      </c>
      <c r="CK92" s="13">
        <f t="shared" ref="CK92:CL92" si="931">+CK84/CK76</f>
        <v>22.507669125584712</v>
      </c>
      <c r="CL92" s="13">
        <f t="shared" si="931"/>
        <v>11.5352144207489</v>
      </c>
      <c r="CM92" s="37">
        <f t="shared" si="929"/>
        <v>12.868642714452974</v>
      </c>
      <c r="CN92" s="37">
        <f t="shared" si="929"/>
        <v>13.807143673616762</v>
      </c>
      <c r="CO92" s="37">
        <f t="shared" si="929"/>
        <v>11.36150731614859</v>
      </c>
      <c r="CP92" s="37">
        <f t="shared" si="929"/>
        <v>11.870230020693313</v>
      </c>
      <c r="CQ92" s="37">
        <f t="shared" si="929"/>
        <v>10.976448161000723</v>
      </c>
      <c r="CR92" s="37">
        <f t="shared" si="929"/>
        <v>10.388045553511994</v>
      </c>
      <c r="CS92" s="37">
        <f t="shared" si="929"/>
        <v>10.071149592478207</v>
      </c>
      <c r="CT92" s="37">
        <f t="shared" si="929"/>
        <v>9.9062352404659659</v>
      </c>
      <c r="CU92" s="37">
        <f t="shared" si="929"/>
        <v>9.5121715501790494</v>
      </c>
      <c r="CV92" s="37">
        <f t="shared" si="929"/>
        <v>9.2519385606983811</v>
      </c>
      <c r="CW92" s="37">
        <f t="shared" si="929"/>
        <v>9.0373935396867768</v>
      </c>
      <c r="CX92" s="37">
        <f t="shared" si="929"/>
        <v>8.8117240467779077</v>
      </c>
      <c r="CY92" s="37">
        <f t="shared" si="929"/>
        <v>8.5427197482599873</v>
      </c>
      <c r="CZ92" s="37">
        <f t="shared" si="929"/>
        <v>8.340862566712417</v>
      </c>
      <c r="DA92" s="37">
        <f t="shared" si="929"/>
        <v>8.1426056626493946</v>
      </c>
      <c r="DB92" s="37">
        <f t="shared" si="929"/>
        <v>7.921787612661749</v>
      </c>
      <c r="DE92" s="134"/>
      <c r="DF92" s="13">
        <v>13.681162467443352</v>
      </c>
    </row>
    <row r="93" spans="1:110" s="13" customFormat="1" x14ac:dyDescent="0.2">
      <c r="A93" s="13" t="s">
        <v>461</v>
      </c>
      <c r="B93" s="13" t="e">
        <f t="shared" ref="B93:D93" si="932">+B85/B76</f>
        <v>#DIV/0!</v>
      </c>
      <c r="C93" s="13" t="e">
        <f t="shared" si="932"/>
        <v>#DIV/0!</v>
      </c>
      <c r="D93" s="13" t="e">
        <f t="shared" si="932"/>
        <v>#DIV/0!</v>
      </c>
      <c r="E93" s="13" t="e">
        <f t="shared" ref="E93:AE93" ca="1" si="933">+E85/E76</f>
        <v>#DIV/0!</v>
      </c>
      <c r="F93" s="13" t="e">
        <f t="shared" ca="1" si="933"/>
        <v>#DIV/0!</v>
      </c>
      <c r="G93" s="13" t="e">
        <f t="shared" ca="1" si="933"/>
        <v>#DIV/0!</v>
      </c>
      <c r="H93" s="13" t="e">
        <f t="shared" ca="1" si="933"/>
        <v>#DIV/0!</v>
      </c>
      <c r="I93" s="13" t="e">
        <f t="shared" ca="1" si="933"/>
        <v>#DIV/0!</v>
      </c>
      <c r="J93" s="13" t="e">
        <f t="shared" ca="1" si="933"/>
        <v>#DIV/0!</v>
      </c>
      <c r="K93" s="13" t="e">
        <f t="shared" ca="1" si="933"/>
        <v>#DIV/0!</v>
      </c>
      <c r="L93" s="13" t="e">
        <f t="shared" ca="1" si="933"/>
        <v>#DIV/0!</v>
      </c>
      <c r="M93" s="13" t="e">
        <f t="shared" ca="1" si="933"/>
        <v>#DIV/0!</v>
      </c>
      <c r="N93" s="13" t="e">
        <f t="shared" ca="1" si="933"/>
        <v>#DIV/0!</v>
      </c>
      <c r="O93" s="13" t="e">
        <f t="shared" ca="1" si="933"/>
        <v>#DIV/0!</v>
      </c>
      <c r="P93" s="13" t="e">
        <f t="shared" ca="1" si="933"/>
        <v>#DIV/0!</v>
      </c>
      <c r="Q93" s="13" t="e">
        <f t="shared" ca="1" si="933"/>
        <v>#DIV/0!</v>
      </c>
      <c r="R93" s="13" t="e">
        <f t="shared" ca="1" si="933"/>
        <v>#DIV/0!</v>
      </c>
      <c r="S93" s="13" t="e">
        <f t="shared" ca="1" si="933"/>
        <v>#DIV/0!</v>
      </c>
      <c r="T93" s="13" t="e">
        <f t="shared" ca="1" si="933"/>
        <v>#DIV/0!</v>
      </c>
      <c r="U93" s="13" t="e">
        <f t="shared" ca="1" si="933"/>
        <v>#DIV/0!</v>
      </c>
      <c r="V93" s="13" t="e">
        <f t="shared" ca="1" si="933"/>
        <v>#DIV/0!</v>
      </c>
      <c r="W93" s="13" t="e">
        <f t="shared" ca="1" si="933"/>
        <v>#DIV/0!</v>
      </c>
      <c r="X93" s="13" t="e">
        <f t="shared" ca="1" si="933"/>
        <v>#DIV/0!</v>
      </c>
      <c r="Y93" s="13" t="e">
        <f t="shared" ca="1" si="933"/>
        <v>#DIV/0!</v>
      </c>
      <c r="Z93" s="13" t="e">
        <f t="shared" ref="Z93:AA93" ca="1" si="934">+Z85/Z76</f>
        <v>#DIV/0!</v>
      </c>
      <c r="AA93" s="13" t="e">
        <f t="shared" ca="1" si="934"/>
        <v>#DIV/0!</v>
      </c>
      <c r="AB93" s="60" t="e">
        <f t="shared" ca="1" si="933"/>
        <v>#DIV/0!</v>
      </c>
      <c r="AC93" s="60" t="e">
        <f t="shared" ca="1" si="933"/>
        <v>#DIV/0!</v>
      </c>
      <c r="AD93" s="60" t="e">
        <f t="shared" ca="1" si="933"/>
        <v>#DIV/0!</v>
      </c>
      <c r="AE93" s="60" t="e">
        <f t="shared" ca="1" si="933"/>
        <v>#DIV/0!</v>
      </c>
      <c r="AL93" s="13" t="e">
        <f t="shared" ref="AL93:BQ93" si="935">+AL85/AL76</f>
        <v>#DIV/0!</v>
      </c>
      <c r="AM93" s="13" t="e">
        <f t="shared" si="935"/>
        <v>#DIV/0!</v>
      </c>
      <c r="AN93" s="13" t="e">
        <f t="shared" si="935"/>
        <v>#DIV/0!</v>
      </c>
      <c r="AO93" s="13" t="e">
        <f t="shared" si="935"/>
        <v>#DIV/0!</v>
      </c>
      <c r="AP93" s="13" t="e">
        <f t="shared" si="935"/>
        <v>#DIV/0!</v>
      </c>
      <c r="AQ93" s="13" t="e">
        <f t="shared" si="935"/>
        <v>#DIV/0!</v>
      </c>
      <c r="AR93" s="13" t="e">
        <f t="shared" si="935"/>
        <v>#DIV/0!</v>
      </c>
      <c r="AS93" s="13" t="e">
        <f t="shared" si="935"/>
        <v>#DIV/0!</v>
      </c>
      <c r="AT93" s="13" t="e">
        <f t="shared" si="935"/>
        <v>#DIV/0!</v>
      </c>
      <c r="AU93" s="13" t="e">
        <f t="shared" si="935"/>
        <v>#DIV/0!</v>
      </c>
      <c r="AV93" s="13" t="e">
        <f t="shared" si="935"/>
        <v>#DIV/0!</v>
      </c>
      <c r="AW93" s="13" t="e">
        <f t="shared" si="935"/>
        <v>#DIV/0!</v>
      </c>
      <c r="AX93" s="13" t="e">
        <f t="shared" si="935"/>
        <v>#DIV/0!</v>
      </c>
      <c r="AY93" s="13" t="e">
        <f t="shared" si="935"/>
        <v>#DIV/0!</v>
      </c>
      <c r="AZ93" s="13" t="e">
        <f t="shared" si="935"/>
        <v>#DIV/0!</v>
      </c>
      <c r="BA93" s="13" t="e">
        <f t="shared" si="935"/>
        <v>#DIV/0!</v>
      </c>
      <c r="BB93" s="13" t="e">
        <f t="shared" si="935"/>
        <v>#DIV/0!</v>
      </c>
      <c r="BC93" s="13" t="e">
        <f t="shared" si="935"/>
        <v>#DIV/0!</v>
      </c>
      <c r="BD93" s="13" t="e">
        <f t="shared" si="935"/>
        <v>#DIV/0!</v>
      </c>
      <c r="BE93" s="13" t="e">
        <f t="shared" si="935"/>
        <v>#DIV/0!</v>
      </c>
      <c r="BF93" s="13" t="e">
        <f t="shared" si="935"/>
        <v>#DIV/0!</v>
      </c>
      <c r="BG93" s="13" t="e">
        <f t="shared" si="935"/>
        <v>#DIV/0!</v>
      </c>
      <c r="BH93" s="13">
        <f t="shared" si="935"/>
        <v>0</v>
      </c>
      <c r="BI93" s="13">
        <f t="shared" si="935"/>
        <v>0</v>
      </c>
      <c r="BJ93" s="13">
        <f t="shared" si="935"/>
        <v>0</v>
      </c>
      <c r="BK93" s="13">
        <f t="shared" si="935"/>
        <v>0</v>
      </c>
      <c r="BL93" s="13">
        <f t="shared" si="935"/>
        <v>28.736717702616623</v>
      </c>
      <c r="BM93" s="13">
        <f t="shared" si="935"/>
        <v>31.130375577933982</v>
      </c>
      <c r="BN93" s="13">
        <f t="shared" si="935"/>
        <v>25.472850503610566</v>
      </c>
      <c r="BO93" s="13">
        <f t="shared" si="935"/>
        <v>18.426417595682981</v>
      </c>
      <c r="BP93" s="13">
        <f t="shared" si="935"/>
        <v>30.481337747089899</v>
      </c>
      <c r="BQ93" s="13">
        <f t="shared" si="935"/>
        <v>35.504051612903169</v>
      </c>
      <c r="BR93" s="13">
        <f t="shared" ref="BR93:CH93" si="936">+BR85/BR76</f>
        <v>-26.755378793188065</v>
      </c>
      <c r="BS93" s="13">
        <f t="shared" si="936"/>
        <v>-21.223340918712978</v>
      </c>
      <c r="BT93" s="13">
        <f t="shared" si="936"/>
        <v>-14.551839001705623</v>
      </c>
      <c r="BU93" s="13">
        <f t="shared" si="936"/>
        <v>-10.517738781072735</v>
      </c>
      <c r="BV93" s="13">
        <f t="shared" si="936"/>
        <v>-10.864196886064258</v>
      </c>
      <c r="BW93" s="13">
        <f t="shared" si="936"/>
        <v>-7.8669193514424096</v>
      </c>
      <c r="BX93" s="13">
        <f t="shared" si="936"/>
        <v>-7.0483881724284538</v>
      </c>
      <c r="BY93" s="13">
        <f t="shared" si="936"/>
        <v>-8.4292862021857928</v>
      </c>
      <c r="BZ93" s="13">
        <f t="shared" si="936"/>
        <v>-6.7571352229489996</v>
      </c>
      <c r="CA93" s="13">
        <f t="shared" si="936"/>
        <v>-8.4572664113005036</v>
      </c>
      <c r="CB93" s="13">
        <f t="shared" si="936"/>
        <v>-14.279128828114485</v>
      </c>
      <c r="CC93" s="13">
        <f t="shared" si="936"/>
        <v>-16.989490203538146</v>
      </c>
      <c r="CD93" s="13">
        <f t="shared" si="936"/>
        <v>-71.272859164897383</v>
      </c>
      <c r="CE93" s="13">
        <f t="shared" si="936"/>
        <v>-172.17739780924364</v>
      </c>
      <c r="CF93" s="13">
        <f t="shared" si="936"/>
        <v>-347.27343596783606</v>
      </c>
      <c r="CG93" s="13">
        <f t="shared" si="936"/>
        <v>544.91821155943433</v>
      </c>
      <c r="CH93" s="13">
        <f t="shared" si="936"/>
        <v>136.27283609576389</v>
      </c>
      <c r="CI93" s="13">
        <f t="shared" ref="CI93:CJ93" si="937">+CI85/CI76</f>
        <v>74.584042845371897</v>
      </c>
      <c r="CJ93" s="13">
        <f t="shared" si="937"/>
        <v>38.082791276066537</v>
      </c>
      <c r="CK93" s="13">
        <f t="shared" ref="CK93:CL93" si="938">+CK85/CK76</f>
        <v>26.57228319539399</v>
      </c>
      <c r="CL93" s="13">
        <f t="shared" si="938"/>
        <v>17.316374249610298</v>
      </c>
      <c r="CM93" s="60">
        <f t="shared" ref="CM93:CM94" si="939">+CL93</f>
        <v>17.316374249610298</v>
      </c>
      <c r="CN93" s="60">
        <f t="shared" ref="CN93:CN94" si="940">+CM93</f>
        <v>17.316374249610298</v>
      </c>
      <c r="CO93" s="60">
        <f t="shared" ref="CO93:CO94" si="941">+CN93</f>
        <v>17.316374249610298</v>
      </c>
      <c r="CP93" s="60">
        <f t="shared" ref="CP93:CP94" si="942">+CO93</f>
        <v>17.316374249610298</v>
      </c>
      <c r="CQ93" s="60">
        <f t="shared" ref="CQ93:CQ94" si="943">+CP93</f>
        <v>17.316374249610298</v>
      </c>
      <c r="CR93" s="60">
        <f t="shared" ref="CR93:CR94" si="944">+CQ93</f>
        <v>17.316374249610298</v>
      </c>
      <c r="CS93" s="60">
        <f t="shared" ref="CS93:CS94" si="945">+CR93</f>
        <v>17.316374249610298</v>
      </c>
      <c r="CT93" s="60">
        <f t="shared" ref="CT93:CT94" si="946">+CS93</f>
        <v>17.316374249610298</v>
      </c>
      <c r="CU93" s="60">
        <f t="shared" ref="CU93:CU94" si="947">+CT93</f>
        <v>17.316374249610298</v>
      </c>
      <c r="CV93" s="60">
        <f t="shared" ref="CV93:CV94" si="948">+CU93</f>
        <v>17.316374249610298</v>
      </c>
      <c r="CW93" s="60">
        <f t="shared" ref="CW93:CW94" si="949">+CV93</f>
        <v>17.316374249610298</v>
      </c>
      <c r="CX93" s="60">
        <f t="shared" ref="CX93:CX94" si="950">+CW93</f>
        <v>17.316374249610298</v>
      </c>
      <c r="CY93" s="60">
        <f t="shared" ref="CY93:CY94" si="951">+CX93</f>
        <v>17.316374249610298</v>
      </c>
      <c r="CZ93" s="60">
        <f t="shared" ref="CZ93:CZ94" si="952">+CY93</f>
        <v>17.316374249610298</v>
      </c>
      <c r="DA93" s="60">
        <f t="shared" ref="DA93:DA94" si="953">+CZ93</f>
        <v>17.316374249610298</v>
      </c>
      <c r="DB93" s="60">
        <f t="shared" ref="DB93:DB94" si="954">+DA93</f>
        <v>17.316374249610298</v>
      </c>
      <c r="DE93" s="136"/>
      <c r="DF93" s="13">
        <v>20.537817574490322</v>
      </c>
    </row>
    <row r="94" spans="1:110" s="13" customFormat="1" x14ac:dyDescent="0.2">
      <c r="A94" s="13" t="s">
        <v>462</v>
      </c>
      <c r="B94" s="13" t="e">
        <f t="shared" ref="B94:D94" si="955">+B86/B76</f>
        <v>#DIV/0!</v>
      </c>
      <c r="C94" s="13" t="e">
        <f t="shared" si="955"/>
        <v>#DIV/0!</v>
      </c>
      <c r="D94" s="13" t="e">
        <f t="shared" si="955"/>
        <v>#DIV/0!</v>
      </c>
      <c r="E94" s="13" t="e">
        <f t="shared" ref="E94:AE94" ca="1" si="956">+E86/E76</f>
        <v>#DIV/0!</v>
      </c>
      <c r="F94" s="13" t="e">
        <f t="shared" ca="1" si="956"/>
        <v>#DIV/0!</v>
      </c>
      <c r="G94" s="13" t="e">
        <f t="shared" ca="1" si="956"/>
        <v>#DIV/0!</v>
      </c>
      <c r="H94" s="13" t="e">
        <f t="shared" ca="1" si="956"/>
        <v>#DIV/0!</v>
      </c>
      <c r="I94" s="13" t="e">
        <f t="shared" ca="1" si="956"/>
        <v>#DIV/0!</v>
      </c>
      <c r="J94" s="13" t="e">
        <f t="shared" ca="1" si="956"/>
        <v>#DIV/0!</v>
      </c>
      <c r="K94" s="13" t="e">
        <f t="shared" ca="1" si="956"/>
        <v>#DIV/0!</v>
      </c>
      <c r="L94" s="13" t="e">
        <f t="shared" ca="1" si="956"/>
        <v>#DIV/0!</v>
      </c>
      <c r="M94" s="13" t="e">
        <f t="shared" ca="1" si="956"/>
        <v>#DIV/0!</v>
      </c>
      <c r="N94" s="13" t="e">
        <f t="shared" ca="1" si="956"/>
        <v>#DIV/0!</v>
      </c>
      <c r="O94" s="13" t="e">
        <f t="shared" ca="1" si="956"/>
        <v>#DIV/0!</v>
      </c>
      <c r="P94" s="13" t="e">
        <f t="shared" ca="1" si="956"/>
        <v>#DIV/0!</v>
      </c>
      <c r="Q94" s="13" t="e">
        <f t="shared" ca="1" si="956"/>
        <v>#DIV/0!</v>
      </c>
      <c r="R94" s="13" t="e">
        <f t="shared" ca="1" si="956"/>
        <v>#DIV/0!</v>
      </c>
      <c r="S94" s="13" t="e">
        <f t="shared" ca="1" si="956"/>
        <v>#DIV/0!</v>
      </c>
      <c r="T94" s="13" t="e">
        <f t="shared" ca="1" si="956"/>
        <v>#DIV/0!</v>
      </c>
      <c r="U94" s="13" t="e">
        <f t="shared" ca="1" si="956"/>
        <v>#DIV/0!</v>
      </c>
      <c r="V94" s="13" t="e">
        <f t="shared" ca="1" si="956"/>
        <v>#DIV/0!</v>
      </c>
      <c r="W94" s="13" t="e">
        <f t="shared" ca="1" si="956"/>
        <v>#DIV/0!</v>
      </c>
      <c r="X94" s="13" t="e">
        <f t="shared" ca="1" si="956"/>
        <v>#DIV/0!</v>
      </c>
      <c r="Y94" s="13" t="e">
        <f t="shared" ca="1" si="956"/>
        <v>#DIV/0!</v>
      </c>
      <c r="Z94" s="13" t="e">
        <f t="shared" ref="Z94:AA94" ca="1" si="957">+Z86/Z76</f>
        <v>#DIV/0!</v>
      </c>
      <c r="AA94" s="13" t="e">
        <f t="shared" ca="1" si="957"/>
        <v>#DIV/0!</v>
      </c>
      <c r="AB94" s="60" t="e">
        <f t="shared" ca="1" si="956"/>
        <v>#DIV/0!</v>
      </c>
      <c r="AC94" s="60" t="e">
        <f t="shared" ca="1" si="956"/>
        <v>#DIV/0!</v>
      </c>
      <c r="AD94" s="60" t="e">
        <f t="shared" ca="1" si="956"/>
        <v>#DIV/0!</v>
      </c>
      <c r="AE94" s="60" t="e">
        <f t="shared" ca="1" si="956"/>
        <v>#DIV/0!</v>
      </c>
      <c r="AL94" s="13" t="e">
        <f t="shared" ref="AL94:BQ94" si="958">+AL86/AL76</f>
        <v>#DIV/0!</v>
      </c>
      <c r="AM94" s="13" t="e">
        <f t="shared" si="958"/>
        <v>#DIV/0!</v>
      </c>
      <c r="AN94" s="13" t="e">
        <f t="shared" si="958"/>
        <v>#DIV/0!</v>
      </c>
      <c r="AO94" s="13" t="e">
        <f t="shared" si="958"/>
        <v>#DIV/0!</v>
      </c>
      <c r="AP94" s="13" t="e">
        <f t="shared" si="958"/>
        <v>#DIV/0!</v>
      </c>
      <c r="AQ94" s="13" t="e">
        <f t="shared" si="958"/>
        <v>#DIV/0!</v>
      </c>
      <c r="AR94" s="13" t="e">
        <f t="shared" si="958"/>
        <v>#DIV/0!</v>
      </c>
      <c r="AS94" s="13" t="e">
        <f t="shared" si="958"/>
        <v>#DIV/0!</v>
      </c>
      <c r="AT94" s="13" t="e">
        <f t="shared" si="958"/>
        <v>#DIV/0!</v>
      </c>
      <c r="AU94" s="13" t="e">
        <f t="shared" si="958"/>
        <v>#DIV/0!</v>
      </c>
      <c r="AV94" s="13" t="e">
        <f t="shared" si="958"/>
        <v>#DIV/0!</v>
      </c>
      <c r="AW94" s="13" t="e">
        <f t="shared" si="958"/>
        <v>#DIV/0!</v>
      </c>
      <c r="AX94" s="13" t="e">
        <f t="shared" si="958"/>
        <v>#DIV/0!</v>
      </c>
      <c r="AY94" s="13" t="e">
        <f t="shared" si="958"/>
        <v>#DIV/0!</v>
      </c>
      <c r="AZ94" s="13" t="e">
        <f t="shared" si="958"/>
        <v>#DIV/0!</v>
      </c>
      <c r="BA94" s="13" t="e">
        <f t="shared" si="958"/>
        <v>#DIV/0!</v>
      </c>
      <c r="BB94" s="13" t="e">
        <f t="shared" si="958"/>
        <v>#DIV/0!</v>
      </c>
      <c r="BC94" s="13" t="e">
        <f t="shared" si="958"/>
        <v>#DIV/0!</v>
      </c>
      <c r="BD94" s="13" t="e">
        <f t="shared" si="958"/>
        <v>#DIV/0!</v>
      </c>
      <c r="BE94" s="13" t="e">
        <f t="shared" si="958"/>
        <v>#DIV/0!</v>
      </c>
      <c r="BF94" s="13" t="e">
        <f t="shared" si="958"/>
        <v>#DIV/0!</v>
      </c>
      <c r="BG94" s="13" t="e">
        <f t="shared" si="958"/>
        <v>#DIV/0!</v>
      </c>
      <c r="BH94" s="13">
        <f t="shared" si="958"/>
        <v>0</v>
      </c>
      <c r="BI94" s="13">
        <f t="shared" si="958"/>
        <v>0</v>
      </c>
      <c r="BJ94" s="13">
        <f t="shared" si="958"/>
        <v>0</v>
      </c>
      <c r="BK94" s="13">
        <f t="shared" si="958"/>
        <v>0</v>
      </c>
      <c r="BL94" s="13">
        <f t="shared" si="958"/>
        <v>0</v>
      </c>
      <c r="BM94" s="13">
        <f t="shared" si="958"/>
        <v>12.082430806257513</v>
      </c>
      <c r="BN94" s="13">
        <f t="shared" si="958"/>
        <v>5.2527164009662588</v>
      </c>
      <c r="BO94" s="13">
        <f t="shared" si="958"/>
        <v>6.1323520429976126</v>
      </c>
      <c r="BP94" s="13">
        <f t="shared" si="958"/>
        <v>19.718882339411241</v>
      </c>
      <c r="BQ94" s="13">
        <f t="shared" si="958"/>
        <v>24.386438709677378</v>
      </c>
      <c r="BR94" s="13">
        <f t="shared" ref="BR94:CH94" si="959">+BR86/BR76</f>
        <v>-18.450574672366692</v>
      </c>
      <c r="BS94" s="13">
        <f t="shared" si="959"/>
        <v>-13.531038314987313</v>
      </c>
      <c r="BT94" s="13">
        <f t="shared" si="959"/>
        <v>-8.4536823767803302</v>
      </c>
      <c r="BU94" s="13">
        <f t="shared" si="959"/>
        <v>-7.6878678064795904</v>
      </c>
      <c r="BV94" s="13">
        <f t="shared" si="959"/>
        <v>-7.5804186000483806</v>
      </c>
      <c r="BW94" s="13">
        <f t="shared" si="959"/>
        <v>-5.474392503684987</v>
      </c>
      <c r="BX94" s="13">
        <f t="shared" si="959"/>
        <v>-5.3208420517352053</v>
      </c>
      <c r="BY94" s="13">
        <f t="shared" si="959"/>
        <v>-6.7851633652094714</v>
      </c>
      <c r="BZ94" s="13">
        <f t="shared" si="959"/>
        <v>-5.2308152708306626</v>
      </c>
      <c r="CA94" s="13">
        <f t="shared" si="959"/>
        <v>-7.1041037854924225</v>
      </c>
      <c r="CB94" s="13">
        <f t="shared" si="959"/>
        <v>-9.9578365075328055</v>
      </c>
      <c r="CC94" s="13">
        <f t="shared" si="959"/>
        <v>-9.38123375182297</v>
      </c>
      <c r="CD94" s="13">
        <f t="shared" si="959"/>
        <v>-47.812691672564284</v>
      </c>
      <c r="CE94" s="13">
        <f t="shared" si="959"/>
        <v>-99.116372784753608</v>
      </c>
      <c r="CF94" s="13">
        <f t="shared" si="959"/>
        <v>-278.46901353206448</v>
      </c>
      <c r="CG94" s="13">
        <f t="shared" si="959"/>
        <v>374.69492911668584</v>
      </c>
      <c r="CH94" s="13">
        <f t="shared" si="959"/>
        <v>62.553345610803994</v>
      </c>
      <c r="CI94" s="13">
        <f t="shared" ref="CI94:CJ94" si="960">+CI86/CI76</f>
        <v>46.184816442369161</v>
      </c>
      <c r="CJ94" s="13">
        <f t="shared" si="960"/>
        <v>26.244738855940284</v>
      </c>
      <c r="CK94" s="13">
        <f t="shared" ref="CK94:CL94" si="961">+CK86/CK76</f>
        <v>20.643408150413791</v>
      </c>
      <c r="CL94" s="13">
        <f t="shared" si="961"/>
        <v>11.484876123511663</v>
      </c>
      <c r="CM94" s="60">
        <f t="shared" si="939"/>
        <v>11.484876123511663</v>
      </c>
      <c r="CN94" s="60">
        <f t="shared" si="940"/>
        <v>11.484876123511663</v>
      </c>
      <c r="CO94" s="60">
        <f t="shared" si="941"/>
        <v>11.484876123511663</v>
      </c>
      <c r="CP94" s="60">
        <f t="shared" si="942"/>
        <v>11.484876123511663</v>
      </c>
      <c r="CQ94" s="60">
        <f t="shared" si="943"/>
        <v>11.484876123511663</v>
      </c>
      <c r="CR94" s="60">
        <f t="shared" si="944"/>
        <v>11.484876123511663</v>
      </c>
      <c r="CS94" s="60">
        <f t="shared" si="945"/>
        <v>11.484876123511663</v>
      </c>
      <c r="CT94" s="60">
        <f t="shared" si="946"/>
        <v>11.484876123511663</v>
      </c>
      <c r="CU94" s="60">
        <f t="shared" si="947"/>
        <v>11.484876123511663</v>
      </c>
      <c r="CV94" s="60">
        <f t="shared" si="948"/>
        <v>11.484876123511663</v>
      </c>
      <c r="CW94" s="60">
        <f t="shared" si="949"/>
        <v>11.484876123511663</v>
      </c>
      <c r="CX94" s="60">
        <f t="shared" si="950"/>
        <v>11.484876123511663</v>
      </c>
      <c r="CY94" s="60">
        <f t="shared" si="951"/>
        <v>11.484876123511663</v>
      </c>
      <c r="CZ94" s="60">
        <f t="shared" si="952"/>
        <v>11.484876123511663</v>
      </c>
      <c r="DA94" s="60">
        <f t="shared" si="953"/>
        <v>11.484876123511663</v>
      </c>
      <c r="DB94" s="60">
        <f t="shared" si="954"/>
        <v>11.484876123511663</v>
      </c>
      <c r="DE94" s="136"/>
      <c r="DF94" s="13">
        <v>13.621459509377976</v>
      </c>
    </row>
    <row r="95" spans="1:110" s="13" customFormat="1" x14ac:dyDescent="0.2">
      <c r="AB95" s="60"/>
      <c r="AC95" s="60"/>
      <c r="AD95" s="60"/>
      <c r="AE95" s="60"/>
      <c r="CM95" s="60"/>
      <c r="CN95" s="60"/>
      <c r="CO95" s="60"/>
      <c r="CP95" s="60"/>
      <c r="CQ95" s="60"/>
      <c r="CR95" s="60"/>
      <c r="CS95" s="60"/>
      <c r="CT95" s="60"/>
      <c r="CU95" s="60"/>
      <c r="CV95" s="60"/>
      <c r="CW95" s="60"/>
      <c r="CX95" s="60"/>
      <c r="CY95" s="60"/>
      <c r="CZ95" s="60"/>
      <c r="DA95" s="60"/>
      <c r="DB95" s="60"/>
      <c r="DE95" s="136"/>
    </row>
    <row r="96" spans="1:110" s="13" customFormat="1" x14ac:dyDescent="0.2">
      <c r="A96" s="13" t="s">
        <v>463</v>
      </c>
      <c r="B96" s="13" t="e">
        <f t="shared" ref="B96:AD96" si="962">+B85/C76</f>
        <v>#DIV/0!</v>
      </c>
      <c r="C96" s="13" t="e">
        <f t="shared" si="962"/>
        <v>#DIV/0!</v>
      </c>
      <c r="D96" s="13" t="e">
        <f t="shared" ca="1" si="962"/>
        <v>#DIV/0!</v>
      </c>
      <c r="E96" s="13" t="e">
        <f t="shared" ca="1" si="962"/>
        <v>#DIV/0!</v>
      </c>
      <c r="F96" s="13" t="e">
        <f t="shared" ca="1" si="962"/>
        <v>#DIV/0!</v>
      </c>
      <c r="G96" s="13" t="e">
        <f t="shared" ca="1" si="962"/>
        <v>#DIV/0!</v>
      </c>
      <c r="H96" s="13" t="e">
        <f t="shared" ca="1" si="962"/>
        <v>#DIV/0!</v>
      </c>
      <c r="I96" s="13" t="e">
        <f t="shared" ca="1" si="962"/>
        <v>#DIV/0!</v>
      </c>
      <c r="J96" s="13" t="e">
        <f t="shared" ca="1" si="962"/>
        <v>#DIV/0!</v>
      </c>
      <c r="K96" s="13" t="e">
        <f t="shared" ca="1" si="962"/>
        <v>#DIV/0!</v>
      </c>
      <c r="L96" s="13" t="e">
        <f t="shared" ca="1" si="962"/>
        <v>#DIV/0!</v>
      </c>
      <c r="M96" s="13" t="e">
        <f t="shared" ca="1" si="962"/>
        <v>#DIV/0!</v>
      </c>
      <c r="N96" s="13" t="e">
        <f t="shared" ca="1" si="962"/>
        <v>#DIV/0!</v>
      </c>
      <c r="O96" s="13" t="e">
        <f t="shared" ca="1" si="962"/>
        <v>#DIV/0!</v>
      </c>
      <c r="P96" s="13" t="e">
        <f t="shared" ca="1" si="962"/>
        <v>#DIV/0!</v>
      </c>
      <c r="Q96" s="13" t="e">
        <f t="shared" ca="1" si="962"/>
        <v>#DIV/0!</v>
      </c>
      <c r="R96" s="13" t="e">
        <f t="shared" ca="1" si="962"/>
        <v>#DIV/0!</v>
      </c>
      <c r="S96" s="13" t="e">
        <f t="shared" ca="1" si="962"/>
        <v>#DIV/0!</v>
      </c>
      <c r="T96" s="13" t="e">
        <f t="shared" ca="1" si="962"/>
        <v>#DIV/0!</v>
      </c>
      <c r="U96" s="13" t="e">
        <f t="shared" ca="1" si="962"/>
        <v>#DIV/0!</v>
      </c>
      <c r="V96" s="13" t="e">
        <f t="shared" ca="1" si="962"/>
        <v>#DIV/0!</v>
      </c>
      <c r="W96" s="13" t="e">
        <f t="shared" ca="1" si="962"/>
        <v>#DIV/0!</v>
      </c>
      <c r="X96" s="13" t="e">
        <f t="shared" ca="1" si="962"/>
        <v>#DIV/0!</v>
      </c>
      <c r="Y96" s="13" t="e">
        <f t="shared" ca="1" si="962"/>
        <v>#DIV/0!</v>
      </c>
      <c r="Z96" s="13" t="e">
        <f t="shared" ref="Z96:AA96" ca="1" si="963">+Z85/AA76</f>
        <v>#DIV/0!</v>
      </c>
      <c r="AA96" s="13" t="e">
        <f t="shared" ca="1" si="963"/>
        <v>#DIV/0!</v>
      </c>
      <c r="AB96" s="37" t="e">
        <f t="shared" ca="1" si="962"/>
        <v>#DIV/0!</v>
      </c>
      <c r="AC96" s="37" t="e">
        <f t="shared" ca="1" si="962"/>
        <v>#DIV/0!</v>
      </c>
      <c r="AD96" s="37" t="e">
        <f t="shared" ca="1" si="962"/>
        <v>#DIV/0!</v>
      </c>
      <c r="AE96" s="37"/>
      <c r="AL96" s="13" t="e">
        <f t="shared" ref="AL96:BQ96" si="964">+AL85/AP76</f>
        <v>#DIV/0!</v>
      </c>
      <c r="AM96" s="13" t="e">
        <f t="shared" si="964"/>
        <v>#DIV/0!</v>
      </c>
      <c r="AN96" s="13" t="e">
        <f t="shared" si="964"/>
        <v>#DIV/0!</v>
      </c>
      <c r="AO96" s="13" t="e">
        <f t="shared" si="964"/>
        <v>#DIV/0!</v>
      </c>
      <c r="AP96" s="13" t="e">
        <f t="shared" si="964"/>
        <v>#DIV/0!</v>
      </c>
      <c r="AQ96" s="13" t="e">
        <f t="shared" si="964"/>
        <v>#DIV/0!</v>
      </c>
      <c r="AR96" s="13" t="e">
        <f t="shared" si="964"/>
        <v>#DIV/0!</v>
      </c>
      <c r="AS96" s="13" t="e">
        <f t="shared" si="964"/>
        <v>#DIV/0!</v>
      </c>
      <c r="AT96" s="13" t="e">
        <f t="shared" si="964"/>
        <v>#DIV/0!</v>
      </c>
      <c r="AU96" s="13" t="e">
        <f t="shared" si="964"/>
        <v>#DIV/0!</v>
      </c>
      <c r="AV96" s="13" t="e">
        <f t="shared" si="964"/>
        <v>#DIV/0!</v>
      </c>
      <c r="AW96" s="13" t="e">
        <f t="shared" si="964"/>
        <v>#DIV/0!</v>
      </c>
      <c r="AX96" s="13" t="e">
        <f t="shared" si="964"/>
        <v>#DIV/0!</v>
      </c>
      <c r="AY96" s="13" t="e">
        <f t="shared" si="964"/>
        <v>#DIV/0!</v>
      </c>
      <c r="AZ96" s="13" t="e">
        <f t="shared" si="964"/>
        <v>#DIV/0!</v>
      </c>
      <c r="BA96" s="13" t="e">
        <f t="shared" si="964"/>
        <v>#DIV/0!</v>
      </c>
      <c r="BB96" s="13" t="e">
        <f t="shared" si="964"/>
        <v>#DIV/0!</v>
      </c>
      <c r="BC96" s="13" t="e">
        <f t="shared" si="964"/>
        <v>#DIV/0!</v>
      </c>
      <c r="BD96" s="13">
        <f t="shared" si="964"/>
        <v>0</v>
      </c>
      <c r="BE96" s="13">
        <f t="shared" si="964"/>
        <v>0</v>
      </c>
      <c r="BF96" s="13">
        <f t="shared" si="964"/>
        <v>0</v>
      </c>
      <c r="BG96" s="13">
        <f t="shared" si="964"/>
        <v>0</v>
      </c>
      <c r="BH96" s="13">
        <f t="shared" si="964"/>
        <v>0</v>
      </c>
      <c r="BI96" s="13">
        <f t="shared" si="964"/>
        <v>0</v>
      </c>
      <c r="BJ96" s="13">
        <f t="shared" si="964"/>
        <v>0</v>
      </c>
      <c r="BK96" s="13">
        <f t="shared" si="964"/>
        <v>0</v>
      </c>
      <c r="BL96" s="13">
        <f t="shared" si="964"/>
        <v>79.560029946195954</v>
      </c>
      <c r="BM96" s="13">
        <f t="shared" si="964"/>
        <v>76.105935483870837</v>
      </c>
      <c r="BN96" s="13">
        <f t="shared" si="964"/>
        <v>-27.675862008550038</v>
      </c>
      <c r="BO96" s="13">
        <f t="shared" si="964"/>
        <v>-13.5711989309907</v>
      </c>
      <c r="BP96" s="13">
        <f t="shared" si="964"/>
        <v>-9.8527012843127313</v>
      </c>
      <c r="BQ96" s="13">
        <f t="shared" si="964"/>
        <v>-6.0874771019725502</v>
      </c>
      <c r="BR96" s="13">
        <f t="shared" ref="BR96:CL96" si="965">+BR85/BV76</f>
        <v>-8.3955863919248799</v>
      </c>
      <c r="BS96" s="13">
        <f t="shared" si="965"/>
        <v>-6.7557169930511689</v>
      </c>
      <c r="BT96" s="13">
        <f t="shared" si="965"/>
        <v>-8.3214193419308593</v>
      </c>
      <c r="BU96" s="13">
        <f t="shared" si="965"/>
        <v>-13.530453096539162</v>
      </c>
      <c r="BV96" s="13">
        <f t="shared" si="965"/>
        <v>-8.448165961267156</v>
      </c>
      <c r="BW96" s="13">
        <f t="shared" si="965"/>
        <v>-10.25123201369758</v>
      </c>
      <c r="BX96" s="13">
        <f t="shared" si="965"/>
        <v>-12.649474125162705</v>
      </c>
      <c r="BY96" s="13">
        <f t="shared" si="965"/>
        <v>-11.737183754993348</v>
      </c>
      <c r="BZ96" s="13">
        <f t="shared" si="965"/>
        <v>-37.286187780136821</v>
      </c>
      <c r="CA96" s="13">
        <f t="shared" si="965"/>
        <v>-68.621426663104359</v>
      </c>
      <c r="CB96" s="13">
        <f t="shared" si="965"/>
        <v>-187.1800843302604</v>
      </c>
      <c r="CC96" s="13">
        <f t="shared" si="965"/>
        <v>389.59105779716572</v>
      </c>
      <c r="CD96" s="13">
        <f t="shared" si="965"/>
        <v>185.46694290976006</v>
      </c>
      <c r="CE96" s="13">
        <f t="shared" si="965"/>
        <v>177.00082394946386</v>
      </c>
      <c r="CF96" s="13">
        <f t="shared" si="965"/>
        <v>84.692330686818366</v>
      </c>
      <c r="CG96" s="13">
        <f t="shared" si="965"/>
        <v>67.428481468153919</v>
      </c>
      <c r="CH96" s="13">
        <f t="shared" si="965"/>
        <v>36.812783987264119</v>
      </c>
      <c r="CI96" s="13">
        <f t="shared" si="965"/>
        <v>23.024971502936626</v>
      </c>
      <c r="CJ96" s="13">
        <f t="shared" si="965"/>
        <v>24.144799962581107</v>
      </c>
      <c r="CK96" s="13">
        <f t="shared" si="965"/>
        <v>14.74082744095176</v>
      </c>
      <c r="CL96" s="13">
        <f t="shared" si="965"/>
        <v>13.611197090394999</v>
      </c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  <c r="DF96" s="13">
        <v>33.682875997260957</v>
      </c>
    </row>
    <row r="97" spans="1:110" s="98" customFormat="1" x14ac:dyDescent="0.2">
      <c r="A97" s="98" t="s">
        <v>426</v>
      </c>
      <c r="AB97" s="99"/>
      <c r="AC97" s="99"/>
      <c r="AD97" s="99"/>
      <c r="AE97" s="99"/>
      <c r="AL97" s="175"/>
      <c r="AM97" s="175"/>
      <c r="AN97" s="175"/>
      <c r="AO97" s="175" t="e">
        <f t="shared" ref="AO97:CI97" si="966">+CORREL(AL76:AO76,AL93:AO93)</f>
        <v>#DIV/0!</v>
      </c>
      <c r="AP97" s="175" t="e">
        <f t="shared" si="966"/>
        <v>#DIV/0!</v>
      </c>
      <c r="AQ97" s="175" t="e">
        <f t="shared" si="966"/>
        <v>#DIV/0!</v>
      </c>
      <c r="AR97" s="175" t="e">
        <f t="shared" si="966"/>
        <v>#DIV/0!</v>
      </c>
      <c r="AS97" s="175" t="e">
        <f t="shared" si="966"/>
        <v>#DIV/0!</v>
      </c>
      <c r="AT97" s="175" t="e">
        <f t="shared" si="966"/>
        <v>#DIV/0!</v>
      </c>
      <c r="AU97" s="175" t="e">
        <f t="shared" si="966"/>
        <v>#DIV/0!</v>
      </c>
      <c r="AV97" s="175" t="e">
        <f t="shared" si="966"/>
        <v>#DIV/0!</v>
      </c>
      <c r="AW97" s="175" t="e">
        <f t="shared" si="966"/>
        <v>#DIV/0!</v>
      </c>
      <c r="AX97" s="175" t="e">
        <f t="shared" si="966"/>
        <v>#DIV/0!</v>
      </c>
      <c r="AY97" s="175" t="e">
        <f t="shared" si="966"/>
        <v>#DIV/0!</v>
      </c>
      <c r="AZ97" s="175" t="e">
        <f t="shared" si="966"/>
        <v>#DIV/0!</v>
      </c>
      <c r="BA97" s="175" t="e">
        <f t="shared" si="966"/>
        <v>#DIV/0!</v>
      </c>
      <c r="BB97" s="175" t="e">
        <f t="shared" si="966"/>
        <v>#DIV/0!</v>
      </c>
      <c r="BC97" s="175" t="e">
        <f t="shared" si="966"/>
        <v>#DIV/0!</v>
      </c>
      <c r="BD97" s="175" t="e">
        <f t="shared" si="966"/>
        <v>#DIV/0!</v>
      </c>
      <c r="BE97" s="175" t="e">
        <f t="shared" si="966"/>
        <v>#DIV/0!</v>
      </c>
      <c r="BF97" s="175" t="e">
        <f t="shared" si="966"/>
        <v>#DIV/0!</v>
      </c>
      <c r="BG97" s="175" t="e">
        <f t="shared" si="966"/>
        <v>#DIV/0!</v>
      </c>
      <c r="BH97" s="175" t="e">
        <f t="shared" si="966"/>
        <v>#DIV/0!</v>
      </c>
      <c r="BI97" s="175" t="e">
        <f t="shared" si="966"/>
        <v>#DIV/0!</v>
      </c>
      <c r="BJ97" s="175" t="e">
        <f t="shared" si="966"/>
        <v>#DIV/0!</v>
      </c>
      <c r="BK97" s="175" t="e">
        <f t="shared" si="966"/>
        <v>#DIV/0!</v>
      </c>
      <c r="BL97" s="175">
        <f t="shared" si="966"/>
        <v>0.44862526353587168</v>
      </c>
      <c r="BM97" s="175">
        <f t="shared" si="966"/>
        <v>-0.27532755018238397</v>
      </c>
      <c r="BN97" s="175">
        <f t="shared" si="966"/>
        <v>-0.35909877766876541</v>
      </c>
      <c r="BO97" s="175">
        <f t="shared" si="966"/>
        <v>0.75152307773344096</v>
      </c>
      <c r="BP97" s="175">
        <f t="shared" si="966"/>
        <v>0.35015640376700358</v>
      </c>
      <c r="BQ97" s="175">
        <f t="shared" si="966"/>
        <v>-0.79072127334543385</v>
      </c>
      <c r="BR97" s="175">
        <f t="shared" si="966"/>
        <v>0.92464128279257884</v>
      </c>
      <c r="BS97" s="175">
        <f t="shared" si="966"/>
        <v>0.97734172928353491</v>
      </c>
      <c r="BT97" s="175">
        <f t="shared" si="966"/>
        <v>0.78979632888542728</v>
      </c>
      <c r="BU97" s="175">
        <f t="shared" si="966"/>
        <v>-0.94527387722468748</v>
      </c>
      <c r="BV97" s="175">
        <f t="shared" si="966"/>
        <v>-0.95522363593225756</v>
      </c>
      <c r="BW97" s="175">
        <f t="shared" si="966"/>
        <v>-0.93153394771988329</v>
      </c>
      <c r="BX97" s="175">
        <f t="shared" si="966"/>
        <v>-0.78608285040434556</v>
      </c>
      <c r="BY97" s="175">
        <f t="shared" si="966"/>
        <v>-0.72883644513511214</v>
      </c>
      <c r="BZ97" s="175">
        <f t="shared" si="966"/>
        <v>-0.76882178425448977</v>
      </c>
      <c r="CA97" s="175">
        <f t="shared" si="966"/>
        <v>-0.97467850418177715</v>
      </c>
      <c r="CB97" s="175">
        <f t="shared" si="966"/>
        <v>-0.90252603000546094</v>
      </c>
      <c r="CC97" s="175">
        <f t="shared" si="966"/>
        <v>-0.94528303796597046</v>
      </c>
      <c r="CD97" s="175">
        <f t="shared" si="966"/>
        <v>-0.94826554922664197</v>
      </c>
      <c r="CE97" s="175">
        <f t="shared" si="966"/>
        <v>-0.90049738903464671</v>
      </c>
      <c r="CF97" s="175">
        <f t="shared" si="966"/>
        <v>-0.78995032583814051</v>
      </c>
      <c r="CG97" s="175">
        <f t="shared" si="966"/>
        <v>0.53663611489805518</v>
      </c>
      <c r="CH97" s="175">
        <f t="shared" si="966"/>
        <v>0.65199606525550524</v>
      </c>
      <c r="CI97" s="175">
        <f t="shared" si="966"/>
        <v>0.4511929278730929</v>
      </c>
      <c r="CJ97" s="175">
        <f>+CORREL(CG76:CJ76,CG93:CJ93)</f>
        <v>-0.79517916334400385</v>
      </c>
      <c r="CK97" s="175">
        <f>+CORREL(CH76:CK76,CH93:CK93)</f>
        <v>-0.93040586154927596</v>
      </c>
      <c r="CL97" s="175">
        <f>+CORREL(CI76:CL76,CI93:CL93)</f>
        <v>-0.96269635736846959</v>
      </c>
      <c r="CM97" s="99"/>
      <c r="CN97" s="99"/>
      <c r="CO97" s="99"/>
      <c r="CP97" s="99"/>
      <c r="CQ97" s="99"/>
      <c r="CR97" s="99"/>
      <c r="CS97" s="99"/>
      <c r="CT97" s="99"/>
      <c r="CU97" s="99"/>
      <c r="CV97" s="99"/>
      <c r="CW97" s="99"/>
      <c r="CX97" s="99"/>
      <c r="CY97" s="99"/>
      <c r="CZ97" s="99"/>
      <c r="DA97" s="99"/>
      <c r="DB97" s="99"/>
      <c r="DE97" s="137"/>
      <c r="DF97" s="98">
        <v>-0.9923646507473457</v>
      </c>
    </row>
    <row r="98" spans="1:110" s="4" customFormat="1" x14ac:dyDescent="0.2">
      <c r="A98" s="3"/>
      <c r="AB98" s="17"/>
      <c r="AC98" s="17"/>
      <c r="AD98" s="17"/>
      <c r="AE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E98" s="119"/>
    </row>
    <row r="99" spans="1:110" s="162" customFormat="1" x14ac:dyDescent="0.2">
      <c r="A99" s="49" t="s">
        <v>505</v>
      </c>
      <c r="E99" s="162" t="e">
        <f t="shared" ref="E99:AE99" ca="1" si="967">+E$132/E$72</f>
        <v>#DIV/0!</v>
      </c>
      <c r="F99" s="162" t="e">
        <f t="shared" ca="1" si="967"/>
        <v>#DIV/0!</v>
      </c>
      <c r="G99" s="162" t="e">
        <f t="shared" ca="1" si="967"/>
        <v>#DIV/0!</v>
      </c>
      <c r="H99" s="162" t="e">
        <f t="shared" ca="1" si="967"/>
        <v>#DIV/0!</v>
      </c>
      <c r="I99" s="162" t="e">
        <f t="shared" ca="1" si="967"/>
        <v>#DIV/0!</v>
      </c>
      <c r="J99" s="162" t="e">
        <f t="shared" ca="1" si="967"/>
        <v>#DIV/0!</v>
      </c>
      <c r="K99" s="162" t="e">
        <f t="shared" ca="1" si="967"/>
        <v>#DIV/0!</v>
      </c>
      <c r="L99" s="162" t="e">
        <f t="shared" ca="1" si="967"/>
        <v>#DIV/0!</v>
      </c>
      <c r="M99" s="162" t="e">
        <f t="shared" ca="1" si="967"/>
        <v>#DIV/0!</v>
      </c>
      <c r="N99" s="162" t="e">
        <f t="shared" ca="1" si="967"/>
        <v>#DIV/0!</v>
      </c>
      <c r="O99" s="162" t="e">
        <f t="shared" ca="1" si="967"/>
        <v>#DIV/0!</v>
      </c>
      <c r="P99" s="162" t="e">
        <f t="shared" ca="1" si="967"/>
        <v>#DIV/0!</v>
      </c>
      <c r="Q99" s="162" t="e">
        <f t="shared" ca="1" si="967"/>
        <v>#DIV/0!</v>
      </c>
      <c r="R99" s="162" t="e">
        <f t="shared" ca="1" si="967"/>
        <v>#DIV/0!</v>
      </c>
      <c r="S99" s="162" t="e">
        <f t="shared" ca="1" si="967"/>
        <v>#DIV/0!</v>
      </c>
      <c r="T99" s="162" t="e">
        <f t="shared" ca="1" si="967"/>
        <v>#DIV/0!</v>
      </c>
      <c r="U99" s="162" t="e">
        <f t="shared" ca="1" si="967"/>
        <v>#DIV/0!</v>
      </c>
      <c r="V99" s="162" t="e">
        <f t="shared" ca="1" si="967"/>
        <v>#DIV/0!</v>
      </c>
      <c r="W99" s="162" t="e">
        <f t="shared" ca="1" si="967"/>
        <v>#DIV/0!</v>
      </c>
      <c r="X99" s="162" t="e">
        <f t="shared" ca="1" si="967"/>
        <v>#DIV/0!</v>
      </c>
      <c r="Y99" s="162" t="e">
        <f t="shared" ca="1" si="967"/>
        <v>#DIV/0!</v>
      </c>
      <c r="Z99" s="162" t="e">
        <f t="shared" ca="1" si="967"/>
        <v>#DIV/0!</v>
      </c>
      <c r="AA99" s="162" t="e">
        <f t="shared" ca="1" si="967"/>
        <v>#DIV/0!</v>
      </c>
      <c r="AB99" s="21" t="e">
        <f t="shared" ca="1" si="967"/>
        <v>#DIV/0!</v>
      </c>
      <c r="AC99" s="21" t="e">
        <f t="shared" ca="1" si="967"/>
        <v>#DIV/0!</v>
      </c>
      <c r="AD99" s="21" t="e">
        <f t="shared" ca="1" si="967"/>
        <v>#DIV/0!</v>
      </c>
      <c r="AE99" s="21" t="e">
        <f t="shared" ca="1" si="967"/>
        <v>#DIV/0!</v>
      </c>
      <c r="AL99" s="162">
        <f t="shared" ref="AL99:BQ99" si="968">+AL$132/AL$72</f>
        <v>0</v>
      </c>
      <c r="AM99" s="162">
        <f t="shared" si="968"/>
        <v>0</v>
      </c>
      <c r="AN99" s="162">
        <f t="shared" si="968"/>
        <v>0</v>
      </c>
      <c r="AO99" s="162">
        <f t="shared" si="968"/>
        <v>0</v>
      </c>
      <c r="AP99" s="162">
        <f t="shared" si="968"/>
        <v>0</v>
      </c>
      <c r="AQ99" s="162">
        <f t="shared" si="968"/>
        <v>0</v>
      </c>
      <c r="AR99" s="162">
        <f t="shared" si="968"/>
        <v>0</v>
      </c>
      <c r="AS99" s="162">
        <f t="shared" si="968"/>
        <v>0</v>
      </c>
      <c r="AT99" s="162">
        <f t="shared" si="968"/>
        <v>0</v>
      </c>
      <c r="AU99" s="162">
        <f t="shared" si="968"/>
        <v>0</v>
      </c>
      <c r="AV99" s="162">
        <f t="shared" si="968"/>
        <v>0</v>
      </c>
      <c r="AW99" s="162">
        <f t="shared" si="968"/>
        <v>0</v>
      </c>
      <c r="AX99" s="162">
        <f t="shared" si="968"/>
        <v>0</v>
      </c>
      <c r="AY99" s="162">
        <f t="shared" si="968"/>
        <v>0</v>
      </c>
      <c r="AZ99" s="162">
        <f t="shared" si="968"/>
        <v>0</v>
      </c>
      <c r="BA99" s="162">
        <f t="shared" si="968"/>
        <v>0</v>
      </c>
      <c r="BB99" s="162">
        <f t="shared" si="968"/>
        <v>0</v>
      </c>
      <c r="BC99" s="162">
        <f t="shared" si="968"/>
        <v>0</v>
      </c>
      <c r="BD99" s="162">
        <f t="shared" si="968"/>
        <v>0</v>
      </c>
      <c r="BE99" s="162">
        <f t="shared" si="968"/>
        <v>0</v>
      </c>
      <c r="BF99" s="162">
        <f t="shared" si="968"/>
        <v>0</v>
      </c>
      <c r="BG99" s="162">
        <f t="shared" si="968"/>
        <v>0</v>
      </c>
      <c r="BH99" s="162">
        <f t="shared" si="968"/>
        <v>0</v>
      </c>
      <c r="BI99" s="162">
        <f t="shared" si="968"/>
        <v>8.1294218415417525</v>
      </c>
      <c r="BJ99" s="162">
        <f t="shared" si="968"/>
        <v>36.01738758029979</v>
      </c>
      <c r="BK99" s="162">
        <f t="shared" si="968"/>
        <v>38.079057815845822</v>
      </c>
      <c r="BL99" s="162">
        <f t="shared" si="968"/>
        <v>41.954175588865098</v>
      </c>
      <c r="BM99" s="162">
        <f t="shared" si="968"/>
        <v>44.07884368308352</v>
      </c>
      <c r="BN99" s="162">
        <f t="shared" si="968"/>
        <v>46.293790149892935</v>
      </c>
      <c r="BO99" s="162">
        <f t="shared" si="968"/>
        <v>46.997002141327627</v>
      </c>
      <c r="BP99" s="162">
        <f t="shared" si="968"/>
        <v>45.374304068522484</v>
      </c>
      <c r="BQ99" s="162">
        <f t="shared" si="968"/>
        <v>46.300642398286939</v>
      </c>
      <c r="BR99" s="162">
        <f t="shared" ref="BR99:DB99" si="969">+BR$132/BR$72</f>
        <v>28.346038543897215</v>
      </c>
      <c r="BS99" s="162">
        <f t="shared" si="969"/>
        <v>25.086081370449683</v>
      </c>
      <c r="BT99" s="162">
        <f t="shared" si="969"/>
        <v>18.939186295503212</v>
      </c>
      <c r="BU99" s="162">
        <f t="shared" si="969"/>
        <v>0.84882226980727438</v>
      </c>
      <c r="BV99" s="162">
        <f t="shared" si="969"/>
        <v>39.261670235546035</v>
      </c>
      <c r="BW99" s="162">
        <f t="shared" si="969"/>
        <v>24.104925053533194</v>
      </c>
      <c r="BX99" s="162">
        <f t="shared" si="969"/>
        <v>14.990578158458241</v>
      </c>
      <c r="BY99" s="162">
        <f t="shared" si="969"/>
        <v>10.654817987152034</v>
      </c>
      <c r="BZ99" s="162">
        <f t="shared" si="969"/>
        <v>-9.6394004282655246</v>
      </c>
      <c r="CA99" s="162">
        <f t="shared" si="969"/>
        <v>-13.728051391862952</v>
      </c>
      <c r="CB99" s="162">
        <f t="shared" si="969"/>
        <v>-17.118201284796573</v>
      </c>
      <c r="CC99" s="162">
        <f t="shared" si="969"/>
        <v>-19.844967880085651</v>
      </c>
      <c r="CD99" s="162">
        <f t="shared" si="969"/>
        <v>41.506209850107069</v>
      </c>
      <c r="CE99" s="162">
        <f t="shared" si="969"/>
        <v>41.685653104925052</v>
      </c>
      <c r="CF99" s="162">
        <f t="shared" si="969"/>
        <v>41.361456102783727</v>
      </c>
      <c r="CG99" s="162">
        <f t="shared" si="969"/>
        <v>41.996573875803001</v>
      </c>
      <c r="CH99" s="162">
        <f t="shared" si="969"/>
        <v>43.128907922912205</v>
      </c>
      <c r="CI99" s="162">
        <f t="shared" si="969"/>
        <v>44.498072805139181</v>
      </c>
      <c r="CJ99" s="162">
        <f t="shared" si="969"/>
        <v>20.134475374732336</v>
      </c>
      <c r="CK99" s="162">
        <f t="shared" si="969"/>
        <v>20.015845824411141</v>
      </c>
      <c r="CL99" s="162">
        <f t="shared" si="969"/>
        <v>27.826552462526767</v>
      </c>
      <c r="CM99" s="21">
        <f t="shared" si="969"/>
        <v>31.436196728681871</v>
      </c>
      <c r="CN99" s="21">
        <f t="shared" si="969"/>
        <v>34.984365811530623</v>
      </c>
      <c r="CO99" s="21">
        <f t="shared" si="969"/>
        <v>39.226598932143865</v>
      </c>
      <c r="CP99" s="21">
        <f t="shared" si="969"/>
        <v>44.254203793634701</v>
      </c>
      <c r="CQ99" s="21">
        <f t="shared" si="969"/>
        <v>49.201506338837383</v>
      </c>
      <c r="CR99" s="21">
        <f t="shared" si="969"/>
        <v>53.755943101550713</v>
      </c>
      <c r="CS99" s="21">
        <f t="shared" si="969"/>
        <v>58.588837394537343</v>
      </c>
      <c r="CT99" s="21">
        <f t="shared" si="969"/>
        <v>63.938775708850763</v>
      </c>
      <c r="CU99" s="21">
        <f t="shared" si="969"/>
        <v>69.701557139154303</v>
      </c>
      <c r="CV99" s="21">
        <f t="shared" si="969"/>
        <v>74.832607059128961</v>
      </c>
      <c r="CW99" s="21">
        <f t="shared" si="969"/>
        <v>80.165855053852241</v>
      </c>
      <c r="CX99" s="21">
        <f t="shared" si="969"/>
        <v>86.06838382694697</v>
      </c>
      <c r="CY99" s="21">
        <f t="shared" si="969"/>
        <v>92.528011213071252</v>
      </c>
      <c r="CZ99" s="21">
        <f t="shared" si="969"/>
        <v>98.211484056602359</v>
      </c>
      <c r="DA99" s="21">
        <f t="shared" si="969"/>
        <v>104.11396307712006</v>
      </c>
      <c r="DB99" s="21">
        <f t="shared" si="969"/>
        <v>110.68403998116179</v>
      </c>
      <c r="DE99" s="22"/>
      <c r="DF99" s="162">
        <v>23.753613900935793</v>
      </c>
    </row>
    <row r="100" spans="1:110" s="162" customFormat="1" x14ac:dyDescent="0.2">
      <c r="A100" s="49" t="s">
        <v>501</v>
      </c>
      <c r="AB100" s="21"/>
      <c r="AC100" s="21"/>
      <c r="AD100" s="21"/>
      <c r="AE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E100" s="22"/>
    </row>
    <row r="101" spans="1:110" s="162" customFormat="1" x14ac:dyDescent="0.2">
      <c r="A101" s="49" t="s">
        <v>502</v>
      </c>
      <c r="E101" s="162" t="e">
        <f t="shared" ref="E101:AE103" ca="1" si="970">+E84/E$99</f>
        <v>#DIV/0!</v>
      </c>
      <c r="F101" s="162" t="e">
        <f t="shared" ca="1" si="970"/>
        <v>#DIV/0!</v>
      </c>
      <c r="G101" s="162" t="e">
        <f t="shared" ca="1" si="970"/>
        <v>#DIV/0!</v>
      </c>
      <c r="H101" s="162" t="e">
        <f t="shared" ca="1" si="970"/>
        <v>#DIV/0!</v>
      </c>
      <c r="I101" s="162" t="e">
        <f t="shared" ca="1" si="970"/>
        <v>#DIV/0!</v>
      </c>
      <c r="J101" s="162" t="e">
        <f t="shared" ca="1" si="970"/>
        <v>#DIV/0!</v>
      </c>
      <c r="K101" s="162" t="e">
        <f t="shared" ca="1" si="970"/>
        <v>#DIV/0!</v>
      </c>
      <c r="L101" s="162" t="e">
        <f t="shared" ca="1" si="970"/>
        <v>#DIV/0!</v>
      </c>
      <c r="M101" s="162" t="e">
        <f t="shared" ca="1" si="970"/>
        <v>#DIV/0!</v>
      </c>
      <c r="N101" s="162" t="e">
        <f t="shared" ca="1" si="970"/>
        <v>#DIV/0!</v>
      </c>
      <c r="O101" s="162" t="e">
        <f t="shared" ca="1" si="970"/>
        <v>#DIV/0!</v>
      </c>
      <c r="P101" s="162" t="e">
        <f t="shared" ca="1" si="970"/>
        <v>#DIV/0!</v>
      </c>
      <c r="Q101" s="162" t="e">
        <f t="shared" ca="1" si="970"/>
        <v>#DIV/0!</v>
      </c>
      <c r="R101" s="162" t="e">
        <f t="shared" ca="1" si="970"/>
        <v>#DIV/0!</v>
      </c>
      <c r="S101" s="162" t="e">
        <f t="shared" ca="1" si="970"/>
        <v>#DIV/0!</v>
      </c>
      <c r="T101" s="162" t="e">
        <f t="shared" ca="1" si="970"/>
        <v>#DIV/0!</v>
      </c>
      <c r="U101" s="162" t="e">
        <f t="shared" ca="1" si="970"/>
        <v>#DIV/0!</v>
      </c>
      <c r="V101" s="162" t="e">
        <f t="shared" ca="1" si="970"/>
        <v>#DIV/0!</v>
      </c>
      <c r="W101" s="162" t="e">
        <f t="shared" ca="1" si="970"/>
        <v>#DIV/0!</v>
      </c>
      <c r="X101" s="162" t="e">
        <f t="shared" ca="1" si="970"/>
        <v>#DIV/0!</v>
      </c>
      <c r="Y101" s="162" t="e">
        <f t="shared" ca="1" si="970"/>
        <v>#DIV/0!</v>
      </c>
      <c r="Z101" s="162" t="e">
        <f t="shared" ca="1" si="970"/>
        <v>#DIV/0!</v>
      </c>
      <c r="AA101" s="162" t="e">
        <f t="shared" ref="AA101" ca="1" si="971">+AA84/AA$99</f>
        <v>#DIV/0!</v>
      </c>
      <c r="AB101" s="21" t="e">
        <f t="shared" ca="1" si="970"/>
        <v>#DIV/0!</v>
      </c>
      <c r="AC101" s="21" t="e">
        <f t="shared" ca="1" si="970"/>
        <v>#DIV/0!</v>
      </c>
      <c r="AD101" s="21" t="e">
        <f t="shared" ca="1" si="970"/>
        <v>#DIV/0!</v>
      </c>
      <c r="AE101" s="21" t="e">
        <f t="shared" ca="1" si="970"/>
        <v>#DIV/0!</v>
      </c>
      <c r="AL101" s="162" t="e">
        <f t="shared" ref="AL101:CI103" si="972">+AL84/AL$99</f>
        <v>#DIV/0!</v>
      </c>
      <c r="AM101" s="162" t="e">
        <f t="shared" si="972"/>
        <v>#DIV/0!</v>
      </c>
      <c r="AN101" s="162" t="e">
        <f t="shared" si="972"/>
        <v>#DIV/0!</v>
      </c>
      <c r="AO101" s="162" t="e">
        <f t="shared" si="972"/>
        <v>#DIV/0!</v>
      </c>
      <c r="AP101" s="162" t="e">
        <f t="shared" si="972"/>
        <v>#DIV/0!</v>
      </c>
      <c r="AQ101" s="162" t="e">
        <f t="shared" si="972"/>
        <v>#DIV/0!</v>
      </c>
      <c r="AR101" s="162" t="e">
        <f t="shared" si="972"/>
        <v>#DIV/0!</v>
      </c>
      <c r="AS101" s="162" t="e">
        <f t="shared" si="972"/>
        <v>#DIV/0!</v>
      </c>
      <c r="AT101" s="162" t="e">
        <f t="shared" si="972"/>
        <v>#DIV/0!</v>
      </c>
      <c r="AU101" s="162" t="e">
        <f t="shared" si="972"/>
        <v>#DIV/0!</v>
      </c>
      <c r="AV101" s="162" t="e">
        <f t="shared" si="972"/>
        <v>#DIV/0!</v>
      </c>
      <c r="AW101" s="162" t="e">
        <f t="shared" si="972"/>
        <v>#DIV/0!</v>
      </c>
      <c r="AX101" s="162" t="e">
        <f t="shared" si="972"/>
        <v>#DIV/0!</v>
      </c>
      <c r="AY101" s="162" t="e">
        <f t="shared" si="972"/>
        <v>#DIV/0!</v>
      </c>
      <c r="AZ101" s="162" t="e">
        <f t="shared" si="972"/>
        <v>#DIV/0!</v>
      </c>
      <c r="BA101" s="162" t="e">
        <f t="shared" si="972"/>
        <v>#DIV/0!</v>
      </c>
      <c r="BB101" s="162" t="e">
        <f t="shared" si="972"/>
        <v>#DIV/0!</v>
      </c>
      <c r="BC101" s="162" t="e">
        <f t="shared" si="972"/>
        <v>#DIV/0!</v>
      </c>
      <c r="BD101" s="162" t="e">
        <f t="shared" si="972"/>
        <v>#DIV/0!</v>
      </c>
      <c r="BE101" s="162" t="e">
        <f t="shared" si="972"/>
        <v>#DIV/0!</v>
      </c>
      <c r="BF101" s="162" t="e">
        <f t="shared" si="972"/>
        <v>#DIV/0!</v>
      </c>
      <c r="BG101" s="162" t="e">
        <f t="shared" si="972"/>
        <v>#DIV/0!</v>
      </c>
      <c r="BH101" s="162" t="e">
        <f t="shared" si="972"/>
        <v>#DIV/0!</v>
      </c>
      <c r="BI101" s="162">
        <f t="shared" si="972"/>
        <v>0</v>
      </c>
      <c r="BJ101" s="162">
        <f t="shared" si="972"/>
        <v>0</v>
      </c>
      <c r="BK101" s="162">
        <f t="shared" si="972"/>
        <v>0</v>
      </c>
      <c r="BL101" s="162">
        <f t="shared" si="972"/>
        <v>14.854302134479344</v>
      </c>
      <c r="BM101" s="162">
        <f t="shared" si="972"/>
        <v>7.308494803452251</v>
      </c>
      <c r="BN101" s="162">
        <f t="shared" si="972"/>
        <v>1.6611299215512139</v>
      </c>
      <c r="BO101" s="162">
        <f t="shared" si="972"/>
        <v>4.6737023638119881</v>
      </c>
      <c r="BP101" s="162">
        <f t="shared" si="972"/>
        <v>4.9653654116603274</v>
      </c>
      <c r="BQ101" s="162">
        <f t="shared" si="972"/>
        <v>5.6025140594938572</v>
      </c>
      <c r="BR101" s="162">
        <f t="shared" si="972"/>
        <v>9.0876896114099246</v>
      </c>
      <c r="BS101" s="162">
        <f t="shared" si="972"/>
        <v>10.82672084130019</v>
      </c>
      <c r="BT101" s="162">
        <f t="shared" si="972"/>
        <v>21.088551206385816</v>
      </c>
      <c r="BU101" s="162">
        <f t="shared" si="972"/>
        <v>450.32984359233421</v>
      </c>
      <c r="BV101" s="162">
        <f t="shared" si="972"/>
        <v>8.0842205157293083</v>
      </c>
      <c r="BW101" s="162">
        <f t="shared" si="972"/>
        <v>12.310762192413607</v>
      </c>
      <c r="BX101" s="162">
        <f t="shared" si="972"/>
        <v>20.682991457875044</v>
      </c>
      <c r="BY101" s="162">
        <f t="shared" si="972"/>
        <v>25.110705816150169</v>
      </c>
      <c r="BZ101" s="162">
        <f t="shared" si="972"/>
        <v>-30.307901634974229</v>
      </c>
      <c r="CA101" s="162">
        <f t="shared" si="972"/>
        <v>-21.059070347839658</v>
      </c>
      <c r="CB101" s="162">
        <f t="shared" si="972"/>
        <v>-21.091585149233197</v>
      </c>
      <c r="CC101" s="162">
        <f t="shared" si="972"/>
        <v>-21.798977081445038</v>
      </c>
      <c r="CD101" s="162">
        <f t="shared" si="972"/>
        <v>12.621003023205423</v>
      </c>
      <c r="CE101" s="162">
        <f t="shared" si="972"/>
        <v>17.09341096819265</v>
      </c>
      <c r="CF101" s="162">
        <f t="shared" si="972"/>
        <v>14.920896364634133</v>
      </c>
      <c r="CG101" s="162">
        <f t="shared" si="972"/>
        <v>10.918747833003609</v>
      </c>
      <c r="CH101" s="162">
        <f t="shared" si="972"/>
        <v>5.8081693245685457</v>
      </c>
      <c r="CI101" s="162">
        <f t="shared" si="972"/>
        <v>7.1868280992849112</v>
      </c>
      <c r="CJ101" s="162">
        <f>+CJ84/CJ$99</f>
        <v>12.039052197217849</v>
      </c>
      <c r="CK101" s="162">
        <f>+CK84/CK$99</f>
        <v>10.706517320324366</v>
      </c>
      <c r="CL101" s="162">
        <f>+CL84/CL$99</f>
        <v>5.3528010773374373</v>
      </c>
      <c r="CM101" s="21">
        <f t="shared" ref="CM101:DB101" si="973">+CM84/CM$99</f>
        <v>6.203040453111976</v>
      </c>
      <c r="CN101" s="21">
        <f t="shared" si="973"/>
        <v>5.5739183911611523</v>
      </c>
      <c r="CO101" s="21">
        <f t="shared" si="973"/>
        <v>4.9711166735948931</v>
      </c>
      <c r="CP101" s="21">
        <f t="shared" si="973"/>
        <v>4.4063610523718832</v>
      </c>
      <c r="CQ101" s="21">
        <f t="shared" si="973"/>
        <v>3.9632932914103902</v>
      </c>
      <c r="CR101" s="21">
        <f t="shared" si="973"/>
        <v>3.6275058858445508</v>
      </c>
      <c r="CS101" s="21">
        <f t="shared" si="973"/>
        <v>3.3282790489060163</v>
      </c>
      <c r="CT101" s="21">
        <f t="shared" si="973"/>
        <v>3.0497925216451556</v>
      </c>
      <c r="CU101" s="21">
        <f t="shared" si="973"/>
        <v>2.7976419466597582</v>
      </c>
      <c r="CV101" s="21">
        <f t="shared" si="973"/>
        <v>2.6058159359050634</v>
      </c>
      <c r="CW101" s="21">
        <f t="shared" si="973"/>
        <v>2.4324570587940055</v>
      </c>
      <c r="CX101" s="21">
        <f t="shared" si="973"/>
        <v>2.2656403121508117</v>
      </c>
      <c r="CY101" s="21">
        <f t="shared" si="973"/>
        <v>2.1074699157961878</v>
      </c>
      <c r="CZ101" s="21">
        <f t="shared" si="973"/>
        <v>1.985511184085309</v>
      </c>
      <c r="DA101" s="21">
        <f t="shared" si="973"/>
        <v>1.872947626204164</v>
      </c>
      <c r="DB101" s="21">
        <f t="shared" si="973"/>
        <v>1.7617716161534096</v>
      </c>
      <c r="DE101" s="22"/>
      <c r="DF101" s="162">
        <v>6.2706247824518178</v>
      </c>
    </row>
    <row r="102" spans="1:110" s="162" customFormat="1" x14ac:dyDescent="0.2">
      <c r="A102" s="49" t="s">
        <v>503</v>
      </c>
      <c r="E102" s="162" t="e">
        <f t="shared" ca="1" si="970"/>
        <v>#DIV/0!</v>
      </c>
      <c r="F102" s="162" t="e">
        <f t="shared" ca="1" si="970"/>
        <v>#DIV/0!</v>
      </c>
      <c r="G102" s="162" t="e">
        <f t="shared" ca="1" si="970"/>
        <v>#DIV/0!</v>
      </c>
      <c r="H102" s="162" t="e">
        <f t="shared" ca="1" si="970"/>
        <v>#DIV/0!</v>
      </c>
      <c r="I102" s="162" t="e">
        <f t="shared" ca="1" si="970"/>
        <v>#DIV/0!</v>
      </c>
      <c r="J102" s="162" t="e">
        <f t="shared" ca="1" si="970"/>
        <v>#DIV/0!</v>
      </c>
      <c r="K102" s="162" t="e">
        <f t="shared" ca="1" si="970"/>
        <v>#DIV/0!</v>
      </c>
      <c r="L102" s="162" t="e">
        <f t="shared" ca="1" si="970"/>
        <v>#DIV/0!</v>
      </c>
      <c r="M102" s="162" t="e">
        <f t="shared" ca="1" si="970"/>
        <v>#DIV/0!</v>
      </c>
      <c r="N102" s="162" t="e">
        <f t="shared" ca="1" si="970"/>
        <v>#DIV/0!</v>
      </c>
      <c r="O102" s="162" t="e">
        <f t="shared" ca="1" si="970"/>
        <v>#DIV/0!</v>
      </c>
      <c r="P102" s="162" t="e">
        <f t="shared" ca="1" si="970"/>
        <v>#DIV/0!</v>
      </c>
      <c r="Q102" s="162" t="e">
        <f t="shared" ca="1" si="970"/>
        <v>#DIV/0!</v>
      </c>
      <c r="R102" s="162" t="e">
        <f t="shared" ca="1" si="970"/>
        <v>#DIV/0!</v>
      </c>
      <c r="S102" s="162" t="e">
        <f t="shared" ca="1" si="970"/>
        <v>#DIV/0!</v>
      </c>
      <c r="T102" s="162" t="e">
        <f t="shared" ca="1" si="970"/>
        <v>#DIV/0!</v>
      </c>
      <c r="U102" s="162" t="e">
        <f t="shared" ca="1" si="970"/>
        <v>#DIV/0!</v>
      </c>
      <c r="V102" s="162" t="e">
        <f t="shared" ca="1" si="970"/>
        <v>#DIV/0!</v>
      </c>
      <c r="W102" s="162" t="e">
        <f t="shared" ca="1" si="970"/>
        <v>#DIV/0!</v>
      </c>
      <c r="X102" s="162" t="e">
        <f t="shared" ca="1" si="970"/>
        <v>#DIV/0!</v>
      </c>
      <c r="Y102" s="162" t="e">
        <f t="shared" ca="1" si="970"/>
        <v>#DIV/0!</v>
      </c>
      <c r="Z102" s="162" t="e">
        <f t="shared" ca="1" si="970"/>
        <v>#DIV/0!</v>
      </c>
      <c r="AA102" s="162" t="e">
        <f t="shared" ref="AA102" ca="1" si="974">+AA85/AA$99</f>
        <v>#DIV/0!</v>
      </c>
      <c r="AB102" s="21" t="e">
        <f t="shared" ca="1" si="970"/>
        <v>#DIV/0!</v>
      </c>
      <c r="AC102" s="21" t="e">
        <f t="shared" ca="1" si="970"/>
        <v>#DIV/0!</v>
      </c>
      <c r="AD102" s="21" t="e">
        <f t="shared" ca="1" si="970"/>
        <v>#DIV/0!</v>
      </c>
      <c r="AE102" s="21" t="e">
        <f t="shared" ca="1" si="970"/>
        <v>#DIV/0!</v>
      </c>
      <c r="AL102" s="162" t="e">
        <f t="shared" si="972"/>
        <v>#DIV/0!</v>
      </c>
      <c r="AM102" s="162" t="e">
        <f t="shared" si="972"/>
        <v>#DIV/0!</v>
      </c>
      <c r="AN102" s="162" t="e">
        <f t="shared" si="972"/>
        <v>#DIV/0!</v>
      </c>
      <c r="AO102" s="162" t="e">
        <f t="shared" si="972"/>
        <v>#DIV/0!</v>
      </c>
      <c r="AP102" s="162" t="e">
        <f t="shared" si="972"/>
        <v>#DIV/0!</v>
      </c>
      <c r="AQ102" s="162" t="e">
        <f t="shared" si="972"/>
        <v>#DIV/0!</v>
      </c>
      <c r="AR102" s="162" t="e">
        <f t="shared" si="972"/>
        <v>#DIV/0!</v>
      </c>
      <c r="AS102" s="162" t="e">
        <f t="shared" si="972"/>
        <v>#DIV/0!</v>
      </c>
      <c r="AT102" s="162" t="e">
        <f t="shared" si="972"/>
        <v>#DIV/0!</v>
      </c>
      <c r="AU102" s="162" t="e">
        <f t="shared" si="972"/>
        <v>#DIV/0!</v>
      </c>
      <c r="AV102" s="162" t="e">
        <f t="shared" si="972"/>
        <v>#DIV/0!</v>
      </c>
      <c r="AW102" s="162" t="e">
        <f t="shared" si="972"/>
        <v>#DIV/0!</v>
      </c>
      <c r="AX102" s="162" t="e">
        <f t="shared" si="972"/>
        <v>#DIV/0!</v>
      </c>
      <c r="AY102" s="162" t="e">
        <f t="shared" si="972"/>
        <v>#DIV/0!</v>
      </c>
      <c r="AZ102" s="162" t="e">
        <f t="shared" si="972"/>
        <v>#DIV/0!</v>
      </c>
      <c r="BA102" s="162" t="e">
        <f t="shared" si="972"/>
        <v>#DIV/0!</v>
      </c>
      <c r="BB102" s="162" t="e">
        <f t="shared" si="972"/>
        <v>#DIV/0!</v>
      </c>
      <c r="BC102" s="162" t="e">
        <f t="shared" si="972"/>
        <v>#DIV/0!</v>
      </c>
      <c r="BD102" s="162" t="e">
        <f t="shared" si="972"/>
        <v>#DIV/0!</v>
      </c>
      <c r="BE102" s="162" t="e">
        <f t="shared" si="972"/>
        <v>#DIV/0!</v>
      </c>
      <c r="BF102" s="162" t="e">
        <f t="shared" si="972"/>
        <v>#DIV/0!</v>
      </c>
      <c r="BG102" s="162" t="e">
        <f t="shared" si="972"/>
        <v>#DIV/0!</v>
      </c>
      <c r="BH102" s="162" t="e">
        <f t="shared" si="972"/>
        <v>#DIV/0!</v>
      </c>
      <c r="BI102" s="162">
        <f t="shared" si="972"/>
        <v>0</v>
      </c>
      <c r="BJ102" s="162">
        <f t="shared" si="972"/>
        <v>0</v>
      </c>
      <c r="BK102" s="162">
        <f t="shared" si="972"/>
        <v>0</v>
      </c>
      <c r="BL102" s="162">
        <f t="shared" si="972"/>
        <v>18.007742719189899</v>
      </c>
      <c r="BM102" s="162">
        <f t="shared" si="972"/>
        <v>14.326600864131915</v>
      </c>
      <c r="BN102" s="162">
        <f t="shared" si="972"/>
        <v>7.3065955261989339</v>
      </c>
      <c r="BO102" s="162">
        <f t="shared" si="972"/>
        <v>4.6737023638119881</v>
      </c>
      <c r="BP102" s="162">
        <f t="shared" si="972"/>
        <v>6.3791612002000964</v>
      </c>
      <c r="BQ102" s="162">
        <f t="shared" si="972"/>
        <v>6.3627626905431409</v>
      </c>
      <c r="BR102" s="162">
        <f t="shared" si="972"/>
        <v>11.5360035051671</v>
      </c>
      <c r="BS102" s="162">
        <f t="shared" si="972"/>
        <v>13.692852021305651</v>
      </c>
      <c r="BT102" s="162">
        <f t="shared" si="972"/>
        <v>22.572247473034395</v>
      </c>
      <c r="BU102" s="162">
        <f t="shared" si="972"/>
        <v>599.65438950555426</v>
      </c>
      <c r="BV102" s="162">
        <f t="shared" si="972"/>
        <v>10.777687180941577</v>
      </c>
      <c r="BW102" s="162">
        <f t="shared" si="972"/>
        <v>16.594119214710844</v>
      </c>
      <c r="BX102" s="162">
        <f t="shared" si="972"/>
        <v>24.15517241379311</v>
      </c>
      <c r="BY102" s="162">
        <f t="shared" si="972"/>
        <v>29.761184131194987</v>
      </c>
      <c r="BZ102" s="162">
        <f t="shared" si="972"/>
        <v>-35.111104940465609</v>
      </c>
      <c r="CA102" s="162">
        <f t="shared" si="972"/>
        <v>-24.038371548900333</v>
      </c>
      <c r="CB102" s="162">
        <f t="shared" si="972"/>
        <v>-23.878092867328814</v>
      </c>
      <c r="CC102" s="162">
        <f t="shared" si="972"/>
        <v>-23.129289136345982</v>
      </c>
      <c r="CD102" s="162">
        <f t="shared" si="972"/>
        <v>15.5868242929517</v>
      </c>
      <c r="CE102" s="162">
        <f t="shared" si="972"/>
        <v>19.862948960302457</v>
      </c>
      <c r="CF102" s="162">
        <f t="shared" si="972"/>
        <v>18.334702678636141</v>
      </c>
      <c r="CG102" s="162">
        <f t="shared" si="972"/>
        <v>15.28696131019151</v>
      </c>
      <c r="CH102" s="162">
        <f t="shared" si="972"/>
        <v>11.0216099338669</v>
      </c>
      <c r="CI102" s="162">
        <f t="shared" si="972"/>
        <v>7.8407890051297846</v>
      </c>
      <c r="CJ102" s="162">
        <f t="shared" ref="CJ102:CK103" si="975">+CJ85/CJ$99</f>
        <v>16.936125409452501</v>
      </c>
      <c r="CK102" s="162">
        <f t="shared" si="975"/>
        <v>12.6399854504996</v>
      </c>
      <c r="CL102" s="162">
        <f t="shared" ref="CL102" si="976">+CL85/CL$99</f>
        <v>8.0354905732974213</v>
      </c>
      <c r="CM102" s="94">
        <f t="shared" ref="CM102:DB102" si="977">+CL102</f>
        <v>8.0354905732974213</v>
      </c>
      <c r="CN102" s="94">
        <f t="shared" si="977"/>
        <v>8.0354905732974213</v>
      </c>
      <c r="CO102" s="94">
        <f t="shared" si="977"/>
        <v>8.0354905732974213</v>
      </c>
      <c r="CP102" s="94">
        <f t="shared" si="977"/>
        <v>8.0354905732974213</v>
      </c>
      <c r="CQ102" s="94">
        <f t="shared" si="977"/>
        <v>8.0354905732974213</v>
      </c>
      <c r="CR102" s="94">
        <f t="shared" si="977"/>
        <v>8.0354905732974213</v>
      </c>
      <c r="CS102" s="94">
        <f t="shared" si="977"/>
        <v>8.0354905732974213</v>
      </c>
      <c r="CT102" s="94">
        <f t="shared" si="977"/>
        <v>8.0354905732974213</v>
      </c>
      <c r="CU102" s="94">
        <f t="shared" si="977"/>
        <v>8.0354905732974213</v>
      </c>
      <c r="CV102" s="94">
        <f t="shared" si="977"/>
        <v>8.0354905732974213</v>
      </c>
      <c r="CW102" s="94">
        <f t="shared" si="977"/>
        <v>8.0354905732974213</v>
      </c>
      <c r="CX102" s="94">
        <f t="shared" si="977"/>
        <v>8.0354905732974213</v>
      </c>
      <c r="CY102" s="94">
        <f t="shared" si="977"/>
        <v>8.0354905732974213</v>
      </c>
      <c r="CZ102" s="94">
        <f t="shared" si="977"/>
        <v>8.0354905732974213</v>
      </c>
      <c r="DA102" s="94">
        <f t="shared" si="977"/>
        <v>8.0354905732974213</v>
      </c>
      <c r="DB102" s="94">
        <f t="shared" si="977"/>
        <v>8.0354905732974213</v>
      </c>
      <c r="DC102" s="94"/>
      <c r="DE102" s="22"/>
      <c r="DF102" s="162">
        <v>9.4133044736906779</v>
      </c>
    </row>
    <row r="103" spans="1:110" s="162" customFormat="1" x14ac:dyDescent="0.2">
      <c r="A103" s="49" t="s">
        <v>504</v>
      </c>
      <c r="E103" s="162" t="e">
        <f t="shared" ca="1" si="970"/>
        <v>#DIV/0!</v>
      </c>
      <c r="F103" s="162" t="e">
        <f t="shared" ca="1" si="970"/>
        <v>#DIV/0!</v>
      </c>
      <c r="G103" s="162" t="e">
        <f t="shared" ca="1" si="970"/>
        <v>#DIV/0!</v>
      </c>
      <c r="H103" s="162" t="e">
        <f t="shared" ca="1" si="970"/>
        <v>#DIV/0!</v>
      </c>
      <c r="I103" s="162" t="e">
        <f t="shared" ca="1" si="970"/>
        <v>#DIV/0!</v>
      </c>
      <c r="J103" s="162" t="e">
        <f t="shared" ca="1" si="970"/>
        <v>#DIV/0!</v>
      </c>
      <c r="K103" s="162" t="e">
        <f t="shared" ca="1" si="970"/>
        <v>#DIV/0!</v>
      </c>
      <c r="L103" s="162" t="e">
        <f t="shared" ca="1" si="970"/>
        <v>#DIV/0!</v>
      </c>
      <c r="M103" s="162" t="e">
        <f t="shared" ca="1" si="970"/>
        <v>#DIV/0!</v>
      </c>
      <c r="N103" s="162" t="e">
        <f t="shared" ca="1" si="970"/>
        <v>#DIV/0!</v>
      </c>
      <c r="O103" s="162" t="e">
        <f t="shared" ca="1" si="970"/>
        <v>#DIV/0!</v>
      </c>
      <c r="P103" s="162" t="e">
        <f t="shared" ca="1" si="970"/>
        <v>#DIV/0!</v>
      </c>
      <c r="Q103" s="162" t="e">
        <f t="shared" ca="1" si="970"/>
        <v>#DIV/0!</v>
      </c>
      <c r="R103" s="162" t="e">
        <f t="shared" ca="1" si="970"/>
        <v>#DIV/0!</v>
      </c>
      <c r="S103" s="162" t="e">
        <f t="shared" ca="1" si="970"/>
        <v>#DIV/0!</v>
      </c>
      <c r="T103" s="162" t="e">
        <f t="shared" ca="1" si="970"/>
        <v>#DIV/0!</v>
      </c>
      <c r="U103" s="162" t="e">
        <f t="shared" ca="1" si="970"/>
        <v>#DIV/0!</v>
      </c>
      <c r="V103" s="162" t="e">
        <f t="shared" ca="1" si="970"/>
        <v>#DIV/0!</v>
      </c>
      <c r="W103" s="162" t="e">
        <f t="shared" ca="1" si="970"/>
        <v>#DIV/0!</v>
      </c>
      <c r="X103" s="162" t="e">
        <f t="shared" ca="1" si="970"/>
        <v>#DIV/0!</v>
      </c>
      <c r="Y103" s="162" t="e">
        <f t="shared" ca="1" si="970"/>
        <v>#DIV/0!</v>
      </c>
      <c r="Z103" s="162" t="e">
        <f t="shared" ca="1" si="970"/>
        <v>#DIV/0!</v>
      </c>
      <c r="AA103" s="162" t="e">
        <f t="shared" ref="AA103" ca="1" si="978">+AA86/AA$99</f>
        <v>#DIV/0!</v>
      </c>
      <c r="AB103" s="21" t="e">
        <f t="shared" ca="1" si="970"/>
        <v>#DIV/0!</v>
      </c>
      <c r="AC103" s="21" t="e">
        <f t="shared" ca="1" si="970"/>
        <v>#DIV/0!</v>
      </c>
      <c r="AD103" s="21" t="e">
        <f t="shared" ca="1" si="970"/>
        <v>#DIV/0!</v>
      </c>
      <c r="AE103" s="21" t="e">
        <f t="shared" ca="1" si="970"/>
        <v>#DIV/0!</v>
      </c>
      <c r="AL103" s="162" t="e">
        <f t="shared" si="972"/>
        <v>#DIV/0!</v>
      </c>
      <c r="AM103" s="162" t="e">
        <f t="shared" si="972"/>
        <v>#DIV/0!</v>
      </c>
      <c r="AN103" s="162" t="e">
        <f t="shared" si="972"/>
        <v>#DIV/0!</v>
      </c>
      <c r="AO103" s="162" t="e">
        <f t="shared" si="972"/>
        <v>#DIV/0!</v>
      </c>
      <c r="AP103" s="162" t="e">
        <f t="shared" si="972"/>
        <v>#DIV/0!</v>
      </c>
      <c r="AQ103" s="162" t="e">
        <f t="shared" si="972"/>
        <v>#DIV/0!</v>
      </c>
      <c r="AR103" s="162" t="e">
        <f t="shared" si="972"/>
        <v>#DIV/0!</v>
      </c>
      <c r="AS103" s="162" t="e">
        <f t="shared" si="972"/>
        <v>#DIV/0!</v>
      </c>
      <c r="AT103" s="162" t="e">
        <f t="shared" si="972"/>
        <v>#DIV/0!</v>
      </c>
      <c r="AU103" s="162" t="e">
        <f t="shared" si="972"/>
        <v>#DIV/0!</v>
      </c>
      <c r="AV103" s="162" t="e">
        <f t="shared" si="972"/>
        <v>#DIV/0!</v>
      </c>
      <c r="AW103" s="162" t="e">
        <f t="shared" si="972"/>
        <v>#DIV/0!</v>
      </c>
      <c r="AX103" s="162" t="e">
        <f t="shared" si="972"/>
        <v>#DIV/0!</v>
      </c>
      <c r="AY103" s="162" t="e">
        <f t="shared" si="972"/>
        <v>#DIV/0!</v>
      </c>
      <c r="AZ103" s="162" t="e">
        <f t="shared" si="972"/>
        <v>#DIV/0!</v>
      </c>
      <c r="BA103" s="162" t="e">
        <f t="shared" si="972"/>
        <v>#DIV/0!</v>
      </c>
      <c r="BB103" s="162" t="e">
        <f t="shared" si="972"/>
        <v>#DIV/0!</v>
      </c>
      <c r="BC103" s="162" t="e">
        <f t="shared" si="972"/>
        <v>#DIV/0!</v>
      </c>
      <c r="BD103" s="162" t="e">
        <f t="shared" si="972"/>
        <v>#DIV/0!</v>
      </c>
      <c r="BE103" s="162" t="e">
        <f t="shared" si="972"/>
        <v>#DIV/0!</v>
      </c>
      <c r="BF103" s="162" t="e">
        <f t="shared" si="972"/>
        <v>#DIV/0!</v>
      </c>
      <c r="BG103" s="162" t="e">
        <f t="shared" si="972"/>
        <v>#DIV/0!</v>
      </c>
      <c r="BH103" s="162" t="e">
        <f t="shared" si="972"/>
        <v>#DIV/0!</v>
      </c>
      <c r="BI103" s="162">
        <f t="shared" si="972"/>
        <v>0</v>
      </c>
      <c r="BJ103" s="162">
        <f t="shared" si="972"/>
        <v>0</v>
      </c>
      <c r="BK103" s="162">
        <f t="shared" si="972"/>
        <v>0</v>
      </c>
      <c r="BL103" s="162">
        <f t="shared" si="972"/>
        <v>0</v>
      </c>
      <c r="BM103" s="162">
        <f t="shared" si="972"/>
        <v>5.5604906916844534</v>
      </c>
      <c r="BN103" s="162">
        <f t="shared" si="972"/>
        <v>1.5066815608348134</v>
      </c>
      <c r="BO103" s="162">
        <f t="shared" si="972"/>
        <v>1.5554183600940419</v>
      </c>
      <c r="BP103" s="162">
        <f t="shared" si="972"/>
        <v>4.126785056961368</v>
      </c>
      <c r="BQ103" s="162">
        <f t="shared" si="972"/>
        <v>4.3703497299097229</v>
      </c>
      <c r="BR103" s="162">
        <f t="shared" si="972"/>
        <v>7.955256239801777</v>
      </c>
      <c r="BS103" s="162">
        <f t="shared" si="972"/>
        <v>8.7299405900027303</v>
      </c>
      <c r="BT103" s="162">
        <f t="shared" si="972"/>
        <v>13.113023765913665</v>
      </c>
      <c r="BU103" s="162">
        <f t="shared" si="972"/>
        <v>438.31319374369644</v>
      </c>
      <c r="BV103" s="162">
        <f t="shared" si="972"/>
        <v>7.5200570487368568</v>
      </c>
      <c r="BW103" s="162">
        <f t="shared" si="972"/>
        <v>11.54743270853691</v>
      </c>
      <c r="BX103" s="162">
        <f t="shared" si="972"/>
        <v>18.234787018255584</v>
      </c>
      <c r="BY103" s="162">
        <f t="shared" si="972"/>
        <v>23.956298484665783</v>
      </c>
      <c r="BZ103" s="162">
        <f t="shared" si="972"/>
        <v>-27.180113737337834</v>
      </c>
      <c r="CA103" s="162">
        <f t="shared" si="972"/>
        <v>-20.192232101076279</v>
      </c>
      <c r="CB103" s="162">
        <f t="shared" si="972"/>
        <v>-16.651866353106005</v>
      </c>
      <c r="CC103" s="162">
        <f t="shared" si="972"/>
        <v>-12.771499633130476</v>
      </c>
      <c r="CD103" s="162">
        <f t="shared" si="972"/>
        <v>10.456266702436105</v>
      </c>
      <c r="CE103" s="162">
        <f t="shared" si="972"/>
        <v>11.434389640009863</v>
      </c>
      <c r="CF103" s="162">
        <f t="shared" si="972"/>
        <v>14.702093622837262</v>
      </c>
      <c r="CG103" s="162">
        <f t="shared" si="972"/>
        <v>10.511571760722807</v>
      </c>
      <c r="CH103" s="162">
        <f t="shared" si="972"/>
        <v>5.0592516831171928</v>
      </c>
      <c r="CI103" s="162">
        <f t="shared" si="972"/>
        <v>4.8552664504393528</v>
      </c>
      <c r="CJ103" s="162">
        <f t="shared" si="975"/>
        <v>11.671523376015653</v>
      </c>
      <c r="CK103" s="162">
        <f t="shared" si="975"/>
        <v>9.8197199221173772</v>
      </c>
      <c r="CL103" s="162">
        <f t="shared" ref="CL103" si="979">+CL86/CL$99</f>
        <v>5.3294420931127364</v>
      </c>
      <c r="CM103" s="94">
        <f t="shared" ref="CM103:DB103" si="980">+CL103</f>
        <v>5.3294420931127364</v>
      </c>
      <c r="CN103" s="94">
        <f t="shared" si="980"/>
        <v>5.3294420931127364</v>
      </c>
      <c r="CO103" s="94">
        <f t="shared" si="980"/>
        <v>5.3294420931127364</v>
      </c>
      <c r="CP103" s="94">
        <f t="shared" si="980"/>
        <v>5.3294420931127364</v>
      </c>
      <c r="CQ103" s="94">
        <f t="shared" si="980"/>
        <v>5.3294420931127364</v>
      </c>
      <c r="CR103" s="94">
        <f t="shared" si="980"/>
        <v>5.3294420931127364</v>
      </c>
      <c r="CS103" s="94">
        <f t="shared" si="980"/>
        <v>5.3294420931127364</v>
      </c>
      <c r="CT103" s="94">
        <f t="shared" si="980"/>
        <v>5.3294420931127364</v>
      </c>
      <c r="CU103" s="94">
        <f t="shared" si="980"/>
        <v>5.3294420931127364</v>
      </c>
      <c r="CV103" s="94">
        <f t="shared" si="980"/>
        <v>5.3294420931127364</v>
      </c>
      <c r="CW103" s="94">
        <f t="shared" si="980"/>
        <v>5.3294420931127364</v>
      </c>
      <c r="CX103" s="94">
        <f t="shared" si="980"/>
        <v>5.3294420931127364</v>
      </c>
      <c r="CY103" s="94">
        <f t="shared" si="980"/>
        <v>5.3294420931127364</v>
      </c>
      <c r="CZ103" s="94">
        <f t="shared" si="980"/>
        <v>5.3294420931127364</v>
      </c>
      <c r="DA103" s="94">
        <f t="shared" si="980"/>
        <v>5.3294420931127364</v>
      </c>
      <c r="DB103" s="94">
        <f t="shared" si="980"/>
        <v>5.3294420931127364</v>
      </c>
      <c r="DC103" s="94"/>
      <c r="DE103" s="22"/>
      <c r="DF103" s="162">
        <v>6.2432605252608573</v>
      </c>
    </row>
    <row r="104" spans="1:110" s="4" customFormat="1" x14ac:dyDescent="0.2">
      <c r="A104" s="3"/>
      <c r="AB104" s="17"/>
      <c r="AC104" s="17"/>
      <c r="AD104" s="17"/>
      <c r="AE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E104" s="119"/>
    </row>
    <row r="105" spans="1:110" s="177" customFormat="1" x14ac:dyDescent="0.2">
      <c r="A105" s="177" t="s">
        <v>510</v>
      </c>
      <c r="E105" s="177">
        <f t="shared" ref="E105:Y105" si="981">+E17</f>
        <v>0</v>
      </c>
      <c r="F105" s="177">
        <f t="shared" si="981"/>
        <v>0</v>
      </c>
      <c r="G105" s="177">
        <f t="shared" si="981"/>
        <v>0</v>
      </c>
      <c r="H105" s="177">
        <f t="shared" si="981"/>
        <v>0</v>
      </c>
      <c r="I105" s="177">
        <f t="shared" si="981"/>
        <v>0</v>
      </c>
      <c r="J105" s="177">
        <f t="shared" si="981"/>
        <v>0</v>
      </c>
      <c r="K105" s="177">
        <f t="shared" si="981"/>
        <v>0</v>
      </c>
      <c r="L105" s="177">
        <f t="shared" si="981"/>
        <v>0</v>
      </c>
      <c r="M105" s="177">
        <f t="shared" si="981"/>
        <v>0</v>
      </c>
      <c r="N105" s="177">
        <f t="shared" si="981"/>
        <v>0</v>
      </c>
      <c r="O105" s="177">
        <f t="shared" si="981"/>
        <v>0</v>
      </c>
      <c r="P105" s="177">
        <f t="shared" si="981"/>
        <v>0</v>
      </c>
      <c r="Q105" s="177">
        <f t="shared" si="981"/>
        <v>0</v>
      </c>
      <c r="R105" s="177">
        <f t="shared" si="981"/>
        <v>0</v>
      </c>
      <c r="S105" s="177">
        <f t="shared" si="981"/>
        <v>6871.7079999999996</v>
      </c>
      <c r="T105" s="177">
        <f t="shared" si="981"/>
        <v>8240.4079999999994</v>
      </c>
      <c r="U105" s="177">
        <f t="shared" si="981"/>
        <v>5575.29</v>
      </c>
      <c r="V105" s="177">
        <f t="shared" si="981"/>
        <v>5080.8</v>
      </c>
      <c r="W105" s="177">
        <f t="shared" si="981"/>
        <v>5198.9399999999996</v>
      </c>
      <c r="X105" s="177">
        <f t="shared" si="981"/>
        <v>2015.01</v>
      </c>
      <c r="Y105" s="177">
        <f t="shared" si="981"/>
        <v>3035.37</v>
      </c>
      <c r="Z105" s="177">
        <f>+Z17</f>
        <v>6301.86</v>
      </c>
      <c r="AA105" s="177">
        <f>+AA17</f>
        <v>7548.05</v>
      </c>
      <c r="AB105" s="178">
        <f t="shared" ref="AA105:AE105" si="982">+AB17</f>
        <v>9527.7377996073501</v>
      </c>
      <c r="AC105" s="178">
        <f t="shared" si="982"/>
        <v>11008.901433147657</v>
      </c>
      <c r="AD105" s="178">
        <f t="shared" si="982"/>
        <v>12447.257963130127</v>
      </c>
      <c r="AE105" s="178">
        <f t="shared" si="982"/>
        <v>14047.107819541399</v>
      </c>
      <c r="AL105" s="177">
        <f t="shared" ref="AL105:BQ105" si="983">+SUM(AI15:AL15)</f>
        <v>0</v>
      </c>
      <c r="AM105" s="177">
        <f t="shared" si="983"/>
        <v>0</v>
      </c>
      <c r="AN105" s="177">
        <f t="shared" si="983"/>
        <v>0</v>
      </c>
      <c r="AO105" s="177">
        <f t="shared" si="983"/>
        <v>0</v>
      </c>
      <c r="AP105" s="177">
        <f t="shared" si="983"/>
        <v>0</v>
      </c>
      <c r="AQ105" s="177">
        <f t="shared" si="983"/>
        <v>0</v>
      </c>
      <c r="AR105" s="177">
        <f t="shared" si="983"/>
        <v>0</v>
      </c>
      <c r="AS105" s="177">
        <f t="shared" si="983"/>
        <v>0</v>
      </c>
      <c r="AT105" s="177">
        <f t="shared" si="983"/>
        <v>0</v>
      </c>
      <c r="AU105" s="177">
        <f t="shared" si="983"/>
        <v>0</v>
      </c>
      <c r="AV105" s="177">
        <f t="shared" si="983"/>
        <v>0</v>
      </c>
      <c r="AW105" s="177">
        <f t="shared" si="983"/>
        <v>0</v>
      </c>
      <c r="AX105" s="177">
        <f t="shared" si="983"/>
        <v>0</v>
      </c>
      <c r="AY105" s="177">
        <f t="shared" si="983"/>
        <v>0</v>
      </c>
      <c r="AZ105" s="177">
        <f t="shared" si="983"/>
        <v>0</v>
      </c>
      <c r="BA105" s="177">
        <f t="shared" si="983"/>
        <v>0</v>
      </c>
      <c r="BB105" s="177">
        <f t="shared" si="983"/>
        <v>0</v>
      </c>
      <c r="BC105" s="177">
        <f t="shared" si="983"/>
        <v>0</v>
      </c>
      <c r="BD105" s="177">
        <f t="shared" si="983"/>
        <v>0</v>
      </c>
      <c r="BE105" s="177">
        <f t="shared" si="983"/>
        <v>0</v>
      </c>
      <c r="BF105" s="177">
        <f t="shared" si="983"/>
        <v>0</v>
      </c>
      <c r="BG105" s="177">
        <f t="shared" si="983"/>
        <v>0</v>
      </c>
      <c r="BH105" s="177">
        <f t="shared" si="983"/>
        <v>2472.509</v>
      </c>
      <c r="BI105" s="177">
        <f t="shared" si="983"/>
        <v>4116.5209999999997</v>
      </c>
      <c r="BJ105" s="177">
        <f t="shared" si="983"/>
        <v>6441.7849999999999</v>
      </c>
      <c r="BK105" s="177">
        <f t="shared" si="983"/>
        <v>7686.7349999999997</v>
      </c>
      <c r="BL105" s="177">
        <f t="shared" si="983"/>
        <v>6407.5559999999996</v>
      </c>
      <c r="BM105" s="177">
        <f t="shared" si="983"/>
        <v>5839.9250000000002</v>
      </c>
      <c r="BN105" s="177">
        <f t="shared" si="983"/>
        <v>5575.2910000000002</v>
      </c>
      <c r="BO105" s="177">
        <f t="shared" si="983"/>
        <v>5398.241</v>
      </c>
      <c r="BP105" s="177">
        <f t="shared" si="983"/>
        <v>5541.5410000000002</v>
      </c>
      <c r="BQ105" s="177">
        <f t="shared" si="983"/>
        <v>5776.8899999999994</v>
      </c>
      <c r="BR105" s="177">
        <f t="shared" ref="BR105:CW105" si="984">+SUM(BO15:BR15)</f>
        <v>5080.8</v>
      </c>
      <c r="BS105" s="177">
        <f t="shared" si="984"/>
        <v>5207.5300000000007</v>
      </c>
      <c r="BT105" s="177">
        <f t="shared" si="984"/>
        <v>5309.32</v>
      </c>
      <c r="BU105" s="177">
        <f t="shared" si="984"/>
        <v>5492.45</v>
      </c>
      <c r="BV105" s="177">
        <f t="shared" si="984"/>
        <v>5198.9399999999996</v>
      </c>
      <c r="BW105" s="177">
        <f t="shared" si="984"/>
        <v>5211.24</v>
      </c>
      <c r="BX105" s="177">
        <f t="shared" si="984"/>
        <v>4085.5099999999998</v>
      </c>
      <c r="BY105" s="177">
        <f t="shared" si="984"/>
        <v>2997.61</v>
      </c>
      <c r="BZ105" s="177">
        <f t="shared" si="984"/>
        <v>2015.0100000000002</v>
      </c>
      <c r="CA105" s="177">
        <f t="shared" si="984"/>
        <v>1323.04</v>
      </c>
      <c r="CB105" s="177">
        <f t="shared" si="984"/>
        <v>1769.87</v>
      </c>
      <c r="CC105" s="177">
        <f t="shared" si="984"/>
        <v>1945.79</v>
      </c>
      <c r="CD105" s="177">
        <f t="shared" si="984"/>
        <v>3035.37</v>
      </c>
      <c r="CE105" s="177">
        <f t="shared" si="984"/>
        <v>3435.47</v>
      </c>
      <c r="CF105" s="177">
        <f t="shared" si="984"/>
        <v>3706.4399999999996</v>
      </c>
      <c r="CG105" s="177">
        <f t="shared" si="984"/>
        <v>4960.7599999999993</v>
      </c>
      <c r="CH105" s="177">
        <f t="shared" si="984"/>
        <v>6301.8600000000006</v>
      </c>
      <c r="CI105" s="177">
        <f t="shared" si="984"/>
        <v>7148.43</v>
      </c>
      <c r="CJ105" s="177">
        <f t="shared" si="984"/>
        <v>7866.5400000000009</v>
      </c>
      <c r="CK105" s="177">
        <f t="shared" si="984"/>
        <v>8121.55</v>
      </c>
      <c r="CL105" s="177">
        <f t="shared" si="984"/>
        <v>7548.05</v>
      </c>
      <c r="CM105" s="178">
        <f t="shared" si="984"/>
        <v>8218.1699662146275</v>
      </c>
      <c r="CN105" s="178">
        <f t="shared" si="984"/>
        <v>8662.5489014586547</v>
      </c>
      <c r="CO105" s="178">
        <f t="shared" si="984"/>
        <v>8922.4166452273057</v>
      </c>
      <c r="CP105" s="178">
        <f t="shared" si="984"/>
        <v>9527.7377996073501</v>
      </c>
      <c r="CQ105" s="178">
        <f t="shared" si="984"/>
        <v>9943.3405356465191</v>
      </c>
      <c r="CR105" s="178">
        <f t="shared" si="984"/>
        <v>10270.586686916724</v>
      </c>
      <c r="CS105" s="178">
        <f t="shared" si="984"/>
        <v>10603.367457840335</v>
      </c>
      <c r="CT105" s="178">
        <f t="shared" si="984"/>
        <v>11008.901433147657</v>
      </c>
      <c r="CU105" s="178">
        <f t="shared" si="984"/>
        <v>11386.994201530872</v>
      </c>
      <c r="CV105" s="178">
        <f t="shared" si="984"/>
        <v>11710.877953139516</v>
      </c>
      <c r="CW105" s="178">
        <f t="shared" si="984"/>
        <v>12058.61234587786</v>
      </c>
      <c r="CX105" s="178">
        <f t="shared" ref="CX105:DB105" si="985">+SUM(CU15:CX15)</f>
        <v>12447.257963130127</v>
      </c>
      <c r="CY105" s="178">
        <f t="shared" si="985"/>
        <v>12860.417628184217</v>
      </c>
      <c r="CZ105" s="178">
        <f t="shared" si="985"/>
        <v>13218.58018948965</v>
      </c>
      <c r="DA105" s="178">
        <f t="shared" si="985"/>
        <v>13608.133412648433</v>
      </c>
      <c r="DB105" s="178">
        <f t="shared" si="985"/>
        <v>14047.107819541399</v>
      </c>
      <c r="DE105" s="179"/>
      <c r="DF105" s="177">
        <v>9947.4412747288843</v>
      </c>
    </row>
    <row r="106" spans="1:110" s="163" customFormat="1" x14ac:dyDescent="0.2">
      <c r="A106" s="163" t="s">
        <v>511</v>
      </c>
      <c r="E106" s="163" t="e">
        <f t="shared" ref="E106:AE106" ca="1" si="986">+E105/E72</f>
        <v>#DIV/0!</v>
      </c>
      <c r="F106" s="163" t="e">
        <f t="shared" ca="1" si="986"/>
        <v>#DIV/0!</v>
      </c>
      <c r="G106" s="163" t="e">
        <f t="shared" ca="1" si="986"/>
        <v>#DIV/0!</v>
      </c>
      <c r="H106" s="163" t="e">
        <f t="shared" ca="1" si="986"/>
        <v>#DIV/0!</v>
      </c>
      <c r="I106" s="163" t="e">
        <f t="shared" ca="1" si="986"/>
        <v>#DIV/0!</v>
      </c>
      <c r="J106" s="163" t="e">
        <f t="shared" ca="1" si="986"/>
        <v>#DIV/0!</v>
      </c>
      <c r="K106" s="163" t="e">
        <f t="shared" ca="1" si="986"/>
        <v>#DIV/0!</v>
      </c>
      <c r="L106" s="163" t="e">
        <f t="shared" ca="1" si="986"/>
        <v>#DIV/0!</v>
      </c>
      <c r="M106" s="163" t="e">
        <f t="shared" ca="1" si="986"/>
        <v>#DIV/0!</v>
      </c>
      <c r="N106" s="163" t="e">
        <f t="shared" ca="1" si="986"/>
        <v>#DIV/0!</v>
      </c>
      <c r="O106" s="163" t="e">
        <f t="shared" ca="1" si="986"/>
        <v>#DIV/0!</v>
      </c>
      <c r="P106" s="163" t="e">
        <f t="shared" ca="1" si="986"/>
        <v>#DIV/0!</v>
      </c>
      <c r="Q106" s="163" t="e">
        <f t="shared" ca="1" si="986"/>
        <v>#DIV/0!</v>
      </c>
      <c r="R106" s="163" t="e">
        <f t="shared" ca="1" si="986"/>
        <v>#DIV/0!</v>
      </c>
      <c r="S106" s="163" t="e">
        <f t="shared" ca="1" si="986"/>
        <v>#DIV/0!</v>
      </c>
      <c r="T106" s="163" t="e">
        <f t="shared" ca="1" si="986"/>
        <v>#DIV/0!</v>
      </c>
      <c r="U106" s="163" t="e">
        <f t="shared" ca="1" si="986"/>
        <v>#DIV/0!</v>
      </c>
      <c r="V106" s="163" t="e">
        <f t="shared" ca="1" si="986"/>
        <v>#DIV/0!</v>
      </c>
      <c r="W106" s="163" t="e">
        <f t="shared" ca="1" si="986"/>
        <v>#DIV/0!</v>
      </c>
      <c r="X106" s="163" t="e">
        <f t="shared" ca="1" si="986"/>
        <v>#DIV/0!</v>
      </c>
      <c r="Y106" s="163" t="e">
        <f t="shared" ca="1" si="986"/>
        <v>#DIV/0!</v>
      </c>
      <c r="Z106" s="163" t="e">
        <f t="shared" ref="Z106:AA106" ca="1" si="987">+Z105/Z72</f>
        <v>#DIV/0!</v>
      </c>
      <c r="AA106" s="163" t="e">
        <f t="shared" ca="1" si="987"/>
        <v>#DIV/0!</v>
      </c>
      <c r="AB106" s="94" t="e">
        <f t="shared" ca="1" si="986"/>
        <v>#DIV/0!</v>
      </c>
      <c r="AC106" s="94" t="e">
        <f t="shared" ca="1" si="986"/>
        <v>#DIV/0!</v>
      </c>
      <c r="AD106" s="94" t="e">
        <f t="shared" ca="1" si="986"/>
        <v>#DIV/0!</v>
      </c>
      <c r="AE106" s="94" t="e">
        <f t="shared" ca="1" si="986"/>
        <v>#DIV/0!</v>
      </c>
      <c r="AL106" s="163">
        <f t="shared" ref="AL106:BQ106" si="988">+AL105/AL72</f>
        <v>0</v>
      </c>
      <c r="AM106" s="163">
        <f t="shared" si="988"/>
        <v>0</v>
      </c>
      <c r="AN106" s="163">
        <f t="shared" si="988"/>
        <v>0</v>
      </c>
      <c r="AO106" s="163">
        <f t="shared" si="988"/>
        <v>0</v>
      </c>
      <c r="AP106" s="163">
        <f t="shared" si="988"/>
        <v>0</v>
      </c>
      <c r="AQ106" s="163">
        <f t="shared" si="988"/>
        <v>0</v>
      </c>
      <c r="AR106" s="163">
        <f t="shared" si="988"/>
        <v>0</v>
      </c>
      <c r="AS106" s="163">
        <f t="shared" si="988"/>
        <v>0</v>
      </c>
      <c r="AT106" s="163">
        <f t="shared" si="988"/>
        <v>0</v>
      </c>
      <c r="AU106" s="163">
        <f t="shared" si="988"/>
        <v>0</v>
      </c>
      <c r="AV106" s="163">
        <f t="shared" si="988"/>
        <v>0</v>
      </c>
      <c r="AW106" s="163">
        <f t="shared" si="988"/>
        <v>0</v>
      </c>
      <c r="AX106" s="163">
        <f t="shared" si="988"/>
        <v>0</v>
      </c>
      <c r="AY106" s="163">
        <f t="shared" si="988"/>
        <v>0</v>
      </c>
      <c r="AZ106" s="163">
        <f t="shared" si="988"/>
        <v>0</v>
      </c>
      <c r="BA106" s="163">
        <f t="shared" si="988"/>
        <v>0</v>
      </c>
      <c r="BB106" s="163">
        <f t="shared" si="988"/>
        <v>0</v>
      </c>
      <c r="BC106" s="163">
        <f t="shared" si="988"/>
        <v>0</v>
      </c>
      <c r="BD106" s="163">
        <f t="shared" si="988"/>
        <v>0</v>
      </c>
      <c r="BE106" s="163">
        <f t="shared" si="988"/>
        <v>0</v>
      </c>
      <c r="BF106" s="163">
        <f t="shared" si="988"/>
        <v>0</v>
      </c>
      <c r="BG106" s="163">
        <f t="shared" si="988"/>
        <v>0</v>
      </c>
      <c r="BH106" s="163">
        <f t="shared" si="988"/>
        <v>105.88903640256959</v>
      </c>
      <c r="BI106" s="163">
        <f t="shared" si="988"/>
        <v>176.29640256959311</v>
      </c>
      <c r="BJ106" s="163">
        <f t="shared" si="988"/>
        <v>275.87944325481794</v>
      </c>
      <c r="BK106" s="163">
        <f t="shared" si="988"/>
        <v>329.19635974304066</v>
      </c>
      <c r="BL106" s="163">
        <f t="shared" si="988"/>
        <v>274.41353319057811</v>
      </c>
      <c r="BM106" s="163">
        <f t="shared" si="988"/>
        <v>250.10385438972162</v>
      </c>
      <c r="BN106" s="163">
        <f t="shared" si="988"/>
        <v>238.7704925053533</v>
      </c>
      <c r="BO106" s="163">
        <f t="shared" si="988"/>
        <v>231.18805139186293</v>
      </c>
      <c r="BP106" s="163">
        <f t="shared" si="988"/>
        <v>237.32509635974304</v>
      </c>
      <c r="BQ106" s="163">
        <f t="shared" si="988"/>
        <v>247.40428265524622</v>
      </c>
      <c r="BR106" s="163">
        <f t="shared" ref="BR106:CW106" si="989">+BR105/BR72</f>
        <v>217.59314775160598</v>
      </c>
      <c r="BS106" s="163">
        <f t="shared" si="989"/>
        <v>223.02055674518203</v>
      </c>
      <c r="BT106" s="163">
        <f t="shared" si="989"/>
        <v>227.37987152034259</v>
      </c>
      <c r="BU106" s="163">
        <f t="shared" si="989"/>
        <v>235.22269807280512</v>
      </c>
      <c r="BV106" s="163">
        <f t="shared" si="989"/>
        <v>222.65267665952888</v>
      </c>
      <c r="BW106" s="163">
        <f t="shared" si="989"/>
        <v>223.17944325481795</v>
      </c>
      <c r="BX106" s="163">
        <f t="shared" si="989"/>
        <v>174.96830835117771</v>
      </c>
      <c r="BY106" s="163">
        <f t="shared" si="989"/>
        <v>128.37730192719485</v>
      </c>
      <c r="BZ106" s="163">
        <f t="shared" si="989"/>
        <v>86.295931477516064</v>
      </c>
      <c r="CA106" s="163">
        <f t="shared" si="989"/>
        <v>56.661241970021408</v>
      </c>
      <c r="CB106" s="163">
        <f t="shared" si="989"/>
        <v>75.797430406852243</v>
      </c>
      <c r="CC106" s="163">
        <f t="shared" si="989"/>
        <v>83.331477516059948</v>
      </c>
      <c r="CD106" s="163">
        <f t="shared" si="989"/>
        <v>129.99443254817987</v>
      </c>
      <c r="CE106" s="163">
        <f t="shared" si="989"/>
        <v>147.12933618843681</v>
      </c>
      <c r="CF106" s="163">
        <f t="shared" si="989"/>
        <v>158.73404710920769</v>
      </c>
      <c r="CG106" s="163">
        <f t="shared" si="989"/>
        <v>212.45224839400424</v>
      </c>
      <c r="CH106" s="163">
        <f t="shared" si="989"/>
        <v>269.88693790149892</v>
      </c>
      <c r="CI106" s="163">
        <f t="shared" si="989"/>
        <v>306.14261241970019</v>
      </c>
      <c r="CJ106" s="163">
        <f t="shared" si="989"/>
        <v>336.89678800856535</v>
      </c>
      <c r="CK106" s="163">
        <f t="shared" ref="CK106:CL106" si="990">+CK105/CK72</f>
        <v>347.81798715203422</v>
      </c>
      <c r="CL106" s="163">
        <f t="shared" si="990"/>
        <v>323.25695931477514</v>
      </c>
      <c r="CM106" s="50">
        <f t="shared" si="989"/>
        <v>351.95588720405254</v>
      </c>
      <c r="CN106" s="50">
        <f t="shared" si="989"/>
        <v>370.98710498752268</v>
      </c>
      <c r="CO106" s="50">
        <f t="shared" si="989"/>
        <v>382.11634454934926</v>
      </c>
      <c r="CP106" s="50">
        <f t="shared" si="989"/>
        <v>408.04016272408347</v>
      </c>
      <c r="CQ106" s="50">
        <f t="shared" si="989"/>
        <v>425.83899510263461</v>
      </c>
      <c r="CR106" s="50">
        <f t="shared" si="989"/>
        <v>439.85381956816803</v>
      </c>
      <c r="CS106" s="50">
        <f t="shared" si="989"/>
        <v>454.10567271264819</v>
      </c>
      <c r="CT106" s="50">
        <f t="shared" si="989"/>
        <v>471.47329478148424</v>
      </c>
      <c r="CU106" s="50">
        <f t="shared" si="989"/>
        <v>487.66570456234996</v>
      </c>
      <c r="CV106" s="50">
        <f t="shared" si="989"/>
        <v>501.53652904237754</v>
      </c>
      <c r="CW106" s="50">
        <f t="shared" si="989"/>
        <v>516.42879425601109</v>
      </c>
      <c r="CX106" s="50">
        <f t="shared" ref="CX106:DB106" si="991">+CX105/CX72</f>
        <v>533.07314617259635</v>
      </c>
      <c r="CY106" s="50">
        <f t="shared" si="991"/>
        <v>550.76735024343543</v>
      </c>
      <c r="CZ106" s="50">
        <f t="shared" si="991"/>
        <v>566.10621796529551</v>
      </c>
      <c r="DA106" s="50">
        <f t="shared" si="991"/>
        <v>582.78943951385145</v>
      </c>
      <c r="DB106" s="50">
        <f t="shared" si="991"/>
        <v>601.58919998035969</v>
      </c>
      <c r="DE106" s="164"/>
      <c r="DF106" s="163">
        <v>426.01461562008069</v>
      </c>
    </row>
    <row r="107" spans="1:110" s="163" customFormat="1" x14ac:dyDescent="0.2">
      <c r="AB107" s="94"/>
      <c r="AC107" s="94"/>
      <c r="AD107" s="94"/>
      <c r="AE107" s="94"/>
      <c r="CM107" s="94"/>
      <c r="CN107" s="94"/>
      <c r="CO107" s="94"/>
      <c r="CP107" s="94"/>
      <c r="CQ107" s="94"/>
      <c r="CR107" s="94"/>
      <c r="CS107" s="94"/>
      <c r="CT107" s="94"/>
      <c r="CU107" s="94"/>
      <c r="CV107" s="94"/>
      <c r="CW107" s="94"/>
      <c r="CX107" s="94"/>
      <c r="CY107" s="94"/>
      <c r="CZ107" s="94"/>
      <c r="DA107" s="94"/>
      <c r="DB107" s="94"/>
      <c r="DE107" s="164"/>
    </row>
    <row r="108" spans="1:110" s="163" customFormat="1" x14ac:dyDescent="0.2">
      <c r="A108" s="163" t="s">
        <v>506</v>
      </c>
      <c r="AB108" s="94"/>
      <c r="AC108" s="94"/>
      <c r="AD108" s="94"/>
      <c r="AE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A108" s="94"/>
      <c r="DB108" s="94"/>
      <c r="DE108" s="164"/>
    </row>
    <row r="109" spans="1:110" s="163" customFormat="1" x14ac:dyDescent="0.2">
      <c r="A109" s="163" t="s">
        <v>507</v>
      </c>
      <c r="E109" s="163" t="e">
        <f t="shared" ref="E109:AE111" ca="1" si="992">+E84/E$106</f>
        <v>#DIV/0!</v>
      </c>
      <c r="F109" s="163" t="e">
        <f t="shared" ca="1" si="992"/>
        <v>#DIV/0!</v>
      </c>
      <c r="G109" s="163" t="e">
        <f t="shared" ca="1" si="992"/>
        <v>#DIV/0!</v>
      </c>
      <c r="H109" s="163" t="e">
        <f t="shared" ca="1" si="992"/>
        <v>#DIV/0!</v>
      </c>
      <c r="I109" s="163" t="e">
        <f t="shared" ca="1" si="992"/>
        <v>#DIV/0!</v>
      </c>
      <c r="J109" s="163" t="e">
        <f t="shared" ca="1" si="992"/>
        <v>#DIV/0!</v>
      </c>
      <c r="K109" s="163" t="e">
        <f t="shared" ca="1" si="992"/>
        <v>#DIV/0!</v>
      </c>
      <c r="L109" s="163" t="e">
        <f t="shared" ca="1" si="992"/>
        <v>#DIV/0!</v>
      </c>
      <c r="M109" s="163" t="e">
        <f t="shared" ca="1" si="992"/>
        <v>#DIV/0!</v>
      </c>
      <c r="N109" s="163" t="e">
        <f t="shared" ca="1" si="992"/>
        <v>#DIV/0!</v>
      </c>
      <c r="O109" s="163" t="e">
        <f t="shared" ca="1" si="992"/>
        <v>#DIV/0!</v>
      </c>
      <c r="P109" s="163" t="e">
        <f t="shared" ca="1" si="992"/>
        <v>#DIV/0!</v>
      </c>
      <c r="Q109" s="163" t="e">
        <f t="shared" ca="1" si="992"/>
        <v>#DIV/0!</v>
      </c>
      <c r="R109" s="163" t="e">
        <f t="shared" ca="1" si="992"/>
        <v>#DIV/0!</v>
      </c>
      <c r="S109" s="163" t="e">
        <f t="shared" ca="1" si="992"/>
        <v>#DIV/0!</v>
      </c>
      <c r="T109" s="163" t="e">
        <f t="shared" ca="1" si="992"/>
        <v>#DIV/0!</v>
      </c>
      <c r="U109" s="163" t="e">
        <f t="shared" ca="1" si="992"/>
        <v>#DIV/0!</v>
      </c>
      <c r="V109" s="163" t="e">
        <f t="shared" ca="1" si="992"/>
        <v>#DIV/0!</v>
      </c>
      <c r="W109" s="163" t="e">
        <f t="shared" ca="1" si="992"/>
        <v>#DIV/0!</v>
      </c>
      <c r="X109" s="163" t="e">
        <f t="shared" ca="1" si="992"/>
        <v>#DIV/0!</v>
      </c>
      <c r="Y109" s="163" t="e">
        <f t="shared" ca="1" si="992"/>
        <v>#DIV/0!</v>
      </c>
      <c r="Z109" s="163" t="e">
        <f ca="1">+Z84/Z$106</f>
        <v>#DIV/0!</v>
      </c>
      <c r="AA109" s="163" t="e">
        <f ca="1">+AA84/AA$106</f>
        <v>#DIV/0!</v>
      </c>
      <c r="AB109" s="50" t="e">
        <f t="shared" ref="AA109:AE109" ca="1" si="993">+AB84/AB$106</f>
        <v>#DIV/0!</v>
      </c>
      <c r="AC109" s="50" t="e">
        <f t="shared" ca="1" si="993"/>
        <v>#DIV/0!</v>
      </c>
      <c r="AD109" s="50" t="e">
        <f t="shared" ca="1" si="993"/>
        <v>#DIV/0!</v>
      </c>
      <c r="AE109" s="50" t="e">
        <f t="shared" ca="1" si="993"/>
        <v>#DIV/0!</v>
      </c>
      <c r="AL109" s="163" t="e">
        <f t="shared" ref="AL109:BQ109" si="994">+AL84/AL106</f>
        <v>#DIV/0!</v>
      </c>
      <c r="AM109" s="163" t="e">
        <f t="shared" si="994"/>
        <v>#DIV/0!</v>
      </c>
      <c r="AN109" s="163" t="e">
        <f t="shared" si="994"/>
        <v>#DIV/0!</v>
      </c>
      <c r="AO109" s="163" t="e">
        <f t="shared" si="994"/>
        <v>#DIV/0!</v>
      </c>
      <c r="AP109" s="163" t="e">
        <f t="shared" si="994"/>
        <v>#DIV/0!</v>
      </c>
      <c r="AQ109" s="163" t="e">
        <f t="shared" si="994"/>
        <v>#DIV/0!</v>
      </c>
      <c r="AR109" s="163" t="e">
        <f t="shared" si="994"/>
        <v>#DIV/0!</v>
      </c>
      <c r="AS109" s="163" t="e">
        <f t="shared" si="994"/>
        <v>#DIV/0!</v>
      </c>
      <c r="AT109" s="163" t="e">
        <f t="shared" si="994"/>
        <v>#DIV/0!</v>
      </c>
      <c r="AU109" s="163" t="e">
        <f t="shared" si="994"/>
        <v>#DIV/0!</v>
      </c>
      <c r="AV109" s="163" t="e">
        <f t="shared" si="994"/>
        <v>#DIV/0!</v>
      </c>
      <c r="AW109" s="163" t="e">
        <f t="shared" si="994"/>
        <v>#DIV/0!</v>
      </c>
      <c r="AX109" s="163" t="e">
        <f t="shared" si="994"/>
        <v>#DIV/0!</v>
      </c>
      <c r="AY109" s="163" t="e">
        <f t="shared" si="994"/>
        <v>#DIV/0!</v>
      </c>
      <c r="AZ109" s="163" t="e">
        <f t="shared" si="994"/>
        <v>#DIV/0!</v>
      </c>
      <c r="BA109" s="163" t="e">
        <f t="shared" si="994"/>
        <v>#DIV/0!</v>
      </c>
      <c r="BB109" s="163" t="e">
        <f t="shared" si="994"/>
        <v>#DIV/0!</v>
      </c>
      <c r="BC109" s="163" t="e">
        <f t="shared" si="994"/>
        <v>#DIV/0!</v>
      </c>
      <c r="BD109" s="163" t="e">
        <f t="shared" si="994"/>
        <v>#DIV/0!</v>
      </c>
      <c r="BE109" s="163" t="e">
        <f t="shared" si="994"/>
        <v>#DIV/0!</v>
      </c>
      <c r="BF109" s="163" t="e">
        <f t="shared" si="994"/>
        <v>#DIV/0!</v>
      </c>
      <c r="BG109" s="163" t="e">
        <f t="shared" si="994"/>
        <v>#DIV/0!</v>
      </c>
      <c r="BH109" s="163">
        <f t="shared" si="994"/>
        <v>0</v>
      </c>
      <c r="BI109" s="163">
        <f t="shared" si="994"/>
        <v>0</v>
      </c>
      <c r="BJ109" s="163">
        <f t="shared" si="994"/>
        <v>0</v>
      </c>
      <c r="BK109" s="163">
        <f t="shared" si="994"/>
        <v>0</v>
      </c>
      <c r="BL109" s="163">
        <f t="shared" si="994"/>
        <v>2.2710250210844829</v>
      </c>
      <c r="BM109" s="163">
        <f t="shared" si="994"/>
        <v>1.288064915217233</v>
      </c>
      <c r="BN109" s="163">
        <f t="shared" si="994"/>
        <v>0.32206659706192919</v>
      </c>
      <c r="BO109" s="163">
        <f t="shared" si="994"/>
        <v>0.95009235415758586</v>
      </c>
      <c r="BP109" s="163">
        <f t="shared" si="994"/>
        <v>0.94933070061197777</v>
      </c>
      <c r="BQ109" s="163">
        <f t="shared" si="994"/>
        <v>1.0484862962597523</v>
      </c>
      <c r="BR109" s="163">
        <f t="shared" ref="BR109:DB109" si="995">+BR84/BR106</f>
        <v>1.1838608093213669</v>
      </c>
      <c r="BS109" s="163">
        <f t="shared" si="995"/>
        <v>1.2178249573214173</v>
      </c>
      <c r="BT109" s="163">
        <f t="shared" si="995"/>
        <v>1.7565319099244348</v>
      </c>
      <c r="BU109" s="163">
        <f t="shared" si="995"/>
        <v>1.6250557583592022</v>
      </c>
      <c r="BV109" s="163">
        <f t="shared" si="995"/>
        <v>1.4255386674976054</v>
      </c>
      <c r="BW109" s="163">
        <f t="shared" si="995"/>
        <v>1.3296475502951315</v>
      </c>
      <c r="BX109" s="163">
        <f t="shared" si="995"/>
        <v>1.7720351926687246</v>
      </c>
      <c r="BY109" s="163">
        <f t="shared" si="995"/>
        <v>2.0840911592902347</v>
      </c>
      <c r="BZ109" s="163">
        <f t="shared" si="995"/>
        <v>3.3854434965583295</v>
      </c>
      <c r="CA109" s="163">
        <f t="shared" si="995"/>
        <v>5.1022531442737948</v>
      </c>
      <c r="CB109" s="163">
        <f t="shared" si="995"/>
        <v>4.7633540881533678</v>
      </c>
      <c r="CC109" s="163">
        <f t="shared" si="995"/>
        <v>5.191315609598159</v>
      </c>
      <c r="CD109" s="163">
        <f t="shared" si="995"/>
        <v>4.0297879665411465</v>
      </c>
      <c r="CE109" s="163">
        <f t="shared" si="995"/>
        <v>4.8430178403537223</v>
      </c>
      <c r="CF109" s="163">
        <f t="shared" si="995"/>
        <v>3.8879497577189976</v>
      </c>
      <c r="CG109" s="163">
        <f t="shared" si="995"/>
        <v>2.1583673670969774</v>
      </c>
      <c r="CH109" s="163">
        <f t="shared" si="995"/>
        <v>0.9281664460968666</v>
      </c>
      <c r="CI109" s="163">
        <f t="shared" si="995"/>
        <v>1.0446111943461713</v>
      </c>
      <c r="CJ109" s="163">
        <f t="shared" si="995"/>
        <v>0.71950819547094391</v>
      </c>
      <c r="CK109" s="163">
        <f t="shared" ref="CK109:CL109" si="996">+CK84/CK106</f>
        <v>0.61612684770764214</v>
      </c>
      <c r="CL109" s="163">
        <f t="shared" si="996"/>
        <v>0.46077894290578358</v>
      </c>
      <c r="CM109" s="50">
        <f t="shared" si="995"/>
        <v>0.55404670610594264</v>
      </c>
      <c r="CN109" s="50">
        <f t="shared" si="995"/>
        <v>0.52562473837617185</v>
      </c>
      <c r="CO109" s="50">
        <f t="shared" si="995"/>
        <v>0.51031577890229785</v>
      </c>
      <c r="CP109" s="50">
        <f t="shared" si="995"/>
        <v>0.47789413350435039</v>
      </c>
      <c r="CQ109" s="50">
        <f t="shared" si="995"/>
        <v>0.4579195476285623</v>
      </c>
      <c r="CR109" s="50">
        <f t="shared" si="995"/>
        <v>0.4433291046362714</v>
      </c>
      <c r="CS109" s="50">
        <f t="shared" si="995"/>
        <v>0.42941546806748065</v>
      </c>
      <c r="CT109" s="50">
        <f t="shared" si="995"/>
        <v>0.41359712662066572</v>
      </c>
      <c r="CU109" s="50">
        <f t="shared" si="995"/>
        <v>0.39986408348112268</v>
      </c>
      <c r="CV109" s="50">
        <f t="shared" si="995"/>
        <v>0.38880517910096912</v>
      </c>
      <c r="CW109" s="50">
        <f t="shared" si="995"/>
        <v>0.37759319807278591</v>
      </c>
      <c r="CX109" s="50">
        <f t="shared" si="995"/>
        <v>0.3658034575556422</v>
      </c>
      <c r="CY109" s="50">
        <f t="shared" si="995"/>
        <v>0.35405148818972532</v>
      </c>
      <c r="CZ109" s="50">
        <f t="shared" si="995"/>
        <v>0.34445832568465845</v>
      </c>
      <c r="DA109" s="50">
        <f t="shared" si="995"/>
        <v>0.33459768962640124</v>
      </c>
      <c r="DB109" s="50">
        <f t="shared" si="995"/>
        <v>0.3241414573372764</v>
      </c>
      <c r="DE109" s="106"/>
      <c r="DF109" s="163">
        <v>0.34963589167756021</v>
      </c>
    </row>
    <row r="110" spans="1:110" s="163" customFormat="1" x14ac:dyDescent="0.2">
      <c r="A110" s="163" t="s">
        <v>508</v>
      </c>
      <c r="E110" s="163" t="e">
        <f t="shared" ca="1" si="992"/>
        <v>#DIV/0!</v>
      </c>
      <c r="F110" s="163" t="e">
        <f t="shared" ca="1" si="992"/>
        <v>#DIV/0!</v>
      </c>
      <c r="G110" s="163" t="e">
        <f t="shared" ca="1" si="992"/>
        <v>#DIV/0!</v>
      </c>
      <c r="H110" s="163" t="e">
        <f t="shared" ca="1" si="992"/>
        <v>#DIV/0!</v>
      </c>
      <c r="I110" s="163" t="e">
        <f t="shared" ca="1" si="992"/>
        <v>#DIV/0!</v>
      </c>
      <c r="J110" s="163" t="e">
        <f t="shared" ca="1" si="992"/>
        <v>#DIV/0!</v>
      </c>
      <c r="K110" s="163" t="e">
        <f t="shared" ca="1" si="992"/>
        <v>#DIV/0!</v>
      </c>
      <c r="L110" s="163" t="e">
        <f t="shared" ca="1" si="992"/>
        <v>#DIV/0!</v>
      </c>
      <c r="M110" s="163" t="e">
        <f t="shared" ca="1" si="992"/>
        <v>#DIV/0!</v>
      </c>
      <c r="N110" s="163" t="e">
        <f t="shared" ca="1" si="992"/>
        <v>#DIV/0!</v>
      </c>
      <c r="O110" s="163" t="e">
        <f t="shared" ca="1" si="992"/>
        <v>#DIV/0!</v>
      </c>
      <c r="P110" s="163" t="e">
        <f t="shared" ca="1" si="992"/>
        <v>#DIV/0!</v>
      </c>
      <c r="Q110" s="163" t="e">
        <f t="shared" ca="1" si="992"/>
        <v>#DIV/0!</v>
      </c>
      <c r="R110" s="163" t="e">
        <f t="shared" ca="1" si="992"/>
        <v>#DIV/0!</v>
      </c>
      <c r="S110" s="163" t="e">
        <f t="shared" ca="1" si="992"/>
        <v>#DIV/0!</v>
      </c>
      <c r="T110" s="163" t="e">
        <f t="shared" ca="1" si="992"/>
        <v>#DIV/0!</v>
      </c>
      <c r="U110" s="163" t="e">
        <f t="shared" ca="1" si="992"/>
        <v>#DIV/0!</v>
      </c>
      <c r="V110" s="163" t="e">
        <f t="shared" ca="1" si="992"/>
        <v>#DIV/0!</v>
      </c>
      <c r="W110" s="163" t="e">
        <f t="shared" ca="1" si="992"/>
        <v>#DIV/0!</v>
      </c>
      <c r="X110" s="163" t="e">
        <f t="shared" ca="1" si="992"/>
        <v>#DIV/0!</v>
      </c>
      <c r="Y110" s="163" t="e">
        <f t="shared" ca="1" si="992"/>
        <v>#DIV/0!</v>
      </c>
      <c r="Z110" s="163" t="e">
        <f t="shared" ref="Z110:AA111" ca="1" si="997">+Z85/Z$106</f>
        <v>#DIV/0!</v>
      </c>
      <c r="AA110" s="163" t="e">
        <f t="shared" ca="1" si="997"/>
        <v>#DIV/0!</v>
      </c>
      <c r="AB110" s="94" t="e">
        <f t="shared" ca="1" si="992"/>
        <v>#DIV/0!</v>
      </c>
      <c r="AC110" s="94" t="e">
        <f t="shared" ca="1" si="992"/>
        <v>#DIV/0!</v>
      </c>
      <c r="AD110" s="94" t="e">
        <f t="shared" ca="1" si="992"/>
        <v>#DIV/0!</v>
      </c>
      <c r="AE110" s="94" t="e">
        <f t="shared" ca="1" si="992"/>
        <v>#DIV/0!</v>
      </c>
      <c r="AL110" s="163" t="e">
        <f t="shared" ref="AL110:BQ110" si="998">+AL85/AL106</f>
        <v>#DIV/0!</v>
      </c>
      <c r="AM110" s="163" t="e">
        <f t="shared" si="998"/>
        <v>#DIV/0!</v>
      </c>
      <c r="AN110" s="163" t="e">
        <f t="shared" si="998"/>
        <v>#DIV/0!</v>
      </c>
      <c r="AO110" s="163" t="e">
        <f t="shared" si="998"/>
        <v>#DIV/0!</v>
      </c>
      <c r="AP110" s="163" t="e">
        <f t="shared" si="998"/>
        <v>#DIV/0!</v>
      </c>
      <c r="AQ110" s="163" t="e">
        <f t="shared" si="998"/>
        <v>#DIV/0!</v>
      </c>
      <c r="AR110" s="163" t="e">
        <f t="shared" si="998"/>
        <v>#DIV/0!</v>
      </c>
      <c r="AS110" s="163" t="e">
        <f t="shared" si="998"/>
        <v>#DIV/0!</v>
      </c>
      <c r="AT110" s="163" t="e">
        <f t="shared" si="998"/>
        <v>#DIV/0!</v>
      </c>
      <c r="AU110" s="163" t="e">
        <f t="shared" si="998"/>
        <v>#DIV/0!</v>
      </c>
      <c r="AV110" s="163" t="e">
        <f t="shared" si="998"/>
        <v>#DIV/0!</v>
      </c>
      <c r="AW110" s="163" t="e">
        <f t="shared" si="998"/>
        <v>#DIV/0!</v>
      </c>
      <c r="AX110" s="163" t="e">
        <f t="shared" si="998"/>
        <v>#DIV/0!</v>
      </c>
      <c r="AY110" s="163" t="e">
        <f t="shared" si="998"/>
        <v>#DIV/0!</v>
      </c>
      <c r="AZ110" s="163" t="e">
        <f t="shared" si="998"/>
        <v>#DIV/0!</v>
      </c>
      <c r="BA110" s="163" t="e">
        <f t="shared" si="998"/>
        <v>#DIV/0!</v>
      </c>
      <c r="BB110" s="163" t="e">
        <f t="shared" si="998"/>
        <v>#DIV/0!</v>
      </c>
      <c r="BC110" s="163" t="e">
        <f t="shared" si="998"/>
        <v>#DIV/0!</v>
      </c>
      <c r="BD110" s="163" t="e">
        <f t="shared" si="998"/>
        <v>#DIV/0!</v>
      </c>
      <c r="BE110" s="163" t="e">
        <f t="shared" si="998"/>
        <v>#DIV/0!</v>
      </c>
      <c r="BF110" s="163" t="e">
        <f t="shared" si="998"/>
        <v>#DIV/0!</v>
      </c>
      <c r="BG110" s="163" t="e">
        <f t="shared" si="998"/>
        <v>#DIV/0!</v>
      </c>
      <c r="BH110" s="163">
        <f t="shared" si="998"/>
        <v>0</v>
      </c>
      <c r="BI110" s="163">
        <f t="shared" si="998"/>
        <v>0</v>
      </c>
      <c r="BJ110" s="163">
        <f t="shared" si="998"/>
        <v>0</v>
      </c>
      <c r="BK110" s="163">
        <f t="shared" si="998"/>
        <v>0</v>
      </c>
      <c r="BL110" s="163">
        <f t="shared" si="998"/>
        <v>2.7531441004963519</v>
      </c>
      <c r="BM110" s="163">
        <f t="shared" si="998"/>
        <v>2.5249510909814767</v>
      </c>
      <c r="BN110" s="163">
        <f t="shared" si="998"/>
        <v>1.4166323336306572</v>
      </c>
      <c r="BO110" s="163">
        <f t="shared" si="998"/>
        <v>0.95009235415758586</v>
      </c>
      <c r="BP110" s="163">
        <f t="shared" si="998"/>
        <v>1.2196350257085529</v>
      </c>
      <c r="BQ110" s="163">
        <f t="shared" si="998"/>
        <v>1.1907635423212146</v>
      </c>
      <c r="BR110" s="163">
        <f t="shared" ref="BR110:CJ110" si="999">+BR85/BR106</f>
        <v>1.5028046764289089</v>
      </c>
      <c r="BS110" s="163">
        <f t="shared" si="999"/>
        <v>1.5402167630335302</v>
      </c>
      <c r="BT110" s="163">
        <f t="shared" si="999"/>
        <v>1.8801136492055481</v>
      </c>
      <c r="BU110" s="163">
        <f t="shared" si="999"/>
        <v>2.1639068175404419</v>
      </c>
      <c r="BV110" s="163">
        <f t="shared" si="999"/>
        <v>1.9004936583226582</v>
      </c>
      <c r="BW110" s="163">
        <f t="shared" si="999"/>
        <v>1.7922797645090232</v>
      </c>
      <c r="BX110" s="163">
        <f t="shared" si="999"/>
        <v>2.0695176367209971</v>
      </c>
      <c r="BY110" s="163">
        <f t="shared" si="999"/>
        <v>2.4700628167106466</v>
      </c>
      <c r="BZ110" s="163">
        <f t="shared" si="999"/>
        <v>3.9219693698790574</v>
      </c>
      <c r="CA110" s="163">
        <f t="shared" si="999"/>
        <v>5.824086951263757</v>
      </c>
      <c r="CB110" s="163">
        <f t="shared" si="999"/>
        <v>5.3926630204478299</v>
      </c>
      <c r="CC110" s="163">
        <f t="shared" si="999"/>
        <v>5.5081226648302239</v>
      </c>
      <c r="CD110" s="163">
        <f t="shared" si="999"/>
        <v>4.9767515986518944</v>
      </c>
      <c r="CE110" s="163">
        <f t="shared" si="999"/>
        <v>5.6277015954148935</v>
      </c>
      <c r="CF110" s="163">
        <f t="shared" si="999"/>
        <v>4.7774879668900621</v>
      </c>
      <c r="CG110" s="163">
        <f t="shared" si="999"/>
        <v>3.0218555221377374</v>
      </c>
      <c r="CH110" s="163">
        <f t="shared" si="999"/>
        <v>1.7612930944197429</v>
      </c>
      <c r="CI110" s="163">
        <f t="shared" si="999"/>
        <v>1.1396649334189466</v>
      </c>
      <c r="CJ110" s="163">
        <f t="shared" si="999"/>
        <v>1.0121794333976564</v>
      </c>
      <c r="CK110" s="163">
        <f t="shared" ref="CK110:CL110" si="1000">+CK85/CK106</f>
        <v>0.72739193873090735</v>
      </c>
      <c r="CL110" s="163">
        <f t="shared" si="1000"/>
        <v>0.69170977934698363</v>
      </c>
      <c r="CM110" s="94">
        <f t="shared" ref="CM110:DB110" si="1001">+CL110</f>
        <v>0.69170977934698363</v>
      </c>
      <c r="CN110" s="94">
        <f t="shared" si="1001"/>
        <v>0.69170977934698363</v>
      </c>
      <c r="CO110" s="94">
        <f t="shared" si="1001"/>
        <v>0.69170977934698363</v>
      </c>
      <c r="CP110" s="94">
        <f t="shared" si="1001"/>
        <v>0.69170977934698363</v>
      </c>
      <c r="CQ110" s="94">
        <f t="shared" si="1001"/>
        <v>0.69170977934698363</v>
      </c>
      <c r="CR110" s="94">
        <f t="shared" si="1001"/>
        <v>0.69170977934698363</v>
      </c>
      <c r="CS110" s="94">
        <f t="shared" si="1001"/>
        <v>0.69170977934698363</v>
      </c>
      <c r="CT110" s="94">
        <f t="shared" si="1001"/>
        <v>0.69170977934698363</v>
      </c>
      <c r="CU110" s="94">
        <f t="shared" si="1001"/>
        <v>0.69170977934698363</v>
      </c>
      <c r="CV110" s="94">
        <f t="shared" si="1001"/>
        <v>0.69170977934698363</v>
      </c>
      <c r="CW110" s="94">
        <f t="shared" si="1001"/>
        <v>0.69170977934698363</v>
      </c>
      <c r="CX110" s="94">
        <f t="shared" si="1001"/>
        <v>0.69170977934698363</v>
      </c>
      <c r="CY110" s="94">
        <f t="shared" si="1001"/>
        <v>0.69170977934698363</v>
      </c>
      <c r="CZ110" s="94">
        <f t="shared" si="1001"/>
        <v>0.69170977934698363</v>
      </c>
      <c r="DA110" s="94">
        <f t="shared" si="1001"/>
        <v>0.69170977934698363</v>
      </c>
      <c r="DB110" s="94">
        <f t="shared" si="1001"/>
        <v>0.69170977934698363</v>
      </c>
      <c r="DE110" s="164"/>
      <c r="DF110" s="163">
        <v>0.52486462154483027</v>
      </c>
    </row>
    <row r="111" spans="1:110" s="163" customFormat="1" x14ac:dyDescent="0.2">
      <c r="A111" s="163" t="s">
        <v>509</v>
      </c>
      <c r="E111" s="163" t="e">
        <f t="shared" ca="1" si="992"/>
        <v>#DIV/0!</v>
      </c>
      <c r="F111" s="163" t="e">
        <f t="shared" ca="1" si="992"/>
        <v>#DIV/0!</v>
      </c>
      <c r="G111" s="163" t="e">
        <f t="shared" ca="1" si="992"/>
        <v>#DIV/0!</v>
      </c>
      <c r="H111" s="163" t="e">
        <f t="shared" ca="1" si="992"/>
        <v>#DIV/0!</v>
      </c>
      <c r="I111" s="163" t="e">
        <f t="shared" ca="1" si="992"/>
        <v>#DIV/0!</v>
      </c>
      <c r="J111" s="163" t="e">
        <f t="shared" ca="1" si="992"/>
        <v>#DIV/0!</v>
      </c>
      <c r="K111" s="163" t="e">
        <f t="shared" ca="1" si="992"/>
        <v>#DIV/0!</v>
      </c>
      <c r="L111" s="163" t="e">
        <f t="shared" ca="1" si="992"/>
        <v>#DIV/0!</v>
      </c>
      <c r="M111" s="163" t="e">
        <f t="shared" ca="1" si="992"/>
        <v>#DIV/0!</v>
      </c>
      <c r="N111" s="163" t="e">
        <f t="shared" ca="1" si="992"/>
        <v>#DIV/0!</v>
      </c>
      <c r="O111" s="163" t="e">
        <f t="shared" ca="1" si="992"/>
        <v>#DIV/0!</v>
      </c>
      <c r="P111" s="163" t="e">
        <f t="shared" ca="1" si="992"/>
        <v>#DIV/0!</v>
      </c>
      <c r="Q111" s="163" t="e">
        <f t="shared" ca="1" si="992"/>
        <v>#DIV/0!</v>
      </c>
      <c r="R111" s="163" t="e">
        <f t="shared" ca="1" si="992"/>
        <v>#DIV/0!</v>
      </c>
      <c r="S111" s="163" t="e">
        <f t="shared" ca="1" si="992"/>
        <v>#DIV/0!</v>
      </c>
      <c r="T111" s="163" t="e">
        <f t="shared" ca="1" si="992"/>
        <v>#DIV/0!</v>
      </c>
      <c r="U111" s="163" t="e">
        <f t="shared" ca="1" si="992"/>
        <v>#DIV/0!</v>
      </c>
      <c r="V111" s="163" t="e">
        <f t="shared" ca="1" si="992"/>
        <v>#DIV/0!</v>
      </c>
      <c r="W111" s="163" t="e">
        <f t="shared" ca="1" si="992"/>
        <v>#DIV/0!</v>
      </c>
      <c r="X111" s="163" t="e">
        <f t="shared" ca="1" si="992"/>
        <v>#DIV/0!</v>
      </c>
      <c r="Y111" s="163" t="e">
        <f t="shared" ca="1" si="992"/>
        <v>#DIV/0!</v>
      </c>
      <c r="Z111" s="163" t="e">
        <f t="shared" ca="1" si="997"/>
        <v>#DIV/0!</v>
      </c>
      <c r="AA111" s="163" t="e">
        <f t="shared" ca="1" si="997"/>
        <v>#DIV/0!</v>
      </c>
      <c r="AB111" s="94" t="e">
        <f t="shared" ca="1" si="992"/>
        <v>#DIV/0!</v>
      </c>
      <c r="AC111" s="94" t="e">
        <f t="shared" ca="1" si="992"/>
        <v>#DIV/0!</v>
      </c>
      <c r="AD111" s="94" t="e">
        <f t="shared" ca="1" si="992"/>
        <v>#DIV/0!</v>
      </c>
      <c r="AE111" s="94" t="e">
        <f t="shared" ca="1" si="992"/>
        <v>#DIV/0!</v>
      </c>
      <c r="AL111" s="163" t="e">
        <f t="shared" ref="AL111:BQ111" si="1002">+AL86/AL106</f>
        <v>#DIV/0!</v>
      </c>
      <c r="AM111" s="163" t="e">
        <f t="shared" si="1002"/>
        <v>#DIV/0!</v>
      </c>
      <c r="AN111" s="163" t="e">
        <f t="shared" si="1002"/>
        <v>#DIV/0!</v>
      </c>
      <c r="AO111" s="163" t="e">
        <f t="shared" si="1002"/>
        <v>#DIV/0!</v>
      </c>
      <c r="AP111" s="163" t="e">
        <f t="shared" si="1002"/>
        <v>#DIV/0!</v>
      </c>
      <c r="AQ111" s="163" t="e">
        <f t="shared" si="1002"/>
        <v>#DIV/0!</v>
      </c>
      <c r="AR111" s="163" t="e">
        <f t="shared" si="1002"/>
        <v>#DIV/0!</v>
      </c>
      <c r="AS111" s="163" t="e">
        <f t="shared" si="1002"/>
        <v>#DIV/0!</v>
      </c>
      <c r="AT111" s="163" t="e">
        <f t="shared" si="1002"/>
        <v>#DIV/0!</v>
      </c>
      <c r="AU111" s="163" t="e">
        <f t="shared" si="1002"/>
        <v>#DIV/0!</v>
      </c>
      <c r="AV111" s="163" t="e">
        <f t="shared" si="1002"/>
        <v>#DIV/0!</v>
      </c>
      <c r="AW111" s="163" t="e">
        <f t="shared" si="1002"/>
        <v>#DIV/0!</v>
      </c>
      <c r="AX111" s="163" t="e">
        <f t="shared" si="1002"/>
        <v>#DIV/0!</v>
      </c>
      <c r="AY111" s="163" t="e">
        <f t="shared" si="1002"/>
        <v>#DIV/0!</v>
      </c>
      <c r="AZ111" s="163" t="e">
        <f t="shared" si="1002"/>
        <v>#DIV/0!</v>
      </c>
      <c r="BA111" s="163" t="e">
        <f t="shared" si="1002"/>
        <v>#DIV/0!</v>
      </c>
      <c r="BB111" s="163" t="e">
        <f t="shared" si="1002"/>
        <v>#DIV/0!</v>
      </c>
      <c r="BC111" s="163" t="e">
        <f t="shared" si="1002"/>
        <v>#DIV/0!</v>
      </c>
      <c r="BD111" s="163" t="e">
        <f t="shared" si="1002"/>
        <v>#DIV/0!</v>
      </c>
      <c r="BE111" s="163" t="e">
        <f t="shared" si="1002"/>
        <v>#DIV/0!</v>
      </c>
      <c r="BF111" s="163" t="e">
        <f t="shared" si="1002"/>
        <v>#DIV/0!</v>
      </c>
      <c r="BG111" s="163" t="e">
        <f t="shared" si="1002"/>
        <v>#DIV/0!</v>
      </c>
      <c r="BH111" s="163">
        <f t="shared" si="1002"/>
        <v>0</v>
      </c>
      <c r="BI111" s="163">
        <f t="shared" si="1002"/>
        <v>0</v>
      </c>
      <c r="BJ111" s="163">
        <f t="shared" si="1002"/>
        <v>0</v>
      </c>
      <c r="BK111" s="163">
        <f t="shared" si="1002"/>
        <v>0</v>
      </c>
      <c r="BL111" s="163">
        <f t="shared" si="1002"/>
        <v>0</v>
      </c>
      <c r="BM111" s="163">
        <f t="shared" si="1002"/>
        <v>0.97999289374435461</v>
      </c>
      <c r="BN111" s="163">
        <f t="shared" si="1002"/>
        <v>0.29212152334290714</v>
      </c>
      <c r="BO111" s="163">
        <f t="shared" si="1002"/>
        <v>0.31619281169551344</v>
      </c>
      <c r="BP111" s="163">
        <f t="shared" si="1002"/>
        <v>0.78900210248376756</v>
      </c>
      <c r="BQ111" s="163">
        <f t="shared" si="1002"/>
        <v>0.81789206649252466</v>
      </c>
      <c r="BR111" s="163">
        <f t="shared" ref="BR111:CJ111" si="1003">+BR86/BR106</f>
        <v>1.03633778145174</v>
      </c>
      <c r="BS111" s="163">
        <f t="shared" si="1003"/>
        <v>0.98197225940128996</v>
      </c>
      <c r="BT111" s="163">
        <f t="shared" si="1003"/>
        <v>1.0922250872051413</v>
      </c>
      <c r="BU111" s="163">
        <f t="shared" si="1003"/>
        <v>1.5816925962002386</v>
      </c>
      <c r="BV111" s="163">
        <f t="shared" si="1003"/>
        <v>1.326056369182949</v>
      </c>
      <c r="BW111" s="163">
        <f t="shared" si="1003"/>
        <v>1.2472026811277166</v>
      </c>
      <c r="BX111" s="163">
        <f t="shared" si="1003"/>
        <v>1.5622829218384</v>
      </c>
      <c r="BY111" s="163">
        <f t="shared" si="1003"/>
        <v>1.9882798295975797</v>
      </c>
      <c r="BZ111" s="163">
        <f t="shared" si="1003"/>
        <v>3.0360643371496914</v>
      </c>
      <c r="CA111" s="163">
        <f t="shared" si="1003"/>
        <v>4.8922330390615558</v>
      </c>
      <c r="CB111" s="163">
        <f t="shared" si="1003"/>
        <v>3.7606815754829457</v>
      </c>
      <c r="CC111" s="163">
        <f t="shared" si="1003"/>
        <v>3.0414677329002617</v>
      </c>
      <c r="CD111" s="163">
        <f t="shared" si="1003"/>
        <v>3.3386045193831393</v>
      </c>
      <c r="CE111" s="163">
        <f t="shared" si="1003"/>
        <v>3.239666624945059</v>
      </c>
      <c r="CF111" s="163">
        <f t="shared" si="1003"/>
        <v>3.8309361543691525</v>
      </c>
      <c r="CG111" s="163">
        <f t="shared" si="1003"/>
        <v>2.0778786919746173</v>
      </c>
      <c r="CH111" s="163">
        <f t="shared" si="1003"/>
        <v>0.80848670075184148</v>
      </c>
      <c r="CI111" s="163">
        <f t="shared" si="1003"/>
        <v>0.7057168497138534</v>
      </c>
      <c r="CJ111" s="163">
        <f t="shared" si="1003"/>
        <v>0.69754301128577489</v>
      </c>
      <c r="CK111" s="163">
        <f t="shared" ref="CK111:CL111" si="1004">+CK86/CK106</f>
        <v>0.56509440931841837</v>
      </c>
      <c r="CL111" s="163">
        <f t="shared" si="1004"/>
        <v>0.45876815866349591</v>
      </c>
      <c r="CM111" s="94">
        <f t="shared" ref="CM111:DB111" si="1005">+CL111</f>
        <v>0.45876815866349591</v>
      </c>
      <c r="CN111" s="94">
        <f t="shared" si="1005"/>
        <v>0.45876815866349591</v>
      </c>
      <c r="CO111" s="94">
        <f t="shared" si="1005"/>
        <v>0.45876815866349591</v>
      </c>
      <c r="CP111" s="94">
        <f t="shared" si="1005"/>
        <v>0.45876815866349591</v>
      </c>
      <c r="CQ111" s="94">
        <f t="shared" si="1005"/>
        <v>0.45876815866349591</v>
      </c>
      <c r="CR111" s="94">
        <f t="shared" si="1005"/>
        <v>0.45876815866349591</v>
      </c>
      <c r="CS111" s="94">
        <f t="shared" si="1005"/>
        <v>0.45876815866349591</v>
      </c>
      <c r="CT111" s="94">
        <f t="shared" si="1005"/>
        <v>0.45876815866349591</v>
      </c>
      <c r="CU111" s="94">
        <f t="shared" si="1005"/>
        <v>0.45876815866349591</v>
      </c>
      <c r="CV111" s="94">
        <f t="shared" si="1005"/>
        <v>0.45876815866349591</v>
      </c>
      <c r="CW111" s="94">
        <f t="shared" si="1005"/>
        <v>0.45876815866349591</v>
      </c>
      <c r="CX111" s="94">
        <f t="shared" si="1005"/>
        <v>0.45876815866349591</v>
      </c>
      <c r="CY111" s="94">
        <f t="shared" si="1005"/>
        <v>0.45876815866349591</v>
      </c>
      <c r="CZ111" s="94">
        <f t="shared" si="1005"/>
        <v>0.45876815866349591</v>
      </c>
      <c r="DA111" s="94">
        <f t="shared" si="1005"/>
        <v>0.45876815866349591</v>
      </c>
      <c r="DB111" s="94">
        <f t="shared" si="1005"/>
        <v>0.45876815866349591</v>
      </c>
      <c r="DE111" s="164"/>
      <c r="DF111" s="163">
        <v>0.34811012242888345</v>
      </c>
    </row>
    <row r="112" spans="1:110" s="4" customFormat="1" x14ac:dyDescent="0.2">
      <c r="A112" s="3"/>
      <c r="AB112" s="17"/>
      <c r="AC112" s="17"/>
      <c r="AD112" s="17"/>
      <c r="AE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E112" s="119"/>
    </row>
    <row r="113" spans="1:110" s="4" customFormat="1" x14ac:dyDescent="0.2">
      <c r="A113" s="3" t="s">
        <v>531</v>
      </c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4" customFormat="1" x14ac:dyDescent="0.2">
      <c r="A114" s="3" t="s">
        <v>532</v>
      </c>
      <c r="U114" s="4" t="e">
        <f ca="1">U118/U$8</f>
        <v>#DIV/0!</v>
      </c>
      <c r="V114" s="4" t="e">
        <f t="shared" ref="V114:AE114" ca="1" si="1006">V118/V$8</f>
        <v>#DIV/0!</v>
      </c>
      <c r="W114" s="4" t="e">
        <f t="shared" ca="1" si="1006"/>
        <v>#DIV/0!</v>
      </c>
      <c r="X114" s="4" t="e">
        <f t="shared" ca="1" si="1006"/>
        <v>#DIV/0!</v>
      </c>
      <c r="Y114" s="4" t="e">
        <f t="shared" ca="1" si="1006"/>
        <v>#DIV/0!</v>
      </c>
      <c r="Z114" s="4" t="e">
        <f t="shared" ca="1" si="1006"/>
        <v>#DIV/0!</v>
      </c>
      <c r="AA114" s="4" t="e">
        <f t="shared" ref="AA114" ca="1" si="1007">AA118/AA$8</f>
        <v>#DIV/0!</v>
      </c>
      <c r="AB114" s="17" t="e">
        <f t="shared" ca="1" si="1006"/>
        <v>#DIV/0!</v>
      </c>
      <c r="AC114" s="17" t="e">
        <f t="shared" ca="1" si="1006"/>
        <v>#DIV/0!</v>
      </c>
      <c r="AD114" s="17" t="e">
        <f t="shared" ca="1" si="1006"/>
        <v>#DIV/0!</v>
      </c>
      <c r="AE114" s="17" t="e">
        <f t="shared" ca="1" si="1006"/>
        <v>#DIV/0!</v>
      </c>
      <c r="BL114" s="4">
        <f t="shared" ref="BL114:DB114" si="1008">BL118/BL$8</f>
        <v>2.3447824685787948</v>
      </c>
      <c r="BM114" s="4">
        <f t="shared" si="1008"/>
        <v>0.58234903615390576</v>
      </c>
      <c r="BN114" s="4">
        <f t="shared" si="1008"/>
        <v>0.15756675646504448</v>
      </c>
      <c r="BO114" s="4">
        <f t="shared" si="1008"/>
        <v>0.36702644196364681</v>
      </c>
      <c r="BP114" s="4">
        <f t="shared" si="1008"/>
        <v>0.57532316272965889</v>
      </c>
      <c r="BQ114" s="4">
        <f t="shared" si="1008"/>
        <v>0.69270242451967057</v>
      </c>
      <c r="BR114" s="4">
        <f t="shared" si="1008"/>
        <v>0.8475355784134142</v>
      </c>
      <c r="BS114" s="4">
        <f t="shared" si="1008"/>
        <v>0.72636124155308679</v>
      </c>
      <c r="BT114" s="4">
        <f t="shared" si="1008"/>
        <v>1.3857340267459137</v>
      </c>
      <c r="BU114" s="4">
        <f t="shared" si="1008"/>
        <v>1.6755279707152244</v>
      </c>
      <c r="BV114" s="4">
        <f t="shared" si="1008"/>
        <v>2.2782938825699355</v>
      </c>
      <c r="BW114" s="4">
        <f t="shared" si="1008"/>
        <v>3.3027228312678742</v>
      </c>
      <c r="BX114" s="4">
        <f t="shared" si="1008"/>
        <v>2.7278325169555391</v>
      </c>
      <c r="BY114" s="4">
        <f t="shared" si="1008"/>
        <v>2.3112439881613023</v>
      </c>
      <c r="BZ114" s="4">
        <f t="shared" si="1008"/>
        <v>1.3885004070832485</v>
      </c>
      <c r="CA114" s="4">
        <f t="shared" si="1008"/>
        <v>1.3768070569039366</v>
      </c>
      <c r="CB114" s="4">
        <f t="shared" si="1008"/>
        <v>1.2334334308705193</v>
      </c>
      <c r="CC114" s="4">
        <f t="shared" si="1008"/>
        <v>1.1544240000000001</v>
      </c>
      <c r="CD114" s="4">
        <f t="shared" si="1008"/>
        <v>1.5130996412666997</v>
      </c>
      <c r="CE114" s="4">
        <f t="shared" si="1008"/>
        <v>1.7707580353341847</v>
      </c>
      <c r="CF114" s="4">
        <f t="shared" si="1008"/>
        <v>1.3660491515783488</v>
      </c>
      <c r="CG114" s="4">
        <f t="shared" si="1008"/>
        <v>1.0531270286220125</v>
      </c>
      <c r="CH114" s="4">
        <f t="shared" si="1008"/>
        <v>0.64304914248021106</v>
      </c>
      <c r="CI114" s="4">
        <f t="shared" si="1008"/>
        <v>0.8945052707235267</v>
      </c>
      <c r="CJ114" s="4">
        <f t="shared" si="1008"/>
        <v>0.60945838268547436</v>
      </c>
      <c r="CK114" s="4">
        <f t="shared" si="1008"/>
        <v>0.48054403149908775</v>
      </c>
      <c r="CL114" s="4">
        <f t="shared" si="1008"/>
        <v>0.29441991873359857</v>
      </c>
      <c r="CM114" s="17">
        <f>CM118/CM$8</f>
        <v>0.43379807282891303</v>
      </c>
      <c r="CN114" s="17">
        <f t="shared" si="1008"/>
        <v>0.40419443262544885</v>
      </c>
      <c r="CO114" s="17">
        <f t="shared" si="1008"/>
        <v>0.36525483368626077</v>
      </c>
      <c r="CP114" s="17">
        <f t="shared" si="1008"/>
        <v>0.33441243840765444</v>
      </c>
      <c r="CQ114" s="17">
        <f t="shared" si="1008"/>
        <v>0.37931098384430972</v>
      </c>
      <c r="CR114" s="17">
        <f t="shared" si="1008"/>
        <v>0.35648821146184273</v>
      </c>
      <c r="CS114" s="17">
        <f t="shared" si="1008"/>
        <v>0.32428672325772628</v>
      </c>
      <c r="CT114" s="17">
        <f t="shared" si="1008"/>
        <v>0.29935725714711947</v>
      </c>
      <c r="CU114" s="17">
        <f t="shared" si="1008"/>
        <v>0.34068194202073543</v>
      </c>
      <c r="CV114" s="17">
        <f t="shared" si="1008"/>
        <v>0.32058897680420972</v>
      </c>
      <c r="CW114" s="17">
        <f t="shared" si="1008"/>
        <v>0.29177732264908618</v>
      </c>
      <c r="CX114" s="17">
        <f t="shared" si="1008"/>
        <v>0.26944169562524656</v>
      </c>
      <c r="CY114" s="17">
        <f t="shared" si="1008"/>
        <v>0.30732463004033789</v>
      </c>
      <c r="CZ114" s="17">
        <f t="shared" si="1008"/>
        <v>0.288700401444277</v>
      </c>
      <c r="DA114" s="17">
        <f t="shared" si="1008"/>
        <v>0.26213842851022812</v>
      </c>
      <c r="DB114" s="17">
        <f t="shared" si="1008"/>
        <v>0.24156984981365814</v>
      </c>
      <c r="DE114" s="119"/>
      <c r="DF114" s="4">
        <v>0.29441991873359857</v>
      </c>
    </row>
    <row r="115" spans="1:110" s="4" customFormat="1" x14ac:dyDescent="0.2">
      <c r="A115" s="3" t="s">
        <v>533</v>
      </c>
      <c r="U115" s="4" t="e">
        <f t="shared" ref="U115:AE116" ca="1" si="1009">U119/U$8</f>
        <v>#DIV/0!</v>
      </c>
      <c r="V115" s="4" t="e">
        <f t="shared" ca="1" si="1009"/>
        <v>#DIV/0!</v>
      </c>
      <c r="W115" s="4" t="e">
        <f t="shared" ca="1" si="1009"/>
        <v>#DIV/0!</v>
      </c>
      <c r="X115" s="4" t="e">
        <f t="shared" ca="1" si="1009"/>
        <v>#DIV/0!</v>
      </c>
      <c r="Y115" s="4" t="e">
        <f t="shared" ca="1" si="1009"/>
        <v>#DIV/0!</v>
      </c>
      <c r="Z115" s="4" t="e">
        <f t="shared" ca="1" si="1009"/>
        <v>#DIV/0!</v>
      </c>
      <c r="AA115" s="4" t="e">
        <f t="shared" ref="AA115" ca="1" si="1010">AA119/AA$8</f>
        <v>#DIV/0!</v>
      </c>
      <c r="AB115" s="17" t="e">
        <f t="shared" ca="1" si="1009"/>
        <v>#DIV/0!</v>
      </c>
      <c r="AC115" s="17" t="e">
        <f t="shared" ca="1" si="1009"/>
        <v>#DIV/0!</v>
      </c>
      <c r="AD115" s="17" t="e">
        <f t="shared" ca="1" si="1009"/>
        <v>#DIV/0!</v>
      </c>
      <c r="AE115" s="17" t="e">
        <f t="shared" ca="1" si="1009"/>
        <v>#DIV/0!</v>
      </c>
      <c r="BL115" s="4">
        <f t="shared" ref="BL115:DB115" si="1011">BL119/BL$8</f>
        <v>2.8425596197228487</v>
      </c>
      <c r="BM115" s="4">
        <f t="shared" si="1011"/>
        <v>1.1415595726561896</v>
      </c>
      <c r="BN115" s="4">
        <f t="shared" si="1011"/>
        <v>0.69306834036802722</v>
      </c>
      <c r="BO115" s="4">
        <f t="shared" si="1011"/>
        <v>0.36702644196364681</v>
      </c>
      <c r="BP115" s="4">
        <f t="shared" si="1011"/>
        <v>0.73913577209098869</v>
      </c>
      <c r="BQ115" s="4">
        <f t="shared" si="1011"/>
        <v>0.78670059469350417</v>
      </c>
      <c r="BR115" s="4">
        <f t="shared" si="1011"/>
        <v>1.0758700859518107</v>
      </c>
      <c r="BS115" s="4">
        <f t="shared" si="1011"/>
        <v>0.91864906654449663</v>
      </c>
      <c r="BT115" s="4">
        <f t="shared" si="1011"/>
        <v>1.4832280832095097</v>
      </c>
      <c r="BU115" s="4">
        <f t="shared" si="1011"/>
        <v>2.2311150741505541</v>
      </c>
      <c r="BV115" s="4">
        <f t="shared" si="1011"/>
        <v>3.0373662772825085</v>
      </c>
      <c r="BW115" s="4">
        <f t="shared" si="1011"/>
        <v>4.4518589132507147</v>
      </c>
      <c r="BX115" s="4">
        <f t="shared" si="1011"/>
        <v>3.1857705350414474</v>
      </c>
      <c r="BY115" s="4">
        <f t="shared" si="1011"/>
        <v>2.739284128745838</v>
      </c>
      <c r="BZ115" s="4">
        <f t="shared" si="1011"/>
        <v>1.6085502747811928</v>
      </c>
      <c r="CA115" s="4">
        <f t="shared" si="1011"/>
        <v>1.5715888231694883</v>
      </c>
      <c r="CB115" s="4">
        <f t="shared" si="1011"/>
        <v>1.3963880760790051</v>
      </c>
      <c r="CC115" s="4">
        <f t="shared" si="1011"/>
        <v>1.2248742857142858</v>
      </c>
      <c r="CD115" s="4">
        <f t="shared" si="1011"/>
        <v>1.8686643369619003</v>
      </c>
      <c r="CE115" s="4">
        <f t="shared" si="1011"/>
        <v>2.0576628352490425</v>
      </c>
      <c r="CF115" s="4">
        <f t="shared" si="1011"/>
        <v>1.6785925206180681</v>
      </c>
      <c r="CG115" s="4">
        <f t="shared" si="1011"/>
        <v>1.4744467394511656</v>
      </c>
      <c r="CH115" s="4">
        <f t="shared" si="1011"/>
        <v>1.2202531332453828</v>
      </c>
      <c r="CI115" s="4">
        <f t="shared" si="1011"/>
        <v>0.97590021562050788</v>
      </c>
      <c r="CJ115" s="4">
        <f t="shared" si="1011"/>
        <v>0.85736513405836123</v>
      </c>
      <c r="CK115" s="4">
        <f t="shared" si="1011"/>
        <v>0.56732449822337461</v>
      </c>
      <c r="CL115" s="4">
        <f t="shared" si="1011"/>
        <v>0.44197578938457632</v>
      </c>
      <c r="CM115" s="17">
        <f t="shared" si="1011"/>
        <v>0.58372976424534118</v>
      </c>
      <c r="CN115" s="17">
        <f t="shared" si="1011"/>
        <v>0.50692469278243857</v>
      </c>
      <c r="CO115" s="17">
        <f t="shared" si="1011"/>
        <v>0.55669456706687392</v>
      </c>
      <c r="CP115" s="17">
        <f t="shared" si="1011"/>
        <v>0.4878431948746238</v>
      </c>
      <c r="CQ115" s="17">
        <f t="shared" si="1011"/>
        <v>0.59839857637856531</v>
      </c>
      <c r="CR115" s="17">
        <f t="shared" si="1011"/>
        <v>0.59424876926540682</v>
      </c>
      <c r="CS115" s="17">
        <f t="shared" si="1011"/>
        <v>0.55757986837020013</v>
      </c>
      <c r="CT115" s="17">
        <f t="shared" si="1011"/>
        <v>0.52328479722762122</v>
      </c>
      <c r="CU115" s="17">
        <f t="shared" si="1011"/>
        <v>0.62019234798220668</v>
      </c>
      <c r="CV115" s="17">
        <f t="shared" si="1011"/>
        <v>0.60002978470084889</v>
      </c>
      <c r="CW115" s="17">
        <f t="shared" si="1011"/>
        <v>0.55906886143147705</v>
      </c>
      <c r="CX115" s="17">
        <f t="shared" si="1011"/>
        <v>0.52949379884432879</v>
      </c>
      <c r="CY115" s="17">
        <f t="shared" si="1011"/>
        <v>0.62295714558416504</v>
      </c>
      <c r="CZ115" s="17">
        <f t="shared" si="1011"/>
        <v>0.59936777011209119</v>
      </c>
      <c r="DA115" s="17">
        <f t="shared" si="1011"/>
        <v>0.55747353136721312</v>
      </c>
      <c r="DB115" s="17">
        <f t="shared" si="1011"/>
        <v>0.52805176449181723</v>
      </c>
      <c r="DE115" s="119"/>
      <c r="DF115" s="4">
        <v>0.68964826885634467</v>
      </c>
    </row>
    <row r="116" spans="1:110" s="4" customFormat="1" x14ac:dyDescent="0.2">
      <c r="A116" s="3" t="s">
        <v>534</v>
      </c>
      <c r="U116" s="4" t="e">
        <f t="shared" ca="1" si="1009"/>
        <v>#DIV/0!</v>
      </c>
      <c r="V116" s="4" t="e">
        <f t="shared" ca="1" si="1009"/>
        <v>#DIV/0!</v>
      </c>
      <c r="W116" s="4" t="e">
        <f t="shared" ca="1" si="1009"/>
        <v>#DIV/0!</v>
      </c>
      <c r="X116" s="4" t="e">
        <f t="shared" ca="1" si="1009"/>
        <v>#DIV/0!</v>
      </c>
      <c r="Y116" s="4" t="e">
        <f t="shared" ca="1" si="1009"/>
        <v>#DIV/0!</v>
      </c>
      <c r="Z116" s="4" t="e">
        <f t="shared" ca="1" si="1009"/>
        <v>#DIV/0!</v>
      </c>
      <c r="AA116" s="4" t="e">
        <f t="shared" ref="AA116" ca="1" si="1012">AA120/AA$8</f>
        <v>#DIV/0!</v>
      </c>
      <c r="AB116" s="17" t="e">
        <f t="shared" ca="1" si="1009"/>
        <v>#DIV/0!</v>
      </c>
      <c r="AC116" s="17" t="e">
        <f t="shared" ca="1" si="1009"/>
        <v>#DIV/0!</v>
      </c>
      <c r="AD116" s="17" t="e">
        <f t="shared" ca="1" si="1009"/>
        <v>#DIV/0!</v>
      </c>
      <c r="AE116" s="17" t="e">
        <f t="shared" ca="1" si="1009"/>
        <v>#DIV/0!</v>
      </c>
      <c r="BL116" s="4">
        <f t="shared" ref="BL116:DB116" si="1013">BL120/BL$8</f>
        <v>0</v>
      </c>
      <c r="BM116" s="4">
        <f t="shared" si="1013"/>
        <v>0.4430661144228536</v>
      </c>
      <c r="BN116" s="4">
        <f t="shared" si="1013"/>
        <v>0.1429165313840943</v>
      </c>
      <c r="BO116" s="4">
        <f t="shared" si="1013"/>
        <v>0.12214720194647202</v>
      </c>
      <c r="BP116" s="4">
        <f t="shared" si="1013"/>
        <v>0.47815917541557307</v>
      </c>
      <c r="BQ116" s="4">
        <f t="shared" si="1013"/>
        <v>0.54035595837145478</v>
      </c>
      <c r="BR116" s="4">
        <f t="shared" si="1013"/>
        <v>0.74192264337043823</v>
      </c>
      <c r="BS116" s="4">
        <f t="shared" si="1013"/>
        <v>0.58568892452181887</v>
      </c>
      <c r="BT116" s="4">
        <f t="shared" si="1013"/>
        <v>0.86166010401188708</v>
      </c>
      <c r="BU116" s="4">
        <f t="shared" si="1013"/>
        <v>1.6308180026281209</v>
      </c>
      <c r="BV116" s="4">
        <f t="shared" si="1013"/>
        <v>2.1193014140793114</v>
      </c>
      <c r="BW116" s="4">
        <f t="shared" si="1013"/>
        <v>3.0979373212583416</v>
      </c>
      <c r="BX116" s="4">
        <f t="shared" si="1013"/>
        <v>2.4049444235116808</v>
      </c>
      <c r="BY116" s="4">
        <f t="shared" si="1013"/>
        <v>2.2049898261191272</v>
      </c>
      <c r="BZ116" s="4">
        <f t="shared" si="1013"/>
        <v>1.2452065947486262</v>
      </c>
      <c r="CA116" s="4">
        <f t="shared" si="1013"/>
        <v>1.32013461146237</v>
      </c>
      <c r="CB116" s="4">
        <f t="shared" si="1013"/>
        <v>0.97379919531821513</v>
      </c>
      <c r="CC116" s="4">
        <f t="shared" si="1013"/>
        <v>0.67634942857142855</v>
      </c>
      <c r="CD116" s="4">
        <f t="shared" si="1013"/>
        <v>1.2535749628896589</v>
      </c>
      <c r="CE116" s="4">
        <f t="shared" si="1013"/>
        <v>1.1845229352916136</v>
      </c>
      <c r="CF116" s="4">
        <f t="shared" si="1013"/>
        <v>1.3460171580244575</v>
      </c>
      <c r="CG116" s="4">
        <f t="shared" si="1013"/>
        <v>1.0138543818235468</v>
      </c>
      <c r="CH116" s="4">
        <f t="shared" si="1013"/>
        <v>0.56013302550571686</v>
      </c>
      <c r="CI116" s="4">
        <f t="shared" si="1013"/>
        <v>0.60430851701006238</v>
      </c>
      <c r="CJ116" s="4">
        <f t="shared" si="1013"/>
        <v>0.59085280499623127</v>
      </c>
      <c r="CK116" s="4">
        <f t="shared" si="1013"/>
        <v>0.44074162105060982</v>
      </c>
      <c r="CL116" s="4">
        <f t="shared" si="1013"/>
        <v>0.29313510539236437</v>
      </c>
      <c r="CM116" s="17">
        <f t="shared" si="1013"/>
        <v>0.38715171752050148</v>
      </c>
      <c r="CN116" s="17">
        <f t="shared" si="1013"/>
        <v>0.33621168130427392</v>
      </c>
      <c r="CO116" s="17">
        <f t="shared" si="1013"/>
        <v>0.36922094944551614</v>
      </c>
      <c r="CP116" s="17">
        <f t="shared" si="1013"/>
        <v>0.32355610822856318</v>
      </c>
      <c r="CQ116" s="17">
        <f t="shared" si="1013"/>
        <v>0.39688063003998764</v>
      </c>
      <c r="CR116" s="17">
        <f t="shared" si="1013"/>
        <v>0.39412832058166308</v>
      </c>
      <c r="CS116" s="17">
        <f t="shared" si="1013"/>
        <v>0.36980811484481535</v>
      </c>
      <c r="CT116" s="17">
        <f t="shared" si="1013"/>
        <v>0.34706232302708517</v>
      </c>
      <c r="CU116" s="17">
        <f t="shared" si="1013"/>
        <v>0.41133508589338674</v>
      </c>
      <c r="CV116" s="17">
        <f t="shared" si="1013"/>
        <v>0.39796250926268301</v>
      </c>
      <c r="CW116" s="17">
        <f t="shared" si="1013"/>
        <v>0.3707956715129162</v>
      </c>
      <c r="CX116" s="17">
        <f t="shared" si="1013"/>
        <v>0.35118036837483885</v>
      </c>
      <c r="CY116" s="17">
        <f t="shared" si="1013"/>
        <v>0.41316880451758364</v>
      </c>
      <c r="CZ116" s="17">
        <f t="shared" si="1013"/>
        <v>0.39752343608060436</v>
      </c>
      <c r="DA116" s="17">
        <f t="shared" si="1013"/>
        <v>0.36973758811161772</v>
      </c>
      <c r="DB116" s="17">
        <f t="shared" si="1013"/>
        <v>0.35022395650329391</v>
      </c>
      <c r="DE116" s="119"/>
      <c r="DF116" s="4">
        <v>0.29313510539236437</v>
      </c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4" customFormat="1" x14ac:dyDescent="0.2">
      <c r="A118" s="49" t="s">
        <v>535</v>
      </c>
      <c r="U118" s="4" t="e">
        <f t="shared" ref="U118:AE118" ca="1" si="1014">+U84*U72</f>
        <v>#DIV/0!</v>
      </c>
      <c r="V118" s="4" t="e">
        <f t="shared" ca="1" si="1014"/>
        <v>#DIV/0!</v>
      </c>
      <c r="W118" s="4" t="e">
        <f t="shared" ca="1" si="1014"/>
        <v>#DIV/0!</v>
      </c>
      <c r="X118" s="4" t="e">
        <f t="shared" ca="1" si="1014"/>
        <v>#DIV/0!</v>
      </c>
      <c r="Y118" s="4" t="e">
        <f t="shared" ca="1" si="1014"/>
        <v>#DIV/0!</v>
      </c>
      <c r="Z118" s="4" t="e">
        <f t="shared" ca="1" si="1014"/>
        <v>#DIV/0!</v>
      </c>
      <c r="AA118" s="4" t="e">
        <f t="shared" ref="AA118" ca="1" si="1015">+AA84*AA72</f>
        <v>#DIV/0!</v>
      </c>
      <c r="AB118" s="17" t="e">
        <f t="shared" ca="1" si="1014"/>
        <v>#DIV/0!</v>
      </c>
      <c r="AC118" s="17" t="e">
        <f t="shared" ca="1" si="1014"/>
        <v>#DIV/0!</v>
      </c>
      <c r="AD118" s="17" t="e">
        <f t="shared" ca="1" si="1014"/>
        <v>#DIV/0!</v>
      </c>
      <c r="AE118" s="17" t="e">
        <f t="shared" ca="1" si="1014"/>
        <v>#DIV/0!</v>
      </c>
      <c r="BL118" s="4">
        <f t="shared" ref="BL118:DB118" si="1016">+BL84*BL72</f>
        <v>14551.720000000001</v>
      </c>
      <c r="BM118" s="4">
        <f t="shared" si="1016"/>
        <v>7522.2025000000003</v>
      </c>
      <c r="BN118" s="4">
        <f t="shared" si="1016"/>
        <v>1795.6150000000002</v>
      </c>
      <c r="BO118" s="4">
        <f t="shared" si="1016"/>
        <v>5128.8275000000003</v>
      </c>
      <c r="BP118" s="4">
        <f t="shared" si="1016"/>
        <v>5260.755000000001</v>
      </c>
      <c r="BQ118" s="4">
        <f t="shared" si="1016"/>
        <v>6056.99</v>
      </c>
      <c r="BR118" s="4">
        <f t="shared" si="1016"/>
        <v>6014.9600000000009</v>
      </c>
      <c r="BS118" s="4">
        <f t="shared" si="1016"/>
        <v>6341.8600000000006</v>
      </c>
      <c r="BT118" s="4">
        <f t="shared" si="1016"/>
        <v>9325.99</v>
      </c>
      <c r="BU118" s="4">
        <f t="shared" si="1016"/>
        <v>8925.5375000000004</v>
      </c>
      <c r="BV118" s="4">
        <f t="shared" si="1016"/>
        <v>7411.29</v>
      </c>
      <c r="BW118" s="4">
        <f t="shared" si="1016"/>
        <v>6929.1125000000002</v>
      </c>
      <c r="BX118" s="4">
        <f t="shared" si="1016"/>
        <v>7239.6675000000005</v>
      </c>
      <c r="BY118" s="4">
        <f t="shared" si="1016"/>
        <v>6247.2925000000005</v>
      </c>
      <c r="BZ118" s="4">
        <f t="shared" si="1016"/>
        <v>6821.7025000000003</v>
      </c>
      <c r="CA118" s="4">
        <f t="shared" si="1016"/>
        <v>6750.4850000000006</v>
      </c>
      <c r="CB118" s="4">
        <f t="shared" si="1016"/>
        <v>8430.5174999999999</v>
      </c>
      <c r="CC118" s="4">
        <f t="shared" si="1016"/>
        <v>10101.210000000001</v>
      </c>
      <c r="CD118" s="4">
        <f t="shared" si="1016"/>
        <v>12231.897500000001</v>
      </c>
      <c r="CE118" s="4">
        <f t="shared" si="1016"/>
        <v>16638.0425</v>
      </c>
      <c r="CF118" s="4">
        <f t="shared" si="1016"/>
        <v>14410.452500000001</v>
      </c>
      <c r="CG118" s="4">
        <f t="shared" si="1016"/>
        <v>10707.142500000002</v>
      </c>
      <c r="CH118" s="4">
        <f t="shared" si="1016"/>
        <v>5849.1750000000002</v>
      </c>
      <c r="CI118" s="4">
        <f t="shared" si="1016"/>
        <v>7467.3300000000008</v>
      </c>
      <c r="CJ118" s="4">
        <f t="shared" si="1016"/>
        <v>5660.0400000000009</v>
      </c>
      <c r="CK118" s="4">
        <f t="shared" si="1016"/>
        <v>5003.9050000000007</v>
      </c>
      <c r="CL118" s="4">
        <f t="shared" si="1016"/>
        <v>3477.9825000000001</v>
      </c>
      <c r="CM118" s="17">
        <f t="shared" si="1016"/>
        <v>4553.25</v>
      </c>
      <c r="CN118" s="17">
        <f t="shared" si="1016"/>
        <v>4553.25</v>
      </c>
      <c r="CO118" s="17">
        <f t="shared" si="1016"/>
        <v>4553.25</v>
      </c>
      <c r="CP118" s="17">
        <f t="shared" si="1016"/>
        <v>4553.25</v>
      </c>
      <c r="CQ118" s="17">
        <f t="shared" si="1016"/>
        <v>4553.25</v>
      </c>
      <c r="CR118" s="17">
        <f t="shared" si="1016"/>
        <v>4553.25</v>
      </c>
      <c r="CS118" s="17">
        <f t="shared" si="1016"/>
        <v>4553.25</v>
      </c>
      <c r="CT118" s="17">
        <f t="shared" si="1016"/>
        <v>4553.25</v>
      </c>
      <c r="CU118" s="17">
        <f t="shared" si="1016"/>
        <v>4553.25</v>
      </c>
      <c r="CV118" s="17">
        <f t="shared" si="1016"/>
        <v>4553.25</v>
      </c>
      <c r="CW118" s="17">
        <f t="shared" si="1016"/>
        <v>4553.25</v>
      </c>
      <c r="CX118" s="17">
        <f t="shared" si="1016"/>
        <v>4553.25</v>
      </c>
      <c r="CY118" s="17">
        <f t="shared" si="1016"/>
        <v>4553.25</v>
      </c>
      <c r="CZ118" s="17">
        <f t="shared" si="1016"/>
        <v>4553.25</v>
      </c>
      <c r="DA118" s="17">
        <f t="shared" si="1016"/>
        <v>4553.25</v>
      </c>
      <c r="DB118" s="17">
        <f t="shared" si="1016"/>
        <v>4553.25</v>
      </c>
      <c r="DE118" s="119"/>
      <c r="DF118" s="4">
        <v>3477.9825000000001</v>
      </c>
    </row>
    <row r="119" spans="1:110" s="162" customFormat="1" x14ac:dyDescent="0.2">
      <c r="A119" s="49" t="s">
        <v>340</v>
      </c>
      <c r="B119" s="162" t="e">
        <f t="shared" ref="B119:AE119" si="1017">+B85*B72</f>
        <v>#DIV/0!</v>
      </c>
      <c r="C119" s="162" t="e">
        <f t="shared" si="1017"/>
        <v>#DIV/0!</v>
      </c>
      <c r="D119" s="162" t="e">
        <f t="shared" si="1017"/>
        <v>#DIV/0!</v>
      </c>
      <c r="E119" s="162" t="e">
        <f t="shared" ca="1" si="1017"/>
        <v>#DIV/0!</v>
      </c>
      <c r="F119" s="162" t="e">
        <f t="shared" ca="1" si="1017"/>
        <v>#DIV/0!</v>
      </c>
      <c r="G119" s="162" t="e">
        <f t="shared" ca="1" si="1017"/>
        <v>#DIV/0!</v>
      </c>
      <c r="H119" s="162" t="e">
        <f t="shared" ca="1" si="1017"/>
        <v>#DIV/0!</v>
      </c>
      <c r="I119" s="162" t="e">
        <f t="shared" ca="1" si="1017"/>
        <v>#DIV/0!</v>
      </c>
      <c r="J119" s="162" t="e">
        <f t="shared" ca="1" si="1017"/>
        <v>#DIV/0!</v>
      </c>
      <c r="K119" s="162" t="e">
        <f t="shared" ca="1" si="1017"/>
        <v>#DIV/0!</v>
      </c>
      <c r="L119" s="162" t="e">
        <f t="shared" ca="1" si="1017"/>
        <v>#DIV/0!</v>
      </c>
      <c r="M119" s="162" t="e">
        <f t="shared" ca="1" si="1017"/>
        <v>#DIV/0!</v>
      </c>
      <c r="N119" s="162" t="e">
        <f t="shared" ca="1" si="1017"/>
        <v>#DIV/0!</v>
      </c>
      <c r="O119" s="162" t="e">
        <f t="shared" ca="1" si="1017"/>
        <v>#DIV/0!</v>
      </c>
      <c r="P119" s="162" t="e">
        <f t="shared" ca="1" si="1017"/>
        <v>#DIV/0!</v>
      </c>
      <c r="Q119" s="162" t="e">
        <f t="shared" ca="1" si="1017"/>
        <v>#DIV/0!</v>
      </c>
      <c r="R119" s="162" t="e">
        <f t="shared" ca="1" si="1017"/>
        <v>#DIV/0!</v>
      </c>
      <c r="S119" s="162" t="e">
        <f t="shared" ca="1" si="1017"/>
        <v>#DIV/0!</v>
      </c>
      <c r="T119" s="162" t="e">
        <f t="shared" ca="1" si="1017"/>
        <v>#DIV/0!</v>
      </c>
      <c r="U119" s="162" t="e">
        <f t="shared" ca="1" si="1017"/>
        <v>#DIV/0!</v>
      </c>
      <c r="V119" s="162" t="e">
        <f t="shared" ca="1" si="1017"/>
        <v>#DIV/0!</v>
      </c>
      <c r="W119" s="162" t="e">
        <f t="shared" ca="1" si="1017"/>
        <v>#DIV/0!</v>
      </c>
      <c r="X119" s="162" t="e">
        <f t="shared" ca="1" si="1017"/>
        <v>#DIV/0!</v>
      </c>
      <c r="Y119" s="162" t="e">
        <f t="shared" ca="1" si="1017"/>
        <v>#DIV/0!</v>
      </c>
      <c r="Z119" s="162" t="e">
        <f t="shared" ca="1" si="1017"/>
        <v>#DIV/0!</v>
      </c>
      <c r="AA119" s="162" t="e">
        <f t="shared" ref="AA119" ca="1" si="1018">+AA85*AA72</f>
        <v>#DIV/0!</v>
      </c>
      <c r="AB119" s="21" t="e">
        <f t="shared" ca="1" si="1017"/>
        <v>#DIV/0!</v>
      </c>
      <c r="AC119" s="21" t="e">
        <f t="shared" ca="1" si="1017"/>
        <v>#DIV/0!</v>
      </c>
      <c r="AD119" s="21" t="e">
        <f t="shared" ca="1" si="1017"/>
        <v>#DIV/0!</v>
      </c>
      <c r="AE119" s="21" t="e">
        <f t="shared" ca="1" si="1017"/>
        <v>#DIV/0!</v>
      </c>
      <c r="AL119" s="162">
        <f t="shared" ref="AL119:BQ119" si="1019">+AL85*AL72</f>
        <v>0</v>
      </c>
      <c r="AM119" s="162">
        <f t="shared" si="1019"/>
        <v>0</v>
      </c>
      <c r="AN119" s="162">
        <f t="shared" si="1019"/>
        <v>0</v>
      </c>
      <c r="AO119" s="162">
        <f t="shared" si="1019"/>
        <v>0</v>
      </c>
      <c r="AP119" s="162">
        <f t="shared" si="1019"/>
        <v>0</v>
      </c>
      <c r="AQ119" s="162">
        <f t="shared" si="1019"/>
        <v>0</v>
      </c>
      <c r="AR119" s="162">
        <f t="shared" si="1019"/>
        <v>0</v>
      </c>
      <c r="AS119" s="162">
        <f t="shared" si="1019"/>
        <v>0</v>
      </c>
      <c r="AT119" s="162">
        <f t="shared" si="1019"/>
        <v>0</v>
      </c>
      <c r="AU119" s="162">
        <f t="shared" si="1019"/>
        <v>0</v>
      </c>
      <c r="AV119" s="162">
        <f t="shared" si="1019"/>
        <v>0</v>
      </c>
      <c r="AW119" s="162">
        <f t="shared" si="1019"/>
        <v>0</v>
      </c>
      <c r="AX119" s="162">
        <f t="shared" si="1019"/>
        <v>0</v>
      </c>
      <c r="AY119" s="162">
        <f t="shared" si="1019"/>
        <v>0</v>
      </c>
      <c r="AZ119" s="162">
        <f t="shared" si="1019"/>
        <v>0</v>
      </c>
      <c r="BA119" s="162">
        <f t="shared" si="1019"/>
        <v>0</v>
      </c>
      <c r="BB119" s="162">
        <f t="shared" si="1019"/>
        <v>0</v>
      </c>
      <c r="BC119" s="162">
        <f t="shared" si="1019"/>
        <v>0</v>
      </c>
      <c r="BD119" s="162">
        <f t="shared" si="1019"/>
        <v>0</v>
      </c>
      <c r="BE119" s="162">
        <f t="shared" si="1019"/>
        <v>0</v>
      </c>
      <c r="BF119" s="162">
        <f t="shared" si="1019"/>
        <v>0</v>
      </c>
      <c r="BG119" s="162">
        <f t="shared" si="1019"/>
        <v>0</v>
      </c>
      <c r="BH119" s="162">
        <f t="shared" si="1019"/>
        <v>0</v>
      </c>
      <c r="BI119" s="162">
        <f t="shared" si="1019"/>
        <v>0</v>
      </c>
      <c r="BJ119" s="162">
        <f t="shared" si="1019"/>
        <v>0</v>
      </c>
      <c r="BK119" s="162">
        <f t="shared" si="1019"/>
        <v>0</v>
      </c>
      <c r="BL119" s="162">
        <f t="shared" si="1019"/>
        <v>17640.924999999999</v>
      </c>
      <c r="BM119" s="162">
        <f t="shared" si="1019"/>
        <v>14745.525000000001</v>
      </c>
      <c r="BN119" s="162">
        <f t="shared" si="1019"/>
        <v>7898.1375000000007</v>
      </c>
      <c r="BO119" s="162">
        <f t="shared" si="1019"/>
        <v>5128.8275000000003</v>
      </c>
      <c r="BP119" s="162">
        <f t="shared" si="1019"/>
        <v>6758.6575000000003</v>
      </c>
      <c r="BQ119" s="162">
        <f t="shared" si="1019"/>
        <v>6878.9100000000008</v>
      </c>
      <c r="BR119" s="162">
        <f t="shared" ref="BR119:CJ119" si="1020">+BR85*BR72</f>
        <v>7635.4500000000007</v>
      </c>
      <c r="BS119" s="162">
        <f t="shared" si="1020"/>
        <v>8020.7250000000004</v>
      </c>
      <c r="BT119" s="162">
        <f t="shared" si="1020"/>
        <v>9982.125</v>
      </c>
      <c r="BU119" s="162">
        <f t="shared" si="1020"/>
        <v>11885.150000000001</v>
      </c>
      <c r="BV119" s="162">
        <f t="shared" si="1020"/>
        <v>9880.5524999999998</v>
      </c>
      <c r="BW119" s="162">
        <f t="shared" si="1020"/>
        <v>9340</v>
      </c>
      <c r="BX119" s="162">
        <f t="shared" si="1020"/>
        <v>8455.0350000000017</v>
      </c>
      <c r="BY119" s="162">
        <f t="shared" si="1020"/>
        <v>7404.2850000000008</v>
      </c>
      <c r="BZ119" s="162">
        <f t="shared" si="1020"/>
        <v>7902.8074999999999</v>
      </c>
      <c r="CA119" s="162">
        <f t="shared" si="1020"/>
        <v>7705.5000000000009</v>
      </c>
      <c r="CB119" s="162">
        <f t="shared" si="1020"/>
        <v>9544.3125</v>
      </c>
      <c r="CC119" s="162">
        <f t="shared" si="1020"/>
        <v>10717.650000000001</v>
      </c>
      <c r="CD119" s="162">
        <f t="shared" si="1020"/>
        <v>15106.282500000001</v>
      </c>
      <c r="CE119" s="162">
        <f t="shared" si="1020"/>
        <v>19333.800000000003</v>
      </c>
      <c r="CF119" s="162">
        <f t="shared" si="1020"/>
        <v>17707.4725</v>
      </c>
      <c r="CG119" s="162">
        <f t="shared" si="1020"/>
        <v>14990.7</v>
      </c>
      <c r="CH119" s="162">
        <f t="shared" si="1020"/>
        <v>11099.422500000001</v>
      </c>
      <c r="CI119" s="162">
        <f t="shared" si="1020"/>
        <v>8146.8149999999996</v>
      </c>
      <c r="CJ119" s="162">
        <f t="shared" si="1020"/>
        <v>7962.35</v>
      </c>
      <c r="CK119" s="162">
        <f t="shared" ref="CK119:CL119" si="1021">+CK85*CK72</f>
        <v>5907.55</v>
      </c>
      <c r="CL119" s="162">
        <f t="shared" si="1021"/>
        <v>5221.0600000000004</v>
      </c>
      <c r="CM119" s="21">
        <f t="shared" ref="CM119:DB119" si="1022">+CM85*CM72</f>
        <v>6126.9694715733431</v>
      </c>
      <c r="CN119" s="21">
        <f t="shared" si="1022"/>
        <v>5710.5063086074597</v>
      </c>
      <c r="CO119" s="21">
        <f t="shared" si="1022"/>
        <v>6939.7289336751355</v>
      </c>
      <c r="CP119" s="21">
        <f t="shared" si="1022"/>
        <v>6642.3128207782529</v>
      </c>
      <c r="CQ119" s="21">
        <f t="shared" si="1022"/>
        <v>7183.1780094563601</v>
      </c>
      <c r="CR119" s="21">
        <f t="shared" si="1022"/>
        <v>7590.0496051812061</v>
      </c>
      <c r="CS119" s="21">
        <f t="shared" si="1022"/>
        <v>7828.8759717088587</v>
      </c>
      <c r="CT119" s="21">
        <f t="shared" si="1022"/>
        <v>7959.2074222062765</v>
      </c>
      <c r="CU119" s="21">
        <f t="shared" si="1022"/>
        <v>8288.9359843971652</v>
      </c>
      <c r="CV119" s="21">
        <f t="shared" si="1022"/>
        <v>8522.0822138799886</v>
      </c>
      <c r="CW119" s="21">
        <f t="shared" si="1022"/>
        <v>8724.3938980630901</v>
      </c>
      <c r="CX119" s="21">
        <f t="shared" si="1022"/>
        <v>8947.8268535734314</v>
      </c>
      <c r="CY119" s="21">
        <f t="shared" si="1022"/>
        <v>9229.5876928536363</v>
      </c>
      <c r="CZ119" s="21">
        <f t="shared" si="1022"/>
        <v>9452.9529076170202</v>
      </c>
      <c r="DA119" s="21">
        <f t="shared" si="1022"/>
        <v>9683.1142657083692</v>
      </c>
      <c r="DB119" s="21">
        <f t="shared" si="1022"/>
        <v>9953.0289004485985</v>
      </c>
      <c r="DE119" s="22"/>
      <c r="DF119" s="162">
        <v>5221.0600000000004</v>
      </c>
    </row>
    <row r="120" spans="1:110" s="162" customFormat="1" x14ac:dyDescent="0.2">
      <c r="A120" s="49" t="s">
        <v>341</v>
      </c>
      <c r="B120" s="162" t="e">
        <f t="shared" ref="B120:AE120" si="1023">+B86*B72</f>
        <v>#DIV/0!</v>
      </c>
      <c r="C120" s="162" t="e">
        <f t="shared" si="1023"/>
        <v>#DIV/0!</v>
      </c>
      <c r="D120" s="162" t="e">
        <f t="shared" si="1023"/>
        <v>#DIV/0!</v>
      </c>
      <c r="E120" s="162" t="e">
        <f t="shared" ca="1" si="1023"/>
        <v>#DIV/0!</v>
      </c>
      <c r="F120" s="162" t="e">
        <f t="shared" ca="1" si="1023"/>
        <v>#DIV/0!</v>
      </c>
      <c r="G120" s="162" t="e">
        <f t="shared" ca="1" si="1023"/>
        <v>#DIV/0!</v>
      </c>
      <c r="H120" s="162" t="e">
        <f t="shared" ca="1" si="1023"/>
        <v>#DIV/0!</v>
      </c>
      <c r="I120" s="162" t="e">
        <f t="shared" ca="1" si="1023"/>
        <v>#DIV/0!</v>
      </c>
      <c r="J120" s="162" t="e">
        <f t="shared" ca="1" si="1023"/>
        <v>#DIV/0!</v>
      </c>
      <c r="K120" s="162" t="e">
        <f t="shared" ca="1" si="1023"/>
        <v>#DIV/0!</v>
      </c>
      <c r="L120" s="162" t="e">
        <f t="shared" ca="1" si="1023"/>
        <v>#DIV/0!</v>
      </c>
      <c r="M120" s="162" t="e">
        <f t="shared" ca="1" si="1023"/>
        <v>#DIV/0!</v>
      </c>
      <c r="N120" s="162" t="e">
        <f t="shared" ca="1" si="1023"/>
        <v>#DIV/0!</v>
      </c>
      <c r="O120" s="162" t="e">
        <f t="shared" ca="1" si="1023"/>
        <v>#DIV/0!</v>
      </c>
      <c r="P120" s="162" t="e">
        <f t="shared" ca="1" si="1023"/>
        <v>#DIV/0!</v>
      </c>
      <c r="Q120" s="162" t="e">
        <f t="shared" ca="1" si="1023"/>
        <v>#DIV/0!</v>
      </c>
      <c r="R120" s="162" t="e">
        <f t="shared" ca="1" si="1023"/>
        <v>#DIV/0!</v>
      </c>
      <c r="S120" s="162" t="e">
        <f t="shared" ca="1" si="1023"/>
        <v>#DIV/0!</v>
      </c>
      <c r="T120" s="162" t="e">
        <f t="shared" ca="1" si="1023"/>
        <v>#DIV/0!</v>
      </c>
      <c r="U120" s="162" t="e">
        <f t="shared" ca="1" si="1023"/>
        <v>#DIV/0!</v>
      </c>
      <c r="V120" s="162" t="e">
        <f t="shared" ca="1" si="1023"/>
        <v>#DIV/0!</v>
      </c>
      <c r="W120" s="162" t="e">
        <f t="shared" ca="1" si="1023"/>
        <v>#DIV/0!</v>
      </c>
      <c r="X120" s="162" t="e">
        <f t="shared" ca="1" si="1023"/>
        <v>#DIV/0!</v>
      </c>
      <c r="Y120" s="162" t="e">
        <f t="shared" ca="1" si="1023"/>
        <v>#DIV/0!</v>
      </c>
      <c r="Z120" s="162" t="e">
        <f t="shared" ca="1" si="1023"/>
        <v>#DIV/0!</v>
      </c>
      <c r="AA120" s="162" t="e">
        <f t="shared" ref="AA120" ca="1" si="1024">+AA86*AA72</f>
        <v>#DIV/0!</v>
      </c>
      <c r="AB120" s="21" t="e">
        <f t="shared" ca="1" si="1023"/>
        <v>#DIV/0!</v>
      </c>
      <c r="AC120" s="21" t="e">
        <f t="shared" ca="1" si="1023"/>
        <v>#DIV/0!</v>
      </c>
      <c r="AD120" s="21" t="e">
        <f t="shared" ca="1" si="1023"/>
        <v>#DIV/0!</v>
      </c>
      <c r="AE120" s="21" t="e">
        <f t="shared" ca="1" si="1023"/>
        <v>#DIV/0!</v>
      </c>
      <c r="AL120" s="162">
        <f t="shared" ref="AL120:BQ120" si="1025">+AL86*AL72</f>
        <v>0</v>
      </c>
      <c r="AM120" s="162">
        <f t="shared" si="1025"/>
        <v>0</v>
      </c>
      <c r="AN120" s="162">
        <f t="shared" si="1025"/>
        <v>0</v>
      </c>
      <c r="AO120" s="162">
        <f t="shared" si="1025"/>
        <v>0</v>
      </c>
      <c r="AP120" s="162">
        <f t="shared" si="1025"/>
        <v>0</v>
      </c>
      <c r="AQ120" s="162">
        <f t="shared" si="1025"/>
        <v>0</v>
      </c>
      <c r="AR120" s="162">
        <f t="shared" si="1025"/>
        <v>0</v>
      </c>
      <c r="AS120" s="162">
        <f t="shared" si="1025"/>
        <v>0</v>
      </c>
      <c r="AT120" s="162">
        <f t="shared" si="1025"/>
        <v>0</v>
      </c>
      <c r="AU120" s="162">
        <f t="shared" si="1025"/>
        <v>0</v>
      </c>
      <c r="AV120" s="162">
        <f t="shared" si="1025"/>
        <v>0</v>
      </c>
      <c r="AW120" s="162">
        <f t="shared" si="1025"/>
        <v>0</v>
      </c>
      <c r="AX120" s="162">
        <f t="shared" si="1025"/>
        <v>0</v>
      </c>
      <c r="AY120" s="162">
        <f t="shared" si="1025"/>
        <v>0</v>
      </c>
      <c r="AZ120" s="162">
        <f t="shared" si="1025"/>
        <v>0</v>
      </c>
      <c r="BA120" s="162">
        <f t="shared" si="1025"/>
        <v>0</v>
      </c>
      <c r="BB120" s="162">
        <f t="shared" si="1025"/>
        <v>0</v>
      </c>
      <c r="BC120" s="162">
        <f t="shared" si="1025"/>
        <v>0</v>
      </c>
      <c r="BD120" s="162">
        <f t="shared" si="1025"/>
        <v>0</v>
      </c>
      <c r="BE120" s="162">
        <f t="shared" si="1025"/>
        <v>0</v>
      </c>
      <c r="BF120" s="162">
        <f t="shared" si="1025"/>
        <v>0</v>
      </c>
      <c r="BG120" s="162">
        <f t="shared" si="1025"/>
        <v>0</v>
      </c>
      <c r="BH120" s="162">
        <f t="shared" si="1025"/>
        <v>0</v>
      </c>
      <c r="BI120" s="162">
        <f t="shared" si="1025"/>
        <v>0</v>
      </c>
      <c r="BJ120" s="162">
        <f t="shared" si="1025"/>
        <v>0</v>
      </c>
      <c r="BK120" s="162">
        <f t="shared" si="1025"/>
        <v>0</v>
      </c>
      <c r="BL120" s="162">
        <f t="shared" si="1025"/>
        <v>0</v>
      </c>
      <c r="BM120" s="162">
        <f t="shared" si="1025"/>
        <v>5723.085</v>
      </c>
      <c r="BN120" s="162">
        <f t="shared" si="1025"/>
        <v>1628.6625000000001</v>
      </c>
      <c r="BO120" s="162">
        <f t="shared" si="1025"/>
        <v>1706.885</v>
      </c>
      <c r="BP120" s="162">
        <f t="shared" si="1025"/>
        <v>4372.2875000000004</v>
      </c>
      <c r="BQ120" s="162">
        <f t="shared" si="1025"/>
        <v>4724.8725000000004</v>
      </c>
      <c r="BR120" s="162">
        <f t="shared" ref="BR120:CJ120" si="1026">+BR86*BR72</f>
        <v>5265.4250000000002</v>
      </c>
      <c r="BS120" s="162">
        <f t="shared" si="1026"/>
        <v>5113.6500000000005</v>
      </c>
      <c r="BT120" s="162">
        <f t="shared" si="1026"/>
        <v>5798.9724999999999</v>
      </c>
      <c r="BU120" s="162">
        <f t="shared" si="1026"/>
        <v>8687.3675000000003</v>
      </c>
      <c r="BV120" s="162">
        <f t="shared" si="1026"/>
        <v>6894.0875000000005</v>
      </c>
      <c r="BW120" s="162">
        <f t="shared" si="1026"/>
        <v>6499.4725000000008</v>
      </c>
      <c r="BX120" s="162">
        <f t="shared" si="1026"/>
        <v>6382.7225000000008</v>
      </c>
      <c r="BY120" s="162">
        <f t="shared" si="1026"/>
        <v>5960.0875000000005</v>
      </c>
      <c r="BZ120" s="162">
        <f t="shared" si="1026"/>
        <v>6117.7000000000007</v>
      </c>
      <c r="CA120" s="162">
        <f t="shared" si="1026"/>
        <v>6472.62</v>
      </c>
      <c r="CB120" s="162">
        <f t="shared" si="1026"/>
        <v>6655.9175000000005</v>
      </c>
      <c r="CC120" s="162">
        <f t="shared" si="1026"/>
        <v>5918.0574999999999</v>
      </c>
      <c r="CD120" s="162">
        <f t="shared" si="1026"/>
        <v>10133.900000000001</v>
      </c>
      <c r="CE120" s="162">
        <f t="shared" si="1026"/>
        <v>11129.7775</v>
      </c>
      <c r="CF120" s="162">
        <f t="shared" si="1026"/>
        <v>14199.135000000002</v>
      </c>
      <c r="CG120" s="162">
        <f t="shared" si="1026"/>
        <v>10307.8575</v>
      </c>
      <c r="CH120" s="162">
        <f t="shared" si="1026"/>
        <v>5094.97</v>
      </c>
      <c r="CI120" s="162">
        <f t="shared" si="1026"/>
        <v>5044.7675000000008</v>
      </c>
      <c r="CJ120" s="162">
        <f t="shared" si="1026"/>
        <v>5487.25</v>
      </c>
      <c r="CK120" s="162">
        <f t="shared" ref="CK120:CL120" si="1027">+CK86*CK72</f>
        <v>4589.4425000000001</v>
      </c>
      <c r="CL120" s="162">
        <f t="shared" si="1027"/>
        <v>3462.8050000000003</v>
      </c>
      <c r="CM120" s="21">
        <f t="shared" ref="CM120:DB120" si="1028">+CM86*CM72</f>
        <v>4063.6385180426078</v>
      </c>
      <c r="CN120" s="21">
        <f t="shared" si="1028"/>
        <v>3787.4243540540538</v>
      </c>
      <c r="CO120" s="21">
        <f t="shared" si="1028"/>
        <v>4602.6914171020699</v>
      </c>
      <c r="CP120" s="21">
        <f t="shared" si="1028"/>
        <v>4405.4337715626798</v>
      </c>
      <c r="CQ120" s="21">
        <f t="shared" si="1028"/>
        <v>4764.1560769337129</v>
      </c>
      <c r="CR120" s="21">
        <f t="shared" si="1028"/>
        <v>5034.0087497691111</v>
      </c>
      <c r="CS120" s="21">
        <f t="shared" si="1028"/>
        <v>5192.4074535081581</v>
      </c>
      <c r="CT120" s="21">
        <f t="shared" si="1028"/>
        <v>5278.8482142808189</v>
      </c>
      <c r="CU120" s="21">
        <f t="shared" si="1028"/>
        <v>5497.5367016372984</v>
      </c>
      <c r="CV120" s="21">
        <f t="shared" si="1028"/>
        <v>5652.1681230697795</v>
      </c>
      <c r="CW120" s="21">
        <f t="shared" si="1028"/>
        <v>5786.3489046634904</v>
      </c>
      <c r="CX120" s="21">
        <f t="shared" si="1028"/>
        <v>5934.5381144228086</v>
      </c>
      <c r="CY120" s="21">
        <f t="shared" si="1028"/>
        <v>6121.4125887754681</v>
      </c>
      <c r="CZ120" s="21">
        <f t="shared" si="1028"/>
        <v>6269.5568703023446</v>
      </c>
      <c r="DA120" s="21">
        <f t="shared" si="1028"/>
        <v>6422.2086118271527</v>
      </c>
      <c r="DB120" s="21">
        <f t="shared" si="1028"/>
        <v>6601.2262340631823</v>
      </c>
      <c r="DE120" s="22"/>
      <c r="DF120" s="162">
        <v>3462.8050000000003</v>
      </c>
    </row>
    <row r="121" spans="1:110" s="162" customFormat="1" x14ac:dyDescent="0.2">
      <c r="A121" s="49" t="s">
        <v>80</v>
      </c>
      <c r="B121" s="162">
        <f>+B180</f>
        <v>0</v>
      </c>
      <c r="C121" s="162">
        <f t="shared" ref="C121:W121" si="1029">+C180</f>
        <v>0</v>
      </c>
      <c r="D121" s="162">
        <f t="shared" si="1029"/>
        <v>0</v>
      </c>
      <c r="E121" s="162">
        <f t="shared" si="1029"/>
        <v>0</v>
      </c>
      <c r="F121" s="162">
        <f t="shared" si="1029"/>
        <v>0</v>
      </c>
      <c r="G121" s="162">
        <f t="shared" si="1029"/>
        <v>0</v>
      </c>
      <c r="H121" s="162">
        <f t="shared" si="1029"/>
        <v>0</v>
      </c>
      <c r="I121" s="162">
        <f t="shared" si="1029"/>
        <v>0</v>
      </c>
      <c r="J121" s="162">
        <f t="shared" si="1029"/>
        <v>0</v>
      </c>
      <c r="K121" s="162">
        <f t="shared" si="1029"/>
        <v>0</v>
      </c>
      <c r="L121" s="162">
        <f t="shared" si="1029"/>
        <v>0</v>
      </c>
      <c r="M121" s="162">
        <f t="shared" si="1029"/>
        <v>0</v>
      </c>
      <c r="N121" s="162">
        <f t="shared" si="1029"/>
        <v>0</v>
      </c>
      <c r="O121" s="162">
        <f t="shared" si="1029"/>
        <v>0</v>
      </c>
      <c r="P121" s="162">
        <f t="shared" si="1029"/>
        <v>0</v>
      </c>
      <c r="Q121" s="162">
        <f t="shared" si="1029"/>
        <v>0</v>
      </c>
      <c r="R121" s="162">
        <f t="shared" si="1029"/>
        <v>0</v>
      </c>
      <c r="S121" s="162">
        <f t="shared" si="1029"/>
        <v>79.844999999999999</v>
      </c>
      <c r="T121" s="162">
        <f t="shared" si="1029"/>
        <v>1773.0659999999998</v>
      </c>
      <c r="U121" s="162">
        <f t="shared" si="1029"/>
        <v>724.23</v>
      </c>
      <c r="V121" s="162">
        <f t="shared" si="1029"/>
        <v>177.40000000000003</v>
      </c>
      <c r="W121" s="162">
        <f t="shared" si="1029"/>
        <v>-68.980000000000018</v>
      </c>
      <c r="X121" s="162">
        <f t="shared" ref="X121:Y121" si="1030">+X180</f>
        <v>1919.77</v>
      </c>
      <c r="Y121" s="162">
        <f t="shared" si="1030"/>
        <v>137.47000000000003</v>
      </c>
      <c r="Z121" s="162">
        <f t="shared" ref="Z121:AA121" si="1031">+Z180</f>
        <v>190.51999999999998</v>
      </c>
      <c r="AA121" s="162">
        <f t="shared" si="1031"/>
        <v>629.39000000000021</v>
      </c>
      <c r="AB121" s="21">
        <f t="shared" ref="AA121:AD121" si="1032">+AB180</f>
        <v>611.84965302665796</v>
      </c>
      <c r="AC121" s="21">
        <f t="shared" si="1032"/>
        <v>400.22559166821372</v>
      </c>
      <c r="AD121" s="21">
        <f t="shared" si="1032"/>
        <v>124.0670054927723</v>
      </c>
      <c r="AE121" s="21">
        <f t="shared" ref="AE121" si="1033">+AE180</f>
        <v>-177.25396103635717</v>
      </c>
      <c r="AL121" s="162">
        <f t="shared" ref="AL121:AM121" si="1034">+AL180</f>
        <v>0</v>
      </c>
      <c r="AM121" s="162" t="e">
        <f t="shared" si="1034"/>
        <v>#DIV/0!</v>
      </c>
      <c r="AN121" s="162">
        <f t="shared" ref="AN121:AO121" si="1035">+AN180</f>
        <v>0</v>
      </c>
      <c r="AO121" s="162" t="e">
        <f t="shared" si="1035"/>
        <v>#DIV/0!</v>
      </c>
      <c r="AP121" s="162">
        <f t="shared" ref="AP121:CD121" si="1036">+AP180</f>
        <v>0</v>
      </c>
      <c r="AQ121" s="162" t="e">
        <f t="shared" si="1036"/>
        <v>#DIV/0!</v>
      </c>
      <c r="AR121" s="162">
        <f t="shared" si="1036"/>
        <v>0</v>
      </c>
      <c r="AS121" s="162" t="e">
        <f t="shared" si="1036"/>
        <v>#DIV/0!</v>
      </c>
      <c r="AT121" s="162">
        <f t="shared" si="1036"/>
        <v>0</v>
      </c>
      <c r="AU121" s="162" t="e">
        <f t="shared" si="1036"/>
        <v>#DIV/0!</v>
      </c>
      <c r="AV121" s="162">
        <f t="shared" si="1036"/>
        <v>0</v>
      </c>
      <c r="AW121" s="162" t="e">
        <f t="shared" si="1036"/>
        <v>#DIV/0!</v>
      </c>
      <c r="AX121" s="162">
        <f t="shared" si="1036"/>
        <v>0</v>
      </c>
      <c r="AY121" s="162" t="e">
        <f t="shared" si="1036"/>
        <v>#DIV/0!</v>
      </c>
      <c r="AZ121" s="162">
        <f t="shared" si="1036"/>
        <v>0</v>
      </c>
      <c r="BA121" s="162" t="e">
        <f t="shared" si="1036"/>
        <v>#DIV/0!</v>
      </c>
      <c r="BB121" s="162">
        <f t="shared" si="1036"/>
        <v>0</v>
      </c>
      <c r="BC121" s="162" t="e">
        <f t="shared" si="1036"/>
        <v>#DIV/0!</v>
      </c>
      <c r="BD121" s="162">
        <f t="shared" si="1036"/>
        <v>0</v>
      </c>
      <c r="BE121" s="162" t="e">
        <f t="shared" si="1036"/>
        <v>#DIV/0!</v>
      </c>
      <c r="BF121" s="162">
        <f t="shared" si="1036"/>
        <v>0</v>
      </c>
      <c r="BG121" s="162" t="e">
        <f t="shared" si="1036"/>
        <v>#DIV/0!</v>
      </c>
      <c r="BH121" s="162">
        <f t="shared" si="1036"/>
        <v>0</v>
      </c>
      <c r="BI121" s="162">
        <f t="shared" si="1036"/>
        <v>-189.82199999999992</v>
      </c>
      <c r="BJ121" s="162">
        <f t="shared" si="1036"/>
        <v>1773.0659999999998</v>
      </c>
      <c r="BK121" s="162">
        <f t="shared" si="1036"/>
        <v>1724.5468876824302</v>
      </c>
      <c r="BL121" s="162">
        <f t="shared" si="1036"/>
        <v>1806.2979999999998</v>
      </c>
      <c r="BM121" s="162">
        <f t="shared" si="1036"/>
        <v>1733.7904452188413</v>
      </c>
      <c r="BN121" s="162">
        <f t="shared" si="1036"/>
        <v>724.23</v>
      </c>
      <c r="BO121" s="162">
        <f t="shared" si="1036"/>
        <v>792.75399945647757</v>
      </c>
      <c r="BP121" s="162">
        <f t="shared" si="1036"/>
        <v>429.15999999999997</v>
      </c>
      <c r="BQ121" s="162">
        <f t="shared" si="1036"/>
        <v>412.28969415619906</v>
      </c>
      <c r="BR121" s="162">
        <f t="shared" si="1036"/>
        <v>177.40000000000003</v>
      </c>
      <c r="BS121" s="162">
        <f t="shared" si="1036"/>
        <v>378.63334940712679</v>
      </c>
      <c r="BT121" s="162">
        <f t="shared" si="1036"/>
        <v>246.12</v>
      </c>
      <c r="BU121" s="162">
        <f t="shared" si="1036"/>
        <v>651.51426718204675</v>
      </c>
      <c r="BV121" s="162">
        <f t="shared" si="1036"/>
        <v>-68.980000000000018</v>
      </c>
      <c r="BW121" s="162">
        <f t="shared" si="1036"/>
        <v>206.89437074591757</v>
      </c>
      <c r="BX121" s="162">
        <f t="shared" si="1036"/>
        <v>834.08999999999992</v>
      </c>
      <c r="BY121" s="162">
        <f t="shared" si="1036"/>
        <v>757.39006140266702</v>
      </c>
      <c r="BZ121" s="162">
        <f t="shared" si="1036"/>
        <v>1919.77</v>
      </c>
      <c r="CA121" s="162">
        <f t="shared" si="1036"/>
        <v>2699.4822910776875</v>
      </c>
      <c r="CB121" s="162">
        <f t="shared" si="1036"/>
        <v>2079.0400000000004</v>
      </c>
      <c r="CC121" s="162">
        <f t="shared" si="1036"/>
        <v>2290.772051822204</v>
      </c>
      <c r="CD121" s="162">
        <f t="shared" si="1036"/>
        <v>137.46999999999997</v>
      </c>
      <c r="CE121" s="162">
        <f t="shared" ref="CE121:CF121" si="1037">+CE180</f>
        <v>283.94817811393739</v>
      </c>
      <c r="CF121" s="162">
        <f t="shared" si="1037"/>
        <v>314.87999999999988</v>
      </c>
      <c r="CG121" s="162">
        <f t="shared" ref="CG121:CH121" si="1038">+CG180</f>
        <v>-182.42284311346998</v>
      </c>
      <c r="CH121" s="162">
        <f t="shared" si="1038"/>
        <v>190.51999999999998</v>
      </c>
      <c r="CI121" s="162">
        <f t="shared" ref="CI121:CJ121" si="1039">+CI180</f>
        <v>-179.39793919280987</v>
      </c>
      <c r="CJ121" s="162">
        <f t="shared" si="1039"/>
        <v>753.84999999999991</v>
      </c>
      <c r="CK121" s="162">
        <f t="shared" ref="CK121:CL121" si="1040">+CK180</f>
        <v>981.09753231156265</v>
      </c>
      <c r="CL121" s="162">
        <f t="shared" si="1040"/>
        <v>629.39</v>
      </c>
      <c r="CM121" s="21">
        <f t="shared" ref="CM121:DB121" si="1041">+CM180</f>
        <v>845.05903071155171</v>
      </c>
      <c r="CN121" s="21">
        <f t="shared" si="1041"/>
        <v>609.44604567054012</v>
      </c>
      <c r="CO121" s="21">
        <f t="shared" si="1041"/>
        <v>607.13066377534983</v>
      </c>
      <c r="CP121" s="21">
        <f t="shared" si="1041"/>
        <v>611.84965302665796</v>
      </c>
      <c r="CQ121" s="21">
        <f t="shared" si="1041"/>
        <v>679.89053533120887</v>
      </c>
      <c r="CR121" s="21">
        <f t="shared" si="1041"/>
        <v>367.38059207374727</v>
      </c>
      <c r="CS121" s="21">
        <f t="shared" si="1041"/>
        <v>356.26758192082082</v>
      </c>
      <c r="CT121" s="21">
        <f t="shared" si="1041"/>
        <v>400.22559166821372</v>
      </c>
      <c r="CU121" s="21">
        <f t="shared" si="1041"/>
        <v>433.08649714749072</v>
      </c>
      <c r="CV121" s="21">
        <f t="shared" si="1041"/>
        <v>74.04335121217423</v>
      </c>
      <c r="CW121" s="21">
        <f t="shared" si="1041"/>
        <v>66.855782239219479</v>
      </c>
      <c r="CX121" s="21">
        <f t="shared" si="1041"/>
        <v>124.0670054927723</v>
      </c>
      <c r="CY121" s="21">
        <f t="shared" si="1041"/>
        <v>156.45329594418217</v>
      </c>
      <c r="CZ121" s="21">
        <f t="shared" si="1041"/>
        <v>-249.51420803176416</v>
      </c>
      <c r="DA121" s="21">
        <f t="shared" si="1041"/>
        <v>-250.04708959999084</v>
      </c>
      <c r="DB121" s="21">
        <f t="shared" si="1041"/>
        <v>-177.25396103635717</v>
      </c>
      <c r="DE121" s="22"/>
      <c r="DF121" s="162">
        <v>2381.8771739193771</v>
      </c>
    </row>
    <row r="122" spans="1:110" s="162" customFormat="1" x14ac:dyDescent="0.2">
      <c r="A122" s="49" t="s">
        <v>342</v>
      </c>
      <c r="B122" s="162" t="e">
        <f>+B119+B121</f>
        <v>#DIV/0!</v>
      </c>
      <c r="C122" s="162" t="e">
        <f t="shared" ref="C122:W122" si="1042">+C119+C121</f>
        <v>#DIV/0!</v>
      </c>
      <c r="D122" s="162" t="e">
        <f t="shared" si="1042"/>
        <v>#DIV/0!</v>
      </c>
      <c r="E122" s="162" t="e">
        <f t="shared" ca="1" si="1042"/>
        <v>#DIV/0!</v>
      </c>
      <c r="F122" s="162" t="e">
        <f t="shared" ca="1" si="1042"/>
        <v>#DIV/0!</v>
      </c>
      <c r="G122" s="162" t="e">
        <f t="shared" ca="1" si="1042"/>
        <v>#DIV/0!</v>
      </c>
      <c r="H122" s="162" t="e">
        <f t="shared" ca="1" si="1042"/>
        <v>#DIV/0!</v>
      </c>
      <c r="I122" s="162" t="e">
        <f t="shared" ca="1" si="1042"/>
        <v>#DIV/0!</v>
      </c>
      <c r="J122" s="162" t="e">
        <f t="shared" ca="1" si="1042"/>
        <v>#DIV/0!</v>
      </c>
      <c r="K122" s="162" t="e">
        <f t="shared" ca="1" si="1042"/>
        <v>#DIV/0!</v>
      </c>
      <c r="L122" s="162" t="e">
        <f t="shared" ca="1" si="1042"/>
        <v>#DIV/0!</v>
      </c>
      <c r="M122" s="162" t="e">
        <f t="shared" ca="1" si="1042"/>
        <v>#DIV/0!</v>
      </c>
      <c r="N122" s="162" t="e">
        <f t="shared" ca="1" si="1042"/>
        <v>#DIV/0!</v>
      </c>
      <c r="O122" s="162" t="e">
        <f t="shared" ca="1" si="1042"/>
        <v>#DIV/0!</v>
      </c>
      <c r="P122" s="162" t="e">
        <f t="shared" ca="1" si="1042"/>
        <v>#DIV/0!</v>
      </c>
      <c r="Q122" s="162" t="e">
        <f t="shared" ca="1" si="1042"/>
        <v>#DIV/0!</v>
      </c>
      <c r="R122" s="162" t="e">
        <f t="shared" ca="1" si="1042"/>
        <v>#DIV/0!</v>
      </c>
      <c r="S122" s="162" t="e">
        <f t="shared" ca="1" si="1042"/>
        <v>#DIV/0!</v>
      </c>
      <c r="T122" s="162" t="e">
        <f t="shared" ca="1" si="1042"/>
        <v>#DIV/0!</v>
      </c>
      <c r="U122" s="162" t="e">
        <f t="shared" ca="1" si="1042"/>
        <v>#DIV/0!</v>
      </c>
      <c r="V122" s="162" t="e">
        <f t="shared" ca="1" si="1042"/>
        <v>#DIV/0!</v>
      </c>
      <c r="W122" s="162" t="e">
        <f t="shared" ca="1" si="1042"/>
        <v>#DIV/0!</v>
      </c>
      <c r="X122" s="162" t="e">
        <f t="shared" ref="X122:Y122" ca="1" si="1043">+X119+X121</f>
        <v>#DIV/0!</v>
      </c>
      <c r="Y122" s="162" t="e">
        <f t="shared" ca="1" si="1043"/>
        <v>#DIV/0!</v>
      </c>
      <c r="Z122" s="162" t="e">
        <f t="shared" ref="Z122:AA122" ca="1" si="1044">+Z119+Z121</f>
        <v>#DIV/0!</v>
      </c>
      <c r="AA122" s="162" t="e">
        <f t="shared" ca="1" si="1044"/>
        <v>#DIV/0!</v>
      </c>
      <c r="AB122" s="21" t="e">
        <f t="shared" ref="AA122:AD122" ca="1" si="1045">+AB119+AB121</f>
        <v>#DIV/0!</v>
      </c>
      <c r="AC122" s="21" t="e">
        <f t="shared" ca="1" si="1045"/>
        <v>#DIV/0!</v>
      </c>
      <c r="AD122" s="21" t="e">
        <f t="shared" ca="1" si="1045"/>
        <v>#DIV/0!</v>
      </c>
      <c r="AE122" s="21" t="e">
        <f t="shared" ref="AE122" ca="1" si="1046">+AE119+AE121</f>
        <v>#DIV/0!</v>
      </c>
      <c r="AL122" s="162">
        <f t="shared" ref="AL122" si="1047">+AL119+AL121</f>
        <v>0</v>
      </c>
      <c r="AM122" s="162" t="e">
        <f t="shared" ref="AM122:AO122" si="1048">+AM119+AM121</f>
        <v>#DIV/0!</v>
      </c>
      <c r="AN122" s="162">
        <f t="shared" si="1048"/>
        <v>0</v>
      </c>
      <c r="AO122" s="162" t="e">
        <f t="shared" si="1048"/>
        <v>#DIV/0!</v>
      </c>
      <c r="AP122" s="162">
        <f t="shared" ref="AP122:CD122" si="1049">+AP119+AP121</f>
        <v>0</v>
      </c>
      <c r="AQ122" s="162" t="e">
        <f t="shared" si="1049"/>
        <v>#DIV/0!</v>
      </c>
      <c r="AR122" s="162">
        <f t="shared" si="1049"/>
        <v>0</v>
      </c>
      <c r="AS122" s="162" t="e">
        <f t="shared" si="1049"/>
        <v>#DIV/0!</v>
      </c>
      <c r="AT122" s="162">
        <f t="shared" si="1049"/>
        <v>0</v>
      </c>
      <c r="AU122" s="162" t="e">
        <f t="shared" si="1049"/>
        <v>#DIV/0!</v>
      </c>
      <c r="AV122" s="162">
        <f t="shared" si="1049"/>
        <v>0</v>
      </c>
      <c r="AW122" s="162" t="e">
        <f t="shared" si="1049"/>
        <v>#DIV/0!</v>
      </c>
      <c r="AX122" s="162">
        <f t="shared" si="1049"/>
        <v>0</v>
      </c>
      <c r="AY122" s="162" t="e">
        <f t="shared" si="1049"/>
        <v>#DIV/0!</v>
      </c>
      <c r="AZ122" s="162">
        <f t="shared" si="1049"/>
        <v>0</v>
      </c>
      <c r="BA122" s="162" t="e">
        <f t="shared" si="1049"/>
        <v>#DIV/0!</v>
      </c>
      <c r="BB122" s="162">
        <f t="shared" si="1049"/>
        <v>0</v>
      </c>
      <c r="BC122" s="162" t="e">
        <f t="shared" si="1049"/>
        <v>#DIV/0!</v>
      </c>
      <c r="BD122" s="162">
        <f t="shared" si="1049"/>
        <v>0</v>
      </c>
      <c r="BE122" s="162" t="e">
        <f t="shared" si="1049"/>
        <v>#DIV/0!</v>
      </c>
      <c r="BF122" s="162">
        <f t="shared" si="1049"/>
        <v>0</v>
      </c>
      <c r="BG122" s="162" t="e">
        <f t="shared" si="1049"/>
        <v>#DIV/0!</v>
      </c>
      <c r="BH122" s="162">
        <f t="shared" si="1049"/>
        <v>0</v>
      </c>
      <c r="BI122" s="162">
        <f t="shared" si="1049"/>
        <v>-189.82199999999992</v>
      </c>
      <c r="BJ122" s="162">
        <f t="shared" si="1049"/>
        <v>1773.0659999999998</v>
      </c>
      <c r="BK122" s="162">
        <f t="shared" si="1049"/>
        <v>1724.5468876824302</v>
      </c>
      <c r="BL122" s="162">
        <f t="shared" si="1049"/>
        <v>19447.222999999998</v>
      </c>
      <c r="BM122" s="162">
        <f t="shared" si="1049"/>
        <v>16479.315445218843</v>
      </c>
      <c r="BN122" s="162">
        <f t="shared" si="1049"/>
        <v>8622.3675000000003</v>
      </c>
      <c r="BO122" s="162">
        <f t="shared" si="1049"/>
        <v>5921.581499456478</v>
      </c>
      <c r="BP122" s="162">
        <f t="shared" si="1049"/>
        <v>7187.8175000000001</v>
      </c>
      <c r="BQ122" s="162">
        <f t="shared" si="1049"/>
        <v>7291.1996941562002</v>
      </c>
      <c r="BR122" s="162">
        <f t="shared" si="1049"/>
        <v>7812.85</v>
      </c>
      <c r="BS122" s="162">
        <f t="shared" si="1049"/>
        <v>8399.3583494071263</v>
      </c>
      <c r="BT122" s="162">
        <f t="shared" si="1049"/>
        <v>10228.245000000001</v>
      </c>
      <c r="BU122" s="162">
        <f t="shared" si="1049"/>
        <v>12536.664267182048</v>
      </c>
      <c r="BV122" s="162">
        <f t="shared" si="1049"/>
        <v>9811.5725000000002</v>
      </c>
      <c r="BW122" s="162">
        <f t="shared" si="1049"/>
        <v>9546.8943707459184</v>
      </c>
      <c r="BX122" s="162">
        <f t="shared" si="1049"/>
        <v>9289.1250000000018</v>
      </c>
      <c r="BY122" s="162">
        <f t="shared" si="1049"/>
        <v>8161.6750614026678</v>
      </c>
      <c r="BZ122" s="162">
        <f t="shared" si="1049"/>
        <v>9822.5774999999994</v>
      </c>
      <c r="CA122" s="162">
        <f t="shared" si="1049"/>
        <v>10404.982291077689</v>
      </c>
      <c r="CB122" s="162">
        <f t="shared" si="1049"/>
        <v>11623.352500000001</v>
      </c>
      <c r="CC122" s="162">
        <f t="shared" si="1049"/>
        <v>13008.422051822206</v>
      </c>
      <c r="CD122" s="162">
        <f t="shared" si="1049"/>
        <v>15243.752500000001</v>
      </c>
      <c r="CE122" s="162">
        <f t="shared" ref="CE122:CF122" si="1050">+CE119+CE121</f>
        <v>19617.74817811394</v>
      </c>
      <c r="CF122" s="162">
        <f t="shared" si="1050"/>
        <v>18022.352500000001</v>
      </c>
      <c r="CG122" s="162">
        <f t="shared" ref="CG122:CH122" si="1051">+CG119+CG121</f>
        <v>14808.27715688653</v>
      </c>
      <c r="CH122" s="162">
        <f t="shared" si="1051"/>
        <v>11289.942500000001</v>
      </c>
      <c r="CI122" s="162">
        <f t="shared" ref="CI122:CJ122" si="1052">+CI119+CI121</f>
        <v>7967.41706080719</v>
      </c>
      <c r="CJ122" s="162">
        <f t="shared" si="1052"/>
        <v>8716.2000000000007</v>
      </c>
      <c r="CK122" s="162">
        <f t="shared" ref="CK122:CL122" si="1053">+CK119+CK121</f>
        <v>6888.6475323115628</v>
      </c>
      <c r="CL122" s="162">
        <f t="shared" si="1053"/>
        <v>5850.4500000000007</v>
      </c>
      <c r="CM122" s="21">
        <f t="shared" ref="CM122:DB122" si="1054">+CM119+CM121</f>
        <v>6972.0285022848948</v>
      </c>
      <c r="CN122" s="21">
        <f t="shared" si="1054"/>
        <v>6319.9523542779998</v>
      </c>
      <c r="CO122" s="21">
        <f t="shared" si="1054"/>
        <v>7546.8595974504851</v>
      </c>
      <c r="CP122" s="21">
        <f t="shared" si="1054"/>
        <v>7254.1624738049104</v>
      </c>
      <c r="CQ122" s="21">
        <f t="shared" si="1054"/>
        <v>7863.0685447875694</v>
      </c>
      <c r="CR122" s="21">
        <f t="shared" si="1054"/>
        <v>7957.4301972549529</v>
      </c>
      <c r="CS122" s="21">
        <f t="shared" si="1054"/>
        <v>8185.1435536296794</v>
      </c>
      <c r="CT122" s="21">
        <f t="shared" si="1054"/>
        <v>8359.4330138744899</v>
      </c>
      <c r="CU122" s="21">
        <f t="shared" si="1054"/>
        <v>8722.0224815446563</v>
      </c>
      <c r="CV122" s="21">
        <f t="shared" si="1054"/>
        <v>8596.125565092163</v>
      </c>
      <c r="CW122" s="21">
        <f t="shared" si="1054"/>
        <v>8791.2496803023096</v>
      </c>
      <c r="CX122" s="21">
        <f t="shared" si="1054"/>
        <v>9071.8938590662037</v>
      </c>
      <c r="CY122" s="21">
        <f t="shared" si="1054"/>
        <v>9386.0409887978185</v>
      </c>
      <c r="CZ122" s="21">
        <f t="shared" si="1054"/>
        <v>9203.4386995852565</v>
      </c>
      <c r="DA122" s="21">
        <f t="shared" si="1054"/>
        <v>9433.0671761083777</v>
      </c>
      <c r="DB122" s="21">
        <f t="shared" si="1054"/>
        <v>9775.774939412242</v>
      </c>
      <c r="DE122" s="22"/>
      <c r="DF122" s="162">
        <v>7602.9371739193775</v>
      </c>
    </row>
    <row r="123" spans="1:110" s="162" customFormat="1" x14ac:dyDescent="0.2">
      <c r="A123" s="49" t="s">
        <v>345</v>
      </c>
      <c r="B123" s="162" t="e">
        <f>+B120+B121</f>
        <v>#DIV/0!</v>
      </c>
      <c r="C123" s="162" t="e">
        <f t="shared" ref="C123:W123" si="1055">+C120+C121</f>
        <v>#DIV/0!</v>
      </c>
      <c r="D123" s="162" t="e">
        <f t="shared" si="1055"/>
        <v>#DIV/0!</v>
      </c>
      <c r="E123" s="162" t="e">
        <f t="shared" ca="1" si="1055"/>
        <v>#DIV/0!</v>
      </c>
      <c r="F123" s="162" t="e">
        <f t="shared" ca="1" si="1055"/>
        <v>#DIV/0!</v>
      </c>
      <c r="G123" s="162" t="e">
        <f t="shared" ca="1" si="1055"/>
        <v>#DIV/0!</v>
      </c>
      <c r="H123" s="162" t="e">
        <f t="shared" ca="1" si="1055"/>
        <v>#DIV/0!</v>
      </c>
      <c r="I123" s="162" t="e">
        <f t="shared" ca="1" si="1055"/>
        <v>#DIV/0!</v>
      </c>
      <c r="J123" s="162" t="e">
        <f t="shared" ca="1" si="1055"/>
        <v>#DIV/0!</v>
      </c>
      <c r="K123" s="162" t="e">
        <f t="shared" ca="1" si="1055"/>
        <v>#DIV/0!</v>
      </c>
      <c r="L123" s="162" t="e">
        <f t="shared" ca="1" si="1055"/>
        <v>#DIV/0!</v>
      </c>
      <c r="M123" s="162" t="e">
        <f t="shared" ca="1" si="1055"/>
        <v>#DIV/0!</v>
      </c>
      <c r="N123" s="162" t="e">
        <f t="shared" ca="1" si="1055"/>
        <v>#DIV/0!</v>
      </c>
      <c r="O123" s="162" t="e">
        <f t="shared" ca="1" si="1055"/>
        <v>#DIV/0!</v>
      </c>
      <c r="P123" s="162" t="e">
        <f t="shared" ca="1" si="1055"/>
        <v>#DIV/0!</v>
      </c>
      <c r="Q123" s="162" t="e">
        <f t="shared" ca="1" si="1055"/>
        <v>#DIV/0!</v>
      </c>
      <c r="R123" s="162" t="e">
        <f t="shared" ca="1" si="1055"/>
        <v>#DIV/0!</v>
      </c>
      <c r="S123" s="162" t="e">
        <f t="shared" ca="1" si="1055"/>
        <v>#DIV/0!</v>
      </c>
      <c r="T123" s="162" t="e">
        <f t="shared" ca="1" si="1055"/>
        <v>#DIV/0!</v>
      </c>
      <c r="U123" s="162" t="e">
        <f t="shared" ca="1" si="1055"/>
        <v>#DIV/0!</v>
      </c>
      <c r="V123" s="162" t="e">
        <f t="shared" ca="1" si="1055"/>
        <v>#DIV/0!</v>
      </c>
      <c r="W123" s="162" t="e">
        <f t="shared" ca="1" si="1055"/>
        <v>#DIV/0!</v>
      </c>
      <c r="X123" s="162" t="e">
        <f t="shared" ref="X123:Y123" ca="1" si="1056">+X120+X121</f>
        <v>#DIV/0!</v>
      </c>
      <c r="Y123" s="162" t="e">
        <f t="shared" ca="1" si="1056"/>
        <v>#DIV/0!</v>
      </c>
      <c r="Z123" s="162" t="e">
        <f t="shared" ref="Z123:AA123" ca="1" si="1057">+Z120+Z121</f>
        <v>#DIV/0!</v>
      </c>
      <c r="AA123" s="162" t="e">
        <f t="shared" ca="1" si="1057"/>
        <v>#DIV/0!</v>
      </c>
      <c r="AB123" s="21" t="e">
        <f t="shared" ref="AA123:AD123" ca="1" si="1058">+AB120+AB121</f>
        <v>#DIV/0!</v>
      </c>
      <c r="AC123" s="21" t="e">
        <f t="shared" ca="1" si="1058"/>
        <v>#DIV/0!</v>
      </c>
      <c r="AD123" s="21" t="e">
        <f t="shared" ca="1" si="1058"/>
        <v>#DIV/0!</v>
      </c>
      <c r="AE123" s="21" t="e">
        <f t="shared" ref="AE123" ca="1" si="1059">+AE120+AE121</f>
        <v>#DIV/0!</v>
      </c>
      <c r="AL123" s="162">
        <f t="shared" ref="AL123:AM123" si="1060">+AL120+AL121</f>
        <v>0</v>
      </c>
      <c r="AM123" s="162" t="e">
        <f t="shared" si="1060"/>
        <v>#DIV/0!</v>
      </c>
      <c r="AN123" s="162">
        <f t="shared" ref="AN123:AO123" si="1061">+AN120+AN121</f>
        <v>0</v>
      </c>
      <c r="AO123" s="162" t="e">
        <f t="shared" si="1061"/>
        <v>#DIV/0!</v>
      </c>
      <c r="AP123" s="162">
        <f t="shared" ref="AP123:CD123" si="1062">+AP120+AP121</f>
        <v>0</v>
      </c>
      <c r="AQ123" s="162" t="e">
        <f t="shared" si="1062"/>
        <v>#DIV/0!</v>
      </c>
      <c r="AR123" s="162">
        <f t="shared" si="1062"/>
        <v>0</v>
      </c>
      <c r="AS123" s="162" t="e">
        <f t="shared" si="1062"/>
        <v>#DIV/0!</v>
      </c>
      <c r="AT123" s="162">
        <f t="shared" si="1062"/>
        <v>0</v>
      </c>
      <c r="AU123" s="162" t="e">
        <f t="shared" si="1062"/>
        <v>#DIV/0!</v>
      </c>
      <c r="AV123" s="162">
        <f t="shared" si="1062"/>
        <v>0</v>
      </c>
      <c r="AW123" s="162" t="e">
        <f t="shared" si="1062"/>
        <v>#DIV/0!</v>
      </c>
      <c r="AX123" s="162">
        <f t="shared" si="1062"/>
        <v>0</v>
      </c>
      <c r="AY123" s="162" t="e">
        <f t="shared" si="1062"/>
        <v>#DIV/0!</v>
      </c>
      <c r="AZ123" s="162">
        <f t="shared" si="1062"/>
        <v>0</v>
      </c>
      <c r="BA123" s="162" t="e">
        <f t="shared" si="1062"/>
        <v>#DIV/0!</v>
      </c>
      <c r="BB123" s="162">
        <f t="shared" si="1062"/>
        <v>0</v>
      </c>
      <c r="BC123" s="162" t="e">
        <f t="shared" si="1062"/>
        <v>#DIV/0!</v>
      </c>
      <c r="BD123" s="162">
        <f t="shared" si="1062"/>
        <v>0</v>
      </c>
      <c r="BE123" s="162" t="e">
        <f t="shared" si="1062"/>
        <v>#DIV/0!</v>
      </c>
      <c r="BF123" s="162">
        <f t="shared" si="1062"/>
        <v>0</v>
      </c>
      <c r="BG123" s="162" t="e">
        <f t="shared" si="1062"/>
        <v>#DIV/0!</v>
      </c>
      <c r="BH123" s="162">
        <f t="shared" si="1062"/>
        <v>0</v>
      </c>
      <c r="BI123" s="162">
        <f t="shared" si="1062"/>
        <v>-189.82199999999992</v>
      </c>
      <c r="BJ123" s="162">
        <f t="shared" si="1062"/>
        <v>1773.0659999999998</v>
      </c>
      <c r="BK123" s="162">
        <f t="shared" si="1062"/>
        <v>1724.5468876824302</v>
      </c>
      <c r="BL123" s="162">
        <f t="shared" si="1062"/>
        <v>1806.2979999999998</v>
      </c>
      <c r="BM123" s="162">
        <f t="shared" si="1062"/>
        <v>7456.8754452188414</v>
      </c>
      <c r="BN123" s="162">
        <f t="shared" si="1062"/>
        <v>2352.8924999999999</v>
      </c>
      <c r="BO123" s="162">
        <f t="shared" si="1062"/>
        <v>2499.6389994564774</v>
      </c>
      <c r="BP123" s="162">
        <f t="shared" si="1062"/>
        <v>4801.4475000000002</v>
      </c>
      <c r="BQ123" s="162">
        <f t="shared" si="1062"/>
        <v>5137.1621941561998</v>
      </c>
      <c r="BR123" s="162">
        <f t="shared" si="1062"/>
        <v>5442.8249999999998</v>
      </c>
      <c r="BS123" s="162">
        <f t="shared" si="1062"/>
        <v>5492.2833494071274</v>
      </c>
      <c r="BT123" s="162">
        <f t="shared" si="1062"/>
        <v>6045.0924999999997</v>
      </c>
      <c r="BU123" s="162">
        <f t="shared" si="1062"/>
        <v>9338.881767182047</v>
      </c>
      <c r="BV123" s="162">
        <f t="shared" si="1062"/>
        <v>6825.1075000000001</v>
      </c>
      <c r="BW123" s="162">
        <f t="shared" si="1062"/>
        <v>6706.3668707459183</v>
      </c>
      <c r="BX123" s="162">
        <f t="shared" si="1062"/>
        <v>7216.8125000000009</v>
      </c>
      <c r="BY123" s="162">
        <f t="shared" si="1062"/>
        <v>6717.4775614026676</v>
      </c>
      <c r="BZ123" s="162">
        <f t="shared" si="1062"/>
        <v>8037.4700000000012</v>
      </c>
      <c r="CA123" s="162">
        <f t="shared" si="1062"/>
        <v>9172.1022910776883</v>
      </c>
      <c r="CB123" s="162">
        <f t="shared" si="1062"/>
        <v>8734.9575000000004</v>
      </c>
      <c r="CC123" s="162">
        <f t="shared" si="1062"/>
        <v>8208.8295518222039</v>
      </c>
      <c r="CD123" s="162">
        <f t="shared" si="1062"/>
        <v>10271.370000000001</v>
      </c>
      <c r="CE123" s="162">
        <f t="shared" ref="CE123:CF123" si="1063">+CE120+CE121</f>
        <v>11413.725678113937</v>
      </c>
      <c r="CF123" s="162">
        <f t="shared" si="1063"/>
        <v>14514.015000000001</v>
      </c>
      <c r="CG123" s="162">
        <f t="shared" ref="CG123:CH123" si="1064">+CG120+CG121</f>
        <v>10125.434656886529</v>
      </c>
      <c r="CH123" s="162">
        <f t="shared" si="1064"/>
        <v>5285.49</v>
      </c>
      <c r="CI123" s="162">
        <f t="shared" ref="CI123:CJ123" si="1065">+CI120+CI121</f>
        <v>4865.3695608071912</v>
      </c>
      <c r="CJ123" s="162">
        <f t="shared" si="1065"/>
        <v>6241.1</v>
      </c>
      <c r="CK123" s="162">
        <f t="shared" ref="CK123:CL123" si="1066">+CK120+CK121</f>
        <v>5570.5400323115628</v>
      </c>
      <c r="CL123" s="162">
        <f t="shared" si="1066"/>
        <v>4092.1950000000002</v>
      </c>
      <c r="CM123" s="21">
        <f t="shared" ref="CM123:DB123" si="1067">+CM120+CM121</f>
        <v>4908.6975487541595</v>
      </c>
      <c r="CN123" s="21">
        <f t="shared" si="1067"/>
        <v>4396.8703997245939</v>
      </c>
      <c r="CO123" s="21">
        <f t="shared" si="1067"/>
        <v>5209.8220808774195</v>
      </c>
      <c r="CP123" s="21">
        <f t="shared" si="1067"/>
        <v>5017.2834245893373</v>
      </c>
      <c r="CQ123" s="21">
        <f t="shared" si="1067"/>
        <v>5444.0466122649214</v>
      </c>
      <c r="CR123" s="21">
        <f t="shared" si="1067"/>
        <v>5401.3893418428579</v>
      </c>
      <c r="CS123" s="21">
        <f t="shared" si="1067"/>
        <v>5548.6750354289788</v>
      </c>
      <c r="CT123" s="21">
        <f t="shared" si="1067"/>
        <v>5679.0738059490322</v>
      </c>
      <c r="CU123" s="21">
        <f t="shared" si="1067"/>
        <v>5930.6231987847896</v>
      </c>
      <c r="CV123" s="21">
        <f t="shared" si="1067"/>
        <v>5726.211474281954</v>
      </c>
      <c r="CW123" s="21">
        <f t="shared" si="1067"/>
        <v>5853.2046869027099</v>
      </c>
      <c r="CX123" s="21">
        <f t="shared" si="1067"/>
        <v>6058.6051199155809</v>
      </c>
      <c r="CY123" s="21">
        <f t="shared" si="1067"/>
        <v>6277.8658847196502</v>
      </c>
      <c r="CZ123" s="21">
        <f t="shared" si="1067"/>
        <v>6020.04266227058</v>
      </c>
      <c r="DA123" s="21">
        <f t="shared" si="1067"/>
        <v>6172.1615222271621</v>
      </c>
      <c r="DB123" s="21">
        <f t="shared" si="1067"/>
        <v>6423.972273026825</v>
      </c>
      <c r="DE123" s="22"/>
      <c r="DF123" s="162">
        <v>5844.6821739193774</v>
      </c>
    </row>
    <row r="124" spans="1:110" s="162" customFormat="1" x14ac:dyDescent="0.2">
      <c r="A124" s="49" t="s">
        <v>13</v>
      </c>
      <c r="B124" s="162">
        <f t="shared" ref="B124:AE124" si="1068">+B35</f>
        <v>0</v>
      </c>
      <c r="C124" s="162">
        <f t="shared" si="1068"/>
        <v>0</v>
      </c>
      <c r="D124" s="162">
        <f t="shared" si="1068"/>
        <v>0</v>
      </c>
      <c r="E124" s="162">
        <f t="shared" si="1068"/>
        <v>0</v>
      </c>
      <c r="F124" s="162">
        <f t="shared" si="1068"/>
        <v>0</v>
      </c>
      <c r="G124" s="162">
        <f t="shared" si="1068"/>
        <v>0</v>
      </c>
      <c r="H124" s="162">
        <f t="shared" si="1068"/>
        <v>0</v>
      </c>
      <c r="I124" s="162">
        <f t="shared" si="1068"/>
        <v>0</v>
      </c>
      <c r="J124" s="162">
        <f t="shared" si="1068"/>
        <v>0</v>
      </c>
      <c r="K124" s="162">
        <f t="shared" si="1068"/>
        <v>0</v>
      </c>
      <c r="L124" s="162">
        <f t="shared" si="1068"/>
        <v>0</v>
      </c>
      <c r="M124" s="162">
        <f t="shared" si="1068"/>
        <v>0</v>
      </c>
      <c r="N124" s="162">
        <f t="shared" si="1068"/>
        <v>0</v>
      </c>
      <c r="O124" s="162">
        <f t="shared" si="1068"/>
        <v>0</v>
      </c>
      <c r="P124" s="162">
        <f t="shared" si="1068"/>
        <v>0</v>
      </c>
      <c r="Q124" s="162">
        <f t="shared" si="1068"/>
        <v>0</v>
      </c>
      <c r="R124" s="162">
        <f t="shared" si="1068"/>
        <v>0</v>
      </c>
      <c r="S124" s="162">
        <f t="shared" si="1068"/>
        <v>594.94600000000014</v>
      </c>
      <c r="T124" s="162">
        <f t="shared" si="1068"/>
        <v>710.05499999999984</v>
      </c>
      <c r="U124" s="162">
        <f t="shared" si="1068"/>
        <v>372.75999999999976</v>
      </c>
      <c r="V124" s="162">
        <f t="shared" si="1068"/>
        <v>-377.04999999999973</v>
      </c>
      <c r="W124" s="162">
        <f t="shared" si="1068"/>
        <v>-902.98000000000047</v>
      </c>
      <c r="X124" s="162">
        <f t="shared" si="1068"/>
        <v>-1123.5999999999999</v>
      </c>
      <c r="Y124" s="162">
        <f t="shared" si="1068"/>
        <v>-7.3300000000001546</v>
      </c>
      <c r="Z124" s="162">
        <f t="shared" si="1068"/>
        <v>264.27</v>
      </c>
      <c r="AA124" s="162">
        <f t="shared" ref="AA124" si="1069">+AA35</f>
        <v>313.18000000000075</v>
      </c>
      <c r="AB124" s="21">
        <f t="shared" si="1068"/>
        <v>411.0552118837536</v>
      </c>
      <c r="AC124" s="21">
        <f t="shared" si="1068"/>
        <v>489.07914363349028</v>
      </c>
      <c r="AD124" s="21">
        <f t="shared" si="1068"/>
        <v>557.366942862428</v>
      </c>
      <c r="AE124" s="21">
        <f t="shared" si="1068"/>
        <v>630.03760824387791</v>
      </c>
      <c r="AL124" s="162">
        <f t="shared" ref="AL124:BQ124" si="1070">+SUM(AI35:AL35)</f>
        <v>0</v>
      </c>
      <c r="AM124" s="162">
        <f t="shared" si="1070"/>
        <v>0</v>
      </c>
      <c r="AN124" s="162">
        <f t="shared" si="1070"/>
        <v>0</v>
      </c>
      <c r="AO124" s="162">
        <f t="shared" si="1070"/>
        <v>0</v>
      </c>
      <c r="AP124" s="162">
        <f t="shared" si="1070"/>
        <v>0</v>
      </c>
      <c r="AQ124" s="162">
        <f t="shared" si="1070"/>
        <v>0</v>
      </c>
      <c r="AR124" s="162">
        <f t="shared" si="1070"/>
        <v>0</v>
      </c>
      <c r="AS124" s="162">
        <f t="shared" si="1070"/>
        <v>0</v>
      </c>
      <c r="AT124" s="162">
        <f t="shared" si="1070"/>
        <v>0</v>
      </c>
      <c r="AU124" s="162">
        <f t="shared" si="1070"/>
        <v>0</v>
      </c>
      <c r="AV124" s="162">
        <f t="shared" si="1070"/>
        <v>0</v>
      </c>
      <c r="AW124" s="162">
        <f t="shared" si="1070"/>
        <v>0</v>
      </c>
      <c r="AX124" s="162">
        <f t="shared" si="1070"/>
        <v>0</v>
      </c>
      <c r="AY124" s="162">
        <f t="shared" si="1070"/>
        <v>0</v>
      </c>
      <c r="AZ124" s="162">
        <f t="shared" si="1070"/>
        <v>0</v>
      </c>
      <c r="BA124" s="162">
        <f t="shared" si="1070"/>
        <v>0</v>
      </c>
      <c r="BB124" s="162">
        <f t="shared" si="1070"/>
        <v>0</v>
      </c>
      <c r="BC124" s="162">
        <f t="shared" si="1070"/>
        <v>0</v>
      </c>
      <c r="BD124" s="162">
        <f t="shared" si="1070"/>
        <v>0</v>
      </c>
      <c r="BE124" s="162">
        <f t="shared" si="1070"/>
        <v>0</v>
      </c>
      <c r="BF124" s="162">
        <f t="shared" si="1070"/>
        <v>0</v>
      </c>
      <c r="BG124" s="162">
        <f t="shared" si="1070"/>
        <v>0</v>
      </c>
      <c r="BH124" s="162">
        <f t="shared" si="1070"/>
        <v>29.315999999999832</v>
      </c>
      <c r="BI124" s="162">
        <f t="shared" si="1070"/>
        <v>217.39399999999975</v>
      </c>
      <c r="BJ124" s="162">
        <f t="shared" si="1070"/>
        <v>549.26100000000008</v>
      </c>
      <c r="BK124" s="162">
        <f t="shared" si="1070"/>
        <v>615.29100000000017</v>
      </c>
      <c r="BL124" s="162">
        <f t="shared" si="1070"/>
        <v>680.67500000000018</v>
      </c>
      <c r="BM124" s="162">
        <f t="shared" si="1070"/>
        <v>502.45800000000042</v>
      </c>
      <c r="BN124" s="162">
        <f t="shared" si="1070"/>
        <v>304.18100000000015</v>
      </c>
      <c r="BO124" s="162">
        <f t="shared" si="1070"/>
        <v>254.73100000000022</v>
      </c>
      <c r="BP124" s="162">
        <f t="shared" si="1070"/>
        <v>164.39100000000036</v>
      </c>
      <c r="BQ124" s="162">
        <f t="shared" si="1070"/>
        <v>168.97000000000031</v>
      </c>
      <c r="BR124" s="162">
        <f t="shared" ref="BR124:CW124" si="1071">+SUM(BO35:BR35)</f>
        <v>-388.92999999999967</v>
      </c>
      <c r="BS124" s="162">
        <f t="shared" si="1071"/>
        <v>-509.21999999999969</v>
      </c>
      <c r="BT124" s="162">
        <f t="shared" si="1071"/>
        <v>-808.02999999999975</v>
      </c>
      <c r="BU124" s="162">
        <f t="shared" si="1071"/>
        <v>-1213.55</v>
      </c>
      <c r="BV124" s="162">
        <f t="shared" si="1071"/>
        <v>-913.48000000000013</v>
      </c>
      <c r="BW124" s="162">
        <f t="shared" si="1071"/>
        <v>-1153.6400000000001</v>
      </c>
      <c r="BX124" s="162">
        <f t="shared" si="1071"/>
        <v>-1229.3800000000001</v>
      </c>
      <c r="BY124" s="162">
        <f t="shared" si="1071"/>
        <v>-902.1099999999999</v>
      </c>
      <c r="BZ124" s="162">
        <f t="shared" si="1071"/>
        <v>-1129.9899999999998</v>
      </c>
      <c r="CA124" s="162">
        <f t="shared" si="1071"/>
        <v>-823.32999999999981</v>
      </c>
      <c r="CB124" s="162">
        <f t="shared" si="1071"/>
        <v>-451.6699999999999</v>
      </c>
      <c r="CC124" s="162">
        <f t="shared" si="1071"/>
        <v>-404.03999999999991</v>
      </c>
      <c r="CD124" s="162">
        <f t="shared" si="1071"/>
        <v>-22.569999999999993</v>
      </c>
      <c r="CE124" s="162">
        <f t="shared" si="1071"/>
        <v>39.319999999999823</v>
      </c>
      <c r="CF124" s="162">
        <f t="shared" si="1071"/>
        <v>55.999999999999886</v>
      </c>
      <c r="CG124" s="162">
        <f t="shared" si="1071"/>
        <v>142.50999999999993</v>
      </c>
      <c r="CH124" s="162">
        <f t="shared" si="1071"/>
        <v>246.73000000000025</v>
      </c>
      <c r="CI124" s="162">
        <f t="shared" si="1071"/>
        <v>307.51000000000039</v>
      </c>
      <c r="CJ124" s="162">
        <f t="shared" si="1071"/>
        <v>293.2800000000002</v>
      </c>
      <c r="CK124" s="162">
        <f t="shared" si="1071"/>
        <v>289.90000000000032</v>
      </c>
      <c r="CL124" s="162">
        <f t="shared" si="1071"/>
        <v>302.08999999999992</v>
      </c>
      <c r="CM124" s="21">
        <f t="shared" si="1071"/>
        <v>312.48394015722363</v>
      </c>
      <c r="CN124" s="21">
        <f t="shared" si="1071"/>
        <v>390.02022748910258</v>
      </c>
      <c r="CO124" s="21">
        <f t="shared" si="1071"/>
        <v>430.95935141192922</v>
      </c>
      <c r="CP124" s="21">
        <f t="shared" si="1071"/>
        <v>411.05521188375417</v>
      </c>
      <c r="CQ124" s="21">
        <f t="shared" si="1071"/>
        <v>437.47281776694854</v>
      </c>
      <c r="CR124" s="21">
        <f t="shared" si="1071"/>
        <v>466.46113879208144</v>
      </c>
      <c r="CS124" s="21">
        <f t="shared" si="1071"/>
        <v>480.71457158661576</v>
      </c>
      <c r="CT124" s="21">
        <f t="shared" si="1071"/>
        <v>489.07914363349073</v>
      </c>
      <c r="CU124" s="21">
        <f t="shared" si="1071"/>
        <v>510.06379080888428</v>
      </c>
      <c r="CV124" s="21">
        <f t="shared" si="1071"/>
        <v>526.98531969406793</v>
      </c>
      <c r="CW124" s="21">
        <f t="shared" si="1071"/>
        <v>541.37683979353551</v>
      </c>
      <c r="CX124" s="21">
        <f t="shared" ref="CX124:DB124" si="1072">+SUM(CU35:CX35)</f>
        <v>557.36694286242971</v>
      </c>
      <c r="CY124" s="21">
        <f t="shared" si="1072"/>
        <v>577.05072442306539</v>
      </c>
      <c r="CZ124" s="21">
        <f t="shared" si="1072"/>
        <v>593.37855683190401</v>
      </c>
      <c r="DA124" s="21">
        <f t="shared" si="1072"/>
        <v>610.48184254567013</v>
      </c>
      <c r="DB124" s="21">
        <f t="shared" si="1072"/>
        <v>630.03760824387768</v>
      </c>
      <c r="DE124" s="22"/>
      <c r="DF124" s="162">
        <v>303.81675952944272</v>
      </c>
    </row>
    <row r="125" spans="1:110" s="162" customFormat="1" x14ac:dyDescent="0.2">
      <c r="A125" s="49" t="s">
        <v>343</v>
      </c>
      <c r="B125" s="162" t="e">
        <f>+B122/B124</f>
        <v>#DIV/0!</v>
      </c>
      <c r="C125" s="162" t="e">
        <f t="shared" ref="C125:W125" si="1073">+C122/C124</f>
        <v>#DIV/0!</v>
      </c>
      <c r="D125" s="162" t="e">
        <f t="shared" si="1073"/>
        <v>#DIV/0!</v>
      </c>
      <c r="E125" s="162" t="e">
        <f t="shared" ca="1" si="1073"/>
        <v>#DIV/0!</v>
      </c>
      <c r="F125" s="162" t="e">
        <f t="shared" ca="1" si="1073"/>
        <v>#DIV/0!</v>
      </c>
      <c r="G125" s="162" t="e">
        <f t="shared" ca="1" si="1073"/>
        <v>#DIV/0!</v>
      </c>
      <c r="H125" s="162" t="e">
        <f t="shared" ca="1" si="1073"/>
        <v>#DIV/0!</v>
      </c>
      <c r="I125" s="162" t="e">
        <f t="shared" ca="1" si="1073"/>
        <v>#DIV/0!</v>
      </c>
      <c r="J125" s="162" t="e">
        <f t="shared" ca="1" si="1073"/>
        <v>#DIV/0!</v>
      </c>
      <c r="K125" s="162" t="e">
        <f t="shared" ca="1" si="1073"/>
        <v>#DIV/0!</v>
      </c>
      <c r="L125" s="162" t="e">
        <f t="shared" ca="1" si="1073"/>
        <v>#DIV/0!</v>
      </c>
      <c r="M125" s="162" t="e">
        <f t="shared" ca="1" si="1073"/>
        <v>#DIV/0!</v>
      </c>
      <c r="N125" s="162" t="e">
        <f t="shared" ca="1" si="1073"/>
        <v>#DIV/0!</v>
      </c>
      <c r="O125" s="162" t="e">
        <f t="shared" ca="1" si="1073"/>
        <v>#DIV/0!</v>
      </c>
      <c r="P125" s="162" t="e">
        <f t="shared" ca="1" si="1073"/>
        <v>#DIV/0!</v>
      </c>
      <c r="Q125" s="162" t="e">
        <f t="shared" ca="1" si="1073"/>
        <v>#DIV/0!</v>
      </c>
      <c r="R125" s="162" t="e">
        <f t="shared" ca="1" si="1073"/>
        <v>#DIV/0!</v>
      </c>
      <c r="S125" s="162" t="e">
        <f t="shared" ca="1" si="1073"/>
        <v>#DIV/0!</v>
      </c>
      <c r="T125" s="162" t="e">
        <f t="shared" ca="1" si="1073"/>
        <v>#DIV/0!</v>
      </c>
      <c r="U125" s="162" t="e">
        <f t="shared" ca="1" si="1073"/>
        <v>#DIV/0!</v>
      </c>
      <c r="V125" s="162" t="e">
        <f t="shared" ca="1" si="1073"/>
        <v>#DIV/0!</v>
      </c>
      <c r="W125" s="162" t="e">
        <f t="shared" ca="1" si="1073"/>
        <v>#DIV/0!</v>
      </c>
      <c r="X125" s="162" t="e">
        <f t="shared" ref="X125:Y125" ca="1" si="1074">+X122/X124</f>
        <v>#DIV/0!</v>
      </c>
      <c r="Y125" s="162" t="e">
        <f t="shared" ca="1" si="1074"/>
        <v>#DIV/0!</v>
      </c>
      <c r="Z125" s="162" t="e">
        <f t="shared" ref="Z125:AA125" ca="1" si="1075">+Z122/Z124</f>
        <v>#DIV/0!</v>
      </c>
      <c r="AA125" s="162" t="e">
        <f t="shared" ca="1" si="1075"/>
        <v>#DIV/0!</v>
      </c>
      <c r="AB125" s="21" t="e">
        <f t="shared" ref="AA125:AD125" ca="1" si="1076">+AB122/AB124</f>
        <v>#DIV/0!</v>
      </c>
      <c r="AC125" s="21" t="e">
        <f t="shared" ca="1" si="1076"/>
        <v>#DIV/0!</v>
      </c>
      <c r="AD125" s="21" t="e">
        <f t="shared" ca="1" si="1076"/>
        <v>#DIV/0!</v>
      </c>
      <c r="AE125" s="21" t="e">
        <f t="shared" ref="AE125" ca="1" si="1077">+AE122/AE124</f>
        <v>#DIV/0!</v>
      </c>
      <c r="AL125" s="162" t="e">
        <f t="shared" ref="AL125" si="1078">+AL122/AL124</f>
        <v>#DIV/0!</v>
      </c>
      <c r="AM125" s="162" t="e">
        <f t="shared" ref="AM125:AO125" si="1079">+AM122/AM124</f>
        <v>#DIV/0!</v>
      </c>
      <c r="AN125" s="162" t="e">
        <f t="shared" si="1079"/>
        <v>#DIV/0!</v>
      </c>
      <c r="AO125" s="162" t="e">
        <f t="shared" si="1079"/>
        <v>#DIV/0!</v>
      </c>
      <c r="AP125" s="162" t="e">
        <f t="shared" ref="AP125:CD125" si="1080">+AP122/AP124</f>
        <v>#DIV/0!</v>
      </c>
      <c r="AQ125" s="162" t="e">
        <f t="shared" si="1080"/>
        <v>#DIV/0!</v>
      </c>
      <c r="AR125" s="162" t="e">
        <f t="shared" si="1080"/>
        <v>#DIV/0!</v>
      </c>
      <c r="AS125" s="162" t="e">
        <f t="shared" si="1080"/>
        <v>#DIV/0!</v>
      </c>
      <c r="AT125" s="162" t="e">
        <f t="shared" si="1080"/>
        <v>#DIV/0!</v>
      </c>
      <c r="AU125" s="162" t="e">
        <f t="shared" si="1080"/>
        <v>#DIV/0!</v>
      </c>
      <c r="AV125" s="162" t="e">
        <f t="shared" si="1080"/>
        <v>#DIV/0!</v>
      </c>
      <c r="AW125" s="162" t="e">
        <f t="shared" si="1080"/>
        <v>#DIV/0!</v>
      </c>
      <c r="AX125" s="162" t="e">
        <f t="shared" si="1080"/>
        <v>#DIV/0!</v>
      </c>
      <c r="AY125" s="162" t="e">
        <f t="shared" si="1080"/>
        <v>#DIV/0!</v>
      </c>
      <c r="AZ125" s="162" t="e">
        <f t="shared" si="1080"/>
        <v>#DIV/0!</v>
      </c>
      <c r="BA125" s="162" t="e">
        <f t="shared" si="1080"/>
        <v>#DIV/0!</v>
      </c>
      <c r="BB125" s="162" t="e">
        <f t="shared" si="1080"/>
        <v>#DIV/0!</v>
      </c>
      <c r="BC125" s="162" t="e">
        <f t="shared" si="1080"/>
        <v>#DIV/0!</v>
      </c>
      <c r="BD125" s="162" t="e">
        <f t="shared" si="1080"/>
        <v>#DIV/0!</v>
      </c>
      <c r="BE125" s="162" t="e">
        <f t="shared" si="1080"/>
        <v>#DIV/0!</v>
      </c>
      <c r="BF125" s="162" t="e">
        <f t="shared" si="1080"/>
        <v>#DIV/0!</v>
      </c>
      <c r="BG125" s="162" t="e">
        <f t="shared" si="1080"/>
        <v>#DIV/0!</v>
      </c>
      <c r="BH125" s="162">
        <f t="shared" si="1080"/>
        <v>0</v>
      </c>
      <c r="BI125" s="162">
        <f t="shared" si="1080"/>
        <v>-0.87317037268737929</v>
      </c>
      <c r="BJ125" s="162">
        <f t="shared" si="1080"/>
        <v>3.2280937477811089</v>
      </c>
      <c r="BK125" s="162">
        <f t="shared" si="1080"/>
        <v>2.8028150707265826</v>
      </c>
      <c r="BL125" s="162">
        <f t="shared" si="1080"/>
        <v>28.570496933191308</v>
      </c>
      <c r="BM125" s="162">
        <f t="shared" si="1080"/>
        <v>32.797398877555594</v>
      </c>
      <c r="BN125" s="162">
        <f t="shared" si="1080"/>
        <v>28.34617382413759</v>
      </c>
      <c r="BO125" s="162">
        <f t="shared" si="1080"/>
        <v>23.246410917620835</v>
      </c>
      <c r="BP125" s="162">
        <f t="shared" si="1080"/>
        <v>43.723911284680938</v>
      </c>
      <c r="BQ125" s="162">
        <f t="shared" si="1080"/>
        <v>43.150853371345129</v>
      </c>
      <c r="BR125" s="162">
        <f t="shared" si="1080"/>
        <v>-20.088062119147423</v>
      </c>
      <c r="BS125" s="162">
        <f t="shared" si="1080"/>
        <v>-16.494557066507859</v>
      </c>
      <c r="BT125" s="162">
        <f t="shared" si="1080"/>
        <v>-12.658249074910589</v>
      </c>
      <c r="BU125" s="162">
        <f t="shared" si="1080"/>
        <v>-10.330570860023936</v>
      </c>
      <c r="BV125" s="162">
        <f t="shared" si="1080"/>
        <v>-10.740872816044138</v>
      </c>
      <c r="BW125" s="162">
        <f t="shared" si="1080"/>
        <v>-8.2754536690353291</v>
      </c>
      <c r="BX125" s="162">
        <f t="shared" si="1080"/>
        <v>-7.5559428329727192</v>
      </c>
      <c r="BY125" s="162">
        <f t="shared" si="1080"/>
        <v>-9.0473169141265135</v>
      </c>
      <c r="BZ125" s="162">
        <f t="shared" si="1080"/>
        <v>-8.692623386047666</v>
      </c>
      <c r="CA125" s="162">
        <f t="shared" si="1080"/>
        <v>-12.637681477752167</v>
      </c>
      <c r="CB125" s="162">
        <f t="shared" si="1080"/>
        <v>-25.734169858525036</v>
      </c>
      <c r="CC125" s="162">
        <f t="shared" si="1080"/>
        <v>-32.195876774136742</v>
      </c>
      <c r="CD125" s="162">
        <f t="shared" si="1080"/>
        <v>-675.39887018165734</v>
      </c>
      <c r="CE125" s="162">
        <f t="shared" ref="CE125:CF125" si="1081">+CE122/CE124</f>
        <v>498.92543687980742</v>
      </c>
      <c r="CF125" s="162">
        <f t="shared" si="1081"/>
        <v>321.82772321428638</v>
      </c>
      <c r="CG125" s="162">
        <f t="shared" ref="CG125:CH125" si="1082">+CG122/CG124</f>
        <v>103.91044247341615</v>
      </c>
      <c r="CH125" s="162">
        <f t="shared" si="1082"/>
        <v>45.758288412434602</v>
      </c>
      <c r="CI125" s="162">
        <f t="shared" ref="CI125:CJ125" si="1083">+CI122/CI124</f>
        <v>25.909456800777797</v>
      </c>
      <c r="CJ125" s="162">
        <f t="shared" si="1083"/>
        <v>29.719721767594091</v>
      </c>
      <c r="CK125" s="162">
        <f t="shared" ref="CK125:CL125" si="1084">+CK122/CK124</f>
        <v>23.762150853092635</v>
      </c>
      <c r="CL125" s="162">
        <f t="shared" si="1084"/>
        <v>19.366579496176644</v>
      </c>
      <c r="CM125" s="21">
        <f t="shared" ref="CM125:DB125" si="1085">+CM122/CM124</f>
        <v>22.311637835777987</v>
      </c>
      <c r="CN125" s="21">
        <f t="shared" si="1085"/>
        <v>16.204165601781728</v>
      </c>
      <c r="CO125" s="21">
        <f t="shared" si="1085"/>
        <v>17.511766649743439</v>
      </c>
      <c r="CP125" s="21">
        <f t="shared" si="1085"/>
        <v>17.647659642997976</v>
      </c>
      <c r="CQ125" s="21">
        <f t="shared" si="1085"/>
        <v>17.973844832060859</v>
      </c>
      <c r="CR125" s="21">
        <f t="shared" si="1085"/>
        <v>17.059149274173226</v>
      </c>
      <c r="CS125" s="21">
        <f t="shared" si="1085"/>
        <v>17.027034413819241</v>
      </c>
      <c r="CT125" s="21">
        <f t="shared" si="1085"/>
        <v>17.092188703386903</v>
      </c>
      <c r="CU125" s="21">
        <f t="shared" si="1085"/>
        <v>17.099866014234895</v>
      </c>
      <c r="CV125" s="21">
        <f t="shared" si="1085"/>
        <v>16.311888099809863</v>
      </c>
      <c r="CW125" s="21">
        <f t="shared" si="1085"/>
        <v>16.238688163415009</v>
      </c>
      <c r="CX125" s="21">
        <f t="shared" si="1085"/>
        <v>16.276339986143284</v>
      </c>
      <c r="CY125" s="21">
        <f t="shared" si="1085"/>
        <v>16.265538871269889</v>
      </c>
      <c r="CZ125" s="21">
        <f t="shared" si="1085"/>
        <v>15.510231358415037</v>
      </c>
      <c r="DA125" s="21">
        <f t="shared" si="1085"/>
        <v>15.451839053514012</v>
      </c>
      <c r="DB125" s="21">
        <f t="shared" si="1085"/>
        <v>15.516176830555475</v>
      </c>
      <c r="DE125" s="22"/>
      <c r="DF125" s="162">
        <v>25.024745789846992</v>
      </c>
    </row>
    <row r="126" spans="1:110" s="162" customFormat="1" x14ac:dyDescent="0.2">
      <c r="A126" s="49" t="s">
        <v>344</v>
      </c>
      <c r="B126" s="162" t="e">
        <f>+B123/B124</f>
        <v>#DIV/0!</v>
      </c>
      <c r="C126" s="162" t="e">
        <f t="shared" ref="C126:W126" si="1086">+C123/C124</f>
        <v>#DIV/0!</v>
      </c>
      <c r="D126" s="162" t="e">
        <f t="shared" si="1086"/>
        <v>#DIV/0!</v>
      </c>
      <c r="E126" s="162" t="e">
        <f t="shared" ca="1" si="1086"/>
        <v>#DIV/0!</v>
      </c>
      <c r="F126" s="162" t="e">
        <f t="shared" ca="1" si="1086"/>
        <v>#DIV/0!</v>
      </c>
      <c r="G126" s="162" t="e">
        <f t="shared" ca="1" si="1086"/>
        <v>#DIV/0!</v>
      </c>
      <c r="H126" s="162" t="e">
        <f t="shared" ca="1" si="1086"/>
        <v>#DIV/0!</v>
      </c>
      <c r="I126" s="162" t="e">
        <f t="shared" ca="1" si="1086"/>
        <v>#DIV/0!</v>
      </c>
      <c r="J126" s="162" t="e">
        <f t="shared" ca="1" si="1086"/>
        <v>#DIV/0!</v>
      </c>
      <c r="K126" s="162" t="e">
        <f t="shared" ca="1" si="1086"/>
        <v>#DIV/0!</v>
      </c>
      <c r="L126" s="162" t="e">
        <f t="shared" ca="1" si="1086"/>
        <v>#DIV/0!</v>
      </c>
      <c r="M126" s="162" t="e">
        <f t="shared" ca="1" si="1086"/>
        <v>#DIV/0!</v>
      </c>
      <c r="N126" s="162" t="e">
        <f t="shared" ca="1" si="1086"/>
        <v>#DIV/0!</v>
      </c>
      <c r="O126" s="162" t="e">
        <f t="shared" ca="1" si="1086"/>
        <v>#DIV/0!</v>
      </c>
      <c r="P126" s="162" t="e">
        <f t="shared" ca="1" si="1086"/>
        <v>#DIV/0!</v>
      </c>
      <c r="Q126" s="162" t="e">
        <f t="shared" ca="1" si="1086"/>
        <v>#DIV/0!</v>
      </c>
      <c r="R126" s="162" t="e">
        <f t="shared" ca="1" si="1086"/>
        <v>#DIV/0!</v>
      </c>
      <c r="S126" s="162" t="e">
        <f t="shared" ca="1" si="1086"/>
        <v>#DIV/0!</v>
      </c>
      <c r="T126" s="162" t="e">
        <f t="shared" ca="1" si="1086"/>
        <v>#DIV/0!</v>
      </c>
      <c r="U126" s="162" t="e">
        <f t="shared" ca="1" si="1086"/>
        <v>#DIV/0!</v>
      </c>
      <c r="V126" s="162" t="e">
        <f t="shared" ca="1" si="1086"/>
        <v>#DIV/0!</v>
      </c>
      <c r="W126" s="162" t="e">
        <f t="shared" ca="1" si="1086"/>
        <v>#DIV/0!</v>
      </c>
      <c r="X126" s="162" t="e">
        <f t="shared" ref="X126:Y126" ca="1" si="1087">+X123/X124</f>
        <v>#DIV/0!</v>
      </c>
      <c r="Y126" s="162" t="e">
        <f t="shared" ca="1" si="1087"/>
        <v>#DIV/0!</v>
      </c>
      <c r="Z126" s="162" t="e">
        <f t="shared" ref="Z126:AA126" ca="1" si="1088">+Z123/Z124</f>
        <v>#DIV/0!</v>
      </c>
      <c r="AA126" s="162" t="e">
        <f t="shared" ca="1" si="1088"/>
        <v>#DIV/0!</v>
      </c>
      <c r="AB126" s="21" t="e">
        <f t="shared" ref="AA126:AD126" ca="1" si="1089">+AB123/AB124</f>
        <v>#DIV/0!</v>
      </c>
      <c r="AC126" s="21" t="e">
        <f t="shared" ca="1" si="1089"/>
        <v>#DIV/0!</v>
      </c>
      <c r="AD126" s="21" t="e">
        <f t="shared" ca="1" si="1089"/>
        <v>#DIV/0!</v>
      </c>
      <c r="AE126" s="21" t="e">
        <f t="shared" ref="AE126" ca="1" si="1090">+AE123/AE124</f>
        <v>#DIV/0!</v>
      </c>
      <c r="AL126" s="162" t="e">
        <f t="shared" ref="AL126:AM126" si="1091">+AL123/AL124</f>
        <v>#DIV/0!</v>
      </c>
      <c r="AM126" s="162" t="e">
        <f t="shared" si="1091"/>
        <v>#DIV/0!</v>
      </c>
      <c r="AN126" s="162" t="e">
        <f t="shared" ref="AN126:AO126" si="1092">+AN123/AN124</f>
        <v>#DIV/0!</v>
      </c>
      <c r="AO126" s="162" t="e">
        <f t="shared" si="1092"/>
        <v>#DIV/0!</v>
      </c>
      <c r="AP126" s="162" t="e">
        <f t="shared" ref="AP126:CD126" si="1093">+AP123/AP124</f>
        <v>#DIV/0!</v>
      </c>
      <c r="AQ126" s="162" t="e">
        <f t="shared" si="1093"/>
        <v>#DIV/0!</v>
      </c>
      <c r="AR126" s="162" t="e">
        <f t="shared" si="1093"/>
        <v>#DIV/0!</v>
      </c>
      <c r="AS126" s="162" t="e">
        <f t="shared" si="1093"/>
        <v>#DIV/0!</v>
      </c>
      <c r="AT126" s="162" t="e">
        <f t="shared" si="1093"/>
        <v>#DIV/0!</v>
      </c>
      <c r="AU126" s="162" t="e">
        <f t="shared" si="1093"/>
        <v>#DIV/0!</v>
      </c>
      <c r="AV126" s="162" t="e">
        <f t="shared" si="1093"/>
        <v>#DIV/0!</v>
      </c>
      <c r="AW126" s="162" t="e">
        <f t="shared" si="1093"/>
        <v>#DIV/0!</v>
      </c>
      <c r="AX126" s="162" t="e">
        <f t="shared" si="1093"/>
        <v>#DIV/0!</v>
      </c>
      <c r="AY126" s="162" t="e">
        <f t="shared" si="1093"/>
        <v>#DIV/0!</v>
      </c>
      <c r="AZ126" s="162" t="e">
        <f t="shared" si="1093"/>
        <v>#DIV/0!</v>
      </c>
      <c r="BA126" s="162" t="e">
        <f t="shared" si="1093"/>
        <v>#DIV/0!</v>
      </c>
      <c r="BB126" s="162" t="e">
        <f t="shared" si="1093"/>
        <v>#DIV/0!</v>
      </c>
      <c r="BC126" s="162" t="e">
        <f t="shared" si="1093"/>
        <v>#DIV/0!</v>
      </c>
      <c r="BD126" s="162" t="e">
        <f t="shared" si="1093"/>
        <v>#DIV/0!</v>
      </c>
      <c r="BE126" s="162" t="e">
        <f t="shared" si="1093"/>
        <v>#DIV/0!</v>
      </c>
      <c r="BF126" s="162" t="e">
        <f t="shared" si="1093"/>
        <v>#DIV/0!</v>
      </c>
      <c r="BG126" s="162" t="e">
        <f t="shared" si="1093"/>
        <v>#DIV/0!</v>
      </c>
      <c r="BH126" s="162">
        <f t="shared" si="1093"/>
        <v>0</v>
      </c>
      <c r="BI126" s="162">
        <f t="shared" si="1093"/>
        <v>-0.87317037268737929</v>
      </c>
      <c r="BJ126" s="162">
        <f t="shared" si="1093"/>
        <v>3.2280937477811089</v>
      </c>
      <c r="BK126" s="162">
        <f t="shared" si="1093"/>
        <v>2.8028150707265826</v>
      </c>
      <c r="BL126" s="162">
        <f t="shared" si="1093"/>
        <v>2.6536864142211765</v>
      </c>
      <c r="BM126" s="162">
        <f t="shared" si="1093"/>
        <v>14.840793549349071</v>
      </c>
      <c r="BN126" s="162">
        <f t="shared" si="1093"/>
        <v>7.7351724795434258</v>
      </c>
      <c r="BO126" s="162">
        <f t="shared" si="1093"/>
        <v>9.8128574828209967</v>
      </c>
      <c r="BP126" s="162">
        <f t="shared" si="1093"/>
        <v>29.207483986349555</v>
      </c>
      <c r="BQ126" s="162">
        <f t="shared" si="1093"/>
        <v>30.402806380755106</v>
      </c>
      <c r="BR126" s="162">
        <f t="shared" si="1093"/>
        <v>-13.994356310904287</v>
      </c>
      <c r="BS126" s="162">
        <f t="shared" si="1093"/>
        <v>-10.785678782072839</v>
      </c>
      <c r="BT126" s="162">
        <f t="shared" si="1093"/>
        <v>-7.4812723537492438</v>
      </c>
      <c r="BU126" s="162">
        <f t="shared" si="1093"/>
        <v>-7.6955063797800234</v>
      </c>
      <c r="BV126" s="162">
        <f t="shared" si="1093"/>
        <v>-7.4715456277094177</v>
      </c>
      <c r="BW126" s="162">
        <f t="shared" si="1093"/>
        <v>-5.8132232505338903</v>
      </c>
      <c r="BX126" s="162">
        <f t="shared" si="1093"/>
        <v>-5.8702862418454833</v>
      </c>
      <c r="BY126" s="162">
        <f t="shared" si="1093"/>
        <v>-7.4464062713002495</v>
      </c>
      <c r="BZ126" s="162">
        <f t="shared" si="1093"/>
        <v>-7.1128682554712901</v>
      </c>
      <c r="CA126" s="162">
        <f t="shared" si="1093"/>
        <v>-11.140250314063243</v>
      </c>
      <c r="CB126" s="162">
        <f t="shared" si="1093"/>
        <v>-19.339246573826028</v>
      </c>
      <c r="CC126" s="162">
        <f t="shared" si="1093"/>
        <v>-20.316873457633417</v>
      </c>
      <c r="CD126" s="162">
        <f t="shared" si="1093"/>
        <v>-455.08949933540117</v>
      </c>
      <c r="CE126" s="162">
        <f t="shared" ref="CE126:CF126" si="1094">+CE123/CE124</f>
        <v>290.27786566922657</v>
      </c>
      <c r="CF126" s="162">
        <f t="shared" si="1094"/>
        <v>259.17883928571484</v>
      </c>
      <c r="CG126" s="162">
        <f t="shared" ref="CG126:CH126" si="1095">+CG123/CG124</f>
        <v>71.050695788972945</v>
      </c>
      <c r="CH126" s="162">
        <f t="shared" si="1095"/>
        <v>21.422161877355791</v>
      </c>
      <c r="CI126" s="162">
        <f t="shared" ref="CI126:CJ126" si="1096">+CI123/CI124</f>
        <v>15.82182550423461</v>
      </c>
      <c r="CJ126" s="162">
        <f t="shared" si="1096"/>
        <v>21.280346426623009</v>
      </c>
      <c r="CK126" s="162">
        <f t="shared" ref="CK126:CL126" si="1097">+CK123/CK124</f>
        <v>19.21538472684221</v>
      </c>
      <c r="CL126" s="162">
        <f t="shared" si="1097"/>
        <v>13.546277599390914</v>
      </c>
      <c r="CM126" s="21">
        <f t="shared" ref="CM126:DB126" si="1098">+CM123/CM124</f>
        <v>15.708639446508483</v>
      </c>
      <c r="CN126" s="21">
        <f t="shared" si="1098"/>
        <v>11.273441964872054</v>
      </c>
      <c r="CO126" s="21">
        <f t="shared" si="1098"/>
        <v>12.088894379037736</v>
      </c>
      <c r="CP126" s="21">
        <f t="shared" si="1098"/>
        <v>12.205862569158272</v>
      </c>
      <c r="CQ126" s="21">
        <f t="shared" si="1098"/>
        <v>12.444308288806839</v>
      </c>
      <c r="CR126" s="21">
        <f t="shared" si="1098"/>
        <v>11.579505542155038</v>
      </c>
      <c r="CS126" s="21">
        <f t="shared" si="1098"/>
        <v>11.542556359619757</v>
      </c>
      <c r="CT126" s="21">
        <f t="shared" si="1098"/>
        <v>11.61176852432876</v>
      </c>
      <c r="CU126" s="21">
        <f t="shared" si="1098"/>
        <v>11.627218606087908</v>
      </c>
      <c r="CV126" s="21">
        <f t="shared" si="1098"/>
        <v>10.865979108500035</v>
      </c>
      <c r="CW126" s="21">
        <f t="shared" si="1098"/>
        <v>10.811701307974205</v>
      </c>
      <c r="CX126" s="21">
        <f t="shared" si="1098"/>
        <v>10.870047457068111</v>
      </c>
      <c r="CY126" s="21">
        <f t="shared" si="1098"/>
        <v>10.879227109534007</v>
      </c>
      <c r="CZ126" s="21">
        <f t="shared" si="1098"/>
        <v>10.145366044927666</v>
      </c>
      <c r="DA126" s="21">
        <f t="shared" si="1098"/>
        <v>10.110311383692665</v>
      </c>
      <c r="DB126" s="21">
        <f t="shared" si="1098"/>
        <v>10.196172718851738</v>
      </c>
      <c r="DE126" s="22"/>
      <c r="DF126" s="162">
        <v>19.237523904118174</v>
      </c>
    </row>
    <row r="127" spans="1:110" s="10" customFormat="1" x14ac:dyDescent="0.2">
      <c r="A127" s="149" t="s">
        <v>490</v>
      </c>
      <c r="AB127" s="20"/>
      <c r="AC127" s="20"/>
      <c r="AD127" s="20"/>
      <c r="AE127" s="20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E127" s="126"/>
    </row>
    <row r="128" spans="1:110" x14ac:dyDescent="0.2">
      <c r="A128" s="152" t="s">
        <v>491</v>
      </c>
      <c r="AA128" s="2"/>
      <c r="CL128" s="2"/>
    </row>
    <row r="129" spans="1:110" s="23" customFormat="1" outlineLevel="1" x14ac:dyDescent="0.2">
      <c r="A129" s="23" t="s">
        <v>41</v>
      </c>
      <c r="B129" s="23">
        <f>'Annual Raw'!C41</f>
        <v>0</v>
      </c>
      <c r="C129" s="23">
        <f>'Annual Raw'!D41</f>
        <v>0</v>
      </c>
      <c r="D129" s="23">
        <f>'Annual Raw'!E41</f>
        <v>0</v>
      </c>
      <c r="E129" s="23">
        <f>'Annual Raw'!F41</f>
        <v>0</v>
      </c>
      <c r="F129" s="23">
        <f>'Annual Raw'!G41</f>
        <v>0</v>
      </c>
      <c r="G129" s="23">
        <f>'Annual Raw'!H41</f>
        <v>0</v>
      </c>
      <c r="H129" s="23">
        <f>'Annual Raw'!I41</f>
        <v>0</v>
      </c>
      <c r="I129" s="23">
        <f>'Annual Raw'!J41</f>
        <v>0</v>
      </c>
      <c r="J129" s="23">
        <f>'Annual Raw'!K41</f>
        <v>0</v>
      </c>
      <c r="K129" s="23">
        <f>'Annual Raw'!L41</f>
        <v>0</v>
      </c>
      <c r="L129" s="23">
        <f>'Annual Raw'!M41</f>
        <v>0</v>
      </c>
      <c r="M129" s="23">
        <f>'Annual Raw'!N41</f>
        <v>0</v>
      </c>
      <c r="N129" s="23">
        <f>'Annual Raw'!O41</f>
        <v>0</v>
      </c>
      <c r="O129" s="23">
        <f>'Annual Raw'!P41</f>
        <v>0</v>
      </c>
      <c r="P129" s="23">
        <f>'Annual Raw'!Q41</f>
        <v>0</v>
      </c>
      <c r="Q129" s="23">
        <f>'Annual Raw'!R41</f>
        <v>0</v>
      </c>
      <c r="R129" s="23">
        <f>'Annual Raw'!S41</f>
        <v>0</v>
      </c>
      <c r="S129" s="23">
        <f>'Annual Raw'!T41</f>
        <v>16.036000000000001</v>
      </c>
      <c r="T129" s="23">
        <f>'Annual Raw'!U41</f>
        <v>16.036000000000001</v>
      </c>
      <c r="U129" s="23">
        <f>'Annual Raw'!V41</f>
        <v>16.04</v>
      </c>
      <c r="V129" s="23">
        <f>'Annual Raw'!W41</f>
        <v>16.04</v>
      </c>
      <c r="W129" s="23">
        <f>'Annual Raw'!X41</f>
        <v>18.97</v>
      </c>
      <c r="X129" s="23">
        <f>'Annual Raw'!Y41</f>
        <v>18.97</v>
      </c>
      <c r="Y129" s="23">
        <f>'Annual Raw'!Z41</f>
        <v>23.32</v>
      </c>
      <c r="Z129" s="23">
        <f>'Annual Raw'!AA41</f>
        <v>23.35</v>
      </c>
      <c r="AA129" s="23">
        <f>'Annual Raw'!AB41</f>
        <v>23.35</v>
      </c>
      <c r="AB129" s="24">
        <f>+CP129</f>
        <v>23.35</v>
      </c>
      <c r="AC129" s="24">
        <f>+CT129</f>
        <v>23.35</v>
      </c>
      <c r="AD129" s="24">
        <f>+CX129</f>
        <v>23.35</v>
      </c>
      <c r="AE129" s="24">
        <f>+DB129</f>
        <v>23.35</v>
      </c>
      <c r="AJ129" s="23">
        <f>+'QTR Raw'!D56</f>
        <v>0</v>
      </c>
      <c r="AK129" s="23">
        <f t="shared" ref="AK129:CE129" si="1099">+AJ129</f>
        <v>0</v>
      </c>
      <c r="AL129" s="23">
        <f>+'QTR Raw'!F56</f>
        <v>0</v>
      </c>
      <c r="AM129" s="23">
        <f t="shared" si="1099"/>
        <v>0</v>
      </c>
      <c r="AN129" s="23">
        <f>+'QTR Raw'!H56</f>
        <v>0</v>
      </c>
      <c r="AO129" s="23">
        <f t="shared" si="1099"/>
        <v>0</v>
      </c>
      <c r="AP129" s="23">
        <f>+'QTR Raw'!J56</f>
        <v>0</v>
      </c>
      <c r="AQ129" s="23">
        <f t="shared" si="1099"/>
        <v>0</v>
      </c>
      <c r="AR129" s="23">
        <f>+'QTR Raw'!L56</f>
        <v>0</v>
      </c>
      <c r="AS129" s="23">
        <f t="shared" si="1099"/>
        <v>0</v>
      </c>
      <c r="AT129" s="23">
        <f>+'QTR Raw'!N56</f>
        <v>0</v>
      </c>
      <c r="AU129" s="23">
        <f t="shared" si="1099"/>
        <v>0</v>
      </c>
      <c r="AV129" s="23">
        <f>+'QTR Raw'!P56</f>
        <v>0</v>
      </c>
      <c r="AW129" s="23">
        <f t="shared" si="1099"/>
        <v>0</v>
      </c>
      <c r="AX129" s="23">
        <f>+'QTR Raw'!R56</f>
        <v>0</v>
      </c>
      <c r="AY129" s="23">
        <f t="shared" si="1099"/>
        <v>0</v>
      </c>
      <c r="AZ129" s="23">
        <f>+'QTR Raw'!T56</f>
        <v>0</v>
      </c>
      <c r="BA129" s="23">
        <f t="shared" si="1099"/>
        <v>0</v>
      </c>
      <c r="BB129" s="23">
        <f>+'QTR Raw'!V56</f>
        <v>0</v>
      </c>
      <c r="BC129" s="23">
        <f t="shared" si="1099"/>
        <v>0</v>
      </c>
      <c r="BD129" s="23">
        <f>+'QTR Raw'!X56</f>
        <v>0</v>
      </c>
      <c r="BE129" s="23">
        <f t="shared" si="1099"/>
        <v>0</v>
      </c>
      <c r="BF129" s="23">
        <f>+'QTR Raw'!Z56</f>
        <v>0</v>
      </c>
      <c r="BG129" s="23">
        <f t="shared" si="1099"/>
        <v>0</v>
      </c>
      <c r="BH129" s="23">
        <f>+'QTR Raw'!AB56</f>
        <v>0</v>
      </c>
      <c r="BI129" s="23">
        <f t="shared" si="1099"/>
        <v>0</v>
      </c>
      <c r="BJ129" s="23">
        <f>+'QTR Raw'!AD56</f>
        <v>16.036000000000001</v>
      </c>
      <c r="BK129" s="23">
        <f t="shared" si="1099"/>
        <v>16.036000000000001</v>
      </c>
      <c r="BL129" s="23">
        <f>+'QTR Raw'!AF56</f>
        <v>16.036000000000001</v>
      </c>
      <c r="BM129" s="23">
        <f t="shared" si="1099"/>
        <v>16.036000000000001</v>
      </c>
      <c r="BN129" s="23">
        <f>+'QTR Raw'!AH56</f>
        <v>16.04</v>
      </c>
      <c r="BO129" s="23">
        <f t="shared" si="1099"/>
        <v>16.04</v>
      </c>
      <c r="BP129" s="23">
        <f>+'QTR Raw'!AJ56</f>
        <v>16.04</v>
      </c>
      <c r="BQ129" s="23">
        <f t="shared" si="1099"/>
        <v>16.04</v>
      </c>
      <c r="BR129" s="23">
        <f>+'QTR Raw'!AL56</f>
        <v>16.04</v>
      </c>
      <c r="BS129" s="23">
        <f t="shared" si="1099"/>
        <v>16.04</v>
      </c>
      <c r="BT129" s="23">
        <f>+'QTR Raw'!AN56</f>
        <v>16.04</v>
      </c>
      <c r="BU129" s="23">
        <f t="shared" si="1099"/>
        <v>16.04</v>
      </c>
      <c r="BV129" s="23">
        <f>+'QTR Raw'!AP56</f>
        <v>18.97</v>
      </c>
      <c r="BW129" s="23">
        <f t="shared" si="1099"/>
        <v>18.97</v>
      </c>
      <c r="BX129" s="23">
        <f>+'QTR Raw'!AR56</f>
        <v>18.97</v>
      </c>
      <c r="BY129" s="23">
        <f t="shared" si="1099"/>
        <v>18.97</v>
      </c>
      <c r="BZ129" s="23">
        <f>+'QTR Raw'!AT56</f>
        <v>18.97</v>
      </c>
      <c r="CA129" s="23">
        <f t="shared" si="1099"/>
        <v>18.97</v>
      </c>
      <c r="CB129" s="23">
        <f>+'QTR Raw'!AV56</f>
        <v>18.97</v>
      </c>
      <c r="CC129" s="23">
        <f t="shared" si="1099"/>
        <v>18.97</v>
      </c>
      <c r="CD129" s="23">
        <f>+'QTR Raw'!AX56</f>
        <v>23.32</v>
      </c>
      <c r="CE129" s="23">
        <f t="shared" si="1099"/>
        <v>23.32</v>
      </c>
      <c r="CF129" s="23">
        <f>+'QTR Raw'!AZ56</f>
        <v>23.34</v>
      </c>
      <c r="CG129" s="23">
        <f t="shared" ref="CG129:CG130" si="1100">+CF129</f>
        <v>23.34</v>
      </c>
      <c r="CH129" s="23">
        <f>Z129</f>
        <v>23.35</v>
      </c>
      <c r="CI129" s="23">
        <f>CH129</f>
        <v>23.35</v>
      </c>
      <c r="CJ129" s="23">
        <f>+'QTR Raw'!BD56</f>
        <v>23.35</v>
      </c>
      <c r="CK129" s="23">
        <f t="shared" ref="CK129:DB129" si="1101">CJ129</f>
        <v>23.35</v>
      </c>
      <c r="CL129" s="23">
        <f>+'QTR Raw'!BF56</f>
        <v>23.35</v>
      </c>
      <c r="CM129" s="24">
        <f t="shared" si="1101"/>
        <v>23.35</v>
      </c>
      <c r="CN129" s="24">
        <f t="shared" si="1101"/>
        <v>23.35</v>
      </c>
      <c r="CO129" s="24">
        <f t="shared" si="1101"/>
        <v>23.35</v>
      </c>
      <c r="CP129" s="24">
        <f t="shared" si="1101"/>
        <v>23.35</v>
      </c>
      <c r="CQ129" s="24">
        <f t="shared" si="1101"/>
        <v>23.35</v>
      </c>
      <c r="CR129" s="24">
        <f t="shared" si="1101"/>
        <v>23.35</v>
      </c>
      <c r="CS129" s="24">
        <f t="shared" si="1101"/>
        <v>23.35</v>
      </c>
      <c r="CT129" s="24">
        <f t="shared" si="1101"/>
        <v>23.35</v>
      </c>
      <c r="CU129" s="24">
        <f t="shared" si="1101"/>
        <v>23.35</v>
      </c>
      <c r="CV129" s="24">
        <f t="shared" si="1101"/>
        <v>23.35</v>
      </c>
      <c r="CW129" s="24">
        <f t="shared" si="1101"/>
        <v>23.35</v>
      </c>
      <c r="CX129" s="24">
        <f t="shared" si="1101"/>
        <v>23.35</v>
      </c>
      <c r="CY129" s="24">
        <f t="shared" si="1101"/>
        <v>23.35</v>
      </c>
      <c r="CZ129" s="24">
        <f t="shared" si="1101"/>
        <v>23.35</v>
      </c>
      <c r="DA129" s="24">
        <f t="shared" si="1101"/>
        <v>23.35</v>
      </c>
      <c r="DB129" s="24">
        <f t="shared" si="1101"/>
        <v>23.35</v>
      </c>
      <c r="DE129" s="123"/>
      <c r="DF129" s="23">
        <v>23.35</v>
      </c>
    </row>
    <row r="130" spans="1:110" s="23" customFormat="1" outlineLevel="1" x14ac:dyDescent="0.2">
      <c r="A130" s="23" t="s">
        <v>42</v>
      </c>
      <c r="B130" s="23">
        <f>'Annual Raw'!C42</f>
        <v>0</v>
      </c>
      <c r="C130" s="23">
        <f>'Annual Raw'!D42</f>
        <v>0</v>
      </c>
      <c r="D130" s="23">
        <f>'Annual Raw'!E42</f>
        <v>0</v>
      </c>
      <c r="E130" s="23">
        <f>'Annual Raw'!F42</f>
        <v>0</v>
      </c>
      <c r="F130" s="23">
        <f>'Annual Raw'!G42</f>
        <v>0</v>
      </c>
      <c r="G130" s="23">
        <f>'Annual Raw'!H42</f>
        <v>0</v>
      </c>
      <c r="H130" s="23">
        <f>'Annual Raw'!I42</f>
        <v>0</v>
      </c>
      <c r="I130" s="23">
        <f>'Annual Raw'!J42</f>
        <v>0</v>
      </c>
      <c r="J130" s="23">
        <f>'Annual Raw'!K42</f>
        <v>0</v>
      </c>
      <c r="K130" s="23">
        <f>'Annual Raw'!L42</f>
        <v>0</v>
      </c>
      <c r="L130" s="23">
        <f>'Annual Raw'!M42</f>
        <v>0</v>
      </c>
      <c r="M130" s="23">
        <f>'Annual Raw'!N42</f>
        <v>0</v>
      </c>
      <c r="N130" s="23">
        <f>'Annual Raw'!O42</f>
        <v>0</v>
      </c>
      <c r="O130" s="23">
        <f>'Annual Raw'!P42</f>
        <v>0</v>
      </c>
      <c r="P130" s="23">
        <f>'Annual Raw'!Q42</f>
        <v>0</v>
      </c>
      <c r="Q130" s="23">
        <f>'Annual Raw'!R42</f>
        <v>0</v>
      </c>
      <c r="R130" s="23">
        <f>'Annual Raw'!S42</f>
        <v>0</v>
      </c>
      <c r="S130" s="23">
        <f>'Annual Raw'!T42</f>
        <v>0</v>
      </c>
      <c r="T130" s="23">
        <f>'Annual Raw'!U42</f>
        <v>0</v>
      </c>
      <c r="U130" s="23">
        <f>'Annual Raw'!V42</f>
        <v>0</v>
      </c>
      <c r="V130" s="23">
        <f>'Annual Raw'!W42</f>
        <v>0</v>
      </c>
      <c r="W130" s="23">
        <f>'Annual Raw'!X42</f>
        <v>3.71</v>
      </c>
      <c r="X130" s="23">
        <f>'Annual Raw'!Y42</f>
        <v>7.05</v>
      </c>
      <c r="Y130" s="23">
        <f>'Annual Raw'!Z42</f>
        <v>5.97</v>
      </c>
      <c r="Z130" s="23">
        <f>'Annual Raw'!AA42</f>
        <v>2.76</v>
      </c>
      <c r="AA130" s="23">
        <f>'Annual Raw'!AB42</f>
        <v>3.94</v>
      </c>
      <c r="AB130" s="24">
        <f t="shared" ref="AB130:AB131" si="1102">+CP130</f>
        <v>0</v>
      </c>
      <c r="AC130" s="24">
        <f t="shared" ref="AC130:AC131" si="1103">+CT130</f>
        <v>0</v>
      </c>
      <c r="AD130" s="24">
        <f t="shared" ref="AD130:AD131" si="1104">+CX130</f>
        <v>0</v>
      </c>
      <c r="AE130" s="24">
        <f t="shared" ref="AE130:AE131" si="1105">+DB130</f>
        <v>0</v>
      </c>
      <c r="AJ130" s="23">
        <f>+'QTR Raw'!D57</f>
        <v>0</v>
      </c>
      <c r="AK130" s="23">
        <f t="shared" ref="AK130:CE130" si="1106">+AJ130</f>
        <v>0</v>
      </c>
      <c r="AL130" s="23">
        <f>+'QTR Raw'!F57</f>
        <v>0</v>
      </c>
      <c r="AM130" s="23">
        <f t="shared" si="1106"/>
        <v>0</v>
      </c>
      <c r="AN130" s="23">
        <f>+'QTR Raw'!H57</f>
        <v>0</v>
      </c>
      <c r="AO130" s="23">
        <f t="shared" si="1106"/>
        <v>0</v>
      </c>
      <c r="AP130" s="23">
        <f>+'QTR Raw'!J57</f>
        <v>0</v>
      </c>
      <c r="AQ130" s="23">
        <f t="shared" si="1106"/>
        <v>0</v>
      </c>
      <c r="AR130" s="23">
        <f>+'QTR Raw'!L57</f>
        <v>0</v>
      </c>
      <c r="AS130" s="23">
        <f t="shared" si="1106"/>
        <v>0</v>
      </c>
      <c r="AT130" s="23">
        <f>+'QTR Raw'!N57</f>
        <v>0</v>
      </c>
      <c r="AU130" s="23">
        <f t="shared" si="1106"/>
        <v>0</v>
      </c>
      <c r="AV130" s="23">
        <f>+'QTR Raw'!P57</f>
        <v>0</v>
      </c>
      <c r="AW130" s="23">
        <f t="shared" si="1106"/>
        <v>0</v>
      </c>
      <c r="AX130" s="23">
        <f>+'QTR Raw'!R57</f>
        <v>0</v>
      </c>
      <c r="AY130" s="23">
        <f t="shared" si="1106"/>
        <v>0</v>
      </c>
      <c r="AZ130" s="23">
        <f>+'QTR Raw'!T57</f>
        <v>0</v>
      </c>
      <c r="BA130" s="23">
        <f t="shared" si="1106"/>
        <v>0</v>
      </c>
      <c r="BB130" s="23">
        <f>+'QTR Raw'!V57</f>
        <v>0</v>
      </c>
      <c r="BC130" s="23">
        <f t="shared" si="1106"/>
        <v>0</v>
      </c>
      <c r="BD130" s="23">
        <f>+'QTR Raw'!X57</f>
        <v>0</v>
      </c>
      <c r="BE130" s="23">
        <f t="shared" si="1106"/>
        <v>0</v>
      </c>
      <c r="BF130" s="23">
        <f>+'QTR Raw'!Z57</f>
        <v>0</v>
      </c>
      <c r="BG130" s="23">
        <f t="shared" si="1106"/>
        <v>0</v>
      </c>
      <c r="BH130" s="23">
        <f>+'QTR Raw'!AB57</f>
        <v>0</v>
      </c>
      <c r="BI130" s="23">
        <f t="shared" si="1106"/>
        <v>0</v>
      </c>
      <c r="BJ130" s="23">
        <f>+'QTR Raw'!AD57</f>
        <v>0</v>
      </c>
      <c r="BK130" s="23">
        <f t="shared" si="1106"/>
        <v>0</v>
      </c>
      <c r="BL130" s="23">
        <f>+'QTR Raw'!AF57</f>
        <v>0</v>
      </c>
      <c r="BM130" s="23">
        <f t="shared" si="1106"/>
        <v>0</v>
      </c>
      <c r="BN130" s="23">
        <f>+'QTR Raw'!AH57</f>
        <v>0</v>
      </c>
      <c r="BO130" s="23">
        <f t="shared" si="1106"/>
        <v>0</v>
      </c>
      <c r="BP130" s="23">
        <f>+'QTR Raw'!AJ57</f>
        <v>0</v>
      </c>
      <c r="BQ130" s="23">
        <f t="shared" si="1106"/>
        <v>0</v>
      </c>
      <c r="BR130" s="23">
        <f>+'QTR Raw'!AL57</f>
        <v>0</v>
      </c>
      <c r="BS130" s="23">
        <f t="shared" si="1106"/>
        <v>0</v>
      </c>
      <c r="BT130" s="23">
        <f>+'QTR Raw'!AN57</f>
        <v>0</v>
      </c>
      <c r="BU130" s="23">
        <f t="shared" si="1106"/>
        <v>0</v>
      </c>
      <c r="BV130" s="23">
        <f>+'QTR Raw'!AP57</f>
        <v>0</v>
      </c>
      <c r="BW130" s="23">
        <f t="shared" si="1106"/>
        <v>0</v>
      </c>
      <c r="BX130" s="23">
        <f>+'QTR Raw'!AR57</f>
        <v>0</v>
      </c>
      <c r="BY130" s="23">
        <f t="shared" si="1106"/>
        <v>0</v>
      </c>
      <c r="BZ130" s="23">
        <f>+'QTR Raw'!AT57</f>
        <v>0</v>
      </c>
      <c r="CA130" s="23">
        <f t="shared" si="1106"/>
        <v>0</v>
      </c>
      <c r="CB130" s="23">
        <f>+'QTR Raw'!AV57</f>
        <v>0</v>
      </c>
      <c r="CC130" s="23">
        <f t="shared" si="1106"/>
        <v>0</v>
      </c>
      <c r="CD130" s="23">
        <f>+'QTR Raw'!AX57</f>
        <v>0</v>
      </c>
      <c r="CE130" s="23">
        <f t="shared" si="1106"/>
        <v>0</v>
      </c>
      <c r="CF130" s="23">
        <f>+'QTR Raw'!AZ57</f>
        <v>0</v>
      </c>
      <c r="CG130" s="23">
        <f t="shared" si="1100"/>
        <v>0</v>
      </c>
      <c r="CH130" s="23">
        <f t="shared" ref="CH130:CH131" si="1107">Z130</f>
        <v>2.76</v>
      </c>
      <c r="CI130" s="23">
        <f>CH130</f>
        <v>2.76</v>
      </c>
      <c r="CJ130" s="23">
        <f>+'QTR Raw'!BD57</f>
        <v>0</v>
      </c>
      <c r="CK130" s="23">
        <f t="shared" ref="CK130:DB130" si="1108">CJ130</f>
        <v>0</v>
      </c>
      <c r="CL130" s="23">
        <f>+'QTR Raw'!BF57</f>
        <v>0</v>
      </c>
      <c r="CM130" s="24">
        <f t="shared" si="1108"/>
        <v>0</v>
      </c>
      <c r="CN130" s="24">
        <f t="shared" si="1108"/>
        <v>0</v>
      </c>
      <c r="CO130" s="24">
        <f t="shared" si="1108"/>
        <v>0</v>
      </c>
      <c r="CP130" s="24">
        <f t="shared" si="1108"/>
        <v>0</v>
      </c>
      <c r="CQ130" s="24">
        <f t="shared" si="1108"/>
        <v>0</v>
      </c>
      <c r="CR130" s="24">
        <f t="shared" si="1108"/>
        <v>0</v>
      </c>
      <c r="CS130" s="24">
        <f t="shared" si="1108"/>
        <v>0</v>
      </c>
      <c r="CT130" s="24">
        <f t="shared" si="1108"/>
        <v>0</v>
      </c>
      <c r="CU130" s="24">
        <f t="shared" si="1108"/>
        <v>0</v>
      </c>
      <c r="CV130" s="24">
        <f t="shared" si="1108"/>
        <v>0</v>
      </c>
      <c r="CW130" s="24">
        <f t="shared" si="1108"/>
        <v>0</v>
      </c>
      <c r="CX130" s="24">
        <f t="shared" si="1108"/>
        <v>0</v>
      </c>
      <c r="CY130" s="24">
        <f t="shared" si="1108"/>
        <v>0</v>
      </c>
      <c r="CZ130" s="24">
        <f t="shared" si="1108"/>
        <v>0</v>
      </c>
      <c r="DA130" s="24">
        <f t="shared" si="1108"/>
        <v>0</v>
      </c>
      <c r="DB130" s="24">
        <f t="shared" si="1108"/>
        <v>0</v>
      </c>
      <c r="DE130" s="123"/>
      <c r="DF130" s="23">
        <v>0</v>
      </c>
    </row>
    <row r="131" spans="1:110" s="23" customFormat="1" outlineLevel="1" x14ac:dyDescent="0.2">
      <c r="A131" s="23" t="s">
        <v>43</v>
      </c>
      <c r="B131" s="23">
        <f>'Annual Raw'!C43</f>
        <v>0</v>
      </c>
      <c r="C131" s="23">
        <f>'Annual Raw'!D43</f>
        <v>0</v>
      </c>
      <c r="D131" s="23">
        <f>'Annual Raw'!E43</f>
        <v>0</v>
      </c>
      <c r="E131" s="23">
        <f>'Annual Raw'!F43</f>
        <v>0</v>
      </c>
      <c r="F131" s="23">
        <f>'Annual Raw'!G43</f>
        <v>0</v>
      </c>
      <c r="G131" s="23">
        <f>'Annual Raw'!H43</f>
        <v>0</v>
      </c>
      <c r="H131" s="23">
        <f>'Annual Raw'!I43</f>
        <v>0</v>
      </c>
      <c r="I131" s="23">
        <f>'Annual Raw'!J43</f>
        <v>0</v>
      </c>
      <c r="J131" s="23">
        <f>'Annual Raw'!K43</f>
        <v>0</v>
      </c>
      <c r="K131" s="23">
        <f>'Annual Raw'!L43</f>
        <v>0</v>
      </c>
      <c r="L131" s="23">
        <f>'Annual Raw'!M43</f>
        <v>0</v>
      </c>
      <c r="M131" s="23">
        <f>'Annual Raw'!N43</f>
        <v>0</v>
      </c>
      <c r="N131" s="23">
        <f>'Annual Raw'!O43</f>
        <v>0</v>
      </c>
      <c r="O131" s="23">
        <f>'Annual Raw'!P43</f>
        <v>0</v>
      </c>
      <c r="P131" s="23">
        <f>'Annual Raw'!Q43</f>
        <v>0</v>
      </c>
      <c r="Q131" s="23">
        <f>'Annual Raw'!R43</f>
        <v>0</v>
      </c>
      <c r="R131" s="23">
        <f>'Annual Raw'!S43</f>
        <v>0</v>
      </c>
      <c r="S131" s="23">
        <f>'Annual Raw'!T43</f>
        <v>180.55500000000001</v>
      </c>
      <c r="T131" s="23">
        <f>'Annual Raw'!U43</f>
        <v>824.97</v>
      </c>
      <c r="U131" s="23">
        <f>'Annual Raw'!V43</f>
        <v>1064.92</v>
      </c>
      <c r="V131" s="23">
        <f>'Annual Raw'!W43</f>
        <v>645.84</v>
      </c>
      <c r="W131" s="23">
        <f>'Annual Raw'!X43</f>
        <v>894.08</v>
      </c>
      <c r="X131" s="23">
        <f>'Annual Raw'!Y43</f>
        <v>-251.1</v>
      </c>
      <c r="Y131" s="23">
        <f>'Annual Raw'!Z43</f>
        <v>939.88</v>
      </c>
      <c r="Z131" s="23">
        <f>'Annual Raw'!AA43</f>
        <v>980.95</v>
      </c>
      <c r="AA131" s="23">
        <f>'Annual Raw'!AB43</f>
        <v>622.46</v>
      </c>
      <c r="AB131" s="24">
        <f t="shared" si="1102"/>
        <v>1009.9856585813704</v>
      </c>
      <c r="AC131" s="24">
        <f t="shared" si="1103"/>
        <v>1469.6204128016655</v>
      </c>
      <c r="AD131" s="24">
        <f t="shared" si="1104"/>
        <v>1986.3467623592121</v>
      </c>
      <c r="AE131" s="24">
        <f t="shared" si="1105"/>
        <v>2561.122333560128</v>
      </c>
      <c r="AJ131" s="23">
        <f>+'QTR Raw'!D58</f>
        <v>0</v>
      </c>
      <c r="AK131" s="23">
        <f>+AJ131+AK55</f>
        <v>0</v>
      </c>
      <c r="AL131" s="23">
        <f>+'QTR Raw'!F58</f>
        <v>0</v>
      </c>
      <c r="AM131" s="23">
        <f>+AL131+AM55</f>
        <v>0</v>
      </c>
      <c r="AN131" s="23">
        <f>+'QTR Raw'!H58</f>
        <v>0</v>
      </c>
      <c r="AO131" s="23">
        <f>+AN131+AO55</f>
        <v>0</v>
      </c>
      <c r="AP131" s="23">
        <f>+'QTR Raw'!J58</f>
        <v>0</v>
      </c>
      <c r="AQ131" s="23">
        <f>+AP131+AQ55</f>
        <v>0</v>
      </c>
      <c r="AR131" s="23">
        <f>+'QTR Raw'!L58</f>
        <v>0</v>
      </c>
      <c r="AS131" s="23">
        <f>+AR131+AS55</f>
        <v>0</v>
      </c>
      <c r="AT131" s="23">
        <f>+'QTR Raw'!N58</f>
        <v>0</v>
      </c>
      <c r="AU131" s="23">
        <f>+AT131+AU55</f>
        <v>0</v>
      </c>
      <c r="AV131" s="23">
        <f>+'QTR Raw'!P58</f>
        <v>0</v>
      </c>
      <c r="AW131" s="23">
        <f>+AV131+AW55</f>
        <v>0</v>
      </c>
      <c r="AX131" s="23">
        <f>+'QTR Raw'!R58</f>
        <v>0</v>
      </c>
      <c r="AY131" s="23">
        <f>+AX131+AY55</f>
        <v>0</v>
      </c>
      <c r="AZ131" s="23">
        <f>+'QTR Raw'!T58</f>
        <v>0</v>
      </c>
      <c r="BA131" s="23">
        <f>+AZ131+BA55</f>
        <v>0</v>
      </c>
      <c r="BB131" s="23">
        <f>+'QTR Raw'!V58</f>
        <v>0</v>
      </c>
      <c r="BC131" s="23">
        <f>+BB131+BC55</f>
        <v>0</v>
      </c>
      <c r="BD131" s="23">
        <f>+'QTR Raw'!X58</f>
        <v>0</v>
      </c>
      <c r="BE131" s="23">
        <f>+BD131+BE55</f>
        <v>0</v>
      </c>
      <c r="BF131" s="23">
        <f>+'QTR Raw'!Z58</f>
        <v>0</v>
      </c>
      <c r="BG131" s="23">
        <f>+BF131+BG55</f>
        <v>0</v>
      </c>
      <c r="BH131" s="23">
        <f>+'QTR Raw'!AB58</f>
        <v>0</v>
      </c>
      <c r="BI131" s="23">
        <f>+BH131+BI55</f>
        <v>189.82199999999992</v>
      </c>
      <c r="BJ131" s="23">
        <f>+'QTR Raw'!AD58</f>
        <v>824.97</v>
      </c>
      <c r="BK131" s="23">
        <f>+BJ131+BK55</f>
        <v>873.11</v>
      </c>
      <c r="BL131" s="23">
        <f>+'QTR Raw'!AF58</f>
        <v>963.59400000000005</v>
      </c>
      <c r="BM131" s="23">
        <f>+BL131+BM55</f>
        <v>1013.2050000000002</v>
      </c>
      <c r="BN131" s="23">
        <f>+'QTR Raw'!AH58</f>
        <v>1064.92</v>
      </c>
      <c r="BO131" s="23">
        <f>+BN131+BO55</f>
        <v>1081.3400000000001</v>
      </c>
      <c r="BP131" s="23">
        <f>+'QTR Raw'!AJ58</f>
        <v>1043.45</v>
      </c>
      <c r="BQ131" s="23">
        <f>+BP131+BQ55</f>
        <v>1065.0800000000002</v>
      </c>
      <c r="BR131" s="23">
        <f>+'QTR Raw'!AL58</f>
        <v>645.84</v>
      </c>
      <c r="BS131" s="23">
        <f>+BR131+BS55</f>
        <v>569.72000000000014</v>
      </c>
      <c r="BT131" s="23">
        <f>+'QTR Raw'!AN58</f>
        <v>426.19</v>
      </c>
      <c r="BU131" s="23">
        <f>+BT131+BU55</f>
        <v>3.779999999999859</v>
      </c>
      <c r="BV131" s="23">
        <f>+'QTR Raw'!AP58</f>
        <v>897.79</v>
      </c>
      <c r="BW131" s="23">
        <f>+BV131+BW55</f>
        <v>543.88000000000011</v>
      </c>
      <c r="BX131" s="23">
        <f>+'QTR Raw'!AR58</f>
        <v>331.06</v>
      </c>
      <c r="BY131" s="23">
        <f>+BX131+BY55</f>
        <v>229.82000000000002</v>
      </c>
      <c r="BZ131" s="23">
        <f>+'QTR Raw'!AT58</f>
        <v>-244.05</v>
      </c>
      <c r="CA131" s="23">
        <f>+BZ131+CA55</f>
        <v>-339.51999999999992</v>
      </c>
      <c r="CB131" s="23">
        <f>+'QTR Raw'!AV58</f>
        <v>-418.68</v>
      </c>
      <c r="CC131" s="23">
        <f>+CB131+CC55</f>
        <v>-482.35</v>
      </c>
      <c r="CD131" s="23">
        <f>+'QTR Raw'!AX58</f>
        <v>945.85</v>
      </c>
      <c r="CE131" s="23">
        <f>+CD131+CE55</f>
        <v>950.04</v>
      </c>
      <c r="CF131" s="23">
        <f>+'QTR Raw'!AZ58</f>
        <v>942.45</v>
      </c>
      <c r="CG131" s="23">
        <f>+CF131+CG55</f>
        <v>957.28000000000009</v>
      </c>
      <c r="CH131" s="23">
        <f t="shared" si="1107"/>
        <v>980.95</v>
      </c>
      <c r="CI131" s="23">
        <f>CH131+CI55</f>
        <v>1012.9200000000001</v>
      </c>
      <c r="CJ131" s="23">
        <f>+'QTR Raw'!BD58</f>
        <v>446.79</v>
      </c>
      <c r="CK131" s="23">
        <f t="shared" ref="CK131:DB131" si="1109">CJ131+CK55</f>
        <v>444.02000000000015</v>
      </c>
      <c r="CL131" s="23">
        <f>+'QTR Raw'!BF58</f>
        <v>626.4</v>
      </c>
      <c r="CM131" s="24">
        <f t="shared" si="1109"/>
        <v>710.6851936147217</v>
      </c>
      <c r="CN131" s="24">
        <f t="shared" si="1109"/>
        <v>793.53494169924011</v>
      </c>
      <c r="CO131" s="24">
        <f t="shared" si="1109"/>
        <v>892.59108506555935</v>
      </c>
      <c r="CP131" s="24">
        <f t="shared" si="1109"/>
        <v>1009.9856585813704</v>
      </c>
      <c r="CQ131" s="24">
        <f t="shared" si="1109"/>
        <v>1125.505173011853</v>
      </c>
      <c r="CR131" s="24">
        <f t="shared" si="1109"/>
        <v>1231.8512714212093</v>
      </c>
      <c r="CS131" s="24">
        <f t="shared" si="1109"/>
        <v>1344.6993531624471</v>
      </c>
      <c r="CT131" s="24">
        <f t="shared" si="1109"/>
        <v>1469.6204128016655</v>
      </c>
      <c r="CU131" s="24">
        <f t="shared" si="1109"/>
        <v>1604.1813591992532</v>
      </c>
      <c r="CV131" s="24">
        <f t="shared" si="1109"/>
        <v>1723.9913748306615</v>
      </c>
      <c r="CW131" s="24">
        <f t="shared" si="1109"/>
        <v>1848.5227155074501</v>
      </c>
      <c r="CX131" s="24">
        <f t="shared" si="1109"/>
        <v>1986.3467623592121</v>
      </c>
      <c r="CY131" s="24">
        <f t="shared" si="1109"/>
        <v>2137.1790618252139</v>
      </c>
      <c r="CZ131" s="24">
        <f t="shared" si="1109"/>
        <v>2269.8881527216654</v>
      </c>
      <c r="DA131" s="24">
        <f t="shared" si="1109"/>
        <v>2407.7110378507537</v>
      </c>
      <c r="DB131" s="24">
        <f t="shared" si="1109"/>
        <v>2561.122333560128</v>
      </c>
      <c r="DE131" s="123"/>
      <c r="DF131" s="23">
        <v>531.29688458685075</v>
      </c>
    </row>
    <row r="132" spans="1:110" s="22" customFormat="1" x14ac:dyDescent="0.2">
      <c r="A132" s="22" t="s">
        <v>44</v>
      </c>
      <c r="B132" s="22">
        <f>B129+B130+B131</f>
        <v>0</v>
      </c>
      <c r="C132" s="22">
        <f t="shared" ref="C132:V132" si="1110">C129+C130+C131</f>
        <v>0</v>
      </c>
      <c r="D132" s="22">
        <f t="shared" si="1110"/>
        <v>0</v>
      </c>
      <c r="E132" s="22">
        <f t="shared" si="1110"/>
        <v>0</v>
      </c>
      <c r="F132" s="22">
        <f t="shared" si="1110"/>
        <v>0</v>
      </c>
      <c r="G132" s="22">
        <f t="shared" si="1110"/>
        <v>0</v>
      </c>
      <c r="H132" s="22">
        <f t="shared" si="1110"/>
        <v>0</v>
      </c>
      <c r="I132" s="22">
        <f t="shared" si="1110"/>
        <v>0</v>
      </c>
      <c r="J132" s="22">
        <f t="shared" si="1110"/>
        <v>0</v>
      </c>
      <c r="K132" s="22">
        <f t="shared" si="1110"/>
        <v>0</v>
      </c>
      <c r="L132" s="22">
        <f t="shared" si="1110"/>
        <v>0</v>
      </c>
      <c r="M132" s="22">
        <f>M129+M130+M131</f>
        <v>0</v>
      </c>
      <c r="N132" s="22">
        <f t="shared" si="1110"/>
        <v>0</v>
      </c>
      <c r="O132" s="22">
        <f t="shared" si="1110"/>
        <v>0</v>
      </c>
      <c r="P132" s="22">
        <f t="shared" si="1110"/>
        <v>0</v>
      </c>
      <c r="Q132" s="22">
        <f t="shared" si="1110"/>
        <v>0</v>
      </c>
      <c r="R132" s="22">
        <f t="shared" si="1110"/>
        <v>0</v>
      </c>
      <c r="S132" s="22">
        <f t="shared" si="1110"/>
        <v>196.59100000000001</v>
      </c>
      <c r="T132" s="22">
        <f t="shared" si="1110"/>
        <v>841.00600000000009</v>
      </c>
      <c r="U132" s="22">
        <f t="shared" si="1110"/>
        <v>1080.96</v>
      </c>
      <c r="V132" s="22">
        <f t="shared" si="1110"/>
        <v>661.88</v>
      </c>
      <c r="W132" s="22">
        <f t="shared" ref="W132" si="1111">W129+W130+W131</f>
        <v>916.76</v>
      </c>
      <c r="X132" s="22">
        <f t="shared" ref="X132:Y132" si="1112">X129+X130+X131</f>
        <v>-225.07999999999998</v>
      </c>
      <c r="Y132" s="22">
        <f t="shared" si="1112"/>
        <v>969.17</v>
      </c>
      <c r="Z132" s="22">
        <f t="shared" ref="Z132:AA132" si="1113">Z129+Z130+Z131</f>
        <v>1007.0600000000001</v>
      </c>
      <c r="AA132" s="22">
        <f t="shared" si="1113"/>
        <v>649.75</v>
      </c>
      <c r="AB132" s="21">
        <f t="shared" ref="AA132:AD132" si="1114">AB129+AB130+AB131</f>
        <v>1033.3356585813704</v>
      </c>
      <c r="AC132" s="21">
        <f t="shared" si="1114"/>
        <v>1492.9704128016654</v>
      </c>
      <c r="AD132" s="21">
        <f t="shared" si="1114"/>
        <v>2009.696762359212</v>
      </c>
      <c r="AE132" s="21">
        <f t="shared" ref="AE132" si="1115">AE129+AE130+AE131</f>
        <v>2584.4723335601279</v>
      </c>
      <c r="AJ132" s="22">
        <f t="shared" ref="AJ132" si="1116">AJ129+AJ130+AJ131</f>
        <v>0</v>
      </c>
      <c r="AK132" s="22">
        <f t="shared" ref="AK132" si="1117">AK129+AK130+AK131</f>
        <v>0</v>
      </c>
      <c r="AL132" s="22">
        <f t="shared" ref="AL132:AM132" si="1118">AL129+AL130+AL131</f>
        <v>0</v>
      </c>
      <c r="AM132" s="22">
        <f t="shared" si="1118"/>
        <v>0</v>
      </c>
      <c r="AN132" s="22">
        <f t="shared" ref="AN132:AO132" si="1119">AN129+AN130+AN131</f>
        <v>0</v>
      </c>
      <c r="AO132" s="22">
        <f t="shared" si="1119"/>
        <v>0</v>
      </c>
      <c r="AP132" s="22">
        <f t="shared" ref="AP132:CE132" si="1120">AP129+AP130+AP131</f>
        <v>0</v>
      </c>
      <c r="AQ132" s="22">
        <f t="shared" si="1120"/>
        <v>0</v>
      </c>
      <c r="AR132" s="22">
        <f t="shared" si="1120"/>
        <v>0</v>
      </c>
      <c r="AS132" s="22">
        <f t="shared" si="1120"/>
        <v>0</v>
      </c>
      <c r="AT132" s="22">
        <f t="shared" si="1120"/>
        <v>0</v>
      </c>
      <c r="AU132" s="22">
        <f t="shared" si="1120"/>
        <v>0</v>
      </c>
      <c r="AV132" s="22">
        <f t="shared" si="1120"/>
        <v>0</v>
      </c>
      <c r="AW132" s="22">
        <f t="shared" si="1120"/>
        <v>0</v>
      </c>
      <c r="AX132" s="22">
        <f t="shared" si="1120"/>
        <v>0</v>
      </c>
      <c r="AY132" s="22">
        <f t="shared" si="1120"/>
        <v>0</v>
      </c>
      <c r="AZ132" s="22">
        <f t="shared" si="1120"/>
        <v>0</v>
      </c>
      <c r="BA132" s="22">
        <f t="shared" si="1120"/>
        <v>0</v>
      </c>
      <c r="BB132" s="22">
        <f t="shared" si="1120"/>
        <v>0</v>
      </c>
      <c r="BC132" s="22">
        <f t="shared" si="1120"/>
        <v>0</v>
      </c>
      <c r="BD132" s="22">
        <f t="shared" si="1120"/>
        <v>0</v>
      </c>
      <c r="BE132" s="22">
        <f t="shared" si="1120"/>
        <v>0</v>
      </c>
      <c r="BF132" s="22">
        <f t="shared" si="1120"/>
        <v>0</v>
      </c>
      <c r="BG132" s="22">
        <f t="shared" si="1120"/>
        <v>0</v>
      </c>
      <c r="BH132" s="22">
        <f t="shared" si="1120"/>
        <v>0</v>
      </c>
      <c r="BI132" s="22">
        <f t="shared" si="1120"/>
        <v>189.82199999999992</v>
      </c>
      <c r="BJ132" s="22">
        <f t="shared" si="1120"/>
        <v>841.00600000000009</v>
      </c>
      <c r="BK132" s="22">
        <f t="shared" si="1120"/>
        <v>889.14599999999996</v>
      </c>
      <c r="BL132" s="22">
        <f t="shared" si="1120"/>
        <v>979.63000000000011</v>
      </c>
      <c r="BM132" s="22">
        <f t="shared" si="1120"/>
        <v>1029.2410000000002</v>
      </c>
      <c r="BN132" s="22">
        <f t="shared" si="1120"/>
        <v>1080.96</v>
      </c>
      <c r="BO132" s="22">
        <f t="shared" si="1120"/>
        <v>1097.3800000000001</v>
      </c>
      <c r="BP132" s="22">
        <f t="shared" si="1120"/>
        <v>1059.49</v>
      </c>
      <c r="BQ132" s="22">
        <f t="shared" si="1120"/>
        <v>1081.1200000000001</v>
      </c>
      <c r="BR132" s="22">
        <f t="shared" si="1120"/>
        <v>661.88</v>
      </c>
      <c r="BS132" s="22">
        <f t="shared" si="1120"/>
        <v>585.7600000000001</v>
      </c>
      <c r="BT132" s="22">
        <f t="shared" si="1120"/>
        <v>442.23</v>
      </c>
      <c r="BU132" s="22">
        <f t="shared" si="1120"/>
        <v>19.819999999999858</v>
      </c>
      <c r="BV132" s="22">
        <f t="shared" si="1120"/>
        <v>916.76</v>
      </c>
      <c r="BW132" s="22">
        <f t="shared" si="1120"/>
        <v>562.85000000000014</v>
      </c>
      <c r="BX132" s="22">
        <f t="shared" si="1120"/>
        <v>350.03</v>
      </c>
      <c r="BY132" s="22">
        <f t="shared" si="1120"/>
        <v>248.79000000000002</v>
      </c>
      <c r="BZ132" s="22">
        <f t="shared" si="1120"/>
        <v>-225.08</v>
      </c>
      <c r="CA132" s="22">
        <f t="shared" si="1120"/>
        <v>-320.54999999999995</v>
      </c>
      <c r="CB132" s="22">
        <f t="shared" si="1120"/>
        <v>-399.71000000000004</v>
      </c>
      <c r="CC132" s="22">
        <f t="shared" si="1120"/>
        <v>-463.38</v>
      </c>
      <c r="CD132" s="22">
        <f t="shared" si="1120"/>
        <v>969.17000000000007</v>
      </c>
      <c r="CE132" s="22">
        <f t="shared" si="1120"/>
        <v>973.36</v>
      </c>
      <c r="CF132" s="22">
        <f t="shared" ref="CF132:CG132" si="1121">CF129+CF130+CF131</f>
        <v>965.79000000000008</v>
      </c>
      <c r="CG132" s="22">
        <f t="shared" si="1121"/>
        <v>980.62000000000012</v>
      </c>
      <c r="CH132" s="22">
        <f t="shared" ref="CH132:CI132" si="1122">CH129+CH130+CH131</f>
        <v>1007.0600000000001</v>
      </c>
      <c r="CI132" s="22">
        <f t="shared" si="1122"/>
        <v>1039.03</v>
      </c>
      <c r="CJ132" s="22">
        <f t="shared" ref="CJ132:DB132" si="1123">CJ129+CJ130+CJ131</f>
        <v>470.14000000000004</v>
      </c>
      <c r="CK132" s="22">
        <f t="shared" si="1123"/>
        <v>467.37000000000018</v>
      </c>
      <c r="CL132" s="22">
        <f t="shared" ref="CL132" si="1124">CL129+CL130+CL131</f>
        <v>649.75</v>
      </c>
      <c r="CM132" s="21">
        <f t="shared" si="1123"/>
        <v>734.03519361472172</v>
      </c>
      <c r="CN132" s="21">
        <f t="shared" si="1123"/>
        <v>816.88494169924013</v>
      </c>
      <c r="CO132" s="21">
        <f t="shared" si="1123"/>
        <v>915.94108506555938</v>
      </c>
      <c r="CP132" s="21">
        <f t="shared" si="1123"/>
        <v>1033.3356585813704</v>
      </c>
      <c r="CQ132" s="21">
        <f t="shared" si="1123"/>
        <v>1148.8551730118529</v>
      </c>
      <c r="CR132" s="21">
        <f t="shared" si="1123"/>
        <v>1255.2012714212092</v>
      </c>
      <c r="CS132" s="21">
        <f t="shared" si="1123"/>
        <v>1368.049353162447</v>
      </c>
      <c r="CT132" s="21">
        <f t="shared" si="1123"/>
        <v>1492.9704128016654</v>
      </c>
      <c r="CU132" s="21">
        <f t="shared" si="1123"/>
        <v>1627.5313591992531</v>
      </c>
      <c r="CV132" s="21">
        <f t="shared" si="1123"/>
        <v>1747.3413748306614</v>
      </c>
      <c r="CW132" s="21">
        <f t="shared" si="1123"/>
        <v>1871.87271550745</v>
      </c>
      <c r="CX132" s="21">
        <f t="shared" si="1123"/>
        <v>2009.696762359212</v>
      </c>
      <c r="CY132" s="21">
        <f t="shared" si="1123"/>
        <v>2160.5290618252138</v>
      </c>
      <c r="CZ132" s="21">
        <f t="shared" si="1123"/>
        <v>2293.2381527216653</v>
      </c>
      <c r="DA132" s="21">
        <f t="shared" si="1123"/>
        <v>2431.0610378507536</v>
      </c>
      <c r="DB132" s="21">
        <f t="shared" si="1123"/>
        <v>2584.4723335601279</v>
      </c>
      <c r="DE132" s="126"/>
      <c r="DF132" s="22">
        <v>554.64688458685077</v>
      </c>
    </row>
    <row r="133" spans="1:110" s="22" customFormat="1" x14ac:dyDescent="0.2">
      <c r="AB133" s="21"/>
      <c r="AC133" s="21"/>
      <c r="AD133" s="21"/>
      <c r="AE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E133" s="126"/>
    </row>
    <row r="134" spans="1:110" s="23" customFormat="1" x14ac:dyDescent="0.2">
      <c r="A134" s="23" t="s">
        <v>23</v>
      </c>
      <c r="B134" s="23">
        <f>'Annual Raw'!C45</f>
        <v>0</v>
      </c>
      <c r="C134" s="23">
        <f>'Annual Raw'!D45</f>
        <v>0</v>
      </c>
      <c r="D134" s="23">
        <f>'Annual Raw'!E45</f>
        <v>0</v>
      </c>
      <c r="E134" s="23">
        <f>'Annual Raw'!F45</f>
        <v>0</v>
      </c>
      <c r="F134" s="23">
        <f>'Annual Raw'!G45</f>
        <v>0</v>
      </c>
      <c r="G134" s="23">
        <f>'Annual Raw'!H45</f>
        <v>0</v>
      </c>
      <c r="H134" s="23">
        <f>'Annual Raw'!I45</f>
        <v>0</v>
      </c>
      <c r="I134" s="23">
        <f>'Annual Raw'!J45</f>
        <v>0</v>
      </c>
      <c r="J134" s="23">
        <f>'Annual Raw'!K45</f>
        <v>0</v>
      </c>
      <c r="K134" s="23">
        <f>'Annual Raw'!L45</f>
        <v>0</v>
      </c>
      <c r="L134" s="23">
        <f>'Annual Raw'!M45</f>
        <v>0</v>
      </c>
      <c r="M134" s="23">
        <f>'Annual Raw'!N45</f>
        <v>0</v>
      </c>
      <c r="N134" s="23">
        <f>'Annual Raw'!O45</f>
        <v>0</v>
      </c>
      <c r="O134" s="23">
        <f>'Annual Raw'!P45</f>
        <v>0</v>
      </c>
      <c r="P134" s="23">
        <f>'Annual Raw'!Q45</f>
        <v>0</v>
      </c>
      <c r="Q134" s="23">
        <f>'Annual Raw'!R45</f>
        <v>0</v>
      </c>
      <c r="R134" s="23">
        <f>'Annual Raw'!S45</f>
        <v>0</v>
      </c>
      <c r="S134" s="23">
        <f>'Annual Raw'!T45</f>
        <v>-2.7149999999999999</v>
      </c>
      <c r="T134" s="23">
        <f>'Annual Raw'!U45</f>
        <v>-3.4849999999999999</v>
      </c>
      <c r="U134" s="23">
        <f>'Annual Raw'!V45</f>
        <v>-8.36</v>
      </c>
      <c r="V134" s="23">
        <f>'Annual Raw'!W45</f>
        <v>-4.0999999999999996</v>
      </c>
      <c r="W134" s="23">
        <f>'Annual Raw'!X45</f>
        <v>-10.93</v>
      </c>
      <c r="X134" s="23">
        <f>'Annual Raw'!Y45</f>
        <v>-15.22</v>
      </c>
      <c r="Y134" s="23">
        <f>'Annual Raw'!Z45</f>
        <v>-14.16</v>
      </c>
      <c r="Z134" s="23">
        <f>'Annual Raw'!AA45</f>
        <v>-12.54</v>
      </c>
      <c r="AA134" s="23">
        <f>'Annual Raw'!AB45</f>
        <v>1.48</v>
      </c>
      <c r="AB134" s="24">
        <f>+CP134</f>
        <v>1.48</v>
      </c>
      <c r="AC134" s="24">
        <f>+CT134</f>
        <v>1.48</v>
      </c>
      <c r="AD134" s="24">
        <f>+CX134</f>
        <v>1.48</v>
      </c>
      <c r="AE134" s="24">
        <f>+DB134</f>
        <v>1.48</v>
      </c>
      <c r="AJ134" s="23">
        <f>+'QTR Raw'!D60</f>
        <v>0</v>
      </c>
      <c r="AK134" s="23">
        <f t="shared" ref="AK134:CE134" si="1125">+AJ134</f>
        <v>0</v>
      </c>
      <c r="AL134" s="23">
        <f>+'QTR Raw'!F60</f>
        <v>0</v>
      </c>
      <c r="AM134" s="23">
        <f t="shared" si="1125"/>
        <v>0</v>
      </c>
      <c r="AN134" s="23">
        <f>+'QTR Raw'!H60</f>
        <v>0</v>
      </c>
      <c r="AO134" s="23">
        <f t="shared" si="1125"/>
        <v>0</v>
      </c>
      <c r="AP134" s="23">
        <f>+'QTR Raw'!J60</f>
        <v>0</v>
      </c>
      <c r="AQ134" s="23">
        <f t="shared" si="1125"/>
        <v>0</v>
      </c>
      <c r="AR134" s="23">
        <f>+'QTR Raw'!L60</f>
        <v>0</v>
      </c>
      <c r="AS134" s="23">
        <f t="shared" si="1125"/>
        <v>0</v>
      </c>
      <c r="AT134" s="23">
        <f>+'QTR Raw'!N60</f>
        <v>0</v>
      </c>
      <c r="AU134" s="23">
        <f t="shared" si="1125"/>
        <v>0</v>
      </c>
      <c r="AV134" s="23">
        <f>+'QTR Raw'!P60</f>
        <v>0</v>
      </c>
      <c r="AW134" s="23">
        <f t="shared" si="1125"/>
        <v>0</v>
      </c>
      <c r="AX134" s="23">
        <f>+'QTR Raw'!R60</f>
        <v>0</v>
      </c>
      <c r="AY134" s="23">
        <f t="shared" si="1125"/>
        <v>0</v>
      </c>
      <c r="AZ134" s="23">
        <f>+'QTR Raw'!T60</f>
        <v>0</v>
      </c>
      <c r="BA134" s="23">
        <f t="shared" si="1125"/>
        <v>0</v>
      </c>
      <c r="BB134" s="23">
        <f>+'QTR Raw'!V60</f>
        <v>0</v>
      </c>
      <c r="BC134" s="23">
        <f t="shared" si="1125"/>
        <v>0</v>
      </c>
      <c r="BD134" s="23">
        <f>+'QTR Raw'!X60</f>
        <v>0</v>
      </c>
      <c r="BE134" s="23">
        <f t="shared" si="1125"/>
        <v>0</v>
      </c>
      <c r="BF134" s="23">
        <f>+'QTR Raw'!Z60</f>
        <v>0</v>
      </c>
      <c r="BG134" s="23">
        <f t="shared" si="1125"/>
        <v>0</v>
      </c>
      <c r="BH134" s="22">
        <f>+'QTR Raw'!AB60</f>
        <v>0</v>
      </c>
      <c r="BI134" s="23">
        <f t="shared" si="1125"/>
        <v>0</v>
      </c>
      <c r="BJ134" s="23">
        <f>+'QTR Raw'!AD60</f>
        <v>-3.4849999999999999</v>
      </c>
      <c r="BK134" s="23">
        <f t="shared" si="1125"/>
        <v>-3.4849999999999999</v>
      </c>
      <c r="BL134" s="23">
        <f>+'QTR Raw'!AF60</f>
        <v>-5.1820000000000004</v>
      </c>
      <c r="BM134" s="23">
        <f t="shared" si="1125"/>
        <v>-5.1820000000000004</v>
      </c>
      <c r="BN134" s="23">
        <f>+'QTR Raw'!AH60</f>
        <v>-8.36</v>
      </c>
      <c r="BO134" s="23">
        <f t="shared" si="1125"/>
        <v>-8.36</v>
      </c>
      <c r="BP134" s="23">
        <f>+'QTR Raw'!AJ60</f>
        <v>-17.45</v>
      </c>
      <c r="BQ134" s="23">
        <f t="shared" si="1125"/>
        <v>-17.45</v>
      </c>
      <c r="BR134" s="23">
        <f>+'QTR Raw'!AL60</f>
        <v>-4.0999999999999996</v>
      </c>
      <c r="BS134" s="23">
        <f t="shared" si="1125"/>
        <v>-4.0999999999999996</v>
      </c>
      <c r="BT134" s="23">
        <f>+'QTR Raw'!AN60</f>
        <v>-4.08</v>
      </c>
      <c r="BU134" s="23">
        <f t="shared" si="1125"/>
        <v>-4.08</v>
      </c>
      <c r="BV134" s="23">
        <f>+'QTR Raw'!AP60</f>
        <v>-10.93</v>
      </c>
      <c r="BW134" s="23">
        <f t="shared" si="1125"/>
        <v>-10.93</v>
      </c>
      <c r="BX134" s="23">
        <f>+'QTR Raw'!AR60</f>
        <v>-12.5</v>
      </c>
      <c r="BY134" s="23">
        <f t="shared" si="1125"/>
        <v>-12.5</v>
      </c>
      <c r="BZ134" s="23">
        <f>+'QTR Raw'!AT60</f>
        <v>-15.22</v>
      </c>
      <c r="CA134" s="23">
        <f t="shared" si="1125"/>
        <v>-15.22</v>
      </c>
      <c r="CB134" s="23">
        <f>+'QTR Raw'!AV60</f>
        <v>-15.26</v>
      </c>
      <c r="CC134" s="23">
        <f t="shared" si="1125"/>
        <v>-15.26</v>
      </c>
      <c r="CD134" s="23">
        <f>+'QTR Raw'!AX60</f>
        <v>-14.16</v>
      </c>
      <c r="CE134" s="23">
        <f t="shared" si="1125"/>
        <v>-14.16</v>
      </c>
      <c r="CF134" s="23">
        <f>+'QTR Raw'!AZ60</f>
        <v>-13.34</v>
      </c>
      <c r="CG134" s="23">
        <f t="shared" ref="CG134:CI134" si="1126">+CF134</f>
        <v>-13.34</v>
      </c>
      <c r="CH134" s="23">
        <f t="shared" ref="CH134:CH139" si="1127">Z134</f>
        <v>-12.54</v>
      </c>
      <c r="CI134" s="23">
        <f t="shared" si="1126"/>
        <v>-12.54</v>
      </c>
      <c r="CJ134" s="23">
        <f>+'QTR Raw'!BD60</f>
        <v>-10.24</v>
      </c>
      <c r="CK134" s="23">
        <f t="shared" ref="CK134" si="1128">+CJ134</f>
        <v>-10.24</v>
      </c>
      <c r="CL134" s="23">
        <f>+'QTR Raw'!BF60</f>
        <v>1.48</v>
      </c>
      <c r="CM134" s="24">
        <f t="shared" ref="CM134" si="1129">+CL134</f>
        <v>1.48</v>
      </c>
      <c r="CN134" s="24">
        <f t="shared" ref="CN134" si="1130">+CM134</f>
        <v>1.48</v>
      </c>
      <c r="CO134" s="24">
        <f t="shared" ref="CO134" si="1131">+CN134</f>
        <v>1.48</v>
      </c>
      <c r="CP134" s="24">
        <f t="shared" ref="CP134" si="1132">+CO134</f>
        <v>1.48</v>
      </c>
      <c r="CQ134" s="24">
        <f t="shared" ref="CQ134" si="1133">+CP134</f>
        <v>1.48</v>
      </c>
      <c r="CR134" s="24">
        <f t="shared" ref="CR134" si="1134">+CQ134</f>
        <v>1.48</v>
      </c>
      <c r="CS134" s="24">
        <f t="shared" ref="CS134" si="1135">+CR134</f>
        <v>1.48</v>
      </c>
      <c r="CT134" s="24">
        <f t="shared" ref="CT134" si="1136">+CS134</f>
        <v>1.48</v>
      </c>
      <c r="CU134" s="24">
        <f t="shared" ref="CU134" si="1137">+CT134</f>
        <v>1.48</v>
      </c>
      <c r="CV134" s="24">
        <f t="shared" ref="CV134" si="1138">+CU134</f>
        <v>1.48</v>
      </c>
      <c r="CW134" s="24">
        <f t="shared" ref="CW134" si="1139">+CV134</f>
        <v>1.48</v>
      </c>
      <c r="CX134" s="24">
        <f t="shared" ref="CX134" si="1140">+CW134</f>
        <v>1.48</v>
      </c>
      <c r="CY134" s="24">
        <f t="shared" ref="CY134" si="1141">+CX134</f>
        <v>1.48</v>
      </c>
      <c r="CZ134" s="24">
        <f t="shared" ref="CZ134" si="1142">+CY134</f>
        <v>1.48</v>
      </c>
      <c r="DA134" s="24">
        <f t="shared" ref="DA134" si="1143">+CZ134</f>
        <v>1.48</v>
      </c>
      <c r="DB134" s="24">
        <f t="shared" ref="DB134" si="1144">+DA134</f>
        <v>1.48</v>
      </c>
      <c r="DE134" s="123"/>
      <c r="DF134" s="23">
        <v>-10.24</v>
      </c>
    </row>
    <row r="135" spans="1:110" s="23" customFormat="1" x14ac:dyDescent="0.2">
      <c r="AB135" s="24"/>
      <c r="AC135" s="24"/>
      <c r="AD135" s="24"/>
      <c r="AE135" s="24"/>
      <c r="BH135" s="22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E135" s="123"/>
    </row>
    <row r="136" spans="1:110" s="23" customFormat="1" outlineLevel="1" x14ac:dyDescent="0.2">
      <c r="A136" s="23" t="s">
        <v>45</v>
      </c>
      <c r="B136" s="23">
        <f>'Annual Raw'!C47</f>
        <v>0</v>
      </c>
      <c r="C136" s="23">
        <f>'Annual Raw'!D47</f>
        <v>0</v>
      </c>
      <c r="D136" s="23">
        <f>'Annual Raw'!E47</f>
        <v>0</v>
      </c>
      <c r="E136" s="23">
        <f>'Annual Raw'!F47</f>
        <v>0</v>
      </c>
      <c r="F136" s="23">
        <f>'Annual Raw'!G47</f>
        <v>0</v>
      </c>
      <c r="G136" s="23">
        <f>'Annual Raw'!H47</f>
        <v>0</v>
      </c>
      <c r="H136" s="23">
        <f>'Annual Raw'!I47</f>
        <v>0</v>
      </c>
      <c r="I136" s="23">
        <f>'Annual Raw'!J47</f>
        <v>0</v>
      </c>
      <c r="J136" s="23">
        <f>'Annual Raw'!K47</f>
        <v>0</v>
      </c>
      <c r="K136" s="23">
        <f>'Annual Raw'!L47</f>
        <v>0</v>
      </c>
      <c r="L136" s="23">
        <f>'Annual Raw'!M47</f>
        <v>0</v>
      </c>
      <c r="M136" s="23">
        <f>'Annual Raw'!N47</f>
        <v>0</v>
      </c>
      <c r="N136" s="23">
        <f>'Annual Raw'!O47</f>
        <v>0</v>
      </c>
      <c r="O136" s="23">
        <f>'Annual Raw'!P47</f>
        <v>0</v>
      </c>
      <c r="P136" s="23">
        <f>'Annual Raw'!Q47</f>
        <v>0</v>
      </c>
      <c r="Q136" s="23">
        <f>'Annual Raw'!R47</f>
        <v>0</v>
      </c>
      <c r="R136" s="23">
        <f>'Annual Raw'!S47</f>
        <v>0</v>
      </c>
      <c r="S136" s="23">
        <f>'Annual Raw'!T47</f>
        <v>0</v>
      </c>
      <c r="T136" s="23">
        <f>'Annual Raw'!U47</f>
        <v>0</v>
      </c>
      <c r="U136" s="23">
        <f>'Annual Raw'!V47</f>
        <v>0</v>
      </c>
      <c r="V136" s="23">
        <f>'Annual Raw'!W47</f>
        <v>0</v>
      </c>
      <c r="W136" s="23">
        <f>'Annual Raw'!X47</f>
        <v>0</v>
      </c>
      <c r="X136" s="23">
        <f>'Annual Raw'!Y47</f>
        <v>700</v>
      </c>
      <c r="Y136" s="23">
        <f>'Annual Raw'!Z47</f>
        <v>246.21</v>
      </c>
      <c r="Z136" s="23">
        <f>'Annual Raw'!AA47</f>
        <v>523.79</v>
      </c>
      <c r="AA136" s="23">
        <f>'Annual Raw'!AB47</f>
        <v>497.42</v>
      </c>
      <c r="AB136" s="24">
        <f t="shared" ref="AB136:AB139" si="1145">+CP136</f>
        <v>0</v>
      </c>
      <c r="AC136" s="24">
        <f t="shared" ref="AC136:AC139" si="1146">+CT136</f>
        <v>0</v>
      </c>
      <c r="AD136" s="24">
        <f t="shared" ref="AD136:AD139" si="1147">+CX136</f>
        <v>0</v>
      </c>
      <c r="AE136" s="24">
        <f t="shared" ref="AE136:AE139" si="1148">+DB136</f>
        <v>0</v>
      </c>
      <c r="AJ136" s="23">
        <f>+'QTR Raw'!D62</f>
        <v>0</v>
      </c>
      <c r="AK136" s="23">
        <f t="shared" ref="AK136:CC139" si="1149">+AJ136</f>
        <v>0</v>
      </c>
      <c r="AL136" s="23">
        <f>+'QTR Raw'!F62</f>
        <v>0</v>
      </c>
      <c r="AM136" s="23">
        <f t="shared" si="1149"/>
        <v>0</v>
      </c>
      <c r="AN136" s="23">
        <f>+'QTR Raw'!H62</f>
        <v>0</v>
      </c>
      <c r="AO136" s="23">
        <f t="shared" si="1149"/>
        <v>0</v>
      </c>
      <c r="AP136" s="23">
        <f>+'QTR Raw'!J62</f>
        <v>0</v>
      </c>
      <c r="AQ136" s="23">
        <f t="shared" si="1149"/>
        <v>0</v>
      </c>
      <c r="AR136" s="23">
        <f>+'QTR Raw'!L62</f>
        <v>0</v>
      </c>
      <c r="AS136" s="23">
        <f t="shared" si="1149"/>
        <v>0</v>
      </c>
      <c r="AT136" s="23">
        <f>+'QTR Raw'!N62</f>
        <v>0</v>
      </c>
      <c r="AU136" s="23">
        <f t="shared" si="1149"/>
        <v>0</v>
      </c>
      <c r="AV136" s="23">
        <f>+'QTR Raw'!P62</f>
        <v>0</v>
      </c>
      <c r="AW136" s="23">
        <f t="shared" si="1149"/>
        <v>0</v>
      </c>
      <c r="AX136" s="23">
        <f>+'QTR Raw'!R62</f>
        <v>0</v>
      </c>
      <c r="AY136" s="23">
        <f t="shared" si="1149"/>
        <v>0</v>
      </c>
      <c r="AZ136" s="23">
        <f>+'QTR Raw'!T62</f>
        <v>0</v>
      </c>
      <c r="BA136" s="23">
        <f t="shared" si="1149"/>
        <v>0</v>
      </c>
      <c r="BB136" s="23">
        <f>+'QTR Raw'!V62</f>
        <v>0</v>
      </c>
      <c r="BC136" s="23">
        <f t="shared" si="1149"/>
        <v>0</v>
      </c>
      <c r="BD136" s="23">
        <f>+'QTR Raw'!X62</f>
        <v>0</v>
      </c>
      <c r="BE136" s="23">
        <f t="shared" si="1149"/>
        <v>0</v>
      </c>
      <c r="BF136" s="23">
        <f>+'QTR Raw'!Z62</f>
        <v>0</v>
      </c>
      <c r="BG136" s="23">
        <f t="shared" si="1149"/>
        <v>0</v>
      </c>
      <c r="BH136" s="22">
        <f>+'QTR Raw'!AB62</f>
        <v>0</v>
      </c>
      <c r="BI136" s="23">
        <f t="shared" si="1149"/>
        <v>0</v>
      </c>
      <c r="BJ136" s="23">
        <f>+'QTR Raw'!AD62</f>
        <v>0</v>
      </c>
      <c r="BK136" s="23">
        <f t="shared" si="1149"/>
        <v>0</v>
      </c>
      <c r="BL136" s="23">
        <f>+'QTR Raw'!AF62</f>
        <v>0</v>
      </c>
      <c r="BM136" s="23">
        <f t="shared" si="1149"/>
        <v>0</v>
      </c>
      <c r="BN136" s="23">
        <f>+'QTR Raw'!AH62</f>
        <v>0</v>
      </c>
      <c r="BO136" s="23">
        <f t="shared" si="1149"/>
        <v>0</v>
      </c>
      <c r="BP136" s="23">
        <f>+'QTR Raw'!AJ62</f>
        <v>0</v>
      </c>
      <c r="BQ136" s="23">
        <f t="shared" si="1149"/>
        <v>0</v>
      </c>
      <c r="BR136" s="23">
        <f>+'QTR Raw'!AL62</f>
        <v>0</v>
      </c>
      <c r="BS136" s="23">
        <f t="shared" si="1149"/>
        <v>0</v>
      </c>
      <c r="BT136" s="23">
        <f>+'QTR Raw'!AN62</f>
        <v>0</v>
      </c>
      <c r="BU136" s="23">
        <f t="shared" si="1149"/>
        <v>0</v>
      </c>
      <c r="BV136" s="23">
        <f>+'QTR Raw'!AP62</f>
        <v>0</v>
      </c>
      <c r="BW136" s="23">
        <f t="shared" si="1149"/>
        <v>0</v>
      </c>
      <c r="BX136" s="23">
        <f>+'QTR Raw'!AR62</f>
        <v>0</v>
      </c>
      <c r="BY136" s="23">
        <f t="shared" si="1149"/>
        <v>0</v>
      </c>
      <c r="BZ136" s="23">
        <f>+'QTR Raw'!AT62</f>
        <v>0</v>
      </c>
      <c r="CA136" s="23">
        <f t="shared" si="1149"/>
        <v>0</v>
      </c>
      <c r="CB136" s="23">
        <f>+'QTR Raw'!AV62</f>
        <v>0</v>
      </c>
      <c r="CC136" s="23">
        <f t="shared" si="1149"/>
        <v>0</v>
      </c>
      <c r="CD136" s="23">
        <f>+'QTR Raw'!AX62</f>
        <v>0</v>
      </c>
      <c r="CE136" s="23">
        <f t="shared" ref="CE136:CE139" si="1150">+CD136</f>
        <v>0</v>
      </c>
      <c r="CF136" s="23">
        <f>+'QTR Raw'!AZ62</f>
        <v>0</v>
      </c>
      <c r="CG136" s="23">
        <f t="shared" ref="CG136:CI139" si="1151">+CF136</f>
        <v>0</v>
      </c>
      <c r="CH136" s="23">
        <f t="shared" si="1127"/>
        <v>523.79</v>
      </c>
      <c r="CI136" s="23">
        <f t="shared" si="1151"/>
        <v>523.79</v>
      </c>
      <c r="CJ136" s="23">
        <f>+'QTR Raw'!BD62</f>
        <v>0</v>
      </c>
      <c r="CK136" s="23">
        <f t="shared" ref="CK136:CK139" si="1152">+CJ136</f>
        <v>0</v>
      </c>
      <c r="CL136" s="23">
        <f>+'QTR Raw'!BF62</f>
        <v>0</v>
      </c>
      <c r="CM136" s="24">
        <f t="shared" ref="CM136:CM139" si="1153">+CL136</f>
        <v>0</v>
      </c>
      <c r="CN136" s="24">
        <f t="shared" ref="CN136:CN139" si="1154">+CM136</f>
        <v>0</v>
      </c>
      <c r="CO136" s="24">
        <f t="shared" ref="CO136:CO139" si="1155">+CN136</f>
        <v>0</v>
      </c>
      <c r="CP136" s="24">
        <f t="shared" ref="CP136:CP139" si="1156">+CO136</f>
        <v>0</v>
      </c>
      <c r="CQ136" s="24">
        <f t="shared" ref="CQ136:CQ139" si="1157">+CP136</f>
        <v>0</v>
      </c>
      <c r="CR136" s="24">
        <f t="shared" ref="CR136:CR139" si="1158">+CQ136</f>
        <v>0</v>
      </c>
      <c r="CS136" s="24">
        <f t="shared" ref="CS136:CS139" si="1159">+CR136</f>
        <v>0</v>
      </c>
      <c r="CT136" s="24">
        <f t="shared" ref="CT136:CT139" si="1160">+CS136</f>
        <v>0</v>
      </c>
      <c r="CU136" s="24">
        <f t="shared" ref="CU136:CU139" si="1161">+CT136</f>
        <v>0</v>
      </c>
      <c r="CV136" s="24">
        <f t="shared" ref="CV136:CV139" si="1162">+CU136</f>
        <v>0</v>
      </c>
      <c r="CW136" s="24">
        <f t="shared" ref="CW136:CW139" si="1163">+CV136</f>
        <v>0</v>
      </c>
      <c r="CX136" s="24">
        <f t="shared" ref="CX136:CX139" si="1164">+CW136</f>
        <v>0</v>
      </c>
      <c r="CY136" s="24">
        <f t="shared" ref="CY136:CY139" si="1165">+CX136</f>
        <v>0</v>
      </c>
      <c r="CZ136" s="24">
        <f t="shared" ref="CZ136:CZ139" si="1166">+CY136</f>
        <v>0</v>
      </c>
      <c r="DA136" s="24">
        <f t="shared" ref="DA136:DA139" si="1167">+CZ136</f>
        <v>0</v>
      </c>
      <c r="DB136" s="24">
        <f t="shared" ref="DB136:DB139" si="1168">+DA136</f>
        <v>0</v>
      </c>
      <c r="DE136" s="123"/>
      <c r="DF136" s="23">
        <v>0</v>
      </c>
    </row>
    <row r="137" spans="1:110" s="23" customFormat="1" outlineLevel="1" x14ac:dyDescent="0.2">
      <c r="A137" s="23" t="s">
        <v>46</v>
      </c>
      <c r="B137" s="23">
        <f>'Annual Raw'!C48</f>
        <v>0</v>
      </c>
      <c r="C137" s="23">
        <f>'Annual Raw'!D48</f>
        <v>0</v>
      </c>
      <c r="D137" s="23">
        <f>'Annual Raw'!E48</f>
        <v>0</v>
      </c>
      <c r="E137" s="23">
        <f>'Annual Raw'!F48</f>
        <v>0</v>
      </c>
      <c r="F137" s="23">
        <f>'Annual Raw'!G48</f>
        <v>0</v>
      </c>
      <c r="G137" s="23">
        <f>'Annual Raw'!H48</f>
        <v>0</v>
      </c>
      <c r="H137" s="23">
        <f>'Annual Raw'!I48</f>
        <v>0</v>
      </c>
      <c r="I137" s="23">
        <f>'Annual Raw'!J48</f>
        <v>0</v>
      </c>
      <c r="J137" s="23">
        <f>'Annual Raw'!K48</f>
        <v>0</v>
      </c>
      <c r="K137" s="23">
        <f>'Annual Raw'!L48</f>
        <v>0</v>
      </c>
      <c r="L137" s="23">
        <f>'Annual Raw'!M48</f>
        <v>0</v>
      </c>
      <c r="M137" s="23">
        <f>'Annual Raw'!N48</f>
        <v>0</v>
      </c>
      <c r="N137" s="23">
        <f>'Annual Raw'!O48</f>
        <v>0</v>
      </c>
      <c r="O137" s="23">
        <f>'Annual Raw'!P48</f>
        <v>0</v>
      </c>
      <c r="P137" s="23">
        <f>'Annual Raw'!Q48</f>
        <v>0</v>
      </c>
      <c r="Q137" s="23">
        <f>'Annual Raw'!R48</f>
        <v>0</v>
      </c>
      <c r="R137" s="23">
        <f>'Annual Raw'!S48</f>
        <v>0</v>
      </c>
      <c r="S137" s="23">
        <f>'Annual Raw'!T48</f>
        <v>2E-3</v>
      </c>
      <c r="T137" s="23">
        <f>'Annual Raw'!U48</f>
        <v>2E-3</v>
      </c>
      <c r="U137" s="23">
        <f>'Annual Raw'!V48</f>
        <v>0</v>
      </c>
      <c r="V137" s="23">
        <f>'Annual Raw'!W48</f>
        <v>0</v>
      </c>
      <c r="W137" s="23">
        <f>'Annual Raw'!X48</f>
        <v>0</v>
      </c>
      <c r="X137" s="23">
        <f>'Annual Raw'!Y48</f>
        <v>0</v>
      </c>
      <c r="Y137" s="23">
        <f>'Annual Raw'!Z48</f>
        <v>0</v>
      </c>
      <c r="Z137" s="23">
        <f>'Annual Raw'!AA48</f>
        <v>0</v>
      </c>
      <c r="AA137" s="23">
        <f>'Annual Raw'!AB48</f>
        <v>0</v>
      </c>
      <c r="AB137" s="24">
        <f t="shared" si="1145"/>
        <v>497.42</v>
      </c>
      <c r="AC137" s="24">
        <f t="shared" si="1146"/>
        <v>497.42</v>
      </c>
      <c r="AD137" s="24">
        <f t="shared" si="1147"/>
        <v>497.42</v>
      </c>
      <c r="AE137" s="24">
        <f t="shared" si="1148"/>
        <v>497.42</v>
      </c>
      <c r="AJ137" s="23">
        <f>+'QTR Raw'!D63</f>
        <v>0</v>
      </c>
      <c r="AK137" s="23">
        <f t="shared" si="1149"/>
        <v>0</v>
      </c>
      <c r="AL137" s="23">
        <f>+'QTR Raw'!F63</f>
        <v>0</v>
      </c>
      <c r="AM137" s="23">
        <f t="shared" si="1149"/>
        <v>0</v>
      </c>
      <c r="AN137" s="23">
        <f>+'QTR Raw'!H63</f>
        <v>0</v>
      </c>
      <c r="AO137" s="23">
        <f t="shared" si="1149"/>
        <v>0</v>
      </c>
      <c r="AP137" s="23">
        <f>+'QTR Raw'!J63</f>
        <v>0</v>
      </c>
      <c r="AQ137" s="23">
        <f t="shared" si="1149"/>
        <v>0</v>
      </c>
      <c r="AR137" s="23">
        <f>+'QTR Raw'!L63</f>
        <v>0</v>
      </c>
      <c r="AS137" s="23">
        <f t="shared" si="1149"/>
        <v>0</v>
      </c>
      <c r="AT137" s="23">
        <f>+'QTR Raw'!N63</f>
        <v>0</v>
      </c>
      <c r="AU137" s="23">
        <f t="shared" si="1149"/>
        <v>0</v>
      </c>
      <c r="AV137" s="23">
        <f>+'QTR Raw'!P63</f>
        <v>0</v>
      </c>
      <c r="AW137" s="23">
        <f t="shared" si="1149"/>
        <v>0</v>
      </c>
      <c r="AX137" s="23">
        <f>+'QTR Raw'!R63</f>
        <v>0</v>
      </c>
      <c r="AY137" s="23">
        <f t="shared" si="1149"/>
        <v>0</v>
      </c>
      <c r="AZ137" s="23">
        <f>+'QTR Raw'!T63</f>
        <v>0</v>
      </c>
      <c r="BA137" s="23">
        <f t="shared" si="1149"/>
        <v>0</v>
      </c>
      <c r="BB137" s="23">
        <f>+'QTR Raw'!V63</f>
        <v>0</v>
      </c>
      <c r="BC137" s="23">
        <f t="shared" si="1149"/>
        <v>0</v>
      </c>
      <c r="BD137" s="23">
        <f>+'QTR Raw'!X63</f>
        <v>0</v>
      </c>
      <c r="BE137" s="23">
        <f t="shared" si="1149"/>
        <v>0</v>
      </c>
      <c r="BF137" s="23">
        <f>+'QTR Raw'!Z63</f>
        <v>0</v>
      </c>
      <c r="BG137" s="23">
        <f t="shared" si="1149"/>
        <v>0</v>
      </c>
      <c r="BH137" s="23">
        <f>+'QTR Raw'!AB63</f>
        <v>0</v>
      </c>
      <c r="BI137" s="23">
        <f t="shared" si="1149"/>
        <v>0</v>
      </c>
      <c r="BJ137" s="23">
        <f>+'QTR Raw'!AD63</f>
        <v>2E-3</v>
      </c>
      <c r="BK137" s="23">
        <f t="shared" si="1149"/>
        <v>2E-3</v>
      </c>
      <c r="BL137" s="23">
        <f>+'QTR Raw'!AF63</f>
        <v>0.88600000000000001</v>
      </c>
      <c r="BM137" s="23">
        <f t="shared" si="1149"/>
        <v>0.88600000000000001</v>
      </c>
      <c r="BN137" s="23">
        <f>+'QTR Raw'!AH63</f>
        <v>0</v>
      </c>
      <c r="BO137" s="23">
        <f t="shared" si="1149"/>
        <v>0</v>
      </c>
      <c r="BP137" s="23">
        <f>+'QTR Raw'!AJ63</f>
        <v>0</v>
      </c>
      <c r="BQ137" s="23">
        <f t="shared" si="1149"/>
        <v>0</v>
      </c>
      <c r="BR137" s="23">
        <f>+'QTR Raw'!AL63</f>
        <v>0</v>
      </c>
      <c r="BS137" s="23">
        <f t="shared" si="1149"/>
        <v>0</v>
      </c>
      <c r="BT137" s="23">
        <f>+'QTR Raw'!AN63</f>
        <v>0</v>
      </c>
      <c r="BU137" s="23">
        <f t="shared" si="1149"/>
        <v>0</v>
      </c>
      <c r="BV137" s="23">
        <f>+'QTR Raw'!AP63</f>
        <v>0</v>
      </c>
      <c r="BW137" s="23">
        <f t="shared" si="1149"/>
        <v>0</v>
      </c>
      <c r="BX137" s="23">
        <f>+'QTR Raw'!AR63</f>
        <v>435</v>
      </c>
      <c r="BY137" s="23">
        <f t="shared" si="1149"/>
        <v>435</v>
      </c>
      <c r="BZ137" s="23">
        <f>+'QTR Raw'!AT63</f>
        <v>700</v>
      </c>
      <c r="CA137" s="23">
        <f t="shared" si="1149"/>
        <v>700</v>
      </c>
      <c r="CB137" s="23">
        <f>+'QTR Raw'!AV63</f>
        <v>0</v>
      </c>
      <c r="CC137" s="23">
        <f t="shared" si="1149"/>
        <v>0</v>
      </c>
      <c r="CD137" s="23">
        <f>+'QTR Raw'!AX63</f>
        <v>246.21</v>
      </c>
      <c r="CE137" s="23">
        <f t="shared" si="1150"/>
        <v>246.21</v>
      </c>
      <c r="CF137" s="23">
        <f>+'QTR Raw'!AZ63</f>
        <v>498.79</v>
      </c>
      <c r="CG137" s="23">
        <f t="shared" si="1151"/>
        <v>498.79</v>
      </c>
      <c r="CH137" s="23">
        <f t="shared" si="1127"/>
        <v>0</v>
      </c>
      <c r="CI137" s="23">
        <f t="shared" si="1151"/>
        <v>0</v>
      </c>
      <c r="CJ137" s="23">
        <f>+'QTR Raw'!BD63</f>
        <v>700.79</v>
      </c>
      <c r="CK137" s="23">
        <f t="shared" si="1152"/>
        <v>700.79</v>
      </c>
      <c r="CL137" s="23">
        <f>+'QTR Raw'!BF63</f>
        <v>497.42</v>
      </c>
      <c r="CM137" s="24">
        <f t="shared" si="1153"/>
        <v>497.42</v>
      </c>
      <c r="CN137" s="24">
        <f t="shared" si="1154"/>
        <v>497.42</v>
      </c>
      <c r="CO137" s="24">
        <f t="shared" si="1155"/>
        <v>497.42</v>
      </c>
      <c r="CP137" s="24">
        <f t="shared" si="1156"/>
        <v>497.42</v>
      </c>
      <c r="CQ137" s="24">
        <f t="shared" si="1157"/>
        <v>497.42</v>
      </c>
      <c r="CR137" s="24">
        <f t="shared" si="1158"/>
        <v>497.42</v>
      </c>
      <c r="CS137" s="24">
        <f t="shared" si="1159"/>
        <v>497.42</v>
      </c>
      <c r="CT137" s="24">
        <f t="shared" si="1160"/>
        <v>497.42</v>
      </c>
      <c r="CU137" s="24">
        <f t="shared" si="1161"/>
        <v>497.42</v>
      </c>
      <c r="CV137" s="24">
        <f t="shared" si="1162"/>
        <v>497.42</v>
      </c>
      <c r="CW137" s="24">
        <f t="shared" si="1163"/>
        <v>497.42</v>
      </c>
      <c r="CX137" s="24">
        <f t="shared" si="1164"/>
        <v>497.42</v>
      </c>
      <c r="CY137" s="24">
        <f t="shared" si="1165"/>
        <v>497.42</v>
      </c>
      <c r="CZ137" s="24">
        <f t="shared" si="1166"/>
        <v>497.42</v>
      </c>
      <c r="DA137" s="24">
        <f t="shared" si="1167"/>
        <v>497.42</v>
      </c>
      <c r="DB137" s="24">
        <f t="shared" si="1168"/>
        <v>497.42</v>
      </c>
      <c r="DE137" s="123"/>
      <c r="DF137" s="23">
        <v>700.79</v>
      </c>
    </row>
    <row r="138" spans="1:110" s="23" customFormat="1" outlineLevel="1" x14ac:dyDescent="0.2">
      <c r="A138" s="23" t="s">
        <v>47</v>
      </c>
      <c r="B138" s="23">
        <f>'Annual Raw'!C87+'Annual Raw'!C88+'Annual Raw'!C89+'Annual Raw'!C90</f>
        <v>0</v>
      </c>
      <c r="C138" s="23">
        <f>'Annual Raw'!D87+'Annual Raw'!D88+'Annual Raw'!D89+'Annual Raw'!D90</f>
        <v>0</v>
      </c>
      <c r="D138" s="23">
        <f>'Annual Raw'!E87+'Annual Raw'!E88+'Annual Raw'!E89+'Annual Raw'!E90</f>
        <v>0</v>
      </c>
      <c r="E138" s="23">
        <f>'Annual Raw'!F87+'Annual Raw'!F88+'Annual Raw'!F89+'Annual Raw'!F90</f>
        <v>0</v>
      </c>
      <c r="F138" s="23">
        <f>'Annual Raw'!G87+'Annual Raw'!G88+'Annual Raw'!G89+'Annual Raw'!G90</f>
        <v>0</v>
      </c>
      <c r="G138" s="23">
        <f>'Annual Raw'!H87+'Annual Raw'!H88+'Annual Raw'!H89+'Annual Raw'!H90</f>
        <v>0</v>
      </c>
      <c r="H138" s="23">
        <f>'Annual Raw'!I87+'Annual Raw'!I88+'Annual Raw'!I89+'Annual Raw'!I90</f>
        <v>0</v>
      </c>
      <c r="I138" s="23">
        <f>'Annual Raw'!J87+'Annual Raw'!J88+'Annual Raw'!J89+'Annual Raw'!J90</f>
        <v>0</v>
      </c>
      <c r="J138" s="23">
        <f>'Annual Raw'!K87+'Annual Raw'!K88+'Annual Raw'!K89+'Annual Raw'!K90</f>
        <v>0</v>
      </c>
      <c r="K138" s="23">
        <f>'Annual Raw'!L87+'Annual Raw'!L88+'Annual Raw'!L89+'Annual Raw'!L90</f>
        <v>0</v>
      </c>
      <c r="L138" s="23">
        <f>'Annual Raw'!M87+'Annual Raw'!M88+'Annual Raw'!M89+'Annual Raw'!M90</f>
        <v>0</v>
      </c>
      <c r="M138" s="23">
        <f>'Annual Raw'!N87+'Annual Raw'!N88+'Annual Raw'!N89+'Annual Raw'!N90</f>
        <v>0</v>
      </c>
      <c r="N138" s="23">
        <f>'Annual Raw'!O87+'Annual Raw'!O88+'Annual Raw'!O89+'Annual Raw'!O90</f>
        <v>0</v>
      </c>
      <c r="O138" s="23">
        <f>'Annual Raw'!P87+'Annual Raw'!P88+'Annual Raw'!P89+'Annual Raw'!P90</f>
        <v>0</v>
      </c>
      <c r="P138" s="23">
        <f>'Annual Raw'!Q87+'Annual Raw'!Q88+'Annual Raw'!Q89+'Annual Raw'!Q90</f>
        <v>0</v>
      </c>
      <c r="Q138" s="23">
        <f>'Annual Raw'!R87+'Annual Raw'!R88+'Annual Raw'!R89+'Annual Raw'!R90</f>
        <v>0</v>
      </c>
      <c r="R138" s="23">
        <f>'Annual Raw'!S87+'Annual Raw'!S88+'Annual Raw'!S89+'Annual Raw'!S90</f>
        <v>0</v>
      </c>
      <c r="S138" s="23">
        <f>'Annual Raw'!T87+'Annual Raw'!T88+'Annual Raw'!T89+'Annual Raw'!T90</f>
        <v>0</v>
      </c>
      <c r="T138" s="23">
        <f>'Annual Raw'!U87+'Annual Raw'!U88+'Annual Raw'!U89+'Annual Raw'!U90</f>
        <v>0</v>
      </c>
      <c r="U138" s="23">
        <f>'Annual Raw'!V87+'Annual Raw'!V88+'Annual Raw'!V89+'Annual Raw'!V90</f>
        <v>0</v>
      </c>
      <c r="V138" s="23">
        <f>'Annual Raw'!W87+'Annual Raw'!W88+'Annual Raw'!W89+'Annual Raw'!W90</f>
        <v>0</v>
      </c>
      <c r="W138" s="23">
        <f>'Annual Raw'!X87+'Annual Raw'!X88+'Annual Raw'!X89+'Annual Raw'!X90</f>
        <v>0</v>
      </c>
      <c r="X138" s="23">
        <f>'Annual Raw'!Y87+'Annual Raw'!Y88+'Annual Raw'!Y89+'Annual Raw'!Y90</f>
        <v>200</v>
      </c>
      <c r="Y138" s="23">
        <f>'Annual Raw'!Z87+'Annual Raw'!Z88+'Annual Raw'!Z89+'Annual Raw'!Z90</f>
        <v>156.83000000000001</v>
      </c>
      <c r="Z138" s="23">
        <f>'Annual Raw'!AA87+'Annual Raw'!AA88+'Annual Raw'!AA89+'Annual Raw'!AA90</f>
        <v>347.99</v>
      </c>
      <c r="AA138" s="23">
        <f>'Annual Raw'!AB87+'Annual Raw'!AB88+'Annual Raw'!AB89+'Annual Raw'!AB90</f>
        <v>618.98</v>
      </c>
      <c r="AB138" s="24">
        <f t="shared" si="1145"/>
        <v>0</v>
      </c>
      <c r="AC138" s="24">
        <f t="shared" si="1146"/>
        <v>0</v>
      </c>
      <c r="AD138" s="24">
        <f t="shared" si="1147"/>
        <v>0</v>
      </c>
      <c r="AE138" s="24">
        <f t="shared" si="1148"/>
        <v>0</v>
      </c>
      <c r="AJ138" s="23">
        <f>+'QTR Raw'!D90</f>
        <v>0</v>
      </c>
      <c r="AK138" s="23">
        <f t="shared" si="1149"/>
        <v>0</v>
      </c>
      <c r="AL138" s="23">
        <f>+'QTR Raw'!F90</f>
        <v>0</v>
      </c>
      <c r="AM138" s="23">
        <f t="shared" si="1149"/>
        <v>0</v>
      </c>
      <c r="AN138" s="23">
        <f>+'QTR Raw'!H90</f>
        <v>0</v>
      </c>
      <c r="AO138" s="23">
        <f t="shared" si="1149"/>
        <v>0</v>
      </c>
      <c r="AP138" s="23">
        <f>+'QTR Raw'!J90</f>
        <v>0</v>
      </c>
      <c r="AQ138" s="23">
        <f t="shared" si="1149"/>
        <v>0</v>
      </c>
      <c r="AR138" s="23">
        <f>+'QTR Raw'!L90</f>
        <v>0</v>
      </c>
      <c r="AS138" s="23">
        <f t="shared" si="1149"/>
        <v>0</v>
      </c>
      <c r="AT138" s="23">
        <f>+'QTR Raw'!N90</f>
        <v>0</v>
      </c>
      <c r="AU138" s="23">
        <f t="shared" si="1149"/>
        <v>0</v>
      </c>
      <c r="AV138" s="23">
        <f>+'QTR Raw'!P90</f>
        <v>0</v>
      </c>
      <c r="AW138" s="23">
        <f t="shared" si="1149"/>
        <v>0</v>
      </c>
      <c r="AX138" s="23">
        <f>+'QTR Raw'!R90</f>
        <v>0</v>
      </c>
      <c r="AY138" s="23">
        <f t="shared" si="1149"/>
        <v>0</v>
      </c>
      <c r="AZ138" s="23">
        <f>+'QTR Raw'!T90</f>
        <v>0</v>
      </c>
      <c r="BA138" s="23">
        <f t="shared" si="1149"/>
        <v>0</v>
      </c>
      <c r="BB138" s="23">
        <f>+'QTR Raw'!V90</f>
        <v>0</v>
      </c>
      <c r="BC138" s="23">
        <f t="shared" si="1149"/>
        <v>0</v>
      </c>
      <c r="BD138" s="23">
        <f>+'QTR Raw'!X90</f>
        <v>0</v>
      </c>
      <c r="BE138" s="23">
        <f t="shared" si="1149"/>
        <v>0</v>
      </c>
      <c r="BF138" s="23">
        <f>+'QTR Raw'!Z90</f>
        <v>0</v>
      </c>
      <c r="BG138" s="23">
        <f t="shared" si="1149"/>
        <v>0</v>
      </c>
      <c r="BH138" s="22">
        <f>+'QTR Raw'!AB90</f>
        <v>0</v>
      </c>
      <c r="BI138" s="23">
        <f t="shared" si="1149"/>
        <v>0</v>
      </c>
      <c r="BJ138" s="23">
        <f>+'QTR Raw'!AD90</f>
        <v>0</v>
      </c>
      <c r="BK138" s="23">
        <f t="shared" si="1149"/>
        <v>0</v>
      </c>
      <c r="BL138" s="23">
        <f>+'QTR Raw'!AF90</f>
        <v>0</v>
      </c>
      <c r="BM138" s="23">
        <f t="shared" si="1149"/>
        <v>0</v>
      </c>
      <c r="BN138" s="23">
        <f>+'QTR Raw'!AH90</f>
        <v>0</v>
      </c>
      <c r="BO138" s="23">
        <f t="shared" si="1149"/>
        <v>0</v>
      </c>
      <c r="BP138" s="23">
        <f>+'QTR Raw'!AJ90</f>
        <v>0</v>
      </c>
      <c r="BQ138" s="23">
        <f t="shared" si="1149"/>
        <v>0</v>
      </c>
      <c r="BR138" s="23">
        <f>+'QTR Raw'!AL90</f>
        <v>0</v>
      </c>
      <c r="BS138" s="23">
        <f t="shared" si="1149"/>
        <v>0</v>
      </c>
      <c r="BT138" s="23">
        <f>+'QTR Raw'!AN90</f>
        <v>0</v>
      </c>
      <c r="BU138" s="23">
        <f t="shared" si="1149"/>
        <v>0</v>
      </c>
      <c r="BV138" s="23">
        <f>+'QTR Raw'!AP90</f>
        <v>0</v>
      </c>
      <c r="BW138" s="23">
        <f t="shared" si="1149"/>
        <v>0</v>
      </c>
      <c r="BX138" s="23">
        <f>+'QTR Raw'!AR90</f>
        <v>0</v>
      </c>
      <c r="BY138" s="23">
        <f t="shared" si="1149"/>
        <v>0</v>
      </c>
      <c r="BZ138" s="23">
        <f>+'QTR Raw'!AT90</f>
        <v>0</v>
      </c>
      <c r="CA138" s="23">
        <f t="shared" si="1149"/>
        <v>0</v>
      </c>
      <c r="CB138" s="23">
        <f>+'QTR Raw'!AV90</f>
        <v>0</v>
      </c>
      <c r="CC138" s="23">
        <f t="shared" si="1149"/>
        <v>0</v>
      </c>
      <c r="CD138" s="23">
        <f>+'QTR Raw'!AX90</f>
        <v>0</v>
      </c>
      <c r="CE138" s="23">
        <f t="shared" si="1150"/>
        <v>0</v>
      </c>
      <c r="CF138" s="23">
        <f>+'QTR Raw'!AZ90</f>
        <v>0</v>
      </c>
      <c r="CG138" s="23">
        <f t="shared" si="1151"/>
        <v>0</v>
      </c>
      <c r="CH138" s="23">
        <f>+Z138</f>
        <v>347.99</v>
      </c>
      <c r="CI138" s="23">
        <f t="shared" si="1151"/>
        <v>347.99</v>
      </c>
      <c r="CJ138" s="23">
        <f>+'QTR Raw'!BD90</f>
        <v>0</v>
      </c>
      <c r="CK138" s="23">
        <f t="shared" si="1152"/>
        <v>0</v>
      </c>
      <c r="CL138" s="23">
        <f>+'QTR Raw'!BF90</f>
        <v>0</v>
      </c>
      <c r="CM138" s="24">
        <f t="shared" si="1153"/>
        <v>0</v>
      </c>
      <c r="CN138" s="24">
        <f t="shared" si="1154"/>
        <v>0</v>
      </c>
      <c r="CO138" s="24">
        <f t="shared" si="1155"/>
        <v>0</v>
      </c>
      <c r="CP138" s="24">
        <f t="shared" si="1156"/>
        <v>0</v>
      </c>
      <c r="CQ138" s="24">
        <f t="shared" si="1157"/>
        <v>0</v>
      </c>
      <c r="CR138" s="24">
        <f t="shared" si="1158"/>
        <v>0</v>
      </c>
      <c r="CS138" s="24">
        <f t="shared" si="1159"/>
        <v>0</v>
      </c>
      <c r="CT138" s="24">
        <f t="shared" si="1160"/>
        <v>0</v>
      </c>
      <c r="CU138" s="24">
        <f t="shared" si="1161"/>
        <v>0</v>
      </c>
      <c r="CV138" s="24">
        <f t="shared" si="1162"/>
        <v>0</v>
      </c>
      <c r="CW138" s="24">
        <f t="shared" si="1163"/>
        <v>0</v>
      </c>
      <c r="CX138" s="24">
        <f t="shared" si="1164"/>
        <v>0</v>
      </c>
      <c r="CY138" s="24">
        <f t="shared" si="1165"/>
        <v>0</v>
      </c>
      <c r="CZ138" s="24">
        <f t="shared" si="1166"/>
        <v>0</v>
      </c>
      <c r="DA138" s="24">
        <f t="shared" si="1167"/>
        <v>0</v>
      </c>
      <c r="DB138" s="24">
        <f t="shared" si="1168"/>
        <v>0</v>
      </c>
      <c r="DE138" s="123"/>
      <c r="DF138" s="23">
        <v>0</v>
      </c>
    </row>
    <row r="139" spans="1:110" s="23" customFormat="1" outlineLevel="1" x14ac:dyDescent="0.2">
      <c r="A139" s="23" t="s">
        <v>48</v>
      </c>
      <c r="B139" s="23">
        <f>'Annual Raw'!C56</f>
        <v>0</v>
      </c>
      <c r="C139" s="23">
        <f>'Annual Raw'!D56</f>
        <v>0</v>
      </c>
      <c r="D139" s="23">
        <f>'Annual Raw'!E56</f>
        <v>0</v>
      </c>
      <c r="E139" s="23">
        <f>'Annual Raw'!F56</f>
        <v>0</v>
      </c>
      <c r="F139" s="23">
        <f>'Annual Raw'!G56</f>
        <v>0</v>
      </c>
      <c r="G139" s="23">
        <f>'Annual Raw'!H56</f>
        <v>0</v>
      </c>
      <c r="H139" s="23">
        <f>'Annual Raw'!I56</f>
        <v>0</v>
      </c>
      <c r="I139" s="23">
        <f>'Annual Raw'!J56</f>
        <v>0</v>
      </c>
      <c r="J139" s="23">
        <f>'Annual Raw'!K56</f>
        <v>0</v>
      </c>
      <c r="K139" s="23">
        <f>'Annual Raw'!L56</f>
        <v>0</v>
      </c>
      <c r="L139" s="23">
        <f>'Annual Raw'!M56</f>
        <v>0</v>
      </c>
      <c r="M139" s="23">
        <f>'Annual Raw'!N56</f>
        <v>0</v>
      </c>
      <c r="N139" s="23">
        <f>'Annual Raw'!O56</f>
        <v>0</v>
      </c>
      <c r="O139" s="23">
        <f>'Annual Raw'!P56</f>
        <v>0</v>
      </c>
      <c r="P139" s="23">
        <f>'Annual Raw'!Q56</f>
        <v>0</v>
      </c>
      <c r="Q139" s="23">
        <f>'Annual Raw'!R56</f>
        <v>0</v>
      </c>
      <c r="R139" s="23">
        <f>'Annual Raw'!S56</f>
        <v>0</v>
      </c>
      <c r="S139" s="23">
        <f>'Annual Raw'!T56</f>
        <v>184.13499999999999</v>
      </c>
      <c r="T139" s="23">
        <f>'Annual Raw'!U56</f>
        <v>2227.7739999999999</v>
      </c>
      <c r="U139" s="23">
        <f>'Annual Raw'!V56</f>
        <v>1224.04</v>
      </c>
      <c r="V139" s="23">
        <f>'Annual Raw'!W56</f>
        <v>468.35</v>
      </c>
      <c r="W139" s="23">
        <f>'Annual Raw'!X56</f>
        <v>435.06</v>
      </c>
      <c r="X139" s="23">
        <f>'Annual Raw'!Y56</f>
        <v>1114.95</v>
      </c>
      <c r="Y139" s="23">
        <f>'Annual Raw'!Z56</f>
        <v>73.62</v>
      </c>
      <c r="Z139" s="23">
        <f>'Annual Raw'!AA56</f>
        <v>29.69</v>
      </c>
      <c r="AA139" s="23">
        <f>'Annual Raw'!AB56</f>
        <v>47.39</v>
      </c>
      <c r="AB139" s="24">
        <f t="shared" si="1145"/>
        <v>666.37</v>
      </c>
      <c r="AC139" s="24">
        <f t="shared" si="1146"/>
        <v>666.37</v>
      </c>
      <c r="AD139" s="24">
        <f t="shared" si="1147"/>
        <v>666.37</v>
      </c>
      <c r="AE139" s="24">
        <f t="shared" si="1148"/>
        <v>666.37</v>
      </c>
      <c r="AJ139" s="23">
        <f>+'QTR Raw'!D88</f>
        <v>0</v>
      </c>
      <c r="AK139" s="23">
        <f t="shared" si="1149"/>
        <v>0</v>
      </c>
      <c r="AL139" s="23">
        <f>+'QTR Raw'!F88</f>
        <v>0</v>
      </c>
      <c r="AM139" s="23">
        <f t="shared" si="1149"/>
        <v>0</v>
      </c>
      <c r="AN139" s="23">
        <f>+'QTR Raw'!H88</f>
        <v>0</v>
      </c>
      <c r="AO139" s="23">
        <f t="shared" si="1149"/>
        <v>0</v>
      </c>
      <c r="AP139" s="23">
        <f>+'QTR Raw'!J88</f>
        <v>0</v>
      </c>
      <c r="AQ139" s="23">
        <f t="shared" si="1149"/>
        <v>0</v>
      </c>
      <c r="AR139" s="23">
        <f>+'QTR Raw'!L88</f>
        <v>0</v>
      </c>
      <c r="AS139" s="23">
        <f t="shared" si="1149"/>
        <v>0</v>
      </c>
      <c r="AT139" s="23">
        <f>+'QTR Raw'!N88</f>
        <v>0</v>
      </c>
      <c r="AU139" s="23">
        <f t="shared" si="1149"/>
        <v>0</v>
      </c>
      <c r="AV139" s="23">
        <f>+'QTR Raw'!P88</f>
        <v>0</v>
      </c>
      <c r="AW139" s="23">
        <f t="shared" si="1149"/>
        <v>0</v>
      </c>
      <c r="AX139" s="23">
        <f>+'QTR Raw'!R88</f>
        <v>0</v>
      </c>
      <c r="AY139" s="23">
        <f t="shared" si="1149"/>
        <v>0</v>
      </c>
      <c r="AZ139" s="23">
        <f>+'QTR Raw'!T88</f>
        <v>0</v>
      </c>
      <c r="BA139" s="23">
        <f t="shared" si="1149"/>
        <v>0</v>
      </c>
      <c r="BB139" s="23">
        <f>+'QTR Raw'!V88</f>
        <v>0</v>
      </c>
      <c r="BC139" s="23">
        <f t="shared" si="1149"/>
        <v>0</v>
      </c>
      <c r="BD139" s="23">
        <f>+'QTR Raw'!X88</f>
        <v>0</v>
      </c>
      <c r="BE139" s="23">
        <f t="shared" si="1149"/>
        <v>0</v>
      </c>
      <c r="BF139" s="23">
        <f>+'QTR Raw'!Z88</f>
        <v>0</v>
      </c>
      <c r="BG139" s="23">
        <f t="shared" si="1149"/>
        <v>0</v>
      </c>
      <c r="BH139" s="23">
        <f>+'QTR Raw'!AB88</f>
        <v>0</v>
      </c>
      <c r="BI139" s="23">
        <f t="shared" si="1149"/>
        <v>0</v>
      </c>
      <c r="BJ139" s="23">
        <f>+'QTR Raw'!AD88</f>
        <v>2227.7739999999999</v>
      </c>
      <c r="BK139" s="23">
        <f t="shared" si="1149"/>
        <v>2227.7739999999999</v>
      </c>
      <c r="BL139" s="23">
        <f>+'QTR Raw'!AF88</f>
        <v>2259.6289999999999</v>
      </c>
      <c r="BM139" s="23">
        <f t="shared" si="1149"/>
        <v>2259.6289999999999</v>
      </c>
      <c r="BN139" s="23">
        <f>+'QTR Raw'!AH88</f>
        <v>1224.04</v>
      </c>
      <c r="BO139" s="23">
        <f t="shared" si="1149"/>
        <v>1224.04</v>
      </c>
      <c r="BP139" s="23">
        <f>+'QTR Raw'!AJ88</f>
        <v>946.64</v>
      </c>
      <c r="BQ139" s="23">
        <f t="shared" si="1149"/>
        <v>946.64</v>
      </c>
      <c r="BR139" s="23">
        <f>+'QTR Raw'!AL88</f>
        <v>468.35</v>
      </c>
      <c r="BS139" s="23">
        <f t="shared" si="1149"/>
        <v>468.35</v>
      </c>
      <c r="BT139" s="23">
        <f>+'QTR Raw'!AN88</f>
        <v>673.88</v>
      </c>
      <c r="BU139" s="23">
        <f t="shared" si="1149"/>
        <v>673.88</v>
      </c>
      <c r="BV139" s="23">
        <f>+'QTR Raw'!AP88</f>
        <v>435.06</v>
      </c>
      <c r="BW139" s="23">
        <f t="shared" si="1149"/>
        <v>435.06</v>
      </c>
      <c r="BX139" s="23">
        <f>+'QTR Raw'!AR88</f>
        <v>877.79</v>
      </c>
      <c r="BY139" s="23">
        <f t="shared" si="1149"/>
        <v>877.79</v>
      </c>
      <c r="BZ139" s="23">
        <f>+'QTR Raw'!AT88</f>
        <v>1314.95</v>
      </c>
      <c r="CA139" s="23">
        <f t="shared" si="1149"/>
        <v>1314.95</v>
      </c>
      <c r="CB139" s="23">
        <f>+'QTR Raw'!AV88</f>
        <v>2178.0100000000002</v>
      </c>
      <c r="CC139" s="23">
        <f t="shared" si="1149"/>
        <v>2178.0100000000002</v>
      </c>
      <c r="CD139" s="23">
        <f>+'QTR Raw'!AX88</f>
        <v>230.45</v>
      </c>
      <c r="CE139" s="23">
        <f t="shared" si="1150"/>
        <v>230.45</v>
      </c>
      <c r="CF139" s="23">
        <f>+'QTR Raw'!AZ88</f>
        <v>374.01</v>
      </c>
      <c r="CG139" s="23">
        <f t="shared" si="1151"/>
        <v>374.01</v>
      </c>
      <c r="CH139" s="23">
        <f t="shared" si="1127"/>
        <v>29.69</v>
      </c>
      <c r="CI139" s="23">
        <f t="shared" si="1151"/>
        <v>29.69</v>
      </c>
      <c r="CJ139" s="23">
        <f>+'QTR Raw'!BD88</f>
        <v>493.51</v>
      </c>
      <c r="CK139" s="23">
        <f t="shared" si="1152"/>
        <v>493.51</v>
      </c>
      <c r="CL139" s="23">
        <f>+'QTR Raw'!BF88</f>
        <v>666.37</v>
      </c>
      <c r="CM139" s="24">
        <f t="shared" si="1153"/>
        <v>666.37</v>
      </c>
      <c r="CN139" s="24">
        <f t="shared" si="1154"/>
        <v>666.37</v>
      </c>
      <c r="CO139" s="24">
        <f t="shared" si="1155"/>
        <v>666.37</v>
      </c>
      <c r="CP139" s="24">
        <f t="shared" si="1156"/>
        <v>666.37</v>
      </c>
      <c r="CQ139" s="24">
        <f t="shared" si="1157"/>
        <v>666.37</v>
      </c>
      <c r="CR139" s="24">
        <f t="shared" si="1158"/>
        <v>666.37</v>
      </c>
      <c r="CS139" s="24">
        <f t="shared" si="1159"/>
        <v>666.37</v>
      </c>
      <c r="CT139" s="24">
        <f t="shared" si="1160"/>
        <v>666.37</v>
      </c>
      <c r="CU139" s="24">
        <f t="shared" si="1161"/>
        <v>666.37</v>
      </c>
      <c r="CV139" s="24">
        <f t="shared" si="1162"/>
        <v>666.37</v>
      </c>
      <c r="CW139" s="24">
        <f t="shared" si="1163"/>
        <v>666.37</v>
      </c>
      <c r="CX139" s="24">
        <f t="shared" si="1164"/>
        <v>666.37</v>
      </c>
      <c r="CY139" s="24">
        <f t="shared" si="1165"/>
        <v>666.37</v>
      </c>
      <c r="CZ139" s="24">
        <f t="shared" si="1166"/>
        <v>666.37</v>
      </c>
      <c r="DA139" s="24">
        <f t="shared" si="1167"/>
        <v>666.37</v>
      </c>
      <c r="DB139" s="24">
        <f t="shared" si="1168"/>
        <v>666.37</v>
      </c>
      <c r="DE139" s="123"/>
      <c r="DF139" s="23">
        <v>493.51</v>
      </c>
    </row>
    <row r="140" spans="1:110" s="22" customFormat="1" x14ac:dyDescent="0.2">
      <c r="A140" s="22" t="s">
        <v>49</v>
      </c>
      <c r="B140" s="22">
        <f>SUM(B136:B139)</f>
        <v>0</v>
      </c>
      <c r="C140" s="22">
        <f t="shared" ref="C140:V140" si="1169">SUM(C136:C139)</f>
        <v>0</v>
      </c>
      <c r="D140" s="22">
        <f t="shared" si="1169"/>
        <v>0</v>
      </c>
      <c r="E140" s="22">
        <f t="shared" si="1169"/>
        <v>0</v>
      </c>
      <c r="F140" s="22">
        <f t="shared" si="1169"/>
        <v>0</v>
      </c>
      <c r="G140" s="22">
        <f t="shared" si="1169"/>
        <v>0</v>
      </c>
      <c r="H140" s="22">
        <f t="shared" si="1169"/>
        <v>0</v>
      </c>
      <c r="I140" s="22">
        <f t="shared" si="1169"/>
        <v>0</v>
      </c>
      <c r="J140" s="22">
        <f t="shared" si="1169"/>
        <v>0</v>
      </c>
      <c r="K140" s="22">
        <f t="shared" si="1169"/>
        <v>0</v>
      </c>
      <c r="L140" s="22">
        <f t="shared" si="1169"/>
        <v>0</v>
      </c>
      <c r="M140" s="22">
        <f t="shared" si="1169"/>
        <v>0</v>
      </c>
      <c r="N140" s="22">
        <f t="shared" si="1169"/>
        <v>0</v>
      </c>
      <c r="O140" s="22">
        <f t="shared" si="1169"/>
        <v>0</v>
      </c>
      <c r="P140" s="22">
        <f t="shared" si="1169"/>
        <v>0</v>
      </c>
      <c r="Q140" s="22">
        <f t="shared" si="1169"/>
        <v>0</v>
      </c>
      <c r="R140" s="22">
        <f t="shared" si="1169"/>
        <v>0</v>
      </c>
      <c r="S140" s="22">
        <f t="shared" si="1169"/>
        <v>184.137</v>
      </c>
      <c r="T140" s="22">
        <f t="shared" si="1169"/>
        <v>2227.7759999999998</v>
      </c>
      <c r="U140" s="22">
        <f t="shared" si="1169"/>
        <v>1224.04</v>
      </c>
      <c r="V140" s="22">
        <f t="shared" si="1169"/>
        <v>468.35</v>
      </c>
      <c r="W140" s="22">
        <f t="shared" ref="W140" si="1170">SUM(W136:W139)</f>
        <v>435.06</v>
      </c>
      <c r="X140" s="22">
        <f t="shared" ref="X140:Y140" si="1171">SUM(X136:X139)</f>
        <v>2014.95</v>
      </c>
      <c r="Y140" s="22">
        <f t="shared" si="1171"/>
        <v>476.66</v>
      </c>
      <c r="Z140" s="22">
        <f t="shared" ref="Z140:AA140" si="1172">SUM(Z136:Z139)</f>
        <v>901.47</v>
      </c>
      <c r="AA140" s="22">
        <f t="shared" si="1172"/>
        <v>1163.7900000000002</v>
      </c>
      <c r="AB140" s="21">
        <f t="shared" ref="AA140:AD140" si="1173">SUM(AB136:AB139)</f>
        <v>1163.79</v>
      </c>
      <c r="AC140" s="21">
        <f t="shared" si="1173"/>
        <v>1163.79</v>
      </c>
      <c r="AD140" s="21">
        <f t="shared" si="1173"/>
        <v>1163.79</v>
      </c>
      <c r="AE140" s="21">
        <f t="shared" ref="AE140" si="1174">SUM(AE136:AE139)</f>
        <v>1163.79</v>
      </c>
      <c r="AJ140" s="22">
        <f t="shared" ref="AJ140" si="1175">SUM(AJ136:AJ139)</f>
        <v>0</v>
      </c>
      <c r="AK140" s="22">
        <f t="shared" ref="AK140" si="1176">SUM(AK136:AK139)</f>
        <v>0</v>
      </c>
      <c r="AL140" s="22">
        <f t="shared" ref="AL140:AM140" si="1177">SUM(AL136:AL139)</f>
        <v>0</v>
      </c>
      <c r="AM140" s="22">
        <f t="shared" si="1177"/>
        <v>0</v>
      </c>
      <c r="AN140" s="22">
        <f t="shared" ref="AN140:AO140" si="1178">SUM(AN136:AN139)</f>
        <v>0</v>
      </c>
      <c r="AO140" s="22">
        <f t="shared" si="1178"/>
        <v>0</v>
      </c>
      <c r="AP140" s="22">
        <f t="shared" ref="AP140:CE140" si="1179">SUM(AP136:AP139)</f>
        <v>0</v>
      </c>
      <c r="AQ140" s="22">
        <f t="shared" si="1179"/>
        <v>0</v>
      </c>
      <c r="AR140" s="22">
        <f t="shared" si="1179"/>
        <v>0</v>
      </c>
      <c r="AS140" s="22">
        <f t="shared" si="1179"/>
        <v>0</v>
      </c>
      <c r="AT140" s="22">
        <f t="shared" si="1179"/>
        <v>0</v>
      </c>
      <c r="AU140" s="22">
        <f t="shared" si="1179"/>
        <v>0</v>
      </c>
      <c r="AV140" s="22">
        <f t="shared" si="1179"/>
        <v>0</v>
      </c>
      <c r="AW140" s="22">
        <f t="shared" si="1179"/>
        <v>0</v>
      </c>
      <c r="AX140" s="22">
        <f t="shared" si="1179"/>
        <v>0</v>
      </c>
      <c r="AY140" s="22">
        <f t="shared" si="1179"/>
        <v>0</v>
      </c>
      <c r="AZ140" s="22">
        <f t="shared" si="1179"/>
        <v>0</v>
      </c>
      <c r="BA140" s="22">
        <f t="shared" si="1179"/>
        <v>0</v>
      </c>
      <c r="BB140" s="22">
        <f t="shared" si="1179"/>
        <v>0</v>
      </c>
      <c r="BC140" s="22">
        <f t="shared" si="1179"/>
        <v>0</v>
      </c>
      <c r="BD140" s="22">
        <f t="shared" si="1179"/>
        <v>0</v>
      </c>
      <c r="BE140" s="22">
        <f t="shared" si="1179"/>
        <v>0</v>
      </c>
      <c r="BF140" s="22">
        <f t="shared" si="1179"/>
        <v>0</v>
      </c>
      <c r="BG140" s="22">
        <f t="shared" si="1179"/>
        <v>0</v>
      </c>
      <c r="BH140" s="22">
        <f t="shared" ref="BH140" si="1180">SUM(BH136:BH139)</f>
        <v>0</v>
      </c>
      <c r="BI140" s="22">
        <f t="shared" si="1179"/>
        <v>0</v>
      </c>
      <c r="BJ140" s="22">
        <f t="shared" si="1179"/>
        <v>2227.7759999999998</v>
      </c>
      <c r="BK140" s="22">
        <f t="shared" si="1179"/>
        <v>2227.7759999999998</v>
      </c>
      <c r="BL140" s="22">
        <f t="shared" si="1179"/>
        <v>2260.5149999999999</v>
      </c>
      <c r="BM140" s="22">
        <f t="shared" si="1179"/>
        <v>2260.5149999999999</v>
      </c>
      <c r="BN140" s="22">
        <f t="shared" si="1179"/>
        <v>1224.04</v>
      </c>
      <c r="BO140" s="22">
        <f t="shared" si="1179"/>
        <v>1224.04</v>
      </c>
      <c r="BP140" s="22">
        <f t="shared" si="1179"/>
        <v>946.64</v>
      </c>
      <c r="BQ140" s="22">
        <f t="shared" si="1179"/>
        <v>946.64</v>
      </c>
      <c r="BR140" s="22">
        <f t="shared" si="1179"/>
        <v>468.35</v>
      </c>
      <c r="BS140" s="22">
        <f t="shared" si="1179"/>
        <v>468.35</v>
      </c>
      <c r="BT140" s="22">
        <f t="shared" si="1179"/>
        <v>673.88</v>
      </c>
      <c r="BU140" s="22">
        <f t="shared" si="1179"/>
        <v>673.88</v>
      </c>
      <c r="BV140" s="22">
        <f t="shared" si="1179"/>
        <v>435.06</v>
      </c>
      <c r="BW140" s="22">
        <f t="shared" si="1179"/>
        <v>435.06</v>
      </c>
      <c r="BX140" s="22">
        <f t="shared" si="1179"/>
        <v>1312.79</v>
      </c>
      <c r="BY140" s="22">
        <f t="shared" si="1179"/>
        <v>1312.79</v>
      </c>
      <c r="BZ140" s="22">
        <f t="shared" si="1179"/>
        <v>2014.95</v>
      </c>
      <c r="CA140" s="22">
        <f t="shared" si="1179"/>
        <v>2014.95</v>
      </c>
      <c r="CB140" s="22">
        <f t="shared" si="1179"/>
        <v>2178.0100000000002</v>
      </c>
      <c r="CC140" s="22">
        <f t="shared" si="1179"/>
        <v>2178.0100000000002</v>
      </c>
      <c r="CD140" s="22">
        <f t="shared" si="1179"/>
        <v>476.65999999999997</v>
      </c>
      <c r="CE140" s="22">
        <f t="shared" si="1179"/>
        <v>476.65999999999997</v>
      </c>
      <c r="CF140" s="22">
        <f t="shared" ref="CF140:CG140" si="1181">SUM(CF136:CF139)</f>
        <v>872.8</v>
      </c>
      <c r="CG140" s="22">
        <f t="shared" si="1181"/>
        <v>872.8</v>
      </c>
      <c r="CH140" s="22">
        <f t="shared" ref="CH140:CI140" si="1182">SUM(CH136:CH139)</f>
        <v>901.47</v>
      </c>
      <c r="CI140" s="22">
        <f t="shared" si="1182"/>
        <v>901.47</v>
      </c>
      <c r="CJ140" s="22">
        <f t="shared" ref="CJ140:DB140" si="1183">SUM(CJ136:CJ139)</f>
        <v>1194.3</v>
      </c>
      <c r="CK140" s="22">
        <f t="shared" si="1183"/>
        <v>1194.3</v>
      </c>
      <c r="CL140" s="22">
        <f t="shared" ref="CL140" si="1184">SUM(CL136:CL139)</f>
        <v>1163.79</v>
      </c>
      <c r="CM140" s="21">
        <f t="shared" si="1183"/>
        <v>1163.79</v>
      </c>
      <c r="CN140" s="21">
        <f t="shared" si="1183"/>
        <v>1163.79</v>
      </c>
      <c r="CO140" s="21">
        <f t="shared" si="1183"/>
        <v>1163.79</v>
      </c>
      <c r="CP140" s="21">
        <f t="shared" si="1183"/>
        <v>1163.79</v>
      </c>
      <c r="CQ140" s="21">
        <f t="shared" si="1183"/>
        <v>1163.79</v>
      </c>
      <c r="CR140" s="21">
        <f t="shared" si="1183"/>
        <v>1163.79</v>
      </c>
      <c r="CS140" s="21">
        <f t="shared" si="1183"/>
        <v>1163.79</v>
      </c>
      <c r="CT140" s="21">
        <f t="shared" si="1183"/>
        <v>1163.79</v>
      </c>
      <c r="CU140" s="21">
        <f t="shared" si="1183"/>
        <v>1163.79</v>
      </c>
      <c r="CV140" s="21">
        <f t="shared" si="1183"/>
        <v>1163.79</v>
      </c>
      <c r="CW140" s="21">
        <f t="shared" si="1183"/>
        <v>1163.79</v>
      </c>
      <c r="CX140" s="21">
        <f t="shared" si="1183"/>
        <v>1163.79</v>
      </c>
      <c r="CY140" s="21">
        <f t="shared" si="1183"/>
        <v>1163.79</v>
      </c>
      <c r="CZ140" s="21">
        <f t="shared" si="1183"/>
        <v>1163.79</v>
      </c>
      <c r="DA140" s="21">
        <f t="shared" si="1183"/>
        <v>1163.79</v>
      </c>
      <c r="DB140" s="21">
        <f t="shared" si="1183"/>
        <v>1163.79</v>
      </c>
      <c r="DE140" s="126"/>
      <c r="DF140" s="22">
        <v>1194.3</v>
      </c>
    </row>
    <row r="141" spans="1:110" s="26" customFormat="1" x14ac:dyDescent="0.2">
      <c r="A141" s="26" t="s">
        <v>437</v>
      </c>
      <c r="B141" s="26">
        <f>B140+B132+B134</f>
        <v>0</v>
      </c>
      <c r="C141" s="26">
        <f t="shared" ref="C141:V141" si="1185">C140+C132+C134</f>
        <v>0</v>
      </c>
      <c r="D141" s="26">
        <f>D140+D132+D134</f>
        <v>0</v>
      </c>
      <c r="E141" s="26">
        <f t="shared" si="1185"/>
        <v>0</v>
      </c>
      <c r="F141" s="26">
        <f t="shared" si="1185"/>
        <v>0</v>
      </c>
      <c r="G141" s="26">
        <f t="shared" si="1185"/>
        <v>0</v>
      </c>
      <c r="H141" s="26">
        <f t="shared" si="1185"/>
        <v>0</v>
      </c>
      <c r="I141" s="26">
        <f t="shared" si="1185"/>
        <v>0</v>
      </c>
      <c r="J141" s="26">
        <f t="shared" si="1185"/>
        <v>0</v>
      </c>
      <c r="K141" s="26">
        <f t="shared" si="1185"/>
        <v>0</v>
      </c>
      <c r="L141" s="26">
        <f t="shared" si="1185"/>
        <v>0</v>
      </c>
      <c r="M141" s="26">
        <f t="shared" si="1185"/>
        <v>0</v>
      </c>
      <c r="N141" s="26">
        <f t="shared" si="1185"/>
        <v>0</v>
      </c>
      <c r="O141" s="26">
        <f t="shared" si="1185"/>
        <v>0</v>
      </c>
      <c r="P141" s="26">
        <f t="shared" si="1185"/>
        <v>0</v>
      </c>
      <c r="Q141" s="26">
        <f t="shared" si="1185"/>
        <v>0</v>
      </c>
      <c r="R141" s="26">
        <f t="shared" si="1185"/>
        <v>0</v>
      </c>
      <c r="S141" s="26">
        <f t="shared" si="1185"/>
        <v>378.01300000000003</v>
      </c>
      <c r="T141" s="26">
        <f t="shared" si="1185"/>
        <v>3065.297</v>
      </c>
      <c r="U141" s="26">
        <f t="shared" si="1185"/>
        <v>2296.64</v>
      </c>
      <c r="V141" s="26">
        <f t="shared" si="1185"/>
        <v>1126.1300000000001</v>
      </c>
      <c r="W141" s="26">
        <f t="shared" ref="W141" si="1186">W140+W132+W134</f>
        <v>1340.8899999999999</v>
      </c>
      <c r="X141" s="26">
        <f t="shared" ref="X141:Y141" si="1187">X140+X132+X134</f>
        <v>1774.65</v>
      </c>
      <c r="Y141" s="26">
        <f t="shared" si="1187"/>
        <v>1431.6699999999998</v>
      </c>
      <c r="Z141" s="26">
        <f t="shared" ref="Z141:AA141" si="1188">Z140+Z132+Z134</f>
        <v>1895.9900000000002</v>
      </c>
      <c r="AA141" s="26">
        <f t="shared" si="1188"/>
        <v>1815.0200000000002</v>
      </c>
      <c r="AB141" s="27">
        <f t="shared" ref="AA141:AD141" si="1189">AB140+AB132+AB134</f>
        <v>2198.6056585813703</v>
      </c>
      <c r="AC141" s="27">
        <f t="shared" si="1189"/>
        <v>2658.2404128016656</v>
      </c>
      <c r="AD141" s="27">
        <f t="shared" si="1189"/>
        <v>3174.9667623592118</v>
      </c>
      <c r="AE141" s="27">
        <f t="shared" ref="AE141" si="1190">AE140+AE132+AE134</f>
        <v>3749.7423335601279</v>
      </c>
      <c r="AJ141" s="26">
        <f t="shared" ref="AJ141" si="1191">AJ140+AJ132+AJ134</f>
        <v>0</v>
      </c>
      <c r="AK141" s="26">
        <f t="shared" ref="AK141" si="1192">AK140+AK132+AK134</f>
        <v>0</v>
      </c>
      <c r="AL141" s="26">
        <f t="shared" ref="AL141" si="1193">AL140+AL132+AL134</f>
        <v>0</v>
      </c>
      <c r="AM141" s="26">
        <f t="shared" ref="AM141:AO141" si="1194">AM140+AM132+AM134</f>
        <v>0</v>
      </c>
      <c r="AN141" s="26">
        <f t="shared" si="1194"/>
        <v>0</v>
      </c>
      <c r="AO141" s="26">
        <f t="shared" si="1194"/>
        <v>0</v>
      </c>
      <c r="AP141" s="26">
        <f t="shared" ref="AP141:CE141" si="1195">AP140+AP132+AP134</f>
        <v>0</v>
      </c>
      <c r="AQ141" s="26">
        <f t="shared" si="1195"/>
        <v>0</v>
      </c>
      <c r="AR141" s="26">
        <f t="shared" si="1195"/>
        <v>0</v>
      </c>
      <c r="AS141" s="26">
        <f t="shared" si="1195"/>
        <v>0</v>
      </c>
      <c r="AT141" s="26">
        <f t="shared" si="1195"/>
        <v>0</v>
      </c>
      <c r="AU141" s="26">
        <f t="shared" si="1195"/>
        <v>0</v>
      </c>
      <c r="AV141" s="26">
        <f t="shared" si="1195"/>
        <v>0</v>
      </c>
      <c r="AW141" s="26">
        <f t="shared" si="1195"/>
        <v>0</v>
      </c>
      <c r="AX141" s="26">
        <f t="shared" si="1195"/>
        <v>0</v>
      </c>
      <c r="AY141" s="26">
        <f t="shared" si="1195"/>
        <v>0</v>
      </c>
      <c r="AZ141" s="26">
        <f t="shared" si="1195"/>
        <v>0</v>
      </c>
      <c r="BA141" s="26">
        <f t="shared" si="1195"/>
        <v>0</v>
      </c>
      <c r="BB141" s="26">
        <f t="shared" si="1195"/>
        <v>0</v>
      </c>
      <c r="BC141" s="26">
        <f t="shared" si="1195"/>
        <v>0</v>
      </c>
      <c r="BD141" s="26">
        <f t="shared" si="1195"/>
        <v>0</v>
      </c>
      <c r="BE141" s="26">
        <f t="shared" si="1195"/>
        <v>0</v>
      </c>
      <c r="BF141" s="26">
        <f t="shared" si="1195"/>
        <v>0</v>
      </c>
      <c r="BG141" s="26">
        <f t="shared" si="1195"/>
        <v>0</v>
      </c>
      <c r="BH141" s="26">
        <f t="shared" ref="BH141" si="1196">BH140+BH132+BH134</f>
        <v>0</v>
      </c>
      <c r="BI141" s="26">
        <f t="shared" si="1195"/>
        <v>189.82199999999992</v>
      </c>
      <c r="BJ141" s="26">
        <f t="shared" si="1195"/>
        <v>3065.297</v>
      </c>
      <c r="BK141" s="26">
        <f t="shared" si="1195"/>
        <v>3113.4369999999994</v>
      </c>
      <c r="BL141" s="26">
        <f t="shared" si="1195"/>
        <v>3234.9630000000002</v>
      </c>
      <c r="BM141" s="26">
        <f t="shared" si="1195"/>
        <v>3284.5740000000005</v>
      </c>
      <c r="BN141" s="26">
        <f t="shared" si="1195"/>
        <v>2296.64</v>
      </c>
      <c r="BO141" s="26">
        <f t="shared" si="1195"/>
        <v>2313.06</v>
      </c>
      <c r="BP141" s="26">
        <f t="shared" si="1195"/>
        <v>1988.68</v>
      </c>
      <c r="BQ141" s="26">
        <f t="shared" si="1195"/>
        <v>2010.3100000000002</v>
      </c>
      <c r="BR141" s="26">
        <f t="shared" si="1195"/>
        <v>1126.1300000000001</v>
      </c>
      <c r="BS141" s="26">
        <f t="shared" si="1195"/>
        <v>1050.0100000000002</v>
      </c>
      <c r="BT141" s="26">
        <f t="shared" si="1195"/>
        <v>1112.0300000000002</v>
      </c>
      <c r="BU141" s="26">
        <f t="shared" si="1195"/>
        <v>689.61999999999978</v>
      </c>
      <c r="BV141" s="26">
        <f t="shared" si="1195"/>
        <v>1340.8899999999999</v>
      </c>
      <c r="BW141" s="26">
        <f t="shared" si="1195"/>
        <v>986.98000000000013</v>
      </c>
      <c r="BX141" s="26">
        <f t="shared" si="1195"/>
        <v>1650.32</v>
      </c>
      <c r="BY141" s="26">
        <f t="shared" si="1195"/>
        <v>1549.08</v>
      </c>
      <c r="BZ141" s="26">
        <f t="shared" si="1195"/>
        <v>1774.65</v>
      </c>
      <c r="CA141" s="26">
        <f t="shared" si="1195"/>
        <v>1679.18</v>
      </c>
      <c r="CB141" s="26">
        <f t="shared" si="1195"/>
        <v>1763.0400000000002</v>
      </c>
      <c r="CC141" s="26">
        <f t="shared" si="1195"/>
        <v>1699.3700000000001</v>
      </c>
      <c r="CD141" s="26">
        <f t="shared" si="1195"/>
        <v>1431.6699999999998</v>
      </c>
      <c r="CE141" s="26">
        <f t="shared" si="1195"/>
        <v>1435.86</v>
      </c>
      <c r="CF141" s="26">
        <f t="shared" ref="CF141:CG141" si="1197">CF140+CF132+CF134</f>
        <v>1825.2500000000002</v>
      </c>
      <c r="CG141" s="26">
        <f t="shared" si="1197"/>
        <v>1840.0800000000002</v>
      </c>
      <c r="CH141" s="26">
        <f t="shared" ref="CH141:CI141" si="1198">CH140+CH132+CH134</f>
        <v>1895.9900000000002</v>
      </c>
      <c r="CI141" s="26">
        <f t="shared" si="1198"/>
        <v>1927.96</v>
      </c>
      <c r="CJ141" s="26">
        <f t="shared" ref="CJ141:DB141" si="1199">CJ140+CJ132+CJ134</f>
        <v>1654.2</v>
      </c>
      <c r="CK141" s="26">
        <f t="shared" si="1199"/>
        <v>1651.43</v>
      </c>
      <c r="CL141" s="26">
        <f t="shared" ref="CL141" si="1200">CL140+CL132+CL134</f>
        <v>1815.02</v>
      </c>
      <c r="CM141" s="27">
        <f t="shared" si="1199"/>
        <v>1899.3051936147217</v>
      </c>
      <c r="CN141" s="27">
        <f t="shared" si="1199"/>
        <v>1982.1549416992402</v>
      </c>
      <c r="CO141" s="27">
        <f t="shared" si="1199"/>
        <v>2081.2110850655595</v>
      </c>
      <c r="CP141" s="27">
        <f t="shared" si="1199"/>
        <v>2198.6056585813703</v>
      </c>
      <c r="CQ141" s="27">
        <f t="shared" si="1199"/>
        <v>2314.1251730118529</v>
      </c>
      <c r="CR141" s="27">
        <f t="shared" si="1199"/>
        <v>2420.4712714212092</v>
      </c>
      <c r="CS141" s="27">
        <f t="shared" si="1199"/>
        <v>2533.319353162447</v>
      </c>
      <c r="CT141" s="27">
        <f t="shared" si="1199"/>
        <v>2658.2404128016656</v>
      </c>
      <c r="CU141" s="27">
        <f t="shared" si="1199"/>
        <v>2792.8013591992531</v>
      </c>
      <c r="CV141" s="27">
        <f t="shared" si="1199"/>
        <v>2912.6113748306611</v>
      </c>
      <c r="CW141" s="27">
        <f t="shared" si="1199"/>
        <v>3037.1427155074502</v>
      </c>
      <c r="CX141" s="27">
        <f t="shared" si="1199"/>
        <v>3174.9667623592118</v>
      </c>
      <c r="CY141" s="27">
        <f t="shared" si="1199"/>
        <v>3325.7990618252138</v>
      </c>
      <c r="CZ141" s="27">
        <f t="shared" si="1199"/>
        <v>3458.5081527216653</v>
      </c>
      <c r="DA141" s="27">
        <f t="shared" si="1199"/>
        <v>3596.3310378507535</v>
      </c>
      <c r="DB141" s="27">
        <f t="shared" si="1199"/>
        <v>3749.7423335601279</v>
      </c>
      <c r="DE141" s="121"/>
      <c r="DF141" s="26">
        <v>1738.7068845868507</v>
      </c>
    </row>
    <row r="142" spans="1:110" s="23" customFormat="1" x14ac:dyDescent="0.2">
      <c r="AB142" s="24"/>
      <c r="AC142" s="24"/>
      <c r="AD142" s="24"/>
      <c r="AE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50</v>
      </c>
      <c r="B143" s="23">
        <f>'Annual Raw'!C62</f>
        <v>0</v>
      </c>
      <c r="C143" s="23">
        <f>'Annual Raw'!D62</f>
        <v>0</v>
      </c>
      <c r="D143" s="23">
        <f>'Annual Raw'!E62</f>
        <v>0</v>
      </c>
      <c r="E143" s="23">
        <f>'Annual Raw'!F62-E147</f>
        <v>0</v>
      </c>
      <c r="F143" s="23">
        <f>'Annual Raw'!G62-F147</f>
        <v>0</v>
      </c>
      <c r="G143" s="23">
        <f>'Annual Raw'!H62-G147</f>
        <v>0</v>
      </c>
      <c r="H143" s="23">
        <f>'Annual Raw'!I62-H147</f>
        <v>0</v>
      </c>
      <c r="I143" s="23">
        <f>'Annual Raw'!J62-I147</f>
        <v>0</v>
      </c>
      <c r="J143" s="23">
        <f>'Annual Raw'!K62-J147</f>
        <v>0</v>
      </c>
      <c r="K143" s="23">
        <f>'Annual Raw'!L62-K147</f>
        <v>0</v>
      </c>
      <c r="L143" s="23">
        <f>'Annual Raw'!M62-L147</f>
        <v>0</v>
      </c>
      <c r="M143" s="23">
        <f>'Annual Raw'!N62-M147</f>
        <v>0</v>
      </c>
      <c r="N143" s="23">
        <f>'Annual Raw'!O62-N147</f>
        <v>0</v>
      </c>
      <c r="O143" s="23">
        <f>'Annual Raw'!P62-O147</f>
        <v>0</v>
      </c>
      <c r="P143" s="23">
        <f>'Annual Raw'!Q62-P147</f>
        <v>0</v>
      </c>
      <c r="Q143" s="23">
        <f>'Annual Raw'!R62-Q147</f>
        <v>0</v>
      </c>
      <c r="R143" s="23">
        <f>'Annual Raw'!S62-R147</f>
        <v>0</v>
      </c>
      <c r="S143" s="23">
        <f>'Annual Raw'!T62-S147</f>
        <v>26.952000000000002</v>
      </c>
      <c r="T143" s="23">
        <f>'Annual Raw'!U62-T147</f>
        <v>47.445999999999998</v>
      </c>
      <c r="U143" s="23">
        <f>'Annual Raw'!V62-U147</f>
        <v>70.070000000000007</v>
      </c>
      <c r="V143" s="23">
        <f>'Annual Raw'!W62-V147</f>
        <v>85.52</v>
      </c>
      <c r="W143" s="23">
        <f>'Annual Raw'!X62-W147</f>
        <v>88.25</v>
      </c>
      <c r="X143" s="23">
        <f>'Annual Raw'!Y62-X147</f>
        <v>105.4</v>
      </c>
      <c r="Y143" s="23">
        <f>'Annual Raw'!Z62-Y147</f>
        <v>132.38</v>
      </c>
      <c r="Z143" s="23">
        <f>'Annual Raw'!AA62-Z147</f>
        <v>114.16</v>
      </c>
      <c r="AA143" s="23">
        <f>'Annual Raw'!AB62-AA147</f>
        <v>101.03</v>
      </c>
      <c r="AB143" s="24">
        <f t="shared" ref="AB143:AB149" si="1201">+CP143</f>
        <v>102.5</v>
      </c>
      <c r="AC143" s="24">
        <f t="shared" ref="AC143:AC149" si="1202">+CT143</f>
        <v>102.5</v>
      </c>
      <c r="AD143" s="24">
        <f t="shared" ref="AD143:AD149" si="1203">+CX143</f>
        <v>102.5</v>
      </c>
      <c r="AE143" s="24">
        <f t="shared" ref="AE143:AE149" si="1204">+DB143</f>
        <v>102.5</v>
      </c>
      <c r="AJ143" s="23">
        <f>+'QTR Raw'!D68</f>
        <v>0</v>
      </c>
      <c r="AL143" s="23">
        <f>+'QTR Raw'!F68</f>
        <v>0</v>
      </c>
      <c r="AN143" s="23">
        <f>+'QTR Raw'!H68</f>
        <v>0</v>
      </c>
      <c r="AP143" s="23">
        <f>+'QTR Raw'!J68</f>
        <v>0</v>
      </c>
      <c r="AR143" s="23">
        <f>+'QTR Raw'!L68</f>
        <v>0</v>
      </c>
      <c r="AT143" s="23">
        <f>+'QTR Raw'!N68</f>
        <v>0</v>
      </c>
      <c r="AV143" s="23">
        <f>+'QTR Raw'!P68</f>
        <v>0</v>
      </c>
      <c r="AX143" s="23">
        <f>+'QTR Raw'!R68</f>
        <v>0</v>
      </c>
      <c r="AZ143" s="23">
        <f>+'QTR Raw'!T68</f>
        <v>0</v>
      </c>
      <c r="BB143" s="23">
        <f>+'QTR Raw'!V68</f>
        <v>0</v>
      </c>
      <c r="BD143" s="23">
        <f>+'QTR Raw'!X68</f>
        <v>0</v>
      </c>
      <c r="BF143" s="23">
        <f>+'QTR Raw'!Z68</f>
        <v>0</v>
      </c>
      <c r="BH143" s="23">
        <f>+'QTR Raw'!AB68</f>
        <v>0</v>
      </c>
      <c r="BJ143" s="23">
        <f>+'QTR Raw'!AD68</f>
        <v>28.373999999999999</v>
      </c>
      <c r="BL143" s="23">
        <f>+'QTR Raw'!AF68</f>
        <v>36.116999999999997</v>
      </c>
      <c r="BN143" s="23">
        <f>+'QTR Raw'!AH68</f>
        <v>32.130000000000003</v>
      </c>
      <c r="BP143" s="23">
        <f>+'QTR Raw'!AJ68</f>
        <v>37.89</v>
      </c>
      <c r="BR143" s="23">
        <f>+'QTR Raw'!AL68</f>
        <v>36.99</v>
      </c>
      <c r="BT143" s="23">
        <f>+'QTR Raw'!AN68</f>
        <v>35.33</v>
      </c>
      <c r="BV143" s="23">
        <f>+'QTR Raw'!AP68</f>
        <v>33.07</v>
      </c>
      <c r="BX143" s="23">
        <f>+'QTR Raw'!AR68</f>
        <v>34.119999999999997</v>
      </c>
      <c r="BZ143" s="23">
        <f>+'QTR Raw'!AT68</f>
        <v>31.98</v>
      </c>
      <c r="CB143" s="23">
        <f>+'QTR Raw'!AV68</f>
        <v>28.26</v>
      </c>
      <c r="CD143" s="23">
        <f>+'QTR Raw'!AX68</f>
        <v>23.92</v>
      </c>
      <c r="CF143" s="23">
        <f>+'QTR Raw'!AZ68</f>
        <v>20.37</v>
      </c>
      <c r="CH143" s="23">
        <f t="shared" ref="CH143:CH149" si="1205">Z143</f>
        <v>114.16</v>
      </c>
      <c r="CI143" s="23">
        <f>CH143</f>
        <v>114.16</v>
      </c>
      <c r="CJ143" s="23">
        <f>+CJ144+CJ146</f>
        <v>92.600000000000009</v>
      </c>
      <c r="CK143" s="23">
        <f>+CJ143</f>
        <v>92.600000000000009</v>
      </c>
      <c r="CL143" s="23">
        <f>+CL144+CL146</f>
        <v>102.5</v>
      </c>
      <c r="CM143" s="24">
        <f t="shared" ref="CM143:DB143" si="1206">+CL143</f>
        <v>102.5</v>
      </c>
      <c r="CN143" s="24">
        <f t="shared" si="1206"/>
        <v>102.5</v>
      </c>
      <c r="CO143" s="24">
        <f t="shared" si="1206"/>
        <v>102.5</v>
      </c>
      <c r="CP143" s="24">
        <f t="shared" si="1206"/>
        <v>102.5</v>
      </c>
      <c r="CQ143" s="24">
        <f t="shared" si="1206"/>
        <v>102.5</v>
      </c>
      <c r="CR143" s="24">
        <f t="shared" si="1206"/>
        <v>102.5</v>
      </c>
      <c r="CS143" s="24">
        <f t="shared" si="1206"/>
        <v>102.5</v>
      </c>
      <c r="CT143" s="24">
        <f t="shared" si="1206"/>
        <v>102.5</v>
      </c>
      <c r="CU143" s="24">
        <f t="shared" si="1206"/>
        <v>102.5</v>
      </c>
      <c r="CV143" s="24">
        <f t="shared" si="1206"/>
        <v>102.5</v>
      </c>
      <c r="CW143" s="24">
        <f t="shared" si="1206"/>
        <v>102.5</v>
      </c>
      <c r="CX143" s="24">
        <f t="shared" si="1206"/>
        <v>102.5</v>
      </c>
      <c r="CY143" s="24">
        <f t="shared" si="1206"/>
        <v>102.5</v>
      </c>
      <c r="CZ143" s="24">
        <f t="shared" si="1206"/>
        <v>102.5</v>
      </c>
      <c r="DA143" s="24">
        <f t="shared" si="1206"/>
        <v>102.5</v>
      </c>
      <c r="DB143" s="24">
        <f t="shared" si="1206"/>
        <v>102.5</v>
      </c>
      <c r="DE143" s="123"/>
      <c r="DF143" s="23">
        <v>92.600000000000009</v>
      </c>
    </row>
    <row r="144" spans="1:110" s="23" customFormat="1" outlineLevel="1" x14ac:dyDescent="0.2">
      <c r="A144" s="23" t="s">
        <v>51</v>
      </c>
      <c r="B144" s="23">
        <f>'Annual Raw'!C63</f>
        <v>0</v>
      </c>
      <c r="C144" s="23">
        <f>'Annual Raw'!D63</f>
        <v>0</v>
      </c>
      <c r="D144" s="23">
        <f>'Annual Raw'!E63</f>
        <v>0</v>
      </c>
      <c r="E144" s="23">
        <f>'Annual Raw'!F63</f>
        <v>0</v>
      </c>
      <c r="F144" s="23">
        <f>'Annual Raw'!G63</f>
        <v>0</v>
      </c>
      <c r="G144" s="23">
        <f>'Annual Raw'!H63</f>
        <v>0</v>
      </c>
      <c r="H144" s="23">
        <f>'Annual Raw'!I63</f>
        <v>0</v>
      </c>
      <c r="I144" s="23">
        <f>'Annual Raw'!J63</f>
        <v>0</v>
      </c>
      <c r="J144" s="23">
        <f>'Annual Raw'!K63</f>
        <v>0</v>
      </c>
      <c r="K144" s="23">
        <f>'Annual Raw'!L63</f>
        <v>0</v>
      </c>
      <c r="L144" s="23">
        <f>'Annual Raw'!M63</f>
        <v>0</v>
      </c>
      <c r="M144" s="23">
        <f>'Annual Raw'!N63</f>
        <v>0</v>
      </c>
      <c r="N144" s="23">
        <f>'Annual Raw'!O63</f>
        <v>0</v>
      </c>
      <c r="O144" s="23">
        <f>'Annual Raw'!P63</f>
        <v>0</v>
      </c>
      <c r="P144" s="23">
        <f>'Annual Raw'!Q63</f>
        <v>0</v>
      </c>
      <c r="Q144" s="23">
        <f>'Annual Raw'!R63</f>
        <v>0</v>
      </c>
      <c r="R144" s="23">
        <f>'Annual Raw'!S63</f>
        <v>0</v>
      </c>
      <c r="S144" s="23">
        <f>'Annual Raw'!T63</f>
        <v>5.7009999999999996</v>
      </c>
      <c r="T144" s="23">
        <f>'Annual Raw'!U63</f>
        <v>19.071999999999999</v>
      </c>
      <c r="U144" s="23">
        <f>'Annual Raw'!V63</f>
        <v>27.94</v>
      </c>
      <c r="V144" s="23">
        <f>'Annual Raw'!W63</f>
        <v>39.18</v>
      </c>
      <c r="W144" s="23">
        <f>'Annual Raw'!X63</f>
        <v>46.06</v>
      </c>
      <c r="X144" s="23">
        <f>'Annual Raw'!Y63</f>
        <v>61.16</v>
      </c>
      <c r="Y144" s="23">
        <f>'Annual Raw'!Z63</f>
        <v>76.17</v>
      </c>
      <c r="Z144" s="23">
        <f>'Annual Raw'!AA63</f>
        <v>68.3</v>
      </c>
      <c r="AA144" s="23">
        <f>'Annual Raw'!AB63</f>
        <v>59.75</v>
      </c>
      <c r="AB144" s="24">
        <f t="shared" si="1201"/>
        <v>92.194476619243872</v>
      </c>
      <c r="AC144" s="24">
        <f t="shared" si="1202"/>
        <v>97.866325822368623</v>
      </c>
      <c r="AD144" s="24">
        <f t="shared" si="1203"/>
        <v>100.41656031516641</v>
      </c>
      <c r="AE144" s="24">
        <f t="shared" si="1204"/>
        <v>101.56322267083561</v>
      </c>
      <c r="AJ144" s="23">
        <f>+'QTR Raw'!D69</f>
        <v>0</v>
      </c>
      <c r="AL144" s="23">
        <f>+'QTR Raw'!F69</f>
        <v>0</v>
      </c>
      <c r="AN144" s="23">
        <f>+'QTR Raw'!H69</f>
        <v>0</v>
      </c>
      <c r="AP144" s="23">
        <f>+'QTR Raw'!J69</f>
        <v>0</v>
      </c>
      <c r="AR144" s="23">
        <f>+'QTR Raw'!L69</f>
        <v>0</v>
      </c>
      <c r="AT144" s="23">
        <f>+'QTR Raw'!N69</f>
        <v>0</v>
      </c>
      <c r="AV144" s="23">
        <f>+'QTR Raw'!P69</f>
        <v>0</v>
      </c>
      <c r="AX144" s="23">
        <f>+'QTR Raw'!R69</f>
        <v>0</v>
      </c>
      <c r="AZ144" s="23">
        <f>+'QTR Raw'!T69</f>
        <v>0</v>
      </c>
      <c r="BB144" s="23">
        <f>+'QTR Raw'!V69</f>
        <v>0</v>
      </c>
      <c r="BD144" s="23">
        <f>+'QTR Raw'!X69</f>
        <v>0</v>
      </c>
      <c r="BF144" s="23">
        <f>+'QTR Raw'!Z69</f>
        <v>0</v>
      </c>
      <c r="BH144" s="23">
        <f>+'QTR Raw'!AB69</f>
        <v>0</v>
      </c>
      <c r="BJ144" s="23">
        <f>+'QTR Raw'!AD69</f>
        <v>0</v>
      </c>
      <c r="BL144" s="23">
        <f>+'QTR Raw'!AF69</f>
        <v>0</v>
      </c>
      <c r="BN144" s="23">
        <f>+'QTR Raw'!AH69</f>
        <v>0</v>
      </c>
      <c r="BP144" s="23">
        <f>+'QTR Raw'!AJ69</f>
        <v>0</v>
      </c>
      <c r="BR144" s="23">
        <f>+'QTR Raw'!AL69</f>
        <v>0</v>
      </c>
      <c r="BT144" s="23">
        <f>+'QTR Raw'!AN69</f>
        <v>0</v>
      </c>
      <c r="BV144" s="23">
        <f>+'QTR Raw'!AP69</f>
        <v>0</v>
      </c>
      <c r="BX144" s="23">
        <f>+'QTR Raw'!AR69</f>
        <v>0</v>
      </c>
      <c r="BZ144" s="23">
        <f>+'QTR Raw'!AT69</f>
        <v>0</v>
      </c>
      <c r="CB144" s="23">
        <f>+'QTR Raw'!AV69</f>
        <v>0</v>
      </c>
      <c r="CD144" s="23">
        <f>+'QTR Raw'!AX69</f>
        <v>0</v>
      </c>
      <c r="CF144" s="23">
        <f>+'QTR Raw'!AZ69</f>
        <v>0</v>
      </c>
      <c r="CH144" s="23">
        <f t="shared" si="1205"/>
        <v>68.3</v>
      </c>
      <c r="CI144" s="23">
        <f t="shared" ref="CI144:DB144" si="1207">CH144+CI39</f>
        <v>71.11</v>
      </c>
      <c r="CJ144" s="23">
        <f t="shared" si="1207"/>
        <v>73.84</v>
      </c>
      <c r="CK144" s="23">
        <f t="shared" si="1207"/>
        <v>76.7</v>
      </c>
      <c r="CL144" s="23">
        <f t="shared" si="1207"/>
        <v>79.58</v>
      </c>
      <c r="CM144" s="24">
        <f t="shared" si="1207"/>
        <v>83.731547169811321</v>
      </c>
      <c r="CN144" s="24">
        <f t="shared" si="1207"/>
        <v>87.131115984336063</v>
      </c>
      <c r="CO144" s="24">
        <f t="shared" si="1207"/>
        <v>89.914913843777072</v>
      </c>
      <c r="CP144" s="24">
        <f t="shared" si="1207"/>
        <v>92.194476619243872</v>
      </c>
      <c r="CQ144" s="24">
        <f t="shared" si="1207"/>
        <v>94.061137458022344</v>
      </c>
      <c r="CR144" s="24">
        <f t="shared" si="1207"/>
        <v>95.589686144871123</v>
      </c>
      <c r="CS144" s="24">
        <f t="shared" si="1207"/>
        <v>96.841365635611453</v>
      </c>
      <c r="CT144" s="24">
        <f t="shared" si="1207"/>
        <v>97.866325822368623</v>
      </c>
      <c r="CU144" s="24">
        <f t="shared" si="1207"/>
        <v>98.705632843222602</v>
      </c>
      <c r="CV144" s="24">
        <f t="shared" si="1207"/>
        <v>99.392914441431344</v>
      </c>
      <c r="CW144" s="24">
        <f t="shared" si="1207"/>
        <v>99.955707297323031</v>
      </c>
      <c r="CX144" s="24">
        <f t="shared" si="1207"/>
        <v>100.41656031516641</v>
      </c>
      <c r="CY144" s="24">
        <f t="shared" si="1207"/>
        <v>100.79393806940041</v>
      </c>
      <c r="CZ144" s="24">
        <f t="shared" si="1207"/>
        <v>101.10296060777317</v>
      </c>
      <c r="DA144" s="24">
        <f t="shared" si="1207"/>
        <v>101.35600925240294</v>
      </c>
      <c r="DB144" s="24">
        <f t="shared" si="1207"/>
        <v>101.56322267083561</v>
      </c>
      <c r="DE144" s="123"/>
      <c r="DF144" s="23">
        <v>79.123987206823031</v>
      </c>
    </row>
    <row r="145" spans="1:110" s="23" customFormat="1" outlineLevel="1" x14ac:dyDescent="0.2">
      <c r="A145" s="23" t="s">
        <v>52</v>
      </c>
      <c r="B145" s="23">
        <f>'Annual Raw'!C64</f>
        <v>0</v>
      </c>
      <c r="C145" s="23">
        <f>'Annual Raw'!D64</f>
        <v>0</v>
      </c>
      <c r="D145" s="23">
        <f>'Annual Raw'!E64</f>
        <v>0</v>
      </c>
      <c r="E145" s="23">
        <f>'Annual Raw'!F64</f>
        <v>0</v>
      </c>
      <c r="F145" s="23">
        <f>'Annual Raw'!G64</f>
        <v>0</v>
      </c>
      <c r="G145" s="23">
        <f>'Annual Raw'!H64</f>
        <v>0</v>
      </c>
      <c r="H145" s="23">
        <f>'Annual Raw'!I64</f>
        <v>0</v>
      </c>
      <c r="I145" s="23">
        <f>'Annual Raw'!J64</f>
        <v>0</v>
      </c>
      <c r="J145" s="23">
        <f>'Annual Raw'!K64</f>
        <v>0</v>
      </c>
      <c r="K145" s="23">
        <f>'Annual Raw'!L64</f>
        <v>0</v>
      </c>
      <c r="L145" s="23">
        <f>'Annual Raw'!M64</f>
        <v>0</v>
      </c>
      <c r="M145" s="23">
        <f>'Annual Raw'!N64</f>
        <v>0</v>
      </c>
      <c r="N145" s="23">
        <f>'Annual Raw'!O64</f>
        <v>0</v>
      </c>
      <c r="O145" s="23">
        <f>'Annual Raw'!P64</f>
        <v>0</v>
      </c>
      <c r="P145" s="23">
        <f>'Annual Raw'!Q64</f>
        <v>0</v>
      </c>
      <c r="Q145" s="23">
        <f>'Annual Raw'!R64</f>
        <v>0</v>
      </c>
      <c r="R145" s="23">
        <f>'Annual Raw'!S64</f>
        <v>0</v>
      </c>
      <c r="S145" s="23">
        <f>'Annual Raw'!T64</f>
        <v>0</v>
      </c>
      <c r="T145" s="23">
        <f>'Annual Raw'!U64</f>
        <v>0</v>
      </c>
      <c r="U145" s="23">
        <f>'Annual Raw'!V64</f>
        <v>0</v>
      </c>
      <c r="V145" s="23">
        <f>'Annual Raw'!W64</f>
        <v>0</v>
      </c>
      <c r="W145" s="23">
        <f>'Annual Raw'!X64</f>
        <v>0</v>
      </c>
      <c r="X145" s="23">
        <f>'Annual Raw'!Y64</f>
        <v>0</v>
      </c>
      <c r="Y145" s="23">
        <f>'Annual Raw'!Z64</f>
        <v>0</v>
      </c>
      <c r="Z145" s="23">
        <f>'Annual Raw'!AA64</f>
        <v>0</v>
      </c>
      <c r="AA145" s="23">
        <f>'Annual Raw'!AB64</f>
        <v>0</v>
      </c>
      <c r="AB145" s="24">
        <f t="shared" si="1201"/>
        <v>0</v>
      </c>
      <c r="AC145" s="24">
        <f t="shared" si="1202"/>
        <v>0</v>
      </c>
      <c r="AD145" s="24">
        <f t="shared" si="1203"/>
        <v>0</v>
      </c>
      <c r="AE145" s="24">
        <f t="shared" si="1204"/>
        <v>0</v>
      </c>
      <c r="AJ145" s="23">
        <f>+'QTR Raw'!D70</f>
        <v>0</v>
      </c>
      <c r="AL145" s="23">
        <f>+'QTR Raw'!F70</f>
        <v>0</v>
      </c>
      <c r="AN145" s="23">
        <f>+'QTR Raw'!H70</f>
        <v>0</v>
      </c>
      <c r="AP145" s="23">
        <f>+'QTR Raw'!J70</f>
        <v>0</v>
      </c>
      <c r="AR145" s="23">
        <f>+'QTR Raw'!L70</f>
        <v>0</v>
      </c>
      <c r="AT145" s="23">
        <f>+'QTR Raw'!N70</f>
        <v>0</v>
      </c>
      <c r="AV145" s="23">
        <f>+'QTR Raw'!P70</f>
        <v>0</v>
      </c>
      <c r="AX145" s="23">
        <f>+'QTR Raw'!R70</f>
        <v>0</v>
      </c>
      <c r="AZ145" s="23">
        <f>+'QTR Raw'!T70</f>
        <v>0</v>
      </c>
      <c r="BB145" s="23">
        <f>+'QTR Raw'!V70</f>
        <v>0</v>
      </c>
      <c r="BD145" s="23">
        <f>+'QTR Raw'!X70</f>
        <v>0</v>
      </c>
      <c r="BF145" s="23">
        <f>+'QTR Raw'!Z70</f>
        <v>0</v>
      </c>
      <c r="BH145" s="23">
        <f>+'QTR Raw'!AB70</f>
        <v>0</v>
      </c>
      <c r="BJ145" s="23">
        <f>+'QTR Raw'!AD70</f>
        <v>0</v>
      </c>
      <c r="BL145" s="23">
        <f>+'QTR Raw'!AF70</f>
        <v>0</v>
      </c>
      <c r="BN145" s="23">
        <f>+'QTR Raw'!AH70</f>
        <v>0</v>
      </c>
      <c r="BP145" s="23">
        <f>+'QTR Raw'!AJ70</f>
        <v>0</v>
      </c>
      <c r="BR145" s="23">
        <f>+'QTR Raw'!AL70</f>
        <v>0</v>
      </c>
      <c r="BT145" s="23">
        <f>+'QTR Raw'!AN70</f>
        <v>0</v>
      </c>
      <c r="BV145" s="23">
        <f>+'QTR Raw'!AP70</f>
        <v>0</v>
      </c>
      <c r="BX145" s="23">
        <f>+'QTR Raw'!AR70</f>
        <v>0</v>
      </c>
      <c r="BZ145" s="23">
        <f>+'QTR Raw'!AT70</f>
        <v>0</v>
      </c>
      <c r="CB145" s="23">
        <f>+'QTR Raw'!AV70</f>
        <v>0</v>
      </c>
      <c r="CD145" s="23">
        <f>+'QTR Raw'!AX70</f>
        <v>0</v>
      </c>
      <c r="CF145" s="23">
        <f>+'QTR Raw'!AZ70</f>
        <v>0</v>
      </c>
      <c r="CH145" s="23">
        <f t="shared" si="1205"/>
        <v>0</v>
      </c>
      <c r="CI145" s="23">
        <f>CH145</f>
        <v>0</v>
      </c>
      <c r="CJ145" s="23">
        <f>+'QTR Raw'!BD70</f>
        <v>0</v>
      </c>
      <c r="CK145" s="23">
        <f t="shared" ref="CK145:DB145" si="1208">CJ145</f>
        <v>0</v>
      </c>
      <c r="CL145" s="23">
        <f>+'QTR Raw'!BF70</f>
        <v>0</v>
      </c>
      <c r="CM145" s="24">
        <f t="shared" si="1208"/>
        <v>0</v>
      </c>
      <c r="CN145" s="24">
        <f t="shared" si="1208"/>
        <v>0</v>
      </c>
      <c r="CO145" s="24">
        <f t="shared" si="1208"/>
        <v>0</v>
      </c>
      <c r="CP145" s="24">
        <f t="shared" si="1208"/>
        <v>0</v>
      </c>
      <c r="CQ145" s="24">
        <f t="shared" si="1208"/>
        <v>0</v>
      </c>
      <c r="CR145" s="24">
        <f t="shared" si="1208"/>
        <v>0</v>
      </c>
      <c r="CS145" s="24">
        <f t="shared" si="1208"/>
        <v>0</v>
      </c>
      <c r="CT145" s="24">
        <f t="shared" si="1208"/>
        <v>0</v>
      </c>
      <c r="CU145" s="24">
        <f t="shared" si="1208"/>
        <v>0</v>
      </c>
      <c r="CV145" s="24">
        <f t="shared" si="1208"/>
        <v>0</v>
      </c>
      <c r="CW145" s="24">
        <f t="shared" si="1208"/>
        <v>0</v>
      </c>
      <c r="CX145" s="24">
        <f t="shared" si="1208"/>
        <v>0</v>
      </c>
      <c r="CY145" s="24">
        <f t="shared" si="1208"/>
        <v>0</v>
      </c>
      <c r="CZ145" s="24">
        <f t="shared" si="1208"/>
        <v>0</v>
      </c>
      <c r="DA145" s="24">
        <f t="shared" si="1208"/>
        <v>0</v>
      </c>
      <c r="DB145" s="24">
        <f t="shared" si="1208"/>
        <v>0</v>
      </c>
      <c r="DE145" s="123"/>
      <c r="DF145" s="23">
        <v>0</v>
      </c>
    </row>
    <row r="146" spans="1:110" s="22" customFormat="1" outlineLevel="1" x14ac:dyDescent="0.2">
      <c r="A146" s="22" t="s">
        <v>53</v>
      </c>
      <c r="B146" s="22">
        <f>+B143-B144-B145</f>
        <v>0</v>
      </c>
      <c r="C146" s="22">
        <f t="shared" ref="C146:W146" si="1209">+C143-C144-C145</f>
        <v>0</v>
      </c>
      <c r="D146" s="22">
        <f t="shared" si="1209"/>
        <v>0</v>
      </c>
      <c r="E146" s="22">
        <f t="shared" si="1209"/>
        <v>0</v>
      </c>
      <c r="F146" s="22">
        <f t="shared" si="1209"/>
        <v>0</v>
      </c>
      <c r="G146" s="22">
        <f t="shared" si="1209"/>
        <v>0</v>
      </c>
      <c r="H146" s="22">
        <f t="shared" si="1209"/>
        <v>0</v>
      </c>
      <c r="I146" s="22">
        <f t="shared" si="1209"/>
        <v>0</v>
      </c>
      <c r="J146" s="22">
        <f t="shared" si="1209"/>
        <v>0</v>
      </c>
      <c r="K146" s="22">
        <f t="shared" si="1209"/>
        <v>0</v>
      </c>
      <c r="L146" s="22">
        <f t="shared" si="1209"/>
        <v>0</v>
      </c>
      <c r="M146" s="22">
        <f t="shared" si="1209"/>
        <v>0</v>
      </c>
      <c r="N146" s="22">
        <f t="shared" si="1209"/>
        <v>0</v>
      </c>
      <c r="O146" s="22">
        <f t="shared" si="1209"/>
        <v>0</v>
      </c>
      <c r="P146" s="22">
        <f t="shared" si="1209"/>
        <v>0</v>
      </c>
      <c r="Q146" s="22">
        <f t="shared" si="1209"/>
        <v>0</v>
      </c>
      <c r="R146" s="22">
        <f t="shared" si="1209"/>
        <v>0</v>
      </c>
      <c r="S146" s="22">
        <f t="shared" si="1209"/>
        <v>21.251000000000001</v>
      </c>
      <c r="T146" s="22">
        <f t="shared" si="1209"/>
        <v>28.373999999999999</v>
      </c>
      <c r="U146" s="22">
        <f t="shared" si="1209"/>
        <v>42.13000000000001</v>
      </c>
      <c r="V146" s="22">
        <f t="shared" si="1209"/>
        <v>46.339999999999996</v>
      </c>
      <c r="W146" s="22">
        <f t="shared" si="1209"/>
        <v>42.19</v>
      </c>
      <c r="X146" s="22">
        <f t="shared" ref="X146:Y146" si="1210">+X143-X144-X145</f>
        <v>44.240000000000009</v>
      </c>
      <c r="Y146" s="22">
        <f t="shared" si="1210"/>
        <v>56.209999999999994</v>
      </c>
      <c r="Z146" s="22">
        <f t="shared" ref="Z146:AE146" si="1211">+Z143-Z144-Z145</f>
        <v>45.86</v>
      </c>
      <c r="AA146" s="22">
        <f t="shared" ref="AA146" si="1212">+AA143-AA144-AA145</f>
        <v>41.28</v>
      </c>
      <c r="AB146" s="21">
        <f t="shared" si="1211"/>
        <v>10.305523380756128</v>
      </c>
      <c r="AC146" s="21">
        <f t="shared" si="1211"/>
        <v>4.6336741776313772</v>
      </c>
      <c r="AD146" s="21">
        <f t="shared" si="1211"/>
        <v>2.0834396848335928</v>
      </c>
      <c r="AE146" s="21">
        <f t="shared" si="1211"/>
        <v>0.93677732916438572</v>
      </c>
      <c r="AJ146" s="22">
        <f t="shared" ref="AJ146:AL146" si="1213">+AJ143-AJ144-AJ145</f>
        <v>0</v>
      </c>
      <c r="AK146" s="22">
        <f t="shared" ref="AK146:CE146" si="1214">+AJ146</f>
        <v>0</v>
      </c>
      <c r="AL146" s="22">
        <f t="shared" si="1213"/>
        <v>0</v>
      </c>
      <c r="AM146" s="22">
        <f t="shared" si="1214"/>
        <v>0</v>
      </c>
      <c r="AN146" s="22">
        <f t="shared" ref="AN146" si="1215">+AN143-AN144-AN145</f>
        <v>0</v>
      </c>
      <c r="AO146" s="22">
        <f t="shared" si="1214"/>
        <v>0</v>
      </c>
      <c r="AP146" s="22">
        <f t="shared" ref="AP146:CD146" si="1216">+AP143-AP144-AP145</f>
        <v>0</v>
      </c>
      <c r="AQ146" s="22">
        <f t="shared" si="1214"/>
        <v>0</v>
      </c>
      <c r="AR146" s="22">
        <f t="shared" si="1216"/>
        <v>0</v>
      </c>
      <c r="AS146" s="22">
        <f t="shared" si="1214"/>
        <v>0</v>
      </c>
      <c r="AT146" s="22">
        <f t="shared" si="1216"/>
        <v>0</v>
      </c>
      <c r="AU146" s="22">
        <f t="shared" si="1214"/>
        <v>0</v>
      </c>
      <c r="AV146" s="22">
        <f t="shared" si="1216"/>
        <v>0</v>
      </c>
      <c r="AW146" s="22">
        <f t="shared" si="1214"/>
        <v>0</v>
      </c>
      <c r="AX146" s="22">
        <f t="shared" si="1216"/>
        <v>0</v>
      </c>
      <c r="AY146" s="22">
        <f t="shared" si="1214"/>
        <v>0</v>
      </c>
      <c r="AZ146" s="22">
        <f t="shared" si="1216"/>
        <v>0</v>
      </c>
      <c r="BA146" s="22">
        <f t="shared" si="1214"/>
        <v>0</v>
      </c>
      <c r="BB146" s="22">
        <f t="shared" si="1216"/>
        <v>0</v>
      </c>
      <c r="BC146" s="22">
        <f t="shared" si="1214"/>
        <v>0</v>
      </c>
      <c r="BD146" s="22">
        <f t="shared" si="1216"/>
        <v>0</v>
      </c>
      <c r="BE146" s="22">
        <f t="shared" si="1214"/>
        <v>0</v>
      </c>
      <c r="BF146" s="22">
        <f t="shared" si="1216"/>
        <v>0</v>
      </c>
      <c r="BG146" s="22">
        <f t="shared" si="1214"/>
        <v>0</v>
      </c>
      <c r="BH146" s="22">
        <f t="shared" si="1216"/>
        <v>0</v>
      </c>
      <c r="BI146" s="22">
        <f t="shared" si="1214"/>
        <v>0</v>
      </c>
      <c r="BJ146" s="22">
        <f t="shared" si="1216"/>
        <v>28.373999999999999</v>
      </c>
      <c r="BK146" s="22">
        <f t="shared" si="1214"/>
        <v>28.373999999999999</v>
      </c>
      <c r="BL146" s="22">
        <f t="shared" si="1216"/>
        <v>36.116999999999997</v>
      </c>
      <c r="BM146" s="22">
        <f t="shared" si="1214"/>
        <v>36.116999999999997</v>
      </c>
      <c r="BN146" s="22">
        <f t="shared" si="1216"/>
        <v>32.130000000000003</v>
      </c>
      <c r="BO146" s="22">
        <f t="shared" si="1214"/>
        <v>32.130000000000003</v>
      </c>
      <c r="BP146" s="22">
        <f t="shared" si="1216"/>
        <v>37.89</v>
      </c>
      <c r="BQ146" s="22">
        <f t="shared" si="1214"/>
        <v>37.89</v>
      </c>
      <c r="BR146" s="22">
        <f t="shared" si="1216"/>
        <v>36.99</v>
      </c>
      <c r="BS146" s="22">
        <f t="shared" si="1214"/>
        <v>36.99</v>
      </c>
      <c r="BT146" s="22">
        <f t="shared" si="1216"/>
        <v>35.33</v>
      </c>
      <c r="BU146" s="22">
        <f t="shared" si="1214"/>
        <v>35.33</v>
      </c>
      <c r="BV146" s="22">
        <f t="shared" si="1216"/>
        <v>33.07</v>
      </c>
      <c r="BW146" s="22">
        <f t="shared" si="1214"/>
        <v>33.07</v>
      </c>
      <c r="BX146" s="22">
        <f t="shared" si="1216"/>
        <v>34.119999999999997</v>
      </c>
      <c r="BY146" s="22">
        <f t="shared" si="1214"/>
        <v>34.119999999999997</v>
      </c>
      <c r="BZ146" s="22">
        <f t="shared" si="1216"/>
        <v>31.98</v>
      </c>
      <c r="CA146" s="22">
        <f t="shared" si="1214"/>
        <v>31.98</v>
      </c>
      <c r="CB146" s="22">
        <f t="shared" si="1216"/>
        <v>28.26</v>
      </c>
      <c r="CC146" s="22">
        <f t="shared" si="1214"/>
        <v>28.26</v>
      </c>
      <c r="CD146" s="22">
        <f t="shared" si="1216"/>
        <v>23.92</v>
      </c>
      <c r="CE146" s="22">
        <f t="shared" si="1214"/>
        <v>23.92</v>
      </c>
      <c r="CF146" s="22">
        <f t="shared" ref="CF146:CI146" si="1217">+CF143-CF144-CF145</f>
        <v>20.37</v>
      </c>
      <c r="CG146" s="22">
        <f t="shared" ref="CG146:CI149" si="1218">+CF146</f>
        <v>20.37</v>
      </c>
      <c r="CH146" s="22">
        <f t="shared" si="1217"/>
        <v>45.86</v>
      </c>
      <c r="CI146" s="22">
        <f t="shared" si="1217"/>
        <v>43.05</v>
      </c>
      <c r="CJ146" s="23">
        <f>+'QTR Raw'!BD68</f>
        <v>18.760000000000002</v>
      </c>
      <c r="CK146" s="23">
        <f t="shared" ref="CK146:DB146" si="1219">+CK143-CK144-CK145</f>
        <v>15.900000000000006</v>
      </c>
      <c r="CL146" s="23">
        <f>+'QTR Raw'!BF68</f>
        <v>22.92</v>
      </c>
      <c r="CM146" s="21">
        <f t="shared" si="1219"/>
        <v>18.768452830188679</v>
      </c>
      <c r="CN146" s="21">
        <f t="shared" si="1219"/>
        <v>15.368884015663937</v>
      </c>
      <c r="CO146" s="21">
        <f t="shared" si="1219"/>
        <v>12.585086156222928</v>
      </c>
      <c r="CP146" s="21">
        <f t="shared" si="1219"/>
        <v>10.305523380756128</v>
      </c>
      <c r="CQ146" s="21">
        <f t="shared" si="1219"/>
        <v>8.438862541977656</v>
      </c>
      <c r="CR146" s="21">
        <f t="shared" si="1219"/>
        <v>6.9103138551288765</v>
      </c>
      <c r="CS146" s="21">
        <f t="shared" si="1219"/>
        <v>5.6586343643885471</v>
      </c>
      <c r="CT146" s="21">
        <f t="shared" si="1219"/>
        <v>4.6336741776313772</v>
      </c>
      <c r="CU146" s="21">
        <f t="shared" si="1219"/>
        <v>3.7943671567773976</v>
      </c>
      <c r="CV146" s="21">
        <f t="shared" si="1219"/>
        <v>3.1070855585686559</v>
      </c>
      <c r="CW146" s="21">
        <f t="shared" si="1219"/>
        <v>2.5442927026769695</v>
      </c>
      <c r="CX146" s="21">
        <f t="shared" si="1219"/>
        <v>2.0834396848335928</v>
      </c>
      <c r="CY146" s="21">
        <f t="shared" si="1219"/>
        <v>1.7060619305995885</v>
      </c>
      <c r="CZ146" s="21">
        <f t="shared" si="1219"/>
        <v>1.39703939222683</v>
      </c>
      <c r="DA146" s="21">
        <f t="shared" si="1219"/>
        <v>1.1439907475970585</v>
      </c>
      <c r="DB146" s="21">
        <f t="shared" si="1219"/>
        <v>0.93677732916438572</v>
      </c>
      <c r="DE146" s="126"/>
      <c r="DF146" s="22">
        <v>13.476012793176977</v>
      </c>
    </row>
    <row r="147" spans="1:110" s="23" customFormat="1" outlineLevel="1" x14ac:dyDescent="0.2">
      <c r="A147" s="23" t="s">
        <v>54</v>
      </c>
      <c r="B147" s="23">
        <f>'Annual Raw'!C86</f>
        <v>0</v>
      </c>
      <c r="C147" s="23">
        <f>'Annual Raw'!D86</f>
        <v>0</v>
      </c>
      <c r="D147" s="23">
        <f>'Annual Raw'!E86</f>
        <v>0</v>
      </c>
      <c r="E147" s="23">
        <f>'Annual Raw'!F86</f>
        <v>0</v>
      </c>
      <c r="F147" s="23">
        <f>'Annual Raw'!G86</f>
        <v>0</v>
      </c>
      <c r="G147" s="23">
        <f>'Annual Raw'!H86</f>
        <v>0</v>
      </c>
      <c r="H147" s="23">
        <f>'Annual Raw'!I86</f>
        <v>0</v>
      </c>
      <c r="I147" s="23">
        <f>'Annual Raw'!J86</f>
        <v>0</v>
      </c>
      <c r="J147" s="23">
        <f>'Annual Raw'!K86</f>
        <v>0</v>
      </c>
      <c r="K147" s="23">
        <f>'Annual Raw'!L86</f>
        <v>0</v>
      </c>
      <c r="L147" s="23">
        <f>'Annual Raw'!M86</f>
        <v>0</v>
      </c>
      <c r="M147" s="23">
        <f>'Annual Raw'!N86</f>
        <v>0</v>
      </c>
      <c r="N147" s="23">
        <f>'Annual Raw'!O86</f>
        <v>0</v>
      </c>
      <c r="O147" s="23">
        <f>'Annual Raw'!P86</f>
        <v>0</v>
      </c>
      <c r="P147" s="23">
        <f>'Annual Raw'!Q86</f>
        <v>0</v>
      </c>
      <c r="Q147" s="23">
        <f>'Annual Raw'!R86</f>
        <v>0</v>
      </c>
      <c r="R147" s="23">
        <f>'Annual Raw'!S86</f>
        <v>0</v>
      </c>
      <c r="S147" s="23">
        <f>'Annual Raw'!T86</f>
        <v>0</v>
      </c>
      <c r="T147" s="23">
        <f>'Annual Raw'!U86</f>
        <v>3.1150000000000002</v>
      </c>
      <c r="U147" s="23">
        <f>'Annual Raw'!V86</f>
        <v>3.36</v>
      </c>
      <c r="V147" s="23">
        <f>'Annual Raw'!W86</f>
        <v>0</v>
      </c>
      <c r="W147" s="23">
        <f>'Annual Raw'!X86</f>
        <v>0</v>
      </c>
      <c r="X147" s="23">
        <f>'Annual Raw'!Y86</f>
        <v>0</v>
      </c>
      <c r="Y147" s="23">
        <f>'Annual Raw'!Z86</f>
        <v>0</v>
      </c>
      <c r="Z147" s="23">
        <f>'Annual Raw'!AA86</f>
        <v>0</v>
      </c>
      <c r="AA147" s="23">
        <f>'Annual Raw'!AB86</f>
        <v>0</v>
      </c>
      <c r="AB147" s="24">
        <f t="shared" si="1201"/>
        <v>0</v>
      </c>
      <c r="AC147" s="24">
        <f t="shared" si="1202"/>
        <v>0</v>
      </c>
      <c r="AD147" s="24">
        <f t="shared" si="1203"/>
        <v>0</v>
      </c>
      <c r="AE147" s="24">
        <f t="shared" si="1204"/>
        <v>0</v>
      </c>
      <c r="AJ147" s="23">
        <f>+'QTR Raw'!D72</f>
        <v>0</v>
      </c>
      <c r="AK147" s="23">
        <f>+AJ147</f>
        <v>0</v>
      </c>
      <c r="AL147" s="23">
        <f>+'QTR Raw'!F72</f>
        <v>0</v>
      </c>
      <c r="AM147" s="23">
        <f t="shared" ref="AK147:CE149" si="1220">+AL147</f>
        <v>0</v>
      </c>
      <c r="AN147" s="23">
        <f>+'QTR Raw'!H72</f>
        <v>0</v>
      </c>
      <c r="AO147" s="23">
        <f t="shared" si="1220"/>
        <v>0</v>
      </c>
      <c r="AP147" s="23">
        <f>+'QTR Raw'!J72</f>
        <v>0</v>
      </c>
      <c r="AQ147" s="23">
        <f t="shared" si="1220"/>
        <v>0</v>
      </c>
      <c r="AR147" s="23">
        <f>+'QTR Raw'!L72</f>
        <v>0</v>
      </c>
      <c r="AS147" s="23">
        <f t="shared" si="1220"/>
        <v>0</v>
      </c>
      <c r="AT147" s="23">
        <f>+'QTR Raw'!N72</f>
        <v>0</v>
      </c>
      <c r="AU147" s="23">
        <f t="shared" si="1220"/>
        <v>0</v>
      </c>
      <c r="AV147" s="23">
        <f>+'QTR Raw'!P72</f>
        <v>0</v>
      </c>
      <c r="AW147" s="23">
        <f t="shared" si="1220"/>
        <v>0</v>
      </c>
      <c r="AX147" s="23">
        <f>+'QTR Raw'!R72</f>
        <v>0</v>
      </c>
      <c r="AY147" s="23">
        <f t="shared" si="1220"/>
        <v>0</v>
      </c>
      <c r="AZ147" s="23">
        <f>+'QTR Raw'!T72</f>
        <v>0</v>
      </c>
      <c r="BA147" s="23">
        <f t="shared" si="1220"/>
        <v>0</v>
      </c>
      <c r="BB147" s="23">
        <f>+'QTR Raw'!V72</f>
        <v>0</v>
      </c>
      <c r="BC147" s="23">
        <f t="shared" si="1220"/>
        <v>0</v>
      </c>
      <c r="BD147" s="23">
        <f>+'QTR Raw'!X72</f>
        <v>0</v>
      </c>
      <c r="BE147" s="23">
        <f t="shared" si="1220"/>
        <v>0</v>
      </c>
      <c r="BF147" s="23">
        <f>+'QTR Raw'!Z72</f>
        <v>0</v>
      </c>
      <c r="BG147" s="23">
        <f t="shared" si="1220"/>
        <v>0</v>
      </c>
      <c r="BH147" s="23">
        <f>+'QTR Raw'!AB72</f>
        <v>0</v>
      </c>
      <c r="BI147" s="23">
        <f t="shared" si="1220"/>
        <v>0</v>
      </c>
      <c r="BJ147" s="23">
        <f>+'QTR Raw'!AD72</f>
        <v>3.1150000000000002</v>
      </c>
      <c r="BK147" s="23">
        <f t="shared" si="1220"/>
        <v>3.1150000000000002</v>
      </c>
      <c r="BL147" s="23">
        <f>+'QTR Raw'!AF72</f>
        <v>3.165</v>
      </c>
      <c r="BM147" s="23">
        <f t="shared" si="1220"/>
        <v>3.165</v>
      </c>
      <c r="BN147" s="23">
        <f>+'QTR Raw'!AH72</f>
        <v>3.36</v>
      </c>
      <c r="BO147" s="23">
        <f t="shared" si="1220"/>
        <v>3.36</v>
      </c>
      <c r="BP147" s="23">
        <f>+'QTR Raw'!AJ72</f>
        <v>3.3</v>
      </c>
      <c r="BQ147" s="23">
        <f t="shared" si="1220"/>
        <v>3.3</v>
      </c>
      <c r="BR147" s="23">
        <f>+'QTR Raw'!AL72</f>
        <v>0</v>
      </c>
      <c r="BS147" s="23">
        <f t="shared" si="1220"/>
        <v>0</v>
      </c>
      <c r="BT147" s="23">
        <f>+'QTR Raw'!AN72</f>
        <v>0</v>
      </c>
      <c r="BU147" s="23">
        <f t="shared" si="1220"/>
        <v>0</v>
      </c>
      <c r="BV147" s="23">
        <f>+'QTR Raw'!AP72</f>
        <v>0</v>
      </c>
      <c r="BW147" s="23">
        <f t="shared" si="1220"/>
        <v>0</v>
      </c>
      <c r="BX147" s="23">
        <f>+'QTR Raw'!AR72</f>
        <v>0</v>
      </c>
      <c r="BY147" s="23">
        <f t="shared" si="1220"/>
        <v>0</v>
      </c>
      <c r="BZ147" s="23">
        <f>+'QTR Raw'!AT72</f>
        <v>0</v>
      </c>
      <c r="CA147" s="23">
        <f t="shared" si="1220"/>
        <v>0</v>
      </c>
      <c r="CB147" s="23">
        <f>+'QTR Raw'!AV72</f>
        <v>0</v>
      </c>
      <c r="CC147" s="23">
        <f t="shared" si="1220"/>
        <v>0</v>
      </c>
      <c r="CD147" s="23">
        <f>+'QTR Raw'!AX72</f>
        <v>0</v>
      </c>
      <c r="CE147" s="23">
        <f t="shared" si="1220"/>
        <v>0</v>
      </c>
      <c r="CF147" s="23">
        <f>+'QTR Raw'!AZ72</f>
        <v>0</v>
      </c>
      <c r="CG147" s="23">
        <f t="shared" si="1218"/>
        <v>0</v>
      </c>
      <c r="CH147" s="23">
        <f t="shared" si="1205"/>
        <v>0</v>
      </c>
      <c r="CI147" s="23">
        <f t="shared" si="1218"/>
        <v>0</v>
      </c>
      <c r="CJ147" s="23">
        <f>+'QTR Raw'!BD72</f>
        <v>0</v>
      </c>
      <c r="CK147" s="23">
        <f t="shared" ref="CK147:CK149" si="1221">+CJ147</f>
        <v>0</v>
      </c>
      <c r="CL147" s="23">
        <f>+'QTR Raw'!BF72</f>
        <v>0</v>
      </c>
      <c r="CM147" s="24">
        <f t="shared" ref="CM147:CM149" si="1222">+CL147</f>
        <v>0</v>
      </c>
      <c r="CN147" s="24">
        <f t="shared" ref="CN147:CN149" si="1223">+CM147</f>
        <v>0</v>
      </c>
      <c r="CO147" s="24">
        <f t="shared" ref="CO147:CO149" si="1224">+CN147</f>
        <v>0</v>
      </c>
      <c r="CP147" s="24">
        <f t="shared" ref="CP147:CP149" si="1225">+CO147</f>
        <v>0</v>
      </c>
      <c r="CQ147" s="24">
        <f t="shared" ref="CQ147:CQ149" si="1226">+CP147</f>
        <v>0</v>
      </c>
      <c r="CR147" s="24">
        <f t="shared" ref="CR147:CR149" si="1227">+CQ147</f>
        <v>0</v>
      </c>
      <c r="CS147" s="24">
        <f t="shared" ref="CS147:CS149" si="1228">+CR147</f>
        <v>0</v>
      </c>
      <c r="CT147" s="24">
        <f t="shared" ref="CT147:CT149" si="1229">+CS147</f>
        <v>0</v>
      </c>
      <c r="CU147" s="24">
        <f t="shared" ref="CU147:CU149" si="1230">+CT147</f>
        <v>0</v>
      </c>
      <c r="CV147" s="24">
        <f t="shared" ref="CV147:CV149" si="1231">+CU147</f>
        <v>0</v>
      </c>
      <c r="CW147" s="24">
        <f t="shared" ref="CW147:CW149" si="1232">+CV147</f>
        <v>0</v>
      </c>
      <c r="CX147" s="24">
        <f t="shared" ref="CX147:CX149" si="1233">+CW147</f>
        <v>0</v>
      </c>
      <c r="CY147" s="24">
        <f t="shared" ref="CY147:CY149" si="1234">+CX147</f>
        <v>0</v>
      </c>
      <c r="CZ147" s="24">
        <f t="shared" ref="CZ147:CZ149" si="1235">+CY147</f>
        <v>0</v>
      </c>
      <c r="DA147" s="24">
        <f t="shared" ref="DA147:DA149" si="1236">+CZ147</f>
        <v>0</v>
      </c>
      <c r="DB147" s="24">
        <f t="shared" ref="DB147:DB149" si="1237">+DA147</f>
        <v>0</v>
      </c>
      <c r="DE147" s="123"/>
      <c r="DF147" s="23">
        <v>0</v>
      </c>
    </row>
    <row r="148" spans="1:110" s="23" customFormat="1" outlineLevel="1" x14ac:dyDescent="0.2">
      <c r="A148" s="23" t="s">
        <v>55</v>
      </c>
      <c r="B148" s="23">
        <f>'Annual Raw'!C68</f>
        <v>0</v>
      </c>
      <c r="C148" s="23">
        <f>'Annual Raw'!D68</f>
        <v>0</v>
      </c>
      <c r="D148" s="23">
        <f>'Annual Raw'!E68</f>
        <v>0</v>
      </c>
      <c r="E148" s="23">
        <f>'Annual Raw'!F68</f>
        <v>0</v>
      </c>
      <c r="F148" s="23">
        <f>'Annual Raw'!G68</f>
        <v>0</v>
      </c>
      <c r="G148" s="23">
        <f>'Annual Raw'!H68</f>
        <v>0</v>
      </c>
      <c r="H148" s="23">
        <f>'Annual Raw'!I68</f>
        <v>0</v>
      </c>
      <c r="I148" s="23">
        <f>'Annual Raw'!J68</f>
        <v>0</v>
      </c>
      <c r="J148" s="23">
        <f>'Annual Raw'!K68</f>
        <v>0</v>
      </c>
      <c r="K148" s="23">
        <f>'Annual Raw'!L68</f>
        <v>0</v>
      </c>
      <c r="L148" s="23">
        <f>'Annual Raw'!M68</f>
        <v>0</v>
      </c>
      <c r="M148" s="23">
        <f>'Annual Raw'!N68</f>
        <v>0</v>
      </c>
      <c r="N148" s="23">
        <f>'Annual Raw'!O68</f>
        <v>0</v>
      </c>
      <c r="O148" s="23">
        <f>'Annual Raw'!P68</f>
        <v>0</v>
      </c>
      <c r="P148" s="23">
        <f>'Annual Raw'!Q68</f>
        <v>0</v>
      </c>
      <c r="Q148" s="23">
        <f>'Annual Raw'!R68</f>
        <v>0</v>
      </c>
      <c r="R148" s="23">
        <f>'Annual Raw'!S68</f>
        <v>0</v>
      </c>
      <c r="S148" s="23">
        <f>'Annual Raw'!T68</f>
        <v>0</v>
      </c>
      <c r="T148" s="23">
        <f>'Annual Raw'!U68</f>
        <v>0</v>
      </c>
      <c r="U148" s="23">
        <f>'Annual Raw'!V68</f>
        <v>0.32</v>
      </c>
      <c r="V148" s="23">
        <f>'Annual Raw'!W68</f>
        <v>0.32</v>
      </c>
      <c r="W148" s="23">
        <f>'Annual Raw'!X68</f>
        <v>0.32</v>
      </c>
      <c r="X148" s="23">
        <f>'Annual Raw'!Y68</f>
        <v>0</v>
      </c>
      <c r="Y148" s="23">
        <f>'Annual Raw'!Z68</f>
        <v>0</v>
      </c>
      <c r="Z148" s="23">
        <f>'Annual Raw'!AA68</f>
        <v>0</v>
      </c>
      <c r="AA148" s="23">
        <f>'Annual Raw'!AB68</f>
        <v>0</v>
      </c>
      <c r="AB148" s="24">
        <f t="shared" si="1201"/>
        <v>0</v>
      </c>
      <c r="AC148" s="24">
        <f t="shared" si="1202"/>
        <v>0</v>
      </c>
      <c r="AD148" s="24">
        <f t="shared" si="1203"/>
        <v>0</v>
      </c>
      <c r="AE148" s="24">
        <f t="shared" si="1204"/>
        <v>0</v>
      </c>
      <c r="AK148" s="23">
        <f t="shared" si="1220"/>
        <v>0</v>
      </c>
      <c r="AM148" s="23">
        <f t="shared" si="1220"/>
        <v>0</v>
      </c>
      <c r="AO148" s="23">
        <f t="shared" si="1220"/>
        <v>0</v>
      </c>
      <c r="AQ148" s="23">
        <f t="shared" si="1220"/>
        <v>0</v>
      </c>
      <c r="AS148" s="23">
        <f t="shared" si="1220"/>
        <v>0</v>
      </c>
      <c r="AU148" s="23">
        <f t="shared" si="1220"/>
        <v>0</v>
      </c>
      <c r="AW148" s="23">
        <f t="shared" si="1220"/>
        <v>0</v>
      </c>
      <c r="AY148" s="23">
        <f t="shared" si="1220"/>
        <v>0</v>
      </c>
      <c r="BA148" s="23">
        <f t="shared" si="1220"/>
        <v>0</v>
      </c>
      <c r="BC148" s="23">
        <f t="shared" si="1220"/>
        <v>0</v>
      </c>
      <c r="BE148" s="23">
        <f t="shared" si="1220"/>
        <v>0</v>
      </c>
      <c r="BG148" s="23">
        <f t="shared" si="1220"/>
        <v>0</v>
      </c>
      <c r="BI148" s="23">
        <f t="shared" si="1220"/>
        <v>0</v>
      </c>
      <c r="BK148" s="23">
        <f t="shared" si="1220"/>
        <v>0</v>
      </c>
      <c r="BM148" s="23">
        <f t="shared" si="1220"/>
        <v>0</v>
      </c>
      <c r="BO148" s="23">
        <f t="shared" si="1220"/>
        <v>0</v>
      </c>
      <c r="BQ148" s="23">
        <f t="shared" si="1220"/>
        <v>0</v>
      </c>
      <c r="BS148" s="23">
        <f t="shared" si="1220"/>
        <v>0</v>
      </c>
      <c r="BU148" s="23">
        <f t="shared" si="1220"/>
        <v>0</v>
      </c>
      <c r="BW148" s="23">
        <f t="shared" si="1220"/>
        <v>0</v>
      </c>
      <c r="BY148" s="23">
        <f t="shared" si="1220"/>
        <v>0</v>
      </c>
      <c r="CA148" s="23">
        <f t="shared" si="1220"/>
        <v>0</v>
      </c>
      <c r="CC148" s="23">
        <f t="shared" si="1220"/>
        <v>0</v>
      </c>
      <c r="CE148" s="23">
        <f t="shared" si="1220"/>
        <v>0</v>
      </c>
      <c r="CG148" s="23">
        <f t="shared" si="1218"/>
        <v>0</v>
      </c>
      <c r="CH148" s="23">
        <f t="shared" si="1205"/>
        <v>0</v>
      </c>
      <c r="CI148" s="23">
        <f t="shared" si="1218"/>
        <v>0</v>
      </c>
      <c r="CK148" s="23">
        <f t="shared" si="1221"/>
        <v>0</v>
      </c>
      <c r="CM148" s="24">
        <f t="shared" si="1222"/>
        <v>0</v>
      </c>
      <c r="CN148" s="24">
        <f t="shared" si="1223"/>
        <v>0</v>
      </c>
      <c r="CO148" s="24">
        <f t="shared" si="1224"/>
        <v>0</v>
      </c>
      <c r="CP148" s="24">
        <f t="shared" si="1225"/>
        <v>0</v>
      </c>
      <c r="CQ148" s="24">
        <f t="shared" si="1226"/>
        <v>0</v>
      </c>
      <c r="CR148" s="24">
        <f t="shared" si="1227"/>
        <v>0</v>
      </c>
      <c r="CS148" s="24">
        <f t="shared" si="1228"/>
        <v>0</v>
      </c>
      <c r="CT148" s="24">
        <f t="shared" si="1229"/>
        <v>0</v>
      </c>
      <c r="CU148" s="24">
        <f t="shared" si="1230"/>
        <v>0</v>
      </c>
      <c r="CV148" s="24">
        <f t="shared" si="1231"/>
        <v>0</v>
      </c>
      <c r="CW148" s="24">
        <f t="shared" si="1232"/>
        <v>0</v>
      </c>
      <c r="CX148" s="24">
        <f t="shared" si="1233"/>
        <v>0</v>
      </c>
      <c r="CY148" s="24">
        <f t="shared" si="1234"/>
        <v>0</v>
      </c>
      <c r="CZ148" s="24">
        <f t="shared" si="1235"/>
        <v>0</v>
      </c>
      <c r="DA148" s="24">
        <f t="shared" si="1236"/>
        <v>0</v>
      </c>
      <c r="DB148" s="24">
        <f t="shared" si="1237"/>
        <v>0</v>
      </c>
      <c r="DE148" s="123"/>
      <c r="DF148" s="23">
        <v>0</v>
      </c>
    </row>
    <row r="149" spans="1:110" s="23" customFormat="1" outlineLevel="1" x14ac:dyDescent="0.2">
      <c r="A149" s="23" t="s">
        <v>56</v>
      </c>
      <c r="B149" s="23">
        <f>'Annual Raw'!C67+'Annual Raw'!C66+'Annual Raw'!C69+'Annual Raw'!C70</f>
        <v>0</v>
      </c>
      <c r="C149" s="23">
        <f>'Annual Raw'!D67+'Annual Raw'!D66+'Annual Raw'!D69+'Annual Raw'!D70</f>
        <v>0</v>
      </c>
      <c r="D149" s="23">
        <f>'Annual Raw'!E67+'Annual Raw'!E66+'Annual Raw'!E69+'Annual Raw'!E70</f>
        <v>0</v>
      </c>
      <c r="E149" s="23">
        <f>'Annual Raw'!F67+'Annual Raw'!F66+'Annual Raw'!F69+'Annual Raw'!F70</f>
        <v>0</v>
      </c>
      <c r="F149" s="23">
        <f>'Annual Raw'!G67+'Annual Raw'!G66+'Annual Raw'!G69+'Annual Raw'!G70</f>
        <v>0</v>
      </c>
      <c r="G149" s="23">
        <f>'Annual Raw'!H67+'Annual Raw'!H66+'Annual Raw'!H69+'Annual Raw'!H70</f>
        <v>0</v>
      </c>
      <c r="H149" s="23">
        <f>'Annual Raw'!I67+'Annual Raw'!I66+'Annual Raw'!I69+'Annual Raw'!I70</f>
        <v>0</v>
      </c>
      <c r="I149" s="23">
        <f>'Annual Raw'!J67+'Annual Raw'!J66+'Annual Raw'!J69+'Annual Raw'!J70</f>
        <v>0</v>
      </c>
      <c r="J149" s="23">
        <f>'Annual Raw'!K67+'Annual Raw'!K66+'Annual Raw'!K69+'Annual Raw'!K70</f>
        <v>0</v>
      </c>
      <c r="K149" s="23">
        <f>'Annual Raw'!L67+'Annual Raw'!L66+'Annual Raw'!L69+'Annual Raw'!L70</f>
        <v>0</v>
      </c>
      <c r="L149" s="23">
        <f>'Annual Raw'!M67+'Annual Raw'!M66+'Annual Raw'!M69+'Annual Raw'!M70</f>
        <v>0</v>
      </c>
      <c r="M149" s="23">
        <f>'Annual Raw'!N67+'Annual Raw'!N66+'Annual Raw'!N69+'Annual Raw'!N70</f>
        <v>0</v>
      </c>
      <c r="N149" s="23">
        <f>'Annual Raw'!O67+'Annual Raw'!O66+'Annual Raw'!O69+'Annual Raw'!O70</f>
        <v>0</v>
      </c>
      <c r="O149" s="23">
        <f>'Annual Raw'!P67+'Annual Raw'!P66+'Annual Raw'!P69+'Annual Raw'!P70</f>
        <v>0</v>
      </c>
      <c r="P149" s="23">
        <f>'Annual Raw'!Q67+'Annual Raw'!Q66+'Annual Raw'!Q69+'Annual Raw'!Q70</f>
        <v>0</v>
      </c>
      <c r="Q149" s="23">
        <f>'Annual Raw'!R67+'Annual Raw'!R66+'Annual Raw'!R69+'Annual Raw'!R70</f>
        <v>0</v>
      </c>
      <c r="R149" s="23">
        <f>'Annual Raw'!S67+'Annual Raw'!S66+'Annual Raw'!S69+'Annual Raw'!S70</f>
        <v>0</v>
      </c>
      <c r="S149" s="23">
        <f>'Annual Raw'!T67+'Annual Raw'!T66+'Annual Raw'!T69+'Annual Raw'!T70</f>
        <v>2.8740000000000001</v>
      </c>
      <c r="T149" s="23">
        <f>'Annual Raw'!U67+'Annual Raw'!U66+'Annual Raw'!U69+'Annual Raw'!U70</f>
        <v>0</v>
      </c>
      <c r="U149" s="23">
        <f>'Annual Raw'!V67+'Annual Raw'!V66+'Annual Raw'!V69+'Annual Raw'!V70</f>
        <v>3.26</v>
      </c>
      <c r="V149" s="23">
        <f>'Annual Raw'!W67+'Annual Raw'!W66+'Annual Raw'!W69+'Annual Raw'!W70</f>
        <v>7.0000000000000007E-2</v>
      </c>
      <c r="W149" s="23">
        <f>'Annual Raw'!X67+'Annual Raw'!X66+'Annual Raw'!X69+'Annual Raw'!X70</f>
        <v>7.0000000000000007E-2</v>
      </c>
      <c r="X149" s="23">
        <f>'Annual Raw'!Y67+'Annual Raw'!Y66+'Annual Raw'!Y69+'Annual Raw'!Y70</f>
        <v>0.08</v>
      </c>
      <c r="Y149" s="23">
        <f>'Annual Raw'!Z67+'Annual Raw'!Z66+'Annual Raw'!Z69+'Annual Raw'!Z70</f>
        <v>0</v>
      </c>
      <c r="Z149" s="23">
        <f>'Annual Raw'!AA67+'Annual Raw'!AA66+'Annual Raw'!AA69+'Annual Raw'!AA70</f>
        <v>0</v>
      </c>
      <c r="AA149" s="23">
        <f>'Annual Raw'!AB67+'Annual Raw'!AB66+'Annual Raw'!AB69+'Annual Raw'!AB70</f>
        <v>0</v>
      </c>
      <c r="AB149" s="24">
        <f t="shared" si="1201"/>
        <v>0</v>
      </c>
      <c r="AC149" s="24">
        <f t="shared" si="1202"/>
        <v>0</v>
      </c>
      <c r="AD149" s="24">
        <f t="shared" si="1203"/>
        <v>0</v>
      </c>
      <c r="AE149" s="24">
        <f t="shared" si="1204"/>
        <v>0</v>
      </c>
      <c r="AJ149" s="23">
        <f>+'QTR Raw'!D74+'QTR Raw'!D75</f>
        <v>0</v>
      </c>
      <c r="AK149" s="23">
        <f t="shared" si="1220"/>
        <v>0</v>
      </c>
      <c r="AL149" s="23">
        <f>+'QTR Raw'!F74+'QTR Raw'!F75</f>
        <v>0</v>
      </c>
      <c r="AM149" s="23">
        <f t="shared" si="1220"/>
        <v>0</v>
      </c>
      <c r="AN149" s="23">
        <f>+'QTR Raw'!H74+'QTR Raw'!H75</f>
        <v>0</v>
      </c>
      <c r="AO149" s="23">
        <f t="shared" si="1220"/>
        <v>0</v>
      </c>
      <c r="AP149" s="23">
        <f>+'QTR Raw'!J74+'QTR Raw'!J75</f>
        <v>0</v>
      </c>
      <c r="AQ149" s="23">
        <f t="shared" si="1220"/>
        <v>0</v>
      </c>
      <c r="AR149" s="23">
        <f>+'QTR Raw'!L74+'QTR Raw'!L75</f>
        <v>0</v>
      </c>
      <c r="AS149" s="23">
        <f t="shared" si="1220"/>
        <v>0</v>
      </c>
      <c r="AT149" s="23">
        <f>+'QTR Raw'!N74+'QTR Raw'!N75</f>
        <v>0</v>
      </c>
      <c r="AU149" s="23">
        <f t="shared" si="1220"/>
        <v>0</v>
      </c>
      <c r="AV149" s="23">
        <f>+'QTR Raw'!P74+'QTR Raw'!P75</f>
        <v>0</v>
      </c>
      <c r="AW149" s="23">
        <f t="shared" si="1220"/>
        <v>0</v>
      </c>
      <c r="AX149" s="23">
        <f>+'QTR Raw'!R74+'QTR Raw'!R75</f>
        <v>0</v>
      </c>
      <c r="AY149" s="23">
        <f t="shared" si="1220"/>
        <v>0</v>
      </c>
      <c r="AZ149" s="23">
        <f>+'QTR Raw'!T74+'QTR Raw'!T75</f>
        <v>0</v>
      </c>
      <c r="BA149" s="23">
        <f t="shared" si="1220"/>
        <v>0</v>
      </c>
      <c r="BB149" s="23">
        <f>+'QTR Raw'!V74+'QTR Raw'!V75</f>
        <v>0</v>
      </c>
      <c r="BC149" s="23">
        <f t="shared" si="1220"/>
        <v>0</v>
      </c>
      <c r="BD149" s="23">
        <f>+'QTR Raw'!X74+'QTR Raw'!X75</f>
        <v>0</v>
      </c>
      <c r="BE149" s="23">
        <f t="shared" si="1220"/>
        <v>0</v>
      </c>
      <c r="BF149" s="23">
        <f>+'QTR Raw'!Z74+'QTR Raw'!Z75</f>
        <v>0</v>
      </c>
      <c r="BG149" s="23">
        <f t="shared" si="1220"/>
        <v>0</v>
      </c>
      <c r="BH149" s="23">
        <f>+'QTR Raw'!AB74+'QTR Raw'!AB75</f>
        <v>0</v>
      </c>
      <c r="BI149" s="23">
        <f t="shared" si="1220"/>
        <v>0</v>
      </c>
      <c r="BJ149" s="23">
        <f>+'QTR Raw'!AD74+'QTR Raw'!AD75</f>
        <v>0</v>
      </c>
      <c r="BK149" s="23">
        <f t="shared" si="1220"/>
        <v>0</v>
      </c>
      <c r="BL149" s="23">
        <f>+'QTR Raw'!AF74+'QTR Raw'!AF75</f>
        <v>0.24099999999999999</v>
      </c>
      <c r="BM149" s="23">
        <f t="shared" si="1220"/>
        <v>0.24099999999999999</v>
      </c>
      <c r="BN149" s="23">
        <f>+'QTR Raw'!AH74+'QTR Raw'!AH75</f>
        <v>3.26</v>
      </c>
      <c r="BO149" s="23">
        <f t="shared" si="1220"/>
        <v>3.26</v>
      </c>
      <c r="BP149" s="23">
        <f>+'QTR Raw'!AJ74+'QTR Raw'!AJ75</f>
        <v>4.12</v>
      </c>
      <c r="BQ149" s="23">
        <f t="shared" si="1220"/>
        <v>4.12</v>
      </c>
      <c r="BR149" s="23">
        <f>+'QTR Raw'!AL74+'QTR Raw'!AL75</f>
        <v>7.0000000000000007E-2</v>
      </c>
      <c r="BS149" s="23">
        <f t="shared" si="1220"/>
        <v>7.0000000000000007E-2</v>
      </c>
      <c r="BT149" s="23">
        <f>+'QTR Raw'!AN74+'QTR Raw'!AN75</f>
        <v>0.08</v>
      </c>
      <c r="BU149" s="23">
        <f t="shared" si="1220"/>
        <v>0.08</v>
      </c>
      <c r="BV149" s="23">
        <f>+'QTR Raw'!AP74+'QTR Raw'!AP75</f>
        <v>7.0000000000000007E-2</v>
      </c>
      <c r="BW149" s="23">
        <f t="shared" si="1220"/>
        <v>7.0000000000000007E-2</v>
      </c>
      <c r="BX149" s="23">
        <f>+'QTR Raw'!AR74+'QTR Raw'!AR75</f>
        <v>0.08</v>
      </c>
      <c r="BY149" s="23">
        <f t="shared" si="1220"/>
        <v>0.08</v>
      </c>
      <c r="BZ149" s="23">
        <f>+'QTR Raw'!AT74+'QTR Raw'!AT75</f>
        <v>0.08</v>
      </c>
      <c r="CA149" s="23">
        <f t="shared" si="1220"/>
        <v>0.08</v>
      </c>
      <c r="CB149" s="23">
        <f>+'QTR Raw'!AV74+'QTR Raw'!AV75</f>
        <v>0</v>
      </c>
      <c r="CC149" s="23">
        <f t="shared" si="1220"/>
        <v>0</v>
      </c>
      <c r="CD149" s="23">
        <f>+'QTR Raw'!AX74+'QTR Raw'!AX75</f>
        <v>0</v>
      </c>
      <c r="CE149" s="23">
        <f t="shared" si="1220"/>
        <v>0</v>
      </c>
      <c r="CF149" s="23">
        <f>+'QTR Raw'!AZ74+'QTR Raw'!AZ75</f>
        <v>0</v>
      </c>
      <c r="CG149" s="23">
        <f t="shared" si="1218"/>
        <v>0</v>
      </c>
      <c r="CH149" s="23">
        <f t="shared" si="1205"/>
        <v>0</v>
      </c>
      <c r="CI149" s="23">
        <f t="shared" si="1218"/>
        <v>0</v>
      </c>
      <c r="CJ149" s="23">
        <f>+'QTR Raw'!BD74+'QTR Raw'!BD75</f>
        <v>0</v>
      </c>
      <c r="CK149" s="23">
        <f t="shared" si="1221"/>
        <v>0</v>
      </c>
      <c r="CL149" s="23">
        <f>+'QTR Raw'!BF74+'QTR Raw'!BF75</f>
        <v>0</v>
      </c>
      <c r="CM149" s="24">
        <f t="shared" si="1222"/>
        <v>0</v>
      </c>
      <c r="CN149" s="24">
        <f t="shared" si="1223"/>
        <v>0</v>
      </c>
      <c r="CO149" s="24">
        <f t="shared" si="1224"/>
        <v>0</v>
      </c>
      <c r="CP149" s="24">
        <f t="shared" si="1225"/>
        <v>0</v>
      </c>
      <c r="CQ149" s="24">
        <f t="shared" si="1226"/>
        <v>0</v>
      </c>
      <c r="CR149" s="24">
        <f t="shared" si="1227"/>
        <v>0</v>
      </c>
      <c r="CS149" s="24">
        <f t="shared" si="1228"/>
        <v>0</v>
      </c>
      <c r="CT149" s="24">
        <f t="shared" si="1229"/>
        <v>0</v>
      </c>
      <c r="CU149" s="24">
        <f t="shared" si="1230"/>
        <v>0</v>
      </c>
      <c r="CV149" s="24">
        <f t="shared" si="1231"/>
        <v>0</v>
      </c>
      <c r="CW149" s="24">
        <f t="shared" si="1232"/>
        <v>0</v>
      </c>
      <c r="CX149" s="24">
        <f t="shared" si="1233"/>
        <v>0</v>
      </c>
      <c r="CY149" s="24">
        <f t="shared" si="1234"/>
        <v>0</v>
      </c>
      <c r="CZ149" s="24">
        <f t="shared" si="1235"/>
        <v>0</v>
      </c>
      <c r="DA149" s="24">
        <f t="shared" si="1236"/>
        <v>0</v>
      </c>
      <c r="DB149" s="24">
        <f t="shared" si="1237"/>
        <v>0</v>
      </c>
      <c r="DE149" s="123"/>
      <c r="DF149" s="23">
        <v>0</v>
      </c>
    </row>
    <row r="150" spans="1:110" s="22" customFormat="1" x14ac:dyDescent="0.2">
      <c r="A150" s="22" t="s">
        <v>57</v>
      </c>
      <c r="B150" s="22">
        <f>B146+B149+B148</f>
        <v>0</v>
      </c>
      <c r="C150" s="22">
        <f t="shared" ref="C150:D150" si="1238">C146+C149+C148</f>
        <v>0</v>
      </c>
      <c r="D150" s="22">
        <f t="shared" si="1238"/>
        <v>0</v>
      </c>
      <c r="E150" s="22">
        <f t="shared" ref="E150:Y150" si="1239">E146+E149+E148+E147</f>
        <v>0</v>
      </c>
      <c r="F150" s="22">
        <f t="shared" si="1239"/>
        <v>0</v>
      </c>
      <c r="G150" s="22">
        <f t="shared" si="1239"/>
        <v>0</v>
      </c>
      <c r="H150" s="22">
        <f t="shared" si="1239"/>
        <v>0</v>
      </c>
      <c r="I150" s="22">
        <f t="shared" si="1239"/>
        <v>0</v>
      </c>
      <c r="J150" s="22">
        <f t="shared" si="1239"/>
        <v>0</v>
      </c>
      <c r="K150" s="22">
        <f t="shared" si="1239"/>
        <v>0</v>
      </c>
      <c r="L150" s="22">
        <f t="shared" si="1239"/>
        <v>0</v>
      </c>
      <c r="M150" s="22">
        <f t="shared" si="1239"/>
        <v>0</v>
      </c>
      <c r="N150" s="22">
        <f t="shared" si="1239"/>
        <v>0</v>
      </c>
      <c r="O150" s="22">
        <f t="shared" si="1239"/>
        <v>0</v>
      </c>
      <c r="P150" s="22">
        <f t="shared" si="1239"/>
        <v>0</v>
      </c>
      <c r="Q150" s="22">
        <f t="shared" si="1239"/>
        <v>0</v>
      </c>
      <c r="R150" s="22">
        <f t="shared" si="1239"/>
        <v>0</v>
      </c>
      <c r="S150" s="22">
        <f t="shared" si="1239"/>
        <v>24.125</v>
      </c>
      <c r="T150" s="22">
        <f t="shared" si="1239"/>
        <v>31.488999999999997</v>
      </c>
      <c r="U150" s="22">
        <f t="shared" si="1239"/>
        <v>49.070000000000007</v>
      </c>
      <c r="V150" s="22">
        <f t="shared" si="1239"/>
        <v>46.73</v>
      </c>
      <c r="W150" s="22">
        <f t="shared" si="1239"/>
        <v>42.58</v>
      </c>
      <c r="X150" s="22">
        <f t="shared" si="1239"/>
        <v>44.320000000000007</v>
      </c>
      <c r="Y150" s="22">
        <f t="shared" si="1239"/>
        <v>56.209999999999994</v>
      </c>
      <c r="Z150" s="22">
        <f>Z146+Z149+Z148+Z147</f>
        <v>45.86</v>
      </c>
      <c r="AA150" s="22">
        <f>AA146+AA149+AA148+AA147</f>
        <v>41.28</v>
      </c>
      <c r="AB150" s="161">
        <f t="shared" ref="AB150:AE150" si="1240">AB146+AB149+AB148+AB147</f>
        <v>10.305523380756128</v>
      </c>
      <c r="AC150" s="161">
        <f t="shared" si="1240"/>
        <v>4.6336741776313772</v>
      </c>
      <c r="AD150" s="161">
        <f t="shared" si="1240"/>
        <v>2.0834396848335928</v>
      </c>
      <c r="AE150" s="161">
        <f t="shared" si="1240"/>
        <v>0.93677732916438572</v>
      </c>
      <c r="AJ150" s="22">
        <f t="shared" ref="AJ150" si="1241">AJ146+AJ149+AJ147+AJ148</f>
        <v>0</v>
      </c>
      <c r="AK150" s="22">
        <f t="shared" ref="AK150" si="1242">AK146+AK149+AK147+AK148</f>
        <v>0</v>
      </c>
      <c r="AL150" s="22">
        <f t="shared" ref="AL150:AM150" si="1243">AL146+AL149+AL147+AL148</f>
        <v>0</v>
      </c>
      <c r="AM150" s="22">
        <f t="shared" si="1243"/>
        <v>0</v>
      </c>
      <c r="AN150" s="22">
        <f t="shared" ref="AN150:AO150" si="1244">AN146+AN149+AN147+AN148</f>
        <v>0</v>
      </c>
      <c r="AO150" s="22">
        <f t="shared" si="1244"/>
        <v>0</v>
      </c>
      <c r="AP150" s="22">
        <f t="shared" ref="AP150:CE150" si="1245">AP146+AP149+AP147+AP148</f>
        <v>0</v>
      </c>
      <c r="AQ150" s="22">
        <f t="shared" si="1245"/>
        <v>0</v>
      </c>
      <c r="AR150" s="22">
        <f t="shared" si="1245"/>
        <v>0</v>
      </c>
      <c r="AS150" s="22">
        <f t="shared" si="1245"/>
        <v>0</v>
      </c>
      <c r="AT150" s="22">
        <f t="shared" si="1245"/>
        <v>0</v>
      </c>
      <c r="AU150" s="22">
        <f t="shared" si="1245"/>
        <v>0</v>
      </c>
      <c r="AV150" s="22">
        <f t="shared" si="1245"/>
        <v>0</v>
      </c>
      <c r="AW150" s="22">
        <f t="shared" si="1245"/>
        <v>0</v>
      </c>
      <c r="AX150" s="22">
        <f t="shared" si="1245"/>
        <v>0</v>
      </c>
      <c r="AY150" s="22">
        <f t="shared" si="1245"/>
        <v>0</v>
      </c>
      <c r="AZ150" s="22">
        <f t="shared" si="1245"/>
        <v>0</v>
      </c>
      <c r="BA150" s="22">
        <f t="shared" si="1245"/>
        <v>0</v>
      </c>
      <c r="BB150" s="22">
        <f t="shared" si="1245"/>
        <v>0</v>
      </c>
      <c r="BC150" s="22">
        <f t="shared" si="1245"/>
        <v>0</v>
      </c>
      <c r="BD150" s="22">
        <f t="shared" si="1245"/>
        <v>0</v>
      </c>
      <c r="BE150" s="22">
        <f t="shared" si="1245"/>
        <v>0</v>
      </c>
      <c r="BF150" s="22">
        <f t="shared" si="1245"/>
        <v>0</v>
      </c>
      <c r="BG150" s="22">
        <f t="shared" si="1245"/>
        <v>0</v>
      </c>
      <c r="BH150" s="22">
        <f t="shared" si="1245"/>
        <v>0</v>
      </c>
      <c r="BI150" s="22">
        <f t="shared" si="1245"/>
        <v>0</v>
      </c>
      <c r="BJ150" s="22">
        <f t="shared" si="1245"/>
        <v>31.488999999999997</v>
      </c>
      <c r="BK150" s="22">
        <f t="shared" si="1245"/>
        <v>31.488999999999997</v>
      </c>
      <c r="BL150" s="22">
        <f t="shared" si="1245"/>
        <v>39.522999999999996</v>
      </c>
      <c r="BM150" s="22">
        <f t="shared" si="1245"/>
        <v>39.522999999999996</v>
      </c>
      <c r="BN150" s="22">
        <f t="shared" si="1245"/>
        <v>38.75</v>
      </c>
      <c r="BO150" s="22">
        <f t="shared" si="1245"/>
        <v>38.75</v>
      </c>
      <c r="BP150" s="22">
        <f t="shared" si="1245"/>
        <v>45.309999999999995</v>
      </c>
      <c r="BQ150" s="22">
        <f t="shared" si="1245"/>
        <v>45.309999999999995</v>
      </c>
      <c r="BR150" s="22">
        <f t="shared" si="1245"/>
        <v>37.06</v>
      </c>
      <c r="BS150" s="22">
        <f t="shared" si="1245"/>
        <v>37.06</v>
      </c>
      <c r="BT150" s="22">
        <f t="shared" si="1245"/>
        <v>35.409999999999997</v>
      </c>
      <c r="BU150" s="22">
        <f t="shared" si="1245"/>
        <v>35.409999999999997</v>
      </c>
      <c r="BV150" s="22">
        <f t="shared" si="1245"/>
        <v>33.14</v>
      </c>
      <c r="BW150" s="22">
        <f t="shared" si="1245"/>
        <v>33.14</v>
      </c>
      <c r="BX150" s="22">
        <f t="shared" si="1245"/>
        <v>34.199999999999996</v>
      </c>
      <c r="BY150" s="22">
        <f t="shared" si="1245"/>
        <v>34.199999999999996</v>
      </c>
      <c r="BZ150" s="22">
        <f t="shared" si="1245"/>
        <v>32.06</v>
      </c>
      <c r="CA150" s="22">
        <f t="shared" si="1245"/>
        <v>32.06</v>
      </c>
      <c r="CB150" s="22">
        <f t="shared" si="1245"/>
        <v>28.26</v>
      </c>
      <c r="CC150" s="22">
        <f t="shared" si="1245"/>
        <v>28.26</v>
      </c>
      <c r="CD150" s="22">
        <f t="shared" si="1245"/>
        <v>23.92</v>
      </c>
      <c r="CE150" s="22">
        <f t="shared" si="1245"/>
        <v>23.92</v>
      </c>
      <c r="CF150" s="22">
        <f t="shared" ref="CF150:CG150" si="1246">CF146+CF149+CF147+CF148</f>
        <v>20.37</v>
      </c>
      <c r="CG150" s="22">
        <f t="shared" si="1246"/>
        <v>20.37</v>
      </c>
      <c r="CH150" s="22">
        <f t="shared" ref="CH150:CJ150" si="1247">CH146+CH149+CH147+CH148</f>
        <v>45.86</v>
      </c>
      <c r="CI150" s="22">
        <f t="shared" si="1247"/>
        <v>43.05</v>
      </c>
      <c r="CJ150" s="22">
        <f t="shared" si="1247"/>
        <v>18.760000000000002</v>
      </c>
      <c r="CK150" s="22">
        <f t="shared" ref="CK150:DB150" si="1248">CK146+CK149+CK147+CK148</f>
        <v>15.900000000000006</v>
      </c>
      <c r="CL150" s="22">
        <f t="shared" si="1248"/>
        <v>22.92</v>
      </c>
      <c r="CM150" s="21">
        <f t="shared" si="1248"/>
        <v>18.768452830188679</v>
      </c>
      <c r="CN150" s="21">
        <f t="shared" si="1248"/>
        <v>15.368884015663937</v>
      </c>
      <c r="CO150" s="21">
        <f t="shared" si="1248"/>
        <v>12.585086156222928</v>
      </c>
      <c r="CP150" s="21">
        <f t="shared" si="1248"/>
        <v>10.305523380756128</v>
      </c>
      <c r="CQ150" s="21">
        <f t="shared" si="1248"/>
        <v>8.438862541977656</v>
      </c>
      <c r="CR150" s="21">
        <f t="shared" si="1248"/>
        <v>6.9103138551288765</v>
      </c>
      <c r="CS150" s="21">
        <f t="shared" si="1248"/>
        <v>5.6586343643885471</v>
      </c>
      <c r="CT150" s="21">
        <f t="shared" si="1248"/>
        <v>4.6336741776313772</v>
      </c>
      <c r="CU150" s="21">
        <f t="shared" si="1248"/>
        <v>3.7943671567773976</v>
      </c>
      <c r="CV150" s="21">
        <f t="shared" si="1248"/>
        <v>3.1070855585686559</v>
      </c>
      <c r="CW150" s="21">
        <f t="shared" si="1248"/>
        <v>2.5442927026769695</v>
      </c>
      <c r="CX150" s="21">
        <f t="shared" si="1248"/>
        <v>2.0834396848335928</v>
      </c>
      <c r="CY150" s="21">
        <f t="shared" si="1248"/>
        <v>1.7060619305995885</v>
      </c>
      <c r="CZ150" s="21">
        <f t="shared" si="1248"/>
        <v>1.39703939222683</v>
      </c>
      <c r="DA150" s="21">
        <f t="shared" si="1248"/>
        <v>1.1439907475970585</v>
      </c>
      <c r="DB150" s="21">
        <f t="shared" si="1248"/>
        <v>0.93677732916438572</v>
      </c>
      <c r="DE150" s="126"/>
      <c r="DF150" s="22">
        <v>13.476012793176977</v>
      </c>
    </row>
    <row r="151" spans="1:110" s="23" customFormat="1" x14ac:dyDescent="0.2">
      <c r="AB151" s="24"/>
      <c r="AC151" s="24"/>
      <c r="AD151" s="24"/>
      <c r="AE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0" s="23" customFormat="1" x14ac:dyDescent="0.2">
      <c r="A152" s="23" t="s">
        <v>58</v>
      </c>
      <c r="B152" s="23">
        <f>'Annual Raw'!C71</f>
        <v>0</v>
      </c>
      <c r="C152" s="23">
        <f>'Annual Raw'!D71</f>
        <v>0</v>
      </c>
      <c r="D152" s="23">
        <f>'Annual Raw'!E71</f>
        <v>0</v>
      </c>
      <c r="E152" s="23">
        <f>'Annual Raw'!F71</f>
        <v>0</v>
      </c>
      <c r="F152" s="23">
        <f>'Annual Raw'!G71</f>
        <v>0</v>
      </c>
      <c r="G152" s="23">
        <f>'Annual Raw'!H71</f>
        <v>0</v>
      </c>
      <c r="H152" s="23">
        <f>'Annual Raw'!I71</f>
        <v>0</v>
      </c>
      <c r="I152" s="23">
        <f>'Annual Raw'!J71</f>
        <v>0</v>
      </c>
      <c r="J152" s="23">
        <f>'Annual Raw'!K71</f>
        <v>0</v>
      </c>
      <c r="K152" s="23">
        <f>'Annual Raw'!L71</f>
        <v>0</v>
      </c>
      <c r="L152" s="23">
        <f>'Annual Raw'!M71</f>
        <v>0</v>
      </c>
      <c r="M152" s="23">
        <f>'Annual Raw'!N71</f>
        <v>0</v>
      </c>
      <c r="N152" s="23">
        <f>'Annual Raw'!O71</f>
        <v>0</v>
      </c>
      <c r="O152" s="23">
        <f>'Annual Raw'!P71</f>
        <v>0</v>
      </c>
      <c r="P152" s="23">
        <f>'Annual Raw'!Q71</f>
        <v>0</v>
      </c>
      <c r="Q152" s="23">
        <f>'Annual Raw'!R71</f>
        <v>0</v>
      </c>
      <c r="R152" s="23">
        <f>'Annual Raw'!S71</f>
        <v>0</v>
      </c>
      <c r="S152" s="23">
        <f>'Annual Raw'!T71</f>
        <v>0</v>
      </c>
      <c r="T152" s="23">
        <f>'Annual Raw'!U71</f>
        <v>0</v>
      </c>
      <c r="U152" s="23">
        <f>'Annual Raw'!V71</f>
        <v>0</v>
      </c>
      <c r="V152" s="23">
        <f>'Annual Raw'!W71</f>
        <v>0</v>
      </c>
      <c r="W152" s="23">
        <f>'Annual Raw'!X71</f>
        <v>0</v>
      </c>
      <c r="X152" s="23">
        <f>'Annual Raw'!Y71</f>
        <v>0</v>
      </c>
      <c r="Y152" s="23">
        <f>'Annual Raw'!Z71</f>
        <v>0</v>
      </c>
      <c r="Z152" s="23">
        <f>'Annual Raw'!AA71</f>
        <v>0</v>
      </c>
      <c r="AA152" s="23">
        <f>'Annual Raw'!AB71</f>
        <v>0</v>
      </c>
      <c r="AB152" s="24">
        <f>+CP152</f>
        <v>0</v>
      </c>
      <c r="AC152" s="24">
        <f>+CT152</f>
        <v>0</v>
      </c>
      <c r="AD152" s="24">
        <f>+CX152</f>
        <v>0</v>
      </c>
      <c r="AE152" s="24">
        <f>+DB152</f>
        <v>0</v>
      </c>
      <c r="AJ152" s="23">
        <f>+'QTR Raw'!D77</f>
        <v>0</v>
      </c>
      <c r="AK152" s="23">
        <f t="shared" ref="AK152:CE152" si="1249">+AJ152</f>
        <v>0</v>
      </c>
      <c r="AL152" s="23">
        <f>+'QTR Raw'!F77</f>
        <v>0</v>
      </c>
      <c r="AM152" s="23">
        <f t="shared" si="1249"/>
        <v>0</v>
      </c>
      <c r="AN152" s="23">
        <f>+'QTR Raw'!H77</f>
        <v>0</v>
      </c>
      <c r="AO152" s="23">
        <f t="shared" si="1249"/>
        <v>0</v>
      </c>
      <c r="AP152" s="23">
        <f>+'QTR Raw'!J77</f>
        <v>0</v>
      </c>
      <c r="AQ152" s="23">
        <f t="shared" si="1249"/>
        <v>0</v>
      </c>
      <c r="AR152" s="23">
        <f>+'QTR Raw'!L77</f>
        <v>0</v>
      </c>
      <c r="AS152" s="23">
        <f t="shared" si="1249"/>
        <v>0</v>
      </c>
      <c r="AT152" s="23">
        <f>+'QTR Raw'!N77</f>
        <v>0</v>
      </c>
      <c r="AU152" s="23">
        <f t="shared" si="1249"/>
        <v>0</v>
      </c>
      <c r="AV152" s="23">
        <f>+'QTR Raw'!P77</f>
        <v>0</v>
      </c>
      <c r="AW152" s="23">
        <f t="shared" si="1249"/>
        <v>0</v>
      </c>
      <c r="AX152" s="23">
        <f>+'QTR Raw'!R77</f>
        <v>0</v>
      </c>
      <c r="AY152" s="23">
        <f t="shared" si="1249"/>
        <v>0</v>
      </c>
      <c r="AZ152" s="23">
        <f>+'QTR Raw'!T77</f>
        <v>0</v>
      </c>
      <c r="BA152" s="23">
        <f t="shared" si="1249"/>
        <v>0</v>
      </c>
      <c r="BB152" s="23">
        <f>+'QTR Raw'!V77</f>
        <v>0</v>
      </c>
      <c r="BC152" s="23">
        <f t="shared" si="1249"/>
        <v>0</v>
      </c>
      <c r="BD152" s="23">
        <f>+'QTR Raw'!X77</f>
        <v>0</v>
      </c>
      <c r="BE152" s="23">
        <f t="shared" si="1249"/>
        <v>0</v>
      </c>
      <c r="BF152" s="23">
        <f>+'QTR Raw'!Z77</f>
        <v>0</v>
      </c>
      <c r="BG152" s="23">
        <f t="shared" si="1249"/>
        <v>0</v>
      </c>
      <c r="BH152" s="23">
        <f>+'QTR Raw'!AB77</f>
        <v>0</v>
      </c>
      <c r="BI152" s="23">
        <f t="shared" si="1249"/>
        <v>0</v>
      </c>
      <c r="BJ152" s="23">
        <f>+'QTR Raw'!AD77</f>
        <v>0</v>
      </c>
      <c r="BK152" s="23">
        <f t="shared" si="1249"/>
        <v>0</v>
      </c>
      <c r="BL152" s="23">
        <f>+'QTR Raw'!AF77</f>
        <v>0</v>
      </c>
      <c r="BM152" s="23">
        <f t="shared" si="1249"/>
        <v>0</v>
      </c>
      <c r="BN152" s="23">
        <f>+'QTR Raw'!AH77</f>
        <v>0</v>
      </c>
      <c r="BO152" s="23">
        <f t="shared" si="1249"/>
        <v>0</v>
      </c>
      <c r="BP152" s="23">
        <f>+'QTR Raw'!AJ77</f>
        <v>0</v>
      </c>
      <c r="BQ152" s="23">
        <f t="shared" si="1249"/>
        <v>0</v>
      </c>
      <c r="BR152" s="23">
        <f>+'QTR Raw'!AL77</f>
        <v>0</v>
      </c>
      <c r="BS152" s="23">
        <f t="shared" si="1249"/>
        <v>0</v>
      </c>
      <c r="BT152" s="23">
        <f>+'QTR Raw'!AN77</f>
        <v>0</v>
      </c>
      <c r="BU152" s="23">
        <f t="shared" si="1249"/>
        <v>0</v>
      </c>
      <c r="BV152" s="23">
        <f>+'QTR Raw'!AP77</f>
        <v>0</v>
      </c>
      <c r="BW152" s="23">
        <f t="shared" si="1249"/>
        <v>0</v>
      </c>
      <c r="BX152" s="23">
        <f>+'QTR Raw'!AR77</f>
        <v>0</v>
      </c>
      <c r="BY152" s="23">
        <f t="shared" si="1249"/>
        <v>0</v>
      </c>
      <c r="BZ152" s="23">
        <f>+'QTR Raw'!AT77</f>
        <v>0</v>
      </c>
      <c r="CA152" s="23">
        <f t="shared" si="1249"/>
        <v>0</v>
      </c>
      <c r="CB152" s="23">
        <f>+'QTR Raw'!AV77</f>
        <v>0</v>
      </c>
      <c r="CC152" s="23">
        <f t="shared" si="1249"/>
        <v>0</v>
      </c>
      <c r="CD152" s="23">
        <f>+'QTR Raw'!AX77</f>
        <v>0</v>
      </c>
      <c r="CE152" s="23">
        <f t="shared" si="1249"/>
        <v>0</v>
      </c>
      <c r="CF152" s="23">
        <f>+'QTR Raw'!AZ77</f>
        <v>0</v>
      </c>
      <c r="CG152" s="23">
        <f t="shared" ref="CG152:CI155" si="1250">+CF152</f>
        <v>0</v>
      </c>
      <c r="CH152" s="23">
        <f t="shared" ref="CH152:CH167" si="1251">Z152</f>
        <v>0</v>
      </c>
      <c r="CI152" s="23">
        <f t="shared" si="1250"/>
        <v>0</v>
      </c>
      <c r="CJ152" s="23">
        <f>+'QTR Raw'!BD77</f>
        <v>0</v>
      </c>
      <c r="CK152" s="23">
        <f t="shared" ref="CK152" si="1252">+CJ152</f>
        <v>0</v>
      </c>
      <c r="CL152" s="23">
        <f>+'QTR Raw'!BF77</f>
        <v>0</v>
      </c>
      <c r="CM152" s="24">
        <f t="shared" ref="CM152" si="1253">+CL152</f>
        <v>0</v>
      </c>
      <c r="CN152" s="24">
        <f t="shared" ref="CN152" si="1254">+CM152</f>
        <v>0</v>
      </c>
      <c r="CO152" s="24">
        <f t="shared" ref="CO152" si="1255">+CN152</f>
        <v>0</v>
      </c>
      <c r="CP152" s="24">
        <f t="shared" ref="CP152" si="1256">+CO152</f>
        <v>0</v>
      </c>
      <c r="CQ152" s="24">
        <f t="shared" ref="CQ152" si="1257">+CP152</f>
        <v>0</v>
      </c>
      <c r="CR152" s="24">
        <f t="shared" ref="CR152" si="1258">+CQ152</f>
        <v>0</v>
      </c>
      <c r="CS152" s="24">
        <f t="shared" ref="CS152" si="1259">+CR152</f>
        <v>0</v>
      </c>
      <c r="CT152" s="24">
        <f t="shared" ref="CT152" si="1260">+CS152</f>
        <v>0</v>
      </c>
      <c r="CU152" s="24">
        <f t="shared" ref="CU152" si="1261">+CT152</f>
        <v>0</v>
      </c>
      <c r="CV152" s="24">
        <f t="shared" ref="CV152" si="1262">+CU152</f>
        <v>0</v>
      </c>
      <c r="CW152" s="24">
        <f t="shared" ref="CW152" si="1263">+CV152</f>
        <v>0</v>
      </c>
      <c r="CX152" s="24">
        <f t="shared" ref="CX152" si="1264">+CW152</f>
        <v>0</v>
      </c>
      <c r="CY152" s="24">
        <f t="shared" ref="CY152" si="1265">+CX152</f>
        <v>0</v>
      </c>
      <c r="CZ152" s="24">
        <f t="shared" ref="CZ152" si="1266">+CY152</f>
        <v>0</v>
      </c>
      <c r="DA152" s="24">
        <f t="shared" ref="DA152" si="1267">+CZ152</f>
        <v>0</v>
      </c>
      <c r="DB152" s="24">
        <f t="shared" ref="DB152" si="1268">+DA152</f>
        <v>0</v>
      </c>
      <c r="DE152" s="123"/>
      <c r="DF152" s="23">
        <v>0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outlineLevel="1" x14ac:dyDescent="0.2">
      <c r="A154" s="23" t="s">
        <v>59</v>
      </c>
      <c r="B154" s="23">
        <f>'Annual Raw'!C72</f>
        <v>0</v>
      </c>
      <c r="C154" s="23">
        <f>'Annual Raw'!D72</f>
        <v>0</v>
      </c>
      <c r="D154" s="23">
        <f>'Annual Raw'!E72</f>
        <v>0</v>
      </c>
      <c r="E154" s="23">
        <f>'Annual Raw'!F72+'Annual Raw'!F61</f>
        <v>0</v>
      </c>
      <c r="F154" s="23">
        <f>'Annual Raw'!G72+'Annual Raw'!G61</f>
        <v>0</v>
      </c>
      <c r="G154" s="23">
        <f>'Annual Raw'!H72+'Annual Raw'!H61</f>
        <v>0</v>
      </c>
      <c r="H154" s="23">
        <f>'Annual Raw'!I72+'Annual Raw'!I61</f>
        <v>0</v>
      </c>
      <c r="I154" s="23">
        <f>'Annual Raw'!J72+'Annual Raw'!J61</f>
        <v>0</v>
      </c>
      <c r="J154" s="23">
        <f>'Annual Raw'!K72+'Annual Raw'!K61</f>
        <v>0</v>
      </c>
      <c r="K154" s="23">
        <f>'Annual Raw'!L72+'Annual Raw'!L61</f>
        <v>0</v>
      </c>
      <c r="L154" s="23">
        <f>'Annual Raw'!M72+'Annual Raw'!M61</f>
        <v>0</v>
      </c>
      <c r="M154" s="23">
        <f>'Annual Raw'!N72+'Annual Raw'!N61</f>
        <v>0</v>
      </c>
      <c r="N154" s="23">
        <f>'Annual Raw'!O72+'Annual Raw'!O61</f>
        <v>0</v>
      </c>
      <c r="O154" s="23">
        <f>'Annual Raw'!P72+'Annual Raw'!P61</f>
        <v>0</v>
      </c>
      <c r="P154" s="23">
        <f>'Annual Raw'!Q72+'Annual Raw'!Q61</f>
        <v>0</v>
      </c>
      <c r="Q154" s="23">
        <f>'Annual Raw'!R72+'Annual Raw'!R61</f>
        <v>0</v>
      </c>
      <c r="R154" s="23">
        <f>'Annual Raw'!S72+'Annual Raw'!S61</f>
        <v>0</v>
      </c>
      <c r="S154" s="23">
        <f>'Annual Raw'!T72+'Annual Raw'!T61</f>
        <v>6.1550000000000002</v>
      </c>
      <c r="T154" s="23">
        <f>'Annual Raw'!U72+'Annual Raw'!U61</f>
        <v>2.9129999999999998</v>
      </c>
      <c r="U154" s="23">
        <f>'Annual Raw'!V72+'Annual Raw'!V61</f>
        <v>12.78</v>
      </c>
      <c r="V154" s="23">
        <f>'Annual Raw'!W72+'Annual Raw'!W61</f>
        <v>39.22</v>
      </c>
      <c r="W154" s="23">
        <f>'Annual Raw'!X72+'Annual Raw'!X61</f>
        <v>45.48</v>
      </c>
      <c r="X154" s="23">
        <f>'Annual Raw'!Y72+'Annual Raw'!Y61</f>
        <v>64.260000000000005</v>
      </c>
      <c r="Y154" s="23">
        <f>'Annual Raw'!Z72+'Annual Raw'!Z61</f>
        <v>32.51</v>
      </c>
      <c r="Z154" s="23">
        <f>'Annual Raw'!AA72+'Annual Raw'!AA61</f>
        <v>94.6</v>
      </c>
      <c r="AA154" s="23">
        <f>'Annual Raw'!AB72+'Annual Raw'!AB61</f>
        <v>132.83000000000001</v>
      </c>
      <c r="AB154" s="24">
        <f t="shared" ref="AB154:AB159" si="1269">+CP154</f>
        <v>0</v>
      </c>
      <c r="AC154" s="24">
        <f t="shared" ref="AC154:AC159" si="1270">+CT154</f>
        <v>0</v>
      </c>
      <c r="AD154" s="24">
        <f t="shared" ref="AD154:AD159" si="1271">+CX154</f>
        <v>0</v>
      </c>
      <c r="AE154" s="24">
        <f t="shared" ref="AE154:AE159" si="1272">+DB154</f>
        <v>0</v>
      </c>
      <c r="AJ154" s="23">
        <f>+'QTR Raw'!D78</f>
        <v>0</v>
      </c>
      <c r="AK154" s="23">
        <f t="shared" ref="AK154:CE159" si="1273">+AJ154</f>
        <v>0</v>
      </c>
      <c r="AL154" s="23">
        <f>+'QTR Raw'!F78</f>
        <v>0</v>
      </c>
      <c r="AM154" s="23">
        <f t="shared" si="1273"/>
        <v>0</v>
      </c>
      <c r="AN154" s="23">
        <f>+'QTR Raw'!H78</f>
        <v>0</v>
      </c>
      <c r="AO154" s="23">
        <f t="shared" si="1273"/>
        <v>0</v>
      </c>
      <c r="AP154" s="23">
        <f>+'QTR Raw'!J78</f>
        <v>0</v>
      </c>
      <c r="AQ154" s="23">
        <f t="shared" si="1273"/>
        <v>0</v>
      </c>
      <c r="AR154" s="23">
        <f>+'QTR Raw'!L78</f>
        <v>0</v>
      </c>
      <c r="AS154" s="23">
        <f t="shared" si="1273"/>
        <v>0</v>
      </c>
      <c r="AT154" s="23">
        <f>+'QTR Raw'!N78</f>
        <v>0</v>
      </c>
      <c r="AU154" s="23">
        <f t="shared" si="1273"/>
        <v>0</v>
      </c>
      <c r="AV154" s="23">
        <f>+'QTR Raw'!P78</f>
        <v>0</v>
      </c>
      <c r="AW154" s="23">
        <f t="shared" si="1273"/>
        <v>0</v>
      </c>
      <c r="AX154" s="23">
        <f>+'QTR Raw'!R78</f>
        <v>0</v>
      </c>
      <c r="AY154" s="23">
        <f t="shared" si="1273"/>
        <v>0</v>
      </c>
      <c r="AZ154" s="23">
        <f>+'QTR Raw'!T78</f>
        <v>0</v>
      </c>
      <c r="BA154" s="23">
        <f t="shared" si="1273"/>
        <v>0</v>
      </c>
      <c r="BB154" s="23">
        <f>+'QTR Raw'!V78</f>
        <v>0</v>
      </c>
      <c r="BC154" s="23">
        <f t="shared" si="1273"/>
        <v>0</v>
      </c>
      <c r="BD154" s="23">
        <f>+'QTR Raw'!X78</f>
        <v>0</v>
      </c>
      <c r="BE154" s="23">
        <f t="shared" si="1273"/>
        <v>0</v>
      </c>
      <c r="BF154" s="23">
        <f>+'QTR Raw'!Z78</f>
        <v>0</v>
      </c>
      <c r="BG154" s="23">
        <f t="shared" si="1273"/>
        <v>0</v>
      </c>
      <c r="BH154" s="23">
        <f>+'QTR Raw'!AB78</f>
        <v>0</v>
      </c>
      <c r="BI154" s="23">
        <f t="shared" si="1273"/>
        <v>0</v>
      </c>
      <c r="BJ154" s="23">
        <f>+'QTR Raw'!AD78</f>
        <v>1.1719999999999999</v>
      </c>
      <c r="BK154" s="23">
        <f t="shared" si="1273"/>
        <v>1.1719999999999999</v>
      </c>
      <c r="BL154" s="23">
        <f>+'QTR Raw'!AF78</f>
        <v>1.1719999999999999</v>
      </c>
      <c r="BM154" s="23">
        <f t="shared" si="1273"/>
        <v>1.1719999999999999</v>
      </c>
      <c r="BN154" s="23">
        <f>+'QTR Raw'!AH78</f>
        <v>1.44</v>
      </c>
      <c r="BO154" s="23">
        <f t="shared" si="1273"/>
        <v>1.44</v>
      </c>
      <c r="BP154" s="23">
        <f>+'QTR Raw'!AJ78</f>
        <v>0.77</v>
      </c>
      <c r="BQ154" s="23">
        <f t="shared" si="1273"/>
        <v>0.77</v>
      </c>
      <c r="BR154" s="23">
        <f>+'QTR Raw'!AL78</f>
        <v>0</v>
      </c>
      <c r="BS154" s="23">
        <f t="shared" si="1273"/>
        <v>0</v>
      </c>
      <c r="BT154" s="23">
        <f>+'QTR Raw'!AN78</f>
        <v>0</v>
      </c>
      <c r="BU154" s="23">
        <f t="shared" si="1273"/>
        <v>0</v>
      </c>
      <c r="BV154" s="23">
        <f>+'QTR Raw'!AP78</f>
        <v>0</v>
      </c>
      <c r="BW154" s="23">
        <f t="shared" si="1273"/>
        <v>0</v>
      </c>
      <c r="BX154" s="23">
        <f>+'QTR Raw'!AR78</f>
        <v>0</v>
      </c>
      <c r="BY154" s="23">
        <f t="shared" si="1273"/>
        <v>0</v>
      </c>
      <c r="BZ154" s="23">
        <f>+'QTR Raw'!AT78</f>
        <v>0</v>
      </c>
      <c r="CA154" s="23">
        <f t="shared" si="1273"/>
        <v>0</v>
      </c>
      <c r="CB154" s="23">
        <f>+'QTR Raw'!AV78</f>
        <v>0</v>
      </c>
      <c r="CC154" s="23">
        <f t="shared" si="1273"/>
        <v>0</v>
      </c>
      <c r="CD154" s="23">
        <f>+'QTR Raw'!AX78</f>
        <v>0</v>
      </c>
      <c r="CE154" s="23">
        <f t="shared" si="1273"/>
        <v>0</v>
      </c>
      <c r="CF154" s="23">
        <f>+'QTR Raw'!AZ78</f>
        <v>0</v>
      </c>
      <c r="CG154" s="23">
        <f t="shared" si="1250"/>
        <v>0</v>
      </c>
      <c r="CH154" s="23">
        <f t="shared" si="1251"/>
        <v>94.6</v>
      </c>
      <c r="CJ154" s="23">
        <f>+'QTR Raw'!BD78</f>
        <v>0</v>
      </c>
      <c r="CL154" s="23">
        <f>+'QTR Raw'!BF78</f>
        <v>0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0</v>
      </c>
    </row>
    <row r="155" spans="1:110" s="23" customFormat="1" outlineLevel="1" x14ac:dyDescent="0.2">
      <c r="A155" s="23" t="s">
        <v>60</v>
      </c>
      <c r="B155" s="23">
        <f>'Annual Raw'!C73+'Annual Raw'!C81</f>
        <v>0</v>
      </c>
      <c r="C155" s="23">
        <f>'Annual Raw'!D73+'Annual Raw'!D81</f>
        <v>0</v>
      </c>
      <c r="D155" s="23">
        <f>'Annual Raw'!E73+'Annual Raw'!E81</f>
        <v>0</v>
      </c>
      <c r="E155" s="23">
        <f>'Annual Raw'!F73+'Annual Raw'!F81</f>
        <v>0</v>
      </c>
      <c r="F155" s="23">
        <f>'Annual Raw'!G73+'Annual Raw'!G81</f>
        <v>0</v>
      </c>
      <c r="G155" s="23">
        <f>'Annual Raw'!H73+'Annual Raw'!H81</f>
        <v>0</v>
      </c>
      <c r="H155" s="23">
        <f>'Annual Raw'!I73+'Annual Raw'!I81</f>
        <v>0</v>
      </c>
      <c r="I155" s="23">
        <f>'Annual Raw'!J73+'Annual Raw'!J81</f>
        <v>0</v>
      </c>
      <c r="J155" s="23">
        <f>'Annual Raw'!K73+'Annual Raw'!K81</f>
        <v>0</v>
      </c>
      <c r="K155" s="23">
        <f>'Annual Raw'!L73+'Annual Raw'!L81</f>
        <v>0</v>
      </c>
      <c r="L155" s="23">
        <f>'Annual Raw'!M73+'Annual Raw'!M81</f>
        <v>0</v>
      </c>
      <c r="M155" s="23">
        <f>'Annual Raw'!N73+'Annual Raw'!N81</f>
        <v>0</v>
      </c>
      <c r="N155" s="23">
        <f>'Annual Raw'!O73+'Annual Raw'!O81</f>
        <v>0</v>
      </c>
      <c r="O155" s="23">
        <f>'Annual Raw'!P73+'Annual Raw'!P81</f>
        <v>0</v>
      </c>
      <c r="P155" s="23">
        <f>'Annual Raw'!Q73+'Annual Raw'!Q81</f>
        <v>0</v>
      </c>
      <c r="Q155" s="23">
        <f>'Annual Raw'!R73+'Annual Raw'!R81</f>
        <v>0</v>
      </c>
      <c r="R155" s="23">
        <f>'Annual Raw'!S73+'Annual Raw'!S81</f>
        <v>0</v>
      </c>
      <c r="S155" s="23">
        <f>'Annual Raw'!T73+'Annual Raw'!T81</f>
        <v>0.26100000000000001</v>
      </c>
      <c r="T155" s="23">
        <f>'Annual Raw'!U73+'Annual Raw'!U81</f>
        <v>0.70599999999999996</v>
      </c>
      <c r="U155" s="23">
        <f>'Annual Raw'!V73+'Annual Raw'!V81</f>
        <v>1.96</v>
      </c>
      <c r="V155" s="23">
        <f>'Annual Raw'!W73+'Annual Raw'!W81</f>
        <v>17.77</v>
      </c>
      <c r="W155" s="23">
        <f>'Annual Raw'!X73+'Annual Raw'!X81</f>
        <v>4</v>
      </c>
      <c r="X155" s="23">
        <f>'Annual Raw'!Y73+'Annual Raw'!Y81</f>
        <v>10</v>
      </c>
      <c r="Y155" s="23">
        <f>'Annual Raw'!Z73+'Annual Raw'!Z81</f>
        <v>26.95</v>
      </c>
      <c r="Z155" s="23">
        <f>'Annual Raw'!AA73+'Annual Raw'!AA81</f>
        <v>285.94</v>
      </c>
      <c r="AA155" s="23">
        <f>'Annual Raw'!AB73+'Annual Raw'!AB81</f>
        <v>334.71</v>
      </c>
      <c r="AB155" s="24">
        <f t="shared" si="1269"/>
        <v>0</v>
      </c>
      <c r="AC155" s="24">
        <f t="shared" si="1270"/>
        <v>0</v>
      </c>
      <c r="AD155" s="24">
        <f t="shared" si="1271"/>
        <v>0</v>
      </c>
      <c r="AE155" s="24">
        <f t="shared" si="1272"/>
        <v>0</v>
      </c>
      <c r="AJ155" s="23">
        <f>+'QTR Raw'!D79+'QTR Raw'!D76</f>
        <v>0</v>
      </c>
      <c r="AK155" s="23">
        <f t="shared" si="1273"/>
        <v>0</v>
      </c>
      <c r="AL155" s="23">
        <f>+'QTR Raw'!F79+'QTR Raw'!F76</f>
        <v>0</v>
      </c>
      <c r="AM155" s="23">
        <f t="shared" si="1273"/>
        <v>0</v>
      </c>
      <c r="AN155" s="23">
        <f>+'QTR Raw'!H79+'QTR Raw'!H76</f>
        <v>0</v>
      </c>
      <c r="AO155" s="23">
        <f t="shared" si="1273"/>
        <v>0</v>
      </c>
      <c r="AP155" s="23">
        <f>+'QTR Raw'!J79+'QTR Raw'!J76</f>
        <v>0</v>
      </c>
      <c r="AQ155" s="23">
        <f t="shared" si="1273"/>
        <v>0</v>
      </c>
      <c r="AR155" s="23">
        <f>+'QTR Raw'!L79+'QTR Raw'!L76</f>
        <v>0</v>
      </c>
      <c r="AS155" s="23">
        <f t="shared" si="1273"/>
        <v>0</v>
      </c>
      <c r="AT155" s="23">
        <f>+'QTR Raw'!N79+'QTR Raw'!N76</f>
        <v>0</v>
      </c>
      <c r="AU155" s="23">
        <f t="shared" si="1273"/>
        <v>0</v>
      </c>
      <c r="AV155" s="23">
        <f>+'QTR Raw'!P79+'QTR Raw'!P76</f>
        <v>0</v>
      </c>
      <c r="AW155" s="23">
        <f t="shared" si="1273"/>
        <v>0</v>
      </c>
      <c r="AX155" s="23">
        <f>+'QTR Raw'!R79+'QTR Raw'!R76</f>
        <v>0</v>
      </c>
      <c r="AY155" s="23">
        <f t="shared" si="1273"/>
        <v>0</v>
      </c>
      <c r="AZ155" s="23">
        <f>+'QTR Raw'!T79+'QTR Raw'!T76</f>
        <v>0</v>
      </c>
      <c r="BA155" s="23">
        <f t="shared" si="1273"/>
        <v>0</v>
      </c>
      <c r="BB155" s="23">
        <f>+'QTR Raw'!V79+'QTR Raw'!V76</f>
        <v>0</v>
      </c>
      <c r="BC155" s="23">
        <f t="shared" si="1273"/>
        <v>0</v>
      </c>
      <c r="BD155" s="23">
        <f>+'QTR Raw'!X79+'QTR Raw'!X76</f>
        <v>0</v>
      </c>
      <c r="BE155" s="23">
        <f t="shared" si="1273"/>
        <v>0</v>
      </c>
      <c r="BF155" s="23">
        <f>+'QTR Raw'!Z79+'QTR Raw'!Z76</f>
        <v>0</v>
      </c>
      <c r="BG155" s="23">
        <f t="shared" si="1273"/>
        <v>0</v>
      </c>
      <c r="BH155" s="23">
        <f>+'QTR Raw'!AB79+'QTR Raw'!AB76</f>
        <v>0</v>
      </c>
      <c r="BI155" s="23">
        <f t="shared" si="1273"/>
        <v>0</v>
      </c>
      <c r="BJ155" s="23">
        <f>+'QTR Raw'!AD79+'QTR Raw'!AD76</f>
        <v>2.4470000000000001</v>
      </c>
      <c r="BK155" s="23">
        <f t="shared" si="1273"/>
        <v>2.4470000000000001</v>
      </c>
      <c r="BL155" s="23">
        <f>+'QTR Raw'!AF79+'QTR Raw'!AF76</f>
        <v>2.5139999999999998</v>
      </c>
      <c r="BM155" s="23">
        <f t="shared" si="1273"/>
        <v>2.5139999999999998</v>
      </c>
      <c r="BN155" s="23">
        <f>+'QTR Raw'!AH79+'QTR Raw'!AH76</f>
        <v>14.27</v>
      </c>
      <c r="BO155" s="23">
        <f t="shared" si="1273"/>
        <v>14.27</v>
      </c>
      <c r="BP155" s="23">
        <f>+'QTR Raw'!AJ79+'QTR Raw'!AJ76</f>
        <v>22.69</v>
      </c>
      <c r="BQ155" s="23">
        <f t="shared" si="1273"/>
        <v>22.69</v>
      </c>
      <c r="BR155" s="23">
        <f>+'QTR Raw'!AL79+'QTR Raw'!AL76</f>
        <v>66.66</v>
      </c>
      <c r="BS155" s="23">
        <f t="shared" si="1273"/>
        <v>66.66</v>
      </c>
      <c r="BT155" s="23">
        <f>+'QTR Raw'!AN79+'QTR Raw'!AN76</f>
        <v>63.64</v>
      </c>
      <c r="BU155" s="23">
        <f t="shared" si="1273"/>
        <v>63.64</v>
      </c>
      <c r="BV155" s="23">
        <f>+'QTR Raw'!AP79+'QTR Raw'!AP76</f>
        <v>58.92</v>
      </c>
      <c r="BW155" s="23">
        <f t="shared" si="1273"/>
        <v>58.92</v>
      </c>
      <c r="BX155" s="23">
        <f>+'QTR Raw'!AR79+'QTR Raw'!AR76</f>
        <v>70.650000000000006</v>
      </c>
      <c r="BY155" s="23">
        <f t="shared" si="1273"/>
        <v>70.650000000000006</v>
      </c>
      <c r="BZ155" s="23">
        <f>+'QTR Raw'!AT79+'QTR Raw'!AT76</f>
        <v>86.52</v>
      </c>
      <c r="CA155" s="23">
        <f t="shared" si="1273"/>
        <v>86.52</v>
      </c>
      <c r="CB155" s="23">
        <f>+'QTR Raw'!AV79+'QTR Raw'!AV76</f>
        <v>74.98</v>
      </c>
      <c r="CC155" s="23">
        <f t="shared" si="1273"/>
        <v>74.98</v>
      </c>
      <c r="CD155" s="23">
        <f>+'QTR Raw'!AX79+'QTR Raw'!AX76</f>
        <v>91.75</v>
      </c>
      <c r="CE155" s="23">
        <f t="shared" si="1273"/>
        <v>91.75</v>
      </c>
      <c r="CF155" s="23">
        <f>+'QTR Raw'!AZ79+'QTR Raw'!AZ76</f>
        <v>102.49</v>
      </c>
      <c r="CG155" s="23">
        <f t="shared" si="1250"/>
        <v>102.49</v>
      </c>
      <c r="CH155" s="23">
        <f t="shared" si="1251"/>
        <v>285.94</v>
      </c>
      <c r="CJ155" s="23">
        <f>+'QTR Raw'!BD79+'QTR Raw'!BD76</f>
        <v>477.75</v>
      </c>
      <c r="CL155" s="23">
        <f>+'QTR Raw'!BF79+'QTR Raw'!BF76</f>
        <v>485.9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485.9</v>
      </c>
    </row>
    <row r="156" spans="1:110" s="23" customFormat="1" outlineLevel="1" x14ac:dyDescent="0.2">
      <c r="A156" s="23" t="s">
        <v>61</v>
      </c>
      <c r="B156" s="23">
        <f>'Annual Raw'!C76</f>
        <v>0</v>
      </c>
      <c r="C156" s="23">
        <f>'Annual Raw'!D76</f>
        <v>0</v>
      </c>
      <c r="D156" s="23">
        <f>'Annual Raw'!E76</f>
        <v>0</v>
      </c>
      <c r="E156" s="23">
        <f>'Annual Raw'!F76</f>
        <v>0</v>
      </c>
      <c r="F156" s="23">
        <f>'Annual Raw'!G76</f>
        <v>0</v>
      </c>
      <c r="G156" s="23">
        <f>'Annual Raw'!H76</f>
        <v>0</v>
      </c>
      <c r="H156" s="23">
        <f>'Annual Raw'!I76</f>
        <v>0</v>
      </c>
      <c r="I156" s="23">
        <f>'Annual Raw'!J76</f>
        <v>0</v>
      </c>
      <c r="J156" s="23">
        <f>'Annual Raw'!K76</f>
        <v>0</v>
      </c>
      <c r="K156" s="23">
        <f>'Annual Raw'!L76</f>
        <v>0</v>
      </c>
      <c r="L156" s="23">
        <f>'Annual Raw'!M76</f>
        <v>0</v>
      </c>
      <c r="M156" s="23">
        <f>'Annual Raw'!N76</f>
        <v>0</v>
      </c>
      <c r="N156" s="23">
        <f>'Annual Raw'!O76</f>
        <v>0</v>
      </c>
      <c r="O156" s="23">
        <f>'Annual Raw'!P76</f>
        <v>0</v>
      </c>
      <c r="P156" s="23">
        <f>'Annual Raw'!Q76</f>
        <v>0</v>
      </c>
      <c r="Q156" s="23">
        <f>'Annual Raw'!R76</f>
        <v>0</v>
      </c>
      <c r="R156" s="23">
        <f>'Annual Raw'!S76</f>
        <v>0</v>
      </c>
      <c r="S156" s="23">
        <f>'Annual Raw'!T76</f>
        <v>18.556000000000001</v>
      </c>
      <c r="T156" s="23">
        <f>'Annual Raw'!U76</f>
        <v>13.147</v>
      </c>
      <c r="U156" s="23">
        <f>'Annual Raw'!V76</f>
        <v>14.51</v>
      </c>
      <c r="V156" s="23">
        <f>'Annual Raw'!W76</f>
        <v>3.09</v>
      </c>
      <c r="W156" s="23">
        <f>'Annual Raw'!X76</f>
        <v>3.9</v>
      </c>
      <c r="X156" s="23">
        <f>'Annual Raw'!Y76</f>
        <v>1.57</v>
      </c>
      <c r="Y156" s="23">
        <f>'Annual Raw'!Z76</f>
        <v>1.1399999999999999</v>
      </c>
      <c r="Z156" s="23">
        <f>'Annual Raw'!AA76</f>
        <v>2.61</v>
      </c>
      <c r="AA156" s="23">
        <f>'Annual Raw'!AB76</f>
        <v>2.11</v>
      </c>
      <c r="AB156" s="24">
        <f t="shared" si="1269"/>
        <v>2.7664664222233091</v>
      </c>
      <c r="AC156" s="24">
        <f t="shared" si="1270"/>
        <v>3.2062650909690755</v>
      </c>
      <c r="AD156" s="24">
        <f t="shared" si="1271"/>
        <v>3.6277484573180794</v>
      </c>
      <c r="AE156" s="24">
        <f t="shared" si="1272"/>
        <v>4.1038130327181639</v>
      </c>
      <c r="AJ156" s="23">
        <f>+'QTR Raw'!D81</f>
        <v>0</v>
      </c>
      <c r="AK156" s="23" t="e">
        <f>+AK191*AK17/90</f>
        <v>#DIV/0!</v>
      </c>
      <c r="AL156" s="23">
        <f>+'QTR Raw'!F81</f>
        <v>0</v>
      </c>
      <c r="AM156" s="23" t="e">
        <f>+AM191*AM17/90</f>
        <v>#DIV/0!</v>
      </c>
      <c r="AN156" s="23">
        <f>+'QTR Raw'!H81</f>
        <v>0</v>
      </c>
      <c r="AO156" s="23" t="e">
        <f>+AO191*AO17/90</f>
        <v>#DIV/0!</v>
      </c>
      <c r="AP156" s="23">
        <f>+'QTR Raw'!J81</f>
        <v>0</v>
      </c>
      <c r="AQ156" s="23" t="e">
        <f>+AQ191*AQ17/90</f>
        <v>#DIV/0!</v>
      </c>
      <c r="AR156" s="23">
        <f>+'QTR Raw'!L81</f>
        <v>0</v>
      </c>
      <c r="AS156" s="23" t="e">
        <f>+AS191*AS17/90</f>
        <v>#DIV/0!</v>
      </c>
      <c r="AT156" s="23">
        <f>+'QTR Raw'!N81</f>
        <v>0</v>
      </c>
      <c r="AU156" s="23" t="e">
        <f>+AU191*AU17/90</f>
        <v>#DIV/0!</v>
      </c>
      <c r="AV156" s="23">
        <f>+'QTR Raw'!P81</f>
        <v>0</v>
      </c>
      <c r="AW156" s="23" t="e">
        <f>+AW191*AW17/90</f>
        <v>#DIV/0!</v>
      </c>
      <c r="AX156" s="23">
        <f>+'QTR Raw'!R81</f>
        <v>0</v>
      </c>
      <c r="AY156" s="23" t="e">
        <f>+AY191*AY17/90</f>
        <v>#DIV/0!</v>
      </c>
      <c r="AZ156" s="23">
        <f>+'QTR Raw'!T81</f>
        <v>0</v>
      </c>
      <c r="BA156" s="23" t="e">
        <f>+BA191*BA17/90</f>
        <v>#DIV/0!</v>
      </c>
      <c r="BB156" s="23">
        <f>+'QTR Raw'!V81</f>
        <v>0</v>
      </c>
      <c r="BC156" s="23" t="e">
        <f>+BC191*BC17/90</f>
        <v>#DIV/0!</v>
      </c>
      <c r="BD156" s="23">
        <f>+'QTR Raw'!X81</f>
        <v>0</v>
      </c>
      <c r="BE156" s="23" t="e">
        <f>+BE191*BE17/90</f>
        <v>#DIV/0!</v>
      </c>
      <c r="BF156" s="23">
        <f>+'QTR Raw'!Z81</f>
        <v>0</v>
      </c>
      <c r="BG156" s="23" t="e">
        <f>+BG191*BG17/90</f>
        <v>#DIV/0!</v>
      </c>
      <c r="BH156" s="23">
        <f>+'QTR Raw'!AB81</f>
        <v>0</v>
      </c>
      <c r="BI156" s="23">
        <f>+BI191*BI17/90</f>
        <v>0</v>
      </c>
      <c r="BJ156" s="23">
        <f>+'QTR Raw'!AD81</f>
        <v>13.147</v>
      </c>
      <c r="BK156" s="23">
        <f>+BK191*BK17/90</f>
        <v>7.0389244619105629</v>
      </c>
      <c r="BL156" s="23">
        <f>+'QTR Raw'!AF81</f>
        <v>17.015999999999998</v>
      </c>
      <c r="BM156" s="23">
        <f>+BM191*BM17/90</f>
        <v>15.3483940703745</v>
      </c>
      <c r="BN156" s="23">
        <f>+'QTR Raw'!AH81</f>
        <v>14.51</v>
      </c>
      <c r="BO156" s="23">
        <f>+BO191*BO17/90</f>
        <v>7.5196561245832587</v>
      </c>
      <c r="BP156" s="23">
        <f>+'QTR Raw'!AJ81</f>
        <v>51.58</v>
      </c>
      <c r="BQ156" s="23">
        <f>+BQ191*BQ17/90</f>
        <v>50.619119277586158</v>
      </c>
      <c r="BR156" s="23">
        <f>+'QTR Raw'!AL81</f>
        <v>3.09</v>
      </c>
      <c r="BS156" s="23">
        <f>+BS191*BS17/90</f>
        <v>2.7052389083500668</v>
      </c>
      <c r="BT156" s="23">
        <f>+'QTR Raw'!AN81</f>
        <v>4.99</v>
      </c>
      <c r="BU156" s="23">
        <f>+BU191*BU17/90</f>
        <v>5.1857951085218508</v>
      </c>
      <c r="BV156" s="23">
        <f>+'QTR Raw'!AP81</f>
        <v>3.9</v>
      </c>
      <c r="BW156" s="23">
        <f>+BW191*BW17/90</f>
        <v>4.3948600879527184</v>
      </c>
      <c r="BX156" s="23">
        <f>+'QTR Raw'!AR81</f>
        <v>4.01</v>
      </c>
      <c r="BY156" s="23">
        <f>+BY191*BY17/90</f>
        <v>5.2189376059355901</v>
      </c>
      <c r="BZ156" s="23">
        <f>+'QTR Raw'!AT81</f>
        <v>1.57</v>
      </c>
      <c r="CA156" s="23">
        <f>+CA191*CA17/90</f>
        <v>9.1426800859436845</v>
      </c>
      <c r="CB156" s="23">
        <f>+'QTR Raw'!AV81</f>
        <v>1.25</v>
      </c>
      <c r="CC156" s="23">
        <f>+CC191*CC17/90</f>
        <v>0.95929007794396459</v>
      </c>
      <c r="CD156" s="23">
        <f>+'QTR Raw'!AX81</f>
        <v>1.1399999999999999</v>
      </c>
      <c r="CE156" s="23">
        <f>+CE191*CE17/90</f>
        <v>0.8855344182137671</v>
      </c>
      <c r="CF156" s="23">
        <f>+'QTR Raw'!AZ81</f>
        <v>4.09</v>
      </c>
      <c r="CG156" s="23">
        <f>+CG191*CG17/90</f>
        <v>7.2918203961222341</v>
      </c>
      <c r="CH156" s="23">
        <f t="shared" si="1251"/>
        <v>2.61</v>
      </c>
      <c r="CI156" s="23">
        <f>+CI191*CI17/90</f>
        <v>1.8251899678854835</v>
      </c>
      <c r="CJ156" s="23">
        <f>+'QTR Raw'!BD81</f>
        <v>2.25</v>
      </c>
      <c r="CK156" s="23">
        <f t="shared" ref="CK156:DB156" si="1274">+CK191*CK17/90</f>
        <v>2.6921379961111751</v>
      </c>
      <c r="CL156" s="23">
        <f>+'QTR Raw'!BF81</f>
        <v>2.11</v>
      </c>
      <c r="CM156" s="24">
        <f t="shared" si="1274"/>
        <v>2.6372152840049452</v>
      </c>
      <c r="CN156" s="24">
        <f t="shared" si="1274"/>
        <v>2.3782698245613965</v>
      </c>
      <c r="CO156" s="24">
        <f t="shared" si="1274"/>
        <v>2.5508113339013763</v>
      </c>
      <c r="CP156" s="24">
        <f t="shared" si="1274"/>
        <v>2.7664664222233091</v>
      </c>
      <c r="CQ156" s="24">
        <f t="shared" si="1274"/>
        <v>3.0879334510798691</v>
      </c>
      <c r="CR156" s="24">
        <f t="shared" si="1274"/>
        <v>2.7331659132842834</v>
      </c>
      <c r="CS156" s="24">
        <f t="shared" si="1274"/>
        <v>2.9117096776849811</v>
      </c>
      <c r="CT156" s="24">
        <f t="shared" si="1274"/>
        <v>3.2062650909690755</v>
      </c>
      <c r="CU156" s="24">
        <f t="shared" si="1274"/>
        <v>3.4979723290094564</v>
      </c>
      <c r="CV156" s="24">
        <f t="shared" si="1274"/>
        <v>3.0844155038467496</v>
      </c>
      <c r="CW156" s="24">
        <f t="shared" si="1274"/>
        <v>3.2888251163792233</v>
      </c>
      <c r="CX156" s="24">
        <f t="shared" si="1274"/>
        <v>3.6277484573180794</v>
      </c>
      <c r="CY156" s="24">
        <f t="shared" si="1274"/>
        <v>3.9460410032371422</v>
      </c>
      <c r="CZ156" s="24">
        <f t="shared" si="1274"/>
        <v>3.472840216072973</v>
      </c>
      <c r="DA156" s="24">
        <f t="shared" si="1274"/>
        <v>3.7112927747820024</v>
      </c>
      <c r="DB156" s="24">
        <f t="shared" si="1274"/>
        <v>4.1038130327181639</v>
      </c>
      <c r="DE156" s="123"/>
      <c r="DF156" s="23">
        <v>5.5909029327118773</v>
      </c>
    </row>
    <row r="157" spans="1:110" s="23" customFormat="1" outlineLevel="1" x14ac:dyDescent="0.2">
      <c r="A157" s="23" t="s">
        <v>62</v>
      </c>
      <c r="B157" s="23">
        <f>'Annual Raw'!C77</f>
        <v>0</v>
      </c>
      <c r="C157" s="23">
        <f>'Annual Raw'!D77</f>
        <v>0</v>
      </c>
      <c r="D157" s="23">
        <f>'Annual Raw'!E77</f>
        <v>0</v>
      </c>
      <c r="E157" s="23">
        <f>'Annual Raw'!F77</f>
        <v>0</v>
      </c>
      <c r="F157" s="23">
        <f>'Annual Raw'!G77</f>
        <v>0</v>
      </c>
      <c r="G157" s="23">
        <f>'Annual Raw'!H77</f>
        <v>0</v>
      </c>
      <c r="H157" s="23">
        <f>'Annual Raw'!I77</f>
        <v>0</v>
      </c>
      <c r="I157" s="23">
        <f>'Annual Raw'!J77</f>
        <v>0</v>
      </c>
      <c r="J157" s="23">
        <f>'Annual Raw'!K77</f>
        <v>0</v>
      </c>
      <c r="K157" s="23">
        <f>'Annual Raw'!L77</f>
        <v>0</v>
      </c>
      <c r="L157" s="23">
        <f>'Annual Raw'!M77</f>
        <v>0</v>
      </c>
      <c r="M157" s="23">
        <f>'Annual Raw'!N77</f>
        <v>0</v>
      </c>
      <c r="N157" s="23">
        <f>'Annual Raw'!O77</f>
        <v>0</v>
      </c>
      <c r="O157" s="23">
        <f>'Annual Raw'!P77</f>
        <v>0</v>
      </c>
      <c r="P157" s="23">
        <f>'Annual Raw'!Q77</f>
        <v>0</v>
      </c>
      <c r="Q157" s="23">
        <f>'Annual Raw'!R77</f>
        <v>0</v>
      </c>
      <c r="R157" s="23">
        <f>'Annual Raw'!S77</f>
        <v>0</v>
      </c>
      <c r="S157" s="23">
        <f>'Annual Raw'!T77</f>
        <v>1821.47</v>
      </c>
      <c r="T157" s="23">
        <f>'Annual Raw'!U77</f>
        <v>1900.2180000000001</v>
      </c>
      <c r="U157" s="23">
        <f>'Annual Raw'!V77</f>
        <v>2030.31</v>
      </c>
      <c r="V157" s="23">
        <f>'Annual Raw'!W77</f>
        <v>848.86</v>
      </c>
      <c r="W157" s="23">
        <f>'Annual Raw'!X77</f>
        <v>783.96</v>
      </c>
      <c r="X157" s="23">
        <f>'Annual Raw'!Y77</f>
        <v>790.25</v>
      </c>
      <c r="Y157" s="23">
        <f>'Annual Raw'!Z77</f>
        <v>831.69</v>
      </c>
      <c r="Z157" s="23">
        <f>'Annual Raw'!AA77</f>
        <v>1254.03</v>
      </c>
      <c r="AA157" s="23">
        <f>'Annual Raw'!AB77</f>
        <v>1799.27</v>
      </c>
      <c r="AB157" s="24">
        <f t="shared" si="1269"/>
        <v>2359.0616301012951</v>
      </c>
      <c r="AC157" s="24">
        <f t="shared" si="1270"/>
        <v>2734.0931707241366</v>
      </c>
      <c r="AD157" s="24">
        <f t="shared" si="1271"/>
        <v>3093.5066193358771</v>
      </c>
      <c r="AE157" s="24">
        <f t="shared" si="1272"/>
        <v>3499.4633532600997</v>
      </c>
      <c r="AJ157" s="23">
        <f>+'QTR Raw'!D82</f>
        <v>0</v>
      </c>
      <c r="AK157" s="23" t="e">
        <f>+AK192*AK17/90</f>
        <v>#DIV/0!</v>
      </c>
      <c r="AL157" s="23">
        <f>+'QTR Raw'!F82</f>
        <v>0</v>
      </c>
      <c r="AM157" s="23" t="e">
        <f>+AM192*AM17/90</f>
        <v>#DIV/0!</v>
      </c>
      <c r="AN157" s="23">
        <f>+'QTR Raw'!H82</f>
        <v>0</v>
      </c>
      <c r="AO157" s="23" t="e">
        <f>+AO192*AO17/90</f>
        <v>#DIV/0!</v>
      </c>
      <c r="AP157" s="23">
        <f>+'QTR Raw'!J82</f>
        <v>0</v>
      </c>
      <c r="AQ157" s="23" t="e">
        <f>+AQ192*AQ17/90</f>
        <v>#DIV/0!</v>
      </c>
      <c r="AR157" s="23">
        <f>+'QTR Raw'!L82</f>
        <v>0</v>
      </c>
      <c r="AS157" s="23" t="e">
        <f>+AS192*AS17/90</f>
        <v>#DIV/0!</v>
      </c>
      <c r="AT157" s="23">
        <f>+'QTR Raw'!N82</f>
        <v>0</v>
      </c>
      <c r="AU157" s="23" t="e">
        <f>+AU192*AU17/90</f>
        <v>#DIV/0!</v>
      </c>
      <c r="AV157" s="23">
        <f>+'QTR Raw'!P82</f>
        <v>0</v>
      </c>
      <c r="AW157" s="23" t="e">
        <f>+AW192*AW17/90</f>
        <v>#DIV/0!</v>
      </c>
      <c r="AX157" s="23">
        <f>+'QTR Raw'!R82</f>
        <v>0</v>
      </c>
      <c r="AY157" s="23" t="e">
        <f>+AY192*AY17/90</f>
        <v>#DIV/0!</v>
      </c>
      <c r="AZ157" s="23">
        <f>+'QTR Raw'!T82</f>
        <v>0</v>
      </c>
      <c r="BA157" s="23" t="e">
        <f>+BA192*BA17/90</f>
        <v>#DIV/0!</v>
      </c>
      <c r="BB157" s="23">
        <f>+'QTR Raw'!V82</f>
        <v>0</v>
      </c>
      <c r="BC157" s="23" t="e">
        <f>+BC192*BC17/90</f>
        <v>#DIV/0!</v>
      </c>
      <c r="BD157" s="23">
        <f>+'QTR Raw'!X82</f>
        <v>0</v>
      </c>
      <c r="BE157" s="23" t="e">
        <f>+BE192*BE17/90</f>
        <v>#DIV/0!</v>
      </c>
      <c r="BF157" s="23">
        <f>+'QTR Raw'!Z82</f>
        <v>0</v>
      </c>
      <c r="BG157" s="23" t="e">
        <f>+BG192*BG17/90</f>
        <v>#DIV/0!</v>
      </c>
      <c r="BH157" s="23">
        <f>+'QTR Raw'!AB82</f>
        <v>0</v>
      </c>
      <c r="BI157" s="23">
        <f>+BI192*BI17/90</f>
        <v>0</v>
      </c>
      <c r="BJ157" s="23">
        <f>+'QTR Raw'!AD82</f>
        <v>1900.2180000000001</v>
      </c>
      <c r="BK157" s="23">
        <f>+BK192*BK17/90</f>
        <v>1017.3797035949466</v>
      </c>
      <c r="BL157" s="23">
        <f>+'QTR Raw'!AF82</f>
        <v>2057.7469999999998</v>
      </c>
      <c r="BM157" s="23">
        <f>+BM192*BM17/90</f>
        <v>1856.0832071656625</v>
      </c>
      <c r="BN157" s="23">
        <f>+'QTR Raw'!AH82</f>
        <v>2030.31</v>
      </c>
      <c r="BO157" s="23">
        <f>+BO192*BO17/90</f>
        <v>1052.1869763130694</v>
      </c>
      <c r="BP157" s="23">
        <f>+'QTR Raw'!AJ82</f>
        <v>1119.82</v>
      </c>
      <c r="BQ157" s="23">
        <f>+BQ192*BQ17/90</f>
        <v>1098.9589404696887</v>
      </c>
      <c r="BR157" s="23">
        <f>+'QTR Raw'!AL82</f>
        <v>848.86</v>
      </c>
      <c r="BS157" s="23">
        <f>+BS192*BS17/90</f>
        <v>743.16152095211578</v>
      </c>
      <c r="BT157" s="23">
        <f>+'QTR Raw'!AN82</f>
        <v>1229.2</v>
      </c>
      <c r="BU157" s="23">
        <f>+BU192*BU17/90</f>
        <v>1277.4307309408932</v>
      </c>
      <c r="BV157" s="23">
        <f>+'QTR Raw'!AP82</f>
        <v>783.96</v>
      </c>
      <c r="BW157" s="23">
        <f>+BW192*BW17/90</f>
        <v>883.43449091061893</v>
      </c>
      <c r="BX157" s="23">
        <f>+'QTR Raw'!AR82</f>
        <v>759.99</v>
      </c>
      <c r="BY157" s="23">
        <f>+BY192*BY17/90</f>
        <v>989.11231699126927</v>
      </c>
      <c r="BZ157" s="23">
        <f>+'QTR Raw'!AT82</f>
        <v>790.25</v>
      </c>
      <c r="CA157" s="23">
        <f>+CA192*CA17/90</f>
        <v>4601.9126993101881</v>
      </c>
      <c r="CB157" s="23">
        <f>+'QTR Raw'!AV82</f>
        <v>688.58</v>
      </c>
      <c r="CC157" s="23">
        <f>+CC192*CC17/90</f>
        <v>528.43836949652416</v>
      </c>
      <c r="CD157" s="23">
        <f>+'QTR Raw'!AX82</f>
        <v>831.69</v>
      </c>
      <c r="CE157" s="23">
        <f>+CE192*CE17/90</f>
        <v>646.04396516158602</v>
      </c>
      <c r="CF157" s="23">
        <f>+'QTR Raw'!AZ82</f>
        <v>924.07</v>
      </c>
      <c r="CG157" s="23">
        <f>+CG192*CG17/90</f>
        <v>1647.4700424070104</v>
      </c>
      <c r="CH157" s="23">
        <f t="shared" si="1251"/>
        <v>1254.03</v>
      </c>
      <c r="CI157" s="23">
        <f>+CI192*CI17/90</f>
        <v>876.95133158139186</v>
      </c>
      <c r="CJ157" s="23">
        <f>+'QTR Raw'!BD82</f>
        <v>1497.67</v>
      </c>
      <c r="CK157" s="23">
        <f t="shared" ref="CK157:DB157" si="1275">+CK192*CK17/90</f>
        <v>1791.9708056159218</v>
      </c>
      <c r="CL157" s="23">
        <f>+'QTR Raw'!BF82</f>
        <v>1799.27</v>
      </c>
      <c r="CM157" s="24">
        <f t="shared" si="1275"/>
        <v>2248.8447128206535</v>
      </c>
      <c r="CN157" s="24">
        <f t="shared" si="1275"/>
        <v>2028.0329607765802</v>
      </c>
      <c r="CO157" s="24">
        <f t="shared" si="1275"/>
        <v>2175.1650752363644</v>
      </c>
      <c r="CP157" s="24">
        <f t="shared" si="1275"/>
        <v>2359.0616301012951</v>
      </c>
      <c r="CQ157" s="24">
        <f t="shared" si="1275"/>
        <v>2633.1876874523587</v>
      </c>
      <c r="CR157" s="24">
        <f t="shared" si="1275"/>
        <v>2330.6651340260719</v>
      </c>
      <c r="CS157" s="24">
        <f t="shared" si="1275"/>
        <v>2482.9155790370878</v>
      </c>
      <c r="CT157" s="24">
        <f t="shared" si="1275"/>
        <v>2734.0931707241366</v>
      </c>
      <c r="CU157" s="24">
        <f t="shared" si="1275"/>
        <v>2982.8420248421066</v>
      </c>
      <c r="CV157" s="24">
        <f t="shared" si="1275"/>
        <v>2630.1878121357072</v>
      </c>
      <c r="CW157" s="24">
        <f t="shared" si="1275"/>
        <v>2804.4949607334811</v>
      </c>
      <c r="CX157" s="24">
        <f t="shared" si="1275"/>
        <v>3093.5066193358771</v>
      </c>
      <c r="CY157" s="24">
        <f t="shared" si="1275"/>
        <v>3364.9256852580538</v>
      </c>
      <c r="CZ157" s="24">
        <f t="shared" si="1275"/>
        <v>2961.4110026415251</v>
      </c>
      <c r="DA157" s="24">
        <f t="shared" si="1275"/>
        <v>3164.7477492331818</v>
      </c>
      <c r="DB157" s="24">
        <f t="shared" si="1275"/>
        <v>3499.4633532600997</v>
      </c>
      <c r="DE157" s="123"/>
      <c r="DF157" s="23">
        <v>3721.4789312153771</v>
      </c>
    </row>
    <row r="158" spans="1:110" s="23" customFormat="1" outlineLevel="1" x14ac:dyDescent="0.2">
      <c r="A158" s="23" t="s">
        <v>63</v>
      </c>
      <c r="B158" s="23">
        <f>'Annual Raw'!C79</f>
        <v>0</v>
      </c>
      <c r="C158" s="23">
        <f>'Annual Raw'!D79</f>
        <v>0</v>
      </c>
      <c r="D158" s="23">
        <f>'Annual Raw'!E79</f>
        <v>0</v>
      </c>
      <c r="E158" s="23">
        <f>'Annual Raw'!F79</f>
        <v>0</v>
      </c>
      <c r="F158" s="23">
        <f>'Annual Raw'!G79</f>
        <v>0</v>
      </c>
      <c r="G158" s="23">
        <f>'Annual Raw'!H79</f>
        <v>0</v>
      </c>
      <c r="H158" s="23">
        <f>'Annual Raw'!I79</f>
        <v>0</v>
      </c>
      <c r="I158" s="23">
        <f>'Annual Raw'!J79</f>
        <v>0</v>
      </c>
      <c r="J158" s="23">
        <f>'Annual Raw'!K79</f>
        <v>0</v>
      </c>
      <c r="K158" s="23">
        <f>'Annual Raw'!L79</f>
        <v>0</v>
      </c>
      <c r="L158" s="23">
        <f>'Annual Raw'!M79</f>
        <v>0</v>
      </c>
      <c r="M158" s="23">
        <f>'Annual Raw'!N79</f>
        <v>0</v>
      </c>
      <c r="N158" s="23">
        <f>'Annual Raw'!O79</f>
        <v>0</v>
      </c>
      <c r="O158" s="23">
        <f>'Annual Raw'!P79</f>
        <v>0</v>
      </c>
      <c r="P158" s="23">
        <f>'Annual Raw'!Q79</f>
        <v>0</v>
      </c>
      <c r="Q158" s="23">
        <f>'Annual Raw'!R79</f>
        <v>0</v>
      </c>
      <c r="R158" s="23">
        <f>'Annual Raw'!S79</f>
        <v>0</v>
      </c>
      <c r="S158" s="23">
        <f>'Annual Raw'!T79</f>
        <v>2371.056</v>
      </c>
      <c r="T158" s="23">
        <f>'Annual Raw'!U79</f>
        <v>610.95799999999997</v>
      </c>
      <c r="U158" s="23">
        <f>'Annual Raw'!V79</f>
        <v>252.33</v>
      </c>
      <c r="V158" s="23">
        <f>'Annual Raw'!W79</f>
        <v>228.08</v>
      </c>
      <c r="W158" s="23">
        <f>'Annual Raw'!X79</f>
        <v>776.29</v>
      </c>
      <c r="X158" s="23">
        <f>'Annual Raw'!Y79</f>
        <v>1278.75</v>
      </c>
      <c r="Y158" s="23">
        <f>'Annual Raw'!Z79</f>
        <v>1317.39</v>
      </c>
      <c r="Z158" s="23">
        <f>'Annual Raw'!AA79</f>
        <v>1092.06</v>
      </c>
      <c r="AA158" s="23">
        <f>'Annual Raw'!AB79</f>
        <v>801.75</v>
      </c>
      <c r="AB158" s="24">
        <f t="shared" si="1269"/>
        <v>3825.9837282890221</v>
      </c>
      <c r="AC158" s="24">
        <f t="shared" si="1270"/>
        <v>4434.2190341027763</v>
      </c>
      <c r="AD158" s="24">
        <f t="shared" si="1271"/>
        <v>5017.1245371089508</v>
      </c>
      <c r="AE158" s="24">
        <f t="shared" si="1272"/>
        <v>5675.5150761966224</v>
      </c>
      <c r="AJ158" s="23">
        <f>+'QTR Raw'!D84</f>
        <v>0</v>
      </c>
      <c r="AK158" s="23">
        <f t="shared" si="1273"/>
        <v>0</v>
      </c>
      <c r="AL158" s="23">
        <f>+'QTR Raw'!F84</f>
        <v>0</v>
      </c>
      <c r="AM158" s="23">
        <f t="shared" si="1273"/>
        <v>0</v>
      </c>
      <c r="AN158" s="23">
        <f>+'QTR Raw'!H84</f>
        <v>0</v>
      </c>
      <c r="AO158" s="23">
        <f t="shared" si="1273"/>
        <v>0</v>
      </c>
      <c r="AP158" s="23">
        <f>+'QTR Raw'!J84</f>
        <v>0</v>
      </c>
      <c r="AQ158" s="23">
        <f t="shared" si="1273"/>
        <v>0</v>
      </c>
      <c r="AR158" s="23">
        <f>+'QTR Raw'!L84</f>
        <v>0</v>
      </c>
      <c r="AS158" s="23">
        <f t="shared" si="1273"/>
        <v>0</v>
      </c>
      <c r="AT158" s="23">
        <f>+'QTR Raw'!N84</f>
        <v>0</v>
      </c>
      <c r="AU158" s="23">
        <f t="shared" si="1273"/>
        <v>0</v>
      </c>
      <c r="AV158" s="23">
        <f>+'QTR Raw'!P84</f>
        <v>0</v>
      </c>
      <c r="AW158" s="23">
        <f t="shared" si="1273"/>
        <v>0</v>
      </c>
      <c r="AX158" s="23">
        <f>+'QTR Raw'!R84</f>
        <v>0</v>
      </c>
      <c r="AY158" s="23">
        <f t="shared" si="1273"/>
        <v>0</v>
      </c>
      <c r="AZ158" s="23">
        <f>+'QTR Raw'!T84</f>
        <v>0</v>
      </c>
      <c r="BA158" s="23">
        <f t="shared" si="1273"/>
        <v>0</v>
      </c>
      <c r="BB158" s="23">
        <f>+'QTR Raw'!V84</f>
        <v>0</v>
      </c>
      <c r="BC158" s="23">
        <f t="shared" si="1273"/>
        <v>0</v>
      </c>
      <c r="BD158" s="23">
        <f>+'QTR Raw'!X84</f>
        <v>0</v>
      </c>
      <c r="BE158" s="23">
        <f t="shared" si="1273"/>
        <v>0</v>
      </c>
      <c r="BF158" s="23">
        <f>+'QTR Raw'!Z84</f>
        <v>0</v>
      </c>
      <c r="BG158" s="23">
        <f t="shared" si="1273"/>
        <v>0</v>
      </c>
      <c r="BH158" s="23">
        <f>+'QTR Raw'!AB84</f>
        <v>0</v>
      </c>
      <c r="BI158" s="23">
        <f t="shared" si="1273"/>
        <v>0</v>
      </c>
      <c r="BJ158" s="23">
        <f>+'QTR Raw'!AD84</f>
        <v>1003.2190000000001</v>
      </c>
      <c r="BK158" s="23">
        <f t="shared" si="1273"/>
        <v>1003.2190000000001</v>
      </c>
      <c r="BL158" s="23">
        <f>+'QTR Raw'!AF84</f>
        <v>1030.4829999999999</v>
      </c>
      <c r="BM158" s="23">
        <f t="shared" si="1273"/>
        <v>1030.4829999999999</v>
      </c>
      <c r="BN158" s="23">
        <f>+'QTR Raw'!AH84</f>
        <v>1213.7</v>
      </c>
      <c r="BO158" s="23">
        <f t="shared" si="1273"/>
        <v>1213.7</v>
      </c>
      <c r="BP158" s="23">
        <f>+'QTR Raw'!AJ84</f>
        <v>1422.58</v>
      </c>
      <c r="BQ158" s="23">
        <f t="shared" si="1273"/>
        <v>1422.58</v>
      </c>
      <c r="BR158" s="23">
        <f>+'QTR Raw'!AL84</f>
        <v>1456.18</v>
      </c>
      <c r="BS158" s="23">
        <f t="shared" si="1273"/>
        <v>1456.18</v>
      </c>
      <c r="BT158" s="23">
        <f>+'QTR Raw'!AN84</f>
        <v>1516.26</v>
      </c>
      <c r="BU158" s="23">
        <f t="shared" si="1273"/>
        <v>1516.26</v>
      </c>
      <c r="BV158" s="23">
        <f>+'QTR Raw'!AP84</f>
        <v>2014.01</v>
      </c>
      <c r="BW158" s="23">
        <f t="shared" si="1273"/>
        <v>2014.01</v>
      </c>
      <c r="BX158" s="23">
        <f>+'QTR Raw'!AR84</f>
        <v>2011.87</v>
      </c>
      <c r="BY158" s="23">
        <f t="shared" si="1273"/>
        <v>2011.87</v>
      </c>
      <c r="BZ158" s="23">
        <f>+'QTR Raw'!AT84</f>
        <v>2084.5100000000002</v>
      </c>
      <c r="CA158" s="23">
        <f t="shared" si="1273"/>
        <v>2084.5100000000002</v>
      </c>
      <c r="CB158" s="23">
        <f>+'QTR Raw'!AV84</f>
        <v>3023.08</v>
      </c>
      <c r="CC158" s="23">
        <f t="shared" si="1273"/>
        <v>3023.08</v>
      </c>
      <c r="CD158" s="23">
        <f>+'QTR Raw'!AX84</f>
        <v>2946.82</v>
      </c>
      <c r="CE158" s="23">
        <f t="shared" si="1273"/>
        <v>2946.82</v>
      </c>
      <c r="CF158" s="23">
        <f>+'QTR Raw'!AZ84</f>
        <v>3222.18</v>
      </c>
      <c r="CG158" s="23">
        <f t="shared" ref="CG158:CG159" si="1276">+CF158</f>
        <v>3222.18</v>
      </c>
      <c r="CH158" s="23">
        <f t="shared" si="1251"/>
        <v>1092.06</v>
      </c>
      <c r="CI158" s="23">
        <f>CI17/90*CI193</f>
        <v>2511.8669935810667</v>
      </c>
      <c r="CJ158" s="23">
        <f>+'QTR Raw'!BD84</f>
        <v>2379.81</v>
      </c>
      <c r="CK158" s="23">
        <f t="shared" ref="CK158:DB158" si="1277">CK17/90*CK193</f>
        <v>3424.1243347249219</v>
      </c>
      <c r="CL158" s="23">
        <f>+'QTR Raw'!BF84</f>
        <v>2429.94</v>
      </c>
      <c r="CM158" s="24">
        <f t="shared" si="1277"/>
        <v>3647.2312418269344</v>
      </c>
      <c r="CN158" s="24">
        <f t="shared" si="1277"/>
        <v>3289.1133531055029</v>
      </c>
      <c r="CO158" s="24">
        <f t="shared" si="1277"/>
        <v>3527.7358073258797</v>
      </c>
      <c r="CP158" s="24">
        <f t="shared" si="1277"/>
        <v>3825.9837282890221</v>
      </c>
      <c r="CQ158" s="24">
        <f t="shared" si="1277"/>
        <v>4270.5680585763821</v>
      </c>
      <c r="CR158" s="24">
        <f t="shared" si="1277"/>
        <v>3779.9295978933019</v>
      </c>
      <c r="CS158" s="24">
        <f t="shared" si="1277"/>
        <v>4026.8530855225322</v>
      </c>
      <c r="CT158" s="24">
        <f t="shared" si="1277"/>
        <v>4434.2190341027763</v>
      </c>
      <c r="CU158" s="24">
        <f t="shared" si="1277"/>
        <v>4837.6459968163472</v>
      </c>
      <c r="CV158" s="24">
        <f t="shared" si="1277"/>
        <v>4265.7027875711847</v>
      </c>
      <c r="CW158" s="24">
        <f t="shared" si="1277"/>
        <v>4548.3983754057872</v>
      </c>
      <c r="CX158" s="24">
        <f t="shared" si="1277"/>
        <v>5017.1245371089508</v>
      </c>
      <c r="CY158" s="24">
        <f t="shared" si="1277"/>
        <v>5457.3186026285812</v>
      </c>
      <c r="CZ158" s="24">
        <f t="shared" si="1277"/>
        <v>4802.8886419538112</v>
      </c>
      <c r="DA158" s="24">
        <f t="shared" si="1277"/>
        <v>5132.6651403276592</v>
      </c>
      <c r="DB158" s="24">
        <f t="shared" si="1277"/>
        <v>5675.5150761966224</v>
      </c>
      <c r="DE158" s="123"/>
      <c r="DF158" s="23">
        <v>7111.0570158874953</v>
      </c>
    </row>
    <row r="159" spans="1:110" s="23" customFormat="1" outlineLevel="1" x14ac:dyDescent="0.2">
      <c r="A159" s="23" t="s">
        <v>64</v>
      </c>
      <c r="B159" s="23">
        <f>'Annual Raw'!C80</f>
        <v>0</v>
      </c>
      <c r="C159" s="23">
        <f>'Annual Raw'!D80</f>
        <v>0</v>
      </c>
      <c r="D159" s="23">
        <f>'Annual Raw'!E80</f>
        <v>0</v>
      </c>
      <c r="E159" s="23">
        <f>'Annual Raw'!F80</f>
        <v>0</v>
      </c>
      <c r="F159" s="23">
        <f>'Annual Raw'!G80</f>
        <v>0</v>
      </c>
      <c r="G159" s="23">
        <f>'Annual Raw'!H80</f>
        <v>0</v>
      </c>
      <c r="H159" s="23">
        <f>'Annual Raw'!I80</f>
        <v>0</v>
      </c>
      <c r="I159" s="23">
        <f>'Annual Raw'!J80</f>
        <v>0</v>
      </c>
      <c r="J159" s="23">
        <f>'Annual Raw'!K80</f>
        <v>0</v>
      </c>
      <c r="K159" s="23">
        <f>'Annual Raw'!L80</f>
        <v>0</v>
      </c>
      <c r="L159" s="23">
        <f>'Annual Raw'!M80</f>
        <v>0</v>
      </c>
      <c r="M159" s="23">
        <f>'Annual Raw'!N80</f>
        <v>0</v>
      </c>
      <c r="N159" s="23">
        <f>'Annual Raw'!O80</f>
        <v>0</v>
      </c>
      <c r="O159" s="23">
        <f>'Annual Raw'!P80</f>
        <v>0</v>
      </c>
      <c r="P159" s="23">
        <f>'Annual Raw'!Q80</f>
        <v>0</v>
      </c>
      <c r="Q159" s="23">
        <f>'Annual Raw'!R80</f>
        <v>0</v>
      </c>
      <c r="R159" s="23">
        <f>'Annual Raw'!S80</f>
        <v>0</v>
      </c>
      <c r="S159" s="23">
        <f>'Annual Raw'!T80</f>
        <v>640.11800000000005</v>
      </c>
      <c r="T159" s="23">
        <f>'Annual Raw'!U80</f>
        <v>2531.6329999999998</v>
      </c>
      <c r="U159" s="23">
        <f>'Annual Raw'!V80</f>
        <v>2457.62</v>
      </c>
      <c r="V159" s="23">
        <f>'Annual Raw'!W80</f>
        <v>2114.09</v>
      </c>
      <c r="W159" s="23">
        <f>'Annual Raw'!X80</f>
        <v>1238.8599999999999</v>
      </c>
      <c r="X159" s="23">
        <f>'Annual Raw'!Y80</f>
        <v>807.93</v>
      </c>
      <c r="Y159" s="23">
        <f>'Annual Raw'!Z80</f>
        <v>1631.49</v>
      </c>
      <c r="Z159" s="23">
        <f>'Annual Raw'!AA80</f>
        <v>2119.34</v>
      </c>
      <c r="AA159" s="23">
        <f>'Annual Raw'!AB80</f>
        <v>1630.45</v>
      </c>
      <c r="AB159" s="24">
        <f t="shared" si="1269"/>
        <v>0</v>
      </c>
      <c r="AC159" s="24">
        <f t="shared" si="1270"/>
        <v>0</v>
      </c>
      <c r="AD159" s="24">
        <f t="shared" si="1271"/>
        <v>0</v>
      </c>
      <c r="AE159" s="24">
        <f t="shared" si="1272"/>
        <v>0</v>
      </c>
      <c r="AJ159" s="23">
        <f>+'QTR Raw'!D85</f>
        <v>0</v>
      </c>
      <c r="AK159" s="23">
        <f t="shared" si="1273"/>
        <v>0</v>
      </c>
      <c r="AL159" s="23">
        <f>+'QTR Raw'!F85</f>
        <v>0</v>
      </c>
      <c r="AM159" s="23">
        <f t="shared" si="1273"/>
        <v>0</v>
      </c>
      <c r="AN159" s="23">
        <f>+'QTR Raw'!H85</f>
        <v>0</v>
      </c>
      <c r="AO159" s="23">
        <f t="shared" si="1273"/>
        <v>0</v>
      </c>
      <c r="AP159" s="23">
        <f>+'QTR Raw'!J85</f>
        <v>0</v>
      </c>
      <c r="AQ159" s="23">
        <f t="shared" si="1273"/>
        <v>0</v>
      </c>
      <c r="AR159" s="23">
        <f>+'QTR Raw'!L85</f>
        <v>0</v>
      </c>
      <c r="AS159" s="23">
        <f t="shared" si="1273"/>
        <v>0</v>
      </c>
      <c r="AT159" s="23">
        <f>+'QTR Raw'!N85</f>
        <v>0</v>
      </c>
      <c r="AU159" s="23">
        <f t="shared" si="1273"/>
        <v>0</v>
      </c>
      <c r="AV159" s="23">
        <f>+'QTR Raw'!P85</f>
        <v>0</v>
      </c>
      <c r="AW159" s="23">
        <f t="shared" si="1273"/>
        <v>0</v>
      </c>
      <c r="AX159" s="23">
        <f>+'QTR Raw'!R85</f>
        <v>0</v>
      </c>
      <c r="AY159" s="23">
        <f t="shared" si="1273"/>
        <v>0</v>
      </c>
      <c r="AZ159" s="23">
        <f>+'QTR Raw'!T85</f>
        <v>0</v>
      </c>
      <c r="BA159" s="23">
        <f t="shared" si="1273"/>
        <v>0</v>
      </c>
      <c r="BB159" s="23">
        <f>+'QTR Raw'!V85</f>
        <v>0</v>
      </c>
      <c r="BC159" s="23">
        <f t="shared" si="1273"/>
        <v>0</v>
      </c>
      <c r="BD159" s="23">
        <f>+'QTR Raw'!X85</f>
        <v>0</v>
      </c>
      <c r="BE159" s="23">
        <f t="shared" si="1273"/>
        <v>0</v>
      </c>
      <c r="BF159" s="23">
        <f>+'QTR Raw'!Z85</f>
        <v>0</v>
      </c>
      <c r="BG159" s="23">
        <f t="shared" si="1273"/>
        <v>0</v>
      </c>
      <c r="BH159" s="23">
        <f>+'QTR Raw'!AB85</f>
        <v>0</v>
      </c>
      <c r="BI159" s="23">
        <f t="shared" si="1273"/>
        <v>0</v>
      </c>
      <c r="BJ159" s="23">
        <f>+'QTR Raw'!AD85</f>
        <v>1953.394</v>
      </c>
      <c r="BK159" s="23">
        <f t="shared" si="1273"/>
        <v>1953.394</v>
      </c>
      <c r="BL159" s="23">
        <f>+'QTR Raw'!AF85</f>
        <v>2173.7750000000001</v>
      </c>
      <c r="BM159" s="23">
        <f t="shared" si="1273"/>
        <v>2173.7750000000001</v>
      </c>
      <c r="BN159" s="23">
        <f>+'QTR Raw'!AH85</f>
        <v>1185.32</v>
      </c>
      <c r="BO159" s="23">
        <f t="shared" si="1273"/>
        <v>1185.32</v>
      </c>
      <c r="BP159" s="23">
        <f>+'QTR Raw'!AJ85</f>
        <v>1068.3800000000001</v>
      </c>
      <c r="BQ159" s="23">
        <f t="shared" si="1273"/>
        <v>1068.3800000000001</v>
      </c>
      <c r="BR159" s="23">
        <f>+'QTR Raw'!AL85</f>
        <v>885.99</v>
      </c>
      <c r="BS159" s="23">
        <f t="shared" si="1273"/>
        <v>885.99</v>
      </c>
      <c r="BT159" s="23">
        <f>+'QTR Raw'!AN85</f>
        <v>1.64</v>
      </c>
      <c r="BU159" s="23">
        <f t="shared" si="1273"/>
        <v>1.64</v>
      </c>
      <c r="BV159" s="23">
        <f>+'QTR Raw'!AP85</f>
        <v>1.1399999999999999</v>
      </c>
      <c r="BW159" s="23">
        <f t="shared" si="1273"/>
        <v>1.1399999999999999</v>
      </c>
      <c r="BX159" s="23">
        <f>+'QTR Raw'!AR85</f>
        <v>2.19</v>
      </c>
      <c r="BY159" s="23">
        <f t="shared" si="1273"/>
        <v>2.19</v>
      </c>
      <c r="BZ159" s="23">
        <f>+'QTR Raw'!AT85</f>
        <v>2.17</v>
      </c>
      <c r="CA159" s="23">
        <f t="shared" si="1273"/>
        <v>2.17</v>
      </c>
      <c r="CB159" s="23">
        <f>+'QTR Raw'!AV85</f>
        <v>1.26</v>
      </c>
      <c r="CC159" s="23">
        <f t="shared" si="1273"/>
        <v>1.26</v>
      </c>
      <c r="CD159" s="23">
        <f>+'QTR Raw'!AX85</f>
        <v>2.06</v>
      </c>
      <c r="CE159" s="23">
        <f t="shared" si="1273"/>
        <v>2.06</v>
      </c>
      <c r="CF159" s="23">
        <f>+'QTR Raw'!AZ85</f>
        <v>2.12</v>
      </c>
      <c r="CG159" s="23">
        <f t="shared" si="1276"/>
        <v>2.12</v>
      </c>
      <c r="CH159" s="23">
        <f t="shared" si="1251"/>
        <v>2119.34</v>
      </c>
      <c r="CJ159" s="23">
        <f>+'QTR Raw'!BD85</f>
        <v>4.21</v>
      </c>
      <c r="CL159" s="23">
        <f>+'QTR Raw'!BF85</f>
        <v>2.2599999999999998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2.2599999999999998</v>
      </c>
    </row>
    <row r="160" spans="1:110" s="22" customFormat="1" x14ac:dyDescent="0.2">
      <c r="A160" s="22" t="s">
        <v>65</v>
      </c>
      <c r="B160" s="22">
        <f>SUM(B154:B159)</f>
        <v>0</v>
      </c>
      <c r="C160" s="22">
        <f t="shared" ref="C160:V160" si="1278">SUM(C154:C159)</f>
        <v>0</v>
      </c>
      <c r="D160" s="22">
        <f t="shared" si="1278"/>
        <v>0</v>
      </c>
      <c r="E160" s="22">
        <f t="shared" si="1278"/>
        <v>0</v>
      </c>
      <c r="F160" s="22">
        <f t="shared" si="1278"/>
        <v>0</v>
      </c>
      <c r="G160" s="22">
        <f t="shared" si="1278"/>
        <v>0</v>
      </c>
      <c r="H160" s="22">
        <f t="shared" si="1278"/>
        <v>0</v>
      </c>
      <c r="I160" s="22">
        <f t="shared" si="1278"/>
        <v>0</v>
      </c>
      <c r="J160" s="22">
        <f t="shared" si="1278"/>
        <v>0</v>
      </c>
      <c r="K160" s="22">
        <f t="shared" si="1278"/>
        <v>0</v>
      </c>
      <c r="L160" s="22">
        <f>SUM(L154:L159)</f>
        <v>0</v>
      </c>
      <c r="M160" s="22">
        <f>SUM(M154:M159)</f>
        <v>0</v>
      </c>
      <c r="N160" s="22">
        <f t="shared" si="1278"/>
        <v>0</v>
      </c>
      <c r="O160" s="22">
        <f t="shared" si="1278"/>
        <v>0</v>
      </c>
      <c r="P160" s="22">
        <f t="shared" si="1278"/>
        <v>0</v>
      </c>
      <c r="Q160" s="22">
        <f t="shared" si="1278"/>
        <v>0</v>
      </c>
      <c r="R160" s="22">
        <f t="shared" si="1278"/>
        <v>0</v>
      </c>
      <c r="S160" s="22">
        <f t="shared" si="1278"/>
        <v>4857.616</v>
      </c>
      <c r="T160" s="22">
        <f t="shared" si="1278"/>
        <v>5059.5749999999998</v>
      </c>
      <c r="U160" s="22">
        <f t="shared" si="1278"/>
        <v>4769.51</v>
      </c>
      <c r="V160" s="22">
        <f t="shared" si="1278"/>
        <v>3251.11</v>
      </c>
      <c r="W160" s="22">
        <f t="shared" ref="W160" si="1279">SUM(W154:W159)</f>
        <v>2852.49</v>
      </c>
      <c r="X160" s="22">
        <f t="shared" ref="X160:Y160" si="1280">SUM(X154:X159)</f>
        <v>2952.7599999999998</v>
      </c>
      <c r="Y160" s="22">
        <f t="shared" si="1280"/>
        <v>3841.17</v>
      </c>
      <c r="Z160" s="22">
        <f t="shared" ref="Z160:AA160" si="1281">SUM(Z154:Z159)</f>
        <v>4848.58</v>
      </c>
      <c r="AA160" s="22">
        <f t="shared" si="1281"/>
        <v>4701.12</v>
      </c>
      <c r="AB160" s="21">
        <f t="shared" ref="AA160:AD160" si="1282">SUM(AB154:AB159)</f>
        <v>6187.8118248125411</v>
      </c>
      <c r="AC160" s="21">
        <f t="shared" si="1282"/>
        <v>7171.5184699178826</v>
      </c>
      <c r="AD160" s="21">
        <f t="shared" si="1282"/>
        <v>8114.2589049021462</v>
      </c>
      <c r="AE160" s="21">
        <f t="shared" ref="AE160" si="1283">SUM(AE154:AE159)</f>
        <v>9179.0822424894395</v>
      </c>
      <c r="AJ160" s="22">
        <f t="shared" ref="AJ160" si="1284">SUM(AJ154:AJ159)</f>
        <v>0</v>
      </c>
      <c r="AK160" s="22" t="e">
        <f t="shared" ref="AK160" si="1285">SUM(AK154:AK159)</f>
        <v>#DIV/0!</v>
      </c>
      <c r="AL160" s="22">
        <f t="shared" ref="AL160:AM160" si="1286">SUM(AL154:AL159)</f>
        <v>0</v>
      </c>
      <c r="AM160" s="22" t="e">
        <f t="shared" si="1286"/>
        <v>#DIV/0!</v>
      </c>
      <c r="AN160" s="22">
        <f t="shared" ref="AN160:AO160" si="1287">SUM(AN154:AN159)</f>
        <v>0</v>
      </c>
      <c r="AO160" s="22" t="e">
        <f t="shared" si="1287"/>
        <v>#DIV/0!</v>
      </c>
      <c r="AP160" s="22">
        <f t="shared" ref="AP160:CE160" si="1288">SUM(AP154:AP159)</f>
        <v>0</v>
      </c>
      <c r="AQ160" s="22" t="e">
        <f t="shared" si="1288"/>
        <v>#DIV/0!</v>
      </c>
      <c r="AR160" s="22">
        <f t="shared" si="1288"/>
        <v>0</v>
      </c>
      <c r="AS160" s="22" t="e">
        <f t="shared" si="1288"/>
        <v>#DIV/0!</v>
      </c>
      <c r="AT160" s="22">
        <f t="shared" si="1288"/>
        <v>0</v>
      </c>
      <c r="AU160" s="22" t="e">
        <f t="shared" si="1288"/>
        <v>#DIV/0!</v>
      </c>
      <c r="AV160" s="22">
        <f t="shared" si="1288"/>
        <v>0</v>
      </c>
      <c r="AW160" s="22" t="e">
        <f t="shared" si="1288"/>
        <v>#DIV/0!</v>
      </c>
      <c r="AX160" s="22">
        <f t="shared" si="1288"/>
        <v>0</v>
      </c>
      <c r="AY160" s="22" t="e">
        <f t="shared" si="1288"/>
        <v>#DIV/0!</v>
      </c>
      <c r="AZ160" s="22">
        <f t="shared" si="1288"/>
        <v>0</v>
      </c>
      <c r="BA160" s="22" t="e">
        <f t="shared" si="1288"/>
        <v>#DIV/0!</v>
      </c>
      <c r="BB160" s="22">
        <f t="shared" si="1288"/>
        <v>0</v>
      </c>
      <c r="BC160" s="22" t="e">
        <f t="shared" si="1288"/>
        <v>#DIV/0!</v>
      </c>
      <c r="BD160" s="22">
        <f t="shared" si="1288"/>
        <v>0</v>
      </c>
      <c r="BE160" s="22" t="e">
        <f t="shared" si="1288"/>
        <v>#DIV/0!</v>
      </c>
      <c r="BF160" s="22">
        <f t="shared" si="1288"/>
        <v>0</v>
      </c>
      <c r="BG160" s="22" t="e">
        <f t="shared" si="1288"/>
        <v>#DIV/0!</v>
      </c>
      <c r="BH160" s="22">
        <f t="shared" si="1288"/>
        <v>0</v>
      </c>
      <c r="BI160" s="22">
        <f t="shared" si="1288"/>
        <v>0</v>
      </c>
      <c r="BJ160" s="22">
        <f t="shared" si="1288"/>
        <v>4873.5970000000007</v>
      </c>
      <c r="BK160" s="22">
        <f t="shared" si="1288"/>
        <v>3984.6506280568574</v>
      </c>
      <c r="BL160" s="22">
        <f t="shared" si="1288"/>
        <v>5282.7070000000003</v>
      </c>
      <c r="BM160" s="22">
        <f t="shared" si="1288"/>
        <v>5079.3756012360373</v>
      </c>
      <c r="BN160" s="22">
        <f t="shared" si="1288"/>
        <v>4459.5499999999993</v>
      </c>
      <c r="BO160" s="22">
        <f t="shared" si="1288"/>
        <v>3474.4366324376524</v>
      </c>
      <c r="BP160" s="22">
        <f t="shared" si="1288"/>
        <v>3685.8199999999997</v>
      </c>
      <c r="BQ160" s="22">
        <f t="shared" si="1288"/>
        <v>3663.998059747275</v>
      </c>
      <c r="BR160" s="22">
        <f t="shared" si="1288"/>
        <v>3260.7799999999997</v>
      </c>
      <c r="BS160" s="22">
        <f t="shared" si="1288"/>
        <v>3154.696759860466</v>
      </c>
      <c r="BT160" s="22">
        <f t="shared" si="1288"/>
        <v>2815.73</v>
      </c>
      <c r="BU160" s="22">
        <f t="shared" si="1288"/>
        <v>2864.1565260494149</v>
      </c>
      <c r="BV160" s="22">
        <f t="shared" si="1288"/>
        <v>2861.93</v>
      </c>
      <c r="BW160" s="22">
        <f t="shared" si="1288"/>
        <v>2961.8993509985717</v>
      </c>
      <c r="BX160" s="22">
        <f t="shared" si="1288"/>
        <v>2848.71</v>
      </c>
      <c r="BY160" s="22">
        <f t="shared" si="1288"/>
        <v>3079.0412545972049</v>
      </c>
      <c r="BZ160" s="22">
        <f t="shared" si="1288"/>
        <v>2965.0200000000004</v>
      </c>
      <c r="CA160" s="22">
        <f t="shared" si="1288"/>
        <v>6784.2553793961324</v>
      </c>
      <c r="CB160" s="22">
        <f t="shared" si="1288"/>
        <v>3789.15</v>
      </c>
      <c r="CC160" s="22">
        <f t="shared" si="1288"/>
        <v>3628.7176595744681</v>
      </c>
      <c r="CD160" s="22">
        <f t="shared" si="1288"/>
        <v>3873.46</v>
      </c>
      <c r="CE160" s="22">
        <f t="shared" si="1288"/>
        <v>3687.5594995797996</v>
      </c>
      <c r="CF160" s="22">
        <f t="shared" ref="CF160:CG160" si="1289">SUM(CF154:CF159)</f>
        <v>4254.95</v>
      </c>
      <c r="CG160" s="22">
        <f t="shared" si="1289"/>
        <v>4981.5518628031323</v>
      </c>
      <c r="CH160" s="22">
        <f t="shared" ref="CH160:CI160" si="1290">SUM(CH154:CH159)</f>
        <v>4848.58</v>
      </c>
      <c r="CI160" s="22">
        <f t="shared" si="1290"/>
        <v>3390.643515130344</v>
      </c>
      <c r="CJ160" s="22">
        <f t="shared" ref="CJ160:DB160" si="1291">SUM(CJ154:CJ159)</f>
        <v>4361.6899999999996</v>
      </c>
      <c r="CK160" s="22">
        <f t="shared" si="1291"/>
        <v>5218.7872783369548</v>
      </c>
      <c r="CL160" s="22">
        <f t="shared" ref="CL160" si="1292">SUM(CL154:CL159)</f>
        <v>4719.4799999999996</v>
      </c>
      <c r="CM160" s="21">
        <f t="shared" si="1291"/>
        <v>5898.7131699315923</v>
      </c>
      <c r="CN160" s="21">
        <f t="shared" si="1291"/>
        <v>5319.524583706645</v>
      </c>
      <c r="CO160" s="21">
        <f t="shared" si="1291"/>
        <v>5705.451693896146</v>
      </c>
      <c r="CP160" s="21">
        <f t="shared" si="1291"/>
        <v>6187.8118248125411</v>
      </c>
      <c r="CQ160" s="21">
        <f t="shared" si="1291"/>
        <v>6906.8436794798208</v>
      </c>
      <c r="CR160" s="21">
        <f t="shared" si="1291"/>
        <v>6113.327897832658</v>
      </c>
      <c r="CS160" s="21">
        <f t="shared" si="1291"/>
        <v>6512.6803742373049</v>
      </c>
      <c r="CT160" s="21">
        <f t="shared" si="1291"/>
        <v>7171.5184699178826</v>
      </c>
      <c r="CU160" s="21">
        <f t="shared" si="1291"/>
        <v>7823.9859939874632</v>
      </c>
      <c r="CV160" s="21">
        <f t="shared" si="1291"/>
        <v>6898.975015210739</v>
      </c>
      <c r="CW160" s="21">
        <f t="shared" si="1291"/>
        <v>7356.1821612556469</v>
      </c>
      <c r="CX160" s="21">
        <f t="shared" si="1291"/>
        <v>8114.2589049021462</v>
      </c>
      <c r="CY160" s="21">
        <f t="shared" si="1291"/>
        <v>8826.190328889872</v>
      </c>
      <c r="CZ160" s="21">
        <f t="shared" si="1291"/>
        <v>7767.7724848114094</v>
      </c>
      <c r="DA160" s="21">
        <f t="shared" si="1291"/>
        <v>8301.1241823356231</v>
      </c>
      <c r="DB160" s="21">
        <f t="shared" si="1291"/>
        <v>9179.0822424894395</v>
      </c>
      <c r="DE160" s="126"/>
      <c r="DF160" s="22">
        <v>10838.126850035584</v>
      </c>
    </row>
    <row r="161" spans="1:110" s="23" customFormat="1" outlineLevel="1" x14ac:dyDescent="0.2">
      <c r="A161" s="23" t="s">
        <v>66</v>
      </c>
      <c r="B161" s="23">
        <f>'Annual Raw'!C50+'Annual Raw'!C58</f>
        <v>0</v>
      </c>
      <c r="C161" s="23">
        <f>'Annual Raw'!D50+'Annual Raw'!D58</f>
        <v>0</v>
      </c>
      <c r="D161" s="23">
        <f>'Annual Raw'!E50+'Annual Raw'!E58</f>
        <v>0</v>
      </c>
      <c r="E161" s="23">
        <f>'Annual Raw'!F50+'Annual Raw'!F58</f>
        <v>0</v>
      </c>
      <c r="F161" s="23">
        <f>'Annual Raw'!G50+'Annual Raw'!G58</f>
        <v>0</v>
      </c>
      <c r="G161" s="23">
        <f>'Annual Raw'!H50+'Annual Raw'!H58</f>
        <v>0</v>
      </c>
      <c r="H161" s="23">
        <f>'Annual Raw'!I50+'Annual Raw'!I58</f>
        <v>0</v>
      </c>
      <c r="I161" s="23">
        <f>'Annual Raw'!J50+'Annual Raw'!J58</f>
        <v>0</v>
      </c>
      <c r="J161" s="23">
        <f>'Annual Raw'!K50+'Annual Raw'!K58</f>
        <v>0</v>
      </c>
      <c r="K161" s="23">
        <f>'Annual Raw'!L50+'Annual Raw'!L58</f>
        <v>0</v>
      </c>
      <c r="L161" s="23">
        <f>'Annual Raw'!M50+'Annual Raw'!M58</f>
        <v>0</v>
      </c>
      <c r="M161" s="23">
        <f>'Annual Raw'!N50+'Annual Raw'!N58</f>
        <v>0</v>
      </c>
      <c r="N161" s="23">
        <f>'Annual Raw'!O50+'Annual Raw'!O58</f>
        <v>0</v>
      </c>
      <c r="O161" s="23">
        <f>'Annual Raw'!P50+'Annual Raw'!P58</f>
        <v>0</v>
      </c>
      <c r="P161" s="23">
        <f>'Annual Raw'!Q50+'Annual Raw'!Q58</f>
        <v>0</v>
      </c>
      <c r="Q161" s="23">
        <f>'Annual Raw'!R50+'Annual Raw'!R58</f>
        <v>0</v>
      </c>
      <c r="R161" s="23">
        <f>'Annual Raw'!S50+'Annual Raw'!S58</f>
        <v>0</v>
      </c>
      <c r="S161" s="23">
        <f>'Annual Raw'!T50+'Annual Raw'!T58</f>
        <v>0</v>
      </c>
      <c r="T161" s="23">
        <f>'Annual Raw'!U50+'Annual Raw'!U58</f>
        <v>0</v>
      </c>
      <c r="U161" s="23">
        <f>'Annual Raw'!V50+'Annual Raw'!V58</f>
        <v>6.79</v>
      </c>
      <c r="V161" s="23">
        <f>'Annual Raw'!W50+'Annual Raw'!W58</f>
        <v>9.11</v>
      </c>
      <c r="W161" s="23">
        <f>'Annual Raw'!X50+'Annual Raw'!X58</f>
        <v>7.95</v>
      </c>
      <c r="X161" s="23">
        <f>'Annual Raw'!Y50+'Annual Raw'!Y58</f>
        <v>11.09</v>
      </c>
      <c r="Y161" s="23">
        <f>'Annual Raw'!Z50+'Annual Raw'!Z58</f>
        <v>31.35</v>
      </c>
      <c r="Z161" s="23">
        <f>'Annual Raw'!AA50+'Annual Raw'!AA58</f>
        <v>27.16</v>
      </c>
      <c r="AA161" s="23">
        <f>'Annual Raw'!AB50+'Annual Raw'!AB58</f>
        <v>18.47</v>
      </c>
      <c r="AB161" s="24">
        <f t="shared" ref="AB161:AB167" si="1293">+CP161</f>
        <v>0</v>
      </c>
      <c r="AC161" s="24">
        <f t="shared" ref="AC161:AC167" si="1294">+CT161</f>
        <v>0</v>
      </c>
      <c r="AD161" s="24">
        <f t="shared" ref="AD161:AD167" si="1295">+CX161</f>
        <v>0</v>
      </c>
      <c r="AE161" s="24">
        <f t="shared" ref="AE161:AE167" si="1296">+DB161</f>
        <v>0</v>
      </c>
      <c r="AJ161" s="23">
        <f>+'QTR Raw'!D64</f>
        <v>0</v>
      </c>
      <c r="AK161" s="23">
        <f t="shared" ref="AK161:CE167" si="1297">+AJ161</f>
        <v>0</v>
      </c>
      <c r="AL161" s="23">
        <f>+'QTR Raw'!F64</f>
        <v>0</v>
      </c>
      <c r="AM161" s="23">
        <f t="shared" si="1297"/>
        <v>0</v>
      </c>
      <c r="AN161" s="23">
        <f>+'QTR Raw'!H64</f>
        <v>0</v>
      </c>
      <c r="AO161" s="23">
        <f t="shared" si="1297"/>
        <v>0</v>
      </c>
      <c r="AP161" s="23">
        <f>+'QTR Raw'!J64</f>
        <v>0</v>
      </c>
      <c r="AQ161" s="23">
        <f t="shared" si="1297"/>
        <v>0</v>
      </c>
      <c r="AR161" s="23">
        <f>+'QTR Raw'!L64</f>
        <v>0</v>
      </c>
      <c r="AS161" s="23">
        <f t="shared" si="1297"/>
        <v>0</v>
      </c>
      <c r="AT161" s="23">
        <f>+'QTR Raw'!N64</f>
        <v>0</v>
      </c>
      <c r="AU161" s="23">
        <f t="shared" si="1297"/>
        <v>0</v>
      </c>
      <c r="AV161" s="23">
        <f>+'QTR Raw'!P64</f>
        <v>0</v>
      </c>
      <c r="AW161" s="23">
        <f t="shared" si="1297"/>
        <v>0</v>
      </c>
      <c r="AX161" s="23">
        <f>+'QTR Raw'!R64</f>
        <v>0</v>
      </c>
      <c r="AY161" s="23">
        <f t="shared" si="1297"/>
        <v>0</v>
      </c>
      <c r="AZ161" s="23">
        <f>+'QTR Raw'!T64</f>
        <v>0</v>
      </c>
      <c r="BA161" s="23">
        <f t="shared" si="1297"/>
        <v>0</v>
      </c>
      <c r="BB161" s="23">
        <f>+'QTR Raw'!V64</f>
        <v>0</v>
      </c>
      <c r="BC161" s="23">
        <f t="shared" si="1297"/>
        <v>0</v>
      </c>
      <c r="BD161" s="23">
        <f>+'QTR Raw'!X64</f>
        <v>0</v>
      </c>
      <c r="BE161" s="23">
        <f t="shared" si="1297"/>
        <v>0</v>
      </c>
      <c r="BF161" s="23">
        <f>+'QTR Raw'!Z64</f>
        <v>0</v>
      </c>
      <c r="BG161" s="23">
        <f t="shared" si="1297"/>
        <v>0</v>
      </c>
      <c r="BH161" s="23">
        <f>+'QTR Raw'!AB64</f>
        <v>0</v>
      </c>
      <c r="BI161" s="23">
        <f t="shared" si="1297"/>
        <v>0</v>
      </c>
      <c r="BJ161" s="23">
        <f>+'QTR Raw'!AD64</f>
        <v>0</v>
      </c>
      <c r="BK161" s="23">
        <f t="shared" si="1297"/>
        <v>0</v>
      </c>
      <c r="BL161" s="23">
        <f>+'QTR Raw'!AF64</f>
        <v>0</v>
      </c>
      <c r="BM161" s="23">
        <f t="shared" si="1297"/>
        <v>0</v>
      </c>
      <c r="BN161" s="23">
        <f>+'QTR Raw'!AH64</f>
        <v>6.79</v>
      </c>
      <c r="BO161" s="23">
        <f t="shared" si="1297"/>
        <v>6.79</v>
      </c>
      <c r="BP161" s="23">
        <f>+'QTR Raw'!AJ64</f>
        <v>6.29</v>
      </c>
      <c r="BQ161" s="23">
        <f t="shared" si="1297"/>
        <v>6.29</v>
      </c>
      <c r="BR161" s="23">
        <f>+'QTR Raw'!AL64</f>
        <v>9.11</v>
      </c>
      <c r="BS161" s="23">
        <f t="shared" si="1297"/>
        <v>9.11</v>
      </c>
      <c r="BT161" s="23">
        <f>+'QTR Raw'!AN64</f>
        <v>8.59</v>
      </c>
      <c r="BU161" s="23">
        <f t="shared" si="1297"/>
        <v>8.59</v>
      </c>
      <c r="BV161" s="23">
        <f>+'QTR Raw'!AP64</f>
        <v>7.95</v>
      </c>
      <c r="BW161" s="23">
        <f t="shared" si="1297"/>
        <v>7.95</v>
      </c>
      <c r="BX161" s="23">
        <f>+'QTR Raw'!AR64</f>
        <v>12.53</v>
      </c>
      <c r="BY161" s="23">
        <f t="shared" si="1297"/>
        <v>12.53</v>
      </c>
      <c r="BZ161" s="23">
        <f>+'QTR Raw'!AT64</f>
        <v>11.09</v>
      </c>
      <c r="CA161" s="23">
        <f t="shared" si="1297"/>
        <v>11.09</v>
      </c>
      <c r="CB161" s="23">
        <f>+'QTR Raw'!AV64</f>
        <v>34.479999999999997</v>
      </c>
      <c r="CC161" s="23">
        <f t="shared" si="1297"/>
        <v>34.479999999999997</v>
      </c>
      <c r="CD161" s="23">
        <f>+'QTR Raw'!AX64</f>
        <v>31.35</v>
      </c>
      <c r="CE161" s="23">
        <f t="shared" si="1297"/>
        <v>31.35</v>
      </c>
      <c r="CF161" s="23">
        <f>+'QTR Raw'!AZ64</f>
        <v>28.14</v>
      </c>
      <c r="CG161" s="23">
        <f t="shared" ref="CG161:CG164" si="1298">+CF161</f>
        <v>28.14</v>
      </c>
      <c r="CH161" s="23">
        <f t="shared" si="1251"/>
        <v>27.16</v>
      </c>
      <c r="CJ161" s="23">
        <f>+'QTR Raw'!BD64</f>
        <v>23.27</v>
      </c>
      <c r="CL161" s="23">
        <f>+'QTR Raw'!BF64</f>
        <v>18.47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18.47</v>
      </c>
    </row>
    <row r="162" spans="1:110" s="23" customFormat="1" outlineLevel="1" x14ac:dyDescent="0.2">
      <c r="A162" s="23" t="s">
        <v>67</v>
      </c>
      <c r="B162" s="23">
        <f>'Annual Raw'!C51</f>
        <v>0</v>
      </c>
      <c r="C162" s="23">
        <f>'Annual Raw'!D51</f>
        <v>0</v>
      </c>
      <c r="D162" s="23">
        <f>'Annual Raw'!E51</f>
        <v>0</v>
      </c>
      <c r="E162" s="23">
        <f>'Annual Raw'!F51</f>
        <v>0</v>
      </c>
      <c r="F162" s="23">
        <f>'Annual Raw'!G51</f>
        <v>0</v>
      </c>
      <c r="G162" s="23">
        <f>'Annual Raw'!H51</f>
        <v>0</v>
      </c>
      <c r="H162" s="23">
        <f>'Annual Raw'!I51</f>
        <v>0</v>
      </c>
      <c r="I162" s="23">
        <f>'Annual Raw'!J51</f>
        <v>0</v>
      </c>
      <c r="J162" s="23">
        <f>'Annual Raw'!K51</f>
        <v>0</v>
      </c>
      <c r="K162" s="23">
        <f>'Annual Raw'!L51</f>
        <v>0</v>
      </c>
      <c r="L162" s="23">
        <f>'Annual Raw'!M51</f>
        <v>0</v>
      </c>
      <c r="M162" s="23">
        <f>'Annual Raw'!N51</f>
        <v>0</v>
      </c>
      <c r="N162" s="23">
        <f>'Annual Raw'!O51</f>
        <v>0</v>
      </c>
      <c r="O162" s="23">
        <f>'Annual Raw'!P51</f>
        <v>0</v>
      </c>
      <c r="P162" s="23">
        <f>'Annual Raw'!Q51</f>
        <v>0</v>
      </c>
      <c r="Q162" s="23">
        <f>'Annual Raw'!R51</f>
        <v>0</v>
      </c>
      <c r="R162" s="23">
        <f>'Annual Raw'!S51</f>
        <v>0</v>
      </c>
      <c r="S162" s="23">
        <f>'Annual Raw'!T51</f>
        <v>0</v>
      </c>
      <c r="T162" s="23">
        <f>'Annual Raw'!U51</f>
        <v>0</v>
      </c>
      <c r="U162" s="23">
        <f>'Annual Raw'!V51</f>
        <v>0</v>
      </c>
      <c r="V162" s="23">
        <f>'Annual Raw'!W51</f>
        <v>0</v>
      </c>
      <c r="W162" s="23">
        <f>'Annual Raw'!X51</f>
        <v>0</v>
      </c>
      <c r="X162" s="23">
        <f>'Annual Raw'!Y51</f>
        <v>0</v>
      </c>
      <c r="Y162" s="23">
        <f>'Annual Raw'!Z51</f>
        <v>0</v>
      </c>
      <c r="Z162" s="23">
        <f>'Annual Raw'!AA51</f>
        <v>0</v>
      </c>
      <c r="AA162" s="23">
        <f>'Annual Raw'!AB51</f>
        <v>0</v>
      </c>
      <c r="AB162" s="24">
        <f t="shared" si="1293"/>
        <v>0</v>
      </c>
      <c r="AC162" s="24">
        <f t="shared" si="1294"/>
        <v>0</v>
      </c>
      <c r="AD162" s="24">
        <f t="shared" si="1295"/>
        <v>0</v>
      </c>
      <c r="AE162" s="24">
        <f t="shared" si="1296"/>
        <v>0</v>
      </c>
      <c r="AJ162" s="23">
        <f>+'QTR Raw'!D65</f>
        <v>0</v>
      </c>
      <c r="AK162" s="23">
        <f t="shared" si="1297"/>
        <v>0</v>
      </c>
      <c r="AL162" s="23">
        <f>+'QTR Raw'!F65</f>
        <v>0</v>
      </c>
      <c r="AM162" s="23">
        <f t="shared" si="1297"/>
        <v>0</v>
      </c>
      <c r="AN162" s="23">
        <f>+'QTR Raw'!H65</f>
        <v>0</v>
      </c>
      <c r="AO162" s="23">
        <f t="shared" si="1297"/>
        <v>0</v>
      </c>
      <c r="AP162" s="23">
        <f>+'QTR Raw'!J65</f>
        <v>0</v>
      </c>
      <c r="AQ162" s="23">
        <f t="shared" si="1297"/>
        <v>0</v>
      </c>
      <c r="AR162" s="23">
        <f>+'QTR Raw'!L65</f>
        <v>0</v>
      </c>
      <c r="AS162" s="23">
        <f t="shared" si="1297"/>
        <v>0</v>
      </c>
      <c r="AT162" s="23">
        <f>+'QTR Raw'!N65</f>
        <v>0</v>
      </c>
      <c r="AU162" s="23">
        <f t="shared" si="1297"/>
        <v>0</v>
      </c>
      <c r="AV162" s="23">
        <f>+'QTR Raw'!P65</f>
        <v>0</v>
      </c>
      <c r="AW162" s="23">
        <f t="shared" si="1297"/>
        <v>0</v>
      </c>
      <c r="AX162" s="23">
        <f>+'QTR Raw'!R65</f>
        <v>0</v>
      </c>
      <c r="AY162" s="23">
        <f t="shared" si="1297"/>
        <v>0</v>
      </c>
      <c r="AZ162" s="23">
        <f>+'QTR Raw'!T65</f>
        <v>0</v>
      </c>
      <c r="BA162" s="23">
        <f t="shared" si="1297"/>
        <v>0</v>
      </c>
      <c r="BB162" s="23">
        <f>+'QTR Raw'!V65</f>
        <v>0</v>
      </c>
      <c r="BC162" s="23">
        <f t="shared" si="1297"/>
        <v>0</v>
      </c>
      <c r="BD162" s="23">
        <f>+'QTR Raw'!X65</f>
        <v>0</v>
      </c>
      <c r="BE162" s="23">
        <f t="shared" si="1297"/>
        <v>0</v>
      </c>
      <c r="BF162" s="23">
        <f>+'QTR Raw'!Z65</f>
        <v>0</v>
      </c>
      <c r="BG162" s="23">
        <f t="shared" si="1297"/>
        <v>0</v>
      </c>
      <c r="BH162" s="23">
        <f>+'QTR Raw'!AB65</f>
        <v>0</v>
      </c>
      <c r="BI162" s="23">
        <f t="shared" si="1297"/>
        <v>0</v>
      </c>
      <c r="BJ162" s="23">
        <f>+'QTR Raw'!AD65</f>
        <v>0</v>
      </c>
      <c r="BK162" s="23">
        <f t="shared" si="1297"/>
        <v>0</v>
      </c>
      <c r="BL162" s="23">
        <f>+'QTR Raw'!AF65</f>
        <v>0</v>
      </c>
      <c r="BM162" s="23">
        <f t="shared" si="1297"/>
        <v>0</v>
      </c>
      <c r="BN162" s="23">
        <f>+'QTR Raw'!AH65</f>
        <v>0</v>
      </c>
      <c r="BO162" s="23">
        <f t="shared" si="1297"/>
        <v>0</v>
      </c>
      <c r="BP162" s="23">
        <f>+'QTR Raw'!AJ65</f>
        <v>0</v>
      </c>
      <c r="BQ162" s="23">
        <f t="shared" si="1297"/>
        <v>0</v>
      </c>
      <c r="BR162" s="23">
        <f>+'QTR Raw'!AL65</f>
        <v>0</v>
      </c>
      <c r="BS162" s="23">
        <f t="shared" si="1297"/>
        <v>0</v>
      </c>
      <c r="BT162" s="23">
        <f>+'QTR Raw'!AN65</f>
        <v>0</v>
      </c>
      <c r="BU162" s="23">
        <f t="shared" si="1297"/>
        <v>0</v>
      </c>
      <c r="BV162" s="23">
        <f>+'QTR Raw'!AP65</f>
        <v>0</v>
      </c>
      <c r="BW162" s="23">
        <f t="shared" si="1297"/>
        <v>0</v>
      </c>
      <c r="BX162" s="23">
        <f>+'QTR Raw'!AR65</f>
        <v>0</v>
      </c>
      <c r="BY162" s="23">
        <f t="shared" si="1297"/>
        <v>0</v>
      </c>
      <c r="BZ162" s="23">
        <f>+'QTR Raw'!AT65</f>
        <v>0</v>
      </c>
      <c r="CA162" s="23">
        <f t="shared" si="1297"/>
        <v>0</v>
      </c>
      <c r="CB162" s="23">
        <f>+'QTR Raw'!AV65</f>
        <v>0</v>
      </c>
      <c r="CC162" s="23">
        <f t="shared" si="1297"/>
        <v>0</v>
      </c>
      <c r="CD162" s="23">
        <f>+'QTR Raw'!AX65</f>
        <v>0</v>
      </c>
      <c r="CE162" s="23">
        <f t="shared" si="1297"/>
        <v>0</v>
      </c>
      <c r="CF162" s="23">
        <f>+'QTR Raw'!AZ65</f>
        <v>0</v>
      </c>
      <c r="CG162" s="23">
        <f t="shared" si="1298"/>
        <v>0</v>
      </c>
      <c r="CH162" s="23">
        <f t="shared" si="1251"/>
        <v>0</v>
      </c>
      <c r="CJ162" s="23">
        <f>+'QTR Raw'!BD65</f>
        <v>0</v>
      </c>
      <c r="CL162" s="23">
        <f>+'QTR Raw'!BF65</f>
        <v>0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0</v>
      </c>
    </row>
    <row r="163" spans="1:110" s="23" customFormat="1" outlineLevel="1" x14ac:dyDescent="0.2">
      <c r="A163" s="23" t="s">
        <v>68</v>
      </c>
      <c r="B163" s="23">
        <f>'Annual Raw'!C52</f>
        <v>0</v>
      </c>
      <c r="C163" s="23">
        <f>'Annual Raw'!D52</f>
        <v>0</v>
      </c>
      <c r="D163" s="23">
        <f>'Annual Raw'!E52</f>
        <v>0</v>
      </c>
      <c r="E163" s="23">
        <f>'Annual Raw'!F52</f>
        <v>0</v>
      </c>
      <c r="F163" s="23">
        <f>'Annual Raw'!G52</f>
        <v>0</v>
      </c>
      <c r="G163" s="23">
        <f>'Annual Raw'!H52</f>
        <v>0</v>
      </c>
      <c r="H163" s="23">
        <f>'Annual Raw'!I52</f>
        <v>0</v>
      </c>
      <c r="I163" s="23">
        <f>'Annual Raw'!J52</f>
        <v>0</v>
      </c>
      <c r="J163" s="23">
        <f>'Annual Raw'!K52</f>
        <v>0</v>
      </c>
      <c r="K163" s="23">
        <f>'Annual Raw'!L52</f>
        <v>0</v>
      </c>
      <c r="L163" s="23">
        <f>'Annual Raw'!M52</f>
        <v>0</v>
      </c>
      <c r="M163" s="23">
        <f>'Annual Raw'!N52</f>
        <v>0</v>
      </c>
      <c r="N163" s="23">
        <f>'Annual Raw'!O52</f>
        <v>0</v>
      </c>
      <c r="O163" s="23">
        <f>'Annual Raw'!P52</f>
        <v>0</v>
      </c>
      <c r="P163" s="23">
        <f>'Annual Raw'!Q52</f>
        <v>0</v>
      </c>
      <c r="Q163" s="23">
        <f>'Annual Raw'!R52</f>
        <v>0</v>
      </c>
      <c r="R163" s="23">
        <f>'Annual Raw'!S52</f>
        <v>0</v>
      </c>
      <c r="S163" s="23">
        <f>'Annual Raw'!T52</f>
        <v>5.5739999999999998</v>
      </c>
      <c r="T163" s="23">
        <f>'Annual Raw'!U52</f>
        <v>8.6110000000000007</v>
      </c>
      <c r="U163" s="23">
        <f>'Annual Raw'!V52</f>
        <v>22.96</v>
      </c>
      <c r="V163" s="23">
        <f>'Annual Raw'!W52</f>
        <v>26.12</v>
      </c>
      <c r="W163" s="23">
        <f>'Annual Raw'!X52</f>
        <v>25.46</v>
      </c>
      <c r="X163" s="23">
        <f>'Annual Raw'!Y52</f>
        <v>19.239999999999998</v>
      </c>
      <c r="Y163" s="23">
        <f>'Annual Raw'!Z52</f>
        <v>22.4</v>
      </c>
      <c r="Z163" s="23">
        <f>'Annual Raw'!AA52</f>
        <v>45.7</v>
      </c>
      <c r="AA163" s="23">
        <f>'Annual Raw'!AB52</f>
        <v>42.38</v>
      </c>
      <c r="AB163" s="24">
        <f t="shared" si="1293"/>
        <v>0</v>
      </c>
      <c r="AC163" s="24">
        <f t="shared" si="1294"/>
        <v>0</v>
      </c>
      <c r="AD163" s="24">
        <f t="shared" si="1295"/>
        <v>0</v>
      </c>
      <c r="AE163" s="24">
        <f t="shared" si="1296"/>
        <v>0</v>
      </c>
      <c r="AJ163" s="23">
        <f>+'QTR Raw'!D66</f>
        <v>0</v>
      </c>
      <c r="AK163" s="23">
        <f t="shared" si="1297"/>
        <v>0</v>
      </c>
      <c r="AL163" s="23">
        <f>+'QTR Raw'!F66</f>
        <v>0</v>
      </c>
      <c r="AM163" s="23">
        <f t="shared" si="1297"/>
        <v>0</v>
      </c>
      <c r="AN163" s="23">
        <f>+'QTR Raw'!H66</f>
        <v>0</v>
      </c>
      <c r="AO163" s="23">
        <f t="shared" si="1297"/>
        <v>0</v>
      </c>
      <c r="AP163" s="23">
        <f>+'QTR Raw'!J66</f>
        <v>0</v>
      </c>
      <c r="AQ163" s="23">
        <f t="shared" si="1297"/>
        <v>0</v>
      </c>
      <c r="AR163" s="23">
        <f>+'QTR Raw'!L66</f>
        <v>0</v>
      </c>
      <c r="AS163" s="23">
        <f t="shared" si="1297"/>
        <v>0</v>
      </c>
      <c r="AT163" s="23">
        <f>+'QTR Raw'!N66</f>
        <v>0</v>
      </c>
      <c r="AU163" s="23">
        <f t="shared" si="1297"/>
        <v>0</v>
      </c>
      <c r="AV163" s="23">
        <f>+'QTR Raw'!P66</f>
        <v>0</v>
      </c>
      <c r="AW163" s="23">
        <f t="shared" si="1297"/>
        <v>0</v>
      </c>
      <c r="AX163" s="23">
        <f>+'QTR Raw'!R66</f>
        <v>0</v>
      </c>
      <c r="AY163" s="23">
        <f t="shared" si="1297"/>
        <v>0</v>
      </c>
      <c r="AZ163" s="23">
        <f>+'QTR Raw'!T66</f>
        <v>0</v>
      </c>
      <c r="BA163" s="23">
        <f t="shared" si="1297"/>
        <v>0</v>
      </c>
      <c r="BB163" s="23">
        <f>+'QTR Raw'!V66</f>
        <v>0</v>
      </c>
      <c r="BC163" s="23">
        <f t="shared" si="1297"/>
        <v>0</v>
      </c>
      <c r="BD163" s="23">
        <f>+'QTR Raw'!X66</f>
        <v>0</v>
      </c>
      <c r="BE163" s="23">
        <f t="shared" si="1297"/>
        <v>0</v>
      </c>
      <c r="BF163" s="23">
        <f>+'QTR Raw'!Z66</f>
        <v>0</v>
      </c>
      <c r="BG163" s="23">
        <f t="shared" si="1297"/>
        <v>0</v>
      </c>
      <c r="BH163" s="23">
        <f>+'QTR Raw'!AB66</f>
        <v>0</v>
      </c>
      <c r="BI163" s="23">
        <f t="shared" si="1297"/>
        <v>0</v>
      </c>
      <c r="BJ163" s="23">
        <f>+'QTR Raw'!AD66</f>
        <v>8.6110000000000007</v>
      </c>
      <c r="BK163" s="23">
        <f t="shared" si="1297"/>
        <v>8.6110000000000007</v>
      </c>
      <c r="BL163" s="23">
        <f>+'QTR Raw'!AF66</f>
        <v>9.9870000000000001</v>
      </c>
      <c r="BM163" s="23">
        <f t="shared" si="1297"/>
        <v>9.9870000000000001</v>
      </c>
      <c r="BN163" s="23">
        <f>+'QTR Raw'!AH66</f>
        <v>13.61</v>
      </c>
      <c r="BO163" s="23">
        <f t="shared" si="1297"/>
        <v>13.61</v>
      </c>
      <c r="BP163" s="23">
        <f>+'QTR Raw'!AJ66</f>
        <v>15.28</v>
      </c>
      <c r="BQ163" s="23">
        <f t="shared" si="1297"/>
        <v>15.28</v>
      </c>
      <c r="BR163" s="23">
        <f>+'QTR Raw'!AL66</f>
        <v>26.12</v>
      </c>
      <c r="BS163" s="23">
        <f t="shared" si="1297"/>
        <v>26.12</v>
      </c>
      <c r="BT163" s="23">
        <f>+'QTR Raw'!AN66</f>
        <v>25.83</v>
      </c>
      <c r="BU163" s="23">
        <f t="shared" si="1297"/>
        <v>25.83</v>
      </c>
      <c r="BV163" s="23">
        <f>+'QTR Raw'!AP66</f>
        <v>25.46</v>
      </c>
      <c r="BW163" s="23">
        <f t="shared" si="1297"/>
        <v>25.46</v>
      </c>
      <c r="BX163" s="23">
        <f>+'QTR Raw'!AR66</f>
        <v>15.12</v>
      </c>
      <c r="BY163" s="23">
        <f t="shared" si="1297"/>
        <v>15.12</v>
      </c>
      <c r="BZ163" s="23">
        <f>+'QTR Raw'!AT66</f>
        <v>19.239999999999998</v>
      </c>
      <c r="CA163" s="23">
        <f t="shared" si="1297"/>
        <v>19.239999999999998</v>
      </c>
      <c r="CB163" s="23">
        <f>+'QTR Raw'!AV66</f>
        <v>21.92</v>
      </c>
      <c r="CC163" s="23">
        <f t="shared" si="1297"/>
        <v>21.92</v>
      </c>
      <c r="CD163" s="23">
        <f>+'QTR Raw'!AX66</f>
        <v>22.4</v>
      </c>
      <c r="CE163" s="23">
        <f t="shared" si="1297"/>
        <v>22.4</v>
      </c>
      <c r="CF163" s="23">
        <f>+'QTR Raw'!AZ66</f>
        <v>24.1</v>
      </c>
      <c r="CG163" s="23">
        <f t="shared" si="1298"/>
        <v>24.1</v>
      </c>
      <c r="CH163" s="23">
        <f t="shared" si="1251"/>
        <v>45.7</v>
      </c>
      <c r="CJ163" s="23">
        <f>+'QTR Raw'!BD66</f>
        <v>51.55</v>
      </c>
      <c r="CL163" s="23">
        <f>+'QTR Raw'!BF66</f>
        <v>42.38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42.38</v>
      </c>
    </row>
    <row r="164" spans="1:110" s="23" customFormat="1" outlineLevel="1" x14ac:dyDescent="0.2">
      <c r="A164" s="23" t="s">
        <v>69</v>
      </c>
      <c r="B164" s="23">
        <v>0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23">
        <v>0</v>
      </c>
      <c r="X164" s="23">
        <v>0</v>
      </c>
      <c r="Y164" s="23">
        <v>0</v>
      </c>
      <c r="Z164" s="23">
        <v>0</v>
      </c>
      <c r="AA164" s="23">
        <v>0</v>
      </c>
      <c r="AB164" s="24">
        <f t="shared" si="1293"/>
        <v>1312.288425279188</v>
      </c>
      <c r="AC164" s="24">
        <f t="shared" si="1294"/>
        <v>1520.9093208057047</v>
      </c>
      <c r="AD164" s="24">
        <f t="shared" si="1295"/>
        <v>1720.8422528175788</v>
      </c>
      <c r="AE164" s="24">
        <f t="shared" si="1296"/>
        <v>1946.6660788233564</v>
      </c>
      <c r="AJ164" s="23">
        <f>+'QTR Raw'!D87</f>
        <v>0</v>
      </c>
      <c r="AK164" s="23">
        <f t="shared" si="1297"/>
        <v>0</v>
      </c>
      <c r="AL164" s="23">
        <f>+'QTR Raw'!F87</f>
        <v>0</v>
      </c>
      <c r="AM164" s="23">
        <f t="shared" si="1297"/>
        <v>0</v>
      </c>
      <c r="AN164" s="23">
        <f>+'QTR Raw'!H87</f>
        <v>0</v>
      </c>
      <c r="AO164" s="23">
        <f t="shared" si="1297"/>
        <v>0</v>
      </c>
      <c r="AP164" s="23">
        <f>+'QTR Raw'!J87</f>
        <v>0</v>
      </c>
      <c r="AQ164" s="23">
        <f t="shared" si="1297"/>
        <v>0</v>
      </c>
      <c r="AR164" s="23">
        <f>+'QTR Raw'!L87</f>
        <v>0</v>
      </c>
      <c r="AS164" s="23">
        <f t="shared" si="1297"/>
        <v>0</v>
      </c>
      <c r="AT164" s="23">
        <f>+'QTR Raw'!N87</f>
        <v>0</v>
      </c>
      <c r="AU164" s="23">
        <f t="shared" si="1297"/>
        <v>0</v>
      </c>
      <c r="AV164" s="23">
        <f>+'QTR Raw'!P87</f>
        <v>0</v>
      </c>
      <c r="AW164" s="23">
        <f t="shared" si="1297"/>
        <v>0</v>
      </c>
      <c r="AX164" s="23">
        <f>+'QTR Raw'!R87</f>
        <v>0</v>
      </c>
      <c r="AY164" s="23">
        <f t="shared" si="1297"/>
        <v>0</v>
      </c>
      <c r="AZ164" s="23">
        <f>+'QTR Raw'!T87</f>
        <v>0</v>
      </c>
      <c r="BA164" s="23">
        <f t="shared" si="1297"/>
        <v>0</v>
      </c>
      <c r="BB164" s="23">
        <f>+'QTR Raw'!V87</f>
        <v>0</v>
      </c>
      <c r="BC164" s="23">
        <f t="shared" si="1297"/>
        <v>0</v>
      </c>
      <c r="BD164" s="23">
        <f>+'QTR Raw'!X87</f>
        <v>0</v>
      </c>
      <c r="BE164" s="23">
        <f t="shared" si="1297"/>
        <v>0</v>
      </c>
      <c r="BF164" s="23">
        <f>+'QTR Raw'!Z87</f>
        <v>0</v>
      </c>
      <c r="BG164" s="23">
        <f t="shared" si="1297"/>
        <v>0</v>
      </c>
      <c r="BH164" s="23">
        <f>+'QTR Raw'!AB87</f>
        <v>0</v>
      </c>
      <c r="BI164" s="23">
        <f t="shared" si="1297"/>
        <v>0</v>
      </c>
      <c r="BJ164" s="23">
        <f>+'QTR Raw'!AD87</f>
        <v>0</v>
      </c>
      <c r="BK164" s="23">
        <f t="shared" si="1297"/>
        <v>0</v>
      </c>
      <c r="BL164" s="23">
        <f>+'QTR Raw'!AF87</f>
        <v>0</v>
      </c>
      <c r="BM164" s="23">
        <f t="shared" si="1297"/>
        <v>0</v>
      </c>
      <c r="BN164" s="23">
        <f>+'QTR Raw'!AH87</f>
        <v>0</v>
      </c>
      <c r="BO164" s="23">
        <f t="shared" si="1297"/>
        <v>0</v>
      </c>
      <c r="BP164" s="23">
        <f>+'QTR Raw'!AJ87</f>
        <v>0</v>
      </c>
      <c r="BQ164" s="23">
        <f t="shared" si="1297"/>
        <v>0</v>
      </c>
      <c r="BR164" s="23">
        <f>+'QTR Raw'!AL87</f>
        <v>0</v>
      </c>
      <c r="BS164" s="23">
        <f t="shared" si="1297"/>
        <v>0</v>
      </c>
      <c r="BT164" s="23">
        <f>+'QTR Raw'!AN87</f>
        <v>0</v>
      </c>
      <c r="BU164" s="23">
        <f t="shared" si="1297"/>
        <v>0</v>
      </c>
      <c r="BV164" s="23">
        <f>+'QTR Raw'!AP87</f>
        <v>0</v>
      </c>
      <c r="BW164" s="23">
        <f t="shared" si="1297"/>
        <v>0</v>
      </c>
      <c r="BX164" s="23">
        <f>+'QTR Raw'!AR87</f>
        <v>0</v>
      </c>
      <c r="BY164" s="23">
        <f t="shared" si="1297"/>
        <v>0</v>
      </c>
      <c r="BZ164" s="23">
        <f>+'QTR Raw'!AT87</f>
        <v>0</v>
      </c>
      <c r="CA164" s="23">
        <f t="shared" si="1297"/>
        <v>0</v>
      </c>
      <c r="CB164" s="23">
        <f>+'QTR Raw'!AV87</f>
        <v>0</v>
      </c>
      <c r="CC164" s="23">
        <f t="shared" si="1297"/>
        <v>0</v>
      </c>
      <c r="CD164" s="23">
        <f>+'QTR Raw'!AX87</f>
        <v>0</v>
      </c>
      <c r="CE164" s="23">
        <f t="shared" si="1297"/>
        <v>0</v>
      </c>
      <c r="CF164" s="23">
        <f>+'QTR Raw'!AZ87</f>
        <v>0</v>
      </c>
      <c r="CG164" s="23">
        <f t="shared" si="1298"/>
        <v>0</v>
      </c>
      <c r="CH164" s="23">
        <f t="shared" si="1251"/>
        <v>0</v>
      </c>
      <c r="CI164" s="23">
        <f>CI17/90*CI196</f>
        <v>688.11060402284954</v>
      </c>
      <c r="CJ164" s="23">
        <f>+'QTR Raw'!BD87</f>
        <v>0</v>
      </c>
      <c r="CK164" s="23">
        <f t="shared" ref="CK164:DB164" si="1299">CK17/90*CK196</f>
        <v>1184.576613462199</v>
      </c>
      <c r="CL164" s="23">
        <f>+'QTR Raw'!BF87</f>
        <v>0</v>
      </c>
      <c r="CM164" s="24">
        <f t="shared" si="1299"/>
        <v>1250.977443415976</v>
      </c>
      <c r="CN164" s="24">
        <f t="shared" si="1299"/>
        <v>1128.1452534148132</v>
      </c>
      <c r="CO164" s="24">
        <f t="shared" si="1299"/>
        <v>1209.9912587623451</v>
      </c>
      <c r="CP164" s="24">
        <f t="shared" si="1299"/>
        <v>1312.288425279188</v>
      </c>
      <c r="CQ164" s="24">
        <f t="shared" si="1299"/>
        <v>1464.7780624887819</v>
      </c>
      <c r="CR164" s="24">
        <f t="shared" si="1299"/>
        <v>1296.4921473682964</v>
      </c>
      <c r="CS164" s="24">
        <f t="shared" si="1299"/>
        <v>1381.1853551175923</v>
      </c>
      <c r="CT164" s="24">
        <f t="shared" si="1299"/>
        <v>1520.9093208057047</v>
      </c>
      <c r="CU164" s="24">
        <f t="shared" si="1299"/>
        <v>1659.2822390437316</v>
      </c>
      <c r="CV164" s="24">
        <f t="shared" si="1299"/>
        <v>1463.1093050451057</v>
      </c>
      <c r="CW164" s="24">
        <f t="shared" si="1299"/>
        <v>1560.0721188307109</v>
      </c>
      <c r="CX164" s="24">
        <f t="shared" si="1299"/>
        <v>1720.8422528175788</v>
      </c>
      <c r="CY164" s="24">
        <f t="shared" si="1299"/>
        <v>1871.8260567440866</v>
      </c>
      <c r="CZ164" s="24">
        <f t="shared" si="1299"/>
        <v>1647.3606842963397</v>
      </c>
      <c r="DA164" s="24">
        <f t="shared" si="1299"/>
        <v>1760.4719551429182</v>
      </c>
      <c r="DB164" s="24">
        <f t="shared" si="1299"/>
        <v>1946.6660788233564</v>
      </c>
      <c r="DE164" s="123"/>
      <c r="DF164" s="23">
        <v>2460.0718357656633</v>
      </c>
    </row>
    <row r="165" spans="1:110" s="23" customFormat="1" outlineLevel="1" x14ac:dyDescent="0.2">
      <c r="A165" s="23" t="s">
        <v>70</v>
      </c>
      <c r="B165" s="23">
        <f>'Annual Raw'!C54</f>
        <v>0</v>
      </c>
      <c r="C165" s="23">
        <f>'Annual Raw'!D54</f>
        <v>0</v>
      </c>
      <c r="D165" s="23">
        <f>'Annual Raw'!E54</f>
        <v>0</v>
      </c>
      <c r="E165" s="23">
        <f>'Annual Raw'!F54</f>
        <v>0</v>
      </c>
      <c r="F165" s="23">
        <f>'Annual Raw'!G54</f>
        <v>0</v>
      </c>
      <c r="G165" s="23">
        <f>'Annual Raw'!H54</f>
        <v>0</v>
      </c>
      <c r="H165" s="23">
        <f>'Annual Raw'!I54</f>
        <v>0</v>
      </c>
      <c r="I165" s="23">
        <f>'Annual Raw'!J54</f>
        <v>0</v>
      </c>
      <c r="J165" s="23">
        <f>'Annual Raw'!K54</f>
        <v>0</v>
      </c>
      <c r="K165" s="23">
        <f>'Annual Raw'!L54</f>
        <v>0</v>
      </c>
      <c r="L165" s="23">
        <f>'Annual Raw'!M54</f>
        <v>0</v>
      </c>
      <c r="M165" s="23">
        <f>'Annual Raw'!N54</f>
        <v>0</v>
      </c>
      <c r="N165" s="23">
        <f>'Annual Raw'!O54</f>
        <v>0</v>
      </c>
      <c r="O165" s="23">
        <f>'Annual Raw'!P54</f>
        <v>0</v>
      </c>
      <c r="P165" s="23">
        <f>'Annual Raw'!Q54</f>
        <v>0</v>
      </c>
      <c r="Q165" s="23">
        <f>'Annual Raw'!R54</f>
        <v>0</v>
      </c>
      <c r="R165" s="23">
        <f>'Annual Raw'!S54</f>
        <v>0</v>
      </c>
      <c r="S165" s="23">
        <f>'Annual Raw'!T54</f>
        <v>3739.7939999999999</v>
      </c>
      <c r="T165" s="23">
        <f>'Annual Raw'!U54</f>
        <v>1912.549</v>
      </c>
      <c r="U165" s="23">
        <f>'Annual Raw'!V54</f>
        <v>2221.14</v>
      </c>
      <c r="V165" s="23">
        <f>'Annual Raw'!W54</f>
        <v>1856.73</v>
      </c>
      <c r="W165" s="23">
        <f>'Annual Raw'!X54</f>
        <v>1402.86</v>
      </c>
      <c r="X165" s="23">
        <f>'Annual Raw'!Y54</f>
        <v>649.96</v>
      </c>
      <c r="Y165" s="23">
        <f>'Annual Raw'!Z54</f>
        <v>1507.82</v>
      </c>
      <c r="Z165" s="23">
        <f>'Annual Raw'!AA54</f>
        <v>2750.04</v>
      </c>
      <c r="AA165" s="23">
        <f>'Annual Raw'!AB54</f>
        <v>2501.5100000000002</v>
      </c>
      <c r="AB165" s="24">
        <f t="shared" si="1293"/>
        <v>3279.7836113060812</v>
      </c>
      <c r="AC165" s="24">
        <f t="shared" si="1294"/>
        <v>3801.1868188199301</v>
      </c>
      <c r="AD165" s="24">
        <f t="shared" si="1295"/>
        <v>4300.8763239174168</v>
      </c>
      <c r="AE165" s="24">
        <f t="shared" si="1296"/>
        <v>4865.2745684714764</v>
      </c>
      <c r="AJ165" s="23">
        <f>+'QTR Raw'!D89</f>
        <v>0</v>
      </c>
      <c r="AK165" s="23" t="e">
        <f>+AK195*AK17/90</f>
        <v>#DIV/0!</v>
      </c>
      <c r="AL165" s="23">
        <f>+'QTR Raw'!F89</f>
        <v>0</v>
      </c>
      <c r="AM165" s="23" t="e">
        <f>+AM195*AM17/90</f>
        <v>#DIV/0!</v>
      </c>
      <c r="AN165" s="23">
        <f>+'QTR Raw'!H89</f>
        <v>0</v>
      </c>
      <c r="AO165" s="23" t="e">
        <f>+AO195*AO17/90</f>
        <v>#DIV/0!</v>
      </c>
      <c r="AP165" s="23">
        <f>+'QTR Raw'!J89</f>
        <v>0</v>
      </c>
      <c r="AQ165" s="23" t="e">
        <f>+AQ195*AQ17/90</f>
        <v>#DIV/0!</v>
      </c>
      <c r="AR165" s="23">
        <f>+'QTR Raw'!L89</f>
        <v>0</v>
      </c>
      <c r="AS165" s="23" t="e">
        <f>+AS195*AS17/90</f>
        <v>#DIV/0!</v>
      </c>
      <c r="AT165" s="23">
        <f>+'QTR Raw'!N89</f>
        <v>0</v>
      </c>
      <c r="AU165" s="23" t="e">
        <f>+AU195*AU17/90</f>
        <v>#DIV/0!</v>
      </c>
      <c r="AV165" s="23">
        <f>+'QTR Raw'!P89</f>
        <v>0</v>
      </c>
      <c r="AW165" s="23" t="e">
        <f>+AW195*AW17/90</f>
        <v>#DIV/0!</v>
      </c>
      <c r="AX165" s="23">
        <f>+'QTR Raw'!R89</f>
        <v>0</v>
      </c>
      <c r="AY165" s="23" t="e">
        <f>+AY195*AY17/90</f>
        <v>#DIV/0!</v>
      </c>
      <c r="AZ165" s="23">
        <f>+'QTR Raw'!T89</f>
        <v>0</v>
      </c>
      <c r="BA165" s="23" t="e">
        <f>+BA195*BA17/90</f>
        <v>#DIV/0!</v>
      </c>
      <c r="BB165" s="23">
        <f>+'QTR Raw'!V89</f>
        <v>0</v>
      </c>
      <c r="BC165" s="23" t="e">
        <f>+BC195*BC17/90</f>
        <v>#DIV/0!</v>
      </c>
      <c r="BD165" s="23">
        <f>+'QTR Raw'!X89</f>
        <v>0</v>
      </c>
      <c r="BE165" s="23" t="e">
        <f>+BE195*BE17/90</f>
        <v>#DIV/0!</v>
      </c>
      <c r="BF165" s="23">
        <f>+'QTR Raw'!Z89</f>
        <v>0</v>
      </c>
      <c r="BG165" s="23" t="e">
        <f>+BG195*BG17/90</f>
        <v>#DIV/0!</v>
      </c>
      <c r="BH165" s="23">
        <f>+'QTR Raw'!AB89</f>
        <v>0</v>
      </c>
      <c r="BI165" s="23">
        <f>+BI195*BI17/90</f>
        <v>0</v>
      </c>
      <c r="BJ165" s="23">
        <f>+'QTR Raw'!AD89</f>
        <v>1912.549</v>
      </c>
      <c r="BK165" s="23">
        <f>+BK195*BK17/90</f>
        <v>1023.9817403744263</v>
      </c>
      <c r="BL165" s="23">
        <f>+'QTR Raw'!AF89</f>
        <v>1841.13</v>
      </c>
      <c r="BM165" s="23">
        <f>+BM195*BM17/90</f>
        <v>1660.6951560171958</v>
      </c>
      <c r="BN165" s="23">
        <f>+'QTR Raw'!AH89</f>
        <v>2221.14</v>
      </c>
      <c r="BO165" s="23">
        <f>+BO195*BO17/90</f>
        <v>1151.0826329811755</v>
      </c>
      <c r="BP165" s="23">
        <f>+'QTR Raw'!AJ89</f>
        <v>1426.9</v>
      </c>
      <c r="BQ165" s="23">
        <f>+BQ195*BQ17/90</f>
        <v>1400.3183655910759</v>
      </c>
      <c r="BR165" s="23">
        <f>+'QTR Raw'!AL89</f>
        <v>1856.73</v>
      </c>
      <c r="BS165" s="23">
        <f>+BS195*BS17/90</f>
        <v>1625.5334104533397</v>
      </c>
      <c r="BT165" s="23">
        <f>+'QTR Raw'!AN89</f>
        <v>1667.85</v>
      </c>
      <c r="BU165" s="23">
        <f>+BU195*BU17/90</f>
        <v>1733.2922588673682</v>
      </c>
      <c r="BV165" s="23">
        <f>+'QTR Raw'!AP89</f>
        <v>1402.86</v>
      </c>
      <c r="BW165" s="23">
        <f>+BW195*BW17/90</f>
        <v>1580.864980252654</v>
      </c>
      <c r="BX165" s="23">
        <f>+'QTR Raw'!AR89</f>
        <v>1354.22</v>
      </c>
      <c r="BY165" s="23">
        <f>+BY195*BY17/90</f>
        <v>1762.4911931945376</v>
      </c>
      <c r="BZ165" s="23">
        <f>+'QTR Raw'!AT89</f>
        <v>649.96</v>
      </c>
      <c r="CA165" s="23">
        <f>+CA195*CA17/90</f>
        <v>3784.9530883184448</v>
      </c>
      <c r="CB165" s="23">
        <f>+'QTR Raw'!AV89</f>
        <v>1326.47</v>
      </c>
      <c r="CC165" s="23">
        <f>+CC195*CC17/90</f>
        <v>1017.9756077522646</v>
      </c>
      <c r="CD165" s="23">
        <f>+'QTR Raw'!AX89</f>
        <v>1507.82</v>
      </c>
      <c r="CE165" s="23">
        <f>+CE195*CE17/90</f>
        <v>1171.251321465862</v>
      </c>
      <c r="CF165" s="23">
        <f>+'QTR Raw'!AZ89</f>
        <v>1544.47</v>
      </c>
      <c r="CG165" s="23">
        <f>+CG195*CG17/90</f>
        <v>2753.5447059166031</v>
      </c>
      <c r="CH165" s="23">
        <f t="shared" si="1251"/>
        <v>2750.04</v>
      </c>
      <c r="CI165" s="23">
        <f>+CI195*CI17/90</f>
        <v>1923.1208503003045</v>
      </c>
      <c r="CJ165" s="23">
        <f>+'QTR Raw'!BD89</f>
        <v>2214.7600000000002</v>
      </c>
      <c r="CK165" s="23">
        <f t="shared" ref="CK165:DB165" si="1300">+CK195*CK17/90</f>
        <v>2649.9731325631938</v>
      </c>
      <c r="CL165" s="23">
        <f>+'QTR Raw'!BF89</f>
        <v>2501.5100000000002</v>
      </c>
      <c r="CM165" s="24">
        <f t="shared" si="1300"/>
        <v>3126.5499550195318</v>
      </c>
      <c r="CN165" s="24">
        <f t="shared" si="1300"/>
        <v>2819.5572269377158</v>
      </c>
      <c r="CO165" s="24">
        <f t="shared" si="1300"/>
        <v>3024.1137724491155</v>
      </c>
      <c r="CP165" s="24">
        <f t="shared" si="1300"/>
        <v>3279.7836113060812</v>
      </c>
      <c r="CQ165" s="24">
        <f t="shared" si="1300"/>
        <v>3660.8987711899554</v>
      </c>
      <c r="CR165" s="24">
        <f t="shared" si="1300"/>
        <v>3240.3042008245343</v>
      </c>
      <c r="CS165" s="24">
        <f t="shared" si="1300"/>
        <v>3451.9767184008333</v>
      </c>
      <c r="CT165" s="24">
        <f t="shared" si="1300"/>
        <v>3801.1868188199301</v>
      </c>
      <c r="CU165" s="24">
        <f t="shared" si="1300"/>
        <v>4147.0202657537657</v>
      </c>
      <c r="CV165" s="24">
        <f t="shared" si="1300"/>
        <v>3656.7280696813668</v>
      </c>
      <c r="CW165" s="24">
        <f t="shared" si="1300"/>
        <v>3899.0658373809438</v>
      </c>
      <c r="CX165" s="24">
        <f t="shared" si="1300"/>
        <v>4300.8763239174168</v>
      </c>
      <c r="CY165" s="24">
        <f t="shared" si="1300"/>
        <v>4678.2279763069891</v>
      </c>
      <c r="CZ165" s="24">
        <f t="shared" si="1300"/>
        <v>4117.224895217395</v>
      </c>
      <c r="DA165" s="24">
        <f t="shared" si="1300"/>
        <v>4399.9222696895395</v>
      </c>
      <c r="DB165" s="24">
        <f t="shared" si="1300"/>
        <v>4865.2745684714764</v>
      </c>
      <c r="DE165" s="123"/>
      <c r="DF165" s="23">
        <v>5503.3369685568705</v>
      </c>
    </row>
    <row r="166" spans="1:110" s="23" customFormat="1" outlineLevel="1" x14ac:dyDescent="0.2">
      <c r="A166" s="23" t="s">
        <v>71</v>
      </c>
      <c r="B166" s="23">
        <f>'Annual Raw'!C55-Template!B138</f>
        <v>0</v>
      </c>
      <c r="C166" s="23">
        <f>'Annual Raw'!D55-Template!C138</f>
        <v>0</v>
      </c>
      <c r="D166" s="23">
        <f>'Annual Raw'!E55-Template!D138</f>
        <v>0</v>
      </c>
      <c r="E166" s="23">
        <f>'Annual Raw'!F55-Template!E138</f>
        <v>0</v>
      </c>
      <c r="F166" s="23">
        <f>'Annual Raw'!G55-Template!F138</f>
        <v>0</v>
      </c>
      <c r="G166" s="23">
        <f>'Annual Raw'!H55-Template!G138</f>
        <v>0</v>
      </c>
      <c r="H166" s="23">
        <f>'Annual Raw'!I55-Template!H138</f>
        <v>0</v>
      </c>
      <c r="I166" s="23">
        <f>'Annual Raw'!J55-Template!I138</f>
        <v>0</v>
      </c>
      <c r="J166" s="23">
        <f>'Annual Raw'!K55-Template!J138</f>
        <v>0</v>
      </c>
      <c r="K166" s="23">
        <f>'Annual Raw'!L55-Template!K138</f>
        <v>0</v>
      </c>
      <c r="L166" s="23">
        <f>'Annual Raw'!M55-Template!L138</f>
        <v>0</v>
      </c>
      <c r="M166" s="23">
        <f>'Annual Raw'!N55-Template!M138</f>
        <v>0</v>
      </c>
      <c r="N166" s="23">
        <f>'Annual Raw'!O55-Template!N138</f>
        <v>0</v>
      </c>
      <c r="O166" s="23">
        <f>'Annual Raw'!P55-Template!O138</f>
        <v>0</v>
      </c>
      <c r="P166" s="23">
        <f>'Annual Raw'!Q55-Template!P138</f>
        <v>0</v>
      </c>
      <c r="Q166" s="23">
        <f>'Annual Raw'!R55-Template!Q138</f>
        <v>0</v>
      </c>
      <c r="R166" s="23">
        <f>'Annual Raw'!S55-Template!R138</f>
        <v>0</v>
      </c>
      <c r="S166" s="23">
        <f>'Annual Raw'!T55-Template!S138</f>
        <v>733.46400000000006</v>
      </c>
      <c r="T166" s="23">
        <f>'Annual Raw'!U55-Template!T138</f>
        <v>278.35500000000002</v>
      </c>
      <c r="U166" s="23">
        <f>'Annual Raw'!V55-Template!U138</f>
        <v>359.81</v>
      </c>
      <c r="V166" s="23">
        <f>'Annual Raw'!W55-Template!V138</f>
        <v>524.80999999999995</v>
      </c>
      <c r="W166" s="23">
        <f>'Annual Raw'!X55-Template!W138</f>
        <v>500.84</v>
      </c>
      <c r="X166" s="23">
        <f>'Annual Raw'!Y55-Template!X138</f>
        <v>656.04</v>
      </c>
      <c r="Y166" s="23">
        <f>'Annual Raw'!Z55-Template!Y138</f>
        <v>1256.5500000000002</v>
      </c>
      <c r="Z166" s="23">
        <f>'Annual Raw'!AA55-Template!Z138</f>
        <v>871.98</v>
      </c>
      <c r="AA166" s="23">
        <f>'Annual Raw'!AB55-Template!AA138</f>
        <v>886.31</v>
      </c>
      <c r="AB166" s="24">
        <f t="shared" si="1293"/>
        <v>0</v>
      </c>
      <c r="AC166" s="24">
        <f t="shared" si="1294"/>
        <v>0</v>
      </c>
      <c r="AD166" s="24">
        <f t="shared" si="1295"/>
        <v>0</v>
      </c>
      <c r="AE166" s="24">
        <f t="shared" si="1296"/>
        <v>0</v>
      </c>
      <c r="AJ166" s="23">
        <f>+'QTR Raw'!D91</f>
        <v>0</v>
      </c>
      <c r="AK166" s="23">
        <f t="shared" si="1297"/>
        <v>0</v>
      </c>
      <c r="AL166" s="23">
        <f>+'QTR Raw'!F91</f>
        <v>0</v>
      </c>
      <c r="AM166" s="23">
        <f t="shared" si="1297"/>
        <v>0</v>
      </c>
      <c r="AN166" s="23">
        <f>+'QTR Raw'!H91</f>
        <v>0</v>
      </c>
      <c r="AO166" s="23">
        <f t="shared" si="1297"/>
        <v>0</v>
      </c>
      <c r="AP166" s="23">
        <f>+'QTR Raw'!J91</f>
        <v>0</v>
      </c>
      <c r="AQ166" s="23">
        <f t="shared" si="1297"/>
        <v>0</v>
      </c>
      <c r="AR166" s="23">
        <f>+'QTR Raw'!L91</f>
        <v>0</v>
      </c>
      <c r="AS166" s="23">
        <f t="shared" si="1297"/>
        <v>0</v>
      </c>
      <c r="AT166" s="23">
        <f>+'QTR Raw'!N91</f>
        <v>0</v>
      </c>
      <c r="AU166" s="23">
        <f t="shared" si="1297"/>
        <v>0</v>
      </c>
      <c r="AV166" s="23">
        <f>+'QTR Raw'!P91</f>
        <v>0</v>
      </c>
      <c r="AW166" s="23">
        <f t="shared" si="1297"/>
        <v>0</v>
      </c>
      <c r="AX166" s="23">
        <f>+'QTR Raw'!R91</f>
        <v>0</v>
      </c>
      <c r="AY166" s="23">
        <f t="shared" si="1297"/>
        <v>0</v>
      </c>
      <c r="AZ166" s="23">
        <f>+'QTR Raw'!T91</f>
        <v>0</v>
      </c>
      <c r="BA166" s="23">
        <f t="shared" si="1297"/>
        <v>0</v>
      </c>
      <c r="BB166" s="23">
        <f>+'QTR Raw'!V91</f>
        <v>0</v>
      </c>
      <c r="BC166" s="23">
        <f t="shared" si="1297"/>
        <v>0</v>
      </c>
      <c r="BD166" s="23">
        <f>+'QTR Raw'!X91</f>
        <v>0</v>
      </c>
      <c r="BE166" s="23">
        <f t="shared" si="1297"/>
        <v>0</v>
      </c>
      <c r="BF166" s="23">
        <f>+'QTR Raw'!Z91</f>
        <v>0</v>
      </c>
      <c r="BG166" s="23">
        <f t="shared" si="1297"/>
        <v>0</v>
      </c>
      <c r="BH166" s="23">
        <f>+'QTR Raw'!AB91</f>
        <v>0</v>
      </c>
      <c r="BI166" s="23">
        <f t="shared" si="1297"/>
        <v>0</v>
      </c>
      <c r="BJ166" s="23">
        <f>+'QTR Raw'!AD91</f>
        <v>328.61200000000002</v>
      </c>
      <c r="BK166" s="23">
        <f t="shared" si="1297"/>
        <v>328.61200000000002</v>
      </c>
      <c r="BL166" s="23">
        <f>+'QTR Raw'!AF91</f>
        <v>615.20799999999997</v>
      </c>
      <c r="BM166" s="23">
        <f t="shared" si="1297"/>
        <v>615.20799999999997</v>
      </c>
      <c r="BN166" s="23">
        <f>+'QTR Raw'!AH91</f>
        <v>382.63</v>
      </c>
      <c r="BO166" s="23">
        <f t="shared" si="1297"/>
        <v>382.63</v>
      </c>
      <c r="BP166" s="23">
        <f>+'QTR Raw'!AJ91</f>
        <v>743.36</v>
      </c>
      <c r="BQ166" s="23">
        <f t="shared" si="1297"/>
        <v>743.36</v>
      </c>
      <c r="BR166" s="23">
        <f>+'QTR Raw'!AL91</f>
        <v>538.4</v>
      </c>
      <c r="BS166" s="23">
        <f t="shared" si="1297"/>
        <v>538.4</v>
      </c>
      <c r="BT166" s="23">
        <f>+'QTR Raw'!AN91</f>
        <v>383.58</v>
      </c>
      <c r="BU166" s="23">
        <f t="shared" si="1297"/>
        <v>383.58</v>
      </c>
      <c r="BV166" s="23">
        <f>+'QTR Raw'!AP91</f>
        <v>511.03</v>
      </c>
      <c r="BW166" s="23">
        <f t="shared" si="1297"/>
        <v>511.03</v>
      </c>
      <c r="BX166" s="23">
        <f>+'QTR Raw'!AR91</f>
        <v>343.84</v>
      </c>
      <c r="BY166" s="23">
        <f t="shared" si="1297"/>
        <v>343.84</v>
      </c>
      <c r="BZ166" s="23">
        <f>+'QTR Raw'!AT91</f>
        <v>661.06</v>
      </c>
      <c r="CA166" s="23">
        <f t="shared" si="1297"/>
        <v>661.06</v>
      </c>
      <c r="CB166" s="23">
        <f>+'QTR Raw'!AV91</f>
        <v>817.9</v>
      </c>
      <c r="CC166" s="23">
        <f t="shared" si="1297"/>
        <v>817.9</v>
      </c>
      <c r="CD166" s="23">
        <f>+'QTR Raw'!AX91</f>
        <v>1257.33</v>
      </c>
      <c r="CE166" s="23">
        <f t="shared" si="1297"/>
        <v>1257.33</v>
      </c>
      <c r="CF166" s="23">
        <f>+'QTR Raw'!AZ91</f>
        <v>1429.14</v>
      </c>
      <c r="CG166" s="23">
        <f t="shared" ref="CG166:CG167" si="1301">+CF166</f>
        <v>1429.14</v>
      </c>
      <c r="CH166" s="23">
        <f t="shared" si="1251"/>
        <v>871.98</v>
      </c>
      <c r="CJ166" s="23">
        <f>+'QTR Raw'!BD91</f>
        <v>897.54</v>
      </c>
      <c r="CL166" s="23">
        <f>+'QTR Raw'!BF91</f>
        <v>922.92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922.92</v>
      </c>
    </row>
    <row r="167" spans="1:110" s="23" customFormat="1" outlineLevel="1" x14ac:dyDescent="0.2">
      <c r="A167" s="23" t="s">
        <v>72</v>
      </c>
      <c r="B167" s="23">
        <f>'Annual Raw'!C57</f>
        <v>0</v>
      </c>
      <c r="C167" s="23">
        <f>'Annual Raw'!D57</f>
        <v>0</v>
      </c>
      <c r="D167" s="23">
        <f>'Annual Raw'!E57</f>
        <v>0</v>
      </c>
      <c r="E167" s="23">
        <f>'Annual Raw'!F57</f>
        <v>0</v>
      </c>
      <c r="F167" s="23">
        <f>'Annual Raw'!G57</f>
        <v>0</v>
      </c>
      <c r="G167" s="23">
        <f>'Annual Raw'!H57</f>
        <v>0</v>
      </c>
      <c r="H167" s="23">
        <f>'Annual Raw'!I57</f>
        <v>0</v>
      </c>
      <c r="I167" s="23">
        <f>'Annual Raw'!J57</f>
        <v>0</v>
      </c>
      <c r="J167" s="23">
        <f>'Annual Raw'!K57</f>
        <v>0</v>
      </c>
      <c r="K167" s="23">
        <f>'Annual Raw'!L57</f>
        <v>0</v>
      </c>
      <c r="L167" s="23">
        <f>'Annual Raw'!M57</f>
        <v>0</v>
      </c>
      <c r="M167" s="23">
        <f>'Annual Raw'!N57</f>
        <v>0</v>
      </c>
      <c r="N167" s="23">
        <f>'Annual Raw'!O57</f>
        <v>0</v>
      </c>
      <c r="O167" s="23">
        <f>'Annual Raw'!P57</f>
        <v>0</v>
      </c>
      <c r="P167" s="23">
        <f>'Annual Raw'!Q57</f>
        <v>0</v>
      </c>
      <c r="Q167" s="23">
        <f>'Annual Raw'!R57</f>
        <v>0</v>
      </c>
      <c r="R167" s="23">
        <f>'Annual Raw'!S57</f>
        <v>0</v>
      </c>
      <c r="S167" s="23">
        <f>'Annual Raw'!T57</f>
        <v>140.21100000000001</v>
      </c>
      <c r="T167" s="23">
        <f>'Annual Raw'!U57</f>
        <v>313.08499999999998</v>
      </c>
      <c r="U167" s="23">
        <f>'Annual Raw'!V57</f>
        <v>447.42</v>
      </c>
      <c r="V167" s="23">
        <f>'Annual Raw'!W57</f>
        <v>166.47</v>
      </c>
      <c r="W167" s="23">
        <f>'Annual Raw'!X57</f>
        <v>221.99</v>
      </c>
      <c r="X167" s="23">
        <f>'Annual Raw'!Y57</f>
        <v>79.39</v>
      </c>
      <c r="Y167" s="23">
        <f>'Annual Raw'!Z57</f>
        <v>50.72</v>
      </c>
      <c r="Z167" s="23">
        <f>'Annual Raw'!AA57</f>
        <v>39.15</v>
      </c>
      <c r="AA167" s="23">
        <f>'Annual Raw'!AB57</f>
        <v>53.73</v>
      </c>
      <c r="AB167" s="24">
        <f t="shared" si="1293"/>
        <v>0</v>
      </c>
      <c r="AC167" s="24">
        <f t="shared" si="1294"/>
        <v>0</v>
      </c>
      <c r="AD167" s="24">
        <f t="shared" si="1295"/>
        <v>0</v>
      </c>
      <c r="AE167" s="24">
        <f t="shared" si="1296"/>
        <v>0</v>
      </c>
      <c r="AJ167" s="23">
        <f>+'QTR Raw'!D92</f>
        <v>0</v>
      </c>
      <c r="AK167" s="23">
        <f t="shared" si="1297"/>
        <v>0</v>
      </c>
      <c r="AL167" s="23">
        <f>+'QTR Raw'!F92</f>
        <v>0</v>
      </c>
      <c r="AM167" s="23">
        <f t="shared" si="1297"/>
        <v>0</v>
      </c>
      <c r="AN167" s="23">
        <f>+'QTR Raw'!H92</f>
        <v>0</v>
      </c>
      <c r="AO167" s="23">
        <f t="shared" si="1297"/>
        <v>0</v>
      </c>
      <c r="AP167" s="23">
        <f>+'QTR Raw'!J92</f>
        <v>0</v>
      </c>
      <c r="AQ167" s="23">
        <f t="shared" si="1297"/>
        <v>0</v>
      </c>
      <c r="AR167" s="23">
        <f>+'QTR Raw'!L92</f>
        <v>0</v>
      </c>
      <c r="AS167" s="23">
        <f t="shared" si="1297"/>
        <v>0</v>
      </c>
      <c r="AT167" s="23">
        <f>+'QTR Raw'!N92</f>
        <v>0</v>
      </c>
      <c r="AU167" s="23">
        <f t="shared" si="1297"/>
        <v>0</v>
      </c>
      <c r="AV167" s="23">
        <f>+'QTR Raw'!P92</f>
        <v>0</v>
      </c>
      <c r="AW167" s="23">
        <f t="shared" si="1297"/>
        <v>0</v>
      </c>
      <c r="AX167" s="23">
        <f>+'QTR Raw'!R92</f>
        <v>0</v>
      </c>
      <c r="AY167" s="23">
        <f t="shared" si="1297"/>
        <v>0</v>
      </c>
      <c r="AZ167" s="23">
        <f>+'QTR Raw'!T92</f>
        <v>0</v>
      </c>
      <c r="BA167" s="23">
        <f t="shared" si="1297"/>
        <v>0</v>
      </c>
      <c r="BB167" s="23">
        <f>+'QTR Raw'!V92</f>
        <v>0</v>
      </c>
      <c r="BC167" s="23">
        <f t="shared" si="1297"/>
        <v>0</v>
      </c>
      <c r="BD167" s="23">
        <f>+'QTR Raw'!X92</f>
        <v>0</v>
      </c>
      <c r="BE167" s="23">
        <f t="shared" si="1297"/>
        <v>0</v>
      </c>
      <c r="BF167" s="23">
        <f>+'QTR Raw'!Z92</f>
        <v>0</v>
      </c>
      <c r="BG167" s="23">
        <f t="shared" si="1297"/>
        <v>0</v>
      </c>
      <c r="BH167" s="23">
        <f>+'QTR Raw'!AB92</f>
        <v>0</v>
      </c>
      <c r="BI167" s="23">
        <f t="shared" si="1297"/>
        <v>0</v>
      </c>
      <c r="BJ167" s="23">
        <f>+'QTR Raw'!AD92</f>
        <v>76.849999999999994</v>
      </c>
      <c r="BK167" s="23">
        <f t="shared" si="1297"/>
        <v>76.849999999999994</v>
      </c>
      <c r="BL167" s="23">
        <f>+'QTR Raw'!AF92</f>
        <v>100.306</v>
      </c>
      <c r="BM167" s="23">
        <f t="shared" si="1297"/>
        <v>100.306</v>
      </c>
      <c r="BN167" s="23">
        <f>+'QTR Raw'!AH92</f>
        <v>113.67</v>
      </c>
      <c r="BO167" s="23">
        <f t="shared" si="1297"/>
        <v>113.67</v>
      </c>
      <c r="BP167" s="23">
        <f>+'QTR Raw'!AJ92</f>
        <v>122.57</v>
      </c>
      <c r="BQ167" s="23">
        <f t="shared" si="1297"/>
        <v>122.57</v>
      </c>
      <c r="BR167" s="23">
        <f>+'QTR Raw'!AL92</f>
        <v>152.88</v>
      </c>
      <c r="BS167" s="23">
        <f t="shared" si="1297"/>
        <v>152.88</v>
      </c>
      <c r="BT167" s="23">
        <f>+'QTR Raw'!AN92</f>
        <v>177.85</v>
      </c>
      <c r="BU167" s="23">
        <f t="shared" si="1297"/>
        <v>177.85</v>
      </c>
      <c r="BV167" s="23">
        <f>+'QTR Raw'!AP92</f>
        <v>211.8</v>
      </c>
      <c r="BW167" s="23">
        <f t="shared" si="1297"/>
        <v>211.8</v>
      </c>
      <c r="BX167" s="23">
        <f>+'QTR Raw'!AR92</f>
        <v>85.04</v>
      </c>
      <c r="BY167" s="23">
        <f t="shared" si="1297"/>
        <v>85.04</v>
      </c>
      <c r="BZ167" s="23">
        <f>+'QTR Raw'!AT92</f>
        <v>74.37</v>
      </c>
      <c r="CA167" s="23">
        <f t="shared" si="1297"/>
        <v>74.37</v>
      </c>
      <c r="CB167" s="23">
        <f>+'QTR Raw'!AV92</f>
        <v>49.11</v>
      </c>
      <c r="CC167" s="23">
        <f t="shared" si="1297"/>
        <v>49.11</v>
      </c>
      <c r="CD167" s="23">
        <f>+'QTR Raw'!AX92</f>
        <v>49.94</v>
      </c>
      <c r="CE167" s="23">
        <f t="shared" si="1297"/>
        <v>49.94</v>
      </c>
      <c r="CF167" s="23">
        <f>+'QTR Raw'!AZ92</f>
        <v>34.25</v>
      </c>
      <c r="CG167" s="23">
        <f t="shared" si="1301"/>
        <v>34.25</v>
      </c>
      <c r="CH167" s="23">
        <f t="shared" si="1251"/>
        <v>39.15</v>
      </c>
      <c r="CJ167" s="23">
        <f>+'QTR Raw'!BD92</f>
        <v>17.670000000000002</v>
      </c>
      <c r="CL167" s="23">
        <f>+'QTR Raw'!BF92</f>
        <v>17.12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17.12</v>
      </c>
    </row>
    <row r="168" spans="1:110" s="22" customFormat="1" x14ac:dyDescent="0.2">
      <c r="A168" s="22" t="s">
        <v>73</v>
      </c>
      <c r="B168" s="22">
        <f>SUM(B161:B167)</f>
        <v>0</v>
      </c>
      <c r="C168" s="22">
        <f t="shared" ref="C168:V168" si="1302">SUM(C161:C167)</f>
        <v>0</v>
      </c>
      <c r="D168" s="22">
        <f t="shared" si="1302"/>
        <v>0</v>
      </c>
      <c r="E168" s="22">
        <f t="shared" si="1302"/>
        <v>0</v>
      </c>
      <c r="F168" s="22">
        <f t="shared" si="1302"/>
        <v>0</v>
      </c>
      <c r="G168" s="22">
        <f t="shared" si="1302"/>
        <v>0</v>
      </c>
      <c r="H168" s="22">
        <f t="shared" si="1302"/>
        <v>0</v>
      </c>
      <c r="I168" s="22">
        <f t="shared" si="1302"/>
        <v>0</v>
      </c>
      <c r="J168" s="22">
        <f t="shared" si="1302"/>
        <v>0</v>
      </c>
      <c r="K168" s="22">
        <f t="shared" si="1302"/>
        <v>0</v>
      </c>
      <c r="L168" s="22">
        <f t="shared" si="1302"/>
        <v>0</v>
      </c>
      <c r="M168" s="22">
        <f t="shared" si="1302"/>
        <v>0</v>
      </c>
      <c r="N168" s="22">
        <f t="shared" si="1302"/>
        <v>0</v>
      </c>
      <c r="O168" s="22">
        <f t="shared" si="1302"/>
        <v>0</v>
      </c>
      <c r="P168" s="22">
        <f t="shared" si="1302"/>
        <v>0</v>
      </c>
      <c r="Q168" s="22">
        <f t="shared" si="1302"/>
        <v>0</v>
      </c>
      <c r="R168" s="22">
        <f t="shared" si="1302"/>
        <v>0</v>
      </c>
      <c r="S168" s="22">
        <f t="shared" si="1302"/>
        <v>4619.0430000000006</v>
      </c>
      <c r="T168" s="22">
        <f t="shared" si="1302"/>
        <v>2512.6000000000004</v>
      </c>
      <c r="U168" s="22">
        <f t="shared" si="1302"/>
        <v>3058.12</v>
      </c>
      <c r="V168" s="22">
        <f t="shared" si="1302"/>
        <v>2583.2399999999998</v>
      </c>
      <c r="W168" s="22">
        <f t="shared" ref="W168" si="1303">SUM(W161:W167)</f>
        <v>2159.1</v>
      </c>
      <c r="X168" s="22">
        <f t="shared" ref="X168:Y168" si="1304">SUM(X161:X167)</f>
        <v>1415.72</v>
      </c>
      <c r="Y168" s="22">
        <f t="shared" si="1304"/>
        <v>2868.8399999999997</v>
      </c>
      <c r="Z168" s="22">
        <f t="shared" ref="Z168:AA168" si="1305">SUM(Z161:Z167)</f>
        <v>3734.03</v>
      </c>
      <c r="AA168" s="22">
        <f t="shared" si="1305"/>
        <v>3502.4</v>
      </c>
      <c r="AB168" s="21">
        <f t="shared" ref="AA168:AD168" si="1306">SUM(AB161:AB167)</f>
        <v>4592.0720365852694</v>
      </c>
      <c r="AC168" s="21">
        <f t="shared" si="1306"/>
        <v>5322.0961396256353</v>
      </c>
      <c r="AD168" s="21">
        <f t="shared" si="1306"/>
        <v>6021.7185767349956</v>
      </c>
      <c r="AE168" s="21">
        <f t="shared" ref="AE168" si="1307">SUM(AE161:AE167)</f>
        <v>6811.9406472948331</v>
      </c>
      <c r="AJ168" s="22">
        <f t="shared" ref="AJ168" si="1308">SUM(AJ161:AJ167)</f>
        <v>0</v>
      </c>
      <c r="AK168" s="22" t="e">
        <f t="shared" ref="AK168" si="1309">SUM(AK161:AK167)</f>
        <v>#DIV/0!</v>
      </c>
      <c r="AL168" s="22">
        <f t="shared" ref="AL168:AM168" si="1310">SUM(AL161:AL167)</f>
        <v>0</v>
      </c>
      <c r="AM168" s="22" t="e">
        <f t="shared" si="1310"/>
        <v>#DIV/0!</v>
      </c>
      <c r="AN168" s="22">
        <f t="shared" ref="AN168:AO168" si="1311">SUM(AN161:AN167)</f>
        <v>0</v>
      </c>
      <c r="AO168" s="22" t="e">
        <f t="shared" si="1311"/>
        <v>#DIV/0!</v>
      </c>
      <c r="AP168" s="22">
        <f t="shared" ref="AP168:CE168" si="1312">SUM(AP161:AP167)</f>
        <v>0</v>
      </c>
      <c r="AQ168" s="22" t="e">
        <f t="shared" si="1312"/>
        <v>#DIV/0!</v>
      </c>
      <c r="AR168" s="22">
        <f t="shared" si="1312"/>
        <v>0</v>
      </c>
      <c r="AS168" s="22" t="e">
        <f t="shared" si="1312"/>
        <v>#DIV/0!</v>
      </c>
      <c r="AT168" s="22">
        <f t="shared" si="1312"/>
        <v>0</v>
      </c>
      <c r="AU168" s="22" t="e">
        <f t="shared" si="1312"/>
        <v>#DIV/0!</v>
      </c>
      <c r="AV168" s="22">
        <f t="shared" si="1312"/>
        <v>0</v>
      </c>
      <c r="AW168" s="22" t="e">
        <f t="shared" si="1312"/>
        <v>#DIV/0!</v>
      </c>
      <c r="AX168" s="22">
        <f t="shared" si="1312"/>
        <v>0</v>
      </c>
      <c r="AY168" s="22" t="e">
        <f t="shared" si="1312"/>
        <v>#DIV/0!</v>
      </c>
      <c r="AZ168" s="22">
        <f t="shared" si="1312"/>
        <v>0</v>
      </c>
      <c r="BA168" s="22" t="e">
        <f t="shared" si="1312"/>
        <v>#DIV/0!</v>
      </c>
      <c r="BB168" s="22">
        <f t="shared" si="1312"/>
        <v>0</v>
      </c>
      <c r="BC168" s="22" t="e">
        <f t="shared" si="1312"/>
        <v>#DIV/0!</v>
      </c>
      <c r="BD168" s="22">
        <f t="shared" si="1312"/>
        <v>0</v>
      </c>
      <c r="BE168" s="22" t="e">
        <f t="shared" si="1312"/>
        <v>#DIV/0!</v>
      </c>
      <c r="BF168" s="22">
        <f t="shared" si="1312"/>
        <v>0</v>
      </c>
      <c r="BG168" s="22" t="e">
        <f t="shared" si="1312"/>
        <v>#DIV/0!</v>
      </c>
      <c r="BH168" s="22">
        <f t="shared" ref="BH168" si="1313">SUM(BH161:BH167)</f>
        <v>0</v>
      </c>
      <c r="BI168" s="22">
        <f t="shared" si="1312"/>
        <v>0</v>
      </c>
      <c r="BJ168" s="22">
        <f t="shared" si="1312"/>
        <v>2326.6219999999998</v>
      </c>
      <c r="BK168" s="22">
        <f t="shared" si="1312"/>
        <v>1438.0547403744263</v>
      </c>
      <c r="BL168" s="22">
        <f t="shared" si="1312"/>
        <v>2566.6310000000003</v>
      </c>
      <c r="BM168" s="22">
        <f t="shared" si="1312"/>
        <v>2386.1961560171958</v>
      </c>
      <c r="BN168" s="22">
        <f t="shared" si="1312"/>
        <v>2737.84</v>
      </c>
      <c r="BO168" s="22">
        <f t="shared" si="1312"/>
        <v>1667.7826329811755</v>
      </c>
      <c r="BP168" s="22">
        <f t="shared" si="1312"/>
        <v>2314.4</v>
      </c>
      <c r="BQ168" s="22">
        <f t="shared" si="1312"/>
        <v>2287.8183655910761</v>
      </c>
      <c r="BR168" s="22">
        <f t="shared" si="1312"/>
        <v>2583.2400000000002</v>
      </c>
      <c r="BS168" s="22">
        <f t="shared" si="1312"/>
        <v>2352.0434104533397</v>
      </c>
      <c r="BT168" s="22">
        <f t="shared" si="1312"/>
        <v>2263.6999999999998</v>
      </c>
      <c r="BU168" s="22">
        <f t="shared" si="1312"/>
        <v>2329.1422588673681</v>
      </c>
      <c r="BV168" s="22">
        <f t="shared" si="1312"/>
        <v>2159.1</v>
      </c>
      <c r="BW168" s="22">
        <f t="shared" si="1312"/>
        <v>2337.1049802526541</v>
      </c>
      <c r="BX168" s="22">
        <f t="shared" si="1312"/>
        <v>1810.75</v>
      </c>
      <c r="BY168" s="22">
        <f t="shared" si="1312"/>
        <v>2219.0211931945378</v>
      </c>
      <c r="BZ168" s="22">
        <f t="shared" si="1312"/>
        <v>1415.7199999999998</v>
      </c>
      <c r="CA168" s="22">
        <f t="shared" si="1312"/>
        <v>4550.7130883184445</v>
      </c>
      <c r="CB168" s="22">
        <f t="shared" si="1312"/>
        <v>2249.88</v>
      </c>
      <c r="CC168" s="22">
        <f t="shared" si="1312"/>
        <v>1941.3856077522644</v>
      </c>
      <c r="CD168" s="22">
        <f t="shared" si="1312"/>
        <v>2868.8399999999997</v>
      </c>
      <c r="CE168" s="22">
        <f t="shared" si="1312"/>
        <v>2532.271321465862</v>
      </c>
      <c r="CF168" s="22">
        <f t="shared" ref="CF168:CG168" si="1314">SUM(CF161:CF167)</f>
        <v>3060.1000000000004</v>
      </c>
      <c r="CG168" s="22">
        <f t="shared" si="1314"/>
        <v>4269.1747059166028</v>
      </c>
      <c r="CH168" s="22">
        <f t="shared" ref="CH168:CI168" si="1315">SUM(CH161:CH167)</f>
        <v>3734.03</v>
      </c>
      <c r="CI168" s="22">
        <f t="shared" si="1315"/>
        <v>2611.2314543231541</v>
      </c>
      <c r="CJ168" s="22">
        <f t="shared" ref="CJ168:DB168" si="1316">SUM(CJ161:CJ167)</f>
        <v>3204.7900000000004</v>
      </c>
      <c r="CK168" s="22">
        <f t="shared" si="1316"/>
        <v>3834.5497460253928</v>
      </c>
      <c r="CL168" s="22">
        <f t="shared" ref="CL168" si="1317">SUM(CL161:CL167)</f>
        <v>3502.4</v>
      </c>
      <c r="CM168" s="21">
        <f t="shared" si="1316"/>
        <v>4377.5273984355081</v>
      </c>
      <c r="CN168" s="21">
        <f t="shared" si="1316"/>
        <v>3947.7024803525292</v>
      </c>
      <c r="CO168" s="21">
        <f t="shared" si="1316"/>
        <v>4234.1050312114603</v>
      </c>
      <c r="CP168" s="21">
        <f t="shared" si="1316"/>
        <v>4592.0720365852694</v>
      </c>
      <c r="CQ168" s="21">
        <f t="shared" si="1316"/>
        <v>5125.6768336787372</v>
      </c>
      <c r="CR168" s="21">
        <f t="shared" si="1316"/>
        <v>4536.7963481928309</v>
      </c>
      <c r="CS168" s="21">
        <f t="shared" si="1316"/>
        <v>4833.162073518426</v>
      </c>
      <c r="CT168" s="21">
        <f t="shared" si="1316"/>
        <v>5322.0961396256353</v>
      </c>
      <c r="CU168" s="21">
        <f t="shared" si="1316"/>
        <v>5806.302504797497</v>
      </c>
      <c r="CV168" s="21">
        <f t="shared" si="1316"/>
        <v>5119.8373747264723</v>
      </c>
      <c r="CW168" s="21">
        <f t="shared" si="1316"/>
        <v>5459.1379562116545</v>
      </c>
      <c r="CX168" s="21">
        <f t="shared" si="1316"/>
        <v>6021.7185767349956</v>
      </c>
      <c r="CY168" s="21">
        <f t="shared" si="1316"/>
        <v>6550.0540330510757</v>
      </c>
      <c r="CZ168" s="21">
        <f t="shared" si="1316"/>
        <v>5764.585579513735</v>
      </c>
      <c r="DA168" s="21">
        <f t="shared" si="1316"/>
        <v>6160.3942248324574</v>
      </c>
      <c r="DB168" s="21">
        <f t="shared" si="1316"/>
        <v>6811.9406472948331</v>
      </c>
      <c r="DE168" s="126"/>
      <c r="DF168" s="22">
        <v>7963.4088043225338</v>
      </c>
    </row>
    <row r="169" spans="1:110" s="22" customFormat="1" x14ac:dyDescent="0.2">
      <c r="A169" s="22" t="s">
        <v>74</v>
      </c>
      <c r="B169" s="22">
        <f>B160-B168</f>
        <v>0</v>
      </c>
      <c r="C169" s="22">
        <f t="shared" ref="C169:V169" si="1318">C160-C168</f>
        <v>0</v>
      </c>
      <c r="D169" s="22">
        <f t="shared" si="1318"/>
        <v>0</v>
      </c>
      <c r="E169" s="22">
        <f t="shared" si="1318"/>
        <v>0</v>
      </c>
      <c r="F169" s="22">
        <f t="shared" si="1318"/>
        <v>0</v>
      </c>
      <c r="G169" s="22">
        <f t="shared" si="1318"/>
        <v>0</v>
      </c>
      <c r="H169" s="22">
        <f t="shared" si="1318"/>
        <v>0</v>
      </c>
      <c r="I169" s="22">
        <f t="shared" si="1318"/>
        <v>0</v>
      </c>
      <c r="J169" s="22">
        <f t="shared" si="1318"/>
        <v>0</v>
      </c>
      <c r="K169" s="22">
        <f t="shared" si="1318"/>
        <v>0</v>
      </c>
      <c r="L169" s="22">
        <f t="shared" si="1318"/>
        <v>0</v>
      </c>
      <c r="M169" s="22">
        <f t="shared" si="1318"/>
        <v>0</v>
      </c>
      <c r="N169" s="22">
        <f t="shared" si="1318"/>
        <v>0</v>
      </c>
      <c r="O169" s="22">
        <f t="shared" si="1318"/>
        <v>0</v>
      </c>
      <c r="P169" s="22">
        <f t="shared" si="1318"/>
        <v>0</v>
      </c>
      <c r="Q169" s="22">
        <f t="shared" si="1318"/>
        <v>0</v>
      </c>
      <c r="R169" s="22">
        <f t="shared" si="1318"/>
        <v>0</v>
      </c>
      <c r="S169" s="22">
        <f t="shared" si="1318"/>
        <v>238.57299999999941</v>
      </c>
      <c r="T169" s="22">
        <f t="shared" si="1318"/>
        <v>2546.9749999999995</v>
      </c>
      <c r="U169" s="22">
        <f t="shared" si="1318"/>
        <v>1711.3900000000003</v>
      </c>
      <c r="V169" s="22">
        <f t="shared" si="1318"/>
        <v>667.87000000000035</v>
      </c>
      <c r="W169" s="22">
        <f t="shared" ref="W169" si="1319">W160-W168</f>
        <v>693.38999999999987</v>
      </c>
      <c r="X169" s="22">
        <f t="shared" ref="X169:Y169" si="1320">X160-X168</f>
        <v>1537.0399999999997</v>
      </c>
      <c r="Y169" s="22">
        <f t="shared" si="1320"/>
        <v>972.33000000000038</v>
      </c>
      <c r="Z169" s="22">
        <f t="shared" ref="Z169:AA169" si="1321">Z160-Z168</f>
        <v>1114.5499999999997</v>
      </c>
      <c r="AA169" s="22">
        <f t="shared" si="1321"/>
        <v>1198.7199999999998</v>
      </c>
      <c r="AB169" s="21">
        <f t="shared" ref="AA169:AD169" si="1322">AB160-AB168</f>
        <v>1595.7397882272717</v>
      </c>
      <c r="AC169" s="21">
        <f t="shared" si="1322"/>
        <v>1849.4223302922474</v>
      </c>
      <c r="AD169" s="21">
        <f t="shared" si="1322"/>
        <v>2092.5403281671506</v>
      </c>
      <c r="AE169" s="21">
        <f t="shared" ref="AE169" si="1323">AE160-AE168</f>
        <v>2367.1415951946065</v>
      </c>
      <c r="AJ169" s="22">
        <f t="shared" ref="AJ169" si="1324">AJ160-AJ168</f>
        <v>0</v>
      </c>
      <c r="AK169" s="22" t="e">
        <f t="shared" ref="AK169" si="1325">AK160-AK168</f>
        <v>#DIV/0!</v>
      </c>
      <c r="AL169" s="22">
        <f t="shared" ref="AL169:AM169" si="1326">AL160-AL168</f>
        <v>0</v>
      </c>
      <c r="AM169" s="22" t="e">
        <f t="shared" si="1326"/>
        <v>#DIV/0!</v>
      </c>
      <c r="AN169" s="22">
        <f t="shared" ref="AN169:AO169" si="1327">AN160-AN168</f>
        <v>0</v>
      </c>
      <c r="AO169" s="22" t="e">
        <f t="shared" si="1327"/>
        <v>#DIV/0!</v>
      </c>
      <c r="AP169" s="22">
        <f t="shared" ref="AP169:CE169" si="1328">AP160-AP168</f>
        <v>0</v>
      </c>
      <c r="AQ169" s="22" t="e">
        <f t="shared" si="1328"/>
        <v>#DIV/0!</v>
      </c>
      <c r="AR169" s="22">
        <f t="shared" si="1328"/>
        <v>0</v>
      </c>
      <c r="AS169" s="22" t="e">
        <f t="shared" si="1328"/>
        <v>#DIV/0!</v>
      </c>
      <c r="AT169" s="22">
        <f t="shared" si="1328"/>
        <v>0</v>
      </c>
      <c r="AU169" s="22" t="e">
        <f t="shared" si="1328"/>
        <v>#DIV/0!</v>
      </c>
      <c r="AV169" s="22">
        <f t="shared" si="1328"/>
        <v>0</v>
      </c>
      <c r="AW169" s="22" t="e">
        <f t="shared" si="1328"/>
        <v>#DIV/0!</v>
      </c>
      <c r="AX169" s="22">
        <f t="shared" si="1328"/>
        <v>0</v>
      </c>
      <c r="AY169" s="22" t="e">
        <f t="shared" si="1328"/>
        <v>#DIV/0!</v>
      </c>
      <c r="AZ169" s="22">
        <f t="shared" si="1328"/>
        <v>0</v>
      </c>
      <c r="BA169" s="22" t="e">
        <f t="shared" si="1328"/>
        <v>#DIV/0!</v>
      </c>
      <c r="BB169" s="22">
        <f t="shared" si="1328"/>
        <v>0</v>
      </c>
      <c r="BC169" s="22" t="e">
        <f t="shared" si="1328"/>
        <v>#DIV/0!</v>
      </c>
      <c r="BD169" s="22">
        <f t="shared" si="1328"/>
        <v>0</v>
      </c>
      <c r="BE169" s="22" t="e">
        <f t="shared" si="1328"/>
        <v>#DIV/0!</v>
      </c>
      <c r="BF169" s="22">
        <f t="shared" si="1328"/>
        <v>0</v>
      </c>
      <c r="BG169" s="22" t="e">
        <f t="shared" si="1328"/>
        <v>#DIV/0!</v>
      </c>
      <c r="BH169" s="22">
        <f t="shared" ref="BH169" si="1329">BH160-BH168</f>
        <v>0</v>
      </c>
      <c r="BI169" s="22">
        <f t="shared" si="1328"/>
        <v>0</v>
      </c>
      <c r="BJ169" s="22">
        <f t="shared" si="1328"/>
        <v>2546.9750000000008</v>
      </c>
      <c r="BK169" s="22">
        <f t="shared" si="1328"/>
        <v>2546.5958876824311</v>
      </c>
      <c r="BL169" s="22">
        <f t="shared" si="1328"/>
        <v>2716.076</v>
      </c>
      <c r="BM169" s="22">
        <f t="shared" si="1328"/>
        <v>2693.1794452188415</v>
      </c>
      <c r="BN169" s="22">
        <f t="shared" si="1328"/>
        <v>1721.7099999999991</v>
      </c>
      <c r="BO169" s="22">
        <f t="shared" si="1328"/>
        <v>1806.6539994564769</v>
      </c>
      <c r="BP169" s="22">
        <f t="shared" si="1328"/>
        <v>1371.4199999999996</v>
      </c>
      <c r="BQ169" s="22">
        <f t="shared" si="1328"/>
        <v>1376.1796941561988</v>
      </c>
      <c r="BR169" s="22">
        <f t="shared" si="1328"/>
        <v>677.53999999999951</v>
      </c>
      <c r="BS169" s="22">
        <f t="shared" si="1328"/>
        <v>802.65334940712637</v>
      </c>
      <c r="BT169" s="22">
        <f t="shared" si="1328"/>
        <v>552.0300000000002</v>
      </c>
      <c r="BU169" s="22">
        <f t="shared" si="1328"/>
        <v>535.01426718204675</v>
      </c>
      <c r="BV169" s="22">
        <f t="shared" si="1328"/>
        <v>702.82999999999993</v>
      </c>
      <c r="BW169" s="22">
        <f t="shared" si="1328"/>
        <v>624.7943707459176</v>
      </c>
      <c r="BX169" s="22">
        <f t="shared" si="1328"/>
        <v>1037.96</v>
      </c>
      <c r="BY169" s="22">
        <f t="shared" si="1328"/>
        <v>860.02006140266712</v>
      </c>
      <c r="BZ169" s="22">
        <f t="shared" si="1328"/>
        <v>1549.3000000000006</v>
      </c>
      <c r="CA169" s="22">
        <f t="shared" si="1328"/>
        <v>2233.5422910776879</v>
      </c>
      <c r="CB169" s="22">
        <f t="shared" si="1328"/>
        <v>1539.27</v>
      </c>
      <c r="CC169" s="22">
        <f t="shared" si="1328"/>
        <v>1687.3320518222038</v>
      </c>
      <c r="CD169" s="22">
        <f t="shared" si="1328"/>
        <v>1004.6200000000003</v>
      </c>
      <c r="CE169" s="22">
        <f t="shared" si="1328"/>
        <v>1155.2881781139376</v>
      </c>
      <c r="CF169" s="22">
        <f t="shared" ref="CF169:CG169" si="1330">CF160-CF168</f>
        <v>1194.8499999999995</v>
      </c>
      <c r="CG169" s="22">
        <f t="shared" si="1330"/>
        <v>712.37715688652952</v>
      </c>
      <c r="CH169" s="22">
        <f t="shared" ref="CH169:CI169" si="1331">CH160-CH168</f>
        <v>1114.5499999999997</v>
      </c>
      <c r="CI169" s="22">
        <f t="shared" si="1331"/>
        <v>779.41206080718985</v>
      </c>
      <c r="CJ169" s="22">
        <f t="shared" ref="CJ169:DB169" si="1332">CJ160-CJ168</f>
        <v>1156.8999999999992</v>
      </c>
      <c r="CK169" s="22">
        <f t="shared" si="1332"/>
        <v>1384.2375323115621</v>
      </c>
      <c r="CL169" s="22">
        <f t="shared" ref="CL169" si="1333">CL160-CL168</f>
        <v>1217.0799999999995</v>
      </c>
      <c r="CM169" s="21">
        <f t="shared" si="1332"/>
        <v>1521.1857714960843</v>
      </c>
      <c r="CN169" s="21">
        <f t="shared" si="1332"/>
        <v>1371.8221033541158</v>
      </c>
      <c r="CO169" s="21">
        <f t="shared" si="1332"/>
        <v>1471.3466626846857</v>
      </c>
      <c r="CP169" s="21">
        <f t="shared" si="1332"/>
        <v>1595.7397882272717</v>
      </c>
      <c r="CQ169" s="21">
        <f t="shared" si="1332"/>
        <v>1781.1668458010836</v>
      </c>
      <c r="CR169" s="21">
        <f t="shared" si="1332"/>
        <v>1576.5315496398271</v>
      </c>
      <c r="CS169" s="21">
        <f t="shared" si="1332"/>
        <v>1679.5183007188789</v>
      </c>
      <c r="CT169" s="21">
        <f t="shared" si="1332"/>
        <v>1849.4223302922474</v>
      </c>
      <c r="CU169" s="21">
        <f t="shared" si="1332"/>
        <v>2017.6834891899662</v>
      </c>
      <c r="CV169" s="21">
        <f t="shared" si="1332"/>
        <v>1779.1376404842667</v>
      </c>
      <c r="CW169" s="21">
        <f t="shared" si="1332"/>
        <v>1897.0442050439924</v>
      </c>
      <c r="CX169" s="21">
        <f t="shared" si="1332"/>
        <v>2092.5403281671506</v>
      </c>
      <c r="CY169" s="21">
        <f t="shared" si="1332"/>
        <v>2276.1362958387963</v>
      </c>
      <c r="CZ169" s="21">
        <f t="shared" si="1332"/>
        <v>2003.1869052976745</v>
      </c>
      <c r="DA169" s="21">
        <f t="shared" si="1332"/>
        <v>2140.7299575031657</v>
      </c>
      <c r="DB169" s="21">
        <f t="shared" si="1332"/>
        <v>2367.1415951946065</v>
      </c>
      <c r="DE169" s="126"/>
      <c r="DF169" s="22">
        <v>2874.7180457130498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outlineLevel="1" x14ac:dyDescent="0.2">
      <c r="A171" s="23" t="s">
        <v>75</v>
      </c>
      <c r="B171" s="23">
        <f>'Annual Raw'!C75</f>
        <v>0</v>
      </c>
      <c r="C171" s="23">
        <f>'Annual Raw'!D75</f>
        <v>0</v>
      </c>
      <c r="D171" s="23">
        <f>'Annual Raw'!E75</f>
        <v>0</v>
      </c>
      <c r="E171" s="23">
        <f>'Annual Raw'!F75</f>
        <v>0</v>
      </c>
      <c r="F171" s="23">
        <f>'Annual Raw'!G75</f>
        <v>0</v>
      </c>
      <c r="G171" s="23">
        <f>'Annual Raw'!H75</f>
        <v>0</v>
      </c>
      <c r="H171" s="23">
        <f>'Annual Raw'!I75</f>
        <v>0</v>
      </c>
      <c r="I171" s="23">
        <f>'Annual Raw'!J75</f>
        <v>0</v>
      </c>
      <c r="J171" s="23">
        <f>'Annual Raw'!K75</f>
        <v>0</v>
      </c>
      <c r="K171" s="23">
        <f>'Annual Raw'!L75</f>
        <v>0</v>
      </c>
      <c r="L171" s="23">
        <f>'Annual Raw'!M75</f>
        <v>0</v>
      </c>
      <c r="M171" s="23">
        <f>'Annual Raw'!N75</f>
        <v>0</v>
      </c>
      <c r="N171" s="23">
        <f>'Annual Raw'!O75</f>
        <v>0</v>
      </c>
      <c r="O171" s="23">
        <f>'Annual Raw'!P75</f>
        <v>0</v>
      </c>
      <c r="P171" s="23">
        <f>'Annual Raw'!Q75</f>
        <v>0</v>
      </c>
      <c r="Q171" s="23">
        <f>'Annual Raw'!R75</f>
        <v>0</v>
      </c>
      <c r="R171" s="23">
        <f>'Annual Raw'!S75</f>
        <v>0</v>
      </c>
      <c r="S171" s="23">
        <f>'Annual Raw'!T75</f>
        <v>0.159</v>
      </c>
      <c r="T171" s="23">
        <f>'Annual Raw'!U75</f>
        <v>0.16900000000000001</v>
      </c>
      <c r="U171" s="23">
        <f>'Annual Raw'!V75</f>
        <v>0.46</v>
      </c>
      <c r="V171" s="23">
        <f>'Annual Raw'!W75</f>
        <v>0</v>
      </c>
      <c r="W171" s="23">
        <f>'Annual Raw'!X75</f>
        <v>0</v>
      </c>
      <c r="X171" s="23">
        <f>'Annual Raw'!Y75</f>
        <v>0</v>
      </c>
      <c r="Y171" s="23">
        <f>'Annual Raw'!Z75</f>
        <v>0</v>
      </c>
      <c r="Z171" s="23">
        <f>'Annual Raw'!AA75</f>
        <v>0.01</v>
      </c>
      <c r="AA171" s="23">
        <f>'Annual Raw'!AB75</f>
        <v>0.5</v>
      </c>
      <c r="AB171" s="24">
        <f t="shared" ref="AB171:AB172" si="1334">+CP171</f>
        <v>0</v>
      </c>
      <c r="AC171" s="24">
        <f t="shared" ref="AC171:AC172" si="1335">+CT171</f>
        <v>0</v>
      </c>
      <c r="AD171" s="24">
        <f t="shared" ref="AD171:AD172" si="1336">+CX171</f>
        <v>0</v>
      </c>
      <c r="AE171" s="24">
        <f t="shared" ref="AE171:AE172" si="1337">+DB171</f>
        <v>0</v>
      </c>
      <c r="AJ171" s="23">
        <f>+'QTR Raw'!D80</f>
        <v>0</v>
      </c>
      <c r="AL171" s="23">
        <f>+'QTR Raw'!F80</f>
        <v>0</v>
      </c>
      <c r="AN171" s="23">
        <f>+'QTR Raw'!H80</f>
        <v>0</v>
      </c>
      <c r="AP171" s="23">
        <f>+'QTR Raw'!J80</f>
        <v>0</v>
      </c>
      <c r="AR171" s="23">
        <f>+'QTR Raw'!L80</f>
        <v>0</v>
      </c>
      <c r="AT171" s="23">
        <f>+'QTR Raw'!N80</f>
        <v>0</v>
      </c>
      <c r="AV171" s="23">
        <f>+'QTR Raw'!P80</f>
        <v>0</v>
      </c>
      <c r="AX171" s="23">
        <f>+'QTR Raw'!R80</f>
        <v>0</v>
      </c>
      <c r="AZ171" s="23">
        <f>+'QTR Raw'!T80</f>
        <v>0</v>
      </c>
      <c r="BB171" s="23">
        <f>+'QTR Raw'!V80</f>
        <v>0</v>
      </c>
      <c r="BD171" s="23">
        <f>+'QTR Raw'!X80</f>
        <v>0</v>
      </c>
      <c r="BF171" s="23">
        <f>+'QTR Raw'!Z80</f>
        <v>0</v>
      </c>
      <c r="BH171" s="23">
        <f>+'QTR Raw'!AB80</f>
        <v>0</v>
      </c>
      <c r="BJ171" s="23">
        <f>+'QTR Raw'!AD80</f>
        <v>0.16900000000000001</v>
      </c>
      <c r="BL171" s="23">
        <f>+'QTR Raw'!AF80</f>
        <v>0.42899999999999999</v>
      </c>
      <c r="BN171" s="23">
        <f>+'QTR Raw'!AH80</f>
        <v>0.46</v>
      </c>
      <c r="BP171" s="23">
        <f>+'QTR Raw'!AJ80</f>
        <v>0.2</v>
      </c>
      <c r="BR171" s="23">
        <f>+'QTR Raw'!AL80</f>
        <v>0</v>
      </c>
      <c r="BT171" s="23">
        <f>+'QTR Raw'!AN80</f>
        <v>0</v>
      </c>
      <c r="BV171" s="23">
        <f>+'QTR Raw'!AP80</f>
        <v>0</v>
      </c>
      <c r="BX171" s="23">
        <f>+'QTR Raw'!AR80</f>
        <v>0</v>
      </c>
      <c r="BZ171" s="23">
        <f>+'QTR Raw'!AT80</f>
        <v>0</v>
      </c>
      <c r="CB171" s="23">
        <f>+'QTR Raw'!AV80</f>
        <v>0</v>
      </c>
      <c r="CD171" s="23">
        <f>+'QTR Raw'!AX80</f>
        <v>0</v>
      </c>
      <c r="CF171" s="23">
        <f>+'QTR Raw'!AZ80</f>
        <v>100</v>
      </c>
      <c r="CH171" s="23">
        <f t="shared" ref="CH171:CH172" si="1338">Z171</f>
        <v>0.01</v>
      </c>
      <c r="CJ171" s="23">
        <f>+'QTR Raw'!BD80</f>
        <v>0</v>
      </c>
      <c r="CL171" s="23">
        <f>+'QTR Raw'!BF80</f>
        <v>0.5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0.5</v>
      </c>
    </row>
    <row r="172" spans="1:110" s="23" customFormat="1" outlineLevel="1" x14ac:dyDescent="0.2">
      <c r="A172" s="23" t="s">
        <v>76</v>
      </c>
      <c r="B172" s="23">
        <f>'Annual Raw'!C78</f>
        <v>0</v>
      </c>
      <c r="C172" s="23">
        <f>'Annual Raw'!D78</f>
        <v>0</v>
      </c>
      <c r="D172" s="23">
        <f>'Annual Raw'!E78</f>
        <v>0</v>
      </c>
      <c r="E172" s="23">
        <f>'Annual Raw'!F78</f>
        <v>0</v>
      </c>
      <c r="F172" s="23">
        <f>'Annual Raw'!G78</f>
        <v>0</v>
      </c>
      <c r="G172" s="23">
        <f>'Annual Raw'!H78</f>
        <v>0</v>
      </c>
      <c r="H172" s="23">
        <f>'Annual Raw'!I78</f>
        <v>0</v>
      </c>
      <c r="I172" s="23">
        <f>'Annual Raw'!J78</f>
        <v>0</v>
      </c>
      <c r="J172" s="23">
        <f>'Annual Raw'!K78</f>
        <v>0</v>
      </c>
      <c r="K172" s="23">
        <f>'Annual Raw'!L78</f>
        <v>0</v>
      </c>
      <c r="L172" s="23">
        <f>'Annual Raw'!M78</f>
        <v>0</v>
      </c>
      <c r="M172" s="23">
        <f>'Annual Raw'!N78</f>
        <v>0</v>
      </c>
      <c r="N172" s="23">
        <f>'Annual Raw'!O78</f>
        <v>0</v>
      </c>
      <c r="O172" s="23">
        <f>'Annual Raw'!P78</f>
        <v>0</v>
      </c>
      <c r="P172" s="23">
        <f>'Annual Raw'!Q78</f>
        <v>0</v>
      </c>
      <c r="Q172" s="23">
        <f>'Annual Raw'!R78</f>
        <v>0</v>
      </c>
      <c r="R172" s="23">
        <f>'Annual Raw'!S78</f>
        <v>0</v>
      </c>
      <c r="S172" s="23">
        <f>'Annual Raw'!T78</f>
        <v>104.133</v>
      </c>
      <c r="T172" s="23">
        <f>'Annual Raw'!U78</f>
        <v>454.541</v>
      </c>
      <c r="U172" s="23">
        <f>'Annual Raw'!V78</f>
        <v>499.35</v>
      </c>
      <c r="V172" s="23">
        <f>'Annual Raw'!W78</f>
        <v>290.95</v>
      </c>
      <c r="W172" s="23">
        <f>'Annual Raw'!X78</f>
        <v>504.04</v>
      </c>
      <c r="X172" s="23">
        <f>'Annual Raw'!Y78</f>
        <v>95.18</v>
      </c>
      <c r="Y172" s="23">
        <f>'Annual Raw'!Z78</f>
        <v>339.19</v>
      </c>
      <c r="Z172" s="23">
        <f>'Annual Raw'!AA78</f>
        <v>710.94</v>
      </c>
      <c r="AA172" s="23">
        <f>'Annual Raw'!AB78</f>
        <v>533.9</v>
      </c>
      <c r="AB172" s="24">
        <f t="shared" si="1334"/>
        <v>551.940346973342</v>
      </c>
      <c r="AC172" s="24">
        <f t="shared" si="1335"/>
        <v>763.56440833178624</v>
      </c>
      <c r="AD172" s="24">
        <f t="shared" si="1336"/>
        <v>1039.7229945072277</v>
      </c>
      <c r="AE172" s="24">
        <f t="shared" si="1337"/>
        <v>1341.0439610363571</v>
      </c>
      <c r="AJ172" s="23">
        <f>+'QTR Raw'!D83</f>
        <v>0</v>
      </c>
      <c r="AK172" s="23" t="e">
        <f t="shared" ref="AK172:AM172" si="1339">+AK222</f>
        <v>#DIV/0!</v>
      </c>
      <c r="AL172" s="23">
        <f>+'QTR Raw'!F83</f>
        <v>0</v>
      </c>
      <c r="AM172" s="23" t="e">
        <f t="shared" si="1339"/>
        <v>#DIV/0!</v>
      </c>
      <c r="AN172" s="23">
        <f>+'QTR Raw'!H83</f>
        <v>0</v>
      </c>
      <c r="AO172" s="23" t="e">
        <f t="shared" ref="AO172" si="1340">+AO222</f>
        <v>#DIV/0!</v>
      </c>
      <c r="AP172" s="23">
        <f>+'QTR Raw'!J83</f>
        <v>0</v>
      </c>
      <c r="AQ172" s="23" t="e">
        <f t="shared" ref="AQ172" si="1341">+AQ222</f>
        <v>#DIV/0!</v>
      </c>
      <c r="AR172" s="23">
        <f>+'QTR Raw'!L83</f>
        <v>0</v>
      </c>
      <c r="AS172" s="23" t="e">
        <f t="shared" ref="AS172" si="1342">+AS222</f>
        <v>#DIV/0!</v>
      </c>
      <c r="AT172" s="23">
        <f>+'QTR Raw'!N83</f>
        <v>0</v>
      </c>
      <c r="AU172" s="23" t="e">
        <f t="shared" ref="AU172" si="1343">+AU222</f>
        <v>#DIV/0!</v>
      </c>
      <c r="AV172" s="23">
        <f>+'QTR Raw'!P83</f>
        <v>0</v>
      </c>
      <c r="AW172" s="23" t="e">
        <f t="shared" ref="AW172" si="1344">+AW222</f>
        <v>#DIV/0!</v>
      </c>
      <c r="AX172" s="23">
        <f>+'QTR Raw'!R83</f>
        <v>0</v>
      </c>
      <c r="AY172" s="23" t="e">
        <f t="shared" ref="AY172" si="1345">+AY222</f>
        <v>#DIV/0!</v>
      </c>
      <c r="AZ172" s="23">
        <f>+'QTR Raw'!T83</f>
        <v>0</v>
      </c>
      <c r="BA172" s="23" t="e">
        <f t="shared" ref="BA172" si="1346">+BA222</f>
        <v>#DIV/0!</v>
      </c>
      <c r="BB172" s="23">
        <f>+'QTR Raw'!V83</f>
        <v>0</v>
      </c>
      <c r="BC172" s="23" t="e">
        <f t="shared" ref="BC172" si="1347">+BC222</f>
        <v>#DIV/0!</v>
      </c>
      <c r="BD172" s="23">
        <f>+'QTR Raw'!X83</f>
        <v>0</v>
      </c>
      <c r="BE172" s="23" t="e">
        <f t="shared" ref="BE172" si="1348">+BE222</f>
        <v>#DIV/0!</v>
      </c>
      <c r="BF172" s="23">
        <f>+'QTR Raw'!Z83</f>
        <v>0</v>
      </c>
      <c r="BG172" s="23" t="e">
        <f t="shared" ref="BG172" si="1349">+BG222</f>
        <v>#DIV/0!</v>
      </c>
      <c r="BH172" s="23">
        <f>+'QTR Raw'!AB83</f>
        <v>0</v>
      </c>
      <c r="BI172" s="23">
        <f t="shared" ref="BI172" si="1350">+BI222</f>
        <v>189.82199999999992</v>
      </c>
      <c r="BJ172" s="23">
        <f>+'QTR Raw'!AD83</f>
        <v>454.541</v>
      </c>
      <c r="BK172" s="23">
        <f t="shared" ref="BK172" si="1351">+BK222</f>
        <v>503.22911231756962</v>
      </c>
      <c r="BL172" s="23">
        <f>+'QTR Raw'!AF83</f>
        <v>453.78800000000001</v>
      </c>
      <c r="BM172" s="23">
        <f t="shared" ref="BM172" si="1352">+BM222</f>
        <v>526.72455478115864</v>
      </c>
      <c r="BN172" s="23">
        <f>+'QTR Raw'!AH83</f>
        <v>499.35</v>
      </c>
      <c r="BO172" s="23">
        <f t="shared" ref="BO172" si="1353">+BO222</f>
        <v>431.28600054352239</v>
      </c>
      <c r="BP172" s="23">
        <f>+'QTR Raw'!AJ83</f>
        <v>517.28</v>
      </c>
      <c r="BQ172" s="23">
        <f t="shared" ref="BQ172" si="1354">+BQ222</f>
        <v>534.35030584380092</v>
      </c>
      <c r="BR172" s="23">
        <f>+'QTR Raw'!AL83</f>
        <v>290.95</v>
      </c>
      <c r="BS172" s="23">
        <f t="shared" ref="BS172" si="1355">+BS222</f>
        <v>89.716650592873236</v>
      </c>
      <c r="BT172" s="23">
        <f>+'QTR Raw'!AN83</f>
        <v>427.76</v>
      </c>
      <c r="BU172" s="23">
        <f t="shared" ref="BU172" si="1356">+BU222</f>
        <v>22.365732817953301</v>
      </c>
      <c r="BV172" s="23">
        <f>+'QTR Raw'!AP83</f>
        <v>504.04</v>
      </c>
      <c r="BW172" s="23">
        <f t="shared" ref="BW172" si="1357">+BW222</f>
        <v>228.16562925408243</v>
      </c>
      <c r="BX172" s="23">
        <f>+'QTR Raw'!AR83</f>
        <v>478.7</v>
      </c>
      <c r="BY172" s="23">
        <f t="shared" ref="BY172" si="1358">+BY222</f>
        <v>555.39993859733295</v>
      </c>
      <c r="BZ172" s="23">
        <f>+'QTR Raw'!AT83</f>
        <v>95.18</v>
      </c>
      <c r="CA172" s="23">
        <f t="shared" ref="CA172" si="1359">+CA222</f>
        <v>-684.5322910776872</v>
      </c>
      <c r="CB172" s="23">
        <f>+'QTR Raw'!AV83</f>
        <v>98.97</v>
      </c>
      <c r="CC172" s="23">
        <f t="shared" ref="CC172" si="1360">+CC222</f>
        <v>-112.76205182220373</v>
      </c>
      <c r="CD172" s="23">
        <f>+'QTR Raw'!AX83</f>
        <v>339.19</v>
      </c>
      <c r="CE172" s="23">
        <f t="shared" ref="CE172" si="1361">+CE222</f>
        <v>192.71182188606261</v>
      </c>
      <c r="CF172" s="23">
        <f>+'QTR Raw'!AZ83</f>
        <v>457.92</v>
      </c>
      <c r="CG172" s="23">
        <f t="shared" ref="CG172:CI172" si="1362">+CG222</f>
        <v>1055.2228431134699</v>
      </c>
      <c r="CH172" s="23">
        <f t="shared" si="1338"/>
        <v>710.94</v>
      </c>
      <c r="CI172" s="23">
        <f t="shared" si="1362"/>
        <v>1080.8679391928099</v>
      </c>
      <c r="CJ172" s="23">
        <f>+'QTR Raw'!BD83</f>
        <v>440.45</v>
      </c>
      <c r="CK172" s="23">
        <f t="shared" ref="CK172:DB172" si="1363">+CK222</f>
        <v>213.20246768843725</v>
      </c>
      <c r="CL172" s="23">
        <f>+'QTR Raw'!BF83</f>
        <v>533.9</v>
      </c>
      <c r="CM172" s="24">
        <f t="shared" si="1363"/>
        <v>318.73096928844819</v>
      </c>
      <c r="CN172" s="24">
        <f t="shared" si="1363"/>
        <v>554.34395432945985</v>
      </c>
      <c r="CO172" s="24">
        <f t="shared" si="1363"/>
        <v>556.65933622465013</v>
      </c>
      <c r="CP172" s="24">
        <f t="shared" si="1363"/>
        <v>551.940346973342</v>
      </c>
      <c r="CQ172" s="24">
        <f t="shared" si="1363"/>
        <v>483.89946466879104</v>
      </c>
      <c r="CR172" s="24">
        <f t="shared" si="1363"/>
        <v>796.4094079262527</v>
      </c>
      <c r="CS172" s="24">
        <f t="shared" si="1363"/>
        <v>807.52241807917915</v>
      </c>
      <c r="CT172" s="24">
        <f t="shared" si="1363"/>
        <v>763.56440833178624</v>
      </c>
      <c r="CU172" s="24">
        <f t="shared" si="1363"/>
        <v>730.70350285250925</v>
      </c>
      <c r="CV172" s="24">
        <f t="shared" si="1363"/>
        <v>1089.7466487878257</v>
      </c>
      <c r="CW172" s="24">
        <f t="shared" si="1363"/>
        <v>1096.9342177607805</v>
      </c>
      <c r="CX172" s="24">
        <f t="shared" si="1363"/>
        <v>1039.7229945072277</v>
      </c>
      <c r="CY172" s="24">
        <f t="shared" si="1363"/>
        <v>1007.3367040558178</v>
      </c>
      <c r="CZ172" s="24">
        <f t="shared" si="1363"/>
        <v>1413.3042080317641</v>
      </c>
      <c r="DA172" s="24">
        <f t="shared" si="1363"/>
        <v>1413.8370895999908</v>
      </c>
      <c r="DB172" s="24">
        <f t="shared" si="1363"/>
        <v>1341.0439610363571</v>
      </c>
      <c r="DE172" s="123"/>
      <c r="DF172" s="23">
        <v>-1187.5771739193769</v>
      </c>
    </row>
    <row r="173" spans="1:110" s="22" customFormat="1" x14ac:dyDescent="0.2">
      <c r="A173" s="22" t="s">
        <v>77</v>
      </c>
      <c r="B173" s="22">
        <f>B171+B172</f>
        <v>0</v>
      </c>
      <c r="C173" s="22">
        <f t="shared" ref="C173:V173" si="1364">C171+C172</f>
        <v>0</v>
      </c>
      <c r="D173" s="22">
        <f t="shared" si="1364"/>
        <v>0</v>
      </c>
      <c r="E173" s="22">
        <f t="shared" si="1364"/>
        <v>0</v>
      </c>
      <c r="F173" s="22">
        <f t="shared" si="1364"/>
        <v>0</v>
      </c>
      <c r="G173" s="22">
        <f t="shared" si="1364"/>
        <v>0</v>
      </c>
      <c r="H173" s="22">
        <f t="shared" si="1364"/>
        <v>0</v>
      </c>
      <c r="I173" s="22">
        <f t="shared" si="1364"/>
        <v>0</v>
      </c>
      <c r="J173" s="22">
        <f t="shared" si="1364"/>
        <v>0</v>
      </c>
      <c r="K173" s="22">
        <f t="shared" si="1364"/>
        <v>0</v>
      </c>
      <c r="L173" s="22">
        <f t="shared" si="1364"/>
        <v>0</v>
      </c>
      <c r="M173" s="22">
        <f t="shared" si="1364"/>
        <v>0</v>
      </c>
      <c r="N173" s="22">
        <f t="shared" si="1364"/>
        <v>0</v>
      </c>
      <c r="O173" s="22">
        <f t="shared" si="1364"/>
        <v>0</v>
      </c>
      <c r="P173" s="22">
        <f t="shared" si="1364"/>
        <v>0</v>
      </c>
      <c r="Q173" s="22">
        <f t="shared" si="1364"/>
        <v>0</v>
      </c>
      <c r="R173" s="22">
        <f t="shared" si="1364"/>
        <v>0</v>
      </c>
      <c r="S173" s="22">
        <f t="shared" si="1364"/>
        <v>104.292</v>
      </c>
      <c r="T173" s="22">
        <f t="shared" si="1364"/>
        <v>454.71</v>
      </c>
      <c r="U173" s="22">
        <f t="shared" si="1364"/>
        <v>499.81</v>
      </c>
      <c r="V173" s="22">
        <f t="shared" si="1364"/>
        <v>290.95</v>
      </c>
      <c r="W173" s="22">
        <f t="shared" ref="W173" si="1365">W171+W172</f>
        <v>504.04</v>
      </c>
      <c r="X173" s="22">
        <f t="shared" ref="X173:Y173" si="1366">X171+X172</f>
        <v>95.18</v>
      </c>
      <c r="Y173" s="22">
        <f t="shared" si="1366"/>
        <v>339.19</v>
      </c>
      <c r="Z173" s="22">
        <f t="shared" ref="Z173:AA173" si="1367">Z171+Z172</f>
        <v>710.95</v>
      </c>
      <c r="AA173" s="22">
        <f t="shared" si="1367"/>
        <v>534.4</v>
      </c>
      <c r="AB173" s="21">
        <f t="shared" ref="AA173:AD173" si="1368">AB171+AB172</f>
        <v>551.940346973342</v>
      </c>
      <c r="AC173" s="21">
        <f t="shared" si="1368"/>
        <v>763.56440833178624</v>
      </c>
      <c r="AD173" s="21">
        <f t="shared" si="1368"/>
        <v>1039.7229945072277</v>
      </c>
      <c r="AE173" s="21">
        <f t="shared" ref="AE173" si="1369">AE171+AE172</f>
        <v>1341.0439610363571</v>
      </c>
      <c r="AJ173" s="22">
        <f t="shared" ref="AJ173" si="1370">AJ171+AJ172</f>
        <v>0</v>
      </c>
      <c r="AK173" s="22" t="e">
        <f t="shared" ref="AK173" si="1371">AK171+AK172</f>
        <v>#DIV/0!</v>
      </c>
      <c r="AL173" s="22">
        <f t="shared" ref="AL173:AM173" si="1372">AL171+AL172</f>
        <v>0</v>
      </c>
      <c r="AM173" s="22" t="e">
        <f t="shared" si="1372"/>
        <v>#DIV/0!</v>
      </c>
      <c r="AN173" s="22">
        <f t="shared" ref="AN173:AO173" si="1373">AN171+AN172</f>
        <v>0</v>
      </c>
      <c r="AO173" s="22" t="e">
        <f t="shared" si="1373"/>
        <v>#DIV/0!</v>
      </c>
      <c r="AP173" s="22">
        <f t="shared" ref="AP173:CE173" si="1374">AP171+AP172</f>
        <v>0</v>
      </c>
      <c r="AQ173" s="22" t="e">
        <f t="shared" si="1374"/>
        <v>#DIV/0!</v>
      </c>
      <c r="AR173" s="22">
        <f t="shared" si="1374"/>
        <v>0</v>
      </c>
      <c r="AS173" s="22" t="e">
        <f t="shared" si="1374"/>
        <v>#DIV/0!</v>
      </c>
      <c r="AT173" s="22">
        <f t="shared" si="1374"/>
        <v>0</v>
      </c>
      <c r="AU173" s="22" t="e">
        <f t="shared" si="1374"/>
        <v>#DIV/0!</v>
      </c>
      <c r="AV173" s="22">
        <f t="shared" si="1374"/>
        <v>0</v>
      </c>
      <c r="AW173" s="22" t="e">
        <f t="shared" si="1374"/>
        <v>#DIV/0!</v>
      </c>
      <c r="AX173" s="22">
        <f t="shared" si="1374"/>
        <v>0</v>
      </c>
      <c r="AY173" s="22" t="e">
        <f t="shared" si="1374"/>
        <v>#DIV/0!</v>
      </c>
      <c r="AZ173" s="22">
        <f t="shared" si="1374"/>
        <v>0</v>
      </c>
      <c r="BA173" s="22" t="e">
        <f t="shared" si="1374"/>
        <v>#DIV/0!</v>
      </c>
      <c r="BB173" s="22">
        <f t="shared" si="1374"/>
        <v>0</v>
      </c>
      <c r="BC173" s="22" t="e">
        <f t="shared" si="1374"/>
        <v>#DIV/0!</v>
      </c>
      <c r="BD173" s="22">
        <f t="shared" si="1374"/>
        <v>0</v>
      </c>
      <c r="BE173" s="22" t="e">
        <f t="shared" si="1374"/>
        <v>#DIV/0!</v>
      </c>
      <c r="BF173" s="22">
        <f t="shared" si="1374"/>
        <v>0</v>
      </c>
      <c r="BG173" s="22" t="e">
        <f t="shared" si="1374"/>
        <v>#DIV/0!</v>
      </c>
      <c r="BH173" s="22">
        <f t="shared" si="1374"/>
        <v>0</v>
      </c>
      <c r="BI173" s="22">
        <f t="shared" si="1374"/>
        <v>189.82199999999992</v>
      </c>
      <c r="BJ173" s="22">
        <f t="shared" si="1374"/>
        <v>454.71</v>
      </c>
      <c r="BK173" s="22">
        <f t="shared" si="1374"/>
        <v>503.22911231756962</v>
      </c>
      <c r="BL173" s="22">
        <f t="shared" si="1374"/>
        <v>454.21699999999998</v>
      </c>
      <c r="BM173" s="22">
        <f t="shared" si="1374"/>
        <v>526.72455478115864</v>
      </c>
      <c r="BN173" s="22">
        <f t="shared" si="1374"/>
        <v>499.81</v>
      </c>
      <c r="BO173" s="22">
        <f t="shared" si="1374"/>
        <v>431.28600054352239</v>
      </c>
      <c r="BP173" s="22">
        <f t="shared" si="1374"/>
        <v>517.48</v>
      </c>
      <c r="BQ173" s="22">
        <f t="shared" si="1374"/>
        <v>534.35030584380092</v>
      </c>
      <c r="BR173" s="22">
        <f t="shared" si="1374"/>
        <v>290.95</v>
      </c>
      <c r="BS173" s="22">
        <f t="shared" si="1374"/>
        <v>89.716650592873236</v>
      </c>
      <c r="BT173" s="22">
        <f t="shared" si="1374"/>
        <v>427.76</v>
      </c>
      <c r="BU173" s="22">
        <f t="shared" si="1374"/>
        <v>22.365732817953301</v>
      </c>
      <c r="BV173" s="22">
        <f t="shared" si="1374"/>
        <v>504.04</v>
      </c>
      <c r="BW173" s="22">
        <f t="shared" si="1374"/>
        <v>228.16562925408243</v>
      </c>
      <c r="BX173" s="22">
        <f t="shared" si="1374"/>
        <v>478.7</v>
      </c>
      <c r="BY173" s="22">
        <f t="shared" si="1374"/>
        <v>555.39993859733295</v>
      </c>
      <c r="BZ173" s="22">
        <f t="shared" si="1374"/>
        <v>95.18</v>
      </c>
      <c r="CA173" s="22">
        <f t="shared" si="1374"/>
        <v>-684.5322910776872</v>
      </c>
      <c r="CB173" s="22">
        <f t="shared" si="1374"/>
        <v>98.97</v>
      </c>
      <c r="CC173" s="22">
        <f t="shared" si="1374"/>
        <v>-112.76205182220373</v>
      </c>
      <c r="CD173" s="22">
        <f t="shared" si="1374"/>
        <v>339.19</v>
      </c>
      <c r="CE173" s="22">
        <f t="shared" si="1374"/>
        <v>192.71182188606261</v>
      </c>
      <c r="CF173" s="22">
        <f t="shared" ref="CF173:CG173" si="1375">CF171+CF172</f>
        <v>557.92000000000007</v>
      </c>
      <c r="CG173" s="22">
        <f t="shared" si="1375"/>
        <v>1055.2228431134699</v>
      </c>
      <c r="CH173" s="22">
        <f t="shared" ref="CH173:CI173" si="1376">CH171+CH172</f>
        <v>710.95</v>
      </c>
      <c r="CI173" s="22">
        <f t="shared" si="1376"/>
        <v>1080.8679391928099</v>
      </c>
      <c r="CJ173" s="22">
        <f t="shared" ref="CJ173:DB173" si="1377">CJ171+CJ172</f>
        <v>440.45</v>
      </c>
      <c r="CK173" s="22">
        <f t="shared" si="1377"/>
        <v>213.20246768843725</v>
      </c>
      <c r="CL173" s="22">
        <f t="shared" ref="CL173" si="1378">CL171+CL172</f>
        <v>534.4</v>
      </c>
      <c r="CM173" s="21">
        <f t="shared" si="1377"/>
        <v>318.73096928844819</v>
      </c>
      <c r="CN173" s="21">
        <f t="shared" si="1377"/>
        <v>554.34395432945985</v>
      </c>
      <c r="CO173" s="21">
        <f t="shared" si="1377"/>
        <v>556.65933622465013</v>
      </c>
      <c r="CP173" s="21">
        <f t="shared" si="1377"/>
        <v>551.940346973342</v>
      </c>
      <c r="CQ173" s="21">
        <f t="shared" si="1377"/>
        <v>483.89946466879104</v>
      </c>
      <c r="CR173" s="21">
        <f t="shared" si="1377"/>
        <v>796.4094079262527</v>
      </c>
      <c r="CS173" s="21">
        <f t="shared" si="1377"/>
        <v>807.52241807917915</v>
      </c>
      <c r="CT173" s="21">
        <f t="shared" si="1377"/>
        <v>763.56440833178624</v>
      </c>
      <c r="CU173" s="21">
        <f t="shared" si="1377"/>
        <v>730.70350285250925</v>
      </c>
      <c r="CV173" s="21">
        <f t="shared" si="1377"/>
        <v>1089.7466487878257</v>
      </c>
      <c r="CW173" s="21">
        <f t="shared" si="1377"/>
        <v>1096.9342177607805</v>
      </c>
      <c r="CX173" s="21">
        <f t="shared" si="1377"/>
        <v>1039.7229945072277</v>
      </c>
      <c r="CY173" s="21">
        <f t="shared" si="1377"/>
        <v>1007.3367040558178</v>
      </c>
      <c r="CZ173" s="21">
        <f t="shared" si="1377"/>
        <v>1413.3042080317641</v>
      </c>
      <c r="DA173" s="21">
        <f t="shared" si="1377"/>
        <v>1413.8370895999908</v>
      </c>
      <c r="DB173" s="21">
        <f t="shared" si="1377"/>
        <v>1341.0439610363571</v>
      </c>
      <c r="DE173" s="126"/>
      <c r="DF173" s="22">
        <v>-1187.5771739193769</v>
      </c>
    </row>
    <row r="174" spans="1:110" s="23" customFormat="1" x14ac:dyDescent="0.2">
      <c r="AB174" s="24"/>
      <c r="AC174" s="24"/>
      <c r="AD174" s="24"/>
      <c r="AE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x14ac:dyDescent="0.2">
      <c r="A175" s="23" t="s">
        <v>78</v>
      </c>
      <c r="B175" s="23">
        <f>-'Annual Raw'!C49</f>
        <v>0</v>
      </c>
      <c r="C175" s="23">
        <f>-'Annual Raw'!D49</f>
        <v>0</v>
      </c>
      <c r="D175" s="23">
        <f>-'Annual Raw'!E49</f>
        <v>0</v>
      </c>
      <c r="E175" s="23">
        <f>-'Annual Raw'!F49</f>
        <v>0</v>
      </c>
      <c r="F175" s="23">
        <f>-'Annual Raw'!G49</f>
        <v>0</v>
      </c>
      <c r="G175" s="23">
        <f>-'Annual Raw'!H49</f>
        <v>0</v>
      </c>
      <c r="H175" s="23">
        <f>-'Annual Raw'!I49</f>
        <v>0</v>
      </c>
      <c r="I175" s="23">
        <f>-'Annual Raw'!J49</f>
        <v>0</v>
      </c>
      <c r="J175" s="23">
        <f>-'Annual Raw'!K49</f>
        <v>0</v>
      </c>
      <c r="K175" s="23">
        <f>-'Annual Raw'!L49</f>
        <v>0</v>
      </c>
      <c r="L175" s="23">
        <f>-'Annual Raw'!M49</f>
        <v>0</v>
      </c>
      <c r="M175" s="23">
        <f>-'Annual Raw'!N49</f>
        <v>0</v>
      </c>
      <c r="N175" s="23">
        <f>-'Annual Raw'!O49</f>
        <v>0</v>
      </c>
      <c r="O175" s="23">
        <f>-'Annual Raw'!P49</f>
        <v>0</v>
      </c>
      <c r="P175" s="23">
        <f>-'Annual Raw'!Q49</f>
        <v>0</v>
      </c>
      <c r="Q175" s="23">
        <f>-'Annual Raw'!R49</f>
        <v>0</v>
      </c>
      <c r="R175" s="23">
        <f>-'Annual Raw'!S49</f>
        <v>0</v>
      </c>
      <c r="S175" s="23">
        <f>-'Annual Raw'!T49</f>
        <v>11.023</v>
      </c>
      <c r="T175" s="23">
        <f>-'Annual Raw'!U49</f>
        <v>32.122999999999998</v>
      </c>
      <c r="U175" s="23">
        <f>-'Annual Raw'!V49</f>
        <v>36.369999999999997</v>
      </c>
      <c r="V175" s="23">
        <f>-'Annual Raw'!W49</f>
        <v>120.58</v>
      </c>
      <c r="W175" s="23">
        <f>-'Annual Raw'!X49</f>
        <v>100.88</v>
      </c>
      <c r="X175" s="23">
        <f>-'Annual Raw'!Y49</f>
        <v>98.11</v>
      </c>
      <c r="Y175" s="23">
        <f>-'Annual Raw'!Z49</f>
        <v>63.94</v>
      </c>
      <c r="Z175" s="23">
        <f>-'Annual Raw'!AA49</f>
        <v>24.63</v>
      </c>
      <c r="AA175" s="23">
        <f>-'Annual Raw'!AB49</f>
        <v>40.619999999999997</v>
      </c>
      <c r="AB175" s="24">
        <f t="shared" ref="AB175:AB176" si="1379">+CP175</f>
        <v>40.619999999999997</v>
      </c>
      <c r="AC175" s="24">
        <f t="shared" ref="AC175:AC176" si="1380">+CT175</f>
        <v>40.619999999999997</v>
      </c>
      <c r="AD175" s="24">
        <f t="shared" ref="AD175:AD176" si="1381">+CX175</f>
        <v>40.619999999999997</v>
      </c>
      <c r="AE175" s="24">
        <f t="shared" ref="AE175:AE176" si="1382">+DB175</f>
        <v>40.619999999999997</v>
      </c>
      <c r="AJ175" s="23">
        <f>+'QTR Raw'!D96</f>
        <v>0</v>
      </c>
      <c r="AK175" s="23">
        <f t="shared" ref="AK175:CE175" si="1383">+AJ175</f>
        <v>0</v>
      </c>
      <c r="AL175" s="23">
        <f>+'QTR Raw'!F96</f>
        <v>0</v>
      </c>
      <c r="AM175" s="23">
        <f t="shared" si="1383"/>
        <v>0</v>
      </c>
      <c r="AN175" s="23">
        <f>+'QTR Raw'!H96</f>
        <v>0</v>
      </c>
      <c r="AO175" s="23">
        <f t="shared" si="1383"/>
        <v>0</v>
      </c>
      <c r="AP175" s="23">
        <f>+'QTR Raw'!J96</f>
        <v>0</v>
      </c>
      <c r="AQ175" s="23">
        <f t="shared" si="1383"/>
        <v>0</v>
      </c>
      <c r="AR175" s="23">
        <f>+'QTR Raw'!L96</f>
        <v>0</v>
      </c>
      <c r="AS175" s="23">
        <f t="shared" si="1383"/>
        <v>0</v>
      </c>
      <c r="AT175" s="23">
        <f>+'QTR Raw'!N96</f>
        <v>0</v>
      </c>
      <c r="AU175" s="23">
        <f t="shared" si="1383"/>
        <v>0</v>
      </c>
      <c r="AV175" s="23">
        <f>+'QTR Raw'!P96</f>
        <v>0</v>
      </c>
      <c r="AW175" s="23">
        <f t="shared" si="1383"/>
        <v>0</v>
      </c>
      <c r="AX175" s="23">
        <f>+'QTR Raw'!R96</f>
        <v>0</v>
      </c>
      <c r="AY175" s="23">
        <f t="shared" si="1383"/>
        <v>0</v>
      </c>
      <c r="AZ175" s="23">
        <f>+'QTR Raw'!T96</f>
        <v>0</v>
      </c>
      <c r="BA175" s="23">
        <f t="shared" si="1383"/>
        <v>0</v>
      </c>
      <c r="BB175" s="23">
        <f>+'QTR Raw'!V96</f>
        <v>0</v>
      </c>
      <c r="BC175" s="23">
        <f t="shared" si="1383"/>
        <v>0</v>
      </c>
      <c r="BD175" s="23">
        <f>+'QTR Raw'!X96</f>
        <v>0</v>
      </c>
      <c r="BE175" s="23">
        <f t="shared" si="1383"/>
        <v>0</v>
      </c>
      <c r="BF175" s="23">
        <f>+'QTR Raw'!Z96</f>
        <v>0</v>
      </c>
      <c r="BG175" s="23">
        <f t="shared" si="1383"/>
        <v>0</v>
      </c>
      <c r="BH175" s="23">
        <f>+'QTR Raw'!AB96</f>
        <v>0</v>
      </c>
      <c r="BI175" s="23">
        <f t="shared" si="1383"/>
        <v>0</v>
      </c>
      <c r="BJ175" s="23">
        <f>+'QTR Raw'!AD96</f>
        <v>32.122999999999998</v>
      </c>
      <c r="BK175" s="23">
        <f t="shared" si="1383"/>
        <v>32.122999999999998</v>
      </c>
      <c r="BL175" s="23">
        <f>+'QTR Raw'!AF96</f>
        <v>25.146999999999998</v>
      </c>
      <c r="BM175" s="23">
        <f t="shared" si="1383"/>
        <v>25.146999999999998</v>
      </c>
      <c r="BN175" s="23">
        <f>+'QTR Raw'!AH96</f>
        <v>36.369999999999997</v>
      </c>
      <c r="BO175" s="23">
        <f t="shared" si="1383"/>
        <v>36.369999999999997</v>
      </c>
      <c r="BP175" s="23">
        <f>+'QTR Raw'!AJ96</f>
        <v>54.47</v>
      </c>
      <c r="BQ175" s="23">
        <f t="shared" si="1383"/>
        <v>54.47</v>
      </c>
      <c r="BR175" s="23">
        <f>+'QTR Raw'!AL96</f>
        <v>120.58</v>
      </c>
      <c r="BS175" s="23">
        <f t="shared" si="1383"/>
        <v>120.58</v>
      </c>
      <c r="BT175" s="23">
        <f>+'QTR Raw'!AN96</f>
        <v>96.83</v>
      </c>
      <c r="BU175" s="23">
        <f t="shared" si="1383"/>
        <v>96.83</v>
      </c>
      <c r="BV175" s="23">
        <f>+'QTR Raw'!AP96</f>
        <v>100.88</v>
      </c>
      <c r="BW175" s="23">
        <f t="shared" si="1383"/>
        <v>100.88</v>
      </c>
      <c r="BX175" s="23">
        <f>+'QTR Raw'!AR96</f>
        <v>99.46</v>
      </c>
      <c r="BY175" s="23">
        <f t="shared" si="1383"/>
        <v>99.46</v>
      </c>
      <c r="BZ175" s="23">
        <f>+'QTR Raw'!AT96</f>
        <v>98.11</v>
      </c>
      <c r="CA175" s="23">
        <f t="shared" si="1383"/>
        <v>98.11</v>
      </c>
      <c r="CB175" s="23">
        <f>+'QTR Raw'!AV96</f>
        <v>96.54</v>
      </c>
      <c r="CC175" s="23">
        <f t="shared" si="1383"/>
        <v>96.54</v>
      </c>
      <c r="CD175" s="23">
        <f>+'QTR Raw'!AX96</f>
        <v>63.94</v>
      </c>
      <c r="CE175" s="23">
        <f t="shared" si="1383"/>
        <v>63.94</v>
      </c>
      <c r="CF175" s="23">
        <f>+'QTR Raw'!AZ96</f>
        <v>52.11</v>
      </c>
      <c r="CG175" s="23">
        <f t="shared" ref="CG175:CI176" si="1384">+CF175</f>
        <v>52.11</v>
      </c>
      <c r="CH175" s="23">
        <f t="shared" ref="CH175:CH176" si="1385">Z175</f>
        <v>24.63</v>
      </c>
      <c r="CI175" s="23">
        <f t="shared" si="1384"/>
        <v>24.63</v>
      </c>
      <c r="CJ175" s="23">
        <f>+'QTR Raw'!BD96</f>
        <v>38.090000000000003</v>
      </c>
      <c r="CK175" s="23">
        <f t="shared" ref="CK175:CK176" si="1386">+CJ175</f>
        <v>38.090000000000003</v>
      </c>
      <c r="CL175" s="23">
        <f>+'QTR Raw'!BF96</f>
        <v>40.619999999999997</v>
      </c>
      <c r="CM175" s="24">
        <f t="shared" ref="CM175:CM176" si="1387">+CL175</f>
        <v>40.619999999999997</v>
      </c>
      <c r="CN175" s="24">
        <f t="shared" ref="CN175:CN176" si="1388">+CM175</f>
        <v>40.619999999999997</v>
      </c>
      <c r="CO175" s="24">
        <f t="shared" ref="CO175:CO176" si="1389">+CN175</f>
        <v>40.619999999999997</v>
      </c>
      <c r="CP175" s="24">
        <f t="shared" ref="CP175:CP176" si="1390">+CO175</f>
        <v>40.619999999999997</v>
      </c>
      <c r="CQ175" s="24">
        <f t="shared" ref="CQ175:CQ176" si="1391">+CP175</f>
        <v>40.619999999999997</v>
      </c>
      <c r="CR175" s="24">
        <f t="shared" ref="CR175:CR176" si="1392">+CQ175</f>
        <v>40.619999999999997</v>
      </c>
      <c r="CS175" s="24">
        <f t="shared" ref="CS175:CS176" si="1393">+CR175</f>
        <v>40.619999999999997</v>
      </c>
      <c r="CT175" s="24">
        <f t="shared" ref="CT175:CT176" si="1394">+CS175</f>
        <v>40.619999999999997</v>
      </c>
      <c r="CU175" s="24">
        <f t="shared" ref="CU175:CU176" si="1395">+CT175</f>
        <v>40.619999999999997</v>
      </c>
      <c r="CV175" s="24">
        <f t="shared" ref="CV175:CV176" si="1396">+CU175</f>
        <v>40.619999999999997</v>
      </c>
      <c r="CW175" s="24">
        <f t="shared" ref="CW175:CW176" si="1397">+CV175</f>
        <v>40.619999999999997</v>
      </c>
      <c r="CX175" s="24">
        <f t="shared" ref="CX175:CX176" si="1398">+CW175</f>
        <v>40.619999999999997</v>
      </c>
      <c r="CY175" s="24">
        <f t="shared" ref="CY175:CY176" si="1399">+CX175</f>
        <v>40.619999999999997</v>
      </c>
      <c r="CZ175" s="24">
        <f t="shared" ref="CZ175:CZ176" si="1400">+CY175</f>
        <v>40.619999999999997</v>
      </c>
      <c r="DA175" s="24">
        <f t="shared" ref="DA175:DA176" si="1401">+CZ175</f>
        <v>40.619999999999997</v>
      </c>
      <c r="DB175" s="24">
        <f t="shared" ref="DB175:DB176" si="1402">+DA175</f>
        <v>40.619999999999997</v>
      </c>
      <c r="DE175" s="123"/>
      <c r="DF175" s="23">
        <v>38.090000000000003</v>
      </c>
    </row>
    <row r="176" spans="1:110" s="23" customFormat="1" x14ac:dyDescent="0.2">
      <c r="A176" s="23" t="s">
        <v>79</v>
      </c>
      <c r="B176" s="23">
        <f>'Annual Raw'!C83</f>
        <v>0</v>
      </c>
      <c r="C176" s="23">
        <f>'Annual Raw'!D83</f>
        <v>0</v>
      </c>
      <c r="D176" s="23">
        <f>'Annual Raw'!E83</f>
        <v>0</v>
      </c>
      <c r="E176" s="23">
        <f>'Annual Raw'!F83</f>
        <v>0</v>
      </c>
      <c r="F176" s="23">
        <f>'Annual Raw'!G83</f>
        <v>0</v>
      </c>
      <c r="G176" s="23">
        <f>'Annual Raw'!H83</f>
        <v>0</v>
      </c>
      <c r="H176" s="23">
        <f>'Annual Raw'!I83</f>
        <v>0</v>
      </c>
      <c r="I176" s="23">
        <f>'Annual Raw'!J83</f>
        <v>0</v>
      </c>
      <c r="J176" s="23">
        <f>'Annual Raw'!K83</f>
        <v>0</v>
      </c>
      <c r="K176" s="23">
        <f>'Annual Raw'!L83</f>
        <v>0</v>
      </c>
      <c r="L176" s="23">
        <f>'Annual Raw'!M83</f>
        <v>0</v>
      </c>
      <c r="M176" s="23">
        <f>'Annual Raw'!N83</f>
        <v>0</v>
      </c>
      <c r="N176" s="23">
        <f>'Annual Raw'!O83</f>
        <v>0</v>
      </c>
      <c r="O176" s="23">
        <f>'Annual Raw'!P83</f>
        <v>0</v>
      </c>
      <c r="P176" s="23">
        <f>'Annual Raw'!Q83</f>
        <v>0</v>
      </c>
      <c r="Q176" s="23">
        <f>'Annual Raw'!R83</f>
        <v>0</v>
      </c>
      <c r="R176" s="23">
        <f>'Annual Raw'!S83</f>
        <v>0</v>
      </c>
      <c r="S176" s="23">
        <f>'Annual Raw'!T83</f>
        <v>0</v>
      </c>
      <c r="T176" s="23">
        <f>'Annual Raw'!U83</f>
        <v>0</v>
      </c>
      <c r="U176" s="23">
        <f>'Annual Raw'!V83</f>
        <v>0</v>
      </c>
      <c r="V176" s="23">
        <f>'Annual Raw'!W83</f>
        <v>0</v>
      </c>
      <c r="W176" s="23">
        <f>'Annual Raw'!X83</f>
        <v>0</v>
      </c>
      <c r="X176" s="23">
        <f>'Annual Raw'!Y83</f>
        <v>0</v>
      </c>
      <c r="Y176" s="23">
        <f>'Annual Raw'!Z83</f>
        <v>0</v>
      </c>
      <c r="Z176" s="23">
        <f>'Annual Raw'!AA83</f>
        <v>0</v>
      </c>
      <c r="AA176" s="23">
        <f>'Annual Raw'!AB83</f>
        <v>0</v>
      </c>
      <c r="AB176" s="24">
        <f t="shared" si="1379"/>
        <v>0</v>
      </c>
      <c r="AC176" s="24">
        <f t="shared" si="1380"/>
        <v>0</v>
      </c>
      <c r="AD176" s="24">
        <f t="shared" si="1381"/>
        <v>0</v>
      </c>
      <c r="AE176" s="24">
        <f t="shared" si="1382"/>
        <v>0</v>
      </c>
      <c r="AJ176" s="23">
        <f>+'QTR Raw'!D95</f>
        <v>0</v>
      </c>
      <c r="AK176" s="23">
        <f t="shared" ref="AK176:CE176" si="1403">+AJ176</f>
        <v>0</v>
      </c>
      <c r="AL176" s="23">
        <f>+'QTR Raw'!F95</f>
        <v>0</v>
      </c>
      <c r="AM176" s="23">
        <f t="shared" si="1403"/>
        <v>0</v>
      </c>
      <c r="AN176" s="23">
        <f>+'QTR Raw'!H95</f>
        <v>0</v>
      </c>
      <c r="AO176" s="23">
        <f t="shared" si="1403"/>
        <v>0</v>
      </c>
      <c r="AP176" s="23">
        <f>+'QTR Raw'!J95</f>
        <v>0</v>
      </c>
      <c r="AQ176" s="23">
        <f t="shared" si="1403"/>
        <v>0</v>
      </c>
      <c r="AR176" s="23">
        <f>+'QTR Raw'!L95</f>
        <v>0</v>
      </c>
      <c r="AS176" s="23">
        <f t="shared" si="1403"/>
        <v>0</v>
      </c>
      <c r="AT176" s="23">
        <f>+'QTR Raw'!N95</f>
        <v>0</v>
      </c>
      <c r="AU176" s="23">
        <f t="shared" si="1403"/>
        <v>0</v>
      </c>
      <c r="AV176" s="23">
        <f>+'QTR Raw'!P95</f>
        <v>0</v>
      </c>
      <c r="AW176" s="23">
        <f t="shared" si="1403"/>
        <v>0</v>
      </c>
      <c r="AX176" s="23">
        <f>+'QTR Raw'!R95</f>
        <v>0</v>
      </c>
      <c r="AY176" s="23">
        <f t="shared" si="1403"/>
        <v>0</v>
      </c>
      <c r="AZ176" s="23">
        <f>+'QTR Raw'!T95</f>
        <v>0</v>
      </c>
      <c r="BA176" s="23">
        <f t="shared" si="1403"/>
        <v>0</v>
      </c>
      <c r="BB176" s="23">
        <f>+'QTR Raw'!V95</f>
        <v>0</v>
      </c>
      <c r="BC176" s="23">
        <f t="shared" si="1403"/>
        <v>0</v>
      </c>
      <c r="BD176" s="23">
        <f>+'QTR Raw'!X95</f>
        <v>0</v>
      </c>
      <c r="BE176" s="23">
        <f t="shared" si="1403"/>
        <v>0</v>
      </c>
      <c r="BF176" s="23">
        <f>+'QTR Raw'!Z95</f>
        <v>0</v>
      </c>
      <c r="BG176" s="23">
        <f t="shared" si="1403"/>
        <v>0</v>
      </c>
      <c r="BH176" s="23">
        <f>+'QTR Raw'!AB95</f>
        <v>0</v>
      </c>
      <c r="BI176" s="23">
        <f t="shared" si="1403"/>
        <v>0</v>
      </c>
      <c r="BJ176" s="23">
        <f>+'QTR Raw'!AD95</f>
        <v>0</v>
      </c>
      <c r="BK176" s="23">
        <f t="shared" si="1403"/>
        <v>0</v>
      </c>
      <c r="BL176" s="23">
        <f>+'QTR Raw'!AF95</f>
        <v>0</v>
      </c>
      <c r="BM176" s="23">
        <f t="shared" si="1403"/>
        <v>0</v>
      </c>
      <c r="BN176" s="23">
        <f>+'QTR Raw'!AH95</f>
        <v>0</v>
      </c>
      <c r="BO176" s="23">
        <f t="shared" si="1403"/>
        <v>0</v>
      </c>
      <c r="BP176" s="23">
        <f>+'QTR Raw'!AJ95</f>
        <v>0</v>
      </c>
      <c r="BQ176" s="23">
        <f t="shared" si="1403"/>
        <v>0</v>
      </c>
      <c r="BR176" s="23">
        <f>+'QTR Raw'!AL95</f>
        <v>0</v>
      </c>
      <c r="BS176" s="23">
        <f t="shared" si="1403"/>
        <v>0</v>
      </c>
      <c r="BT176" s="23">
        <f>+'QTR Raw'!AN95</f>
        <v>0</v>
      </c>
      <c r="BU176" s="23">
        <f t="shared" si="1403"/>
        <v>0</v>
      </c>
      <c r="BV176" s="23">
        <f>+'QTR Raw'!AP95</f>
        <v>0</v>
      </c>
      <c r="BW176" s="23">
        <f t="shared" si="1403"/>
        <v>0</v>
      </c>
      <c r="BX176" s="23">
        <f>+'QTR Raw'!AR95</f>
        <v>0</v>
      </c>
      <c r="BY176" s="23">
        <f t="shared" si="1403"/>
        <v>0</v>
      </c>
      <c r="BZ176" s="23">
        <f>+'QTR Raw'!AT95</f>
        <v>0</v>
      </c>
      <c r="CA176" s="23">
        <f t="shared" si="1403"/>
        <v>0</v>
      </c>
      <c r="CB176" s="23">
        <f>+'QTR Raw'!AV95</f>
        <v>0</v>
      </c>
      <c r="CC176" s="23">
        <f t="shared" si="1403"/>
        <v>0</v>
      </c>
      <c r="CD176" s="23">
        <f>+'QTR Raw'!AX95</f>
        <v>0</v>
      </c>
      <c r="CE176" s="23">
        <f t="shared" si="1403"/>
        <v>0</v>
      </c>
      <c r="CF176" s="23">
        <f>+'QTR Raw'!AZ95</f>
        <v>0</v>
      </c>
      <c r="CG176" s="23">
        <f t="shared" si="1384"/>
        <v>0</v>
      </c>
      <c r="CH176" s="23">
        <f t="shared" si="1385"/>
        <v>0</v>
      </c>
      <c r="CI176" s="23">
        <f t="shared" si="1384"/>
        <v>0</v>
      </c>
      <c r="CJ176" s="23">
        <f>+'QTR Raw'!BD95</f>
        <v>0</v>
      </c>
      <c r="CK176" s="23">
        <f t="shared" si="1386"/>
        <v>0</v>
      </c>
      <c r="CL176" s="23">
        <f>+'QTR Raw'!BF95</f>
        <v>0</v>
      </c>
      <c r="CM176" s="24">
        <f t="shared" si="1387"/>
        <v>0</v>
      </c>
      <c r="CN176" s="24">
        <f t="shared" si="1388"/>
        <v>0</v>
      </c>
      <c r="CO176" s="24">
        <f t="shared" si="1389"/>
        <v>0</v>
      </c>
      <c r="CP176" s="24">
        <f t="shared" si="1390"/>
        <v>0</v>
      </c>
      <c r="CQ176" s="24">
        <f t="shared" si="1391"/>
        <v>0</v>
      </c>
      <c r="CR176" s="24">
        <f t="shared" si="1392"/>
        <v>0</v>
      </c>
      <c r="CS176" s="24">
        <f t="shared" si="1393"/>
        <v>0</v>
      </c>
      <c r="CT176" s="24">
        <f t="shared" si="1394"/>
        <v>0</v>
      </c>
      <c r="CU176" s="24">
        <f t="shared" si="1395"/>
        <v>0</v>
      </c>
      <c r="CV176" s="24">
        <f t="shared" si="1396"/>
        <v>0</v>
      </c>
      <c r="CW176" s="24">
        <f t="shared" si="1397"/>
        <v>0</v>
      </c>
      <c r="CX176" s="24">
        <f t="shared" si="1398"/>
        <v>0</v>
      </c>
      <c r="CY176" s="24">
        <f t="shared" si="1399"/>
        <v>0</v>
      </c>
      <c r="CZ176" s="24">
        <f t="shared" si="1400"/>
        <v>0</v>
      </c>
      <c r="DA176" s="24">
        <f t="shared" si="1401"/>
        <v>0</v>
      </c>
      <c r="DB176" s="24">
        <f t="shared" si="1402"/>
        <v>0</v>
      </c>
      <c r="DE176" s="123"/>
      <c r="DF176" s="23">
        <v>0</v>
      </c>
    </row>
    <row r="177" spans="1:110" s="26" customFormat="1" x14ac:dyDescent="0.2">
      <c r="A177" s="26" t="s">
        <v>438</v>
      </c>
      <c r="B177" s="26">
        <f t="shared" ref="B177:W177" si="1404">B175+B173+B169+B152+B150+B176</f>
        <v>0</v>
      </c>
      <c r="C177" s="26">
        <f t="shared" si="1404"/>
        <v>0</v>
      </c>
      <c r="D177" s="26">
        <f t="shared" si="1404"/>
        <v>0</v>
      </c>
      <c r="E177" s="26">
        <f t="shared" si="1404"/>
        <v>0</v>
      </c>
      <c r="F177" s="26">
        <f t="shared" si="1404"/>
        <v>0</v>
      </c>
      <c r="G177" s="26">
        <f t="shared" si="1404"/>
        <v>0</v>
      </c>
      <c r="H177" s="26">
        <f t="shared" si="1404"/>
        <v>0</v>
      </c>
      <c r="I177" s="26">
        <f t="shared" si="1404"/>
        <v>0</v>
      </c>
      <c r="J177" s="26">
        <f t="shared" si="1404"/>
        <v>0</v>
      </c>
      <c r="K177" s="26">
        <f t="shared" si="1404"/>
        <v>0</v>
      </c>
      <c r="L177" s="26">
        <f t="shared" si="1404"/>
        <v>0</v>
      </c>
      <c r="M177" s="26">
        <f t="shared" si="1404"/>
        <v>0</v>
      </c>
      <c r="N177" s="26">
        <f t="shared" si="1404"/>
        <v>0</v>
      </c>
      <c r="O177" s="26">
        <f t="shared" si="1404"/>
        <v>0</v>
      </c>
      <c r="P177" s="26">
        <f t="shared" si="1404"/>
        <v>0</v>
      </c>
      <c r="Q177" s="26">
        <f t="shared" si="1404"/>
        <v>0</v>
      </c>
      <c r="R177" s="26">
        <f t="shared" si="1404"/>
        <v>0</v>
      </c>
      <c r="S177" s="26">
        <f t="shared" si="1404"/>
        <v>378.01299999999941</v>
      </c>
      <c r="T177" s="26">
        <f t="shared" si="1404"/>
        <v>3065.2969999999996</v>
      </c>
      <c r="U177" s="26">
        <f t="shared" si="1404"/>
        <v>2296.6400000000003</v>
      </c>
      <c r="V177" s="26">
        <f t="shared" si="1404"/>
        <v>1126.1300000000003</v>
      </c>
      <c r="W177" s="26">
        <f t="shared" si="1404"/>
        <v>1340.8899999999999</v>
      </c>
      <c r="X177" s="26">
        <f t="shared" ref="X177:Y177" si="1405">X175+X173+X169+X152+X150+X176</f>
        <v>1774.6499999999996</v>
      </c>
      <c r="Y177" s="26">
        <f t="shared" si="1405"/>
        <v>1431.6700000000005</v>
      </c>
      <c r="Z177" s="26">
        <f t="shared" ref="Z177:AA177" si="1406">Z175+Z173+Z169+Z152+Z150+Z176</f>
        <v>1895.9899999999996</v>
      </c>
      <c r="AA177" s="26">
        <f t="shared" si="1406"/>
        <v>1815.0199999999998</v>
      </c>
      <c r="AB177" s="27">
        <f t="shared" ref="AA177:AD177" si="1407">AB175+AB173+AB169+AB152+AB150+AB176</f>
        <v>2198.6056585813699</v>
      </c>
      <c r="AC177" s="27">
        <f t="shared" si="1407"/>
        <v>2658.2404128016651</v>
      </c>
      <c r="AD177" s="27">
        <f t="shared" si="1407"/>
        <v>3174.9667623592118</v>
      </c>
      <c r="AE177" s="27">
        <f t="shared" ref="AE177" si="1408">AE175+AE173+AE169+AE152+AE150+AE176</f>
        <v>3749.7423335601279</v>
      </c>
      <c r="AJ177" s="26">
        <f t="shared" ref="AJ177" si="1409">AJ175+AJ173+AJ169+AJ152+AJ150+AJ176</f>
        <v>0</v>
      </c>
      <c r="AK177" s="26" t="e">
        <f t="shared" ref="AK177:AL177" si="1410">AK175+AK173+AK169+AK152+AK150+AK176</f>
        <v>#DIV/0!</v>
      </c>
      <c r="AL177" s="26">
        <f t="shared" si="1410"/>
        <v>0</v>
      </c>
      <c r="AM177" s="26" t="e">
        <f t="shared" ref="AM177:AO177" si="1411">AM175+AM173+AM169+AM152+AM150+AM176</f>
        <v>#DIV/0!</v>
      </c>
      <c r="AN177" s="26">
        <f t="shared" si="1411"/>
        <v>0</v>
      </c>
      <c r="AO177" s="26" t="e">
        <f t="shared" si="1411"/>
        <v>#DIV/0!</v>
      </c>
      <c r="AP177" s="26">
        <f t="shared" ref="AP177:CE177" si="1412">AP175+AP173+AP169+AP152+AP150+AP176</f>
        <v>0</v>
      </c>
      <c r="AQ177" s="26" t="e">
        <f t="shared" si="1412"/>
        <v>#DIV/0!</v>
      </c>
      <c r="AR177" s="26">
        <f t="shared" si="1412"/>
        <v>0</v>
      </c>
      <c r="AS177" s="26" t="e">
        <f t="shared" si="1412"/>
        <v>#DIV/0!</v>
      </c>
      <c r="AT177" s="26">
        <f t="shared" si="1412"/>
        <v>0</v>
      </c>
      <c r="AU177" s="26" t="e">
        <f t="shared" si="1412"/>
        <v>#DIV/0!</v>
      </c>
      <c r="AV177" s="26">
        <f t="shared" si="1412"/>
        <v>0</v>
      </c>
      <c r="AW177" s="26" t="e">
        <f t="shared" si="1412"/>
        <v>#DIV/0!</v>
      </c>
      <c r="AX177" s="26">
        <f t="shared" si="1412"/>
        <v>0</v>
      </c>
      <c r="AY177" s="26" t="e">
        <f t="shared" si="1412"/>
        <v>#DIV/0!</v>
      </c>
      <c r="AZ177" s="26">
        <f t="shared" si="1412"/>
        <v>0</v>
      </c>
      <c r="BA177" s="26" t="e">
        <f t="shared" si="1412"/>
        <v>#DIV/0!</v>
      </c>
      <c r="BB177" s="26">
        <f t="shared" si="1412"/>
        <v>0</v>
      </c>
      <c r="BC177" s="26" t="e">
        <f t="shared" si="1412"/>
        <v>#DIV/0!</v>
      </c>
      <c r="BD177" s="26">
        <f t="shared" si="1412"/>
        <v>0</v>
      </c>
      <c r="BE177" s="26" t="e">
        <f t="shared" si="1412"/>
        <v>#DIV/0!</v>
      </c>
      <c r="BF177" s="26">
        <f t="shared" si="1412"/>
        <v>0</v>
      </c>
      <c r="BG177" s="26" t="e">
        <f t="shared" si="1412"/>
        <v>#DIV/0!</v>
      </c>
      <c r="BH177" s="26">
        <f t="shared" ref="BH177" si="1413">BH175+BH173+BH169+BH152+BH150+BH176</f>
        <v>0</v>
      </c>
      <c r="BI177" s="26">
        <f t="shared" si="1412"/>
        <v>189.82199999999992</v>
      </c>
      <c r="BJ177" s="26">
        <f t="shared" si="1412"/>
        <v>3065.2970000000009</v>
      </c>
      <c r="BK177" s="26">
        <f t="shared" si="1412"/>
        <v>3113.4370000000008</v>
      </c>
      <c r="BL177" s="26">
        <f t="shared" si="1412"/>
        <v>3234.9630000000002</v>
      </c>
      <c r="BM177" s="26">
        <f t="shared" si="1412"/>
        <v>3284.5740000000005</v>
      </c>
      <c r="BN177" s="26">
        <f t="shared" si="1412"/>
        <v>2296.639999999999</v>
      </c>
      <c r="BO177" s="26">
        <f t="shared" si="1412"/>
        <v>2313.0599999999995</v>
      </c>
      <c r="BP177" s="26">
        <f t="shared" si="1412"/>
        <v>1988.6799999999996</v>
      </c>
      <c r="BQ177" s="26">
        <f t="shared" si="1412"/>
        <v>2010.3099999999997</v>
      </c>
      <c r="BR177" s="26">
        <f t="shared" si="1412"/>
        <v>1126.1299999999994</v>
      </c>
      <c r="BS177" s="26">
        <f t="shared" si="1412"/>
        <v>1050.0099999999995</v>
      </c>
      <c r="BT177" s="26">
        <f t="shared" si="1412"/>
        <v>1112.0300000000004</v>
      </c>
      <c r="BU177" s="26">
        <f t="shared" si="1412"/>
        <v>689.62</v>
      </c>
      <c r="BV177" s="26">
        <f t="shared" si="1412"/>
        <v>1340.89</v>
      </c>
      <c r="BW177" s="26">
        <f t="shared" si="1412"/>
        <v>986.98</v>
      </c>
      <c r="BX177" s="26">
        <f t="shared" si="1412"/>
        <v>1650.32</v>
      </c>
      <c r="BY177" s="26">
        <f t="shared" si="1412"/>
        <v>1549.0800000000002</v>
      </c>
      <c r="BZ177" s="26">
        <f t="shared" si="1412"/>
        <v>1774.6500000000005</v>
      </c>
      <c r="CA177" s="26">
        <f t="shared" si="1412"/>
        <v>1679.1800000000007</v>
      </c>
      <c r="CB177" s="26">
        <f t="shared" si="1412"/>
        <v>1763.04</v>
      </c>
      <c r="CC177" s="26">
        <f t="shared" si="1412"/>
        <v>1699.3700000000001</v>
      </c>
      <c r="CD177" s="26">
        <f t="shared" si="1412"/>
        <v>1431.6700000000005</v>
      </c>
      <c r="CE177" s="26">
        <f t="shared" si="1412"/>
        <v>1435.8600000000004</v>
      </c>
      <c r="CF177" s="26">
        <f t="shared" ref="CF177:CG177" si="1414">CF175+CF173+CF169+CF152+CF150+CF176</f>
        <v>1825.2499999999995</v>
      </c>
      <c r="CG177" s="26">
        <f t="shared" si="1414"/>
        <v>1840.0799999999992</v>
      </c>
      <c r="CH177" s="26">
        <f t="shared" ref="CH177:CI177" si="1415">CH175+CH173+CH169+CH152+CH150+CH176</f>
        <v>1895.9899999999996</v>
      </c>
      <c r="CI177" s="26">
        <f t="shared" si="1415"/>
        <v>1927.9599999999998</v>
      </c>
      <c r="CJ177" s="26">
        <f t="shared" ref="CJ177:DB177" si="1416">CJ175+CJ173+CJ169+CJ152+CJ150+CJ176</f>
        <v>1654.1999999999991</v>
      </c>
      <c r="CK177" s="26">
        <f t="shared" si="1416"/>
        <v>1651.4299999999994</v>
      </c>
      <c r="CL177" s="26">
        <f t="shared" ref="CL177" si="1417">CL175+CL173+CL169+CL152+CL150+CL176</f>
        <v>1815.0199999999995</v>
      </c>
      <c r="CM177" s="27">
        <f t="shared" si="1416"/>
        <v>1899.305193614721</v>
      </c>
      <c r="CN177" s="27">
        <f t="shared" si="1416"/>
        <v>1982.1549416992395</v>
      </c>
      <c r="CO177" s="27">
        <f t="shared" si="1416"/>
        <v>2081.211085065559</v>
      </c>
      <c r="CP177" s="27">
        <f t="shared" si="1416"/>
        <v>2198.6056585813699</v>
      </c>
      <c r="CQ177" s="27">
        <f t="shared" si="1416"/>
        <v>2314.1251730118524</v>
      </c>
      <c r="CR177" s="27">
        <f t="shared" si="1416"/>
        <v>2420.4712714212087</v>
      </c>
      <c r="CS177" s="27">
        <f t="shared" si="1416"/>
        <v>2533.3193531624465</v>
      </c>
      <c r="CT177" s="27">
        <f t="shared" si="1416"/>
        <v>2658.2404128016651</v>
      </c>
      <c r="CU177" s="27">
        <f t="shared" si="1416"/>
        <v>2792.8013591992526</v>
      </c>
      <c r="CV177" s="27">
        <f t="shared" si="1416"/>
        <v>2912.6113748306607</v>
      </c>
      <c r="CW177" s="27">
        <f t="shared" si="1416"/>
        <v>3037.1427155074498</v>
      </c>
      <c r="CX177" s="27">
        <f t="shared" si="1416"/>
        <v>3174.9667623592118</v>
      </c>
      <c r="CY177" s="27">
        <f t="shared" si="1416"/>
        <v>3325.7990618252134</v>
      </c>
      <c r="CZ177" s="27">
        <f t="shared" si="1416"/>
        <v>3458.5081527216653</v>
      </c>
      <c r="DA177" s="27">
        <f t="shared" si="1416"/>
        <v>3596.3310378507531</v>
      </c>
      <c r="DB177" s="27">
        <f t="shared" si="1416"/>
        <v>3749.7423335601279</v>
      </c>
      <c r="DE177" s="121"/>
      <c r="DF177" s="26">
        <v>1738.7068845868498</v>
      </c>
    </row>
    <row r="178" spans="1:110" s="23" customFormat="1" x14ac:dyDescent="0.2">
      <c r="A178" s="28" t="s">
        <v>439</v>
      </c>
      <c r="B178" s="23">
        <f t="shared" ref="B178:W178" si="1418">B177-B141</f>
        <v>0</v>
      </c>
      <c r="C178" s="23">
        <f t="shared" si="1418"/>
        <v>0</v>
      </c>
      <c r="D178" s="23">
        <f t="shared" si="1418"/>
        <v>0</v>
      </c>
      <c r="E178" s="23">
        <f t="shared" si="1418"/>
        <v>0</v>
      </c>
      <c r="F178" s="23">
        <f t="shared" si="1418"/>
        <v>0</v>
      </c>
      <c r="G178" s="23">
        <f t="shared" si="1418"/>
        <v>0</v>
      </c>
      <c r="H178" s="23">
        <f t="shared" si="1418"/>
        <v>0</v>
      </c>
      <c r="I178" s="23">
        <f t="shared" si="1418"/>
        <v>0</v>
      </c>
      <c r="J178" s="23">
        <f t="shared" si="1418"/>
        <v>0</v>
      </c>
      <c r="K178" s="23">
        <f t="shared" si="1418"/>
        <v>0</v>
      </c>
      <c r="L178" s="23">
        <f t="shared" si="1418"/>
        <v>0</v>
      </c>
      <c r="M178" s="23">
        <f t="shared" si="1418"/>
        <v>0</v>
      </c>
      <c r="N178" s="23">
        <f t="shared" si="1418"/>
        <v>0</v>
      </c>
      <c r="O178" s="23">
        <f t="shared" si="1418"/>
        <v>0</v>
      </c>
      <c r="P178" s="23">
        <f t="shared" si="1418"/>
        <v>0</v>
      </c>
      <c r="Q178" s="23">
        <f t="shared" si="1418"/>
        <v>0</v>
      </c>
      <c r="R178" s="23">
        <f t="shared" si="1418"/>
        <v>0</v>
      </c>
      <c r="S178" s="23">
        <f t="shared" si="1418"/>
        <v>-6.2527760746888816E-13</v>
      </c>
      <c r="T178" s="23">
        <f t="shared" si="1418"/>
        <v>0</v>
      </c>
      <c r="U178" s="23">
        <f t="shared" si="1418"/>
        <v>0</v>
      </c>
      <c r="V178" s="23">
        <f t="shared" si="1418"/>
        <v>0</v>
      </c>
      <c r="W178" s="23">
        <f t="shared" si="1418"/>
        <v>0</v>
      </c>
      <c r="X178" s="23">
        <f t="shared" ref="X178:Y178" si="1419">X177-X141</f>
        <v>0</v>
      </c>
      <c r="Y178" s="23">
        <f t="shared" si="1419"/>
        <v>0</v>
      </c>
      <c r="Z178" s="23">
        <f t="shared" ref="Z178:AA178" si="1420">Z177-Z141</f>
        <v>0</v>
      </c>
      <c r="AA178" s="23">
        <f t="shared" si="1420"/>
        <v>0</v>
      </c>
      <c r="AB178" s="24">
        <f t="shared" ref="AA178:AD178" si="1421">AB177-AB141</f>
        <v>0</v>
      </c>
      <c r="AC178" s="24">
        <f t="shared" si="1421"/>
        <v>0</v>
      </c>
      <c r="AD178" s="24">
        <f t="shared" si="1421"/>
        <v>0</v>
      </c>
      <c r="AE178" s="24">
        <f t="shared" ref="AE178" si="1422">AE177-AE141</f>
        <v>0</v>
      </c>
      <c r="AJ178" s="23">
        <f t="shared" ref="AJ178" si="1423">AJ177-AJ141</f>
        <v>0</v>
      </c>
      <c r="AK178" s="23" t="e">
        <f t="shared" ref="AK178" si="1424">AK177-AK141</f>
        <v>#DIV/0!</v>
      </c>
      <c r="AL178" s="23">
        <f t="shared" ref="AL178:AM178" si="1425">AL177-AL141</f>
        <v>0</v>
      </c>
      <c r="AM178" s="23" t="e">
        <f t="shared" si="1425"/>
        <v>#DIV/0!</v>
      </c>
      <c r="AN178" s="23">
        <f t="shared" ref="AN178:AO178" si="1426">AN177-AN141</f>
        <v>0</v>
      </c>
      <c r="AO178" s="23" t="e">
        <f t="shared" si="1426"/>
        <v>#DIV/0!</v>
      </c>
      <c r="AP178" s="23">
        <f t="shared" ref="AP178:CE178" si="1427">AP177-AP141</f>
        <v>0</v>
      </c>
      <c r="AQ178" s="23" t="e">
        <f t="shared" si="1427"/>
        <v>#DIV/0!</v>
      </c>
      <c r="AR178" s="23">
        <f t="shared" si="1427"/>
        <v>0</v>
      </c>
      <c r="AS178" s="23" t="e">
        <f t="shared" si="1427"/>
        <v>#DIV/0!</v>
      </c>
      <c r="AT178" s="23">
        <f t="shared" si="1427"/>
        <v>0</v>
      </c>
      <c r="AU178" s="23" t="e">
        <f t="shared" si="1427"/>
        <v>#DIV/0!</v>
      </c>
      <c r="AV178" s="23">
        <f t="shared" si="1427"/>
        <v>0</v>
      </c>
      <c r="AW178" s="23" t="e">
        <f t="shared" si="1427"/>
        <v>#DIV/0!</v>
      </c>
      <c r="AX178" s="23">
        <f t="shared" si="1427"/>
        <v>0</v>
      </c>
      <c r="AY178" s="23" t="e">
        <f t="shared" si="1427"/>
        <v>#DIV/0!</v>
      </c>
      <c r="AZ178" s="23">
        <f t="shared" si="1427"/>
        <v>0</v>
      </c>
      <c r="BA178" s="23" t="e">
        <f t="shared" si="1427"/>
        <v>#DIV/0!</v>
      </c>
      <c r="BB178" s="23">
        <f t="shared" si="1427"/>
        <v>0</v>
      </c>
      <c r="BC178" s="23" t="e">
        <f t="shared" si="1427"/>
        <v>#DIV/0!</v>
      </c>
      <c r="BD178" s="23">
        <f t="shared" si="1427"/>
        <v>0</v>
      </c>
      <c r="BE178" s="23" t="e">
        <f t="shared" si="1427"/>
        <v>#DIV/0!</v>
      </c>
      <c r="BF178" s="23">
        <f t="shared" si="1427"/>
        <v>0</v>
      </c>
      <c r="BG178" s="23" t="e">
        <f t="shared" si="1427"/>
        <v>#DIV/0!</v>
      </c>
      <c r="BH178" s="23">
        <f t="shared" ref="BH178" si="1428">BH177-BH141</f>
        <v>0</v>
      </c>
      <c r="BI178" s="23">
        <f t="shared" si="1427"/>
        <v>0</v>
      </c>
      <c r="BJ178" s="23">
        <f t="shared" si="1427"/>
        <v>0</v>
      </c>
      <c r="BK178" s="23">
        <f t="shared" si="1427"/>
        <v>0</v>
      </c>
      <c r="BL178" s="23">
        <f t="shared" si="1427"/>
        <v>0</v>
      </c>
      <c r="BM178" s="23">
        <f t="shared" si="1427"/>
        <v>0</v>
      </c>
      <c r="BN178" s="23">
        <f t="shared" si="1427"/>
        <v>0</v>
      </c>
      <c r="BO178" s="23">
        <f t="shared" si="1427"/>
        <v>0</v>
      </c>
      <c r="BP178" s="23">
        <f t="shared" si="1427"/>
        <v>0</v>
      </c>
      <c r="BQ178" s="23">
        <f t="shared" si="1427"/>
        <v>0</v>
      </c>
      <c r="BR178" s="23">
        <f t="shared" si="1427"/>
        <v>0</v>
      </c>
      <c r="BS178" s="23">
        <f t="shared" si="1427"/>
        <v>0</v>
      </c>
      <c r="BT178" s="23">
        <f t="shared" si="1427"/>
        <v>0</v>
      </c>
      <c r="BU178" s="23">
        <f t="shared" si="1427"/>
        <v>0</v>
      </c>
      <c r="BV178" s="23">
        <f t="shared" si="1427"/>
        <v>0</v>
      </c>
      <c r="BW178" s="23">
        <f t="shared" si="1427"/>
        <v>0</v>
      </c>
      <c r="BX178" s="23">
        <f t="shared" si="1427"/>
        <v>0</v>
      </c>
      <c r="BY178" s="23">
        <f t="shared" si="1427"/>
        <v>0</v>
      </c>
      <c r="BZ178" s="23">
        <f t="shared" si="1427"/>
        <v>0</v>
      </c>
      <c r="CA178" s="23">
        <f t="shared" si="1427"/>
        <v>0</v>
      </c>
      <c r="CB178" s="23">
        <f t="shared" si="1427"/>
        <v>0</v>
      </c>
      <c r="CC178" s="23">
        <f t="shared" si="1427"/>
        <v>0</v>
      </c>
      <c r="CD178" s="23">
        <f t="shared" si="1427"/>
        <v>0</v>
      </c>
      <c r="CE178" s="23">
        <f t="shared" si="1427"/>
        <v>0</v>
      </c>
      <c r="CF178" s="23">
        <f t="shared" ref="CF178:CG178" si="1429">CF177-CF141</f>
        <v>0</v>
      </c>
      <c r="CG178" s="23">
        <f t="shared" si="1429"/>
        <v>0</v>
      </c>
      <c r="CH178" s="23">
        <f t="shared" ref="CH178:CI178" si="1430">CH177-CH141</f>
        <v>0</v>
      </c>
      <c r="CI178" s="23">
        <f t="shared" si="1430"/>
        <v>0</v>
      </c>
      <c r="CJ178" s="23">
        <f t="shared" ref="CJ178:DB178" si="1431">CJ177-CJ141</f>
        <v>0</v>
      </c>
      <c r="CK178" s="23">
        <f t="shared" si="1431"/>
        <v>0</v>
      </c>
      <c r="CL178" s="23">
        <f t="shared" ref="CL178" si="1432">CL177-CL141</f>
        <v>0</v>
      </c>
      <c r="CM178" s="24">
        <f t="shared" si="1431"/>
        <v>0</v>
      </c>
      <c r="CN178" s="24">
        <f t="shared" si="1431"/>
        <v>0</v>
      </c>
      <c r="CO178" s="24">
        <f t="shared" si="1431"/>
        <v>0</v>
      </c>
      <c r="CP178" s="24">
        <f t="shared" si="1431"/>
        <v>0</v>
      </c>
      <c r="CQ178" s="24">
        <f t="shared" si="1431"/>
        <v>0</v>
      </c>
      <c r="CR178" s="24">
        <f t="shared" si="1431"/>
        <v>0</v>
      </c>
      <c r="CS178" s="24">
        <f t="shared" si="1431"/>
        <v>0</v>
      </c>
      <c r="CT178" s="24">
        <f t="shared" si="1431"/>
        <v>0</v>
      </c>
      <c r="CU178" s="24">
        <f t="shared" si="1431"/>
        <v>0</v>
      </c>
      <c r="CV178" s="24">
        <f t="shared" si="1431"/>
        <v>0</v>
      </c>
      <c r="CW178" s="24">
        <f t="shared" si="1431"/>
        <v>0</v>
      </c>
      <c r="CX178" s="24">
        <f t="shared" si="1431"/>
        <v>0</v>
      </c>
      <c r="CY178" s="24">
        <f t="shared" si="1431"/>
        <v>0</v>
      </c>
      <c r="CZ178" s="24">
        <f t="shared" si="1431"/>
        <v>0</v>
      </c>
      <c r="DA178" s="24">
        <f t="shared" si="1431"/>
        <v>0</v>
      </c>
      <c r="DB178" s="24">
        <f t="shared" si="1431"/>
        <v>0</v>
      </c>
      <c r="DE178" s="123"/>
      <c r="DF178" s="23">
        <v>0</v>
      </c>
    </row>
    <row r="179" spans="1:110" s="23" customFormat="1" x14ac:dyDescent="0.2">
      <c r="A179" s="28"/>
      <c r="AB179" s="24"/>
      <c r="AC179" s="24"/>
      <c r="AD179" s="24"/>
      <c r="AE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E179" s="123"/>
    </row>
    <row r="180" spans="1:110" s="22" customFormat="1" x14ac:dyDescent="0.2">
      <c r="A180" s="22" t="s">
        <v>80</v>
      </c>
      <c r="B180" s="22">
        <f t="shared" ref="B180:W180" si="1433">B140-B173</f>
        <v>0</v>
      </c>
      <c r="C180" s="22">
        <f t="shared" si="1433"/>
        <v>0</v>
      </c>
      <c r="D180" s="22">
        <f t="shared" si="1433"/>
        <v>0</v>
      </c>
      <c r="E180" s="22">
        <f t="shared" si="1433"/>
        <v>0</v>
      </c>
      <c r="F180" s="22">
        <f t="shared" si="1433"/>
        <v>0</v>
      </c>
      <c r="G180" s="22">
        <f t="shared" si="1433"/>
        <v>0</v>
      </c>
      <c r="H180" s="22">
        <f t="shared" si="1433"/>
        <v>0</v>
      </c>
      <c r="I180" s="22">
        <f t="shared" si="1433"/>
        <v>0</v>
      </c>
      <c r="J180" s="22">
        <f t="shared" si="1433"/>
        <v>0</v>
      </c>
      <c r="K180" s="22">
        <f t="shared" si="1433"/>
        <v>0</v>
      </c>
      <c r="L180" s="22">
        <f t="shared" si="1433"/>
        <v>0</v>
      </c>
      <c r="M180" s="22">
        <f t="shared" si="1433"/>
        <v>0</v>
      </c>
      <c r="N180" s="22">
        <f t="shared" si="1433"/>
        <v>0</v>
      </c>
      <c r="O180" s="22">
        <f t="shared" si="1433"/>
        <v>0</v>
      </c>
      <c r="P180" s="22">
        <f t="shared" si="1433"/>
        <v>0</v>
      </c>
      <c r="Q180" s="22">
        <f t="shared" si="1433"/>
        <v>0</v>
      </c>
      <c r="R180" s="22">
        <f t="shared" si="1433"/>
        <v>0</v>
      </c>
      <c r="S180" s="22">
        <f t="shared" si="1433"/>
        <v>79.844999999999999</v>
      </c>
      <c r="T180" s="22">
        <f t="shared" si="1433"/>
        <v>1773.0659999999998</v>
      </c>
      <c r="U180" s="22">
        <f t="shared" si="1433"/>
        <v>724.23</v>
      </c>
      <c r="V180" s="22">
        <f t="shared" si="1433"/>
        <v>177.40000000000003</v>
      </c>
      <c r="W180" s="22">
        <f t="shared" si="1433"/>
        <v>-68.980000000000018</v>
      </c>
      <c r="X180" s="22">
        <f t="shared" ref="X180:Y180" si="1434">X140-X173</f>
        <v>1919.77</v>
      </c>
      <c r="Y180" s="22">
        <f t="shared" si="1434"/>
        <v>137.47000000000003</v>
      </c>
      <c r="Z180" s="22">
        <f t="shared" ref="Z180:AA180" si="1435">Z140-Z173</f>
        <v>190.51999999999998</v>
      </c>
      <c r="AA180" s="22">
        <f t="shared" si="1435"/>
        <v>629.39000000000021</v>
      </c>
      <c r="AB180" s="21">
        <f t="shared" ref="AA180:AD180" si="1436">AB140-AB173</f>
        <v>611.84965302665796</v>
      </c>
      <c r="AC180" s="21">
        <f t="shared" si="1436"/>
        <v>400.22559166821372</v>
      </c>
      <c r="AD180" s="21">
        <f t="shared" si="1436"/>
        <v>124.0670054927723</v>
      </c>
      <c r="AE180" s="21">
        <f t="shared" ref="AE180" si="1437">AE140-AE173</f>
        <v>-177.25396103635717</v>
      </c>
      <c r="AJ180" s="22">
        <f t="shared" ref="AJ180:AM180" si="1438">AJ140-AJ173</f>
        <v>0</v>
      </c>
      <c r="AK180" s="22" t="e">
        <f t="shared" si="1438"/>
        <v>#DIV/0!</v>
      </c>
      <c r="AL180" s="22">
        <f t="shared" si="1438"/>
        <v>0</v>
      </c>
      <c r="AM180" s="22" t="e">
        <f t="shared" si="1438"/>
        <v>#DIV/0!</v>
      </c>
      <c r="AN180" s="22">
        <f t="shared" ref="AN180:AO180" si="1439">AN140-AN173</f>
        <v>0</v>
      </c>
      <c r="AO180" s="22" t="e">
        <f t="shared" si="1439"/>
        <v>#DIV/0!</v>
      </c>
      <c r="AP180" s="22">
        <f t="shared" ref="AP180:CE180" si="1440">AP140-AP173</f>
        <v>0</v>
      </c>
      <c r="AQ180" s="22" t="e">
        <f t="shared" si="1440"/>
        <v>#DIV/0!</v>
      </c>
      <c r="AR180" s="22">
        <f t="shared" si="1440"/>
        <v>0</v>
      </c>
      <c r="AS180" s="22" t="e">
        <f t="shared" si="1440"/>
        <v>#DIV/0!</v>
      </c>
      <c r="AT180" s="22">
        <f t="shared" si="1440"/>
        <v>0</v>
      </c>
      <c r="AU180" s="22" t="e">
        <f t="shared" si="1440"/>
        <v>#DIV/0!</v>
      </c>
      <c r="AV180" s="22">
        <f t="shared" si="1440"/>
        <v>0</v>
      </c>
      <c r="AW180" s="22" t="e">
        <f t="shared" si="1440"/>
        <v>#DIV/0!</v>
      </c>
      <c r="AX180" s="22">
        <f t="shared" si="1440"/>
        <v>0</v>
      </c>
      <c r="AY180" s="22" t="e">
        <f t="shared" si="1440"/>
        <v>#DIV/0!</v>
      </c>
      <c r="AZ180" s="22">
        <f t="shared" si="1440"/>
        <v>0</v>
      </c>
      <c r="BA180" s="22" t="e">
        <f t="shared" si="1440"/>
        <v>#DIV/0!</v>
      </c>
      <c r="BB180" s="22">
        <f t="shared" si="1440"/>
        <v>0</v>
      </c>
      <c r="BC180" s="22" t="e">
        <f t="shared" si="1440"/>
        <v>#DIV/0!</v>
      </c>
      <c r="BD180" s="22">
        <f t="shared" si="1440"/>
        <v>0</v>
      </c>
      <c r="BE180" s="22" t="e">
        <f t="shared" si="1440"/>
        <v>#DIV/0!</v>
      </c>
      <c r="BF180" s="22">
        <f t="shared" si="1440"/>
        <v>0</v>
      </c>
      <c r="BG180" s="22" t="e">
        <f t="shared" si="1440"/>
        <v>#DIV/0!</v>
      </c>
      <c r="BH180" s="22">
        <f t="shared" si="1440"/>
        <v>0</v>
      </c>
      <c r="BI180" s="22">
        <f t="shared" si="1440"/>
        <v>-189.82199999999992</v>
      </c>
      <c r="BJ180" s="22">
        <f t="shared" si="1440"/>
        <v>1773.0659999999998</v>
      </c>
      <c r="BK180" s="22">
        <f t="shared" si="1440"/>
        <v>1724.5468876824302</v>
      </c>
      <c r="BL180" s="22">
        <f t="shared" si="1440"/>
        <v>1806.2979999999998</v>
      </c>
      <c r="BM180" s="22">
        <f t="shared" si="1440"/>
        <v>1733.7904452188413</v>
      </c>
      <c r="BN180" s="22">
        <f t="shared" si="1440"/>
        <v>724.23</v>
      </c>
      <c r="BO180" s="22">
        <f t="shared" si="1440"/>
        <v>792.75399945647757</v>
      </c>
      <c r="BP180" s="22">
        <f t="shared" si="1440"/>
        <v>429.15999999999997</v>
      </c>
      <c r="BQ180" s="22">
        <f t="shared" si="1440"/>
        <v>412.28969415619906</v>
      </c>
      <c r="BR180" s="22">
        <f t="shared" si="1440"/>
        <v>177.40000000000003</v>
      </c>
      <c r="BS180" s="22">
        <f t="shared" si="1440"/>
        <v>378.63334940712679</v>
      </c>
      <c r="BT180" s="22">
        <f t="shared" si="1440"/>
        <v>246.12</v>
      </c>
      <c r="BU180" s="22">
        <f t="shared" si="1440"/>
        <v>651.51426718204675</v>
      </c>
      <c r="BV180" s="22">
        <f t="shared" si="1440"/>
        <v>-68.980000000000018</v>
      </c>
      <c r="BW180" s="22">
        <f t="shared" si="1440"/>
        <v>206.89437074591757</v>
      </c>
      <c r="BX180" s="22">
        <f t="shared" si="1440"/>
        <v>834.08999999999992</v>
      </c>
      <c r="BY180" s="22">
        <f t="shared" si="1440"/>
        <v>757.39006140266702</v>
      </c>
      <c r="BZ180" s="22">
        <f t="shared" si="1440"/>
        <v>1919.77</v>
      </c>
      <c r="CA180" s="22">
        <f t="shared" si="1440"/>
        <v>2699.4822910776875</v>
      </c>
      <c r="CB180" s="22">
        <f t="shared" si="1440"/>
        <v>2079.0400000000004</v>
      </c>
      <c r="CC180" s="22">
        <f t="shared" si="1440"/>
        <v>2290.772051822204</v>
      </c>
      <c r="CD180" s="22">
        <f t="shared" si="1440"/>
        <v>137.46999999999997</v>
      </c>
      <c r="CE180" s="22">
        <f t="shared" si="1440"/>
        <v>283.94817811393739</v>
      </c>
      <c r="CF180" s="22">
        <f t="shared" ref="CF180:CG180" si="1441">CF140-CF173</f>
        <v>314.87999999999988</v>
      </c>
      <c r="CG180" s="22">
        <f t="shared" si="1441"/>
        <v>-182.42284311346998</v>
      </c>
      <c r="CH180" s="22">
        <f t="shared" ref="CH180:CI180" si="1442">CH140-CH173</f>
        <v>190.51999999999998</v>
      </c>
      <c r="CI180" s="22">
        <f t="shared" si="1442"/>
        <v>-179.39793919280987</v>
      </c>
      <c r="CJ180" s="22">
        <f t="shared" ref="CJ180:DB180" si="1443">CJ140-CJ173</f>
        <v>753.84999999999991</v>
      </c>
      <c r="CK180" s="22">
        <f t="shared" si="1443"/>
        <v>981.09753231156265</v>
      </c>
      <c r="CL180" s="22">
        <f t="shared" ref="CL180" si="1444">CL140-CL173</f>
        <v>629.39</v>
      </c>
      <c r="CM180" s="21">
        <f t="shared" si="1443"/>
        <v>845.05903071155171</v>
      </c>
      <c r="CN180" s="21">
        <f t="shared" si="1443"/>
        <v>609.44604567054012</v>
      </c>
      <c r="CO180" s="21">
        <f t="shared" si="1443"/>
        <v>607.13066377534983</v>
      </c>
      <c r="CP180" s="21">
        <f t="shared" si="1443"/>
        <v>611.84965302665796</v>
      </c>
      <c r="CQ180" s="21">
        <f t="shared" si="1443"/>
        <v>679.89053533120887</v>
      </c>
      <c r="CR180" s="21">
        <f t="shared" si="1443"/>
        <v>367.38059207374727</v>
      </c>
      <c r="CS180" s="21">
        <f t="shared" si="1443"/>
        <v>356.26758192082082</v>
      </c>
      <c r="CT180" s="21">
        <f t="shared" si="1443"/>
        <v>400.22559166821372</v>
      </c>
      <c r="CU180" s="21">
        <f t="shared" si="1443"/>
        <v>433.08649714749072</v>
      </c>
      <c r="CV180" s="21">
        <f t="shared" si="1443"/>
        <v>74.04335121217423</v>
      </c>
      <c r="CW180" s="21">
        <f t="shared" si="1443"/>
        <v>66.855782239219479</v>
      </c>
      <c r="CX180" s="21">
        <f t="shared" si="1443"/>
        <v>124.0670054927723</v>
      </c>
      <c r="CY180" s="21">
        <f t="shared" si="1443"/>
        <v>156.45329594418217</v>
      </c>
      <c r="CZ180" s="21">
        <f t="shared" si="1443"/>
        <v>-249.51420803176416</v>
      </c>
      <c r="DA180" s="21">
        <f t="shared" si="1443"/>
        <v>-250.04708959999084</v>
      </c>
      <c r="DB180" s="21">
        <f t="shared" si="1443"/>
        <v>-177.25396103635717</v>
      </c>
      <c r="DE180" s="126"/>
      <c r="DF180" s="22">
        <v>2381.8771739193771</v>
      </c>
    </row>
    <row r="181" spans="1:110" x14ac:dyDescent="0.2">
      <c r="AA181" s="2"/>
      <c r="CE181" s="111"/>
      <c r="CG181" s="111"/>
      <c r="CL181" s="2"/>
    </row>
    <row r="182" spans="1:110" s="49" customFormat="1" x14ac:dyDescent="0.2">
      <c r="A182" s="49" t="s">
        <v>81</v>
      </c>
      <c r="B182" s="49">
        <f>'Annual Raw'!C85</f>
        <v>0</v>
      </c>
      <c r="C182" s="49">
        <f>'Annual Raw'!D85</f>
        <v>0</v>
      </c>
      <c r="D182" s="49">
        <f>'Annual Raw'!E85</f>
        <v>0</v>
      </c>
      <c r="E182" s="49">
        <f>'Annual Raw'!F85</f>
        <v>0</v>
      </c>
      <c r="F182" s="49">
        <f>'Annual Raw'!G85</f>
        <v>0</v>
      </c>
      <c r="G182" s="49">
        <f>'Annual Raw'!H85</f>
        <v>0</v>
      </c>
      <c r="H182" s="49">
        <f>'Annual Raw'!I85</f>
        <v>0</v>
      </c>
      <c r="I182" s="49">
        <f>'Annual Raw'!J85</f>
        <v>0</v>
      </c>
      <c r="J182" s="49">
        <f>'Annual Raw'!K85</f>
        <v>0</v>
      </c>
      <c r="K182" s="49">
        <f>'Annual Raw'!L85</f>
        <v>0</v>
      </c>
      <c r="L182" s="49">
        <f>'Annual Raw'!M85</f>
        <v>0</v>
      </c>
      <c r="M182" s="49">
        <f>'Annual Raw'!N85</f>
        <v>0</v>
      </c>
      <c r="N182" s="49">
        <f>'Annual Raw'!O85</f>
        <v>0</v>
      </c>
      <c r="O182" s="49">
        <f>'Annual Raw'!P85</f>
        <v>0</v>
      </c>
      <c r="P182" s="49">
        <f>'Annual Raw'!Q85</f>
        <v>0</v>
      </c>
      <c r="Q182" s="49">
        <f>'Annual Raw'!R85</f>
        <v>0</v>
      </c>
      <c r="R182" s="49">
        <f>'Annual Raw'!S85</f>
        <v>0</v>
      </c>
      <c r="S182" s="49">
        <f>'Annual Raw'!T85</f>
        <v>206.154</v>
      </c>
      <c r="T182" s="49">
        <f>'Annual Raw'!U85</f>
        <v>0.17199999999999999</v>
      </c>
      <c r="U182" s="49">
        <f>'Annual Raw'!V85</f>
        <v>140.28</v>
      </c>
      <c r="V182" s="49">
        <f>'Annual Raw'!W85</f>
        <v>278.25</v>
      </c>
      <c r="W182" s="49">
        <f>'Annual Raw'!X85</f>
        <v>1194.52</v>
      </c>
      <c r="X182" s="49">
        <f>'Annual Raw'!Y85</f>
        <v>1208.29</v>
      </c>
      <c r="Y182" s="49">
        <f>'Annual Raw'!Z85</f>
        <v>1050.17</v>
      </c>
      <c r="Z182" s="49">
        <f>'Annual Raw'!AA85</f>
        <v>859.53</v>
      </c>
      <c r="AA182" s="49">
        <f>'Annual Raw'!AB85</f>
        <v>522.29</v>
      </c>
      <c r="AB182" s="50"/>
      <c r="AC182" s="50"/>
      <c r="AD182" s="50"/>
      <c r="AE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E182" s="138"/>
    </row>
    <row r="183" spans="1:110" s="29" customFormat="1" x14ac:dyDescent="0.2">
      <c r="A183" s="29" t="s">
        <v>82</v>
      </c>
      <c r="B183" s="29">
        <f>'Annual Raw'!C95</f>
        <v>0</v>
      </c>
      <c r="C183" s="29">
        <f>'Annual Raw'!D95</f>
        <v>0</v>
      </c>
      <c r="D183" s="29">
        <f>'Annual Raw'!E95</f>
        <v>0</v>
      </c>
      <c r="E183" s="29">
        <f>'Annual Raw'!F95</f>
        <v>0</v>
      </c>
      <c r="F183" s="29">
        <f>'Annual Raw'!G95</f>
        <v>0</v>
      </c>
      <c r="G183" s="29">
        <f>'Annual Raw'!H95</f>
        <v>0</v>
      </c>
      <c r="H183" s="29">
        <f>'Annual Raw'!I95</f>
        <v>0</v>
      </c>
      <c r="I183" s="29">
        <f>'Annual Raw'!J95</f>
        <v>0</v>
      </c>
      <c r="J183" s="29">
        <f>'Annual Raw'!K95</f>
        <v>0</v>
      </c>
      <c r="K183" s="29">
        <f>'Annual Raw'!L95</f>
        <v>0</v>
      </c>
      <c r="L183" s="29">
        <f>'Annual Raw'!M95</f>
        <v>0</v>
      </c>
      <c r="M183" s="29">
        <f>'Annual Raw'!N95</f>
        <v>0</v>
      </c>
      <c r="N183" s="29">
        <f>'Annual Raw'!O95</f>
        <v>0</v>
      </c>
      <c r="O183" s="29">
        <f>'Annual Raw'!P95</f>
        <v>0</v>
      </c>
      <c r="P183" s="29">
        <f>'Annual Raw'!Q95</f>
        <v>0</v>
      </c>
      <c r="Q183" s="29">
        <f>'Annual Raw'!R95</f>
        <v>0</v>
      </c>
      <c r="R183" s="29">
        <f>'Annual Raw'!S95</f>
        <v>0</v>
      </c>
      <c r="S183" s="29">
        <f>'Annual Raw'!T95</f>
        <v>75.873000000000005</v>
      </c>
      <c r="T183" s="29">
        <f>'Annual Raw'!U95</f>
        <v>0</v>
      </c>
      <c r="U183" s="29">
        <f>'Annual Raw'!V95</f>
        <v>0</v>
      </c>
      <c r="V183" s="29">
        <f>'Annual Raw'!W95</f>
        <v>0</v>
      </c>
      <c r="W183" s="29">
        <f>'Annual Raw'!X95</f>
        <v>0</v>
      </c>
      <c r="X183" s="29">
        <f>'Annual Raw'!Y95</f>
        <v>0</v>
      </c>
      <c r="Y183" s="29">
        <f>'Annual Raw'!Z95</f>
        <v>0</v>
      </c>
      <c r="Z183" s="29">
        <f>'Annual Raw'!AA95</f>
        <v>0</v>
      </c>
      <c r="AA183" s="29">
        <f>'Annual Raw'!AB95</f>
        <v>0</v>
      </c>
      <c r="AB183" s="30"/>
      <c r="AC183" s="30"/>
      <c r="AD183" s="30"/>
      <c r="AE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</row>
    <row r="184" spans="1:110" s="29" customFormat="1" x14ac:dyDescent="0.2">
      <c r="A184" s="29" t="s">
        <v>83</v>
      </c>
      <c r="B184" s="29">
        <f>'Annual Raw'!C93</f>
        <v>0</v>
      </c>
      <c r="C184" s="29">
        <f>'Annual Raw'!D93</f>
        <v>0</v>
      </c>
      <c r="D184" s="29">
        <f>'Annual Raw'!E93</f>
        <v>0</v>
      </c>
      <c r="E184" s="29">
        <f>'Annual Raw'!F93</f>
        <v>0</v>
      </c>
      <c r="F184" s="29">
        <f>'Annual Raw'!G93</f>
        <v>0</v>
      </c>
      <c r="G184" s="29">
        <f>'Annual Raw'!H93</f>
        <v>0</v>
      </c>
      <c r="H184" s="29">
        <f>'Annual Raw'!I93</f>
        <v>0</v>
      </c>
      <c r="I184" s="29">
        <f>'Annual Raw'!J93</f>
        <v>0</v>
      </c>
      <c r="J184" s="29">
        <f>'Annual Raw'!K93</f>
        <v>0</v>
      </c>
      <c r="K184" s="29">
        <f>'Annual Raw'!L93</f>
        <v>0</v>
      </c>
      <c r="L184" s="29">
        <f>'Annual Raw'!M93</f>
        <v>0</v>
      </c>
      <c r="M184" s="29">
        <f>'Annual Raw'!N93</f>
        <v>0</v>
      </c>
      <c r="N184" s="29">
        <f>'Annual Raw'!O93</f>
        <v>0</v>
      </c>
      <c r="O184" s="29">
        <f>'Annual Raw'!P93</f>
        <v>0</v>
      </c>
      <c r="P184" s="29">
        <f>'Annual Raw'!Q93</f>
        <v>0</v>
      </c>
      <c r="Q184" s="29">
        <f>'Annual Raw'!R93</f>
        <v>0</v>
      </c>
      <c r="R184" s="29">
        <f>'Annual Raw'!S93</f>
        <v>0</v>
      </c>
      <c r="S184" s="29">
        <f>'Annual Raw'!T93</f>
        <v>130.28100000000001</v>
      </c>
      <c r="T184" s="29">
        <f>'Annual Raw'!U93</f>
        <v>0.17199999999999999</v>
      </c>
      <c r="U184" s="29">
        <f>'Annual Raw'!V93</f>
        <v>140.28</v>
      </c>
      <c r="V184" s="29">
        <f>'Annual Raw'!W93</f>
        <v>278.25</v>
      </c>
      <c r="W184" s="29">
        <f>'Annual Raw'!X93</f>
        <v>1194.52</v>
      </c>
      <c r="X184" s="29">
        <f>'Annual Raw'!Y93</f>
        <v>1208.29</v>
      </c>
      <c r="Y184" s="29">
        <f>'Annual Raw'!Z93</f>
        <v>1050.17</v>
      </c>
      <c r="Z184" s="29">
        <f>'Annual Raw'!AA93</f>
        <v>859.53</v>
      </c>
      <c r="AA184" s="29">
        <f>'Annual Raw'!AB93</f>
        <v>522.29</v>
      </c>
      <c r="AB184" s="30"/>
      <c r="AC184" s="30"/>
      <c r="AD184" s="30"/>
      <c r="AE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</row>
    <row r="185" spans="1:110" s="29" customFormat="1" x14ac:dyDescent="0.2">
      <c r="A185" s="29" t="s">
        <v>84</v>
      </c>
      <c r="B185" s="29">
        <f t="shared" ref="B185:V185" si="1445">B182-B183-B184</f>
        <v>0</v>
      </c>
      <c r="C185" s="29">
        <f t="shared" si="1445"/>
        <v>0</v>
      </c>
      <c r="D185" s="29">
        <f t="shared" si="1445"/>
        <v>0</v>
      </c>
      <c r="E185" s="29">
        <f t="shared" si="1445"/>
        <v>0</v>
      </c>
      <c r="F185" s="29">
        <f t="shared" si="1445"/>
        <v>0</v>
      </c>
      <c r="G185" s="29">
        <f t="shared" si="1445"/>
        <v>0</v>
      </c>
      <c r="H185" s="29">
        <f t="shared" si="1445"/>
        <v>0</v>
      </c>
      <c r="I185" s="29">
        <f t="shared" si="1445"/>
        <v>0</v>
      </c>
      <c r="J185" s="29">
        <f t="shared" si="1445"/>
        <v>0</v>
      </c>
      <c r="K185" s="29">
        <f t="shared" si="1445"/>
        <v>0</v>
      </c>
      <c r="L185" s="29">
        <f t="shared" si="1445"/>
        <v>0</v>
      </c>
      <c r="M185" s="29">
        <f t="shared" si="1445"/>
        <v>0</v>
      </c>
      <c r="N185" s="29">
        <f t="shared" si="1445"/>
        <v>0</v>
      </c>
      <c r="O185" s="29">
        <f t="shared" si="1445"/>
        <v>0</v>
      </c>
      <c r="P185" s="29">
        <f t="shared" si="1445"/>
        <v>0</v>
      </c>
      <c r="Q185" s="29">
        <f t="shared" si="1445"/>
        <v>0</v>
      </c>
      <c r="R185" s="29">
        <f t="shared" si="1445"/>
        <v>0</v>
      </c>
      <c r="S185" s="29">
        <f t="shared" si="1445"/>
        <v>0</v>
      </c>
      <c r="T185" s="29">
        <f t="shared" si="1445"/>
        <v>0</v>
      </c>
      <c r="U185" s="29">
        <f t="shared" si="1445"/>
        <v>0</v>
      </c>
      <c r="V185" s="29">
        <f t="shared" si="1445"/>
        <v>0</v>
      </c>
      <c r="W185" s="29">
        <f t="shared" ref="W185" si="1446">W182-W183-W184</f>
        <v>0</v>
      </c>
      <c r="X185" s="29">
        <f t="shared" ref="X185:Y185" si="1447">X182-X183-X184</f>
        <v>0</v>
      </c>
      <c r="Y185" s="29">
        <f t="shared" si="1447"/>
        <v>0</v>
      </c>
      <c r="Z185" s="29">
        <f t="shared" ref="Z185:AA185" si="1448">Z182-Z183-Z184</f>
        <v>0</v>
      </c>
      <c r="AA185" s="29">
        <f t="shared" si="1448"/>
        <v>0</v>
      </c>
      <c r="AB185" s="30">
        <f t="shared" ref="AA185:AD185" si="1449">AB182-AB183-AB184</f>
        <v>0</v>
      </c>
      <c r="AC185" s="30">
        <f t="shared" si="1449"/>
        <v>0</v>
      </c>
      <c r="AD185" s="30">
        <f t="shared" si="1449"/>
        <v>0</v>
      </c>
      <c r="AE185" s="30">
        <f t="shared" ref="AE185" si="1450">AE182-AE183-AE184</f>
        <v>0</v>
      </c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  <c r="DF185" s="29">
        <v>0</v>
      </c>
    </row>
    <row r="186" spans="1:110" s="5" customFormat="1" x14ac:dyDescent="0.2">
      <c r="AB186" s="63"/>
      <c r="AC186" s="63"/>
      <c r="AD186" s="63"/>
      <c r="AE186" s="63"/>
      <c r="CE186" s="112"/>
      <c r="CG186" s="112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95" customFormat="1" x14ac:dyDescent="0.2">
      <c r="A187" s="95" t="s">
        <v>85</v>
      </c>
      <c r="B187" s="95" t="e">
        <f t="shared" ref="B187:W187" si="1451">B182/B132</f>
        <v>#DIV/0!</v>
      </c>
      <c r="C187" s="95" t="e">
        <f t="shared" si="1451"/>
        <v>#DIV/0!</v>
      </c>
      <c r="D187" s="95" t="e">
        <f t="shared" si="1451"/>
        <v>#DIV/0!</v>
      </c>
      <c r="E187" s="95" t="e">
        <f t="shared" si="1451"/>
        <v>#DIV/0!</v>
      </c>
      <c r="F187" s="95" t="e">
        <f t="shared" si="1451"/>
        <v>#DIV/0!</v>
      </c>
      <c r="G187" s="95" t="e">
        <f t="shared" si="1451"/>
        <v>#DIV/0!</v>
      </c>
      <c r="H187" s="95" t="e">
        <f t="shared" si="1451"/>
        <v>#DIV/0!</v>
      </c>
      <c r="I187" s="95" t="e">
        <f t="shared" si="1451"/>
        <v>#DIV/0!</v>
      </c>
      <c r="J187" s="95" t="e">
        <f t="shared" si="1451"/>
        <v>#DIV/0!</v>
      </c>
      <c r="K187" s="95" t="e">
        <f t="shared" si="1451"/>
        <v>#DIV/0!</v>
      </c>
      <c r="L187" s="95" t="e">
        <f t="shared" si="1451"/>
        <v>#DIV/0!</v>
      </c>
      <c r="M187" s="95" t="e">
        <f t="shared" si="1451"/>
        <v>#DIV/0!</v>
      </c>
      <c r="N187" s="95" t="e">
        <f t="shared" si="1451"/>
        <v>#DIV/0!</v>
      </c>
      <c r="O187" s="95" t="e">
        <f t="shared" si="1451"/>
        <v>#DIV/0!</v>
      </c>
      <c r="P187" s="95" t="e">
        <f t="shared" si="1451"/>
        <v>#DIV/0!</v>
      </c>
      <c r="Q187" s="95" t="e">
        <f t="shared" si="1451"/>
        <v>#DIV/0!</v>
      </c>
      <c r="R187" s="95" t="e">
        <f t="shared" si="1451"/>
        <v>#DIV/0!</v>
      </c>
      <c r="S187" s="95">
        <f t="shared" si="1451"/>
        <v>1.0486441393553112</v>
      </c>
      <c r="T187" s="95">
        <f t="shared" si="1451"/>
        <v>2.0451697134146483E-4</v>
      </c>
      <c r="U187" s="95">
        <f t="shared" si="1451"/>
        <v>0.12977353463587921</v>
      </c>
      <c r="V187" s="95">
        <f t="shared" si="1451"/>
        <v>0.42039342478999214</v>
      </c>
      <c r="W187" s="95">
        <f t="shared" si="1451"/>
        <v>1.3029800602120511</v>
      </c>
      <c r="X187" s="95">
        <f t="shared" ref="X187:Y187" si="1452">X182/X132</f>
        <v>-5.3682690598898173</v>
      </c>
      <c r="Y187" s="95">
        <f t="shared" si="1452"/>
        <v>1.0835766686958945</v>
      </c>
      <c r="Z187" s="95">
        <f t="shared" ref="Z187:AA187" si="1453">Z182/Z132</f>
        <v>0.85350425992492995</v>
      </c>
      <c r="AA187" s="95">
        <f t="shared" si="1453"/>
        <v>0.8038322431704501</v>
      </c>
      <c r="AB187" s="87">
        <f t="shared" ref="AA187:AD187" si="1454">AB182/AB132</f>
        <v>0</v>
      </c>
      <c r="AC187" s="87">
        <f t="shared" si="1454"/>
        <v>0</v>
      </c>
      <c r="AD187" s="87">
        <f t="shared" si="1454"/>
        <v>0</v>
      </c>
      <c r="AE187" s="87">
        <f t="shared" ref="AE187" si="1455">AE182/AE132</f>
        <v>0</v>
      </c>
      <c r="CM187" s="96"/>
      <c r="CN187" s="96"/>
      <c r="CO187" s="96"/>
      <c r="CP187" s="96"/>
      <c r="CQ187" s="96"/>
      <c r="CR187" s="96"/>
      <c r="CS187" s="96"/>
      <c r="CT187" s="96"/>
      <c r="CU187" s="96"/>
      <c r="CV187" s="96"/>
      <c r="CW187" s="96"/>
      <c r="CX187" s="96"/>
      <c r="CY187" s="96"/>
      <c r="CZ187" s="96"/>
      <c r="DA187" s="96"/>
      <c r="DB187" s="96"/>
      <c r="DE187" s="140"/>
      <c r="DF187" s="95">
        <v>0</v>
      </c>
    </row>
    <row r="188" spans="1:110" x14ac:dyDescent="0.2">
      <c r="A188" s="152" t="s">
        <v>492</v>
      </c>
      <c r="AA188" s="2"/>
      <c r="CE188" s="111"/>
      <c r="CG188" s="111"/>
      <c r="CL188" s="2"/>
    </row>
    <row r="189" spans="1:110" s="6" customFormat="1" x14ac:dyDescent="0.2">
      <c r="AB189" s="19"/>
      <c r="AC189" s="19"/>
      <c r="AD189" s="19"/>
      <c r="AE189" s="19"/>
      <c r="CE189" s="113"/>
      <c r="CG189" s="113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3"/>
    </row>
    <row r="190" spans="1:110" s="62" customFormat="1" x14ac:dyDescent="0.2">
      <c r="A190" s="153" t="s">
        <v>493</v>
      </c>
      <c r="AB190" s="63"/>
      <c r="AC190" s="63"/>
      <c r="AD190" s="63"/>
      <c r="AE190" s="63"/>
      <c r="CE190" s="114"/>
      <c r="CG190" s="114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62" customFormat="1" outlineLevel="1" x14ac:dyDescent="0.2">
      <c r="A191" s="68" t="s">
        <v>464</v>
      </c>
      <c r="B191" s="67" t="e">
        <f t="shared" ref="B191:AE191" si="1456">B156/B15*365</f>
        <v>#DIV/0!</v>
      </c>
      <c r="C191" s="67" t="e">
        <f t="shared" si="1456"/>
        <v>#DIV/0!</v>
      </c>
      <c r="D191" s="67" t="e">
        <f t="shared" si="1456"/>
        <v>#DIV/0!</v>
      </c>
      <c r="E191" s="67" t="e">
        <f t="shared" si="1456"/>
        <v>#DIV/0!</v>
      </c>
      <c r="F191" s="67" t="e">
        <f t="shared" si="1456"/>
        <v>#DIV/0!</v>
      </c>
      <c r="G191" s="67" t="e">
        <f t="shared" si="1456"/>
        <v>#DIV/0!</v>
      </c>
      <c r="H191" s="67" t="e">
        <f t="shared" si="1456"/>
        <v>#DIV/0!</v>
      </c>
      <c r="I191" s="67" t="e">
        <f t="shared" si="1456"/>
        <v>#DIV/0!</v>
      </c>
      <c r="J191" s="67" t="e">
        <f t="shared" si="1456"/>
        <v>#DIV/0!</v>
      </c>
      <c r="K191" s="67" t="e">
        <f t="shared" si="1456"/>
        <v>#DIV/0!</v>
      </c>
      <c r="L191" s="67" t="e">
        <f t="shared" si="1456"/>
        <v>#DIV/0!</v>
      </c>
      <c r="M191" s="67" t="e">
        <f t="shared" si="1456"/>
        <v>#DIV/0!</v>
      </c>
      <c r="N191" s="67" t="e">
        <f t="shared" si="1456"/>
        <v>#DIV/0!</v>
      </c>
      <c r="O191" s="67" t="e">
        <f t="shared" si="1456"/>
        <v>#DIV/0!</v>
      </c>
      <c r="P191" s="67" t="e">
        <f t="shared" si="1456"/>
        <v>#DIV/0!</v>
      </c>
      <c r="Q191" s="67" t="e">
        <f t="shared" si="1456"/>
        <v>#DIV/0!</v>
      </c>
      <c r="R191" s="67" t="e">
        <f t="shared" si="1456"/>
        <v>#DIV/0!</v>
      </c>
      <c r="S191" s="67">
        <f t="shared" si="1456"/>
        <v>0.98562686307392589</v>
      </c>
      <c r="T191" s="67">
        <f t="shared" si="1456"/>
        <v>0.58233220976437094</v>
      </c>
      <c r="U191" s="67">
        <f t="shared" si="1456"/>
        <v>0.94993264924335774</v>
      </c>
      <c r="V191" s="67">
        <f t="shared" si="1456"/>
        <v>0.22198275862068964</v>
      </c>
      <c r="W191" s="67">
        <f t="shared" si="1456"/>
        <v>0.27380581426213807</v>
      </c>
      <c r="X191" s="67">
        <f t="shared" si="1456"/>
        <v>0.2843906481853688</v>
      </c>
      <c r="Y191" s="67">
        <f t="shared" si="1456"/>
        <v>0.13708378220777037</v>
      </c>
      <c r="Z191" s="67">
        <f t="shared" si="1456"/>
        <v>0.15116965467338214</v>
      </c>
      <c r="AA191" s="67">
        <f t="shared" ref="AA191" si="1457">AA156/AA15*365</f>
        <v>0.10203297540424347</v>
      </c>
      <c r="AB191" s="18">
        <f t="shared" si="1456"/>
        <v>0.10598111171291062</v>
      </c>
      <c r="AC191" s="18">
        <f t="shared" si="1456"/>
        <v>0.10630368209856021</v>
      </c>
      <c r="AD191" s="18">
        <f t="shared" si="1456"/>
        <v>0.10637910701644356</v>
      </c>
      <c r="AE191" s="18">
        <f t="shared" si="1456"/>
        <v>0.1066334633566607</v>
      </c>
      <c r="AI191" s="67" t="e">
        <f>AJ156/AI15*90</f>
        <v>#DIV/0!</v>
      </c>
      <c r="AJ191" s="67" t="e">
        <f>AJ156/AJ15*90</f>
        <v>#DIV/0!</v>
      </c>
      <c r="AK191" s="67" t="e">
        <f t="shared" ref="AK191:CE191" si="1458">+AJ191</f>
        <v>#DIV/0!</v>
      </c>
      <c r="AL191" s="67" t="e">
        <f>AL156/AL15*90</f>
        <v>#DIV/0!</v>
      </c>
      <c r="AM191" s="67" t="e">
        <f t="shared" ref="AM191:AM192" si="1459">+AL191</f>
        <v>#DIV/0!</v>
      </c>
      <c r="AN191" s="67" t="e">
        <f>AN156/AN15*90</f>
        <v>#DIV/0!</v>
      </c>
      <c r="AO191" s="67" t="e">
        <f t="shared" ref="AO191:AO192" si="1460">+AN191</f>
        <v>#DIV/0!</v>
      </c>
      <c r="AP191" s="67" t="e">
        <f>AP156/AP15*90</f>
        <v>#DIV/0!</v>
      </c>
      <c r="AQ191" s="67" t="e">
        <f t="shared" ref="AQ191:AQ192" si="1461">+AP191</f>
        <v>#DIV/0!</v>
      </c>
      <c r="AR191" s="67" t="e">
        <f>AR156/AR15*90</f>
        <v>#DIV/0!</v>
      </c>
      <c r="AS191" s="67" t="e">
        <f t="shared" ref="AS191:AS192" si="1462">+AR191</f>
        <v>#DIV/0!</v>
      </c>
      <c r="AT191" s="67" t="e">
        <f>AT156/AT15*90</f>
        <v>#DIV/0!</v>
      </c>
      <c r="AU191" s="67" t="e">
        <f t="shared" ref="AU191:AU192" si="1463">+AT191</f>
        <v>#DIV/0!</v>
      </c>
      <c r="AV191" s="67" t="e">
        <f>AV156/AV15*90</f>
        <v>#DIV/0!</v>
      </c>
      <c r="AW191" s="67" t="e">
        <f t="shared" ref="AW191:AW192" si="1464">+AV191</f>
        <v>#DIV/0!</v>
      </c>
      <c r="AX191" s="67" t="e">
        <f>AX156/AX15*90</f>
        <v>#DIV/0!</v>
      </c>
      <c r="AY191" s="67" t="e">
        <f t="shared" ref="AY191:AY192" si="1465">+AX191</f>
        <v>#DIV/0!</v>
      </c>
      <c r="AZ191" s="67" t="e">
        <f>AZ156/AZ15*90</f>
        <v>#DIV/0!</v>
      </c>
      <c r="BA191" s="67" t="e">
        <f t="shared" ref="BA191:BA192" si="1466">+AZ191</f>
        <v>#DIV/0!</v>
      </c>
      <c r="BB191" s="67" t="e">
        <f>BB156/BB15*90</f>
        <v>#DIV/0!</v>
      </c>
      <c r="BC191" s="67" t="e">
        <f t="shared" ref="BC191:BC192" si="1467">+BB191</f>
        <v>#DIV/0!</v>
      </c>
      <c r="BD191" s="67" t="e">
        <f>BD156/BD15*90</f>
        <v>#DIV/0!</v>
      </c>
      <c r="BE191" s="67" t="e">
        <f t="shared" ref="BE191:BE192" si="1468">+BD191</f>
        <v>#DIV/0!</v>
      </c>
      <c r="BF191" s="67" t="e">
        <f>BF156/BF15*90</f>
        <v>#DIV/0!</v>
      </c>
      <c r="BG191" s="67" t="e">
        <f t="shared" ref="BG191:BG192" si="1469">+BF191</f>
        <v>#DIV/0!</v>
      </c>
      <c r="BH191" s="67">
        <f>BH156/BH15*90</f>
        <v>0</v>
      </c>
      <c r="BI191" s="67">
        <f t="shared" ref="BI191:BI192" si="1470">+BH191</f>
        <v>0</v>
      </c>
      <c r="BJ191" s="67">
        <f>BJ156/BJ15*90</f>
        <v>0.50885834898746984</v>
      </c>
      <c r="BK191" s="67">
        <f t="shared" ref="BK191:BK192" si="1471">+BJ191</f>
        <v>0.50885834898746984</v>
      </c>
      <c r="BL191" s="67">
        <f>BL156/BL15*90</f>
        <v>1.2833331936681387</v>
      </c>
      <c r="BM191" s="67">
        <f t="shared" ref="BM191:BM192" si="1472">+BL191</f>
        <v>1.2833331936681387</v>
      </c>
      <c r="BN191" s="67">
        <f>BN156/BN15*90</f>
        <v>0.63373822568826033</v>
      </c>
      <c r="BO191" s="67">
        <f t="shared" ref="BO191:BO192" si="1473">+BN191</f>
        <v>0.63373822568826033</v>
      </c>
      <c r="BP191" s="67">
        <f>BP156/BP15*90</f>
        <v>3.4730628520981863</v>
      </c>
      <c r="BQ191" s="67">
        <f t="shared" ref="BQ191:BQ192" si="1474">+BP191</f>
        <v>3.4730628520981863</v>
      </c>
      <c r="BR191" s="67">
        <f>BR156/BR15*90</f>
        <v>0.20380494525627685</v>
      </c>
      <c r="BS191" s="67">
        <f t="shared" ref="BS191:BS192" si="1475">+BR191</f>
        <v>0.20380494525627685</v>
      </c>
      <c r="BT191" s="67">
        <f>BT156/BT15*90</f>
        <v>0.31221757205823059</v>
      </c>
      <c r="BU191" s="67">
        <f t="shared" ref="BU191:BU192" si="1476">+BT191</f>
        <v>0.31221757205823059</v>
      </c>
      <c r="BV191" s="67">
        <f>BV156/BV15*90</f>
        <v>0.32772191255146915</v>
      </c>
      <c r="BW191" s="67">
        <f t="shared" ref="BW191:BW192" si="1477">+BV191</f>
        <v>0.32772191255146915</v>
      </c>
      <c r="BX191" s="67">
        <f>BX156/BX15*90</f>
        <v>1.154178259618152</v>
      </c>
      <c r="BY191" s="67">
        <f t="shared" ref="BY191:BY192" si="1478">+BX191</f>
        <v>1.154178259618152</v>
      </c>
      <c r="BZ191" s="67">
        <f>BZ156/BZ15*90</f>
        <v>1.5978740246522671</v>
      </c>
      <c r="CA191" s="67">
        <f t="shared" ref="CA191:CA192" si="1479">+BZ191</f>
        <v>1.5978740246522671</v>
      </c>
      <c r="CB191" s="67">
        <f>CB156/CB15*90</f>
        <v>0.14811986517800715</v>
      </c>
      <c r="CC191" s="67">
        <f t="shared" ref="CC191:CC192" si="1480">+CB191</f>
        <v>0.14811986517800715</v>
      </c>
      <c r="CD191" s="67">
        <f>CD156/CD15*90</f>
        <v>8.7096034838413924E-2</v>
      </c>
      <c r="CE191" s="67">
        <f t="shared" si="1458"/>
        <v>8.7096034838413924E-2</v>
      </c>
      <c r="CF191" s="67">
        <f>CF156/CF15*90</f>
        <v>0.35720870653766656</v>
      </c>
      <c r="CG191" s="67">
        <f t="shared" ref="CG191:CI192" si="1481">+CF191</f>
        <v>0.35720870653766656</v>
      </c>
      <c r="CH191" s="67">
        <f>CH156/CH15*90</f>
        <v>9.3247218263593085E-2</v>
      </c>
      <c r="CI191" s="67">
        <f t="shared" si="1481"/>
        <v>9.3247218263593085E-2</v>
      </c>
      <c r="CJ191" s="67">
        <f>CJ156/CJ15*90</f>
        <v>0.11580693125929316</v>
      </c>
      <c r="CK191" s="67">
        <f t="shared" ref="CK191:CK192" si="1482">+CJ191</f>
        <v>0.11580693125929316</v>
      </c>
      <c r="CL191" s="67">
        <f>CL156/CL15*90</f>
        <v>9.7604350306587651E-2</v>
      </c>
      <c r="CM191" s="30">
        <f t="shared" ref="CM191:CM192" si="1483">+CL191</f>
        <v>9.7604350306587651E-2</v>
      </c>
      <c r="CN191" s="30">
        <f t="shared" ref="CN191:CN192" si="1484">+CM191</f>
        <v>9.7604350306587651E-2</v>
      </c>
      <c r="CO191" s="30">
        <f t="shared" ref="CO191:CO192" si="1485">+CN191</f>
        <v>9.7604350306587651E-2</v>
      </c>
      <c r="CP191" s="30">
        <f t="shared" ref="CP191:CP192" si="1486">+CO191</f>
        <v>9.7604350306587651E-2</v>
      </c>
      <c r="CQ191" s="30">
        <f t="shared" ref="CQ191:CQ192" si="1487">+CP191</f>
        <v>9.7604350306587651E-2</v>
      </c>
      <c r="CR191" s="30">
        <f t="shared" ref="CR191:CR192" si="1488">+CQ191</f>
        <v>9.7604350306587651E-2</v>
      </c>
      <c r="CS191" s="30">
        <f t="shared" ref="CS191:CS192" si="1489">+CR191</f>
        <v>9.7604350306587651E-2</v>
      </c>
      <c r="CT191" s="30">
        <f t="shared" ref="CT191:CT192" si="1490">+CS191</f>
        <v>9.7604350306587651E-2</v>
      </c>
      <c r="CU191" s="30">
        <f t="shared" ref="CU191:CU192" si="1491">+CT191</f>
        <v>9.7604350306587651E-2</v>
      </c>
      <c r="CV191" s="30">
        <f t="shared" ref="CV191:CV192" si="1492">+CU191</f>
        <v>9.7604350306587651E-2</v>
      </c>
      <c r="CW191" s="30">
        <f t="shared" ref="CW191:CW192" si="1493">+CV191</f>
        <v>9.7604350306587651E-2</v>
      </c>
      <c r="CX191" s="30">
        <f t="shared" ref="CX191:CX192" si="1494">+CW191</f>
        <v>9.7604350306587651E-2</v>
      </c>
      <c r="CY191" s="30">
        <f t="shared" ref="CY191:CY192" si="1495">+CX191</f>
        <v>9.7604350306587651E-2</v>
      </c>
      <c r="CZ191" s="30">
        <f t="shared" ref="CZ191:CZ192" si="1496">+CY191</f>
        <v>9.7604350306587651E-2</v>
      </c>
      <c r="DA191" s="30">
        <f t="shared" ref="DA191:DA192" si="1497">+CZ191</f>
        <v>9.7604350306587651E-2</v>
      </c>
      <c r="DB191" s="30">
        <f t="shared" ref="DB191:DB192" si="1498">+DA191</f>
        <v>9.7604350306587651E-2</v>
      </c>
      <c r="DE191" s="139"/>
      <c r="DF191" s="62">
        <v>0.11580693125929316</v>
      </c>
    </row>
    <row r="192" spans="1:110" s="62" customFormat="1" outlineLevel="1" x14ac:dyDescent="0.2">
      <c r="A192" s="68" t="s">
        <v>465</v>
      </c>
      <c r="B192" s="67" t="e">
        <f t="shared" ref="B192:AE192" si="1499">B157/B15*365</f>
        <v>#DIV/0!</v>
      </c>
      <c r="C192" s="67" t="e">
        <f t="shared" si="1499"/>
        <v>#DIV/0!</v>
      </c>
      <c r="D192" s="67" t="e">
        <f t="shared" si="1499"/>
        <v>#DIV/0!</v>
      </c>
      <c r="E192" s="67" t="e">
        <f t="shared" si="1499"/>
        <v>#DIV/0!</v>
      </c>
      <c r="F192" s="67" t="e">
        <f t="shared" si="1499"/>
        <v>#DIV/0!</v>
      </c>
      <c r="G192" s="67" t="e">
        <f t="shared" si="1499"/>
        <v>#DIV/0!</v>
      </c>
      <c r="H192" s="67" t="e">
        <f t="shared" si="1499"/>
        <v>#DIV/0!</v>
      </c>
      <c r="I192" s="67" t="e">
        <f t="shared" si="1499"/>
        <v>#DIV/0!</v>
      </c>
      <c r="J192" s="67" t="e">
        <f t="shared" si="1499"/>
        <v>#DIV/0!</v>
      </c>
      <c r="K192" s="67" t="e">
        <f t="shared" si="1499"/>
        <v>#DIV/0!</v>
      </c>
      <c r="L192" s="67" t="e">
        <f t="shared" si="1499"/>
        <v>#DIV/0!</v>
      </c>
      <c r="M192" s="67" t="e">
        <f t="shared" si="1499"/>
        <v>#DIV/0!</v>
      </c>
      <c r="N192" s="67" t="e">
        <f t="shared" si="1499"/>
        <v>#DIV/0!</v>
      </c>
      <c r="O192" s="67" t="e">
        <f t="shared" si="1499"/>
        <v>#DIV/0!</v>
      </c>
      <c r="P192" s="67" t="e">
        <f t="shared" si="1499"/>
        <v>#DIV/0!</v>
      </c>
      <c r="Q192" s="67" t="e">
        <f t="shared" si="1499"/>
        <v>#DIV/0!</v>
      </c>
      <c r="R192" s="67" t="e">
        <f t="shared" si="1499"/>
        <v>#DIV/0!</v>
      </c>
      <c r="S192" s="67">
        <f t="shared" si="1499"/>
        <v>96.74982551645094</v>
      </c>
      <c r="T192" s="67">
        <f t="shared" si="1499"/>
        <v>84.168110365409092</v>
      </c>
      <c r="U192" s="67">
        <f t="shared" si="1499"/>
        <v>132.91921137734539</v>
      </c>
      <c r="V192" s="67">
        <f t="shared" si="1499"/>
        <v>60.981321839080458</v>
      </c>
      <c r="W192" s="67">
        <f t="shared" si="1499"/>
        <v>55.039181063832245</v>
      </c>
      <c r="X192" s="67">
        <f t="shared" si="1499"/>
        <v>143.14631192897306</v>
      </c>
      <c r="Y192" s="67">
        <f t="shared" si="1499"/>
        <v>100.00983405647418</v>
      </c>
      <c r="Z192" s="67">
        <f t="shared" si="1499"/>
        <v>72.632675114966062</v>
      </c>
      <c r="AA192" s="67">
        <f t="shared" ref="AA192" si="1500">AA157/AA15*365</f>
        <v>87.007048178006244</v>
      </c>
      <c r="AB192" s="18">
        <f t="shared" si="1499"/>
        <v>90.373760602696052</v>
      </c>
      <c r="AC192" s="18">
        <f t="shared" si="1499"/>
        <v>90.648827530557554</v>
      </c>
      <c r="AD192" s="18">
        <f t="shared" si="1499"/>
        <v>90.713144967524357</v>
      </c>
      <c r="AE192" s="18">
        <f t="shared" si="1499"/>
        <v>90.930043418833591</v>
      </c>
      <c r="AI192" s="67" t="e">
        <f>AJ157/AI15*90</f>
        <v>#DIV/0!</v>
      </c>
      <c r="AJ192" s="67" t="e">
        <f>AJ157/AJ15*90</f>
        <v>#DIV/0!</v>
      </c>
      <c r="AK192" s="67" t="e">
        <f>+AJ192</f>
        <v>#DIV/0!</v>
      </c>
      <c r="AL192" s="67" t="e">
        <f>AL157/AL15*90</f>
        <v>#DIV/0!</v>
      </c>
      <c r="AM192" s="67" t="e">
        <f t="shared" si="1459"/>
        <v>#DIV/0!</v>
      </c>
      <c r="AN192" s="67" t="e">
        <f>AN157/AN15*90</f>
        <v>#DIV/0!</v>
      </c>
      <c r="AO192" s="67" t="e">
        <f t="shared" si="1460"/>
        <v>#DIV/0!</v>
      </c>
      <c r="AP192" s="67" t="e">
        <f>AP157/AP15*90</f>
        <v>#DIV/0!</v>
      </c>
      <c r="AQ192" s="67" t="e">
        <f t="shared" si="1461"/>
        <v>#DIV/0!</v>
      </c>
      <c r="AR192" s="67" t="e">
        <f>AR157/AR15*90</f>
        <v>#DIV/0!</v>
      </c>
      <c r="AS192" s="67" t="e">
        <f t="shared" si="1462"/>
        <v>#DIV/0!</v>
      </c>
      <c r="AT192" s="67" t="e">
        <f>AT157/AT15*90</f>
        <v>#DIV/0!</v>
      </c>
      <c r="AU192" s="67" t="e">
        <f t="shared" si="1463"/>
        <v>#DIV/0!</v>
      </c>
      <c r="AV192" s="67" t="e">
        <f>AV157/AV15*90</f>
        <v>#DIV/0!</v>
      </c>
      <c r="AW192" s="67" t="e">
        <f t="shared" si="1464"/>
        <v>#DIV/0!</v>
      </c>
      <c r="AX192" s="67" t="e">
        <f>AX157/AX15*90</f>
        <v>#DIV/0!</v>
      </c>
      <c r="AY192" s="67" t="e">
        <f t="shared" si="1465"/>
        <v>#DIV/0!</v>
      </c>
      <c r="AZ192" s="67" t="e">
        <f>AZ157/AZ15*90</f>
        <v>#DIV/0!</v>
      </c>
      <c r="BA192" s="67" t="e">
        <f t="shared" si="1466"/>
        <v>#DIV/0!</v>
      </c>
      <c r="BB192" s="67" t="e">
        <f>BB157/BB15*90</f>
        <v>#DIV/0!</v>
      </c>
      <c r="BC192" s="67" t="e">
        <f t="shared" si="1467"/>
        <v>#DIV/0!</v>
      </c>
      <c r="BD192" s="67" t="e">
        <f>BD157/BD15*90</f>
        <v>#DIV/0!</v>
      </c>
      <c r="BE192" s="67" t="e">
        <f t="shared" si="1468"/>
        <v>#DIV/0!</v>
      </c>
      <c r="BF192" s="67" t="e">
        <f>BF157/BF15*90</f>
        <v>#DIV/0!</v>
      </c>
      <c r="BG192" s="67" t="e">
        <f t="shared" si="1469"/>
        <v>#DIV/0!</v>
      </c>
      <c r="BH192" s="67">
        <f>BH157/BH15*90</f>
        <v>0</v>
      </c>
      <c r="BI192" s="67">
        <f t="shared" si="1470"/>
        <v>0</v>
      </c>
      <c r="BJ192" s="67">
        <f>BJ157/BJ15*90</f>
        <v>73.548474495799184</v>
      </c>
      <c r="BK192" s="67">
        <f t="shared" si="1471"/>
        <v>73.548474495799184</v>
      </c>
      <c r="BL192" s="67">
        <f>BL157/BL15*90</f>
        <v>155.1936429990028</v>
      </c>
      <c r="BM192" s="67">
        <f t="shared" si="1472"/>
        <v>155.1936429990028</v>
      </c>
      <c r="BN192" s="67">
        <f>BN157/BN15*90</f>
        <v>88.675744796494271</v>
      </c>
      <c r="BO192" s="67">
        <f t="shared" si="1473"/>
        <v>88.675744796494271</v>
      </c>
      <c r="BP192" s="67">
        <f>BP157/BP15*90</f>
        <v>75.401419989076999</v>
      </c>
      <c r="BQ192" s="67">
        <f t="shared" si="1474"/>
        <v>75.401419989076999</v>
      </c>
      <c r="BR192" s="67">
        <f>BR157/BR15*90</f>
        <v>55.987658844738888</v>
      </c>
      <c r="BS192" s="67">
        <f t="shared" si="1475"/>
        <v>55.987658844738888</v>
      </c>
      <c r="BT192" s="67">
        <f>BT157/BT15*90</f>
        <v>76.909386688171736</v>
      </c>
      <c r="BU192" s="67">
        <f t="shared" si="1476"/>
        <v>76.909386688171736</v>
      </c>
      <c r="BV192" s="67">
        <f>BV157/BV15*90</f>
        <v>65.877146298423014</v>
      </c>
      <c r="BW192" s="67">
        <f t="shared" si="1477"/>
        <v>65.877146298423014</v>
      </c>
      <c r="BX192" s="67">
        <f>BX157/BX15*90</f>
        <v>218.74412357286769</v>
      </c>
      <c r="BY192" s="67">
        <f t="shared" si="1478"/>
        <v>218.74412357286769</v>
      </c>
      <c r="BZ192" s="67">
        <f>BZ157/BZ15*90</f>
        <v>804.28022164423828</v>
      </c>
      <c r="CA192" s="67">
        <f t="shared" si="1479"/>
        <v>804.28022164423828</v>
      </c>
      <c r="CB192" s="67">
        <f>CB157/CB15*90</f>
        <v>81.593901411417747</v>
      </c>
      <c r="CC192" s="67">
        <f t="shared" si="1480"/>
        <v>81.593901411417747</v>
      </c>
      <c r="CD192" s="67">
        <f>CD157/CD15*90</f>
        <v>63.541141416456568</v>
      </c>
      <c r="CE192" s="114">
        <f t="shared" ref="CE192" si="1501">+CD192</f>
        <v>63.541141416456568</v>
      </c>
      <c r="CF192" s="67">
        <f>CF157/CF15*90</f>
        <v>80.705586662655634</v>
      </c>
      <c r="CG192" s="67">
        <f t="shared" si="1481"/>
        <v>80.705586662655634</v>
      </c>
      <c r="CH192" s="67">
        <f>CH157/CH15*90</f>
        <v>44.802608857890284</v>
      </c>
      <c r="CI192" s="67">
        <f t="shared" si="1481"/>
        <v>44.802608857890284</v>
      </c>
      <c r="CJ192" s="67">
        <f>CJ157/CJ15*90</f>
        <v>77.084696328491376</v>
      </c>
      <c r="CK192" s="67">
        <f t="shared" si="1482"/>
        <v>77.084696328491376</v>
      </c>
      <c r="CL192" s="67">
        <f>CL157/CL15*90</f>
        <v>83.230606339399984</v>
      </c>
      <c r="CM192" s="30">
        <f t="shared" si="1483"/>
        <v>83.230606339399984</v>
      </c>
      <c r="CN192" s="30">
        <f t="shared" si="1484"/>
        <v>83.230606339399984</v>
      </c>
      <c r="CO192" s="30">
        <f t="shared" si="1485"/>
        <v>83.230606339399984</v>
      </c>
      <c r="CP192" s="30">
        <f t="shared" si="1486"/>
        <v>83.230606339399984</v>
      </c>
      <c r="CQ192" s="30">
        <f t="shared" si="1487"/>
        <v>83.230606339399984</v>
      </c>
      <c r="CR192" s="30">
        <f t="shared" si="1488"/>
        <v>83.230606339399984</v>
      </c>
      <c r="CS192" s="30">
        <f t="shared" si="1489"/>
        <v>83.230606339399984</v>
      </c>
      <c r="CT192" s="30">
        <f t="shared" si="1490"/>
        <v>83.230606339399984</v>
      </c>
      <c r="CU192" s="30">
        <f t="shared" si="1491"/>
        <v>83.230606339399984</v>
      </c>
      <c r="CV192" s="30">
        <f t="shared" si="1492"/>
        <v>83.230606339399984</v>
      </c>
      <c r="CW192" s="30">
        <f t="shared" si="1493"/>
        <v>83.230606339399984</v>
      </c>
      <c r="CX192" s="30">
        <f t="shared" si="1494"/>
        <v>83.230606339399984</v>
      </c>
      <c r="CY192" s="30">
        <f t="shared" si="1495"/>
        <v>83.230606339399984</v>
      </c>
      <c r="CZ192" s="30">
        <f t="shared" si="1496"/>
        <v>83.230606339399984</v>
      </c>
      <c r="DA192" s="30">
        <f t="shared" si="1497"/>
        <v>83.230606339399984</v>
      </c>
      <c r="DB192" s="30">
        <f t="shared" si="1498"/>
        <v>83.230606339399984</v>
      </c>
      <c r="DE192" s="139"/>
      <c r="DF192" s="62">
        <v>77.084696328491376</v>
      </c>
    </row>
    <row r="193" spans="1:110" s="62" customFormat="1" outlineLevel="1" x14ac:dyDescent="0.2">
      <c r="A193" s="68" t="s">
        <v>466</v>
      </c>
      <c r="B193" s="67" t="e">
        <f>B194-B192-B191</f>
        <v>#DIV/0!</v>
      </c>
      <c r="C193" s="67" t="e">
        <f t="shared" ref="C193:U193" si="1502">C194-C192-C191</f>
        <v>#DIV/0!</v>
      </c>
      <c r="D193" s="67" t="e">
        <f t="shared" si="1502"/>
        <v>#DIV/0!</v>
      </c>
      <c r="E193" s="67" t="e">
        <f t="shared" si="1502"/>
        <v>#DIV/0!</v>
      </c>
      <c r="F193" s="67" t="e">
        <f t="shared" si="1502"/>
        <v>#DIV/0!</v>
      </c>
      <c r="G193" s="67" t="e">
        <f t="shared" si="1502"/>
        <v>#DIV/0!</v>
      </c>
      <c r="H193" s="67" t="e">
        <f t="shared" si="1502"/>
        <v>#DIV/0!</v>
      </c>
      <c r="I193" s="67" t="e">
        <f t="shared" si="1502"/>
        <v>#DIV/0!</v>
      </c>
      <c r="J193" s="67" t="e">
        <f t="shared" si="1502"/>
        <v>#DIV/0!</v>
      </c>
      <c r="K193" s="67" t="e">
        <f t="shared" si="1502"/>
        <v>#DIV/0!</v>
      </c>
      <c r="L193" s="67" t="e">
        <f t="shared" si="1502"/>
        <v>#DIV/0!</v>
      </c>
      <c r="M193" s="67" t="e">
        <f t="shared" si="1502"/>
        <v>#DIV/0!</v>
      </c>
      <c r="N193" s="67" t="e">
        <f t="shared" si="1502"/>
        <v>#DIV/0!</v>
      </c>
      <c r="O193" s="67" t="e">
        <f t="shared" si="1502"/>
        <v>#DIV/0!</v>
      </c>
      <c r="P193" s="67" t="e">
        <f t="shared" si="1502"/>
        <v>#DIV/0!</v>
      </c>
      <c r="Q193" s="67" t="e">
        <f t="shared" si="1502"/>
        <v>#DIV/0!</v>
      </c>
      <c r="R193" s="67" t="e">
        <f t="shared" si="1502"/>
        <v>#DIV/0!</v>
      </c>
      <c r="S193" s="67">
        <f t="shared" si="1502"/>
        <v>160.28334585811857</v>
      </c>
      <c r="T193" s="67">
        <f t="shared" si="1502"/>
        <v>139.35798445902196</v>
      </c>
      <c r="U193" s="67">
        <f t="shared" si="1502"/>
        <v>178.37849690330012</v>
      </c>
      <c r="V193" s="67">
        <f>V194-V192-V191</f>
        <v>172.35344827586204</v>
      </c>
      <c r="W193" s="67">
        <f t="shared" ref="W193" si="1503">W194-W192-W191</f>
        <v>144.95069187180462</v>
      </c>
      <c r="X193" s="67">
        <f t="shared" ref="X193:Y193" si="1504">X194-X192-X191</f>
        <v>391.43383903801958</v>
      </c>
      <c r="Y193" s="67">
        <f t="shared" si="1504"/>
        <v>361.74967137449477</v>
      </c>
      <c r="Z193" s="67">
        <f t="shared" ref="Z193:AA193" si="1505">Z194-Z192-Z191</f>
        <v>208.04303808716796</v>
      </c>
      <c r="AA193" s="67">
        <f t="shared" si="1505"/>
        <v>140.22232232165922</v>
      </c>
      <c r="AB193" s="18">
        <f t="shared" ref="AA193:AD193" si="1506">AB194-AB192-AB191</f>
        <v>146.57037065850449</v>
      </c>
      <c r="AC193" s="18">
        <f t="shared" si="1506"/>
        <v>147.0164809155491</v>
      </c>
      <c r="AD193" s="18">
        <f t="shared" si="1506"/>
        <v>147.12079250458953</v>
      </c>
      <c r="AE193" s="18">
        <f t="shared" ref="AE193" si="1507">AE194-AE192-AE191</f>
        <v>147.47256370666895</v>
      </c>
      <c r="AI193" s="67" t="e">
        <f t="shared" ref="AI193:AK193" si="1508">AI194-AI192-AI191</f>
        <v>#DIV/0!</v>
      </c>
      <c r="AJ193" s="67" t="e">
        <f t="shared" ref="AJ193:AM193" si="1509">AJ194-AJ192-AJ191</f>
        <v>#DIV/0!</v>
      </c>
      <c r="AK193" s="67" t="e">
        <f t="shared" si="1508"/>
        <v>#DIV/0!</v>
      </c>
      <c r="AL193" s="67" t="e">
        <f t="shared" si="1509"/>
        <v>#DIV/0!</v>
      </c>
      <c r="AM193" s="67" t="e">
        <f t="shared" si="1509"/>
        <v>#DIV/0!</v>
      </c>
      <c r="AN193" s="67" t="e">
        <f t="shared" ref="AN193:AY193" si="1510">AN194-AN192-AN191</f>
        <v>#DIV/0!</v>
      </c>
      <c r="AO193" s="67" t="e">
        <f t="shared" si="1510"/>
        <v>#DIV/0!</v>
      </c>
      <c r="AP193" s="67" t="e">
        <f t="shared" si="1510"/>
        <v>#DIV/0!</v>
      </c>
      <c r="AQ193" s="67" t="e">
        <f t="shared" si="1510"/>
        <v>#DIV/0!</v>
      </c>
      <c r="AR193" s="67" t="e">
        <f t="shared" si="1510"/>
        <v>#DIV/0!</v>
      </c>
      <c r="AS193" s="67" t="e">
        <f t="shared" si="1510"/>
        <v>#DIV/0!</v>
      </c>
      <c r="AT193" s="67" t="e">
        <f t="shared" si="1510"/>
        <v>#DIV/0!</v>
      </c>
      <c r="AU193" s="67" t="e">
        <f t="shared" si="1510"/>
        <v>#DIV/0!</v>
      </c>
      <c r="AV193" s="67" t="e">
        <f t="shared" si="1510"/>
        <v>#DIV/0!</v>
      </c>
      <c r="AW193" s="67" t="e">
        <f t="shared" si="1510"/>
        <v>#DIV/0!</v>
      </c>
      <c r="AX193" s="67" t="e">
        <f t="shared" si="1510"/>
        <v>#DIV/0!</v>
      </c>
      <c r="AY193" s="67" t="e">
        <f t="shared" si="1510"/>
        <v>#DIV/0!</v>
      </c>
      <c r="AZ193" s="67" t="e">
        <f t="shared" ref="AZ193:BC193" si="1511">AZ194-AZ192-AZ191</f>
        <v>#DIV/0!</v>
      </c>
      <c r="BA193" s="67" t="e">
        <f t="shared" si="1511"/>
        <v>#DIV/0!</v>
      </c>
      <c r="BB193" s="67" t="e">
        <f t="shared" si="1511"/>
        <v>#DIV/0!</v>
      </c>
      <c r="BC193" s="67" t="e">
        <f t="shared" si="1511"/>
        <v>#DIV/0!</v>
      </c>
      <c r="BD193" s="67" t="e">
        <f t="shared" ref="BD193:CE193" si="1512">BD194-BD192-BD191</f>
        <v>#DIV/0!</v>
      </c>
      <c r="BE193" s="67" t="e">
        <f t="shared" si="1512"/>
        <v>#DIV/0!</v>
      </c>
      <c r="BF193" s="67" t="e">
        <f t="shared" si="1512"/>
        <v>#DIV/0!</v>
      </c>
      <c r="BG193" s="67" t="e">
        <f t="shared" si="1512"/>
        <v>#DIV/0!</v>
      </c>
      <c r="BH193" s="67">
        <f t="shared" si="1512"/>
        <v>0</v>
      </c>
      <c r="BI193" s="67">
        <f t="shared" si="1512"/>
        <v>0</v>
      </c>
      <c r="BJ193" s="67">
        <f t="shared" si="1512"/>
        <v>114.57661581652664</v>
      </c>
      <c r="BK193" s="67">
        <f t="shared" si="1512"/>
        <v>214.00126912727418</v>
      </c>
      <c r="BL193" s="67">
        <f t="shared" si="1512"/>
        <v>241.94058642621914</v>
      </c>
      <c r="BM193" s="67">
        <f t="shared" si="1512"/>
        <v>268.22747707363845</v>
      </c>
      <c r="BN193" s="67">
        <f t="shared" si="1512"/>
        <v>105.46565856073137</v>
      </c>
      <c r="BO193" s="67">
        <f t="shared" si="1512"/>
        <v>203.50753815900367</v>
      </c>
      <c r="BP193" s="67">
        <f t="shared" si="1512"/>
        <v>169.30474402040949</v>
      </c>
      <c r="BQ193" s="67">
        <f t="shared" si="1512"/>
        <v>172.51858233020513</v>
      </c>
      <c r="BR193" s="67">
        <f t="shared" si="1512"/>
        <v>158.87749717853634</v>
      </c>
      <c r="BS193" s="67">
        <f t="shared" si="1512"/>
        <v>181.47434770598429</v>
      </c>
      <c r="BT193" s="67">
        <f t="shared" si="1512"/>
        <v>98.954825433461721</v>
      </c>
      <c r="BU193" s="67">
        <f t="shared" si="1512"/>
        <v>95.218682686004044</v>
      </c>
      <c r="BV193" s="67">
        <f t="shared" si="1512"/>
        <v>174.28671465785271</v>
      </c>
      <c r="BW193" s="67">
        <f t="shared" si="1512"/>
        <v>154.66207650816531</v>
      </c>
      <c r="BX193" s="67">
        <f t="shared" si="1512"/>
        <v>600.03166075026388</v>
      </c>
      <c r="BY193" s="67">
        <f t="shared" si="1512"/>
        <v>461.03769412227251</v>
      </c>
      <c r="BZ193" s="67">
        <f t="shared" si="1512"/>
        <v>2211.7833314486033</v>
      </c>
      <c r="CA193" s="67">
        <f t="shared" si="1512"/>
        <v>379.81202423489196</v>
      </c>
      <c r="CB193" s="67">
        <f t="shared" si="1512"/>
        <v>367.25668843480094</v>
      </c>
      <c r="CC193" s="67">
        <f t="shared" si="1512"/>
        <v>478.55270381553674</v>
      </c>
      <c r="CD193" s="67">
        <f t="shared" si="1512"/>
        <v>232.30422492168995</v>
      </c>
      <c r="CE193" s="114">
        <f t="shared" si="1512"/>
        <v>299.05875024588556</v>
      </c>
      <c r="CF193" s="67">
        <f t="shared" ref="CF193:CG193" si="1513">CF194-CF192-CF191</f>
        <v>290.55216450426497</v>
      </c>
      <c r="CG193" s="67">
        <f t="shared" si="1513"/>
        <v>162.97142390594382</v>
      </c>
      <c r="CH193" s="67">
        <f t="shared" ref="CH193" si="1514">CH194-CH192-CH191</f>
        <v>128.32889393476268</v>
      </c>
      <c r="CI193" s="67">
        <f>CH193</f>
        <v>128.32889393476268</v>
      </c>
      <c r="CJ193" s="67">
        <f t="shared" ref="CJ193:CL193" si="1515">CJ194-CJ192-CJ191</f>
        <v>147.29457851995878</v>
      </c>
      <c r="CK193" s="67">
        <f t="shared" ref="CK193:DB193" si="1516">CJ193</f>
        <v>147.29457851995878</v>
      </c>
      <c r="CL193" s="67">
        <f t="shared" si="1515"/>
        <v>134.9854287344329</v>
      </c>
      <c r="CM193" s="30">
        <f t="shared" si="1516"/>
        <v>134.9854287344329</v>
      </c>
      <c r="CN193" s="30">
        <f t="shared" si="1516"/>
        <v>134.9854287344329</v>
      </c>
      <c r="CO193" s="30">
        <f t="shared" si="1516"/>
        <v>134.9854287344329</v>
      </c>
      <c r="CP193" s="30">
        <f t="shared" si="1516"/>
        <v>134.9854287344329</v>
      </c>
      <c r="CQ193" s="30">
        <f t="shared" si="1516"/>
        <v>134.9854287344329</v>
      </c>
      <c r="CR193" s="30">
        <f t="shared" si="1516"/>
        <v>134.9854287344329</v>
      </c>
      <c r="CS193" s="30">
        <f t="shared" si="1516"/>
        <v>134.9854287344329</v>
      </c>
      <c r="CT193" s="30">
        <f t="shared" si="1516"/>
        <v>134.9854287344329</v>
      </c>
      <c r="CU193" s="30">
        <f t="shared" si="1516"/>
        <v>134.9854287344329</v>
      </c>
      <c r="CV193" s="30">
        <f t="shared" si="1516"/>
        <v>134.9854287344329</v>
      </c>
      <c r="CW193" s="30">
        <f t="shared" si="1516"/>
        <v>134.9854287344329</v>
      </c>
      <c r="CX193" s="30">
        <f t="shared" si="1516"/>
        <v>134.9854287344329</v>
      </c>
      <c r="CY193" s="30">
        <f t="shared" si="1516"/>
        <v>134.9854287344329</v>
      </c>
      <c r="CZ193" s="30">
        <f t="shared" si="1516"/>
        <v>134.9854287344329</v>
      </c>
      <c r="DA193" s="30">
        <f t="shared" si="1516"/>
        <v>134.9854287344329</v>
      </c>
      <c r="DB193" s="30">
        <f t="shared" si="1516"/>
        <v>134.9854287344329</v>
      </c>
      <c r="DE193" s="139"/>
      <c r="DF193" s="62">
        <v>147.29457851995878</v>
      </c>
    </row>
    <row r="194" spans="1:110" s="7" customFormat="1" outlineLevel="1" x14ac:dyDescent="0.2">
      <c r="A194" s="69" t="s">
        <v>467</v>
      </c>
      <c r="B194" s="70" t="e">
        <f t="shared" ref="B194:AE194" si="1517">B160/B15*365</f>
        <v>#DIV/0!</v>
      </c>
      <c r="C194" s="70" t="e">
        <f t="shared" si="1517"/>
        <v>#DIV/0!</v>
      </c>
      <c r="D194" s="70" t="e">
        <f t="shared" si="1517"/>
        <v>#DIV/0!</v>
      </c>
      <c r="E194" s="70" t="e">
        <f t="shared" si="1517"/>
        <v>#DIV/0!</v>
      </c>
      <c r="F194" s="70" t="e">
        <f t="shared" si="1517"/>
        <v>#DIV/0!</v>
      </c>
      <c r="G194" s="70" t="e">
        <f t="shared" si="1517"/>
        <v>#DIV/0!</v>
      </c>
      <c r="H194" s="70" t="e">
        <f t="shared" si="1517"/>
        <v>#DIV/0!</v>
      </c>
      <c r="I194" s="70" t="e">
        <f t="shared" si="1517"/>
        <v>#DIV/0!</v>
      </c>
      <c r="J194" s="70" t="e">
        <f t="shared" si="1517"/>
        <v>#DIV/0!</v>
      </c>
      <c r="K194" s="70" t="e">
        <f t="shared" si="1517"/>
        <v>#DIV/0!</v>
      </c>
      <c r="L194" s="70" t="e">
        <f t="shared" si="1517"/>
        <v>#DIV/0!</v>
      </c>
      <c r="M194" s="70" t="e">
        <f t="shared" si="1517"/>
        <v>#DIV/0!</v>
      </c>
      <c r="N194" s="70" t="e">
        <f t="shared" si="1517"/>
        <v>#DIV/0!</v>
      </c>
      <c r="O194" s="70" t="e">
        <f t="shared" si="1517"/>
        <v>#DIV/0!</v>
      </c>
      <c r="P194" s="70" t="e">
        <f t="shared" si="1517"/>
        <v>#DIV/0!</v>
      </c>
      <c r="Q194" s="70" t="e">
        <f t="shared" si="1517"/>
        <v>#DIV/0!</v>
      </c>
      <c r="R194" s="70" t="e">
        <f t="shared" si="1517"/>
        <v>#DIV/0!</v>
      </c>
      <c r="S194" s="70">
        <f t="shared" si="1517"/>
        <v>258.01879823764341</v>
      </c>
      <c r="T194" s="70">
        <f t="shared" si="1517"/>
        <v>224.10842703419542</v>
      </c>
      <c r="U194" s="70">
        <f t="shared" si="1517"/>
        <v>312.24764092988886</v>
      </c>
      <c r="V194" s="70">
        <f t="shared" si="1517"/>
        <v>233.5567528735632</v>
      </c>
      <c r="W194" s="70">
        <f t="shared" si="1517"/>
        <v>200.26367874989901</v>
      </c>
      <c r="X194" s="70">
        <f t="shared" si="1517"/>
        <v>534.86454161517804</v>
      </c>
      <c r="Y194" s="70">
        <f t="shared" si="1517"/>
        <v>461.8965892131767</v>
      </c>
      <c r="Z194" s="70">
        <f t="shared" si="1517"/>
        <v>280.8268828568074</v>
      </c>
      <c r="AA194" s="70">
        <f t="shared" ref="AA194" si="1518">AA160/AA15*365</f>
        <v>227.33140347506972</v>
      </c>
      <c r="AB194" s="71">
        <f t="shared" si="1517"/>
        <v>237.05011237291345</v>
      </c>
      <c r="AC194" s="71">
        <f t="shared" si="1517"/>
        <v>237.77161212820522</v>
      </c>
      <c r="AD194" s="71">
        <f t="shared" si="1517"/>
        <v>237.94031657913033</v>
      </c>
      <c r="AE194" s="71">
        <f t="shared" si="1517"/>
        <v>238.50924058885923</v>
      </c>
      <c r="AI194" s="70" t="e">
        <f t="shared" ref="AI194:CD194" si="1519">AI160/AI15*90</f>
        <v>#DIV/0!</v>
      </c>
      <c r="AJ194" s="70" t="e">
        <f t="shared" si="1519"/>
        <v>#DIV/0!</v>
      </c>
      <c r="AK194" s="70" t="e">
        <f t="shared" si="1519"/>
        <v>#DIV/0!</v>
      </c>
      <c r="AL194" s="70" t="e">
        <f t="shared" si="1519"/>
        <v>#DIV/0!</v>
      </c>
      <c r="AM194" s="70" t="e">
        <f t="shared" si="1519"/>
        <v>#DIV/0!</v>
      </c>
      <c r="AN194" s="70" t="e">
        <f t="shared" si="1519"/>
        <v>#DIV/0!</v>
      </c>
      <c r="AO194" s="70" t="e">
        <f t="shared" si="1519"/>
        <v>#DIV/0!</v>
      </c>
      <c r="AP194" s="70" t="e">
        <f t="shared" si="1519"/>
        <v>#DIV/0!</v>
      </c>
      <c r="AQ194" s="70" t="e">
        <f t="shared" si="1519"/>
        <v>#DIV/0!</v>
      </c>
      <c r="AR194" s="70" t="e">
        <f t="shared" si="1519"/>
        <v>#DIV/0!</v>
      </c>
      <c r="AS194" s="70" t="e">
        <f t="shared" si="1519"/>
        <v>#DIV/0!</v>
      </c>
      <c r="AT194" s="70" t="e">
        <f t="shared" si="1519"/>
        <v>#DIV/0!</v>
      </c>
      <c r="AU194" s="70" t="e">
        <f t="shared" si="1519"/>
        <v>#DIV/0!</v>
      </c>
      <c r="AV194" s="70" t="e">
        <f t="shared" si="1519"/>
        <v>#DIV/0!</v>
      </c>
      <c r="AW194" s="70" t="e">
        <f t="shared" si="1519"/>
        <v>#DIV/0!</v>
      </c>
      <c r="AX194" s="70" t="e">
        <f t="shared" si="1519"/>
        <v>#DIV/0!</v>
      </c>
      <c r="AY194" s="70" t="e">
        <f t="shared" si="1519"/>
        <v>#DIV/0!</v>
      </c>
      <c r="AZ194" s="70" t="e">
        <f t="shared" si="1519"/>
        <v>#DIV/0!</v>
      </c>
      <c r="BA194" s="70" t="e">
        <f t="shared" si="1519"/>
        <v>#DIV/0!</v>
      </c>
      <c r="BB194" s="70" t="e">
        <f t="shared" si="1519"/>
        <v>#DIV/0!</v>
      </c>
      <c r="BC194" s="70" t="e">
        <f t="shared" si="1519"/>
        <v>#DIV/0!</v>
      </c>
      <c r="BD194" s="70" t="e">
        <f t="shared" si="1519"/>
        <v>#DIV/0!</v>
      </c>
      <c r="BE194" s="70" t="e">
        <f t="shared" si="1519"/>
        <v>#DIV/0!</v>
      </c>
      <c r="BF194" s="70" t="e">
        <f t="shared" si="1519"/>
        <v>#DIV/0!</v>
      </c>
      <c r="BG194" s="70" t="e">
        <f t="shared" si="1519"/>
        <v>#DIV/0!</v>
      </c>
      <c r="BH194" s="70">
        <f t="shared" si="1519"/>
        <v>0</v>
      </c>
      <c r="BI194" s="70">
        <f t="shared" si="1519"/>
        <v>0</v>
      </c>
      <c r="BJ194" s="70">
        <f t="shared" si="1519"/>
        <v>188.6339486613133</v>
      </c>
      <c r="BK194" s="70">
        <f t="shared" si="1519"/>
        <v>288.05860197206084</v>
      </c>
      <c r="BL194" s="70">
        <f t="shared" si="1519"/>
        <v>398.41756261889009</v>
      </c>
      <c r="BM194" s="70">
        <f t="shared" si="1519"/>
        <v>424.70445326630937</v>
      </c>
      <c r="BN194" s="70">
        <f t="shared" si="1519"/>
        <v>194.7751415829139</v>
      </c>
      <c r="BO194" s="70">
        <f t="shared" si="1519"/>
        <v>292.81702118118619</v>
      </c>
      <c r="BP194" s="70">
        <f t="shared" si="1519"/>
        <v>248.17922686158468</v>
      </c>
      <c r="BQ194" s="70">
        <f t="shared" si="1519"/>
        <v>251.39306517138033</v>
      </c>
      <c r="BR194" s="70">
        <f t="shared" si="1519"/>
        <v>215.06896096853151</v>
      </c>
      <c r="BS194" s="70">
        <f t="shared" si="1519"/>
        <v>237.66581149597945</v>
      </c>
      <c r="BT194" s="70">
        <f t="shared" si="1519"/>
        <v>176.17642969369169</v>
      </c>
      <c r="BU194" s="70">
        <f t="shared" si="1519"/>
        <v>172.44028694623401</v>
      </c>
      <c r="BV194" s="70">
        <f t="shared" si="1519"/>
        <v>240.49158286882721</v>
      </c>
      <c r="BW194" s="70">
        <f t="shared" si="1519"/>
        <v>220.86694471913981</v>
      </c>
      <c r="BX194" s="70">
        <f t="shared" si="1519"/>
        <v>819.92996258274968</v>
      </c>
      <c r="BY194" s="70">
        <f t="shared" si="1519"/>
        <v>680.93599595475837</v>
      </c>
      <c r="BZ194" s="70">
        <f t="shared" si="1519"/>
        <v>3017.661427117494</v>
      </c>
      <c r="CA194" s="70">
        <f t="shared" si="1519"/>
        <v>1185.6901199037825</v>
      </c>
      <c r="CB194" s="70">
        <f t="shared" si="1519"/>
        <v>448.99870971139666</v>
      </c>
      <c r="CC194" s="70">
        <f t="shared" si="1519"/>
        <v>560.29472509213247</v>
      </c>
      <c r="CD194" s="70">
        <f t="shared" si="1519"/>
        <v>295.93246237298496</v>
      </c>
      <c r="CE194" s="115">
        <f>CE160/CE17*90</f>
        <v>362.68698769718054</v>
      </c>
      <c r="CF194" s="70">
        <f>CF160/CF15*90</f>
        <v>371.61495987345825</v>
      </c>
      <c r="CG194" s="70">
        <f>CG160/CG17*90</f>
        <v>244.03421927513713</v>
      </c>
      <c r="CH194" s="70">
        <f>CH160/CH15*90</f>
        <v>173.22475001091655</v>
      </c>
      <c r="CI194" s="70">
        <f>CI191+CI192+CI193</f>
        <v>173.22475001091655</v>
      </c>
      <c r="CJ194" s="70">
        <f>CJ160/CJ15*90</f>
        <v>224.49508177970947</v>
      </c>
      <c r="CK194" s="70">
        <f t="shared" ref="CK194:DB194" si="1520">CK191+CK192+CK193</f>
        <v>224.49508177970944</v>
      </c>
      <c r="CL194" s="70">
        <f>CL160/CL15*90</f>
        <v>218.31363942413947</v>
      </c>
      <c r="CM194" s="50">
        <f t="shared" si="1520"/>
        <v>218.31363942413947</v>
      </c>
      <c r="CN194" s="50">
        <f t="shared" si="1520"/>
        <v>218.31363942413947</v>
      </c>
      <c r="CO194" s="50">
        <f t="shared" si="1520"/>
        <v>218.31363942413947</v>
      </c>
      <c r="CP194" s="50">
        <f t="shared" si="1520"/>
        <v>218.31363942413947</v>
      </c>
      <c r="CQ194" s="50">
        <f t="shared" si="1520"/>
        <v>218.31363942413947</v>
      </c>
      <c r="CR194" s="50">
        <f t="shared" si="1520"/>
        <v>218.31363942413947</v>
      </c>
      <c r="CS194" s="50">
        <f t="shared" si="1520"/>
        <v>218.31363942413947</v>
      </c>
      <c r="CT194" s="50">
        <f t="shared" si="1520"/>
        <v>218.31363942413947</v>
      </c>
      <c r="CU194" s="50">
        <f t="shared" si="1520"/>
        <v>218.31363942413947</v>
      </c>
      <c r="CV194" s="50">
        <f t="shared" si="1520"/>
        <v>218.31363942413947</v>
      </c>
      <c r="CW194" s="50">
        <f t="shared" si="1520"/>
        <v>218.31363942413947</v>
      </c>
      <c r="CX194" s="50">
        <f t="shared" si="1520"/>
        <v>218.31363942413947</v>
      </c>
      <c r="CY194" s="50">
        <f t="shared" si="1520"/>
        <v>218.31363942413947</v>
      </c>
      <c r="CZ194" s="50">
        <f t="shared" si="1520"/>
        <v>218.31363942413947</v>
      </c>
      <c r="DA194" s="50">
        <f t="shared" si="1520"/>
        <v>218.31363942413947</v>
      </c>
      <c r="DB194" s="50">
        <f t="shared" si="1520"/>
        <v>218.31363942413947</v>
      </c>
      <c r="DE194" s="138"/>
      <c r="DF194" s="7">
        <v>224.49508177970944</v>
      </c>
    </row>
    <row r="195" spans="1:110" s="62" customFormat="1" outlineLevel="1" x14ac:dyDescent="0.2">
      <c r="A195" s="68" t="s">
        <v>468</v>
      </c>
      <c r="B195" s="67" t="e">
        <f t="shared" ref="B195:AE195" si="1521">B165/B15*365</f>
        <v>#DIV/0!</v>
      </c>
      <c r="C195" s="67" t="e">
        <f t="shared" si="1521"/>
        <v>#DIV/0!</v>
      </c>
      <c r="D195" s="67" t="e">
        <f t="shared" si="1521"/>
        <v>#DIV/0!</v>
      </c>
      <c r="E195" s="67" t="e">
        <f t="shared" si="1521"/>
        <v>#DIV/0!</v>
      </c>
      <c r="F195" s="67" t="e">
        <f t="shared" si="1521"/>
        <v>#DIV/0!</v>
      </c>
      <c r="G195" s="67" t="e">
        <f t="shared" si="1521"/>
        <v>#DIV/0!</v>
      </c>
      <c r="H195" s="67" t="e">
        <f t="shared" si="1521"/>
        <v>#DIV/0!</v>
      </c>
      <c r="I195" s="67" t="e">
        <f t="shared" si="1521"/>
        <v>#DIV/0!</v>
      </c>
      <c r="J195" s="67" t="e">
        <f t="shared" si="1521"/>
        <v>#DIV/0!</v>
      </c>
      <c r="K195" s="67" t="e">
        <f t="shared" si="1521"/>
        <v>#DIV/0!</v>
      </c>
      <c r="L195" s="67" t="e">
        <f t="shared" si="1521"/>
        <v>#DIV/0!</v>
      </c>
      <c r="M195" s="67" t="e">
        <f t="shared" si="1521"/>
        <v>#DIV/0!</v>
      </c>
      <c r="N195" s="67" t="e">
        <f t="shared" si="1521"/>
        <v>#DIV/0!</v>
      </c>
      <c r="O195" s="67" t="e">
        <f t="shared" si="1521"/>
        <v>#DIV/0!</v>
      </c>
      <c r="P195" s="67" t="e">
        <f t="shared" si="1521"/>
        <v>#DIV/0!</v>
      </c>
      <c r="Q195" s="67" t="e">
        <f t="shared" si="1521"/>
        <v>#DIV/0!</v>
      </c>
      <c r="R195" s="67" t="e">
        <f t="shared" si="1521"/>
        <v>#DIV/0!</v>
      </c>
      <c r="S195" s="67">
        <f t="shared" si="1521"/>
        <v>198.64418133017296</v>
      </c>
      <c r="T195" s="67">
        <f t="shared" si="1521"/>
        <v>84.714298733752031</v>
      </c>
      <c r="U195" s="67">
        <f t="shared" si="1521"/>
        <v>145.41236419988914</v>
      </c>
      <c r="V195" s="67">
        <f t="shared" si="1521"/>
        <v>133.38577586206895</v>
      </c>
      <c r="W195" s="67">
        <f t="shared" si="1521"/>
        <v>98.49005758866231</v>
      </c>
      <c r="X195" s="67">
        <f t="shared" si="1521"/>
        <v>117.73410553793778</v>
      </c>
      <c r="Y195" s="67">
        <f t="shared" si="1521"/>
        <v>181.31374428817574</v>
      </c>
      <c r="Z195" s="67">
        <f t="shared" si="1521"/>
        <v>159.28068855861605</v>
      </c>
      <c r="AA195" s="67">
        <f t="shared" ref="AA195" si="1522">AA165/AA15*365</f>
        <v>120.96516981207068</v>
      </c>
      <c r="AB195" s="18">
        <f t="shared" si="1521"/>
        <v>125.64588187723371</v>
      </c>
      <c r="AC195" s="18">
        <f t="shared" si="1521"/>
        <v>126.02830512150209</v>
      </c>
      <c r="AD195" s="18">
        <f t="shared" si="1521"/>
        <v>126.11772511502548</v>
      </c>
      <c r="AE195" s="18">
        <f t="shared" si="1521"/>
        <v>126.4192772138959</v>
      </c>
      <c r="AI195" s="67" t="e">
        <f>AJ165/AI15*90</f>
        <v>#DIV/0!</v>
      </c>
      <c r="AJ195" s="67" t="e">
        <f>AJ165/AJ15*90</f>
        <v>#DIV/0!</v>
      </c>
      <c r="AK195" s="67" t="e">
        <f t="shared" ref="AK195:CE195" si="1523">+AJ195</f>
        <v>#DIV/0!</v>
      </c>
      <c r="AL195" s="67" t="e">
        <f>AL165/AL15*90</f>
        <v>#DIV/0!</v>
      </c>
      <c r="AM195" s="67" t="e">
        <f t="shared" ref="AM195" si="1524">+AL195</f>
        <v>#DIV/0!</v>
      </c>
      <c r="AN195" s="67" t="e">
        <f>AN165/AN15*90</f>
        <v>#DIV/0!</v>
      </c>
      <c r="AO195" s="67" t="e">
        <f t="shared" ref="AO195" si="1525">+AN195</f>
        <v>#DIV/0!</v>
      </c>
      <c r="AP195" s="67" t="e">
        <f>AP165/AP15*90</f>
        <v>#DIV/0!</v>
      </c>
      <c r="AQ195" s="67" t="e">
        <f t="shared" ref="AQ195" si="1526">+AP195</f>
        <v>#DIV/0!</v>
      </c>
      <c r="AR195" s="67" t="e">
        <f>AR165/AR15*90</f>
        <v>#DIV/0!</v>
      </c>
      <c r="AS195" s="67" t="e">
        <f t="shared" ref="AS195" si="1527">+AR195</f>
        <v>#DIV/0!</v>
      </c>
      <c r="AT195" s="67" t="e">
        <f>AT165/AT15*90</f>
        <v>#DIV/0!</v>
      </c>
      <c r="AU195" s="67" t="e">
        <f t="shared" ref="AU195" si="1528">+AT195</f>
        <v>#DIV/0!</v>
      </c>
      <c r="AV195" s="67" t="e">
        <f>AV165/AV15*90</f>
        <v>#DIV/0!</v>
      </c>
      <c r="AW195" s="67" t="e">
        <f t="shared" ref="AW195" si="1529">+AV195</f>
        <v>#DIV/0!</v>
      </c>
      <c r="AX195" s="67" t="e">
        <f>AX165/AX15*90</f>
        <v>#DIV/0!</v>
      </c>
      <c r="AY195" s="67" t="e">
        <f t="shared" ref="AY195" si="1530">+AX195</f>
        <v>#DIV/0!</v>
      </c>
      <c r="AZ195" s="67" t="e">
        <f>AZ165/AZ15*90</f>
        <v>#DIV/0!</v>
      </c>
      <c r="BA195" s="67" t="e">
        <f t="shared" ref="BA195" si="1531">+AZ195</f>
        <v>#DIV/0!</v>
      </c>
      <c r="BB195" s="67" t="e">
        <f>BB165/BB15*90</f>
        <v>#DIV/0!</v>
      </c>
      <c r="BC195" s="67" t="e">
        <f t="shared" ref="BC195" si="1532">+BB195</f>
        <v>#DIV/0!</v>
      </c>
      <c r="BD195" s="67" t="e">
        <f>BD165/BD15*90</f>
        <v>#DIV/0!</v>
      </c>
      <c r="BE195" s="67" t="e">
        <f t="shared" ref="BE195" si="1533">+BD195</f>
        <v>#DIV/0!</v>
      </c>
      <c r="BF195" s="67" t="e">
        <f>BF165/BF15*90</f>
        <v>#DIV/0!</v>
      </c>
      <c r="BG195" s="67" t="e">
        <f t="shared" ref="BG195" si="1534">+BF195</f>
        <v>#DIV/0!</v>
      </c>
      <c r="BH195" s="67">
        <f>BH165/BH15*90</f>
        <v>0</v>
      </c>
      <c r="BI195" s="67">
        <f t="shared" ref="BI195" si="1535">+BH195</f>
        <v>0</v>
      </c>
      <c r="BJ195" s="67">
        <f>BJ165/BJ15*90</f>
        <v>74.025749334269136</v>
      </c>
      <c r="BK195" s="67">
        <f t="shared" ref="BK195" si="1536">+BJ195</f>
        <v>74.025749334269136</v>
      </c>
      <c r="BL195" s="67">
        <f>BL165/BL15*90</f>
        <v>138.85656105184651</v>
      </c>
      <c r="BM195" s="67">
        <f t="shared" ref="BM195" si="1537">+BL195</f>
        <v>138.85656105184651</v>
      </c>
      <c r="BN195" s="67">
        <f>BN165/BN15*90</f>
        <v>97.01042884942953</v>
      </c>
      <c r="BO195" s="67">
        <f t="shared" ref="BO195" si="1538">+BN195</f>
        <v>97.01042884942953</v>
      </c>
      <c r="BP195" s="67">
        <f>BP165/BP15*90</f>
        <v>96.0781966587612</v>
      </c>
      <c r="BQ195" s="67">
        <f t="shared" ref="BQ195" si="1539">+BP195</f>
        <v>96.0781966587612</v>
      </c>
      <c r="BR195" s="67">
        <f>BR165/BR15*90</f>
        <v>122.46302783355564</v>
      </c>
      <c r="BS195" s="67">
        <f t="shared" ref="BS195" si="1540">+BR195</f>
        <v>122.46302783355564</v>
      </c>
      <c r="BT195" s="67">
        <f>BT165/BT15*90</f>
        <v>104.35512576298994</v>
      </c>
      <c r="BU195" s="67">
        <f t="shared" ref="BU195" si="1541">+BT195</f>
        <v>104.35512576298994</v>
      </c>
      <c r="BV195" s="67">
        <f>BV165/BV15*90</f>
        <v>117.88409288255231</v>
      </c>
      <c r="BW195" s="67">
        <f t="shared" ref="BW195" si="1542">+BV195</f>
        <v>117.88409288255231</v>
      </c>
      <c r="BX195" s="67">
        <f>BX165/BX15*90</f>
        <v>389.77837474815311</v>
      </c>
      <c r="BY195" s="67">
        <f t="shared" ref="BY195" si="1543">+BX195</f>
        <v>389.77837474815311</v>
      </c>
      <c r="BZ195" s="67">
        <f>BZ165/BZ15*90</f>
        <v>661.49949112292211</v>
      </c>
      <c r="CA195" s="67">
        <f t="shared" ref="CA195" si="1544">+BZ195</f>
        <v>661.49949112292211</v>
      </c>
      <c r="CB195" s="67">
        <f>CB165/CB15*90</f>
        <v>157.18124605013693</v>
      </c>
      <c r="CC195" s="67">
        <f t="shared" ref="CC195" si="1545">+CB195</f>
        <v>157.18124605013693</v>
      </c>
      <c r="CD195" s="67">
        <f>CD165/CD15*90</f>
        <v>115.19749407899764</v>
      </c>
      <c r="CE195" s="114">
        <f t="shared" si="1523"/>
        <v>115.19749407899764</v>
      </c>
      <c r="CF195" s="67">
        <f>CF165/CF15*90</f>
        <v>134.8895185785403</v>
      </c>
      <c r="CG195" s="67">
        <f t="shared" ref="CG195:CI195" si="1546">+CF195</f>
        <v>134.8895185785403</v>
      </c>
      <c r="CH195" s="67">
        <f>CH165/CH15*90</f>
        <v>98.250413836632774</v>
      </c>
      <c r="CI195" s="67">
        <f t="shared" si="1546"/>
        <v>98.250413836632774</v>
      </c>
      <c r="CJ195" s="67">
        <f>CJ165/CJ15*90</f>
        <v>113.9931373670365</v>
      </c>
      <c r="CK195" s="67">
        <f t="shared" ref="CK195" si="1547">+CJ195</f>
        <v>113.9931373670365</v>
      </c>
      <c r="CL195" s="67">
        <f>CL165/CL15*90</f>
        <v>115.71481437698205</v>
      </c>
      <c r="CM195" s="30">
        <f t="shared" ref="CM195" si="1548">+CL195</f>
        <v>115.71481437698205</v>
      </c>
      <c r="CN195" s="30">
        <f t="shared" ref="CN195" si="1549">+CM195</f>
        <v>115.71481437698205</v>
      </c>
      <c r="CO195" s="30">
        <f t="shared" ref="CO195" si="1550">+CN195</f>
        <v>115.71481437698205</v>
      </c>
      <c r="CP195" s="30">
        <f t="shared" ref="CP195" si="1551">+CO195</f>
        <v>115.71481437698205</v>
      </c>
      <c r="CQ195" s="30">
        <f t="shared" ref="CQ195" si="1552">+CP195</f>
        <v>115.71481437698205</v>
      </c>
      <c r="CR195" s="30">
        <f t="shared" ref="CR195" si="1553">+CQ195</f>
        <v>115.71481437698205</v>
      </c>
      <c r="CS195" s="30">
        <f t="shared" ref="CS195" si="1554">+CR195</f>
        <v>115.71481437698205</v>
      </c>
      <c r="CT195" s="30">
        <f t="shared" ref="CT195" si="1555">+CS195</f>
        <v>115.71481437698205</v>
      </c>
      <c r="CU195" s="30">
        <f t="shared" ref="CU195" si="1556">+CT195</f>
        <v>115.71481437698205</v>
      </c>
      <c r="CV195" s="30">
        <f t="shared" ref="CV195" si="1557">+CU195</f>
        <v>115.71481437698205</v>
      </c>
      <c r="CW195" s="30">
        <f t="shared" ref="CW195" si="1558">+CV195</f>
        <v>115.71481437698205</v>
      </c>
      <c r="CX195" s="30">
        <f t="shared" ref="CX195" si="1559">+CW195</f>
        <v>115.71481437698205</v>
      </c>
      <c r="CY195" s="30">
        <f t="shared" ref="CY195" si="1560">+CX195</f>
        <v>115.71481437698205</v>
      </c>
      <c r="CZ195" s="30">
        <f t="shared" ref="CZ195" si="1561">+CY195</f>
        <v>115.71481437698205</v>
      </c>
      <c r="DA195" s="30">
        <f t="shared" ref="DA195" si="1562">+CZ195</f>
        <v>115.71481437698205</v>
      </c>
      <c r="DB195" s="30">
        <f t="shared" ref="DB195" si="1563">+DA195</f>
        <v>115.71481437698205</v>
      </c>
      <c r="DE195" s="139"/>
      <c r="DF195" s="62">
        <v>113.9931373670365</v>
      </c>
    </row>
    <row r="196" spans="1:110" s="62" customFormat="1" outlineLevel="1" x14ac:dyDescent="0.2">
      <c r="A196" s="68" t="s">
        <v>466</v>
      </c>
      <c r="B196" s="67" t="e">
        <f>B197-B195</f>
        <v>#DIV/0!</v>
      </c>
      <c r="C196" s="67" t="e">
        <f t="shared" ref="C196:V196" si="1564">C197-C195</f>
        <v>#DIV/0!</v>
      </c>
      <c r="D196" s="67" t="e">
        <f t="shared" si="1564"/>
        <v>#DIV/0!</v>
      </c>
      <c r="E196" s="67" t="e">
        <f t="shared" si="1564"/>
        <v>#DIV/0!</v>
      </c>
      <c r="F196" s="67" t="e">
        <f t="shared" si="1564"/>
        <v>#DIV/0!</v>
      </c>
      <c r="G196" s="67" t="e">
        <f t="shared" si="1564"/>
        <v>#DIV/0!</v>
      </c>
      <c r="H196" s="67" t="e">
        <f t="shared" si="1564"/>
        <v>#DIV/0!</v>
      </c>
      <c r="I196" s="67" t="e">
        <f t="shared" si="1564"/>
        <v>#DIV/0!</v>
      </c>
      <c r="J196" s="67" t="e">
        <f t="shared" si="1564"/>
        <v>#DIV/0!</v>
      </c>
      <c r="K196" s="67" t="e">
        <f t="shared" si="1564"/>
        <v>#DIV/0!</v>
      </c>
      <c r="L196" s="67" t="e">
        <f t="shared" si="1564"/>
        <v>#DIV/0!</v>
      </c>
      <c r="M196" s="67" t="e">
        <f t="shared" si="1564"/>
        <v>#DIV/0!</v>
      </c>
      <c r="N196" s="67" t="e">
        <f t="shared" si="1564"/>
        <v>#DIV/0!</v>
      </c>
      <c r="O196" s="67" t="e">
        <f t="shared" si="1564"/>
        <v>#DIV/0!</v>
      </c>
      <c r="P196" s="67" t="e">
        <f t="shared" si="1564"/>
        <v>#DIV/0!</v>
      </c>
      <c r="Q196" s="67" t="e">
        <f t="shared" si="1564"/>
        <v>#DIV/0!</v>
      </c>
      <c r="R196" s="67" t="e">
        <f t="shared" si="1564"/>
        <v>#DIV/0!</v>
      </c>
      <c r="S196" s="67">
        <f t="shared" si="1564"/>
        <v>46.702491578512962</v>
      </c>
      <c r="T196" s="67">
        <f t="shared" si="1564"/>
        <v>26.578612976444873</v>
      </c>
      <c r="U196" s="67">
        <f t="shared" si="1564"/>
        <v>54.794943402047267</v>
      </c>
      <c r="V196" s="67">
        <f t="shared" si="1564"/>
        <v>52.191810344827559</v>
      </c>
      <c r="W196" s="67">
        <f t="shared" ref="W196" si="1565">W197-W195</f>
        <v>53.093053583999833</v>
      </c>
      <c r="X196" s="67">
        <f t="shared" ref="X196:Y196" si="1566">X197-X195</f>
        <v>138.7101800983618</v>
      </c>
      <c r="Y196" s="67">
        <f t="shared" si="1566"/>
        <v>163.66120110563125</v>
      </c>
      <c r="Z196" s="67">
        <f t="shared" ref="Z196:AA196" si="1567">Z197-Z195</f>
        <v>56.992118200023469</v>
      </c>
      <c r="AA196" s="67">
        <f t="shared" si="1567"/>
        <v>48.399897986897258</v>
      </c>
      <c r="AB196" s="18">
        <f t="shared" ref="AA196:AD196" si="1568">AB197-AB195</f>
        <v>50.27271796319198</v>
      </c>
      <c r="AC196" s="18">
        <f t="shared" si="1568"/>
        <v>50.425730983709911</v>
      </c>
      <c r="AD196" s="18">
        <f t="shared" si="1568"/>
        <v>50.461509204591522</v>
      </c>
      <c r="AE196" s="18">
        <f t="shared" ref="AE196" si="1569">AE197-AE195</f>
        <v>50.582164520875892</v>
      </c>
      <c r="AI196" s="67" t="e">
        <f t="shared" ref="AI196:AK196" si="1570">AI197-AI195</f>
        <v>#DIV/0!</v>
      </c>
      <c r="AJ196" s="67" t="e">
        <f t="shared" ref="AJ196:AM196" si="1571">AJ197-AJ195</f>
        <v>#DIV/0!</v>
      </c>
      <c r="AK196" s="67" t="e">
        <f t="shared" si="1570"/>
        <v>#DIV/0!</v>
      </c>
      <c r="AL196" s="67" t="e">
        <f t="shared" si="1571"/>
        <v>#DIV/0!</v>
      </c>
      <c r="AM196" s="67" t="e">
        <f t="shared" si="1571"/>
        <v>#DIV/0!</v>
      </c>
      <c r="AN196" s="67" t="e">
        <f t="shared" ref="AN196:AY196" si="1572">AN197-AN195</f>
        <v>#DIV/0!</v>
      </c>
      <c r="AO196" s="67" t="e">
        <f t="shared" si="1572"/>
        <v>#DIV/0!</v>
      </c>
      <c r="AP196" s="67" t="e">
        <f t="shared" si="1572"/>
        <v>#DIV/0!</v>
      </c>
      <c r="AQ196" s="67" t="e">
        <f t="shared" si="1572"/>
        <v>#DIV/0!</v>
      </c>
      <c r="AR196" s="67" t="e">
        <f t="shared" si="1572"/>
        <v>#DIV/0!</v>
      </c>
      <c r="AS196" s="67" t="e">
        <f t="shared" si="1572"/>
        <v>#DIV/0!</v>
      </c>
      <c r="AT196" s="67" t="e">
        <f t="shared" si="1572"/>
        <v>#DIV/0!</v>
      </c>
      <c r="AU196" s="67" t="e">
        <f t="shared" si="1572"/>
        <v>#DIV/0!</v>
      </c>
      <c r="AV196" s="67" t="e">
        <f t="shared" si="1572"/>
        <v>#DIV/0!</v>
      </c>
      <c r="AW196" s="67" t="e">
        <f t="shared" si="1572"/>
        <v>#DIV/0!</v>
      </c>
      <c r="AX196" s="67" t="e">
        <f t="shared" si="1572"/>
        <v>#DIV/0!</v>
      </c>
      <c r="AY196" s="67" t="e">
        <f t="shared" si="1572"/>
        <v>#DIV/0!</v>
      </c>
      <c r="AZ196" s="67" t="e">
        <f t="shared" ref="AZ196:BC196" si="1573">AZ197-AZ195</f>
        <v>#DIV/0!</v>
      </c>
      <c r="BA196" s="67" t="e">
        <f t="shared" si="1573"/>
        <v>#DIV/0!</v>
      </c>
      <c r="BB196" s="67" t="e">
        <f t="shared" si="1573"/>
        <v>#DIV/0!</v>
      </c>
      <c r="BC196" s="67" t="e">
        <f t="shared" si="1573"/>
        <v>#DIV/0!</v>
      </c>
      <c r="BD196" s="67" t="e">
        <f t="shared" ref="BD196:CE196" si="1574">BD197-BD195</f>
        <v>#DIV/0!</v>
      </c>
      <c r="BE196" s="67" t="e">
        <f t="shared" si="1574"/>
        <v>#DIV/0!</v>
      </c>
      <c r="BF196" s="67" t="e">
        <f t="shared" si="1574"/>
        <v>#DIV/0!</v>
      </c>
      <c r="BG196" s="67" t="e">
        <f t="shared" si="1574"/>
        <v>#DIV/0!</v>
      </c>
      <c r="BH196" s="67">
        <f t="shared" si="1574"/>
        <v>0</v>
      </c>
      <c r="BI196" s="67">
        <f t="shared" si="1574"/>
        <v>0</v>
      </c>
      <c r="BJ196" s="67">
        <f t="shared" si="1574"/>
        <v>16.02681243936172</v>
      </c>
      <c r="BK196" s="67">
        <f t="shared" si="1574"/>
        <v>29.934190128117592</v>
      </c>
      <c r="BL196" s="67">
        <f t="shared" si="1574"/>
        <v>54.716708705890255</v>
      </c>
      <c r="BM196" s="67">
        <f t="shared" si="1574"/>
        <v>60.661689494704973</v>
      </c>
      <c r="BN196" s="67">
        <f t="shared" si="1574"/>
        <v>22.567370173199464</v>
      </c>
      <c r="BO196" s="67">
        <f t="shared" si="1574"/>
        <v>43.546212192152808</v>
      </c>
      <c r="BP196" s="67">
        <f t="shared" si="1574"/>
        <v>59.758497115880985</v>
      </c>
      <c r="BQ196" s="67">
        <f t="shared" si="1574"/>
        <v>60.892866672257256</v>
      </c>
      <c r="BR196" s="67">
        <f t="shared" si="1574"/>
        <v>47.91790640069182</v>
      </c>
      <c r="BS196" s="67">
        <f t="shared" si="1574"/>
        <v>54.733180984907435</v>
      </c>
      <c r="BT196" s="67">
        <f t="shared" si="1574"/>
        <v>37.281531124428184</v>
      </c>
      <c r="BU196" s="67">
        <f t="shared" si="1574"/>
        <v>35.873927993256885</v>
      </c>
      <c r="BV196" s="67">
        <f t="shared" si="1574"/>
        <v>63.547799781518748</v>
      </c>
      <c r="BW196" s="67">
        <f t="shared" si="1574"/>
        <v>56.392334269593093</v>
      </c>
      <c r="BX196" s="67">
        <f t="shared" si="1574"/>
        <v>131.40074834500632</v>
      </c>
      <c r="BY196" s="67">
        <f t="shared" si="1574"/>
        <v>100.962502457244</v>
      </c>
      <c r="BZ196" s="67">
        <f t="shared" si="1574"/>
        <v>779.35542236797414</v>
      </c>
      <c r="CA196" s="67">
        <f t="shared" si="1574"/>
        <v>133.83253068199474</v>
      </c>
      <c r="CB196" s="67">
        <f t="shared" si="1574"/>
        <v>109.42029176321884</v>
      </c>
      <c r="CC196" s="67">
        <f t="shared" si="1574"/>
        <v>142.579776283283</v>
      </c>
      <c r="CD196" s="67">
        <f t="shared" si="1574"/>
        <v>103.98196959278781</v>
      </c>
      <c r="CE196" s="114">
        <f t="shared" si="1574"/>
        <v>133.86204183332242</v>
      </c>
      <c r="CF196" s="67">
        <f t="shared" ref="CF196:CG196" si="1575">CF197-CF195</f>
        <v>132.37071684344343</v>
      </c>
      <c r="CG196" s="67">
        <f t="shared" si="1575"/>
        <v>74.247060744611389</v>
      </c>
      <c r="CH196" s="67">
        <f t="shared" ref="CH196" si="1576">CH197-CH195</f>
        <v>35.154915823445592</v>
      </c>
      <c r="CI196" s="67">
        <f>CH196</f>
        <v>35.154915823445592</v>
      </c>
      <c r="CJ196" s="67">
        <f t="shared" ref="CJ196:CL196" si="1577">CJ197-CJ195</f>
        <v>50.956593846505797</v>
      </c>
      <c r="CK196" s="67">
        <f t="shared" ref="CK196:DB196" si="1578">CJ196</f>
        <v>50.956593846505797</v>
      </c>
      <c r="CL196" s="67">
        <f t="shared" si="1577"/>
        <v>46.299155534768005</v>
      </c>
      <c r="CM196" s="30">
        <f t="shared" si="1578"/>
        <v>46.299155534768005</v>
      </c>
      <c r="CN196" s="30">
        <f t="shared" si="1578"/>
        <v>46.299155534768005</v>
      </c>
      <c r="CO196" s="30">
        <f t="shared" si="1578"/>
        <v>46.299155534768005</v>
      </c>
      <c r="CP196" s="30">
        <f t="shared" si="1578"/>
        <v>46.299155534768005</v>
      </c>
      <c r="CQ196" s="30">
        <f t="shared" si="1578"/>
        <v>46.299155534768005</v>
      </c>
      <c r="CR196" s="30">
        <f t="shared" si="1578"/>
        <v>46.299155534768005</v>
      </c>
      <c r="CS196" s="30">
        <f t="shared" si="1578"/>
        <v>46.299155534768005</v>
      </c>
      <c r="CT196" s="30">
        <f t="shared" si="1578"/>
        <v>46.299155534768005</v>
      </c>
      <c r="CU196" s="30">
        <f t="shared" si="1578"/>
        <v>46.299155534768005</v>
      </c>
      <c r="CV196" s="30">
        <f t="shared" si="1578"/>
        <v>46.299155534768005</v>
      </c>
      <c r="CW196" s="30">
        <f t="shared" si="1578"/>
        <v>46.299155534768005</v>
      </c>
      <c r="CX196" s="30">
        <f t="shared" si="1578"/>
        <v>46.299155534768005</v>
      </c>
      <c r="CY196" s="30">
        <f t="shared" si="1578"/>
        <v>46.299155534768005</v>
      </c>
      <c r="CZ196" s="30">
        <f t="shared" si="1578"/>
        <v>46.299155534768005</v>
      </c>
      <c r="DA196" s="30">
        <f t="shared" si="1578"/>
        <v>46.299155534768005</v>
      </c>
      <c r="DB196" s="30">
        <f t="shared" si="1578"/>
        <v>46.299155534768005</v>
      </c>
      <c r="DE196" s="139"/>
      <c r="DF196" s="62">
        <v>50.956593846505797</v>
      </c>
    </row>
    <row r="197" spans="1:110" s="7" customFormat="1" outlineLevel="1" x14ac:dyDescent="0.2">
      <c r="A197" s="69" t="s">
        <v>469</v>
      </c>
      <c r="B197" s="70" t="e">
        <f t="shared" ref="B197:AE197" si="1579">B168/B15*365</f>
        <v>#DIV/0!</v>
      </c>
      <c r="C197" s="70" t="e">
        <f t="shared" si="1579"/>
        <v>#DIV/0!</v>
      </c>
      <c r="D197" s="70" t="e">
        <f t="shared" si="1579"/>
        <v>#DIV/0!</v>
      </c>
      <c r="E197" s="70" t="e">
        <f t="shared" si="1579"/>
        <v>#DIV/0!</v>
      </c>
      <c r="F197" s="70" t="e">
        <f t="shared" si="1579"/>
        <v>#DIV/0!</v>
      </c>
      <c r="G197" s="70" t="e">
        <f t="shared" si="1579"/>
        <v>#DIV/0!</v>
      </c>
      <c r="H197" s="70" t="e">
        <f t="shared" si="1579"/>
        <v>#DIV/0!</v>
      </c>
      <c r="I197" s="70" t="e">
        <f t="shared" si="1579"/>
        <v>#DIV/0!</v>
      </c>
      <c r="J197" s="70" t="e">
        <f t="shared" si="1579"/>
        <v>#DIV/0!</v>
      </c>
      <c r="K197" s="70" t="e">
        <f t="shared" si="1579"/>
        <v>#DIV/0!</v>
      </c>
      <c r="L197" s="70" t="e">
        <f t="shared" si="1579"/>
        <v>#DIV/0!</v>
      </c>
      <c r="M197" s="70" t="e">
        <f t="shared" si="1579"/>
        <v>#DIV/0!</v>
      </c>
      <c r="N197" s="70" t="e">
        <f t="shared" si="1579"/>
        <v>#DIV/0!</v>
      </c>
      <c r="O197" s="70" t="e">
        <f t="shared" si="1579"/>
        <v>#DIV/0!</v>
      </c>
      <c r="P197" s="70" t="e">
        <f t="shared" si="1579"/>
        <v>#DIV/0!</v>
      </c>
      <c r="Q197" s="70" t="e">
        <f t="shared" si="1579"/>
        <v>#DIV/0!</v>
      </c>
      <c r="R197" s="70" t="e">
        <f t="shared" si="1579"/>
        <v>#DIV/0!</v>
      </c>
      <c r="S197" s="70">
        <f t="shared" si="1579"/>
        <v>245.34667290868592</v>
      </c>
      <c r="T197" s="70">
        <f t="shared" si="1579"/>
        <v>111.2929117101969</v>
      </c>
      <c r="U197" s="70">
        <f t="shared" si="1579"/>
        <v>200.20730760193641</v>
      </c>
      <c r="V197" s="70">
        <f t="shared" si="1579"/>
        <v>185.57758620689651</v>
      </c>
      <c r="W197" s="70">
        <f t="shared" si="1579"/>
        <v>151.58311117266214</v>
      </c>
      <c r="X197" s="70">
        <f t="shared" si="1579"/>
        <v>256.44428563629958</v>
      </c>
      <c r="Y197" s="70">
        <f t="shared" si="1579"/>
        <v>344.97494539380699</v>
      </c>
      <c r="Z197" s="70">
        <f t="shared" si="1579"/>
        <v>216.27280675863952</v>
      </c>
      <c r="AA197" s="70">
        <f t="shared" ref="AA197" si="1580">AA168/AA15*365</f>
        <v>169.36506779896794</v>
      </c>
      <c r="AB197" s="71">
        <f t="shared" si="1579"/>
        <v>175.91859984042568</v>
      </c>
      <c r="AC197" s="71">
        <f t="shared" si="1579"/>
        <v>176.454036105212</v>
      </c>
      <c r="AD197" s="71">
        <f t="shared" si="1579"/>
        <v>176.579234319617</v>
      </c>
      <c r="AE197" s="71">
        <f t="shared" si="1579"/>
        <v>177.00144173477179</v>
      </c>
      <c r="AI197" s="70" t="e">
        <f t="shared" ref="AI197:CD197" si="1581">AI168/AI15*90</f>
        <v>#DIV/0!</v>
      </c>
      <c r="AJ197" s="70" t="e">
        <f t="shared" si="1581"/>
        <v>#DIV/0!</v>
      </c>
      <c r="AK197" s="70" t="e">
        <f>AK168/AK15*90</f>
        <v>#DIV/0!</v>
      </c>
      <c r="AL197" s="70" t="e">
        <f t="shared" si="1581"/>
        <v>#DIV/0!</v>
      </c>
      <c r="AM197" s="70" t="e">
        <f t="shared" si="1581"/>
        <v>#DIV/0!</v>
      </c>
      <c r="AN197" s="70" t="e">
        <f t="shared" si="1581"/>
        <v>#DIV/0!</v>
      </c>
      <c r="AO197" s="70" t="e">
        <f t="shared" si="1581"/>
        <v>#DIV/0!</v>
      </c>
      <c r="AP197" s="70" t="e">
        <f t="shared" si="1581"/>
        <v>#DIV/0!</v>
      </c>
      <c r="AQ197" s="70" t="e">
        <f t="shared" si="1581"/>
        <v>#DIV/0!</v>
      </c>
      <c r="AR197" s="70" t="e">
        <f t="shared" si="1581"/>
        <v>#DIV/0!</v>
      </c>
      <c r="AS197" s="70" t="e">
        <f t="shared" si="1581"/>
        <v>#DIV/0!</v>
      </c>
      <c r="AT197" s="70" t="e">
        <f t="shared" si="1581"/>
        <v>#DIV/0!</v>
      </c>
      <c r="AU197" s="70" t="e">
        <f t="shared" si="1581"/>
        <v>#DIV/0!</v>
      </c>
      <c r="AV197" s="70" t="e">
        <f t="shared" si="1581"/>
        <v>#DIV/0!</v>
      </c>
      <c r="AW197" s="70" t="e">
        <f t="shared" si="1581"/>
        <v>#DIV/0!</v>
      </c>
      <c r="AX197" s="70" t="e">
        <f t="shared" si="1581"/>
        <v>#DIV/0!</v>
      </c>
      <c r="AY197" s="70" t="e">
        <f t="shared" si="1581"/>
        <v>#DIV/0!</v>
      </c>
      <c r="AZ197" s="70" t="e">
        <f t="shared" si="1581"/>
        <v>#DIV/0!</v>
      </c>
      <c r="BA197" s="70" t="e">
        <f t="shared" si="1581"/>
        <v>#DIV/0!</v>
      </c>
      <c r="BB197" s="70" t="e">
        <f t="shared" si="1581"/>
        <v>#DIV/0!</v>
      </c>
      <c r="BC197" s="70" t="e">
        <f t="shared" si="1581"/>
        <v>#DIV/0!</v>
      </c>
      <c r="BD197" s="70" t="e">
        <f t="shared" si="1581"/>
        <v>#DIV/0!</v>
      </c>
      <c r="BE197" s="70" t="e">
        <f t="shared" si="1581"/>
        <v>#DIV/0!</v>
      </c>
      <c r="BF197" s="70" t="e">
        <f t="shared" si="1581"/>
        <v>#DIV/0!</v>
      </c>
      <c r="BG197" s="70" t="e">
        <f t="shared" si="1581"/>
        <v>#DIV/0!</v>
      </c>
      <c r="BH197" s="70">
        <f t="shared" si="1581"/>
        <v>0</v>
      </c>
      <c r="BI197" s="70">
        <f t="shared" si="1581"/>
        <v>0</v>
      </c>
      <c r="BJ197" s="70">
        <f t="shared" si="1581"/>
        <v>90.052561773630856</v>
      </c>
      <c r="BK197" s="70">
        <f t="shared" si="1581"/>
        <v>103.95993946238673</v>
      </c>
      <c r="BL197" s="70">
        <f t="shared" si="1581"/>
        <v>193.57326975773677</v>
      </c>
      <c r="BM197" s="70">
        <f t="shared" si="1581"/>
        <v>199.51825054655149</v>
      </c>
      <c r="BN197" s="70">
        <f t="shared" si="1581"/>
        <v>119.57779902262899</v>
      </c>
      <c r="BO197" s="70">
        <f t="shared" si="1581"/>
        <v>140.55664104158234</v>
      </c>
      <c r="BP197" s="70">
        <f t="shared" si="1581"/>
        <v>155.83669377464219</v>
      </c>
      <c r="BQ197" s="70">
        <f t="shared" si="1581"/>
        <v>156.97106333101846</v>
      </c>
      <c r="BR197" s="70">
        <f t="shared" si="1581"/>
        <v>170.38093423424746</v>
      </c>
      <c r="BS197" s="70">
        <f t="shared" si="1581"/>
        <v>177.19620881846308</v>
      </c>
      <c r="BT197" s="70">
        <f t="shared" si="1581"/>
        <v>141.63665688741813</v>
      </c>
      <c r="BU197" s="70">
        <f t="shared" si="1581"/>
        <v>140.22905375624683</v>
      </c>
      <c r="BV197" s="70">
        <f t="shared" si="1581"/>
        <v>181.43189266407106</v>
      </c>
      <c r="BW197" s="70">
        <f t="shared" si="1581"/>
        <v>174.2764271521454</v>
      </c>
      <c r="BX197" s="70">
        <f t="shared" si="1581"/>
        <v>521.17912309315943</v>
      </c>
      <c r="BY197" s="70">
        <f t="shared" si="1581"/>
        <v>490.74087720539711</v>
      </c>
      <c r="BZ197" s="70">
        <f t="shared" si="1581"/>
        <v>1440.8549134908963</v>
      </c>
      <c r="CA197" s="70">
        <f t="shared" si="1581"/>
        <v>795.33202180491685</v>
      </c>
      <c r="CB197" s="70">
        <f t="shared" si="1581"/>
        <v>266.60153781335578</v>
      </c>
      <c r="CC197" s="70">
        <f t="shared" si="1581"/>
        <v>299.76102233341993</v>
      </c>
      <c r="CD197" s="70">
        <f t="shared" si="1581"/>
        <v>219.17946367178544</v>
      </c>
      <c r="CE197" s="115">
        <f>CE168/CE17*90</f>
        <v>249.05953591232006</v>
      </c>
      <c r="CF197" s="70">
        <f>CF168/CF15*90</f>
        <v>267.26023542198374</v>
      </c>
      <c r="CG197" s="70">
        <f>CG168/CG17*90</f>
        <v>209.13657932315169</v>
      </c>
      <c r="CH197" s="70">
        <f>CH168/CH15*90</f>
        <v>133.40532966007837</v>
      </c>
      <c r="CI197" s="70">
        <f>CI195+CI196</f>
        <v>133.40532966007837</v>
      </c>
      <c r="CJ197" s="70">
        <f>CJ168/CJ15*90</f>
        <v>164.94973121354229</v>
      </c>
      <c r="CK197" s="70">
        <f t="shared" ref="CK197:DB197" si="1582">CK195+CK196</f>
        <v>164.94973121354229</v>
      </c>
      <c r="CL197" s="70">
        <f>CL168/CL15*90</f>
        <v>162.01396991175005</v>
      </c>
      <c r="CM197" s="50">
        <f t="shared" si="1582"/>
        <v>162.01396991175005</v>
      </c>
      <c r="CN197" s="50">
        <f t="shared" si="1582"/>
        <v>162.01396991175005</v>
      </c>
      <c r="CO197" s="50">
        <f t="shared" si="1582"/>
        <v>162.01396991175005</v>
      </c>
      <c r="CP197" s="50">
        <f t="shared" si="1582"/>
        <v>162.01396991175005</v>
      </c>
      <c r="CQ197" s="50">
        <f t="shared" si="1582"/>
        <v>162.01396991175005</v>
      </c>
      <c r="CR197" s="50">
        <f t="shared" si="1582"/>
        <v>162.01396991175005</v>
      </c>
      <c r="CS197" s="50">
        <f t="shared" si="1582"/>
        <v>162.01396991175005</v>
      </c>
      <c r="CT197" s="50">
        <f t="shared" si="1582"/>
        <v>162.01396991175005</v>
      </c>
      <c r="CU197" s="50">
        <f t="shared" si="1582"/>
        <v>162.01396991175005</v>
      </c>
      <c r="CV197" s="50">
        <f t="shared" si="1582"/>
        <v>162.01396991175005</v>
      </c>
      <c r="CW197" s="50">
        <f t="shared" si="1582"/>
        <v>162.01396991175005</v>
      </c>
      <c r="CX197" s="50">
        <f t="shared" si="1582"/>
        <v>162.01396991175005</v>
      </c>
      <c r="CY197" s="50">
        <f t="shared" si="1582"/>
        <v>162.01396991175005</v>
      </c>
      <c r="CZ197" s="50">
        <f t="shared" si="1582"/>
        <v>162.01396991175005</v>
      </c>
      <c r="DA197" s="50">
        <f t="shared" si="1582"/>
        <v>162.01396991175005</v>
      </c>
      <c r="DB197" s="50">
        <f t="shared" si="1582"/>
        <v>162.01396991175005</v>
      </c>
      <c r="DE197" s="138"/>
      <c r="DF197" s="7">
        <v>164.94973121354229</v>
      </c>
    </row>
    <row r="198" spans="1:110" s="7" customFormat="1" x14ac:dyDescent="0.2">
      <c r="A198" s="69" t="s">
        <v>470</v>
      </c>
      <c r="B198" s="70" t="e">
        <f>B194-B197</f>
        <v>#DIV/0!</v>
      </c>
      <c r="C198" s="70" t="e">
        <f t="shared" ref="C198:V198" si="1583">C194-C197</f>
        <v>#DIV/0!</v>
      </c>
      <c r="D198" s="70" t="e">
        <f t="shared" si="1583"/>
        <v>#DIV/0!</v>
      </c>
      <c r="E198" s="70" t="e">
        <f t="shared" si="1583"/>
        <v>#DIV/0!</v>
      </c>
      <c r="F198" s="70" t="e">
        <f t="shared" si="1583"/>
        <v>#DIV/0!</v>
      </c>
      <c r="G198" s="70" t="e">
        <f t="shared" si="1583"/>
        <v>#DIV/0!</v>
      </c>
      <c r="H198" s="70" t="e">
        <f t="shared" si="1583"/>
        <v>#DIV/0!</v>
      </c>
      <c r="I198" s="70" t="e">
        <f t="shared" si="1583"/>
        <v>#DIV/0!</v>
      </c>
      <c r="J198" s="70" t="e">
        <f t="shared" si="1583"/>
        <v>#DIV/0!</v>
      </c>
      <c r="K198" s="70" t="e">
        <f t="shared" si="1583"/>
        <v>#DIV/0!</v>
      </c>
      <c r="L198" s="70" t="e">
        <f t="shared" si="1583"/>
        <v>#DIV/0!</v>
      </c>
      <c r="M198" s="70" t="e">
        <f t="shared" si="1583"/>
        <v>#DIV/0!</v>
      </c>
      <c r="N198" s="70" t="e">
        <f t="shared" si="1583"/>
        <v>#DIV/0!</v>
      </c>
      <c r="O198" s="70" t="e">
        <f t="shared" si="1583"/>
        <v>#DIV/0!</v>
      </c>
      <c r="P198" s="70" t="e">
        <f t="shared" si="1583"/>
        <v>#DIV/0!</v>
      </c>
      <c r="Q198" s="70" t="e">
        <f t="shared" si="1583"/>
        <v>#DIV/0!</v>
      </c>
      <c r="R198" s="70" t="e">
        <f t="shared" si="1583"/>
        <v>#DIV/0!</v>
      </c>
      <c r="S198" s="70">
        <f t="shared" si="1583"/>
        <v>12.672125328957492</v>
      </c>
      <c r="T198" s="70">
        <f t="shared" si="1583"/>
        <v>112.81551532399851</v>
      </c>
      <c r="U198" s="70">
        <f t="shared" si="1583"/>
        <v>112.04033332795245</v>
      </c>
      <c r="V198" s="70">
        <f t="shared" si="1583"/>
        <v>47.979166666666686</v>
      </c>
      <c r="W198" s="70">
        <f t="shared" ref="W198" si="1584">W194-W197</f>
        <v>48.680567577236872</v>
      </c>
      <c r="X198" s="70">
        <f t="shared" ref="X198:Y198" si="1585">X194-X197</f>
        <v>278.42025597887846</v>
      </c>
      <c r="Y198" s="70">
        <f t="shared" si="1585"/>
        <v>116.92164381936971</v>
      </c>
      <c r="Z198" s="70">
        <f t="shared" ref="Z198:AA198" si="1586">Z194-Z197</f>
        <v>64.554076098167883</v>
      </c>
      <c r="AA198" s="70">
        <f t="shared" si="1586"/>
        <v>57.966335676101778</v>
      </c>
      <c r="AB198" s="71">
        <f t="shared" ref="AA198:AD198" si="1587">AB194-AB197</f>
        <v>61.131512532487761</v>
      </c>
      <c r="AC198" s="71">
        <f t="shared" si="1587"/>
        <v>61.317576022993222</v>
      </c>
      <c r="AD198" s="71">
        <f t="shared" si="1587"/>
        <v>61.361082259513324</v>
      </c>
      <c r="AE198" s="71">
        <f t="shared" ref="AE198" si="1588">AE194-AE197</f>
        <v>61.50779885408744</v>
      </c>
      <c r="AI198" s="70" t="e">
        <f t="shared" ref="AI198:AK198" si="1589">AI194-AI197</f>
        <v>#DIV/0!</v>
      </c>
      <c r="AJ198" s="70" t="e">
        <f t="shared" ref="AJ198:AM198" si="1590">AJ194-AJ197</f>
        <v>#DIV/0!</v>
      </c>
      <c r="AK198" s="70" t="e">
        <f t="shared" si="1589"/>
        <v>#DIV/0!</v>
      </c>
      <c r="AL198" s="70" t="e">
        <f t="shared" si="1590"/>
        <v>#DIV/0!</v>
      </c>
      <c r="AM198" s="70" t="e">
        <f t="shared" si="1590"/>
        <v>#DIV/0!</v>
      </c>
      <c r="AN198" s="70" t="e">
        <f t="shared" ref="AN198:AY198" si="1591">AN194-AN197</f>
        <v>#DIV/0!</v>
      </c>
      <c r="AO198" s="70" t="e">
        <f t="shared" si="1591"/>
        <v>#DIV/0!</v>
      </c>
      <c r="AP198" s="70" t="e">
        <f t="shared" si="1591"/>
        <v>#DIV/0!</v>
      </c>
      <c r="AQ198" s="70" t="e">
        <f t="shared" si="1591"/>
        <v>#DIV/0!</v>
      </c>
      <c r="AR198" s="70" t="e">
        <f t="shared" si="1591"/>
        <v>#DIV/0!</v>
      </c>
      <c r="AS198" s="70" t="e">
        <f t="shared" si="1591"/>
        <v>#DIV/0!</v>
      </c>
      <c r="AT198" s="70" t="e">
        <f t="shared" si="1591"/>
        <v>#DIV/0!</v>
      </c>
      <c r="AU198" s="70" t="e">
        <f t="shared" si="1591"/>
        <v>#DIV/0!</v>
      </c>
      <c r="AV198" s="70" t="e">
        <f t="shared" si="1591"/>
        <v>#DIV/0!</v>
      </c>
      <c r="AW198" s="70" t="e">
        <f t="shared" si="1591"/>
        <v>#DIV/0!</v>
      </c>
      <c r="AX198" s="70" t="e">
        <f t="shared" si="1591"/>
        <v>#DIV/0!</v>
      </c>
      <c r="AY198" s="70" t="e">
        <f t="shared" si="1591"/>
        <v>#DIV/0!</v>
      </c>
      <c r="AZ198" s="70" t="e">
        <f t="shared" ref="AZ198:BC198" si="1592">AZ194-AZ197</f>
        <v>#DIV/0!</v>
      </c>
      <c r="BA198" s="70" t="e">
        <f t="shared" si="1592"/>
        <v>#DIV/0!</v>
      </c>
      <c r="BB198" s="70" t="e">
        <f t="shared" si="1592"/>
        <v>#DIV/0!</v>
      </c>
      <c r="BC198" s="70" t="e">
        <f t="shared" si="1592"/>
        <v>#DIV/0!</v>
      </c>
      <c r="BD198" s="70" t="e">
        <f t="shared" ref="BD198:CE198" si="1593">BD194-BD197</f>
        <v>#DIV/0!</v>
      </c>
      <c r="BE198" s="70" t="e">
        <f t="shared" si="1593"/>
        <v>#DIV/0!</v>
      </c>
      <c r="BF198" s="70" t="e">
        <f t="shared" si="1593"/>
        <v>#DIV/0!</v>
      </c>
      <c r="BG198" s="70" t="e">
        <f t="shared" si="1593"/>
        <v>#DIV/0!</v>
      </c>
      <c r="BH198" s="70">
        <f t="shared" si="1593"/>
        <v>0</v>
      </c>
      <c r="BI198" s="70">
        <f t="shared" si="1593"/>
        <v>0</v>
      </c>
      <c r="BJ198" s="70">
        <f t="shared" si="1593"/>
        <v>98.581386887682442</v>
      </c>
      <c r="BK198" s="70">
        <f t="shared" si="1593"/>
        <v>184.09866250967411</v>
      </c>
      <c r="BL198" s="70">
        <f t="shared" si="1593"/>
        <v>204.84429286115332</v>
      </c>
      <c r="BM198" s="70">
        <f t="shared" si="1593"/>
        <v>225.18620271975789</v>
      </c>
      <c r="BN198" s="70">
        <f t="shared" si="1593"/>
        <v>75.197342560284909</v>
      </c>
      <c r="BO198" s="70">
        <f t="shared" si="1593"/>
        <v>152.26038013960385</v>
      </c>
      <c r="BP198" s="70">
        <f t="shared" si="1593"/>
        <v>92.342533086942495</v>
      </c>
      <c r="BQ198" s="70">
        <f t="shared" si="1593"/>
        <v>94.422001840361872</v>
      </c>
      <c r="BR198" s="70">
        <f t="shared" si="1593"/>
        <v>44.688026734284051</v>
      </c>
      <c r="BS198" s="70">
        <f t="shared" si="1593"/>
        <v>60.469602677516377</v>
      </c>
      <c r="BT198" s="70">
        <f t="shared" si="1593"/>
        <v>34.539772806273561</v>
      </c>
      <c r="BU198" s="70">
        <f t="shared" si="1593"/>
        <v>32.211233189987183</v>
      </c>
      <c r="BV198" s="70">
        <f t="shared" si="1593"/>
        <v>59.059690204756151</v>
      </c>
      <c r="BW198" s="70">
        <f t="shared" si="1593"/>
        <v>46.590517566994407</v>
      </c>
      <c r="BX198" s="70">
        <f t="shared" si="1593"/>
        <v>298.75083948959025</v>
      </c>
      <c r="BY198" s="70">
        <f t="shared" si="1593"/>
        <v>190.19511874936126</v>
      </c>
      <c r="BZ198" s="70">
        <f t="shared" si="1593"/>
        <v>1576.8065136265977</v>
      </c>
      <c r="CA198" s="70">
        <f t="shared" si="1593"/>
        <v>390.35809809886564</v>
      </c>
      <c r="CB198" s="70">
        <f t="shared" si="1593"/>
        <v>182.39717189804088</v>
      </c>
      <c r="CC198" s="70">
        <f t="shared" si="1593"/>
        <v>260.53370275871254</v>
      </c>
      <c r="CD198" s="70">
        <f t="shared" si="1593"/>
        <v>76.752998701199516</v>
      </c>
      <c r="CE198" s="115">
        <f t="shared" si="1593"/>
        <v>113.62745178486048</v>
      </c>
      <c r="CF198" s="70">
        <f t="shared" ref="CF198:CG198" si="1594">CF194-CF197</f>
        <v>104.35472445147451</v>
      </c>
      <c r="CG198" s="70">
        <f t="shared" si="1594"/>
        <v>34.89763995198544</v>
      </c>
      <c r="CH198" s="70">
        <f t="shared" ref="CH198:CI198" si="1595">CH194-CH197</f>
        <v>39.819420350838186</v>
      </c>
      <c r="CI198" s="70">
        <f t="shared" si="1595"/>
        <v>39.819420350838186</v>
      </c>
      <c r="CJ198" s="70">
        <f t="shared" ref="CJ198:DB198" si="1596">CJ194-CJ197</f>
        <v>59.545350566167173</v>
      </c>
      <c r="CK198" s="70">
        <f t="shared" si="1596"/>
        <v>59.545350566167144</v>
      </c>
      <c r="CL198" s="70">
        <f t="shared" ref="CL198" si="1597">CL194-CL197</f>
        <v>56.299669512389414</v>
      </c>
      <c r="CM198" s="50">
        <f t="shared" si="1596"/>
        <v>56.299669512389414</v>
      </c>
      <c r="CN198" s="50">
        <f t="shared" si="1596"/>
        <v>56.299669512389414</v>
      </c>
      <c r="CO198" s="50">
        <f t="shared" si="1596"/>
        <v>56.299669512389414</v>
      </c>
      <c r="CP198" s="50">
        <f t="shared" si="1596"/>
        <v>56.299669512389414</v>
      </c>
      <c r="CQ198" s="50">
        <f t="shared" si="1596"/>
        <v>56.299669512389414</v>
      </c>
      <c r="CR198" s="50">
        <f t="shared" si="1596"/>
        <v>56.299669512389414</v>
      </c>
      <c r="CS198" s="50">
        <f t="shared" si="1596"/>
        <v>56.299669512389414</v>
      </c>
      <c r="CT198" s="50">
        <f t="shared" si="1596"/>
        <v>56.299669512389414</v>
      </c>
      <c r="CU198" s="50">
        <f t="shared" si="1596"/>
        <v>56.299669512389414</v>
      </c>
      <c r="CV198" s="50">
        <f t="shared" si="1596"/>
        <v>56.299669512389414</v>
      </c>
      <c r="CW198" s="50">
        <f t="shared" si="1596"/>
        <v>56.299669512389414</v>
      </c>
      <c r="CX198" s="50">
        <f t="shared" si="1596"/>
        <v>56.299669512389414</v>
      </c>
      <c r="CY198" s="50">
        <f t="shared" si="1596"/>
        <v>56.299669512389414</v>
      </c>
      <c r="CZ198" s="50">
        <f t="shared" si="1596"/>
        <v>56.299669512389414</v>
      </c>
      <c r="DA198" s="50">
        <f t="shared" si="1596"/>
        <v>56.299669512389414</v>
      </c>
      <c r="DB198" s="50">
        <f t="shared" si="1596"/>
        <v>56.299669512389414</v>
      </c>
      <c r="DE198" s="138"/>
      <c r="DF198" s="7">
        <v>59.545350566167144</v>
      </c>
    </row>
    <row r="199" spans="1:110" s="7" customFormat="1" x14ac:dyDescent="0.2">
      <c r="A199" s="69" t="s">
        <v>86</v>
      </c>
      <c r="AB199" s="77"/>
      <c r="AC199" s="77"/>
      <c r="AD199" s="77"/>
      <c r="AE199" s="77"/>
      <c r="CE199" s="115"/>
      <c r="CG199" s="115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E199" s="138"/>
    </row>
    <row r="200" spans="1:110" s="86" customFormat="1" x14ac:dyDescent="0.2">
      <c r="A200" s="86" t="s">
        <v>440</v>
      </c>
      <c r="C200" s="86" t="e">
        <f t="shared" ref="C200:Y200" si="1598">C17/B17-1</f>
        <v>#DIV/0!</v>
      </c>
      <c r="D200" s="86" t="e">
        <f t="shared" si="1598"/>
        <v>#DIV/0!</v>
      </c>
      <c r="E200" s="86" t="e">
        <f t="shared" si="1598"/>
        <v>#DIV/0!</v>
      </c>
      <c r="F200" s="86" t="e">
        <f t="shared" si="1598"/>
        <v>#DIV/0!</v>
      </c>
      <c r="G200" s="86" t="e">
        <f t="shared" si="1598"/>
        <v>#DIV/0!</v>
      </c>
      <c r="H200" s="86" t="e">
        <f t="shared" si="1598"/>
        <v>#DIV/0!</v>
      </c>
      <c r="I200" s="86" t="e">
        <f t="shared" si="1598"/>
        <v>#DIV/0!</v>
      </c>
      <c r="J200" s="86" t="e">
        <f t="shared" si="1598"/>
        <v>#DIV/0!</v>
      </c>
      <c r="K200" s="86" t="e">
        <f t="shared" si="1598"/>
        <v>#DIV/0!</v>
      </c>
      <c r="L200" s="86" t="e">
        <f t="shared" si="1598"/>
        <v>#DIV/0!</v>
      </c>
      <c r="M200" s="86" t="e">
        <f t="shared" si="1598"/>
        <v>#DIV/0!</v>
      </c>
      <c r="N200" s="86" t="e">
        <f t="shared" si="1598"/>
        <v>#DIV/0!</v>
      </c>
      <c r="O200" s="86" t="e">
        <f t="shared" si="1598"/>
        <v>#DIV/0!</v>
      </c>
      <c r="P200" s="86" t="e">
        <f t="shared" si="1598"/>
        <v>#DIV/0!</v>
      </c>
      <c r="Q200" s="86" t="e">
        <f t="shared" si="1598"/>
        <v>#DIV/0!</v>
      </c>
      <c r="R200" s="86" t="e">
        <f t="shared" si="1598"/>
        <v>#DIV/0!</v>
      </c>
      <c r="S200" s="86" t="e">
        <f t="shared" si="1598"/>
        <v>#DIV/0!</v>
      </c>
      <c r="T200" s="86">
        <f t="shared" si="1598"/>
        <v>0.1991790105167448</v>
      </c>
      <c r="U200" s="86">
        <f t="shared" si="1598"/>
        <v>-0.32342063645392316</v>
      </c>
      <c r="V200" s="86">
        <f t="shared" si="1598"/>
        <v>-8.8693144213126129E-2</v>
      </c>
      <c r="W200" s="86">
        <f t="shared" si="1598"/>
        <v>2.3252243741143097E-2</v>
      </c>
      <c r="X200" s="86">
        <f t="shared" si="1598"/>
        <v>-0.61241907004120066</v>
      </c>
      <c r="Y200" s="86">
        <f t="shared" si="1598"/>
        <v>0.50637962094480926</v>
      </c>
      <c r="Z200" s="86">
        <f>Z17/Y17-1</f>
        <v>1.0761422824894495</v>
      </c>
      <c r="AA200" s="86">
        <f>AA17/Z17-1</f>
        <v>0.19774955330648414</v>
      </c>
      <c r="AB200" s="87">
        <f t="shared" ref="AA200:AE200" si="1599">AB17/AA17-1</f>
        <v>0.26227804527094412</v>
      </c>
      <c r="AC200" s="87">
        <f t="shared" si="1599"/>
        <v>0.15545805989763362</v>
      </c>
      <c r="AD200" s="87">
        <f t="shared" si="1599"/>
        <v>0.13065395659294365</v>
      </c>
      <c r="AE200" s="87">
        <f t="shared" si="1599"/>
        <v>0.1285303045176831</v>
      </c>
      <c r="AN200" s="86" t="e">
        <f t="shared" ref="AN200:CI200" si="1600">+(AN17+AM17)/(AJ17+AI17)-1</f>
        <v>#DIV/0!</v>
      </c>
      <c r="AO200" s="86" t="e">
        <f t="shared" si="1600"/>
        <v>#DIV/0!</v>
      </c>
      <c r="AP200" s="86" t="e">
        <f t="shared" si="1600"/>
        <v>#DIV/0!</v>
      </c>
      <c r="AQ200" s="86" t="e">
        <f t="shared" si="1600"/>
        <v>#DIV/0!</v>
      </c>
      <c r="AR200" s="86" t="e">
        <f t="shared" si="1600"/>
        <v>#DIV/0!</v>
      </c>
      <c r="AS200" s="86" t="e">
        <f t="shared" si="1600"/>
        <v>#DIV/0!</v>
      </c>
      <c r="AT200" s="86" t="e">
        <f t="shared" si="1600"/>
        <v>#DIV/0!</v>
      </c>
      <c r="AU200" s="86" t="e">
        <f t="shared" si="1600"/>
        <v>#DIV/0!</v>
      </c>
      <c r="AV200" s="86" t="e">
        <f t="shared" si="1600"/>
        <v>#DIV/0!</v>
      </c>
      <c r="AW200" s="86" t="e">
        <f t="shared" si="1600"/>
        <v>#DIV/0!</v>
      </c>
      <c r="AX200" s="86" t="e">
        <f t="shared" si="1600"/>
        <v>#DIV/0!</v>
      </c>
      <c r="AY200" s="86" t="e">
        <f t="shared" si="1600"/>
        <v>#DIV/0!</v>
      </c>
      <c r="AZ200" s="86" t="e">
        <f t="shared" si="1600"/>
        <v>#DIV/0!</v>
      </c>
      <c r="BA200" s="86" t="e">
        <f t="shared" si="1600"/>
        <v>#DIV/0!</v>
      </c>
      <c r="BB200" s="86" t="e">
        <f t="shared" si="1600"/>
        <v>#DIV/0!</v>
      </c>
      <c r="BC200" s="86" t="e">
        <f t="shared" si="1600"/>
        <v>#DIV/0!</v>
      </c>
      <c r="BD200" s="86" t="e">
        <f t="shared" si="1600"/>
        <v>#DIV/0!</v>
      </c>
      <c r="BE200" s="86" t="e">
        <f t="shared" si="1600"/>
        <v>#DIV/0!</v>
      </c>
      <c r="BF200" s="86" t="e">
        <f t="shared" si="1600"/>
        <v>#DIV/0!</v>
      </c>
      <c r="BG200" s="86" t="e">
        <f t="shared" si="1600"/>
        <v>#DIV/0!</v>
      </c>
      <c r="BH200" s="86" t="e">
        <f t="shared" si="1600"/>
        <v>#DIV/0!</v>
      </c>
      <c r="BI200" s="86" t="e">
        <f t="shared" si="1600"/>
        <v>#DIV/0!</v>
      </c>
      <c r="BJ200" s="86" t="e">
        <f t="shared" si="1600"/>
        <v>#DIV/0!</v>
      </c>
      <c r="BK200" s="86" t="e">
        <f t="shared" si="1600"/>
        <v>#DIV/0!</v>
      </c>
      <c r="BL200" s="86">
        <f t="shared" si="1600"/>
        <v>-1.3843832317698479E-2</v>
      </c>
      <c r="BM200" s="86">
        <f t="shared" si="1600"/>
        <v>-0.44863368849569807</v>
      </c>
      <c r="BN200" s="86">
        <f t="shared" si="1600"/>
        <v>-0.2096767773266458</v>
      </c>
      <c r="BO200" s="86">
        <f t="shared" si="1600"/>
        <v>-0.12371359251854364</v>
      </c>
      <c r="BP200" s="86">
        <f t="shared" si="1600"/>
        <v>-1.3841724494315533E-2</v>
      </c>
      <c r="BQ200" s="86">
        <f t="shared" si="1600"/>
        <v>0.16682696607629777</v>
      </c>
      <c r="BR200" s="86">
        <f t="shared" si="1600"/>
        <v>-0.14687261217764314</v>
      </c>
      <c r="BS200" s="86">
        <f t="shared" si="1600"/>
        <v>-0.18198962452014211</v>
      </c>
      <c r="BT200" s="86">
        <f t="shared" si="1600"/>
        <v>9.5037283793506511E-2</v>
      </c>
      <c r="BU200" s="86">
        <f t="shared" si="1600"/>
        <v>0.10758356114727596</v>
      </c>
      <c r="BV200" s="86">
        <f t="shared" si="1600"/>
        <v>-4.1243970152488374E-2</v>
      </c>
      <c r="BW200" s="86">
        <f t="shared" si="1600"/>
        <v>-0.10988328247048851</v>
      </c>
      <c r="BX200" s="86">
        <f t="shared" si="1600"/>
        <v>-0.42286701733730847</v>
      </c>
      <c r="BY200" s="86">
        <f t="shared" si="1600"/>
        <v>-0.75466031200567285</v>
      </c>
      <c r="BZ200" s="86">
        <f t="shared" si="1600"/>
        <v>-0.80693248736305923</v>
      </c>
      <c r="CA200" s="86">
        <f t="shared" si="1600"/>
        <v>-0.73511826370963496</v>
      </c>
      <c r="CB200" s="86">
        <f t="shared" si="1600"/>
        <v>-0.16131664495071141</v>
      </c>
      <c r="CC200" s="86">
        <f t="shared" si="1600"/>
        <v>0.8653512123949143</v>
      </c>
      <c r="CD200" s="86">
        <f t="shared" si="1600"/>
        <v>2.5545529784614143</v>
      </c>
      <c r="CE200" s="86">
        <f t="shared" si="1600"/>
        <v>2.4688509918957879</v>
      </c>
      <c r="CF200" s="86">
        <f t="shared" si="1600"/>
        <v>0.52654415918649167</v>
      </c>
      <c r="CG200" s="86">
        <f t="shared" si="1600"/>
        <v>1.1362410607866509</v>
      </c>
      <c r="CH200" s="86">
        <f t="shared" si="1600"/>
        <v>1.4739251174122181</v>
      </c>
      <c r="CI200" s="86">
        <f t="shared" si="1600"/>
        <v>1.0451967683832839</v>
      </c>
      <c r="CJ200" s="86">
        <f>+(CJ17+CI17)/(CF17+CE17)-1</f>
        <v>0.80423530621161121</v>
      </c>
      <c r="CL200" s="86">
        <f>+(CL17+CK17)/(CH17+CG17)-1</f>
        <v>-7.3110040378210117E-2</v>
      </c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E200" s="141"/>
      <c r="DF200" s="86">
        <v>0.19774955330648414</v>
      </c>
    </row>
    <row r="201" spans="1:110" s="86" customFormat="1" x14ac:dyDescent="0.2">
      <c r="A201" s="86" t="s">
        <v>441</v>
      </c>
      <c r="C201" s="86" t="e">
        <f t="shared" ref="C201" si="1601">C198/B198-1</f>
        <v>#DIV/0!</v>
      </c>
      <c r="D201" s="86" t="e">
        <f t="shared" ref="D201" si="1602">D198/C198-1</f>
        <v>#DIV/0!</v>
      </c>
      <c r="E201" s="86" t="e">
        <f>E198/D198-1</f>
        <v>#DIV/0!</v>
      </c>
      <c r="F201" s="86" t="e">
        <f t="shared" ref="F201" si="1603">F198/E198-1</f>
        <v>#DIV/0!</v>
      </c>
      <c r="G201" s="86" t="e">
        <f t="shared" ref="G201" si="1604">G198/F198-1</f>
        <v>#DIV/0!</v>
      </c>
      <c r="H201" s="86" t="e">
        <f t="shared" ref="H201" si="1605">H198/G198-1</f>
        <v>#DIV/0!</v>
      </c>
      <c r="I201" s="86" t="e">
        <f t="shared" ref="I201" si="1606">I198/H198-1</f>
        <v>#DIV/0!</v>
      </c>
      <c r="J201" s="86" t="e">
        <f t="shared" ref="J201" si="1607">J198/I198-1</f>
        <v>#DIV/0!</v>
      </c>
      <c r="K201" s="86" t="e">
        <f>K198/J198-1</f>
        <v>#DIV/0!</v>
      </c>
      <c r="L201" s="86" t="e">
        <f t="shared" ref="L201" si="1608">L198/K198-1</f>
        <v>#DIV/0!</v>
      </c>
      <c r="M201" s="86" t="e">
        <f t="shared" ref="M201" si="1609">M198/L198-1</f>
        <v>#DIV/0!</v>
      </c>
      <c r="N201" s="86" t="e">
        <f t="shared" ref="N201" si="1610">N198/M198-1</f>
        <v>#DIV/0!</v>
      </c>
      <c r="O201" s="86" t="e">
        <f t="shared" ref="O201" si="1611">O198/N198-1</f>
        <v>#DIV/0!</v>
      </c>
      <c r="P201" s="86" t="e">
        <f t="shared" ref="P201" si="1612">P198/O198-1</f>
        <v>#DIV/0!</v>
      </c>
      <c r="Q201" s="86" t="e">
        <f t="shared" ref="Q201" si="1613">Q198/P198-1</f>
        <v>#DIV/0!</v>
      </c>
      <c r="R201" s="86" t="e">
        <f t="shared" ref="R201" si="1614">R198/Q198-1</f>
        <v>#DIV/0!</v>
      </c>
      <c r="S201" s="86" t="e">
        <f t="shared" ref="S201" si="1615">S198/R198-1</f>
        <v>#DIV/0!</v>
      </c>
      <c r="T201" s="86">
        <f t="shared" ref="T201" si="1616">T198/S198-1</f>
        <v>7.9026514807425432</v>
      </c>
      <c r="U201" s="86">
        <f t="shared" ref="U201" si="1617">U198/T198-1</f>
        <v>-6.8712356967903787E-3</v>
      </c>
      <c r="V201" s="86">
        <f t="shared" ref="V201" si="1618">V198/U198-1</f>
        <v>-0.57176879752555521</v>
      </c>
      <c r="W201" s="86">
        <f t="shared" ref="W201:AA201" si="1619">W198/V198-1</f>
        <v>1.4618863963251849E-2</v>
      </c>
      <c r="X201" s="86">
        <f t="shared" si="1619"/>
        <v>4.7193305221253894</v>
      </c>
      <c r="Y201" s="86">
        <f t="shared" si="1619"/>
        <v>-0.58005338581313703</v>
      </c>
      <c r="Z201" s="86">
        <f t="shared" si="1619"/>
        <v>-0.44788600305777093</v>
      </c>
      <c r="AA201" s="86">
        <f t="shared" si="1619"/>
        <v>-0.10204995284957807</v>
      </c>
      <c r="AB201" s="87">
        <f t="shared" ref="AB201" si="1620">AB198/AA198-1</f>
        <v>5.4603707815378044E-2</v>
      </c>
      <c r="AC201" s="87">
        <f t="shared" ref="AC201" si="1621">AC198/AB198-1</f>
        <v>3.0436591996081397E-3</v>
      </c>
      <c r="AD201" s="87">
        <f t="shared" ref="AD201" si="1622">AD198/AC198-1</f>
        <v>7.0952309830030202E-4</v>
      </c>
      <c r="AE201" s="87">
        <f t="shared" ref="AE201" si="1623">AE198/AD198-1</f>
        <v>2.3910366175357023E-3</v>
      </c>
      <c r="AN201" s="86" t="e">
        <f t="shared" ref="AN201:CI201" si="1624">+AN198/AJ198-1</f>
        <v>#DIV/0!</v>
      </c>
      <c r="AO201" s="86" t="e">
        <f t="shared" si="1624"/>
        <v>#DIV/0!</v>
      </c>
      <c r="AP201" s="86" t="e">
        <f t="shared" si="1624"/>
        <v>#DIV/0!</v>
      </c>
      <c r="AQ201" s="86" t="e">
        <f t="shared" si="1624"/>
        <v>#DIV/0!</v>
      </c>
      <c r="AR201" s="86" t="e">
        <f t="shared" si="1624"/>
        <v>#DIV/0!</v>
      </c>
      <c r="AS201" s="86" t="e">
        <f t="shared" si="1624"/>
        <v>#DIV/0!</v>
      </c>
      <c r="AT201" s="86" t="e">
        <f t="shared" si="1624"/>
        <v>#DIV/0!</v>
      </c>
      <c r="AU201" s="86" t="e">
        <f t="shared" si="1624"/>
        <v>#DIV/0!</v>
      </c>
      <c r="AV201" s="86" t="e">
        <f t="shared" si="1624"/>
        <v>#DIV/0!</v>
      </c>
      <c r="AW201" s="86" t="e">
        <f t="shared" si="1624"/>
        <v>#DIV/0!</v>
      </c>
      <c r="AX201" s="86" t="e">
        <f t="shared" si="1624"/>
        <v>#DIV/0!</v>
      </c>
      <c r="AY201" s="86" t="e">
        <f t="shared" si="1624"/>
        <v>#DIV/0!</v>
      </c>
      <c r="AZ201" s="86" t="e">
        <f t="shared" si="1624"/>
        <v>#DIV/0!</v>
      </c>
      <c r="BA201" s="86" t="e">
        <f t="shared" si="1624"/>
        <v>#DIV/0!</v>
      </c>
      <c r="BB201" s="86" t="e">
        <f t="shared" si="1624"/>
        <v>#DIV/0!</v>
      </c>
      <c r="BC201" s="86" t="e">
        <f t="shared" si="1624"/>
        <v>#DIV/0!</v>
      </c>
      <c r="BD201" s="86" t="e">
        <f t="shared" si="1624"/>
        <v>#DIV/0!</v>
      </c>
      <c r="BE201" s="86" t="e">
        <f t="shared" si="1624"/>
        <v>#DIV/0!</v>
      </c>
      <c r="BF201" s="86" t="e">
        <f t="shared" si="1624"/>
        <v>#DIV/0!</v>
      </c>
      <c r="BG201" s="86" t="e">
        <f t="shared" si="1624"/>
        <v>#DIV/0!</v>
      </c>
      <c r="BH201" s="86" t="e">
        <f t="shared" si="1624"/>
        <v>#DIV/0!</v>
      </c>
      <c r="BI201" s="86" t="e">
        <f t="shared" si="1624"/>
        <v>#DIV/0!</v>
      </c>
      <c r="BJ201" s="86" t="e">
        <f t="shared" si="1624"/>
        <v>#DIV/0!</v>
      </c>
      <c r="BK201" s="86" t="e">
        <f t="shared" si="1624"/>
        <v>#DIV/0!</v>
      </c>
      <c r="BL201" s="86" t="e">
        <f t="shared" si="1624"/>
        <v>#DIV/0!</v>
      </c>
      <c r="BM201" s="86" t="e">
        <f t="shared" si="1624"/>
        <v>#DIV/0!</v>
      </c>
      <c r="BN201" s="86">
        <f t="shared" si="1624"/>
        <v>-0.23720547119143165</v>
      </c>
      <c r="BO201" s="86">
        <f t="shared" si="1624"/>
        <v>-0.17294141052435519</v>
      </c>
      <c r="BP201" s="86">
        <f t="shared" si="1624"/>
        <v>-0.54920622001642139</v>
      </c>
      <c r="BQ201" s="86">
        <f t="shared" si="1624"/>
        <v>-0.58069366284456969</v>
      </c>
      <c r="BR201" s="86">
        <f t="shared" si="1624"/>
        <v>-0.40572332461804572</v>
      </c>
      <c r="BS201" s="86">
        <f t="shared" si="1624"/>
        <v>-0.60285398852890515</v>
      </c>
      <c r="BT201" s="86">
        <f t="shared" si="1624"/>
        <v>-0.62596030613808673</v>
      </c>
      <c r="BU201" s="86">
        <f t="shared" si="1624"/>
        <v>-0.65885881932003176</v>
      </c>
      <c r="BV201" s="86">
        <f t="shared" si="1624"/>
        <v>0.32159986736327184</v>
      </c>
      <c r="BW201" s="86">
        <f t="shared" si="1624"/>
        <v>-0.22952168520998817</v>
      </c>
      <c r="BX201" s="86">
        <f t="shared" si="1624"/>
        <v>7.6494732077486987</v>
      </c>
      <c r="BY201" s="86">
        <f t="shared" si="1624"/>
        <v>4.9046208391823738</v>
      </c>
      <c r="BZ201" s="86">
        <f t="shared" si="1624"/>
        <v>25.698523276365162</v>
      </c>
      <c r="CA201" s="86">
        <f t="shared" si="1624"/>
        <v>7.378488123415968</v>
      </c>
      <c r="CB201" s="86">
        <f t="shared" si="1624"/>
        <v>-0.38946724899698104</v>
      </c>
      <c r="CC201" s="86">
        <f t="shared" si="1624"/>
        <v>0.36982328711623413</v>
      </c>
      <c r="CD201" s="86">
        <f t="shared" si="1624"/>
        <v>-0.95132376861846513</v>
      </c>
      <c r="CE201" s="86">
        <f t="shared" si="1624"/>
        <v>-0.70891483399921129</v>
      </c>
      <c r="CF201" s="86">
        <f t="shared" si="1624"/>
        <v>-0.42787092932664395</v>
      </c>
      <c r="CG201" s="86">
        <f t="shared" si="1624"/>
        <v>-0.86605326073953237</v>
      </c>
      <c r="CH201" s="86">
        <f t="shared" si="1624"/>
        <v>-0.48120046089852797</v>
      </c>
      <c r="CI201" s="86">
        <f t="shared" si="1624"/>
        <v>-0.64956161803019818</v>
      </c>
      <c r="CJ201" s="86">
        <f>+CJ198/CF198-1</f>
        <v>-0.42939477940113702</v>
      </c>
      <c r="CL201" s="86">
        <f>+CL198/CH198-1</f>
        <v>0.41387466257289018</v>
      </c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E201" s="141"/>
      <c r="DF201" s="86">
        <v>-8.8296646935201673E-2</v>
      </c>
    </row>
    <row r="202" spans="1:110" s="103" customFormat="1" x14ac:dyDescent="0.2">
      <c r="A202" s="147" t="s">
        <v>87</v>
      </c>
      <c r="C202" s="103" t="e">
        <f>IF(C201&gt;C200,"RF",0)</f>
        <v>#DIV/0!</v>
      </c>
      <c r="D202" s="103" t="e">
        <f>IF(D201&gt;D200,"RF",0)</f>
        <v>#DIV/0!</v>
      </c>
      <c r="E202" s="103" t="e">
        <f t="shared" ref="E202:U202" si="1625">IF(E201&gt;E200,"RF",0)</f>
        <v>#DIV/0!</v>
      </c>
      <c r="F202" s="103" t="e">
        <f t="shared" si="1625"/>
        <v>#DIV/0!</v>
      </c>
      <c r="G202" s="103" t="e">
        <f t="shared" si="1625"/>
        <v>#DIV/0!</v>
      </c>
      <c r="H202" s="103" t="e">
        <f t="shared" si="1625"/>
        <v>#DIV/0!</v>
      </c>
      <c r="I202" s="103" t="e">
        <f t="shared" si="1625"/>
        <v>#DIV/0!</v>
      </c>
      <c r="J202" s="103" t="e">
        <f t="shared" si="1625"/>
        <v>#DIV/0!</v>
      </c>
      <c r="K202" s="103" t="e">
        <f t="shared" si="1625"/>
        <v>#DIV/0!</v>
      </c>
      <c r="L202" s="103" t="e">
        <f t="shared" si="1625"/>
        <v>#DIV/0!</v>
      </c>
      <c r="M202" s="103" t="e">
        <f t="shared" si="1625"/>
        <v>#DIV/0!</v>
      </c>
      <c r="N202" s="103" t="e">
        <f t="shared" si="1625"/>
        <v>#DIV/0!</v>
      </c>
      <c r="O202" s="103" t="e">
        <f t="shared" si="1625"/>
        <v>#DIV/0!</v>
      </c>
      <c r="P202" s="103" t="e">
        <f t="shared" si="1625"/>
        <v>#DIV/0!</v>
      </c>
      <c r="Q202" s="103" t="e">
        <f t="shared" si="1625"/>
        <v>#DIV/0!</v>
      </c>
      <c r="R202" s="103" t="e">
        <f t="shared" si="1625"/>
        <v>#DIV/0!</v>
      </c>
      <c r="S202" s="103" t="e">
        <f t="shared" si="1625"/>
        <v>#DIV/0!</v>
      </c>
      <c r="T202" s="103" t="str">
        <f t="shared" si="1625"/>
        <v>RF</v>
      </c>
      <c r="U202" s="103" t="str">
        <f t="shared" si="1625"/>
        <v>RF</v>
      </c>
      <c r="V202" s="103">
        <f>IF(V201&gt;V200,"RF",0)</f>
        <v>0</v>
      </c>
      <c r="W202" s="103">
        <f t="shared" ref="W202" si="1626">IF(W201&gt;W200,"RF",0)</f>
        <v>0</v>
      </c>
      <c r="X202" s="103" t="str">
        <f t="shared" ref="X202:Y202" si="1627">IF(X201&gt;X200,"RF",0)</f>
        <v>RF</v>
      </c>
      <c r="Y202" s="103">
        <f t="shared" si="1627"/>
        <v>0</v>
      </c>
      <c r="Z202" s="103">
        <f t="shared" ref="Z202:AA202" si="1628">IF(Z201&gt;Z200,"RF",0)</f>
        <v>0</v>
      </c>
      <c r="AA202" s="103">
        <f t="shared" si="1628"/>
        <v>0</v>
      </c>
      <c r="AB202" s="73">
        <f t="shared" ref="AA202:AD202" si="1629">IF(AB201&gt;AB200,"RF",0)</f>
        <v>0</v>
      </c>
      <c r="AC202" s="73">
        <f t="shared" si="1629"/>
        <v>0</v>
      </c>
      <c r="AD202" s="73">
        <f t="shared" si="1629"/>
        <v>0</v>
      </c>
      <c r="AE202" s="73">
        <f t="shared" ref="AE202" si="1630">IF(AE201&gt;AE200,"RF",0)</f>
        <v>0</v>
      </c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E202" s="142"/>
      <c r="DF202" s="103">
        <v>0</v>
      </c>
    </row>
    <row r="203" spans="1:110" x14ac:dyDescent="0.2">
      <c r="A203" s="153" t="s">
        <v>494</v>
      </c>
      <c r="AA203" s="2"/>
      <c r="CL203" s="2"/>
    </row>
    <row r="204" spans="1:110" x14ac:dyDescent="0.2">
      <c r="A204" s="152" t="s">
        <v>495</v>
      </c>
      <c r="AA204" s="2"/>
      <c r="CL204" s="2"/>
    </row>
    <row r="205" spans="1:110" s="23" customFormat="1" x14ac:dyDescent="0.2">
      <c r="A205" s="23" t="s">
        <v>22</v>
      </c>
      <c r="C205" s="23">
        <f t="shared" ref="C205:AE205" si="1631">C55</f>
        <v>0</v>
      </c>
      <c r="D205" s="23">
        <f t="shared" si="1631"/>
        <v>0</v>
      </c>
      <c r="E205" s="23">
        <f t="shared" si="1631"/>
        <v>0</v>
      </c>
      <c r="F205" s="23">
        <f t="shared" si="1631"/>
        <v>0</v>
      </c>
      <c r="G205" s="23">
        <f t="shared" si="1631"/>
        <v>0</v>
      </c>
      <c r="H205" s="23">
        <f t="shared" si="1631"/>
        <v>0</v>
      </c>
      <c r="I205" s="23">
        <f t="shared" si="1631"/>
        <v>0</v>
      </c>
      <c r="J205" s="23">
        <f t="shared" si="1631"/>
        <v>0</v>
      </c>
      <c r="K205" s="23">
        <f t="shared" si="1631"/>
        <v>0</v>
      </c>
      <c r="L205" s="23">
        <f t="shared" si="1631"/>
        <v>0</v>
      </c>
      <c r="M205" s="23">
        <f t="shared" si="1631"/>
        <v>0</v>
      </c>
      <c r="N205" s="23">
        <f t="shared" si="1631"/>
        <v>0</v>
      </c>
      <c r="O205" s="23">
        <f t="shared" si="1631"/>
        <v>0</v>
      </c>
      <c r="P205" s="23">
        <f t="shared" si="1631"/>
        <v>0</v>
      </c>
      <c r="Q205" s="23">
        <f t="shared" si="1631"/>
        <v>0</v>
      </c>
      <c r="R205" s="23">
        <f t="shared" si="1631"/>
        <v>0</v>
      </c>
      <c r="S205" s="23">
        <f t="shared" si="1631"/>
        <v>452.1760000000001</v>
      </c>
      <c r="T205" s="23">
        <f t="shared" si="1631"/>
        <v>638.98899999999981</v>
      </c>
      <c r="U205" s="23">
        <f t="shared" si="1631"/>
        <v>310.05999999999977</v>
      </c>
      <c r="V205" s="23">
        <f t="shared" si="1631"/>
        <v>-285.37999999999971</v>
      </c>
      <c r="W205" s="23">
        <f t="shared" si="1631"/>
        <v>-909.46000000000049</v>
      </c>
      <c r="X205" s="23">
        <f t="shared" si="1631"/>
        <v>-1169.55</v>
      </c>
      <c r="Y205" s="23">
        <f t="shared" si="1631"/>
        <v>-211.92000000000013</v>
      </c>
      <c r="Z205" s="23">
        <f t="shared" si="1631"/>
        <v>81.449999999999974</v>
      </c>
      <c r="AA205" s="23">
        <f t="shared" ref="AA205" si="1632">AA55</f>
        <v>-309.42999999999932</v>
      </c>
      <c r="AB205" s="24">
        <f t="shared" si="1631"/>
        <v>383.58565858137001</v>
      </c>
      <c r="AC205" s="24">
        <f t="shared" si="1631"/>
        <v>459.63475422029467</v>
      </c>
      <c r="AD205" s="24">
        <f t="shared" si="1631"/>
        <v>516.72634955754495</v>
      </c>
      <c r="AE205" s="24">
        <f t="shared" si="1631"/>
        <v>574.77557120091649</v>
      </c>
      <c r="AI205" s="23">
        <f t="shared" ref="AI205:BN205" si="1633">AI55</f>
        <v>0</v>
      </c>
      <c r="AJ205" s="23">
        <f t="shared" si="1633"/>
        <v>0</v>
      </c>
      <c r="AK205" s="23">
        <f t="shared" si="1633"/>
        <v>0</v>
      </c>
      <c r="AL205" s="23">
        <f t="shared" si="1633"/>
        <v>0</v>
      </c>
      <c r="AM205" s="23">
        <f t="shared" si="1633"/>
        <v>0</v>
      </c>
      <c r="AN205" s="23">
        <f t="shared" si="1633"/>
        <v>0</v>
      </c>
      <c r="AO205" s="23">
        <f t="shared" si="1633"/>
        <v>0</v>
      </c>
      <c r="AP205" s="23">
        <f t="shared" si="1633"/>
        <v>0</v>
      </c>
      <c r="AQ205" s="23">
        <f t="shared" si="1633"/>
        <v>0</v>
      </c>
      <c r="AR205" s="23">
        <f t="shared" si="1633"/>
        <v>0</v>
      </c>
      <c r="AS205" s="23">
        <f t="shared" si="1633"/>
        <v>0</v>
      </c>
      <c r="AT205" s="23">
        <f t="shared" si="1633"/>
        <v>0</v>
      </c>
      <c r="AU205" s="23">
        <f t="shared" si="1633"/>
        <v>0</v>
      </c>
      <c r="AV205" s="23">
        <f t="shared" si="1633"/>
        <v>0</v>
      </c>
      <c r="AW205" s="23">
        <f t="shared" si="1633"/>
        <v>0</v>
      </c>
      <c r="AX205" s="23">
        <f t="shared" si="1633"/>
        <v>0</v>
      </c>
      <c r="AY205" s="23">
        <f t="shared" si="1633"/>
        <v>0</v>
      </c>
      <c r="AZ205" s="23">
        <f t="shared" si="1633"/>
        <v>0</v>
      </c>
      <c r="BA205" s="23">
        <f t="shared" si="1633"/>
        <v>0</v>
      </c>
      <c r="BB205" s="23">
        <f t="shared" si="1633"/>
        <v>0</v>
      </c>
      <c r="BC205" s="23">
        <f t="shared" si="1633"/>
        <v>0</v>
      </c>
      <c r="BD205" s="23">
        <f t="shared" si="1633"/>
        <v>0</v>
      </c>
      <c r="BE205" s="23">
        <f t="shared" si="1633"/>
        <v>0</v>
      </c>
      <c r="BF205" s="23">
        <f t="shared" si="1633"/>
        <v>0</v>
      </c>
      <c r="BG205" s="23">
        <f t="shared" si="1633"/>
        <v>0</v>
      </c>
      <c r="BH205" s="23">
        <f t="shared" si="1633"/>
        <v>58.046999999999848</v>
      </c>
      <c r="BI205" s="23">
        <f t="shared" si="1633"/>
        <v>189.82199999999992</v>
      </c>
      <c r="BJ205" s="23">
        <f t="shared" si="1633"/>
        <v>295.88900000000029</v>
      </c>
      <c r="BK205" s="23">
        <f t="shared" si="1633"/>
        <v>48.140000000000029</v>
      </c>
      <c r="BL205" s="23">
        <f t="shared" si="1633"/>
        <v>80.03</v>
      </c>
      <c r="BM205" s="23">
        <f t="shared" si="1633"/>
        <v>49.611000000000104</v>
      </c>
      <c r="BN205" s="23">
        <f t="shared" si="1633"/>
        <v>132.28000000000003</v>
      </c>
      <c r="BO205" s="23">
        <f t="shared" ref="BO205:CT205" si="1634">BO55</f>
        <v>16.420000000000101</v>
      </c>
      <c r="BP205" s="23">
        <f t="shared" si="1634"/>
        <v>23.42000000000013</v>
      </c>
      <c r="BQ205" s="23">
        <f t="shared" si="1634"/>
        <v>21.630000000000056</v>
      </c>
      <c r="BR205" s="23">
        <f t="shared" si="1634"/>
        <v>-346.84999999999997</v>
      </c>
      <c r="BS205" s="23">
        <f t="shared" si="1634"/>
        <v>-76.119999999999905</v>
      </c>
      <c r="BT205" s="23">
        <f t="shared" si="1634"/>
        <v>-284.62999999999988</v>
      </c>
      <c r="BU205" s="23">
        <f t="shared" si="1634"/>
        <v>-422.41000000000014</v>
      </c>
      <c r="BV205" s="23">
        <f t="shared" si="1634"/>
        <v>-126.30000000000011</v>
      </c>
      <c r="BW205" s="23">
        <f t="shared" si="1634"/>
        <v>-353.90999999999991</v>
      </c>
      <c r="BX205" s="23">
        <f t="shared" si="1634"/>
        <v>-296.94999999999993</v>
      </c>
      <c r="BY205" s="23">
        <f t="shared" si="1634"/>
        <v>-101.23999999999998</v>
      </c>
      <c r="BZ205" s="23">
        <f t="shared" si="1634"/>
        <v>-417.44999999999987</v>
      </c>
      <c r="CA205" s="23">
        <f t="shared" si="1634"/>
        <v>-95.469999999999928</v>
      </c>
      <c r="CB205" s="23">
        <f t="shared" si="1634"/>
        <v>-54.250000000000036</v>
      </c>
      <c r="CC205" s="23">
        <f t="shared" si="1634"/>
        <v>-63.670000000000009</v>
      </c>
      <c r="CD205" s="23">
        <f t="shared" si="1634"/>
        <v>1.4399999999999631</v>
      </c>
      <c r="CE205" s="23">
        <f t="shared" si="1634"/>
        <v>4.1899999999998938</v>
      </c>
      <c r="CF205" s="23">
        <f t="shared" si="1634"/>
        <v>7.0500000000000362</v>
      </c>
      <c r="CG205" s="23">
        <f t="shared" si="1634"/>
        <v>14.830000000000032</v>
      </c>
      <c r="CH205" s="23">
        <f t="shared" si="1634"/>
        <v>55.38000000000028</v>
      </c>
      <c r="CI205" s="23">
        <f t="shared" si="1634"/>
        <v>31.970000000000034</v>
      </c>
      <c r="CJ205" s="23">
        <f t="shared" si="1634"/>
        <v>-473.20000000000016</v>
      </c>
      <c r="CK205" s="23">
        <f t="shared" si="1634"/>
        <v>-2.7699999999998433</v>
      </c>
      <c r="CL205" s="23">
        <f t="shared" ref="CL205" si="1635">CL55</f>
        <v>134.56999999999988</v>
      </c>
      <c r="CM205" s="24">
        <f t="shared" si="1634"/>
        <v>84.285193614721678</v>
      </c>
      <c r="CN205" s="24">
        <f t="shared" si="1634"/>
        <v>82.849748084518467</v>
      </c>
      <c r="CO205" s="24">
        <f t="shared" si="1634"/>
        <v>99.056143366319304</v>
      </c>
      <c r="CP205" s="24">
        <f t="shared" si="1634"/>
        <v>117.3945735158111</v>
      </c>
      <c r="CQ205" s="24">
        <f t="shared" si="1634"/>
        <v>115.51951443048247</v>
      </c>
      <c r="CR205" s="24">
        <f t="shared" si="1634"/>
        <v>106.34609840935637</v>
      </c>
      <c r="CS205" s="24">
        <f t="shared" si="1634"/>
        <v>112.84808174123792</v>
      </c>
      <c r="CT205" s="24">
        <f t="shared" si="1634"/>
        <v>124.92105963921834</v>
      </c>
      <c r="CU205" s="24">
        <f t="shared" ref="CU205:DB205" si="1636">CU55</f>
        <v>134.5609463975878</v>
      </c>
      <c r="CV205" s="24">
        <f t="shared" si="1636"/>
        <v>119.81001563140826</v>
      </c>
      <c r="CW205" s="24">
        <f t="shared" si="1636"/>
        <v>124.53134067678864</v>
      </c>
      <c r="CX205" s="24">
        <f t="shared" si="1636"/>
        <v>137.82404685176198</v>
      </c>
      <c r="CY205" s="24">
        <f t="shared" si="1636"/>
        <v>150.83229946600201</v>
      </c>
      <c r="CZ205" s="24">
        <f t="shared" si="1636"/>
        <v>132.70909089645167</v>
      </c>
      <c r="DA205" s="24">
        <f t="shared" si="1636"/>
        <v>137.82288512908818</v>
      </c>
      <c r="DB205" s="24">
        <f t="shared" si="1636"/>
        <v>153.41129570937446</v>
      </c>
      <c r="DE205" s="123"/>
      <c r="DF205" s="23">
        <v>87.276884586850628</v>
      </c>
    </row>
    <row r="206" spans="1:110" s="23" customFormat="1" x14ac:dyDescent="0.2">
      <c r="A206" s="23" t="s">
        <v>88</v>
      </c>
      <c r="C206" s="23">
        <f t="shared" ref="C206:AE206" si="1637">C39</f>
        <v>0</v>
      </c>
      <c r="D206" s="23">
        <f t="shared" si="1637"/>
        <v>0</v>
      </c>
      <c r="E206" s="23">
        <f t="shared" si="1637"/>
        <v>0</v>
      </c>
      <c r="F206" s="23">
        <f t="shared" si="1637"/>
        <v>0</v>
      </c>
      <c r="G206" s="23">
        <f t="shared" si="1637"/>
        <v>0</v>
      </c>
      <c r="H206" s="23">
        <f t="shared" si="1637"/>
        <v>0</v>
      </c>
      <c r="I206" s="23">
        <f t="shared" si="1637"/>
        <v>0</v>
      </c>
      <c r="J206" s="23">
        <f t="shared" si="1637"/>
        <v>0</v>
      </c>
      <c r="K206" s="23">
        <f t="shared" si="1637"/>
        <v>0</v>
      </c>
      <c r="L206" s="23">
        <f t="shared" si="1637"/>
        <v>0</v>
      </c>
      <c r="M206" s="23">
        <f t="shared" si="1637"/>
        <v>0</v>
      </c>
      <c r="N206" s="23">
        <f t="shared" si="1637"/>
        <v>0</v>
      </c>
      <c r="O206" s="23">
        <f t="shared" si="1637"/>
        <v>0</v>
      </c>
      <c r="P206" s="23">
        <f t="shared" si="1637"/>
        <v>0</v>
      </c>
      <c r="Q206" s="23">
        <f t="shared" si="1637"/>
        <v>0</v>
      </c>
      <c r="R206" s="23">
        <f t="shared" si="1637"/>
        <v>0</v>
      </c>
      <c r="S206" s="23">
        <f t="shared" si="1637"/>
        <v>3.1680000000000001</v>
      </c>
      <c r="T206" s="23">
        <f t="shared" si="1637"/>
        <v>7.8040000000000003</v>
      </c>
      <c r="U206" s="23">
        <f t="shared" si="1637"/>
        <v>14.23</v>
      </c>
      <c r="V206" s="23">
        <f t="shared" si="1637"/>
        <v>16.510000000000002</v>
      </c>
      <c r="W206" s="23">
        <f t="shared" si="1637"/>
        <v>14.67</v>
      </c>
      <c r="X206" s="23">
        <f t="shared" si="1637"/>
        <v>14.7</v>
      </c>
      <c r="Y206" s="23">
        <f t="shared" si="1637"/>
        <v>16.649999999999999</v>
      </c>
      <c r="Z206" s="23">
        <f t="shared" si="1637"/>
        <v>14.34</v>
      </c>
      <c r="AA206" s="23">
        <f t="shared" ref="AA206" si="1638">AA39</f>
        <v>11.28</v>
      </c>
      <c r="AB206" s="24">
        <f t="shared" si="1637"/>
        <v>12.614476619243867</v>
      </c>
      <c r="AC206" s="24">
        <f t="shared" si="1637"/>
        <v>5.6718492031247454</v>
      </c>
      <c r="AD206" s="24">
        <f t="shared" si="1637"/>
        <v>2.5502344927977769</v>
      </c>
      <c r="AE206" s="24">
        <f t="shared" si="1637"/>
        <v>1.1466623556692046</v>
      </c>
      <c r="AI206" s="23">
        <f t="shared" ref="AI206:BN206" si="1639">AI39</f>
        <v>0</v>
      </c>
      <c r="AJ206" s="23">
        <f t="shared" si="1639"/>
        <v>0</v>
      </c>
      <c r="AK206" s="23">
        <f t="shared" si="1639"/>
        <v>0</v>
      </c>
      <c r="AL206" s="23">
        <f t="shared" si="1639"/>
        <v>0</v>
      </c>
      <c r="AM206" s="23">
        <f t="shared" si="1639"/>
        <v>0</v>
      </c>
      <c r="AN206" s="23">
        <f t="shared" si="1639"/>
        <v>0</v>
      </c>
      <c r="AO206" s="23">
        <f t="shared" si="1639"/>
        <v>0</v>
      </c>
      <c r="AP206" s="23">
        <f t="shared" si="1639"/>
        <v>0</v>
      </c>
      <c r="AQ206" s="23">
        <f t="shared" si="1639"/>
        <v>0</v>
      </c>
      <c r="AR206" s="23">
        <f t="shared" si="1639"/>
        <v>0</v>
      </c>
      <c r="AS206" s="23">
        <f t="shared" si="1639"/>
        <v>0</v>
      </c>
      <c r="AT206" s="23">
        <f t="shared" si="1639"/>
        <v>0</v>
      </c>
      <c r="AU206" s="23">
        <f t="shared" si="1639"/>
        <v>0</v>
      </c>
      <c r="AV206" s="23">
        <f t="shared" si="1639"/>
        <v>0</v>
      </c>
      <c r="AW206" s="23">
        <f t="shared" si="1639"/>
        <v>0</v>
      </c>
      <c r="AX206" s="23">
        <f t="shared" si="1639"/>
        <v>0</v>
      </c>
      <c r="AY206" s="23">
        <f t="shared" si="1639"/>
        <v>0</v>
      </c>
      <c r="AZ206" s="23">
        <f t="shared" si="1639"/>
        <v>0</v>
      </c>
      <c r="BA206" s="23">
        <f t="shared" si="1639"/>
        <v>0</v>
      </c>
      <c r="BB206" s="23">
        <f t="shared" si="1639"/>
        <v>0</v>
      </c>
      <c r="BC206" s="23">
        <f t="shared" si="1639"/>
        <v>0</v>
      </c>
      <c r="BD206" s="23">
        <f t="shared" si="1639"/>
        <v>0</v>
      </c>
      <c r="BE206" s="23">
        <f t="shared" si="1639"/>
        <v>0</v>
      </c>
      <c r="BF206" s="23">
        <f t="shared" si="1639"/>
        <v>0</v>
      </c>
      <c r="BG206" s="23">
        <f t="shared" si="1639"/>
        <v>0</v>
      </c>
      <c r="BH206" s="23">
        <f t="shared" si="1639"/>
        <v>2.109</v>
      </c>
      <c r="BI206" s="23">
        <f t="shared" si="1639"/>
        <v>2.923</v>
      </c>
      <c r="BJ206" s="23">
        <f t="shared" si="1639"/>
        <v>2.226</v>
      </c>
      <c r="BK206" s="23">
        <f t="shared" si="1639"/>
        <v>3.14</v>
      </c>
      <c r="BL206" s="23">
        <f t="shared" si="1639"/>
        <v>3.91</v>
      </c>
      <c r="BM206" s="23">
        <f t="shared" si="1639"/>
        <v>3.76</v>
      </c>
      <c r="BN206" s="23">
        <f t="shared" si="1639"/>
        <v>3.43</v>
      </c>
      <c r="BO206" s="23">
        <f t="shared" ref="BO206:CT206" si="1640">BO39</f>
        <v>3.89</v>
      </c>
      <c r="BP206" s="23">
        <f t="shared" si="1640"/>
        <v>3.73</v>
      </c>
      <c r="BQ206" s="23">
        <f t="shared" si="1640"/>
        <v>3.88</v>
      </c>
      <c r="BR206" s="23">
        <f t="shared" si="1640"/>
        <v>5.01</v>
      </c>
      <c r="BS206" s="23">
        <f t="shared" si="1640"/>
        <v>3.08</v>
      </c>
      <c r="BT206" s="23">
        <f t="shared" si="1640"/>
        <v>3.28</v>
      </c>
      <c r="BU206" s="23">
        <f t="shared" si="1640"/>
        <v>4.49</v>
      </c>
      <c r="BV206" s="23">
        <f t="shared" si="1640"/>
        <v>3.82</v>
      </c>
      <c r="BW206" s="23">
        <f t="shared" si="1640"/>
        <v>3.46</v>
      </c>
      <c r="BX206" s="23">
        <f t="shared" si="1640"/>
        <v>3.3</v>
      </c>
      <c r="BY206" s="23">
        <f t="shared" si="1640"/>
        <v>4.1100000000000003</v>
      </c>
      <c r="BZ206" s="23">
        <f t="shared" si="1640"/>
        <v>3.83</v>
      </c>
      <c r="CA206" s="23">
        <f t="shared" si="1640"/>
        <v>3.42</v>
      </c>
      <c r="CB206" s="23">
        <f t="shared" si="1640"/>
        <v>4.29</v>
      </c>
      <c r="CC206" s="23">
        <f t="shared" si="1640"/>
        <v>4.49</v>
      </c>
      <c r="CD206" s="23">
        <f t="shared" si="1640"/>
        <v>4.46</v>
      </c>
      <c r="CE206" s="23">
        <f t="shared" si="1640"/>
        <v>4.01</v>
      </c>
      <c r="CF206" s="23">
        <f t="shared" si="1640"/>
        <v>3.83</v>
      </c>
      <c r="CG206" s="23">
        <f t="shared" si="1640"/>
        <v>3.37</v>
      </c>
      <c r="CH206" s="23">
        <f t="shared" si="1640"/>
        <v>3.13</v>
      </c>
      <c r="CI206" s="23">
        <f t="shared" si="1640"/>
        <v>2.81</v>
      </c>
      <c r="CJ206" s="23">
        <f t="shared" si="1640"/>
        <v>2.73</v>
      </c>
      <c r="CK206" s="23">
        <f t="shared" si="1640"/>
        <v>2.86</v>
      </c>
      <c r="CL206" s="23">
        <f t="shared" ref="CL206" si="1641">CL39</f>
        <v>2.88</v>
      </c>
      <c r="CM206" s="24">
        <f t="shared" si="1640"/>
        <v>4.1515471698113195</v>
      </c>
      <c r="CN206" s="24">
        <f t="shared" si="1640"/>
        <v>3.3995688145247405</v>
      </c>
      <c r="CO206" s="24">
        <f t="shared" si="1640"/>
        <v>2.7837978594410142</v>
      </c>
      <c r="CP206" s="24">
        <f t="shared" si="1640"/>
        <v>2.2795627754667938</v>
      </c>
      <c r="CQ206" s="24">
        <f t="shared" si="1640"/>
        <v>1.8666608387784678</v>
      </c>
      <c r="CR206" s="24">
        <f t="shared" si="1640"/>
        <v>1.5285486868487823</v>
      </c>
      <c r="CS206" s="24">
        <f t="shared" si="1640"/>
        <v>1.2516794907403244</v>
      </c>
      <c r="CT206" s="24">
        <f t="shared" si="1640"/>
        <v>1.0249601867571705</v>
      </c>
      <c r="CU206" s="24">
        <f t="shared" ref="CU206:DB206" si="1642">CU39</f>
        <v>0.83930702085398501</v>
      </c>
      <c r="CV206" s="24">
        <f t="shared" si="1642"/>
        <v>0.68728159820873591</v>
      </c>
      <c r="CW206" s="24">
        <f t="shared" si="1642"/>
        <v>0.56279285589168082</v>
      </c>
      <c r="CX206" s="24">
        <f t="shared" si="1642"/>
        <v>0.46085301784337546</v>
      </c>
      <c r="CY206" s="24">
        <f t="shared" si="1642"/>
        <v>0.3773777542340091</v>
      </c>
      <c r="CZ206" s="24">
        <f t="shared" si="1642"/>
        <v>0.30902253837275556</v>
      </c>
      <c r="DA206" s="24">
        <f t="shared" si="1642"/>
        <v>0.25304864462976534</v>
      </c>
      <c r="DB206" s="24">
        <f t="shared" si="1642"/>
        <v>0.20721341843267468</v>
      </c>
      <c r="DE206" s="123"/>
      <c r="DF206" s="23">
        <v>2.4239872068230284</v>
      </c>
    </row>
    <row r="207" spans="1:110" s="22" customFormat="1" x14ac:dyDescent="0.2">
      <c r="A207" s="22" t="s">
        <v>89</v>
      </c>
      <c r="C207" s="22">
        <f t="shared" ref="C207:W207" si="1643">C205+C206</f>
        <v>0</v>
      </c>
      <c r="D207" s="22">
        <f t="shared" si="1643"/>
        <v>0</v>
      </c>
      <c r="E207" s="22">
        <f t="shared" si="1643"/>
        <v>0</v>
      </c>
      <c r="F207" s="22">
        <f t="shared" si="1643"/>
        <v>0</v>
      </c>
      <c r="G207" s="22">
        <f t="shared" si="1643"/>
        <v>0</v>
      </c>
      <c r="H207" s="22">
        <f t="shared" si="1643"/>
        <v>0</v>
      </c>
      <c r="I207" s="22">
        <f t="shared" si="1643"/>
        <v>0</v>
      </c>
      <c r="J207" s="22">
        <f t="shared" si="1643"/>
        <v>0</v>
      </c>
      <c r="K207" s="22">
        <f t="shared" si="1643"/>
        <v>0</v>
      </c>
      <c r="L207" s="22">
        <f t="shared" si="1643"/>
        <v>0</v>
      </c>
      <c r="M207" s="22">
        <f t="shared" si="1643"/>
        <v>0</v>
      </c>
      <c r="N207" s="22">
        <f t="shared" si="1643"/>
        <v>0</v>
      </c>
      <c r="O207" s="22">
        <f t="shared" si="1643"/>
        <v>0</v>
      </c>
      <c r="P207" s="22">
        <f t="shared" si="1643"/>
        <v>0</v>
      </c>
      <c r="Q207" s="22">
        <f t="shared" si="1643"/>
        <v>0</v>
      </c>
      <c r="R207" s="22">
        <f t="shared" si="1643"/>
        <v>0</v>
      </c>
      <c r="S207" s="22">
        <f t="shared" si="1643"/>
        <v>455.34400000000011</v>
      </c>
      <c r="T207" s="22">
        <f t="shared" si="1643"/>
        <v>646.79299999999978</v>
      </c>
      <c r="U207" s="22">
        <f t="shared" si="1643"/>
        <v>324.28999999999979</v>
      </c>
      <c r="V207" s="22">
        <f t="shared" si="1643"/>
        <v>-268.86999999999972</v>
      </c>
      <c r="W207" s="22">
        <f t="shared" si="1643"/>
        <v>-894.79000000000053</v>
      </c>
      <c r="X207" s="22">
        <f t="shared" ref="X207:Y207" si="1644">X205+X206</f>
        <v>-1154.8499999999999</v>
      </c>
      <c r="Y207" s="22">
        <f t="shared" si="1644"/>
        <v>-195.27000000000012</v>
      </c>
      <c r="Z207" s="22">
        <f t="shared" ref="Z207:AA207" si="1645">Z205+Z206</f>
        <v>95.789999999999978</v>
      </c>
      <c r="AA207" s="22">
        <f t="shared" si="1645"/>
        <v>-298.14999999999935</v>
      </c>
      <c r="AB207" s="21">
        <f t="shared" ref="AA207:AD207" si="1646">AB205+AB206</f>
        <v>396.20013520061389</v>
      </c>
      <c r="AC207" s="21">
        <f t="shared" si="1646"/>
        <v>465.3066034234194</v>
      </c>
      <c r="AD207" s="21">
        <f t="shared" si="1646"/>
        <v>519.27658405034276</v>
      </c>
      <c r="AE207" s="21">
        <f t="shared" ref="AE207" si="1647">AE205+AE206</f>
        <v>575.92223355658564</v>
      </c>
      <c r="AI207" s="22">
        <f t="shared" ref="AI207" si="1648">AI205+AI206</f>
        <v>0</v>
      </c>
      <c r="AJ207" s="22">
        <f t="shared" ref="AJ207:AL207" si="1649">AJ205+AJ206</f>
        <v>0</v>
      </c>
      <c r="AK207" s="22">
        <f t="shared" si="1649"/>
        <v>0</v>
      </c>
      <c r="AL207" s="22">
        <f t="shared" si="1649"/>
        <v>0</v>
      </c>
      <c r="AM207" s="22">
        <f t="shared" ref="AM207" si="1650">AM205+AM206</f>
        <v>0</v>
      </c>
      <c r="AN207" s="22">
        <f t="shared" ref="AN207:CD207" si="1651">AN205+AN206</f>
        <v>0</v>
      </c>
      <c r="AO207" s="22">
        <f t="shared" si="1651"/>
        <v>0</v>
      </c>
      <c r="AP207" s="22">
        <f t="shared" si="1651"/>
        <v>0</v>
      </c>
      <c r="AQ207" s="22">
        <f t="shared" si="1651"/>
        <v>0</v>
      </c>
      <c r="AR207" s="22">
        <f t="shared" si="1651"/>
        <v>0</v>
      </c>
      <c r="AS207" s="22">
        <f t="shared" si="1651"/>
        <v>0</v>
      </c>
      <c r="AT207" s="22">
        <f t="shared" si="1651"/>
        <v>0</v>
      </c>
      <c r="AU207" s="22">
        <f t="shared" si="1651"/>
        <v>0</v>
      </c>
      <c r="AV207" s="22">
        <f t="shared" si="1651"/>
        <v>0</v>
      </c>
      <c r="AW207" s="22">
        <f t="shared" si="1651"/>
        <v>0</v>
      </c>
      <c r="AX207" s="22">
        <f t="shared" si="1651"/>
        <v>0</v>
      </c>
      <c r="AY207" s="22">
        <f t="shared" si="1651"/>
        <v>0</v>
      </c>
      <c r="AZ207" s="22">
        <f t="shared" si="1651"/>
        <v>0</v>
      </c>
      <c r="BA207" s="22">
        <f t="shared" si="1651"/>
        <v>0</v>
      </c>
      <c r="BB207" s="22">
        <f t="shared" si="1651"/>
        <v>0</v>
      </c>
      <c r="BC207" s="22">
        <f t="shared" si="1651"/>
        <v>0</v>
      </c>
      <c r="BD207" s="22">
        <f t="shared" si="1651"/>
        <v>0</v>
      </c>
      <c r="BE207" s="22">
        <f t="shared" si="1651"/>
        <v>0</v>
      </c>
      <c r="BF207" s="22">
        <f t="shared" si="1651"/>
        <v>0</v>
      </c>
      <c r="BG207" s="22">
        <f t="shared" si="1651"/>
        <v>0</v>
      </c>
      <c r="BH207" s="22">
        <f t="shared" si="1651"/>
        <v>60.15599999999985</v>
      </c>
      <c r="BI207" s="22">
        <f t="shared" si="1651"/>
        <v>192.74499999999992</v>
      </c>
      <c r="BJ207" s="22">
        <f t="shared" si="1651"/>
        <v>298.11500000000029</v>
      </c>
      <c r="BK207" s="22">
        <f t="shared" si="1651"/>
        <v>51.28000000000003</v>
      </c>
      <c r="BL207" s="22">
        <f t="shared" si="1651"/>
        <v>83.94</v>
      </c>
      <c r="BM207" s="22">
        <f t="shared" si="1651"/>
        <v>53.371000000000102</v>
      </c>
      <c r="BN207" s="22">
        <f t="shared" si="1651"/>
        <v>135.71000000000004</v>
      </c>
      <c r="BO207" s="22">
        <f t="shared" si="1651"/>
        <v>20.310000000000102</v>
      </c>
      <c r="BP207" s="22">
        <f t="shared" si="1651"/>
        <v>27.15000000000013</v>
      </c>
      <c r="BQ207" s="22">
        <f t="shared" si="1651"/>
        <v>25.510000000000055</v>
      </c>
      <c r="BR207" s="22">
        <f t="shared" si="1651"/>
        <v>-341.84</v>
      </c>
      <c r="BS207" s="22">
        <f t="shared" si="1651"/>
        <v>-73.039999999999907</v>
      </c>
      <c r="BT207" s="22">
        <f t="shared" si="1651"/>
        <v>-281.34999999999991</v>
      </c>
      <c r="BU207" s="22">
        <f t="shared" si="1651"/>
        <v>-417.92000000000013</v>
      </c>
      <c r="BV207" s="22">
        <f t="shared" si="1651"/>
        <v>-122.48000000000012</v>
      </c>
      <c r="BW207" s="22">
        <f t="shared" si="1651"/>
        <v>-350.44999999999993</v>
      </c>
      <c r="BX207" s="22">
        <f t="shared" si="1651"/>
        <v>-293.64999999999992</v>
      </c>
      <c r="BY207" s="22">
        <f t="shared" si="1651"/>
        <v>-97.129999999999981</v>
      </c>
      <c r="BZ207" s="22">
        <f t="shared" si="1651"/>
        <v>-413.61999999999989</v>
      </c>
      <c r="CA207" s="22">
        <f t="shared" si="1651"/>
        <v>-92.049999999999926</v>
      </c>
      <c r="CB207" s="22">
        <f t="shared" si="1651"/>
        <v>-49.960000000000036</v>
      </c>
      <c r="CC207" s="22">
        <f t="shared" si="1651"/>
        <v>-59.180000000000007</v>
      </c>
      <c r="CD207" s="22">
        <f t="shared" si="1651"/>
        <v>5.8999999999999631</v>
      </c>
      <c r="CE207" s="22">
        <f t="shared" ref="CE207:CF207" si="1652">CE205+CE206</f>
        <v>8.1999999999998927</v>
      </c>
      <c r="CF207" s="22">
        <f t="shared" si="1652"/>
        <v>10.880000000000036</v>
      </c>
      <c r="CG207" s="22">
        <f t="shared" ref="CG207:CH207" si="1653">CG205+CG206</f>
        <v>18.200000000000031</v>
      </c>
      <c r="CH207" s="22">
        <f t="shared" si="1653"/>
        <v>58.510000000000282</v>
      </c>
      <c r="CI207" s="22">
        <f t="shared" ref="CI207:CJ207" si="1654">CI205+CI206</f>
        <v>34.780000000000037</v>
      </c>
      <c r="CJ207" s="22">
        <f t="shared" si="1654"/>
        <v>-470.47000000000014</v>
      </c>
      <c r="CK207" s="22">
        <f t="shared" ref="CK207:DB207" si="1655">CK205+CK206</f>
        <v>9.0000000000156621E-2</v>
      </c>
      <c r="CL207" s="22">
        <f t="shared" si="1655"/>
        <v>137.44999999999987</v>
      </c>
      <c r="CM207" s="21">
        <f t="shared" si="1655"/>
        <v>88.436740784533001</v>
      </c>
      <c r="CN207" s="21">
        <f t="shared" si="1655"/>
        <v>86.249316899043208</v>
      </c>
      <c r="CO207" s="21">
        <f t="shared" si="1655"/>
        <v>101.83994122576031</v>
      </c>
      <c r="CP207" s="21">
        <f t="shared" si="1655"/>
        <v>119.6741362912779</v>
      </c>
      <c r="CQ207" s="21">
        <f t="shared" si="1655"/>
        <v>117.38617526926095</v>
      </c>
      <c r="CR207" s="21">
        <f t="shared" si="1655"/>
        <v>107.87464709620515</v>
      </c>
      <c r="CS207" s="21">
        <f t="shared" si="1655"/>
        <v>114.09976123197825</v>
      </c>
      <c r="CT207" s="21">
        <f t="shared" si="1655"/>
        <v>125.94601982597551</v>
      </c>
      <c r="CU207" s="21">
        <f t="shared" si="1655"/>
        <v>135.40025341844179</v>
      </c>
      <c r="CV207" s="21">
        <f t="shared" si="1655"/>
        <v>120.497297229617</v>
      </c>
      <c r="CW207" s="21">
        <f t="shared" si="1655"/>
        <v>125.09413353268033</v>
      </c>
      <c r="CX207" s="21">
        <f t="shared" si="1655"/>
        <v>138.28489986960534</v>
      </c>
      <c r="CY207" s="21">
        <f t="shared" si="1655"/>
        <v>151.20967722023602</v>
      </c>
      <c r="CZ207" s="21">
        <f t="shared" si="1655"/>
        <v>133.01811343482441</v>
      </c>
      <c r="DA207" s="21">
        <f t="shared" si="1655"/>
        <v>138.07593377371794</v>
      </c>
      <c r="DB207" s="21">
        <f t="shared" si="1655"/>
        <v>153.61850912780713</v>
      </c>
      <c r="DE207" s="126"/>
      <c r="DF207" s="22">
        <v>89.700871793673656</v>
      </c>
    </row>
    <row r="208" spans="1:110" s="23" customFormat="1" x14ac:dyDescent="0.2">
      <c r="A208" s="23" t="s">
        <v>65</v>
      </c>
      <c r="C208" s="23">
        <f t="shared" ref="C208:AA208" si="1656">B160-C160+B175+B176-C175-C176</f>
        <v>0</v>
      </c>
      <c r="D208" s="23">
        <f t="shared" si="1656"/>
        <v>0</v>
      </c>
      <c r="E208" s="23">
        <f>D160-E160+D175+D176-E175-E176</f>
        <v>0</v>
      </c>
      <c r="F208" s="23">
        <f t="shared" si="1656"/>
        <v>0</v>
      </c>
      <c r="G208" s="23">
        <f t="shared" si="1656"/>
        <v>0</v>
      </c>
      <c r="H208" s="23">
        <f t="shared" si="1656"/>
        <v>0</v>
      </c>
      <c r="I208" s="23">
        <f t="shared" si="1656"/>
        <v>0</v>
      </c>
      <c r="J208" s="23">
        <f>I160-J160+I175+I176-J175-J176</f>
        <v>0</v>
      </c>
      <c r="K208" s="23">
        <f>J160-K160+J175+J176-K175-K176</f>
        <v>0</v>
      </c>
      <c r="L208" s="23">
        <f t="shared" si="1656"/>
        <v>0</v>
      </c>
      <c r="M208" s="23">
        <f t="shared" si="1656"/>
        <v>0</v>
      </c>
      <c r="N208" s="23">
        <f t="shared" si="1656"/>
        <v>0</v>
      </c>
      <c r="O208" s="23">
        <f t="shared" si="1656"/>
        <v>0</v>
      </c>
      <c r="P208" s="23">
        <f t="shared" si="1656"/>
        <v>0</v>
      </c>
      <c r="Q208" s="23">
        <f t="shared" si="1656"/>
        <v>0</v>
      </c>
      <c r="R208" s="23">
        <f t="shared" si="1656"/>
        <v>0</v>
      </c>
      <c r="S208" s="23">
        <f t="shared" si="1656"/>
        <v>-4868.6390000000001</v>
      </c>
      <c r="T208" s="23">
        <f t="shared" si="1656"/>
        <v>-223.05899999999983</v>
      </c>
      <c r="U208" s="23">
        <f t="shared" si="1656"/>
        <v>285.81799999999959</v>
      </c>
      <c r="V208" s="23">
        <f t="shared" si="1656"/>
        <v>1434.19</v>
      </c>
      <c r="W208" s="23">
        <f t="shared" si="1656"/>
        <v>418.32000000000039</v>
      </c>
      <c r="X208" s="23">
        <f t="shared" si="1656"/>
        <v>-97.499999999999986</v>
      </c>
      <c r="Y208" s="23">
        <f t="shared" si="1656"/>
        <v>-854.24000000000024</v>
      </c>
      <c r="Z208" s="23">
        <f t="shared" si="1656"/>
        <v>-968.0999999999998</v>
      </c>
      <c r="AA208" s="23">
        <f t="shared" si="1656"/>
        <v>131.47000000000003</v>
      </c>
      <c r="AB208" s="24">
        <f t="shared" ref="AB208" si="1657">AA160-AB160+AA175+AA176-AB175-AB176</f>
        <v>-1486.6918248125412</v>
      </c>
      <c r="AC208" s="24">
        <f t="shared" ref="AC208" si="1658">AB160-AC160+AB175+AB176-AC175-AC176</f>
        <v>-983.70664510534152</v>
      </c>
      <c r="AD208" s="24">
        <f t="shared" ref="AD208" si="1659">AC160-AD160+AC175+AC176-AD175-AD176</f>
        <v>-942.74043498426363</v>
      </c>
      <c r="AE208" s="24">
        <f t="shared" ref="AE208" si="1660">AD160-AE160+AD175+AD176-AE175-AE176</f>
        <v>-1064.8233375872933</v>
      </c>
      <c r="AI208" s="23">
        <f>AH160-AI160+AH175+AH176-AI175-AJ176</f>
        <v>0</v>
      </c>
      <c r="AJ208" s="23">
        <f t="shared" ref="AJ208:AL208" si="1661">AI160-AJ160+AI175+AI176-AJ175-AK176</f>
        <v>0</v>
      </c>
      <c r="AK208" s="23" t="e">
        <f t="shared" si="1661"/>
        <v>#DIV/0!</v>
      </c>
      <c r="AL208" s="23" t="e">
        <f t="shared" si="1661"/>
        <v>#DIV/0!</v>
      </c>
      <c r="AM208" s="23" t="e">
        <f t="shared" ref="AM208" si="1662">AL160-AM160+AL175+AL176-AM175-AM176</f>
        <v>#DIV/0!</v>
      </c>
      <c r="AN208" s="23" t="e">
        <f t="shared" ref="AN208" si="1663">AM160-AN160+AM175+AM176-AN175-AN176</f>
        <v>#DIV/0!</v>
      </c>
      <c r="AO208" s="23" t="e">
        <f t="shared" ref="AO208" si="1664">AN160-AO160+AN175+AN176-AO175-AO176</f>
        <v>#DIV/0!</v>
      </c>
      <c r="AP208" s="23" t="e">
        <f t="shared" ref="AP208" si="1665">AO160-AP160+AO175+AO176-AP175-AP176</f>
        <v>#DIV/0!</v>
      </c>
      <c r="AQ208" s="23" t="e">
        <f t="shared" ref="AQ208" si="1666">AP160-AQ160+AP175+AP176-AQ175-AQ176</f>
        <v>#DIV/0!</v>
      </c>
      <c r="AR208" s="23" t="e">
        <f t="shared" ref="AR208" si="1667">AQ160-AR160+AQ175+AQ176-AR175-AR176</f>
        <v>#DIV/0!</v>
      </c>
      <c r="AS208" s="23" t="e">
        <f t="shared" ref="AS208" si="1668">AR160-AS160+AR175+AR176-AS175-AS176</f>
        <v>#DIV/0!</v>
      </c>
      <c r="AT208" s="23" t="e">
        <f t="shared" ref="AT208" si="1669">AS160-AT160+AS175+AS176-AT175-AT176</f>
        <v>#DIV/0!</v>
      </c>
      <c r="AU208" s="23" t="e">
        <f t="shared" ref="AU208" si="1670">AT160-AU160+AT175+AT176-AU175-AU176</f>
        <v>#DIV/0!</v>
      </c>
      <c r="AV208" s="23" t="e">
        <f t="shared" ref="AV208" si="1671">AU160-AV160+AU175+AU176-AV175-AV176</f>
        <v>#DIV/0!</v>
      </c>
      <c r="AW208" s="23" t="e">
        <f t="shared" ref="AW208" si="1672">AV160-AW160+AV175+AV176-AW175-AW176</f>
        <v>#DIV/0!</v>
      </c>
      <c r="AX208" s="23" t="e">
        <f t="shared" ref="AX208" si="1673">AW160-AX160+AW175+AW176-AX175-AX176</f>
        <v>#DIV/0!</v>
      </c>
      <c r="AY208" s="23" t="e">
        <f t="shared" ref="AY208" si="1674">AX160-AY160+AX175+AX176-AY175-AY176</f>
        <v>#DIV/0!</v>
      </c>
      <c r="AZ208" s="23" t="e">
        <f t="shared" ref="AZ208" si="1675">AY160-AZ160+AY175+AY176-AZ175-AZ176</f>
        <v>#DIV/0!</v>
      </c>
      <c r="BA208" s="23" t="e">
        <f t="shared" ref="BA208" si="1676">AZ160-BA160+AZ175+AZ176-BA175-BA176</f>
        <v>#DIV/0!</v>
      </c>
      <c r="BB208" s="23" t="e">
        <f t="shared" ref="BB208" si="1677">BA160-BB160+BA175+BA176-BB175-BB176</f>
        <v>#DIV/0!</v>
      </c>
      <c r="BC208" s="23" t="e">
        <f t="shared" ref="BC208" si="1678">BB160-BC160+BB175+BB176-BC175-BC176</f>
        <v>#DIV/0!</v>
      </c>
      <c r="BD208" s="23" t="e">
        <f t="shared" ref="BD208" si="1679">BC160-BD160+BC175+BC176-BD175-BD176</f>
        <v>#DIV/0!</v>
      </c>
      <c r="BE208" s="23" t="e">
        <f t="shared" ref="BE208" si="1680">BD160-BE160+BD175+BD176-BE175-BE176</f>
        <v>#DIV/0!</v>
      </c>
      <c r="BF208" s="23" t="e">
        <f t="shared" ref="BF208" si="1681">BE160-BF160+BE175+BE176-BF175-BF176</f>
        <v>#DIV/0!</v>
      </c>
      <c r="BG208" s="23" t="e">
        <f t="shared" ref="BG208" si="1682">BF160-BG160+BF175+BF176-BG175-BG176</f>
        <v>#DIV/0!</v>
      </c>
      <c r="BH208" s="23" t="e">
        <f t="shared" ref="BH208" si="1683">BG160-BH160+BG175+BG176-BH175-BH176</f>
        <v>#DIV/0!</v>
      </c>
      <c r="BI208" s="23">
        <f t="shared" ref="BI208" si="1684">BH160-BI160+BH175+BH176-BI175-BI176</f>
        <v>0</v>
      </c>
      <c r="BJ208" s="23">
        <f t="shared" ref="BJ208" si="1685">BI160-BJ160+BI175+BI176-BJ175-BJ176</f>
        <v>-4905.72</v>
      </c>
      <c r="BK208" s="23">
        <f t="shared" ref="BK208" si="1686">BJ160-BK160+BJ175+BJ176-BK175-BK176</f>
        <v>888.94637194314328</v>
      </c>
      <c r="BL208" s="23">
        <f t="shared" ref="BL208" si="1687">BK160-BL160+BK175+BK176-BL175-BL176</f>
        <v>-1291.0803719431428</v>
      </c>
      <c r="BM208" s="23">
        <f t="shared" ref="BM208" si="1688">BL160-BM160+BL175+BL176-BM175-BM176</f>
        <v>203.33139876396308</v>
      </c>
      <c r="BN208" s="23">
        <f t="shared" ref="BN208" si="1689">BM160-BN160+BM175+BM176-BN175-BN176</f>
        <v>608.60260123603803</v>
      </c>
      <c r="BO208" s="23">
        <f t="shared" ref="BO208" si="1690">BN160-BO160+BN175+BN176-BO175-BO176</f>
        <v>985.11336756234687</v>
      </c>
      <c r="BP208" s="23">
        <f t="shared" ref="BP208" si="1691">BO160-BP160+BO175+BO176-BP175-BP176</f>
        <v>-229.4833675623473</v>
      </c>
      <c r="BQ208" s="23">
        <f t="shared" ref="BQ208" si="1692">BP160-BQ160+BP175+BP176-BQ175-BQ176</f>
        <v>21.821940252724744</v>
      </c>
      <c r="BR208" s="23">
        <f t="shared" ref="BR208" si="1693">BQ160-BR160+BQ175+BQ176-BR175-BR176</f>
        <v>337.10805974727526</v>
      </c>
      <c r="BS208" s="23">
        <f t="shared" ref="BS208" si="1694">BR160-BS160+BR175+BR176-BS175-BS176</f>
        <v>106.08324013953369</v>
      </c>
      <c r="BT208" s="23">
        <f t="shared" ref="BT208" si="1695">BS160-BT160+BS175+BS176-BT175-BT176</f>
        <v>362.71675986046603</v>
      </c>
      <c r="BU208" s="23">
        <f t="shared" ref="BU208" si="1696">BT160-BU160+BT175+BT176-BU175-BU176</f>
        <v>-48.426526049414861</v>
      </c>
      <c r="BV208" s="23">
        <f t="shared" ref="BV208" si="1697">BU160-BV160+BU175+BU176-BV175-BV176</f>
        <v>-1.8234739505849547</v>
      </c>
      <c r="BW208" s="23">
        <f t="shared" ref="BW208" si="1698">BV160-BW160+BV175+BV176-BW175-BW176</f>
        <v>-99.969350998571826</v>
      </c>
      <c r="BX208" s="23">
        <f t="shared" ref="BX208" si="1699">BW160-BX160+BW175+BW176-BX175-BX176</f>
        <v>114.60935099857163</v>
      </c>
      <c r="BY208" s="23">
        <f t="shared" ref="BY208" si="1700">BX160-BY160+BX175+BX176-BY175-BY176</f>
        <v>-230.33125459720486</v>
      </c>
      <c r="BZ208" s="23">
        <f t="shared" ref="BZ208" si="1701">BY160-BZ160+BY175+BY176-BZ175-BZ176</f>
        <v>115.37125459720444</v>
      </c>
      <c r="CA208" s="23">
        <f t="shared" ref="CA208" si="1702">BZ160-CA160+BZ175+BZ176-CA175-CA176</f>
        <v>-3819.235379396132</v>
      </c>
      <c r="CB208" s="23">
        <f t="shared" ref="CB208" si="1703">CA160-CB160+CA175+CA176-CB175-CB176</f>
        <v>2996.6753793961325</v>
      </c>
      <c r="CC208" s="23">
        <f t="shared" ref="CC208" si="1704">CB160-CC160+CB175+CB176-CC175-CC176</f>
        <v>160.43234042553195</v>
      </c>
      <c r="CD208" s="23">
        <f t="shared" ref="CD208" si="1705">CC160-CD160+CC175+CC176-CD175-CD176</f>
        <v>-212.14234042553187</v>
      </c>
      <c r="CE208" s="23">
        <f t="shared" ref="CE208" si="1706">CD160-CE160+CD175+CD176-CE175-CE176</f>
        <v>185.90050042020039</v>
      </c>
      <c r="CF208" s="23">
        <f t="shared" ref="CF208" si="1707">CE160-CF160+CE175+CE176-CF175-CF176</f>
        <v>-555.56050042020013</v>
      </c>
      <c r="CG208" s="23">
        <f t="shared" ref="CG208" si="1708">CF160-CG160+CF175+CF176-CG175-CG176</f>
        <v>-726.60186280313246</v>
      </c>
      <c r="CH208" s="23">
        <f t="shared" ref="CH208:CL208" si="1709">CG160-CH160+CG175+CG176-CH175-CH176</f>
        <v>160.45186280313237</v>
      </c>
      <c r="CI208" s="23">
        <f t="shared" si="1709"/>
        <v>1457.9364848696559</v>
      </c>
      <c r="CJ208" s="23">
        <f t="shared" si="1709"/>
        <v>-984.50648486965565</v>
      </c>
      <c r="CK208" s="23">
        <f t="shared" ref="CK208" si="1710">CJ160-CK160+CJ175+CJ176-CK175-CK176</f>
        <v>-857.09727833695524</v>
      </c>
      <c r="CL208" s="23">
        <f t="shared" si="1709"/>
        <v>496.77727833695531</v>
      </c>
      <c r="CM208" s="24">
        <f t="shared" ref="CM208" si="1711">CL160-CM160+CL175+CL176-CM175-CM176</f>
        <v>-1179.2331699315928</v>
      </c>
      <c r="CN208" s="24">
        <f t="shared" ref="CN208" si="1712">CM160-CN160+CM175+CM176-CN175-CN176</f>
        <v>579.18858622494736</v>
      </c>
      <c r="CO208" s="24">
        <f t="shared" ref="CO208" si="1713">CN160-CO160+CN175+CN176-CO175-CO176</f>
        <v>-385.92711018950104</v>
      </c>
      <c r="CP208" s="24">
        <f t="shared" ref="CP208" si="1714">CO160-CP160+CO175+CO176-CP175-CP176</f>
        <v>-482.36013091639506</v>
      </c>
      <c r="CQ208" s="24">
        <f t="shared" ref="CQ208" si="1715">CP160-CQ160+CP175+CP176-CQ175-CQ176</f>
        <v>-719.03185466727973</v>
      </c>
      <c r="CR208" s="24">
        <f t="shared" ref="CR208" si="1716">CQ160-CR160+CQ175+CQ176-CR175-CR176</f>
        <v>793.51578164716284</v>
      </c>
      <c r="CS208" s="24">
        <f t="shared" ref="CS208" si="1717">CR160-CS160+CR175+CR176-CS175-CS176</f>
        <v>-399.35247640464695</v>
      </c>
      <c r="CT208" s="24">
        <f t="shared" ref="CT208" si="1718">CS160-CT160+CS175+CS176-CT175-CT176</f>
        <v>-658.83809568057768</v>
      </c>
      <c r="CU208" s="24">
        <f t="shared" ref="CU208" si="1719">CT160-CU160+CT175+CT176-CU175-CU176</f>
        <v>-652.46752406958058</v>
      </c>
      <c r="CV208" s="24">
        <f t="shared" ref="CV208" si="1720">CU160-CV160+CU175+CU176-CV175-CV176</f>
        <v>925.01097877672419</v>
      </c>
      <c r="CW208" s="24">
        <f t="shared" ref="CW208" si="1721">CV160-CW160+CV175+CV176-CW175-CW176</f>
        <v>-457.20714604490786</v>
      </c>
      <c r="CX208" s="24">
        <f t="shared" ref="CX208" si="1722">CW160-CX160+CW175+CW176-CX175-CX176</f>
        <v>-758.07674364649938</v>
      </c>
      <c r="CY208" s="24">
        <f t="shared" ref="CY208" si="1723">CX160-CY160+CX175+CX176-CY175-CY176</f>
        <v>-711.93142398772579</v>
      </c>
      <c r="CZ208" s="24">
        <f t="shared" ref="CZ208" si="1724">CY160-CZ160+CY175+CY176-CZ175-CZ176</f>
        <v>1058.4178440784626</v>
      </c>
      <c r="DA208" s="24">
        <f t="shared" ref="DA208" si="1725">CZ160-DA160+CZ175+CZ176-DA175-DA176</f>
        <v>-533.35169752421371</v>
      </c>
      <c r="DB208" s="24">
        <f t="shared" ref="DB208" si="1726">DA160-DB160+DA175+DA176-DB175-DB176</f>
        <v>-877.9580601538164</v>
      </c>
      <c r="DE208" s="123"/>
      <c r="DF208" s="23">
        <v>-5619.3395716986288</v>
      </c>
    </row>
    <row r="209" spans="1:110" s="23" customFormat="1" x14ac:dyDescent="0.2">
      <c r="A209" s="23" t="s">
        <v>73</v>
      </c>
      <c r="C209" s="23">
        <f t="shared" ref="C209:AA209" si="1727">B168-C168</f>
        <v>0</v>
      </c>
      <c r="D209" s="23">
        <f t="shared" si="1727"/>
        <v>0</v>
      </c>
      <c r="E209" s="23">
        <f>D168-E168</f>
        <v>0</v>
      </c>
      <c r="F209" s="23">
        <f t="shared" si="1727"/>
        <v>0</v>
      </c>
      <c r="G209" s="23">
        <f t="shared" si="1727"/>
        <v>0</v>
      </c>
      <c r="H209" s="23">
        <f t="shared" si="1727"/>
        <v>0</v>
      </c>
      <c r="I209" s="23">
        <f t="shared" si="1727"/>
        <v>0</v>
      </c>
      <c r="J209" s="23">
        <f>I168-J168</f>
        <v>0</v>
      </c>
      <c r="K209" s="23">
        <f>J168-K168</f>
        <v>0</v>
      </c>
      <c r="L209" s="23">
        <f t="shared" si="1727"/>
        <v>0</v>
      </c>
      <c r="M209" s="23">
        <f t="shared" si="1727"/>
        <v>0</v>
      </c>
      <c r="N209" s="23">
        <f t="shared" si="1727"/>
        <v>0</v>
      </c>
      <c r="O209" s="23">
        <f t="shared" si="1727"/>
        <v>0</v>
      </c>
      <c r="P209" s="23">
        <f t="shared" si="1727"/>
        <v>0</v>
      </c>
      <c r="Q209" s="23">
        <f t="shared" si="1727"/>
        <v>0</v>
      </c>
      <c r="R209" s="23">
        <f t="shared" si="1727"/>
        <v>0</v>
      </c>
      <c r="S209" s="23">
        <f t="shared" si="1727"/>
        <v>-4619.0430000000006</v>
      </c>
      <c r="T209" s="23">
        <f t="shared" si="1727"/>
        <v>2106.4430000000002</v>
      </c>
      <c r="U209" s="23">
        <f t="shared" si="1727"/>
        <v>-545.51999999999953</v>
      </c>
      <c r="V209" s="23">
        <f t="shared" si="1727"/>
        <v>474.88000000000011</v>
      </c>
      <c r="W209" s="23">
        <f t="shared" si="1727"/>
        <v>424.13999999999987</v>
      </c>
      <c r="X209" s="23">
        <f t="shared" si="1727"/>
        <v>743.37999999999988</v>
      </c>
      <c r="Y209" s="23">
        <f t="shared" si="1727"/>
        <v>-1453.1199999999997</v>
      </c>
      <c r="Z209" s="23">
        <f t="shared" si="1727"/>
        <v>-865.19000000000051</v>
      </c>
      <c r="AA209" s="23">
        <f t="shared" si="1727"/>
        <v>231.63000000000011</v>
      </c>
      <c r="AB209" s="24">
        <f t="shared" ref="AB209" si="1728">AA168-AB168</f>
        <v>-1089.6720365852693</v>
      </c>
      <c r="AC209" s="24">
        <f t="shared" ref="AC209" si="1729">AB168-AC168</f>
        <v>-730.02410304036584</v>
      </c>
      <c r="AD209" s="24">
        <f t="shared" ref="AD209" si="1730">AC168-AD168</f>
        <v>-699.62243710936036</v>
      </c>
      <c r="AE209" s="24">
        <f t="shared" ref="AE209" si="1731">AD168-AE168</f>
        <v>-790.22207055983745</v>
      </c>
      <c r="AI209" s="23">
        <f t="shared" ref="AI209" si="1732">AH168-AI168</f>
        <v>0</v>
      </c>
      <c r="AJ209" s="23">
        <f t="shared" ref="AJ209" si="1733">AI168-AJ168</f>
        <v>0</v>
      </c>
      <c r="AK209" s="23" t="e">
        <f t="shared" ref="AK209" si="1734">AJ168-AK168</f>
        <v>#DIV/0!</v>
      </c>
      <c r="AL209" s="23" t="e">
        <f t="shared" ref="AL209" si="1735">AK168-AL168</f>
        <v>#DIV/0!</v>
      </c>
      <c r="AM209" s="23" t="e">
        <f t="shared" ref="AM209" si="1736">AL168-AM168</f>
        <v>#DIV/0!</v>
      </c>
      <c r="AN209" s="23" t="e">
        <f t="shared" ref="AN209" si="1737">AM168-AN168</f>
        <v>#DIV/0!</v>
      </c>
      <c r="AO209" s="23" t="e">
        <f t="shared" ref="AO209" si="1738">AN168-AO168</f>
        <v>#DIV/0!</v>
      </c>
      <c r="AP209" s="23" t="e">
        <f t="shared" ref="AP209" si="1739">AO168-AP168</f>
        <v>#DIV/0!</v>
      </c>
      <c r="AQ209" s="23" t="e">
        <f t="shared" ref="AQ209" si="1740">AP168-AQ168</f>
        <v>#DIV/0!</v>
      </c>
      <c r="AR209" s="23" t="e">
        <f t="shared" ref="AR209" si="1741">AQ168-AR168</f>
        <v>#DIV/0!</v>
      </c>
      <c r="AS209" s="23" t="e">
        <f t="shared" ref="AS209" si="1742">AR168-AS168</f>
        <v>#DIV/0!</v>
      </c>
      <c r="AT209" s="23" t="e">
        <f t="shared" ref="AT209" si="1743">AS168-AT168</f>
        <v>#DIV/0!</v>
      </c>
      <c r="AU209" s="23" t="e">
        <f t="shared" ref="AU209" si="1744">AT168-AU168</f>
        <v>#DIV/0!</v>
      </c>
      <c r="AV209" s="23" t="e">
        <f t="shared" ref="AV209" si="1745">AU168-AV168</f>
        <v>#DIV/0!</v>
      </c>
      <c r="AW209" s="23" t="e">
        <f t="shared" ref="AW209" si="1746">AV168-AW168</f>
        <v>#DIV/0!</v>
      </c>
      <c r="AX209" s="23" t="e">
        <f t="shared" ref="AX209" si="1747">AW168-AX168</f>
        <v>#DIV/0!</v>
      </c>
      <c r="AY209" s="23" t="e">
        <f t="shared" ref="AY209" si="1748">AX168-AY168</f>
        <v>#DIV/0!</v>
      </c>
      <c r="AZ209" s="23" t="e">
        <f t="shared" ref="AZ209" si="1749">AY168-AZ168</f>
        <v>#DIV/0!</v>
      </c>
      <c r="BA209" s="23" t="e">
        <f t="shared" ref="BA209" si="1750">AZ168-BA168</f>
        <v>#DIV/0!</v>
      </c>
      <c r="BB209" s="23" t="e">
        <f t="shared" ref="BB209" si="1751">BA168-BB168</f>
        <v>#DIV/0!</v>
      </c>
      <c r="BC209" s="23" t="e">
        <f t="shared" ref="BC209" si="1752">BB168-BC168</f>
        <v>#DIV/0!</v>
      </c>
      <c r="BD209" s="23" t="e">
        <f t="shared" ref="BD209" si="1753">BC168-BD168</f>
        <v>#DIV/0!</v>
      </c>
      <c r="BE209" s="23" t="e">
        <f t="shared" ref="BE209" si="1754">BD168-BE168</f>
        <v>#DIV/0!</v>
      </c>
      <c r="BF209" s="23" t="e">
        <f t="shared" ref="BF209" si="1755">BE168-BF168</f>
        <v>#DIV/0!</v>
      </c>
      <c r="BG209" s="23" t="e">
        <f t="shared" ref="BG209" si="1756">BF168-BG168</f>
        <v>#DIV/0!</v>
      </c>
      <c r="BH209" s="23" t="e">
        <f t="shared" ref="BH209" si="1757">BG168-BH168</f>
        <v>#DIV/0!</v>
      </c>
      <c r="BI209" s="23">
        <f t="shared" ref="BI209" si="1758">BH168-BI168</f>
        <v>0</v>
      </c>
      <c r="BJ209" s="23">
        <f t="shared" ref="BJ209" si="1759">BI168-BJ168</f>
        <v>-2326.6219999999998</v>
      </c>
      <c r="BK209" s="23">
        <f t="shared" ref="BK209" si="1760">BJ168-BK168</f>
        <v>888.56725962557357</v>
      </c>
      <c r="BL209" s="23">
        <f t="shared" ref="BL209" si="1761">BK168-BL168</f>
        <v>-1128.576259625574</v>
      </c>
      <c r="BM209" s="23">
        <f t="shared" ref="BM209" si="1762">BL168-BM168</f>
        <v>180.43484398280452</v>
      </c>
      <c r="BN209" s="23">
        <f t="shared" ref="BN209" si="1763">BM168-BN168</f>
        <v>-351.64384398280436</v>
      </c>
      <c r="BO209" s="23">
        <f t="shared" ref="BO209" si="1764">BN168-BO168</f>
        <v>1070.0573670188246</v>
      </c>
      <c r="BP209" s="23">
        <f t="shared" ref="BP209" si="1765">BO168-BP168</f>
        <v>-646.61736701882455</v>
      </c>
      <c r="BQ209" s="23">
        <f t="shared" ref="BQ209" si="1766">BP168-BQ168</f>
        <v>26.581634408923946</v>
      </c>
      <c r="BR209" s="23">
        <f t="shared" ref="BR209" si="1767">BQ168-BR168</f>
        <v>-295.42163440892409</v>
      </c>
      <c r="BS209" s="23">
        <f t="shared" ref="BS209" si="1768">BR168-BS168</f>
        <v>231.19658954666056</v>
      </c>
      <c r="BT209" s="23">
        <f t="shared" ref="BT209" si="1769">BS168-BT168</f>
        <v>88.343410453339857</v>
      </c>
      <c r="BU209" s="23">
        <f t="shared" ref="BU209" si="1770">BT168-BU168</f>
        <v>-65.442258867368309</v>
      </c>
      <c r="BV209" s="23">
        <f t="shared" ref="BV209" si="1771">BU168-BV168</f>
        <v>170.04225886736822</v>
      </c>
      <c r="BW209" s="23">
        <f t="shared" ref="BW209" si="1772">BV168-BW168</f>
        <v>-178.00498025265415</v>
      </c>
      <c r="BX209" s="23">
        <f t="shared" ref="BX209" si="1773">BW168-BX168</f>
        <v>526.35498025265406</v>
      </c>
      <c r="BY209" s="23">
        <f t="shared" ref="BY209" si="1774">BX168-BY168</f>
        <v>-408.27119319453777</v>
      </c>
      <c r="BZ209" s="23">
        <f t="shared" ref="BZ209" si="1775">BY168-BZ168</f>
        <v>803.30119319453797</v>
      </c>
      <c r="CA209" s="23">
        <f t="shared" ref="CA209" si="1776">BZ168-CA168</f>
        <v>-3134.9930883184447</v>
      </c>
      <c r="CB209" s="23">
        <f t="shared" ref="CB209" si="1777">CA168-CB168</f>
        <v>2300.8330883184444</v>
      </c>
      <c r="CC209" s="23">
        <f t="shared" ref="CC209" si="1778">CB168-CC168</f>
        <v>308.49439224773573</v>
      </c>
      <c r="CD209" s="23">
        <f t="shared" ref="CD209" si="1779">CC168-CD168</f>
        <v>-927.45439224773531</v>
      </c>
      <c r="CE209" s="23">
        <f t="shared" ref="CE209" si="1780">CD168-CE168</f>
        <v>336.56867853413769</v>
      </c>
      <c r="CF209" s="23">
        <f t="shared" ref="CF209" si="1781">CE168-CF168</f>
        <v>-527.82867853413836</v>
      </c>
      <c r="CG209" s="23">
        <f t="shared" ref="CG209" si="1782">CF168-CG168</f>
        <v>-1209.0747059166024</v>
      </c>
      <c r="CH209" s="23">
        <f t="shared" ref="CH209:CL209" si="1783">CG168-CH168</f>
        <v>535.14470591660256</v>
      </c>
      <c r="CI209" s="23">
        <f t="shared" si="1783"/>
        <v>1122.7985456768461</v>
      </c>
      <c r="CJ209" s="23">
        <f t="shared" si="1783"/>
        <v>-593.55854567684628</v>
      </c>
      <c r="CK209" s="23">
        <f t="shared" ref="CK209" si="1784">CJ168-CK168</f>
        <v>-629.75974602539236</v>
      </c>
      <c r="CL209" s="23">
        <f t="shared" si="1783"/>
        <v>332.14974602539269</v>
      </c>
      <c r="CM209" s="24">
        <f t="shared" ref="CM209" si="1785">CL168-CM168</f>
        <v>-875.12739843550798</v>
      </c>
      <c r="CN209" s="24">
        <f t="shared" ref="CN209" si="1786">CM168-CN168</f>
        <v>429.82491808297891</v>
      </c>
      <c r="CO209" s="24">
        <f t="shared" ref="CO209" si="1787">CN168-CO168</f>
        <v>-286.40255085893114</v>
      </c>
      <c r="CP209" s="24">
        <f t="shared" ref="CP209" si="1788">CO168-CP168</f>
        <v>-357.96700537380912</v>
      </c>
      <c r="CQ209" s="24">
        <f t="shared" ref="CQ209" si="1789">CP168-CQ168</f>
        <v>-533.60479709346782</v>
      </c>
      <c r="CR209" s="24">
        <f t="shared" ref="CR209" si="1790">CQ168-CR168</f>
        <v>588.88048548590632</v>
      </c>
      <c r="CS209" s="24">
        <f t="shared" ref="CS209" si="1791">CR168-CS168</f>
        <v>-296.36572532559512</v>
      </c>
      <c r="CT209" s="24">
        <f t="shared" ref="CT209" si="1792">CS168-CT168</f>
        <v>-488.93406610720922</v>
      </c>
      <c r="CU209" s="24">
        <f t="shared" ref="CU209" si="1793">CT168-CU168</f>
        <v>-484.20636517186176</v>
      </c>
      <c r="CV209" s="24">
        <f t="shared" ref="CV209" si="1794">CU168-CV168</f>
        <v>686.46513007102476</v>
      </c>
      <c r="CW209" s="24">
        <f t="shared" ref="CW209" si="1795">CV168-CW168</f>
        <v>-339.30058148518219</v>
      </c>
      <c r="CX209" s="24">
        <f t="shared" ref="CX209" si="1796">CW168-CX168</f>
        <v>-562.58062052334117</v>
      </c>
      <c r="CY209" s="24">
        <f t="shared" ref="CY209" si="1797">CX168-CY168</f>
        <v>-528.33545631608013</v>
      </c>
      <c r="CZ209" s="24">
        <f t="shared" ref="CZ209" si="1798">CY168-CZ168</f>
        <v>785.46845353734079</v>
      </c>
      <c r="DA209" s="24">
        <f t="shared" ref="DA209" si="1799">CZ168-DA168</f>
        <v>-395.80864531872248</v>
      </c>
      <c r="DB209" s="24">
        <f t="shared" ref="DB209" si="1800">DA168-DB168</f>
        <v>-651.54642246237563</v>
      </c>
      <c r="DE209" s="123"/>
      <c r="DF209" s="23">
        <v>-4128.859058297141</v>
      </c>
    </row>
    <row r="210" spans="1:110" s="22" customFormat="1" x14ac:dyDescent="0.2">
      <c r="A210" s="22" t="s">
        <v>90</v>
      </c>
      <c r="C210" s="22">
        <f t="shared" ref="C210:W210" si="1801">C208-C209</f>
        <v>0</v>
      </c>
      <c r="D210" s="22">
        <f t="shared" si="1801"/>
        <v>0</v>
      </c>
      <c r="E210" s="22">
        <f t="shared" si="1801"/>
        <v>0</v>
      </c>
      <c r="F210" s="22">
        <f t="shared" si="1801"/>
        <v>0</v>
      </c>
      <c r="G210" s="22">
        <f t="shared" si="1801"/>
        <v>0</v>
      </c>
      <c r="H210" s="22">
        <f t="shared" si="1801"/>
        <v>0</v>
      </c>
      <c r="I210" s="22">
        <f t="shared" si="1801"/>
        <v>0</v>
      </c>
      <c r="J210" s="22">
        <f>J208-J209</f>
        <v>0</v>
      </c>
      <c r="K210" s="22">
        <f t="shared" si="1801"/>
        <v>0</v>
      </c>
      <c r="L210" s="22">
        <f t="shared" si="1801"/>
        <v>0</v>
      </c>
      <c r="M210" s="22">
        <f t="shared" si="1801"/>
        <v>0</v>
      </c>
      <c r="N210" s="22">
        <f t="shared" si="1801"/>
        <v>0</v>
      </c>
      <c r="O210" s="22">
        <f t="shared" si="1801"/>
        <v>0</v>
      </c>
      <c r="P210" s="22">
        <f t="shared" si="1801"/>
        <v>0</v>
      </c>
      <c r="Q210" s="22">
        <f t="shared" si="1801"/>
        <v>0</v>
      </c>
      <c r="R210" s="22">
        <f t="shared" si="1801"/>
        <v>0</v>
      </c>
      <c r="S210" s="22">
        <f t="shared" si="1801"/>
        <v>-249.59599999999955</v>
      </c>
      <c r="T210" s="22">
        <f t="shared" si="1801"/>
        <v>-2329.502</v>
      </c>
      <c r="U210" s="22">
        <f t="shared" si="1801"/>
        <v>831.33799999999906</v>
      </c>
      <c r="V210" s="22">
        <f t="shared" si="1801"/>
        <v>959.31</v>
      </c>
      <c r="W210" s="22">
        <f t="shared" si="1801"/>
        <v>-5.8199999999994816</v>
      </c>
      <c r="X210" s="22">
        <f t="shared" ref="X210:Y210" si="1802">X208-X209</f>
        <v>-840.87999999999988</v>
      </c>
      <c r="Y210" s="22">
        <f t="shared" si="1802"/>
        <v>598.87999999999943</v>
      </c>
      <c r="Z210" s="22">
        <f t="shared" ref="Z210:AA210" si="1803">Z208-Z209</f>
        <v>-102.90999999999929</v>
      </c>
      <c r="AA210" s="22">
        <f t="shared" si="1803"/>
        <v>-100.16000000000008</v>
      </c>
      <c r="AB210" s="21">
        <f t="shared" ref="AA210:AD210" si="1804">AB208-AB209</f>
        <v>-397.01978822727187</v>
      </c>
      <c r="AC210" s="21">
        <f t="shared" si="1804"/>
        <v>-253.68254206497568</v>
      </c>
      <c r="AD210" s="21">
        <f t="shared" si="1804"/>
        <v>-243.11799787490327</v>
      </c>
      <c r="AE210" s="21">
        <f t="shared" ref="AE210" si="1805">AE208-AE209</f>
        <v>-274.60126702745583</v>
      </c>
      <c r="AI210" s="22">
        <f t="shared" ref="AI210" si="1806">AI208-AI209</f>
        <v>0</v>
      </c>
      <c r="AJ210" s="22">
        <f t="shared" ref="AJ210:AL210" si="1807">AJ208-AJ209</f>
        <v>0</v>
      </c>
      <c r="AK210" s="22" t="e">
        <f t="shared" si="1807"/>
        <v>#DIV/0!</v>
      </c>
      <c r="AL210" s="22" t="e">
        <f t="shared" si="1807"/>
        <v>#DIV/0!</v>
      </c>
      <c r="AM210" s="22" t="e">
        <f t="shared" ref="AM210" si="1808">AM208-AM209</f>
        <v>#DIV/0!</v>
      </c>
      <c r="AN210" s="22" t="e">
        <f t="shared" ref="AN210:CD210" si="1809">AN208-AN209</f>
        <v>#DIV/0!</v>
      </c>
      <c r="AO210" s="22" t="e">
        <f t="shared" si="1809"/>
        <v>#DIV/0!</v>
      </c>
      <c r="AP210" s="22" t="e">
        <f t="shared" si="1809"/>
        <v>#DIV/0!</v>
      </c>
      <c r="AQ210" s="22" t="e">
        <f t="shared" si="1809"/>
        <v>#DIV/0!</v>
      </c>
      <c r="AR210" s="22" t="e">
        <f t="shared" si="1809"/>
        <v>#DIV/0!</v>
      </c>
      <c r="AS210" s="22" t="e">
        <f t="shared" si="1809"/>
        <v>#DIV/0!</v>
      </c>
      <c r="AT210" s="22" t="e">
        <f t="shared" si="1809"/>
        <v>#DIV/0!</v>
      </c>
      <c r="AU210" s="22" t="e">
        <f t="shared" si="1809"/>
        <v>#DIV/0!</v>
      </c>
      <c r="AV210" s="22" t="e">
        <f t="shared" si="1809"/>
        <v>#DIV/0!</v>
      </c>
      <c r="AW210" s="22" t="e">
        <f t="shared" si="1809"/>
        <v>#DIV/0!</v>
      </c>
      <c r="AX210" s="22" t="e">
        <f t="shared" si="1809"/>
        <v>#DIV/0!</v>
      </c>
      <c r="AY210" s="22" t="e">
        <f t="shared" si="1809"/>
        <v>#DIV/0!</v>
      </c>
      <c r="AZ210" s="22" t="e">
        <f t="shared" si="1809"/>
        <v>#DIV/0!</v>
      </c>
      <c r="BA210" s="22" t="e">
        <f t="shared" si="1809"/>
        <v>#DIV/0!</v>
      </c>
      <c r="BB210" s="22" t="e">
        <f t="shared" si="1809"/>
        <v>#DIV/0!</v>
      </c>
      <c r="BC210" s="22" t="e">
        <f t="shared" si="1809"/>
        <v>#DIV/0!</v>
      </c>
      <c r="BD210" s="22" t="e">
        <f t="shared" si="1809"/>
        <v>#DIV/0!</v>
      </c>
      <c r="BE210" s="22" t="e">
        <f t="shared" si="1809"/>
        <v>#DIV/0!</v>
      </c>
      <c r="BF210" s="22" t="e">
        <f t="shared" si="1809"/>
        <v>#DIV/0!</v>
      </c>
      <c r="BG210" s="22" t="e">
        <f t="shared" si="1809"/>
        <v>#DIV/0!</v>
      </c>
      <c r="BH210" s="22" t="e">
        <f t="shared" si="1809"/>
        <v>#DIV/0!</v>
      </c>
      <c r="BI210" s="22">
        <f t="shared" si="1809"/>
        <v>0</v>
      </c>
      <c r="BJ210" s="22">
        <f t="shared" si="1809"/>
        <v>-2579.0980000000004</v>
      </c>
      <c r="BK210" s="22">
        <f t="shared" si="1809"/>
        <v>0.37911231756970665</v>
      </c>
      <c r="BL210" s="22">
        <f t="shared" si="1809"/>
        <v>-162.5041123175688</v>
      </c>
      <c r="BM210" s="22">
        <f t="shared" si="1809"/>
        <v>22.896554781158557</v>
      </c>
      <c r="BN210" s="22">
        <f t="shared" si="1809"/>
        <v>960.24644521884238</v>
      </c>
      <c r="BO210" s="22">
        <f t="shared" si="1809"/>
        <v>-84.943999456477741</v>
      </c>
      <c r="BP210" s="22">
        <f t="shared" si="1809"/>
        <v>417.13399945647723</v>
      </c>
      <c r="BQ210" s="22">
        <f t="shared" si="1809"/>
        <v>-4.7596941561992026</v>
      </c>
      <c r="BR210" s="22">
        <f t="shared" si="1809"/>
        <v>632.52969415619941</v>
      </c>
      <c r="BS210" s="22">
        <f t="shared" si="1809"/>
        <v>-125.11334940712688</v>
      </c>
      <c r="BT210" s="22">
        <f t="shared" si="1809"/>
        <v>274.37334940712617</v>
      </c>
      <c r="BU210" s="22">
        <f t="shared" si="1809"/>
        <v>17.015732817953449</v>
      </c>
      <c r="BV210" s="22">
        <f t="shared" si="1809"/>
        <v>-171.86573281795319</v>
      </c>
      <c r="BW210" s="22">
        <f t="shared" si="1809"/>
        <v>78.035629254082323</v>
      </c>
      <c r="BX210" s="22">
        <f t="shared" si="1809"/>
        <v>-411.74562925408242</v>
      </c>
      <c r="BY210" s="22">
        <f t="shared" si="1809"/>
        <v>177.93993859733291</v>
      </c>
      <c r="BZ210" s="22">
        <f t="shared" si="1809"/>
        <v>-687.92993859733349</v>
      </c>
      <c r="CA210" s="22">
        <f t="shared" si="1809"/>
        <v>-684.24229107768724</v>
      </c>
      <c r="CB210" s="22">
        <f t="shared" si="1809"/>
        <v>695.84229107768806</v>
      </c>
      <c r="CC210" s="22">
        <f t="shared" si="1809"/>
        <v>-148.06205182220378</v>
      </c>
      <c r="CD210" s="22">
        <f t="shared" si="1809"/>
        <v>715.31205182220344</v>
      </c>
      <c r="CE210" s="22">
        <f t="shared" ref="CE210:CF210" si="1810">CE208-CE209</f>
        <v>-150.6681781139373</v>
      </c>
      <c r="CF210" s="22">
        <f t="shared" si="1810"/>
        <v>-27.731821886061766</v>
      </c>
      <c r="CG210" s="22">
        <f t="shared" ref="CG210:CH210" si="1811">CG208-CG209</f>
        <v>482.47284311346993</v>
      </c>
      <c r="CH210" s="22">
        <f t="shared" si="1811"/>
        <v>-374.69284311347019</v>
      </c>
      <c r="CI210" s="22">
        <f t="shared" ref="CI210:CJ210" si="1812">CI208-CI209</f>
        <v>335.13793919280988</v>
      </c>
      <c r="CJ210" s="22">
        <f t="shared" si="1812"/>
        <v>-390.94793919280937</v>
      </c>
      <c r="CK210" s="22">
        <f t="shared" ref="CK210:DB210" si="1813">CK208-CK209</f>
        <v>-227.33753231156288</v>
      </c>
      <c r="CL210" s="22">
        <f t="shared" si="1813"/>
        <v>164.62753231156262</v>
      </c>
      <c r="CM210" s="21">
        <f t="shared" si="1813"/>
        <v>-304.1057714960848</v>
      </c>
      <c r="CN210" s="21">
        <f t="shared" si="1813"/>
        <v>149.36366814196845</v>
      </c>
      <c r="CO210" s="21">
        <f t="shared" si="1813"/>
        <v>-99.5245593305699</v>
      </c>
      <c r="CP210" s="21">
        <f t="shared" si="1813"/>
        <v>-124.39312554258595</v>
      </c>
      <c r="CQ210" s="21">
        <f t="shared" si="1813"/>
        <v>-185.42705757381191</v>
      </c>
      <c r="CR210" s="21">
        <f t="shared" si="1813"/>
        <v>204.63529616125652</v>
      </c>
      <c r="CS210" s="21">
        <f t="shared" si="1813"/>
        <v>-102.98675107905183</v>
      </c>
      <c r="CT210" s="21">
        <f t="shared" si="1813"/>
        <v>-169.90402957336846</v>
      </c>
      <c r="CU210" s="21">
        <f t="shared" si="1813"/>
        <v>-168.26115889771881</v>
      </c>
      <c r="CV210" s="21">
        <f t="shared" si="1813"/>
        <v>238.54584870569943</v>
      </c>
      <c r="CW210" s="21">
        <f t="shared" si="1813"/>
        <v>-117.90656455972567</v>
      </c>
      <c r="CX210" s="21">
        <f t="shared" si="1813"/>
        <v>-195.49612312315821</v>
      </c>
      <c r="CY210" s="21">
        <f t="shared" si="1813"/>
        <v>-183.59596767164567</v>
      </c>
      <c r="CZ210" s="21">
        <f t="shared" si="1813"/>
        <v>272.94939054112183</v>
      </c>
      <c r="DA210" s="21">
        <f t="shared" si="1813"/>
        <v>-137.54305220549122</v>
      </c>
      <c r="DB210" s="21">
        <f t="shared" si="1813"/>
        <v>-226.41163769144077</v>
      </c>
      <c r="DE210" s="126"/>
      <c r="DF210" s="22">
        <v>-1490.4805134014878</v>
      </c>
    </row>
    <row r="211" spans="1:110" s="22" customFormat="1" x14ac:dyDescent="0.2">
      <c r="A211" s="22" t="s">
        <v>91</v>
      </c>
      <c r="C211" s="22">
        <f t="shared" ref="C211:W211" si="1814">C207+C210</f>
        <v>0</v>
      </c>
      <c r="D211" s="22">
        <f>D207+D210</f>
        <v>0</v>
      </c>
      <c r="E211" s="22">
        <f t="shared" si="1814"/>
        <v>0</v>
      </c>
      <c r="F211" s="22">
        <f t="shared" si="1814"/>
        <v>0</v>
      </c>
      <c r="G211" s="22">
        <f t="shared" si="1814"/>
        <v>0</v>
      </c>
      <c r="H211" s="22">
        <f t="shared" si="1814"/>
        <v>0</v>
      </c>
      <c r="I211" s="22">
        <f t="shared" si="1814"/>
        <v>0</v>
      </c>
      <c r="J211" s="22">
        <f>J207+J210</f>
        <v>0</v>
      </c>
      <c r="K211" s="22">
        <f t="shared" si="1814"/>
        <v>0</v>
      </c>
      <c r="L211" s="22">
        <f t="shared" si="1814"/>
        <v>0</v>
      </c>
      <c r="M211" s="22">
        <f t="shared" si="1814"/>
        <v>0</v>
      </c>
      <c r="N211" s="22">
        <f t="shared" si="1814"/>
        <v>0</v>
      </c>
      <c r="O211" s="22">
        <f t="shared" si="1814"/>
        <v>0</v>
      </c>
      <c r="P211" s="22">
        <f t="shared" si="1814"/>
        <v>0</v>
      </c>
      <c r="Q211" s="22">
        <f t="shared" si="1814"/>
        <v>0</v>
      </c>
      <c r="R211" s="22">
        <f t="shared" si="1814"/>
        <v>0</v>
      </c>
      <c r="S211" s="22">
        <f t="shared" si="1814"/>
        <v>205.74800000000056</v>
      </c>
      <c r="T211" s="22">
        <f t="shared" si="1814"/>
        <v>-1682.7090000000003</v>
      </c>
      <c r="U211" s="22">
        <f t="shared" si="1814"/>
        <v>1155.6279999999988</v>
      </c>
      <c r="V211" s="22">
        <f t="shared" si="1814"/>
        <v>690.44000000000028</v>
      </c>
      <c r="W211" s="22">
        <f t="shared" si="1814"/>
        <v>-900.61</v>
      </c>
      <c r="X211" s="22">
        <f t="shared" ref="X211:Y211" si="1815">X207+X210</f>
        <v>-1995.7299999999998</v>
      </c>
      <c r="Y211" s="22">
        <f t="shared" si="1815"/>
        <v>403.60999999999933</v>
      </c>
      <c r="Z211" s="22">
        <f t="shared" ref="Z211:AA211" si="1816">Z207+Z210</f>
        <v>-7.1199999999993082</v>
      </c>
      <c r="AA211" s="22">
        <f t="shared" si="1816"/>
        <v>-398.30999999999943</v>
      </c>
      <c r="AB211" s="21">
        <f t="shared" ref="AA211:AD211" si="1817">AB207+AB210</f>
        <v>-0.81965302665798845</v>
      </c>
      <c r="AC211" s="21">
        <f t="shared" si="1817"/>
        <v>211.62406135844373</v>
      </c>
      <c r="AD211" s="21">
        <f t="shared" si="1817"/>
        <v>276.1585861754395</v>
      </c>
      <c r="AE211" s="21">
        <f t="shared" ref="AE211" si="1818">AE207+AE210</f>
        <v>301.32096652912981</v>
      </c>
      <c r="AI211" s="22">
        <f t="shared" ref="AI211" si="1819">AI207+AI210</f>
        <v>0</v>
      </c>
      <c r="AJ211" s="22">
        <f t="shared" ref="AJ211:AL211" si="1820">AJ207+AJ210</f>
        <v>0</v>
      </c>
      <c r="AK211" s="22" t="e">
        <f t="shared" si="1820"/>
        <v>#DIV/0!</v>
      </c>
      <c r="AL211" s="22" t="e">
        <f t="shared" si="1820"/>
        <v>#DIV/0!</v>
      </c>
      <c r="AM211" s="22" t="e">
        <f t="shared" ref="AM211" si="1821">AM207+AM210</f>
        <v>#DIV/0!</v>
      </c>
      <c r="AN211" s="22" t="e">
        <f t="shared" ref="AN211:CD211" si="1822">AN207+AN210</f>
        <v>#DIV/0!</v>
      </c>
      <c r="AO211" s="22" t="e">
        <f t="shared" si="1822"/>
        <v>#DIV/0!</v>
      </c>
      <c r="AP211" s="22" t="e">
        <f t="shared" si="1822"/>
        <v>#DIV/0!</v>
      </c>
      <c r="AQ211" s="22" t="e">
        <f t="shared" si="1822"/>
        <v>#DIV/0!</v>
      </c>
      <c r="AR211" s="22" t="e">
        <f t="shared" si="1822"/>
        <v>#DIV/0!</v>
      </c>
      <c r="AS211" s="22" t="e">
        <f t="shared" si="1822"/>
        <v>#DIV/0!</v>
      </c>
      <c r="AT211" s="22" t="e">
        <f t="shared" si="1822"/>
        <v>#DIV/0!</v>
      </c>
      <c r="AU211" s="22" t="e">
        <f t="shared" si="1822"/>
        <v>#DIV/0!</v>
      </c>
      <c r="AV211" s="22" t="e">
        <f t="shared" si="1822"/>
        <v>#DIV/0!</v>
      </c>
      <c r="AW211" s="22" t="e">
        <f t="shared" si="1822"/>
        <v>#DIV/0!</v>
      </c>
      <c r="AX211" s="22" t="e">
        <f t="shared" si="1822"/>
        <v>#DIV/0!</v>
      </c>
      <c r="AY211" s="22" t="e">
        <f t="shared" si="1822"/>
        <v>#DIV/0!</v>
      </c>
      <c r="AZ211" s="22" t="e">
        <f t="shared" si="1822"/>
        <v>#DIV/0!</v>
      </c>
      <c r="BA211" s="22" t="e">
        <f t="shared" si="1822"/>
        <v>#DIV/0!</v>
      </c>
      <c r="BB211" s="22" t="e">
        <f t="shared" si="1822"/>
        <v>#DIV/0!</v>
      </c>
      <c r="BC211" s="22" t="e">
        <f t="shared" si="1822"/>
        <v>#DIV/0!</v>
      </c>
      <c r="BD211" s="22" t="e">
        <f t="shared" si="1822"/>
        <v>#DIV/0!</v>
      </c>
      <c r="BE211" s="22" t="e">
        <f t="shared" si="1822"/>
        <v>#DIV/0!</v>
      </c>
      <c r="BF211" s="22" t="e">
        <f t="shared" si="1822"/>
        <v>#DIV/0!</v>
      </c>
      <c r="BG211" s="22" t="e">
        <f t="shared" si="1822"/>
        <v>#DIV/0!</v>
      </c>
      <c r="BH211" s="22" t="e">
        <f t="shared" si="1822"/>
        <v>#DIV/0!</v>
      </c>
      <c r="BI211" s="22">
        <f t="shared" si="1822"/>
        <v>192.74499999999992</v>
      </c>
      <c r="BJ211" s="22">
        <f t="shared" si="1822"/>
        <v>-2280.9830000000002</v>
      </c>
      <c r="BK211" s="22">
        <f t="shared" si="1822"/>
        <v>51.659112317569736</v>
      </c>
      <c r="BL211" s="22">
        <f t="shared" si="1822"/>
        <v>-78.564112317568799</v>
      </c>
      <c r="BM211" s="22">
        <f t="shared" si="1822"/>
        <v>76.267554781158651</v>
      </c>
      <c r="BN211" s="22">
        <f t="shared" si="1822"/>
        <v>1095.9564452188424</v>
      </c>
      <c r="BO211" s="22">
        <f t="shared" si="1822"/>
        <v>-64.633999456477639</v>
      </c>
      <c r="BP211" s="22">
        <f t="shared" si="1822"/>
        <v>444.28399945647737</v>
      </c>
      <c r="BQ211" s="22">
        <f t="shared" si="1822"/>
        <v>20.750305843800852</v>
      </c>
      <c r="BR211" s="22">
        <f t="shared" si="1822"/>
        <v>290.68969415619944</v>
      </c>
      <c r="BS211" s="22">
        <f t="shared" si="1822"/>
        <v>-198.15334940712677</v>
      </c>
      <c r="BT211" s="22">
        <f t="shared" si="1822"/>
        <v>-6.9766505928737388</v>
      </c>
      <c r="BU211" s="22">
        <f t="shared" si="1822"/>
        <v>-400.90426718204668</v>
      </c>
      <c r="BV211" s="22">
        <f t="shared" si="1822"/>
        <v>-294.34573281795332</v>
      </c>
      <c r="BW211" s="22">
        <f t="shared" si="1822"/>
        <v>-272.41437074591761</v>
      </c>
      <c r="BX211" s="22">
        <f t="shared" si="1822"/>
        <v>-705.39562925408234</v>
      </c>
      <c r="BY211" s="22">
        <f t="shared" si="1822"/>
        <v>80.80993859733293</v>
      </c>
      <c r="BZ211" s="22">
        <f t="shared" si="1822"/>
        <v>-1101.5499385973335</v>
      </c>
      <c r="CA211" s="22">
        <f t="shared" si="1822"/>
        <v>-776.2922910776872</v>
      </c>
      <c r="CB211" s="22">
        <f t="shared" si="1822"/>
        <v>645.88229107768802</v>
      </c>
      <c r="CC211" s="22">
        <f t="shared" si="1822"/>
        <v>-207.24205182220379</v>
      </c>
      <c r="CD211" s="22">
        <f t="shared" si="1822"/>
        <v>721.21205182220342</v>
      </c>
      <c r="CE211" s="22">
        <f t="shared" ref="CE211:CF211" si="1823">CE207+CE210</f>
        <v>-142.4681781139374</v>
      </c>
      <c r="CF211" s="22">
        <f t="shared" si="1823"/>
        <v>-16.851821886061728</v>
      </c>
      <c r="CG211" s="22">
        <f t="shared" ref="CG211:CH211" si="1824">CG207+CG210</f>
        <v>500.67284311346998</v>
      </c>
      <c r="CH211" s="22">
        <f t="shared" si="1824"/>
        <v>-316.18284311346991</v>
      </c>
      <c r="CI211" s="22">
        <f t="shared" ref="CI211:CJ211" si="1825">CI207+CI210</f>
        <v>369.91793919280991</v>
      </c>
      <c r="CJ211" s="22">
        <f t="shared" si="1825"/>
        <v>-861.41793919280951</v>
      </c>
      <c r="CK211" s="22">
        <f t="shared" ref="CK211:DB211" si="1826">CK207+CK210</f>
        <v>-227.24753231156274</v>
      </c>
      <c r="CL211" s="22">
        <f t="shared" si="1826"/>
        <v>302.07753231156249</v>
      </c>
      <c r="CM211" s="21">
        <f t="shared" si="1826"/>
        <v>-215.66903071155178</v>
      </c>
      <c r="CN211" s="21">
        <f t="shared" si="1826"/>
        <v>235.61298504101165</v>
      </c>
      <c r="CO211" s="21">
        <f t="shared" si="1826"/>
        <v>2.3153818951904128</v>
      </c>
      <c r="CP211" s="21">
        <f t="shared" si="1826"/>
        <v>-4.7189892513080451</v>
      </c>
      <c r="CQ211" s="21">
        <f t="shared" si="1826"/>
        <v>-68.040882304550962</v>
      </c>
      <c r="CR211" s="21">
        <f t="shared" si="1826"/>
        <v>312.50994325746166</v>
      </c>
      <c r="CS211" s="21">
        <f t="shared" si="1826"/>
        <v>11.113010152926421</v>
      </c>
      <c r="CT211" s="21">
        <f t="shared" si="1826"/>
        <v>-43.95800974739295</v>
      </c>
      <c r="CU211" s="21">
        <f t="shared" si="1826"/>
        <v>-32.860905479277022</v>
      </c>
      <c r="CV211" s="21">
        <f t="shared" si="1826"/>
        <v>359.04314593531643</v>
      </c>
      <c r="CW211" s="21">
        <f t="shared" si="1826"/>
        <v>7.187568972954665</v>
      </c>
      <c r="CX211" s="21">
        <f t="shared" si="1826"/>
        <v>-57.211223253552873</v>
      </c>
      <c r="CY211" s="21">
        <f t="shared" si="1826"/>
        <v>-32.38629045140965</v>
      </c>
      <c r="CZ211" s="21">
        <f t="shared" si="1826"/>
        <v>405.96750397594622</v>
      </c>
      <c r="DA211" s="21">
        <f t="shared" si="1826"/>
        <v>0.5328815682267134</v>
      </c>
      <c r="DB211" s="21">
        <f t="shared" si="1826"/>
        <v>-72.793128563633644</v>
      </c>
      <c r="DE211" s="126"/>
      <c r="DF211" s="22">
        <v>-1400.779641607814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92</v>
      </c>
      <c r="C213" s="22">
        <f t="shared" ref="C213:W213" si="1827">C214+C215</f>
        <v>0</v>
      </c>
      <c r="D213" s="22">
        <f>D214+D215</f>
        <v>0</v>
      </c>
      <c r="E213" s="22">
        <f t="shared" si="1827"/>
        <v>0</v>
      </c>
      <c r="F213" s="22">
        <f t="shared" si="1827"/>
        <v>0</v>
      </c>
      <c r="G213" s="22">
        <f t="shared" si="1827"/>
        <v>0</v>
      </c>
      <c r="H213" s="22">
        <f t="shared" si="1827"/>
        <v>0</v>
      </c>
      <c r="I213" s="22">
        <f t="shared" si="1827"/>
        <v>0</v>
      </c>
      <c r="J213" s="22">
        <f t="shared" si="1827"/>
        <v>0</v>
      </c>
      <c r="K213" s="22">
        <f t="shared" si="1827"/>
        <v>0</v>
      </c>
      <c r="L213" s="22">
        <f t="shared" si="1827"/>
        <v>0</v>
      </c>
      <c r="M213" s="22">
        <f t="shared" si="1827"/>
        <v>0</v>
      </c>
      <c r="N213" s="22">
        <f t="shared" si="1827"/>
        <v>0</v>
      </c>
      <c r="O213" s="22">
        <f t="shared" si="1827"/>
        <v>0</v>
      </c>
      <c r="P213" s="22">
        <f t="shared" si="1827"/>
        <v>0</v>
      </c>
      <c r="Q213" s="22">
        <f t="shared" si="1827"/>
        <v>0</v>
      </c>
      <c r="R213" s="22">
        <f t="shared" si="1827"/>
        <v>0</v>
      </c>
      <c r="S213" s="22">
        <f t="shared" si="1827"/>
        <v>-27.292999999999999</v>
      </c>
      <c r="T213" s="22">
        <f t="shared" si="1827"/>
        <v>-15.167999999999999</v>
      </c>
      <c r="U213" s="22">
        <f t="shared" si="1827"/>
        <v>-31.811000000000011</v>
      </c>
      <c r="V213" s="22">
        <f t="shared" si="1827"/>
        <v>-14.169999999999995</v>
      </c>
      <c r="W213" s="22">
        <f t="shared" si="1827"/>
        <v>-10.520000000000003</v>
      </c>
      <c r="X213" s="22">
        <f t="shared" ref="X213:Y213" si="1828">X214+X215</f>
        <v>-16.440000000000008</v>
      </c>
      <c r="Y213" s="22">
        <f t="shared" si="1828"/>
        <v>-28.539999999999985</v>
      </c>
      <c r="Z213" s="22">
        <f t="shared" ref="Z213:AA213" si="1829">Z214+Z215</f>
        <v>-3.9900000000000091</v>
      </c>
      <c r="AA213" s="22">
        <f t="shared" si="1829"/>
        <v>-6.7000000000000028</v>
      </c>
      <c r="AB213" s="21">
        <f t="shared" ref="AA213:AD213" si="1830">AB214+AB215</f>
        <v>18.360000000000007</v>
      </c>
      <c r="AC213" s="21">
        <f t="shared" si="1830"/>
        <v>0</v>
      </c>
      <c r="AD213" s="21">
        <f t="shared" si="1830"/>
        <v>7.5495165674510645E-15</v>
      </c>
      <c r="AE213" s="21">
        <f t="shared" ref="AE213" si="1831">AE214+AE215</f>
        <v>2.4424906541753444E-15</v>
      </c>
      <c r="AI213" s="22">
        <f t="shared" ref="AI213" si="1832">AI214+AI215</f>
        <v>0</v>
      </c>
      <c r="AJ213" s="22">
        <f t="shared" ref="AJ213:AL213" si="1833">AJ214+AJ215</f>
        <v>0</v>
      </c>
      <c r="AK213" s="22">
        <f t="shared" si="1833"/>
        <v>0</v>
      </c>
      <c r="AL213" s="22">
        <f t="shared" si="1833"/>
        <v>0</v>
      </c>
      <c r="AM213" s="22">
        <f t="shared" ref="AM213" si="1834">AM214+AM215</f>
        <v>0</v>
      </c>
      <c r="AN213" s="22">
        <f t="shared" ref="AN213:CD213" si="1835">AN214+AN215</f>
        <v>0</v>
      </c>
      <c r="AO213" s="22">
        <f t="shared" si="1835"/>
        <v>0</v>
      </c>
      <c r="AP213" s="22">
        <f t="shared" si="1835"/>
        <v>0</v>
      </c>
      <c r="AQ213" s="22">
        <f t="shared" si="1835"/>
        <v>0</v>
      </c>
      <c r="AR213" s="22">
        <f t="shared" si="1835"/>
        <v>0</v>
      </c>
      <c r="AS213" s="22">
        <f t="shared" si="1835"/>
        <v>0</v>
      </c>
      <c r="AT213" s="22">
        <f t="shared" si="1835"/>
        <v>0</v>
      </c>
      <c r="AU213" s="22">
        <f t="shared" si="1835"/>
        <v>0</v>
      </c>
      <c r="AV213" s="22">
        <f t="shared" si="1835"/>
        <v>0</v>
      </c>
      <c r="AW213" s="22">
        <f t="shared" si="1835"/>
        <v>0</v>
      </c>
      <c r="AX213" s="22">
        <f t="shared" si="1835"/>
        <v>0</v>
      </c>
      <c r="AY213" s="22">
        <f t="shared" si="1835"/>
        <v>0</v>
      </c>
      <c r="AZ213" s="22">
        <f t="shared" si="1835"/>
        <v>0</v>
      </c>
      <c r="BA213" s="22">
        <f t="shared" si="1835"/>
        <v>0</v>
      </c>
      <c r="BB213" s="22">
        <f t="shared" si="1835"/>
        <v>0</v>
      </c>
      <c r="BC213" s="22">
        <f t="shared" si="1835"/>
        <v>0</v>
      </c>
      <c r="BD213" s="22">
        <f t="shared" si="1835"/>
        <v>0</v>
      </c>
      <c r="BE213" s="22">
        <f t="shared" si="1835"/>
        <v>0</v>
      </c>
      <c r="BF213" s="22">
        <f t="shared" si="1835"/>
        <v>0</v>
      </c>
      <c r="BG213" s="22">
        <f t="shared" si="1835"/>
        <v>0</v>
      </c>
      <c r="BH213" s="22">
        <f t="shared" si="1835"/>
        <v>-2.109</v>
      </c>
      <c r="BI213" s="22">
        <f t="shared" si="1835"/>
        <v>-2.923</v>
      </c>
      <c r="BJ213" s="22">
        <f t="shared" si="1835"/>
        <v>-33.714999999999996</v>
      </c>
      <c r="BK213" s="22">
        <f t="shared" si="1835"/>
        <v>-3.1400000000000006</v>
      </c>
      <c r="BL213" s="22">
        <f t="shared" si="1835"/>
        <v>-11.943999999999999</v>
      </c>
      <c r="BM213" s="22">
        <f t="shared" si="1835"/>
        <v>-3.759999999999998</v>
      </c>
      <c r="BN213" s="22">
        <f t="shared" si="1835"/>
        <v>-2.6570000000000036</v>
      </c>
      <c r="BO213" s="22">
        <f t="shared" si="1835"/>
        <v>-3.8900000000000006</v>
      </c>
      <c r="BP213" s="22">
        <f t="shared" si="1835"/>
        <v>-10.289999999999992</v>
      </c>
      <c r="BQ213" s="22">
        <f t="shared" si="1835"/>
        <v>-3.8800000000000026</v>
      </c>
      <c r="BR213" s="22">
        <f t="shared" si="1835"/>
        <v>3.2399999999999949</v>
      </c>
      <c r="BS213" s="22">
        <f t="shared" si="1835"/>
        <v>-3.0799999999999983</v>
      </c>
      <c r="BT213" s="22">
        <f t="shared" si="1835"/>
        <v>-1.6299999999999955</v>
      </c>
      <c r="BU213" s="22">
        <f t="shared" si="1835"/>
        <v>-4.490000000000002</v>
      </c>
      <c r="BV213" s="22">
        <f t="shared" si="1835"/>
        <v>-1.5500000000000043</v>
      </c>
      <c r="BW213" s="22">
        <f t="shared" si="1835"/>
        <v>-3.4600000000000009</v>
      </c>
      <c r="BX213" s="22">
        <f t="shared" si="1835"/>
        <v>-4.3599999999999959</v>
      </c>
      <c r="BY213" s="22">
        <f t="shared" si="1835"/>
        <v>-4.1099999999999994</v>
      </c>
      <c r="BZ213" s="22">
        <f t="shared" si="1835"/>
        <v>-1.6900000000000048</v>
      </c>
      <c r="CA213" s="22">
        <f t="shared" si="1835"/>
        <v>-3.4200000000000017</v>
      </c>
      <c r="CB213" s="22">
        <f t="shared" si="1835"/>
        <v>-0.48999999999999844</v>
      </c>
      <c r="CC213" s="22">
        <f t="shared" si="1835"/>
        <v>-4.4899999999999984</v>
      </c>
      <c r="CD213" s="22">
        <f t="shared" si="1835"/>
        <v>-0.12000000000000099</v>
      </c>
      <c r="CE213" s="22">
        <f t="shared" ref="CE213:CF213" si="1836">CE214+CE215</f>
        <v>-4.009999999999998</v>
      </c>
      <c r="CF213" s="22">
        <f t="shared" si="1836"/>
        <v>-0.27999999999999758</v>
      </c>
      <c r="CG213" s="22">
        <f t="shared" ref="CG213:CH213" si="1837">CG214+CG215</f>
        <v>-3.370000000000001</v>
      </c>
      <c r="CH213" s="22">
        <f t="shared" si="1837"/>
        <v>-28.619999999999997</v>
      </c>
      <c r="CI213" s="22">
        <f t="shared" ref="CI213:CJ213" si="1838">CI214+CI215</f>
        <v>0</v>
      </c>
      <c r="CJ213" s="22">
        <f t="shared" si="1838"/>
        <v>21.56</v>
      </c>
      <c r="CK213" s="22">
        <f t="shared" ref="CK213:DB213" si="1839">CK214+CK215</f>
        <v>0</v>
      </c>
      <c r="CL213" s="22">
        <f t="shared" si="1839"/>
        <v>-9.899999999999995</v>
      </c>
      <c r="CM213" s="21">
        <f t="shared" si="1839"/>
        <v>0</v>
      </c>
      <c r="CN213" s="21">
        <f t="shared" si="1839"/>
        <v>0</v>
      </c>
      <c r="CO213" s="21">
        <f t="shared" si="1839"/>
        <v>0</v>
      </c>
      <c r="CP213" s="21">
        <f t="shared" si="1839"/>
        <v>0</v>
      </c>
      <c r="CQ213" s="21">
        <f t="shared" si="1839"/>
        <v>0</v>
      </c>
      <c r="CR213" s="21">
        <f t="shared" si="1839"/>
        <v>0</v>
      </c>
      <c r="CS213" s="21">
        <f t="shared" si="1839"/>
        <v>0</v>
      </c>
      <c r="CT213" s="21">
        <f t="shared" si="1839"/>
        <v>0</v>
      </c>
      <c r="CU213" s="21">
        <f t="shared" si="1839"/>
        <v>-5.3290705182007514E-15</v>
      </c>
      <c r="CV213" s="21">
        <f t="shared" si="1839"/>
        <v>5.773159728050814E-15</v>
      </c>
      <c r="CW213" s="21">
        <f t="shared" si="1839"/>
        <v>5.3290705182007514E-15</v>
      </c>
      <c r="CX213" s="21">
        <f t="shared" si="1839"/>
        <v>0</v>
      </c>
      <c r="CY213" s="21">
        <f t="shared" si="1839"/>
        <v>-4.8849813083506888E-15</v>
      </c>
      <c r="CZ213" s="21">
        <f t="shared" si="1839"/>
        <v>2.886579864025407E-15</v>
      </c>
      <c r="DA213" s="21">
        <f t="shared" si="1839"/>
        <v>6.2172489379008766E-15</v>
      </c>
      <c r="DB213" s="21">
        <f t="shared" si="1839"/>
        <v>-1.8873791418627661E-15</v>
      </c>
      <c r="DE213" s="126"/>
      <c r="DF213" s="22">
        <v>0</v>
      </c>
    </row>
    <row r="214" spans="1:110" s="23" customFormat="1" x14ac:dyDescent="0.2">
      <c r="A214" s="23" t="s">
        <v>93</v>
      </c>
      <c r="C214" s="23">
        <f t="shared" ref="C214:AA214" si="1840">B152-C152</f>
        <v>0</v>
      </c>
      <c r="D214" s="23">
        <f t="shared" si="1840"/>
        <v>0</v>
      </c>
      <c r="E214" s="23">
        <f>D152-E152</f>
        <v>0</v>
      </c>
      <c r="F214" s="23">
        <f t="shared" si="1840"/>
        <v>0</v>
      </c>
      <c r="G214" s="23">
        <f t="shared" si="1840"/>
        <v>0</v>
      </c>
      <c r="H214" s="23">
        <f t="shared" si="1840"/>
        <v>0</v>
      </c>
      <c r="I214" s="23">
        <f t="shared" si="1840"/>
        <v>0</v>
      </c>
      <c r="J214" s="23">
        <f>I152-J152</f>
        <v>0</v>
      </c>
      <c r="K214" s="23">
        <f>J152-K152</f>
        <v>0</v>
      </c>
      <c r="L214" s="23">
        <f t="shared" si="1840"/>
        <v>0</v>
      </c>
      <c r="M214" s="23">
        <f t="shared" si="1840"/>
        <v>0</v>
      </c>
      <c r="N214" s="23">
        <f t="shared" si="1840"/>
        <v>0</v>
      </c>
      <c r="O214" s="23">
        <f t="shared" si="1840"/>
        <v>0</v>
      </c>
      <c r="P214" s="23">
        <f t="shared" si="1840"/>
        <v>0</v>
      </c>
      <c r="Q214" s="23">
        <f t="shared" si="1840"/>
        <v>0</v>
      </c>
      <c r="R214" s="23">
        <f t="shared" si="1840"/>
        <v>0</v>
      </c>
      <c r="S214" s="23">
        <f t="shared" si="1840"/>
        <v>0</v>
      </c>
      <c r="T214" s="23">
        <f t="shared" si="1840"/>
        <v>0</v>
      </c>
      <c r="U214" s="23">
        <f t="shared" si="1840"/>
        <v>0</v>
      </c>
      <c r="V214" s="23">
        <f t="shared" si="1840"/>
        <v>0</v>
      </c>
      <c r="W214" s="23">
        <f t="shared" si="1840"/>
        <v>0</v>
      </c>
      <c r="X214" s="23">
        <f t="shared" si="1840"/>
        <v>0</v>
      </c>
      <c r="Y214" s="23">
        <f t="shared" si="1840"/>
        <v>0</v>
      </c>
      <c r="Z214" s="23">
        <f t="shared" si="1840"/>
        <v>0</v>
      </c>
      <c r="AA214" s="23">
        <f t="shared" si="1840"/>
        <v>0</v>
      </c>
      <c r="AB214" s="24">
        <f t="shared" ref="AB214" si="1841">AA152-AB152</f>
        <v>0</v>
      </c>
      <c r="AC214" s="24">
        <f t="shared" ref="AC214" si="1842">AB152-AC152</f>
        <v>0</v>
      </c>
      <c r="AD214" s="24">
        <f t="shared" ref="AD214" si="1843">AC152-AD152</f>
        <v>0</v>
      </c>
      <c r="AE214" s="24">
        <f t="shared" ref="AE214" si="1844">AD152-AE152</f>
        <v>0</v>
      </c>
      <c r="AI214" s="23">
        <f t="shared" ref="AI214" si="1845">AH152-AI152</f>
        <v>0</v>
      </c>
      <c r="AJ214" s="23">
        <f t="shared" ref="AJ214" si="1846">AI152-AJ152</f>
        <v>0</v>
      </c>
      <c r="AK214" s="23">
        <f t="shared" ref="AK214" si="1847">AJ152-AK152</f>
        <v>0</v>
      </c>
      <c r="AL214" s="23">
        <f t="shared" ref="AL214" si="1848">AK152-AL152</f>
        <v>0</v>
      </c>
      <c r="AM214" s="23">
        <f t="shared" ref="AM214" si="1849">AL152-AM152</f>
        <v>0</v>
      </c>
      <c r="AN214" s="23">
        <f t="shared" ref="AN214" si="1850">AM152-AN152</f>
        <v>0</v>
      </c>
      <c r="AO214" s="23">
        <f t="shared" ref="AO214" si="1851">AN152-AO152</f>
        <v>0</v>
      </c>
      <c r="AP214" s="23">
        <f t="shared" ref="AP214" si="1852">AO152-AP152</f>
        <v>0</v>
      </c>
      <c r="AQ214" s="23">
        <f t="shared" ref="AQ214" si="1853">AP152-AQ152</f>
        <v>0</v>
      </c>
      <c r="AR214" s="23">
        <f t="shared" ref="AR214" si="1854">AQ152-AR152</f>
        <v>0</v>
      </c>
      <c r="AS214" s="23">
        <f t="shared" ref="AS214" si="1855">AR152-AS152</f>
        <v>0</v>
      </c>
      <c r="AT214" s="23">
        <f t="shared" ref="AT214" si="1856">AS152-AT152</f>
        <v>0</v>
      </c>
      <c r="AU214" s="23">
        <f t="shared" ref="AU214" si="1857">AT152-AU152</f>
        <v>0</v>
      </c>
      <c r="AV214" s="23">
        <f t="shared" ref="AV214" si="1858">AU152-AV152</f>
        <v>0</v>
      </c>
      <c r="AW214" s="23">
        <f t="shared" ref="AW214" si="1859">AV152-AW152</f>
        <v>0</v>
      </c>
      <c r="AX214" s="23">
        <f t="shared" ref="AX214" si="1860">AW152-AX152</f>
        <v>0</v>
      </c>
      <c r="AY214" s="23">
        <f t="shared" ref="AY214" si="1861">AX152-AY152</f>
        <v>0</v>
      </c>
      <c r="AZ214" s="23">
        <f t="shared" ref="AZ214" si="1862">AY152-AZ152</f>
        <v>0</v>
      </c>
      <c r="BA214" s="23">
        <f t="shared" ref="BA214" si="1863">AZ152-BA152</f>
        <v>0</v>
      </c>
      <c r="BB214" s="23">
        <f t="shared" ref="BB214" si="1864">BA152-BB152</f>
        <v>0</v>
      </c>
      <c r="BC214" s="23">
        <f t="shared" ref="BC214" si="1865">BB152-BC152</f>
        <v>0</v>
      </c>
      <c r="BD214" s="23">
        <f t="shared" ref="BD214" si="1866">BC152-BD152</f>
        <v>0</v>
      </c>
      <c r="BE214" s="23">
        <f t="shared" ref="BE214" si="1867">BD152-BE152</f>
        <v>0</v>
      </c>
      <c r="BF214" s="23">
        <f t="shared" ref="BF214" si="1868">BE152-BF152</f>
        <v>0</v>
      </c>
      <c r="BG214" s="23">
        <f t="shared" ref="BG214" si="1869">BF152-BG152</f>
        <v>0</v>
      </c>
      <c r="BH214" s="23">
        <f t="shared" ref="BH214" si="1870">BG152-BH152</f>
        <v>0</v>
      </c>
      <c r="BI214" s="23">
        <f t="shared" ref="BI214" si="1871">BH152-BI152</f>
        <v>0</v>
      </c>
      <c r="BJ214" s="23">
        <f t="shared" ref="BJ214" si="1872">BI152-BJ152</f>
        <v>0</v>
      </c>
      <c r="BK214" s="23">
        <f t="shared" ref="BK214" si="1873">BJ152-BK152</f>
        <v>0</v>
      </c>
      <c r="BL214" s="23">
        <f t="shared" ref="BL214" si="1874">BK152-BL152</f>
        <v>0</v>
      </c>
      <c r="BM214" s="23">
        <f t="shared" ref="BM214" si="1875">BL152-BM152</f>
        <v>0</v>
      </c>
      <c r="BN214" s="23">
        <f t="shared" ref="BN214" si="1876">BM152-BN152</f>
        <v>0</v>
      </c>
      <c r="BO214" s="23">
        <f t="shared" ref="BO214" si="1877">BN152-BO152</f>
        <v>0</v>
      </c>
      <c r="BP214" s="23">
        <f t="shared" ref="BP214" si="1878">BO152-BP152</f>
        <v>0</v>
      </c>
      <c r="BQ214" s="23">
        <f t="shared" ref="BQ214" si="1879">BP152-BQ152</f>
        <v>0</v>
      </c>
      <c r="BR214" s="23">
        <f t="shared" ref="BR214" si="1880">BQ152-BR152</f>
        <v>0</v>
      </c>
      <c r="BS214" s="23">
        <f t="shared" ref="BS214" si="1881">BR152-BS152</f>
        <v>0</v>
      </c>
      <c r="BT214" s="23">
        <f t="shared" ref="BT214" si="1882">BS152-BT152</f>
        <v>0</v>
      </c>
      <c r="BU214" s="23">
        <f t="shared" ref="BU214" si="1883">BT152-BU152</f>
        <v>0</v>
      </c>
      <c r="BV214" s="23">
        <f t="shared" ref="BV214" si="1884">BU152-BV152</f>
        <v>0</v>
      </c>
      <c r="BW214" s="23">
        <f t="shared" ref="BW214" si="1885">BV152-BW152</f>
        <v>0</v>
      </c>
      <c r="BX214" s="23">
        <f t="shared" ref="BX214" si="1886">BW152-BX152</f>
        <v>0</v>
      </c>
      <c r="BY214" s="23">
        <f t="shared" ref="BY214" si="1887">BX152-BY152</f>
        <v>0</v>
      </c>
      <c r="BZ214" s="23">
        <f t="shared" ref="BZ214" si="1888">BY152-BZ152</f>
        <v>0</v>
      </c>
      <c r="CA214" s="23">
        <f t="shared" ref="CA214" si="1889">BZ152-CA152</f>
        <v>0</v>
      </c>
      <c r="CB214" s="23">
        <f t="shared" ref="CB214" si="1890">CA152-CB152</f>
        <v>0</v>
      </c>
      <c r="CC214" s="23">
        <f t="shared" ref="CC214" si="1891">CB152-CC152</f>
        <v>0</v>
      </c>
      <c r="CD214" s="23">
        <f t="shared" ref="CD214" si="1892">CC152-CD152</f>
        <v>0</v>
      </c>
      <c r="CE214" s="23">
        <f t="shared" ref="CE214" si="1893">CD152-CE152</f>
        <v>0</v>
      </c>
      <c r="CF214" s="23">
        <f t="shared" ref="CF214" si="1894">CE152-CF152</f>
        <v>0</v>
      </c>
      <c r="CG214" s="23">
        <f t="shared" ref="CG214" si="1895">CF152-CG152</f>
        <v>0</v>
      </c>
      <c r="CH214" s="23">
        <f t="shared" ref="CH214:CL214" si="1896">CG152-CH152</f>
        <v>0</v>
      </c>
      <c r="CI214" s="23">
        <f t="shared" si="1896"/>
        <v>0</v>
      </c>
      <c r="CJ214" s="23">
        <f t="shared" si="1896"/>
        <v>0</v>
      </c>
      <c r="CK214" s="23">
        <f t="shared" ref="CK214" si="1897">CJ152-CK152</f>
        <v>0</v>
      </c>
      <c r="CL214" s="23">
        <f t="shared" si="1896"/>
        <v>0</v>
      </c>
      <c r="CM214" s="24">
        <f t="shared" ref="CM214" si="1898">CL152-CM152</f>
        <v>0</v>
      </c>
      <c r="CN214" s="24">
        <f t="shared" ref="CN214" si="1899">CM152-CN152</f>
        <v>0</v>
      </c>
      <c r="CO214" s="24">
        <f t="shared" ref="CO214" si="1900">CN152-CO152</f>
        <v>0</v>
      </c>
      <c r="CP214" s="24">
        <f t="shared" ref="CP214" si="1901">CO152-CP152</f>
        <v>0</v>
      </c>
      <c r="CQ214" s="24">
        <f t="shared" ref="CQ214" si="1902">CP152-CQ152</f>
        <v>0</v>
      </c>
      <c r="CR214" s="24">
        <f t="shared" ref="CR214" si="1903">CQ152-CR152</f>
        <v>0</v>
      </c>
      <c r="CS214" s="24">
        <f t="shared" ref="CS214" si="1904">CR152-CS152</f>
        <v>0</v>
      </c>
      <c r="CT214" s="24">
        <f t="shared" ref="CT214" si="1905">CS152-CT152</f>
        <v>0</v>
      </c>
      <c r="CU214" s="24">
        <f t="shared" ref="CU214" si="1906">CT152-CU152</f>
        <v>0</v>
      </c>
      <c r="CV214" s="24">
        <f t="shared" ref="CV214" si="1907">CU152-CV152</f>
        <v>0</v>
      </c>
      <c r="CW214" s="24">
        <f t="shared" ref="CW214" si="1908">CV152-CW152</f>
        <v>0</v>
      </c>
      <c r="CX214" s="24">
        <f t="shared" ref="CX214" si="1909">CW152-CX152</f>
        <v>0</v>
      </c>
      <c r="CY214" s="24">
        <f t="shared" ref="CY214" si="1910">CX152-CY152</f>
        <v>0</v>
      </c>
      <c r="CZ214" s="24">
        <f t="shared" ref="CZ214" si="1911">CY152-CZ152</f>
        <v>0</v>
      </c>
      <c r="DA214" s="24">
        <f t="shared" ref="DA214" si="1912">CZ152-DA152</f>
        <v>0</v>
      </c>
      <c r="DB214" s="24">
        <f t="shared" ref="DB214" si="1913">DA152-DB152</f>
        <v>0</v>
      </c>
      <c r="DE214" s="123"/>
      <c r="DF214" s="23">
        <v>0</v>
      </c>
    </row>
    <row r="215" spans="1:110" s="23" customFormat="1" x14ac:dyDescent="0.2">
      <c r="A215" s="23" t="s">
        <v>94</v>
      </c>
      <c r="C215" s="23">
        <f t="shared" ref="C215:AE215" si="1914">B150-C39-C150</f>
        <v>0</v>
      </c>
      <c r="D215" s="23">
        <f t="shared" si="1914"/>
        <v>0</v>
      </c>
      <c r="E215" s="23">
        <f t="shared" si="1914"/>
        <v>0</v>
      </c>
      <c r="F215" s="23">
        <f t="shared" si="1914"/>
        <v>0</v>
      </c>
      <c r="G215" s="23">
        <f t="shared" si="1914"/>
        <v>0</v>
      </c>
      <c r="H215" s="23">
        <f t="shared" si="1914"/>
        <v>0</v>
      </c>
      <c r="I215" s="23">
        <f t="shared" si="1914"/>
        <v>0</v>
      </c>
      <c r="J215" s="23">
        <f t="shared" si="1914"/>
        <v>0</v>
      </c>
      <c r="K215" s="23">
        <f t="shared" si="1914"/>
        <v>0</v>
      </c>
      <c r="L215" s="23">
        <f t="shared" si="1914"/>
        <v>0</v>
      </c>
      <c r="M215" s="23">
        <f t="shared" si="1914"/>
        <v>0</v>
      </c>
      <c r="N215" s="23">
        <f t="shared" si="1914"/>
        <v>0</v>
      </c>
      <c r="O215" s="23">
        <f t="shared" si="1914"/>
        <v>0</v>
      </c>
      <c r="P215" s="23">
        <f t="shared" si="1914"/>
        <v>0</v>
      </c>
      <c r="Q215" s="23">
        <f t="shared" si="1914"/>
        <v>0</v>
      </c>
      <c r="R215" s="23">
        <f t="shared" si="1914"/>
        <v>0</v>
      </c>
      <c r="S215" s="23">
        <f t="shared" si="1914"/>
        <v>-27.292999999999999</v>
      </c>
      <c r="T215" s="23">
        <f t="shared" si="1914"/>
        <v>-15.167999999999999</v>
      </c>
      <c r="U215" s="23">
        <f t="shared" si="1914"/>
        <v>-31.811000000000011</v>
      </c>
      <c r="V215" s="23">
        <f t="shared" si="1914"/>
        <v>-14.169999999999995</v>
      </c>
      <c r="W215" s="23">
        <f t="shared" si="1914"/>
        <v>-10.520000000000003</v>
      </c>
      <c r="X215" s="23">
        <f t="shared" si="1914"/>
        <v>-16.440000000000008</v>
      </c>
      <c r="Y215" s="23">
        <f t="shared" si="1914"/>
        <v>-28.539999999999985</v>
      </c>
      <c r="Z215" s="23">
        <f t="shared" si="1914"/>
        <v>-3.9900000000000091</v>
      </c>
      <c r="AA215" s="23">
        <f t="shared" si="1914"/>
        <v>-6.7000000000000028</v>
      </c>
      <c r="AB215" s="24">
        <f t="shared" si="1914"/>
        <v>18.360000000000007</v>
      </c>
      <c r="AC215" s="24">
        <f t="shared" si="1914"/>
        <v>0</v>
      </c>
      <c r="AD215" s="24">
        <f t="shared" si="1914"/>
        <v>7.5495165674510645E-15</v>
      </c>
      <c r="AE215" s="24">
        <f t="shared" si="1914"/>
        <v>2.4424906541753444E-15</v>
      </c>
      <c r="AI215" s="23">
        <f t="shared" ref="AI215:BN215" si="1915">AH150-AI39-AI150</f>
        <v>0</v>
      </c>
      <c r="AJ215" s="23">
        <f t="shared" si="1915"/>
        <v>0</v>
      </c>
      <c r="AK215" s="23">
        <f t="shared" si="1915"/>
        <v>0</v>
      </c>
      <c r="AL215" s="23">
        <f t="shared" si="1915"/>
        <v>0</v>
      </c>
      <c r="AM215" s="23">
        <f t="shared" si="1915"/>
        <v>0</v>
      </c>
      <c r="AN215" s="23">
        <f t="shared" si="1915"/>
        <v>0</v>
      </c>
      <c r="AO215" s="23">
        <f t="shared" si="1915"/>
        <v>0</v>
      </c>
      <c r="AP215" s="23">
        <f t="shared" si="1915"/>
        <v>0</v>
      </c>
      <c r="AQ215" s="23">
        <f t="shared" si="1915"/>
        <v>0</v>
      </c>
      <c r="AR215" s="23">
        <f t="shared" si="1915"/>
        <v>0</v>
      </c>
      <c r="AS215" s="23">
        <f t="shared" si="1915"/>
        <v>0</v>
      </c>
      <c r="AT215" s="23">
        <f t="shared" si="1915"/>
        <v>0</v>
      </c>
      <c r="AU215" s="23">
        <f t="shared" si="1915"/>
        <v>0</v>
      </c>
      <c r="AV215" s="23">
        <f t="shared" si="1915"/>
        <v>0</v>
      </c>
      <c r="AW215" s="23">
        <f t="shared" si="1915"/>
        <v>0</v>
      </c>
      <c r="AX215" s="23">
        <f t="shared" si="1915"/>
        <v>0</v>
      </c>
      <c r="AY215" s="23">
        <f t="shared" si="1915"/>
        <v>0</v>
      </c>
      <c r="AZ215" s="23">
        <f t="shared" si="1915"/>
        <v>0</v>
      </c>
      <c r="BA215" s="23">
        <f t="shared" si="1915"/>
        <v>0</v>
      </c>
      <c r="BB215" s="23">
        <f t="shared" si="1915"/>
        <v>0</v>
      </c>
      <c r="BC215" s="23">
        <f t="shared" si="1915"/>
        <v>0</v>
      </c>
      <c r="BD215" s="23">
        <f t="shared" si="1915"/>
        <v>0</v>
      </c>
      <c r="BE215" s="23">
        <f t="shared" si="1915"/>
        <v>0</v>
      </c>
      <c r="BF215" s="23">
        <f t="shared" si="1915"/>
        <v>0</v>
      </c>
      <c r="BG215" s="23">
        <f t="shared" si="1915"/>
        <v>0</v>
      </c>
      <c r="BH215" s="23">
        <f t="shared" si="1915"/>
        <v>-2.109</v>
      </c>
      <c r="BI215" s="23">
        <f t="shared" si="1915"/>
        <v>-2.923</v>
      </c>
      <c r="BJ215" s="23">
        <f t="shared" si="1915"/>
        <v>-33.714999999999996</v>
      </c>
      <c r="BK215" s="23">
        <f t="shared" si="1915"/>
        <v>-3.1400000000000006</v>
      </c>
      <c r="BL215" s="23">
        <f t="shared" si="1915"/>
        <v>-11.943999999999999</v>
      </c>
      <c r="BM215" s="23">
        <f t="shared" si="1915"/>
        <v>-3.759999999999998</v>
      </c>
      <c r="BN215" s="23">
        <f t="shared" si="1915"/>
        <v>-2.6570000000000036</v>
      </c>
      <c r="BO215" s="23">
        <f t="shared" ref="BO215:CT215" si="1916">BN150-BO39-BO150</f>
        <v>-3.8900000000000006</v>
      </c>
      <c r="BP215" s="23">
        <f t="shared" si="1916"/>
        <v>-10.289999999999992</v>
      </c>
      <c r="BQ215" s="23">
        <f t="shared" si="1916"/>
        <v>-3.8800000000000026</v>
      </c>
      <c r="BR215" s="23">
        <f t="shared" si="1916"/>
        <v>3.2399999999999949</v>
      </c>
      <c r="BS215" s="23">
        <f t="shared" si="1916"/>
        <v>-3.0799999999999983</v>
      </c>
      <c r="BT215" s="23">
        <f t="shared" si="1916"/>
        <v>-1.6299999999999955</v>
      </c>
      <c r="BU215" s="23">
        <f t="shared" si="1916"/>
        <v>-4.490000000000002</v>
      </c>
      <c r="BV215" s="23">
        <f t="shared" si="1916"/>
        <v>-1.5500000000000043</v>
      </c>
      <c r="BW215" s="23">
        <f t="shared" si="1916"/>
        <v>-3.4600000000000009</v>
      </c>
      <c r="BX215" s="23">
        <f t="shared" si="1916"/>
        <v>-4.3599999999999959</v>
      </c>
      <c r="BY215" s="23">
        <f t="shared" si="1916"/>
        <v>-4.1099999999999994</v>
      </c>
      <c r="BZ215" s="23">
        <f t="shared" si="1916"/>
        <v>-1.6900000000000048</v>
      </c>
      <c r="CA215" s="23">
        <f t="shared" si="1916"/>
        <v>-3.4200000000000017</v>
      </c>
      <c r="CB215" s="23">
        <f t="shared" si="1916"/>
        <v>-0.48999999999999844</v>
      </c>
      <c r="CC215" s="23">
        <f t="shared" si="1916"/>
        <v>-4.4899999999999984</v>
      </c>
      <c r="CD215" s="23">
        <f t="shared" si="1916"/>
        <v>-0.12000000000000099</v>
      </c>
      <c r="CE215" s="23">
        <f t="shared" si="1916"/>
        <v>-4.009999999999998</v>
      </c>
      <c r="CF215" s="23">
        <f t="shared" si="1916"/>
        <v>-0.27999999999999758</v>
      </c>
      <c r="CG215" s="23">
        <f t="shared" si="1916"/>
        <v>-3.370000000000001</v>
      </c>
      <c r="CH215" s="23">
        <f t="shared" si="1916"/>
        <v>-28.619999999999997</v>
      </c>
      <c r="CI215" s="23">
        <f t="shared" si="1916"/>
        <v>0</v>
      </c>
      <c r="CJ215" s="23">
        <f t="shared" si="1916"/>
        <v>21.56</v>
      </c>
      <c r="CK215" s="23">
        <f t="shared" si="1916"/>
        <v>0</v>
      </c>
      <c r="CL215" s="23">
        <f t="shared" si="1916"/>
        <v>-9.899999999999995</v>
      </c>
      <c r="CM215" s="24">
        <f t="shared" si="1916"/>
        <v>0</v>
      </c>
      <c r="CN215" s="24">
        <f t="shared" si="1916"/>
        <v>0</v>
      </c>
      <c r="CO215" s="24">
        <f t="shared" si="1916"/>
        <v>0</v>
      </c>
      <c r="CP215" s="24">
        <f t="shared" si="1916"/>
        <v>0</v>
      </c>
      <c r="CQ215" s="24">
        <f t="shared" si="1916"/>
        <v>0</v>
      </c>
      <c r="CR215" s="24">
        <f t="shared" si="1916"/>
        <v>0</v>
      </c>
      <c r="CS215" s="24">
        <f t="shared" si="1916"/>
        <v>0</v>
      </c>
      <c r="CT215" s="24">
        <f t="shared" si="1916"/>
        <v>0</v>
      </c>
      <c r="CU215" s="24">
        <f t="shared" ref="CU215:DB215" si="1917">CT150-CU39-CU150</f>
        <v>-5.3290705182007514E-15</v>
      </c>
      <c r="CV215" s="24">
        <f t="shared" si="1917"/>
        <v>5.773159728050814E-15</v>
      </c>
      <c r="CW215" s="24">
        <f t="shared" si="1917"/>
        <v>5.3290705182007514E-15</v>
      </c>
      <c r="CX215" s="24">
        <f t="shared" si="1917"/>
        <v>0</v>
      </c>
      <c r="CY215" s="24">
        <f t="shared" si="1917"/>
        <v>-4.8849813083506888E-15</v>
      </c>
      <c r="CZ215" s="24">
        <f t="shared" si="1917"/>
        <v>2.886579864025407E-15</v>
      </c>
      <c r="DA215" s="24">
        <f t="shared" si="1917"/>
        <v>6.2172489379008766E-15</v>
      </c>
      <c r="DB215" s="24">
        <f t="shared" si="1917"/>
        <v>-1.8873791418627661E-15</v>
      </c>
      <c r="DE215" s="123"/>
      <c r="DF215" s="23">
        <v>0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95</v>
      </c>
      <c r="C217" s="22">
        <f t="shared" ref="C217:W217" si="1918">C218+C219</f>
        <v>0</v>
      </c>
      <c r="D217" s="22">
        <f t="shared" si="1918"/>
        <v>0</v>
      </c>
      <c r="E217" s="22">
        <f t="shared" si="1918"/>
        <v>0</v>
      </c>
      <c r="F217" s="22">
        <f t="shared" si="1918"/>
        <v>0</v>
      </c>
      <c r="G217" s="22">
        <f t="shared" si="1918"/>
        <v>0</v>
      </c>
      <c r="H217" s="22">
        <f t="shared" si="1918"/>
        <v>0</v>
      </c>
      <c r="I217" s="22">
        <f t="shared" si="1918"/>
        <v>0</v>
      </c>
      <c r="J217" s="22">
        <f t="shared" si="1918"/>
        <v>0</v>
      </c>
      <c r="K217" s="22">
        <f t="shared" si="1918"/>
        <v>0</v>
      </c>
      <c r="L217" s="22">
        <f t="shared" si="1918"/>
        <v>0</v>
      </c>
      <c r="M217" s="22">
        <f t="shared" si="1918"/>
        <v>0</v>
      </c>
      <c r="N217" s="22">
        <f t="shared" si="1918"/>
        <v>0</v>
      </c>
      <c r="O217" s="22">
        <f t="shared" si="1918"/>
        <v>0</v>
      </c>
      <c r="P217" s="22">
        <f t="shared" si="1918"/>
        <v>0</v>
      </c>
      <c r="Q217" s="22">
        <f t="shared" si="1918"/>
        <v>0</v>
      </c>
      <c r="R217" s="22">
        <f t="shared" si="1918"/>
        <v>0</v>
      </c>
      <c r="S217" s="22">
        <f t="shared" si="1918"/>
        <v>-74.163000000000068</v>
      </c>
      <c r="T217" s="22">
        <f t="shared" si="1918"/>
        <v>2048.2950000000001</v>
      </c>
      <c r="U217" s="22">
        <f t="shared" si="1918"/>
        <v>-1078.7169999999996</v>
      </c>
      <c r="V217" s="22">
        <f t="shared" si="1918"/>
        <v>-885.13000000000022</v>
      </c>
      <c r="W217" s="22">
        <f t="shared" si="1918"/>
        <v>1124.2200000000005</v>
      </c>
      <c r="X217" s="22">
        <f t="shared" ref="X217:Y217" si="1919">X218+X219</f>
        <v>1603.3100000000002</v>
      </c>
      <c r="Y217" s="22">
        <f t="shared" si="1919"/>
        <v>-131.05999999999995</v>
      </c>
      <c r="Z217" s="22">
        <f t="shared" ref="Z217:AA217" si="1920">Z218+Z219</f>
        <v>382.87000000000018</v>
      </c>
      <c r="AA217" s="22">
        <f t="shared" si="1920"/>
        <v>228.45999999999947</v>
      </c>
      <c r="AB217" s="21">
        <f t="shared" ref="AA217:AD217" si="1921">AB218+AB219</f>
        <v>3.4106051316484809E-13</v>
      </c>
      <c r="AC217" s="21">
        <f t="shared" si="1921"/>
        <v>4.5474735088646412E-13</v>
      </c>
      <c r="AD217" s="21">
        <f t="shared" si="1921"/>
        <v>1.5916157281026244E-12</v>
      </c>
      <c r="AE217" s="21">
        <f t="shared" ref="AE217" si="1922">AE218+AE219</f>
        <v>-6.8212102632969618E-13</v>
      </c>
      <c r="AI217" s="22">
        <f t="shared" ref="AI217" si="1923">AI218+AI219</f>
        <v>0</v>
      </c>
      <c r="AJ217" s="22">
        <f t="shared" ref="AJ217:AL217" si="1924">AJ218+AJ219</f>
        <v>0</v>
      </c>
      <c r="AK217" s="22">
        <f t="shared" si="1924"/>
        <v>0</v>
      </c>
      <c r="AL217" s="22">
        <f t="shared" si="1924"/>
        <v>0</v>
      </c>
      <c r="AM217" s="22">
        <f t="shared" ref="AM217" si="1925">AM218+AM219</f>
        <v>0</v>
      </c>
      <c r="AN217" s="22">
        <f t="shared" ref="AN217:CD217" si="1926">AN218+AN219</f>
        <v>0</v>
      </c>
      <c r="AO217" s="22">
        <f t="shared" si="1926"/>
        <v>0</v>
      </c>
      <c r="AP217" s="22">
        <f t="shared" si="1926"/>
        <v>0</v>
      </c>
      <c r="AQ217" s="22">
        <f t="shared" si="1926"/>
        <v>0</v>
      </c>
      <c r="AR217" s="22">
        <f t="shared" si="1926"/>
        <v>0</v>
      </c>
      <c r="AS217" s="22">
        <f t="shared" si="1926"/>
        <v>0</v>
      </c>
      <c r="AT217" s="22">
        <f t="shared" si="1926"/>
        <v>0</v>
      </c>
      <c r="AU217" s="22">
        <f t="shared" si="1926"/>
        <v>0</v>
      </c>
      <c r="AV217" s="22">
        <f t="shared" si="1926"/>
        <v>0</v>
      </c>
      <c r="AW217" s="22">
        <f t="shared" si="1926"/>
        <v>0</v>
      </c>
      <c r="AX217" s="22">
        <f t="shared" si="1926"/>
        <v>0</v>
      </c>
      <c r="AY217" s="22">
        <f t="shared" si="1926"/>
        <v>0</v>
      </c>
      <c r="AZ217" s="22">
        <f t="shared" si="1926"/>
        <v>0</v>
      </c>
      <c r="BA217" s="22">
        <f t="shared" si="1926"/>
        <v>0</v>
      </c>
      <c r="BB217" s="22">
        <f t="shared" si="1926"/>
        <v>0</v>
      </c>
      <c r="BC217" s="22">
        <f t="shared" si="1926"/>
        <v>0</v>
      </c>
      <c r="BD217" s="22">
        <f t="shared" si="1926"/>
        <v>0</v>
      </c>
      <c r="BE217" s="22">
        <f t="shared" si="1926"/>
        <v>0</v>
      </c>
      <c r="BF217" s="22">
        <f t="shared" si="1926"/>
        <v>0</v>
      </c>
      <c r="BG217" s="22">
        <f t="shared" si="1926"/>
        <v>0</v>
      </c>
      <c r="BH217" s="22">
        <f t="shared" si="1926"/>
        <v>-58.046999999999848</v>
      </c>
      <c r="BI217" s="22">
        <f t="shared" si="1926"/>
        <v>0</v>
      </c>
      <c r="BJ217" s="22">
        <f t="shared" si="1926"/>
        <v>2579.5859999999998</v>
      </c>
      <c r="BK217" s="22">
        <f t="shared" si="1926"/>
        <v>-1.1368683772161603E-13</v>
      </c>
      <c r="BL217" s="22">
        <f t="shared" si="1926"/>
        <v>41.496000000000208</v>
      </c>
      <c r="BM217" s="22">
        <f t="shared" si="1926"/>
        <v>0</v>
      </c>
      <c r="BN217" s="22">
        <f t="shared" si="1926"/>
        <v>-1120.2139999999999</v>
      </c>
      <c r="BO217" s="22">
        <f t="shared" si="1926"/>
        <v>0</v>
      </c>
      <c r="BP217" s="22">
        <f t="shared" si="1926"/>
        <v>-347.80000000000018</v>
      </c>
      <c r="BQ217" s="22">
        <f t="shared" si="1926"/>
        <v>0</v>
      </c>
      <c r="BR217" s="22">
        <f t="shared" si="1926"/>
        <v>-537.33000000000004</v>
      </c>
      <c r="BS217" s="22">
        <f t="shared" si="1926"/>
        <v>0</v>
      </c>
      <c r="BT217" s="22">
        <f t="shared" si="1926"/>
        <v>346.64999999999975</v>
      </c>
      <c r="BU217" s="22">
        <f t="shared" si="1926"/>
        <v>0</v>
      </c>
      <c r="BV217" s="22">
        <f t="shared" si="1926"/>
        <v>777.57000000000039</v>
      </c>
      <c r="BW217" s="22">
        <f t="shared" si="1926"/>
        <v>0</v>
      </c>
      <c r="BX217" s="22">
        <f t="shared" si="1926"/>
        <v>960.28999999999974</v>
      </c>
      <c r="BY217" s="22">
        <f t="shared" si="1926"/>
        <v>0</v>
      </c>
      <c r="BZ217" s="22">
        <f t="shared" si="1926"/>
        <v>643.02</v>
      </c>
      <c r="CA217" s="22">
        <f t="shared" si="1926"/>
        <v>-2.8421709430404007E-14</v>
      </c>
      <c r="CB217" s="22">
        <f t="shared" si="1926"/>
        <v>138.11000000000016</v>
      </c>
      <c r="CC217" s="22">
        <f t="shared" si="1926"/>
        <v>5.6843418860808015E-14</v>
      </c>
      <c r="CD217" s="22">
        <f t="shared" si="1926"/>
        <v>-269.14000000000033</v>
      </c>
      <c r="CE217" s="22">
        <f t="shared" ref="CE217:CF217" si="1927">CE218+CE219</f>
        <v>0</v>
      </c>
      <c r="CF217" s="22">
        <f t="shared" si="1927"/>
        <v>382.34</v>
      </c>
      <c r="CG217" s="22">
        <f t="shared" ref="CG217:CH217" si="1928">CG218+CG219</f>
        <v>0</v>
      </c>
      <c r="CH217" s="22">
        <f t="shared" si="1928"/>
        <v>0.52999999999979153</v>
      </c>
      <c r="CI217" s="22">
        <f t="shared" ref="CI217:CJ217" si="1929">CI218+CI219</f>
        <v>-1.1368683772161603E-13</v>
      </c>
      <c r="CJ217" s="22">
        <f t="shared" si="1929"/>
        <v>199.44000000000011</v>
      </c>
      <c r="CK217" s="22">
        <f t="shared" ref="CK217:DB217" si="1930">CK218+CK219</f>
        <v>0</v>
      </c>
      <c r="CL217" s="22">
        <f t="shared" si="1930"/>
        <v>29.019999999999897</v>
      </c>
      <c r="CM217" s="21">
        <f t="shared" si="1930"/>
        <v>0</v>
      </c>
      <c r="CN217" s="21">
        <f t="shared" si="1930"/>
        <v>0</v>
      </c>
      <c r="CO217" s="21">
        <f t="shared" si="1930"/>
        <v>-1.1368683772161603E-13</v>
      </c>
      <c r="CP217" s="21">
        <f t="shared" si="1930"/>
        <v>-1.1368683772161603E-13</v>
      </c>
      <c r="CQ217" s="21">
        <f t="shared" si="1930"/>
        <v>0</v>
      </c>
      <c r="CR217" s="21">
        <f t="shared" si="1930"/>
        <v>0</v>
      </c>
      <c r="CS217" s="21">
        <f t="shared" si="1930"/>
        <v>0</v>
      </c>
      <c r="CT217" s="21">
        <f t="shared" si="1930"/>
        <v>0</v>
      </c>
      <c r="CU217" s="21">
        <f t="shared" si="1930"/>
        <v>0</v>
      </c>
      <c r="CV217" s="21">
        <f t="shared" si="1930"/>
        <v>0</v>
      </c>
      <c r="CW217" s="21">
        <f t="shared" si="1930"/>
        <v>0</v>
      </c>
      <c r="CX217" s="21">
        <f t="shared" si="1930"/>
        <v>0</v>
      </c>
      <c r="CY217" s="21">
        <f t="shared" si="1930"/>
        <v>-2.2737367544323206E-13</v>
      </c>
      <c r="CZ217" s="21">
        <f t="shared" si="1930"/>
        <v>0</v>
      </c>
      <c r="DA217" s="21">
        <f t="shared" si="1930"/>
        <v>0</v>
      </c>
      <c r="DB217" s="21">
        <f t="shared" si="1930"/>
        <v>0</v>
      </c>
      <c r="DE217" s="126"/>
      <c r="DF217" s="22">
        <v>-5.6843418860808015E-14</v>
      </c>
    </row>
    <row r="218" spans="1:110" s="23" customFormat="1" x14ac:dyDescent="0.2">
      <c r="A218" s="23" t="s">
        <v>49</v>
      </c>
      <c r="C218" s="23">
        <f t="shared" ref="C218:AA218" si="1931">C140-B140</f>
        <v>0</v>
      </c>
      <c r="D218" s="23">
        <f t="shared" si="1931"/>
        <v>0</v>
      </c>
      <c r="E218" s="23">
        <f>E140-D140</f>
        <v>0</v>
      </c>
      <c r="F218" s="23">
        <f t="shared" si="1931"/>
        <v>0</v>
      </c>
      <c r="G218" s="23">
        <f t="shared" si="1931"/>
        <v>0</v>
      </c>
      <c r="H218" s="23">
        <f t="shared" si="1931"/>
        <v>0</v>
      </c>
      <c r="I218" s="23">
        <f t="shared" si="1931"/>
        <v>0</v>
      </c>
      <c r="J218" s="23">
        <f>J140-I140</f>
        <v>0</v>
      </c>
      <c r="K218" s="23">
        <f>K140-J140</f>
        <v>0</v>
      </c>
      <c r="L218" s="23">
        <f t="shared" si="1931"/>
        <v>0</v>
      </c>
      <c r="M218" s="23">
        <f t="shared" si="1931"/>
        <v>0</v>
      </c>
      <c r="N218" s="23">
        <f t="shared" si="1931"/>
        <v>0</v>
      </c>
      <c r="O218" s="23">
        <f t="shared" si="1931"/>
        <v>0</v>
      </c>
      <c r="P218" s="23">
        <f t="shared" si="1931"/>
        <v>0</v>
      </c>
      <c r="Q218" s="23">
        <f t="shared" si="1931"/>
        <v>0</v>
      </c>
      <c r="R218" s="23">
        <f t="shared" si="1931"/>
        <v>0</v>
      </c>
      <c r="S218" s="23">
        <f t="shared" si="1931"/>
        <v>184.137</v>
      </c>
      <c r="T218" s="23">
        <f t="shared" si="1931"/>
        <v>2043.6389999999999</v>
      </c>
      <c r="U218" s="23">
        <f t="shared" si="1931"/>
        <v>-1003.7359999999999</v>
      </c>
      <c r="V218" s="23">
        <f t="shared" si="1931"/>
        <v>-755.68999999999994</v>
      </c>
      <c r="W218" s="23">
        <f t="shared" si="1931"/>
        <v>-33.29000000000002</v>
      </c>
      <c r="X218" s="23">
        <f t="shared" si="1931"/>
        <v>1579.89</v>
      </c>
      <c r="Y218" s="23">
        <f t="shared" si="1931"/>
        <v>-1538.29</v>
      </c>
      <c r="Z218" s="23">
        <f t="shared" si="1931"/>
        <v>424.81</v>
      </c>
      <c r="AA218" s="23">
        <f t="shared" si="1931"/>
        <v>262.32000000000016</v>
      </c>
      <c r="AB218" s="24">
        <f t="shared" ref="AB218" si="1932">AB140-AA140</f>
        <v>0</v>
      </c>
      <c r="AC218" s="24">
        <f t="shared" ref="AC218" si="1933">AC140-AB140</f>
        <v>0</v>
      </c>
      <c r="AD218" s="24">
        <f t="shared" ref="AD218" si="1934">AD140-AC140</f>
        <v>0</v>
      </c>
      <c r="AE218" s="24">
        <f t="shared" ref="AE218" si="1935">AE140-AD140</f>
        <v>0</v>
      </c>
      <c r="AI218" s="23">
        <f t="shared" ref="AI218" si="1936">AI140-AH140</f>
        <v>0</v>
      </c>
      <c r="AJ218" s="23">
        <f t="shared" ref="AJ218" si="1937">AJ140-AI140</f>
        <v>0</v>
      </c>
      <c r="AK218" s="23">
        <f t="shared" ref="AK218" si="1938">AK140-AJ140</f>
        <v>0</v>
      </c>
      <c r="AL218" s="23">
        <f t="shared" ref="AL218" si="1939">AL140-AK140</f>
        <v>0</v>
      </c>
      <c r="AM218" s="23">
        <f t="shared" ref="AM218" si="1940">AM140-AL140</f>
        <v>0</v>
      </c>
      <c r="AN218" s="23">
        <f t="shared" ref="AN218" si="1941">AN140-AM140</f>
        <v>0</v>
      </c>
      <c r="AO218" s="23">
        <f t="shared" ref="AO218" si="1942">AO140-AN140</f>
        <v>0</v>
      </c>
      <c r="AP218" s="23">
        <f t="shared" ref="AP218" si="1943">AP140-AO140</f>
        <v>0</v>
      </c>
      <c r="AQ218" s="23">
        <f t="shared" ref="AQ218" si="1944">AQ140-AP140</f>
        <v>0</v>
      </c>
      <c r="AR218" s="23">
        <f t="shared" ref="AR218" si="1945">AR140-AQ140</f>
        <v>0</v>
      </c>
      <c r="AS218" s="23">
        <f t="shared" ref="AS218" si="1946">AS140-AR140</f>
        <v>0</v>
      </c>
      <c r="AT218" s="23">
        <f t="shared" ref="AT218" si="1947">AT140-AS140</f>
        <v>0</v>
      </c>
      <c r="AU218" s="23">
        <f t="shared" ref="AU218" si="1948">AU140-AT140</f>
        <v>0</v>
      </c>
      <c r="AV218" s="23">
        <f t="shared" ref="AV218" si="1949">AV140-AU140</f>
        <v>0</v>
      </c>
      <c r="AW218" s="23">
        <f t="shared" ref="AW218" si="1950">AW140-AV140</f>
        <v>0</v>
      </c>
      <c r="AX218" s="23">
        <f t="shared" ref="AX218" si="1951">AX140-AW140</f>
        <v>0</v>
      </c>
      <c r="AY218" s="23">
        <f t="shared" ref="AY218" si="1952">AY140-AX140</f>
        <v>0</v>
      </c>
      <c r="AZ218" s="23">
        <f t="shared" ref="AZ218" si="1953">AZ140-AY140</f>
        <v>0</v>
      </c>
      <c r="BA218" s="23">
        <f t="shared" ref="BA218" si="1954">BA140-AZ140</f>
        <v>0</v>
      </c>
      <c r="BB218" s="23">
        <f t="shared" ref="BB218" si="1955">BB140-BA140</f>
        <v>0</v>
      </c>
      <c r="BC218" s="23">
        <f t="shared" ref="BC218" si="1956">BC140-BB140</f>
        <v>0</v>
      </c>
      <c r="BD218" s="23">
        <f t="shared" ref="BD218" si="1957">BD140-BC140</f>
        <v>0</v>
      </c>
      <c r="BE218" s="23">
        <f t="shared" ref="BE218" si="1958">BE140-BD140</f>
        <v>0</v>
      </c>
      <c r="BF218" s="23">
        <f t="shared" ref="BF218" si="1959">BF140-BE140</f>
        <v>0</v>
      </c>
      <c r="BG218" s="23">
        <f t="shared" ref="BG218" si="1960">BG140-BF140</f>
        <v>0</v>
      </c>
      <c r="BH218" s="23">
        <f t="shared" ref="BH218" si="1961">BH140-BG140</f>
        <v>0</v>
      </c>
      <c r="BI218" s="23">
        <f t="shared" ref="BI218" si="1962">BI140-BH140</f>
        <v>0</v>
      </c>
      <c r="BJ218" s="23">
        <f t="shared" ref="BJ218" si="1963">BJ140-BI140</f>
        <v>2227.7759999999998</v>
      </c>
      <c r="BK218" s="23">
        <f t="shared" ref="BK218" si="1964">BK140-BJ140</f>
        <v>0</v>
      </c>
      <c r="BL218" s="23">
        <f t="shared" ref="BL218" si="1965">BL140-BK140</f>
        <v>32.739000000000033</v>
      </c>
      <c r="BM218" s="23">
        <f t="shared" ref="BM218" si="1966">BM140-BL140</f>
        <v>0</v>
      </c>
      <c r="BN218" s="23">
        <f t="shared" ref="BN218" si="1967">BN140-BM140</f>
        <v>-1036.4749999999999</v>
      </c>
      <c r="BO218" s="23">
        <f t="shared" ref="BO218" si="1968">BO140-BN140</f>
        <v>0</v>
      </c>
      <c r="BP218" s="23">
        <f t="shared" ref="BP218" si="1969">BP140-BO140</f>
        <v>-277.39999999999998</v>
      </c>
      <c r="BQ218" s="23">
        <f t="shared" ref="BQ218" si="1970">BQ140-BP140</f>
        <v>0</v>
      </c>
      <c r="BR218" s="23">
        <f t="shared" ref="BR218" si="1971">BR140-BQ140</f>
        <v>-478.28999999999996</v>
      </c>
      <c r="BS218" s="23">
        <f t="shared" ref="BS218" si="1972">BS140-BR140</f>
        <v>0</v>
      </c>
      <c r="BT218" s="23">
        <f t="shared" ref="BT218" si="1973">BT140-BS140</f>
        <v>205.52999999999997</v>
      </c>
      <c r="BU218" s="23">
        <f t="shared" ref="BU218" si="1974">BU140-BT140</f>
        <v>0</v>
      </c>
      <c r="BV218" s="23">
        <f t="shared" ref="BV218" si="1975">BV140-BU140</f>
        <v>-238.82</v>
      </c>
      <c r="BW218" s="23">
        <f t="shared" ref="BW218" si="1976">BW140-BV140</f>
        <v>0</v>
      </c>
      <c r="BX218" s="23">
        <f t="shared" ref="BX218" si="1977">BX140-BW140</f>
        <v>877.73</v>
      </c>
      <c r="BY218" s="23">
        <f t="shared" ref="BY218" si="1978">BY140-BX140</f>
        <v>0</v>
      </c>
      <c r="BZ218" s="23">
        <f t="shared" ref="BZ218" si="1979">BZ140-BY140</f>
        <v>702.16000000000008</v>
      </c>
      <c r="CA218" s="23">
        <f t="shared" ref="CA218" si="1980">CA140-BZ140</f>
        <v>0</v>
      </c>
      <c r="CB218" s="23">
        <f t="shared" ref="CB218" si="1981">CB140-CA140</f>
        <v>163.06000000000017</v>
      </c>
      <c r="CC218" s="23">
        <f t="shared" ref="CC218" si="1982">CC140-CB140</f>
        <v>0</v>
      </c>
      <c r="CD218" s="23">
        <f t="shared" ref="CD218" si="1983">CD140-CC140</f>
        <v>-1701.3500000000004</v>
      </c>
      <c r="CE218" s="23">
        <f t="shared" ref="CE218" si="1984">CE140-CD140</f>
        <v>0</v>
      </c>
      <c r="CF218" s="23">
        <f t="shared" ref="CF218" si="1985">CF140-CE140</f>
        <v>396.14</v>
      </c>
      <c r="CG218" s="23">
        <f t="shared" ref="CG218" si="1986">CG140-CF140</f>
        <v>0</v>
      </c>
      <c r="CH218" s="23">
        <f t="shared" ref="CH218:CL218" si="1987">CH140-CG140</f>
        <v>28.670000000000073</v>
      </c>
      <c r="CI218" s="23">
        <f t="shared" si="1987"/>
        <v>0</v>
      </c>
      <c r="CJ218" s="23">
        <f t="shared" si="1987"/>
        <v>292.82999999999993</v>
      </c>
      <c r="CK218" s="23">
        <f t="shared" ref="CK218" si="1988">CK140-CJ140</f>
        <v>0</v>
      </c>
      <c r="CL218" s="23">
        <f t="shared" si="1987"/>
        <v>-30.509999999999991</v>
      </c>
      <c r="CM218" s="24">
        <f t="shared" ref="CM218" si="1989">CM140-CL140</f>
        <v>0</v>
      </c>
      <c r="CN218" s="24">
        <f t="shared" ref="CN218" si="1990">CN140-CM140</f>
        <v>0</v>
      </c>
      <c r="CO218" s="24">
        <f t="shared" ref="CO218" si="1991">CO140-CN140</f>
        <v>0</v>
      </c>
      <c r="CP218" s="24">
        <f t="shared" ref="CP218" si="1992">CP140-CO140</f>
        <v>0</v>
      </c>
      <c r="CQ218" s="24">
        <f t="shared" ref="CQ218" si="1993">CQ140-CP140</f>
        <v>0</v>
      </c>
      <c r="CR218" s="24">
        <f t="shared" ref="CR218" si="1994">CR140-CQ140</f>
        <v>0</v>
      </c>
      <c r="CS218" s="24">
        <f t="shared" ref="CS218" si="1995">CS140-CR140</f>
        <v>0</v>
      </c>
      <c r="CT218" s="24">
        <f t="shared" ref="CT218" si="1996">CT140-CS140</f>
        <v>0</v>
      </c>
      <c r="CU218" s="24">
        <f t="shared" ref="CU218" si="1997">CU140-CT140</f>
        <v>0</v>
      </c>
      <c r="CV218" s="24">
        <f t="shared" ref="CV218" si="1998">CV140-CU140</f>
        <v>0</v>
      </c>
      <c r="CW218" s="24">
        <f t="shared" ref="CW218" si="1999">CW140-CV140</f>
        <v>0</v>
      </c>
      <c r="CX218" s="24">
        <f t="shared" ref="CX218" si="2000">CX140-CW140</f>
        <v>0</v>
      </c>
      <c r="CY218" s="24">
        <f t="shared" ref="CY218" si="2001">CY140-CX140</f>
        <v>0</v>
      </c>
      <c r="CZ218" s="24">
        <f t="shared" ref="CZ218" si="2002">CZ140-CY140</f>
        <v>0</v>
      </c>
      <c r="DA218" s="24">
        <f t="shared" ref="DA218" si="2003">DA140-CZ140</f>
        <v>0</v>
      </c>
      <c r="DB218" s="24">
        <f t="shared" ref="DB218" si="2004">DB140-DA140</f>
        <v>0</v>
      </c>
      <c r="DE218" s="123"/>
      <c r="DF218" s="23">
        <v>0</v>
      </c>
    </row>
    <row r="219" spans="1:110" s="23" customFormat="1" x14ac:dyDescent="0.2">
      <c r="A219" s="23" t="s">
        <v>27</v>
      </c>
      <c r="C219" s="23">
        <f t="shared" ref="C219:AE219" si="2005">C132-C55-B132+C134-B134</f>
        <v>0</v>
      </c>
      <c r="D219" s="23">
        <f t="shared" si="2005"/>
        <v>0</v>
      </c>
      <c r="E219" s="23">
        <f t="shared" si="2005"/>
        <v>0</v>
      </c>
      <c r="F219" s="23">
        <f t="shared" si="2005"/>
        <v>0</v>
      </c>
      <c r="G219" s="23">
        <f t="shared" si="2005"/>
        <v>0</v>
      </c>
      <c r="H219" s="23">
        <f t="shared" si="2005"/>
        <v>0</v>
      </c>
      <c r="I219" s="23">
        <f t="shared" si="2005"/>
        <v>0</v>
      </c>
      <c r="J219" s="23">
        <f t="shared" si="2005"/>
        <v>0</v>
      </c>
      <c r="K219" s="23">
        <f t="shared" si="2005"/>
        <v>0</v>
      </c>
      <c r="L219" s="23">
        <f t="shared" si="2005"/>
        <v>0</v>
      </c>
      <c r="M219" s="23">
        <f t="shared" si="2005"/>
        <v>0</v>
      </c>
      <c r="N219" s="23">
        <f t="shared" si="2005"/>
        <v>0</v>
      </c>
      <c r="O219" s="23">
        <f t="shared" si="2005"/>
        <v>0</v>
      </c>
      <c r="P219" s="23">
        <f t="shared" si="2005"/>
        <v>0</v>
      </c>
      <c r="Q219" s="23">
        <f t="shared" si="2005"/>
        <v>0</v>
      </c>
      <c r="R219" s="23">
        <f t="shared" si="2005"/>
        <v>0</v>
      </c>
      <c r="S219" s="23">
        <f t="shared" si="2005"/>
        <v>-258.30000000000007</v>
      </c>
      <c r="T219" s="23">
        <f t="shared" si="2005"/>
        <v>4.6560000000002724</v>
      </c>
      <c r="U219" s="23">
        <f t="shared" si="2005"/>
        <v>-74.980999999999767</v>
      </c>
      <c r="V219" s="23">
        <f t="shared" si="2005"/>
        <v>-129.44000000000028</v>
      </c>
      <c r="W219" s="23">
        <f t="shared" si="2005"/>
        <v>1157.5100000000004</v>
      </c>
      <c r="X219" s="23">
        <f t="shared" si="2005"/>
        <v>23.420000000000037</v>
      </c>
      <c r="Y219" s="23">
        <f t="shared" si="2005"/>
        <v>1407.23</v>
      </c>
      <c r="Z219" s="23">
        <f t="shared" si="2005"/>
        <v>-41.939999999999827</v>
      </c>
      <c r="AA219" s="23">
        <f t="shared" si="2005"/>
        <v>-33.860000000000682</v>
      </c>
      <c r="AB219" s="24">
        <f t="shared" si="2005"/>
        <v>3.4106051316484809E-13</v>
      </c>
      <c r="AC219" s="24">
        <f t="shared" si="2005"/>
        <v>4.5474735088646412E-13</v>
      </c>
      <c r="AD219" s="24">
        <f t="shared" si="2005"/>
        <v>1.5916157281026244E-12</v>
      </c>
      <c r="AE219" s="24">
        <f t="shared" si="2005"/>
        <v>-6.8212102632969618E-13</v>
      </c>
      <c r="AI219" s="23">
        <f t="shared" ref="AI219:BN219" si="2006">AI132-AI55-AH132+AI134-AH134</f>
        <v>0</v>
      </c>
      <c r="AJ219" s="23">
        <f t="shared" si="2006"/>
        <v>0</v>
      </c>
      <c r="AK219" s="23">
        <f t="shared" si="2006"/>
        <v>0</v>
      </c>
      <c r="AL219" s="23">
        <f t="shared" si="2006"/>
        <v>0</v>
      </c>
      <c r="AM219" s="23">
        <f t="shared" si="2006"/>
        <v>0</v>
      </c>
      <c r="AN219" s="23">
        <f t="shared" si="2006"/>
        <v>0</v>
      </c>
      <c r="AO219" s="23">
        <f t="shared" si="2006"/>
        <v>0</v>
      </c>
      <c r="AP219" s="23">
        <f t="shared" si="2006"/>
        <v>0</v>
      </c>
      <c r="AQ219" s="23">
        <f t="shared" si="2006"/>
        <v>0</v>
      </c>
      <c r="AR219" s="23">
        <f t="shared" si="2006"/>
        <v>0</v>
      </c>
      <c r="AS219" s="23">
        <f t="shared" si="2006"/>
        <v>0</v>
      </c>
      <c r="AT219" s="23">
        <f t="shared" si="2006"/>
        <v>0</v>
      </c>
      <c r="AU219" s="23">
        <f t="shared" si="2006"/>
        <v>0</v>
      </c>
      <c r="AV219" s="23">
        <f t="shared" si="2006"/>
        <v>0</v>
      </c>
      <c r="AW219" s="23">
        <f t="shared" si="2006"/>
        <v>0</v>
      </c>
      <c r="AX219" s="23">
        <f t="shared" si="2006"/>
        <v>0</v>
      </c>
      <c r="AY219" s="23">
        <f t="shared" si="2006"/>
        <v>0</v>
      </c>
      <c r="AZ219" s="23">
        <f t="shared" si="2006"/>
        <v>0</v>
      </c>
      <c r="BA219" s="23">
        <f t="shared" si="2006"/>
        <v>0</v>
      </c>
      <c r="BB219" s="23">
        <f t="shared" si="2006"/>
        <v>0</v>
      </c>
      <c r="BC219" s="23">
        <f t="shared" si="2006"/>
        <v>0</v>
      </c>
      <c r="BD219" s="23">
        <f t="shared" si="2006"/>
        <v>0</v>
      </c>
      <c r="BE219" s="23">
        <f t="shared" si="2006"/>
        <v>0</v>
      </c>
      <c r="BF219" s="23">
        <f t="shared" si="2006"/>
        <v>0</v>
      </c>
      <c r="BG219" s="23">
        <f t="shared" si="2006"/>
        <v>0</v>
      </c>
      <c r="BH219" s="23">
        <f t="shared" si="2006"/>
        <v>-58.046999999999848</v>
      </c>
      <c r="BI219" s="23">
        <f t="shared" si="2006"/>
        <v>0</v>
      </c>
      <c r="BJ219" s="23">
        <f t="shared" si="2006"/>
        <v>351.80999999999983</v>
      </c>
      <c r="BK219" s="23">
        <f t="shared" si="2006"/>
        <v>-1.1368683772161603E-13</v>
      </c>
      <c r="BL219" s="23">
        <f t="shared" si="2006"/>
        <v>8.7570000000001773</v>
      </c>
      <c r="BM219" s="23">
        <f t="shared" si="2006"/>
        <v>0</v>
      </c>
      <c r="BN219" s="23">
        <f t="shared" si="2006"/>
        <v>-83.739000000000146</v>
      </c>
      <c r="BO219" s="23">
        <f t="shared" ref="BO219:CT219" si="2007">BO132-BO55-BN132+BO134-BN134</f>
        <v>0</v>
      </c>
      <c r="BP219" s="23">
        <f t="shared" si="2007"/>
        <v>-70.400000000000176</v>
      </c>
      <c r="BQ219" s="23">
        <f t="shared" si="2007"/>
        <v>0</v>
      </c>
      <c r="BR219" s="23">
        <f t="shared" si="2007"/>
        <v>-59.040000000000092</v>
      </c>
      <c r="BS219" s="23">
        <f t="shared" si="2007"/>
        <v>0</v>
      </c>
      <c r="BT219" s="23">
        <f t="shared" si="2007"/>
        <v>141.11999999999978</v>
      </c>
      <c r="BU219" s="23">
        <f t="shared" si="2007"/>
        <v>0</v>
      </c>
      <c r="BV219" s="23">
        <f t="shared" si="2007"/>
        <v>1016.3900000000004</v>
      </c>
      <c r="BW219" s="23">
        <f t="shared" si="2007"/>
        <v>0</v>
      </c>
      <c r="BX219" s="23">
        <f t="shared" si="2007"/>
        <v>82.559999999999775</v>
      </c>
      <c r="BY219" s="23">
        <f t="shared" si="2007"/>
        <v>0</v>
      </c>
      <c r="BZ219" s="23">
        <f t="shared" si="2007"/>
        <v>-59.140000000000157</v>
      </c>
      <c r="CA219" s="23">
        <f t="shared" si="2007"/>
        <v>-2.8421709430404007E-14</v>
      </c>
      <c r="CB219" s="23">
        <f t="shared" si="2007"/>
        <v>-24.950000000000024</v>
      </c>
      <c r="CC219" s="23">
        <f t="shared" si="2007"/>
        <v>5.6843418860808015E-14</v>
      </c>
      <c r="CD219" s="23">
        <f t="shared" si="2007"/>
        <v>1432.21</v>
      </c>
      <c r="CE219" s="23">
        <f t="shared" si="2007"/>
        <v>0</v>
      </c>
      <c r="CF219" s="23">
        <f t="shared" si="2007"/>
        <v>-13.800000000000004</v>
      </c>
      <c r="CG219" s="23">
        <f t="shared" si="2007"/>
        <v>0</v>
      </c>
      <c r="CH219" s="23">
        <f t="shared" si="2007"/>
        <v>-28.140000000000281</v>
      </c>
      <c r="CI219" s="23">
        <f t="shared" si="2007"/>
        <v>-1.1368683772161603E-13</v>
      </c>
      <c r="CJ219" s="23">
        <f t="shared" si="2007"/>
        <v>-93.389999999999816</v>
      </c>
      <c r="CK219" s="23">
        <f t="shared" si="2007"/>
        <v>0</v>
      </c>
      <c r="CL219" s="23">
        <f t="shared" si="2007"/>
        <v>59.529999999999887</v>
      </c>
      <c r="CM219" s="24">
        <f t="shared" si="2007"/>
        <v>0</v>
      </c>
      <c r="CN219" s="24">
        <f t="shared" si="2007"/>
        <v>0</v>
      </c>
      <c r="CO219" s="24">
        <f t="shared" si="2007"/>
        <v>-1.1368683772161603E-13</v>
      </c>
      <c r="CP219" s="24">
        <f t="shared" si="2007"/>
        <v>-1.1368683772161603E-13</v>
      </c>
      <c r="CQ219" s="24">
        <f t="shared" si="2007"/>
        <v>0</v>
      </c>
      <c r="CR219" s="24">
        <f t="shared" si="2007"/>
        <v>0</v>
      </c>
      <c r="CS219" s="24">
        <f t="shared" si="2007"/>
        <v>0</v>
      </c>
      <c r="CT219" s="24">
        <f t="shared" si="2007"/>
        <v>0</v>
      </c>
      <c r="CU219" s="24">
        <f t="shared" ref="CU219:DB219" si="2008">CU132-CU55-CT132+CU134-CT134</f>
        <v>0</v>
      </c>
      <c r="CV219" s="24">
        <f t="shared" si="2008"/>
        <v>0</v>
      </c>
      <c r="CW219" s="24">
        <f t="shared" si="2008"/>
        <v>0</v>
      </c>
      <c r="CX219" s="24">
        <f t="shared" si="2008"/>
        <v>0</v>
      </c>
      <c r="CY219" s="24">
        <f t="shared" si="2008"/>
        <v>-2.2737367544323206E-13</v>
      </c>
      <c r="CZ219" s="24">
        <f t="shared" si="2008"/>
        <v>0</v>
      </c>
      <c r="DA219" s="24">
        <f t="shared" si="2008"/>
        <v>0</v>
      </c>
      <c r="DB219" s="24">
        <f t="shared" si="2008"/>
        <v>0</v>
      </c>
      <c r="DE219" s="123"/>
      <c r="DF219" s="23">
        <v>-5.6843418860808015E-14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3" customFormat="1" x14ac:dyDescent="0.2">
      <c r="A221" s="23" t="s">
        <v>442</v>
      </c>
      <c r="C221" s="23">
        <f t="shared" ref="C221" si="2009">B173</f>
        <v>0</v>
      </c>
      <c r="D221" s="23">
        <f t="shared" ref="D221" si="2010">C173</f>
        <v>0</v>
      </c>
      <c r="E221" s="23">
        <f>D173</f>
        <v>0</v>
      </c>
      <c r="F221" s="23">
        <f t="shared" ref="F221" si="2011">E173</f>
        <v>0</v>
      </c>
      <c r="G221" s="23">
        <f t="shared" ref="G221" si="2012">F173</f>
        <v>0</v>
      </c>
      <c r="H221" s="23">
        <f t="shared" ref="H221" si="2013">G173</f>
        <v>0</v>
      </c>
      <c r="I221" s="23">
        <f t="shared" ref="I221" si="2014">H173</f>
        <v>0</v>
      </c>
      <c r="J221" s="23">
        <f>I173</f>
        <v>0</v>
      </c>
      <c r="K221" s="23">
        <f>J173</f>
        <v>0</v>
      </c>
      <c r="L221" s="23">
        <f t="shared" ref="L221" si="2015">K173</f>
        <v>0</v>
      </c>
      <c r="M221" s="23">
        <f t="shared" ref="M221" si="2016">L173</f>
        <v>0</v>
      </c>
      <c r="N221" s="23">
        <f t="shared" ref="N221" si="2017">M173</f>
        <v>0</v>
      </c>
      <c r="O221" s="23">
        <f t="shared" ref="O221" si="2018">N173</f>
        <v>0</v>
      </c>
      <c r="P221" s="23">
        <f t="shared" ref="P221" si="2019">O173</f>
        <v>0</v>
      </c>
      <c r="Q221" s="23">
        <f t="shared" ref="Q221" si="2020">P173</f>
        <v>0</v>
      </c>
      <c r="R221" s="23">
        <f t="shared" ref="R221" si="2021">Q173</f>
        <v>0</v>
      </c>
      <c r="S221" s="23">
        <f t="shared" ref="S221" si="2022">R173</f>
        <v>0</v>
      </c>
      <c r="T221" s="23">
        <f t="shared" ref="T221" si="2023">S173</f>
        <v>104.292</v>
      </c>
      <c r="U221" s="23">
        <f t="shared" ref="U221" si="2024">T173</f>
        <v>454.71</v>
      </c>
      <c r="V221" s="23">
        <f t="shared" ref="V221" si="2025">U173</f>
        <v>499.81</v>
      </c>
      <c r="W221" s="23">
        <f t="shared" ref="W221:AA221" si="2026">V173</f>
        <v>290.95</v>
      </c>
      <c r="X221" s="23">
        <f t="shared" si="2026"/>
        <v>504.04</v>
      </c>
      <c r="Y221" s="23">
        <f t="shared" si="2026"/>
        <v>95.18</v>
      </c>
      <c r="Z221" s="23">
        <f t="shared" si="2026"/>
        <v>339.19</v>
      </c>
      <c r="AA221" s="23">
        <f t="shared" si="2026"/>
        <v>710.95</v>
      </c>
      <c r="AB221" s="24">
        <f t="shared" ref="AB221" si="2027">AA173</f>
        <v>534.4</v>
      </c>
      <c r="AC221" s="24">
        <f t="shared" ref="AC221" si="2028">AB173</f>
        <v>551.940346973342</v>
      </c>
      <c r="AD221" s="24">
        <f t="shared" ref="AD221" si="2029">AC173</f>
        <v>763.56440833178624</v>
      </c>
      <c r="AE221" s="24">
        <f t="shared" ref="AE221" si="2030">AD173</f>
        <v>1039.7229945072277</v>
      </c>
      <c r="AI221" s="23">
        <f t="shared" ref="AI221" si="2031">AH173</f>
        <v>0</v>
      </c>
      <c r="AJ221" s="23">
        <f t="shared" ref="AJ221" si="2032">AI173</f>
        <v>0</v>
      </c>
      <c r="AK221" s="23">
        <f t="shared" ref="AK221" si="2033">AJ173</f>
        <v>0</v>
      </c>
      <c r="AL221" s="23" t="e">
        <f t="shared" ref="AL221" si="2034">AK173</f>
        <v>#DIV/0!</v>
      </c>
      <c r="AM221" s="23">
        <f t="shared" ref="AM221" si="2035">AL173</f>
        <v>0</v>
      </c>
      <c r="AN221" s="23" t="e">
        <f t="shared" ref="AN221" si="2036">AM173</f>
        <v>#DIV/0!</v>
      </c>
      <c r="AO221" s="23">
        <f t="shared" ref="AO221" si="2037">AN173</f>
        <v>0</v>
      </c>
      <c r="AP221" s="23" t="e">
        <f t="shared" ref="AP221" si="2038">AO173</f>
        <v>#DIV/0!</v>
      </c>
      <c r="AQ221" s="23">
        <f t="shared" ref="AQ221" si="2039">AP173</f>
        <v>0</v>
      </c>
      <c r="AR221" s="23" t="e">
        <f t="shared" ref="AR221" si="2040">AQ173</f>
        <v>#DIV/0!</v>
      </c>
      <c r="AS221" s="23">
        <f t="shared" ref="AS221" si="2041">AR173</f>
        <v>0</v>
      </c>
      <c r="AT221" s="23" t="e">
        <f t="shared" ref="AT221" si="2042">AS173</f>
        <v>#DIV/0!</v>
      </c>
      <c r="AU221" s="23">
        <f t="shared" ref="AU221" si="2043">AT173</f>
        <v>0</v>
      </c>
      <c r="AV221" s="23" t="e">
        <f t="shared" ref="AV221" si="2044">AU173</f>
        <v>#DIV/0!</v>
      </c>
      <c r="AW221" s="23">
        <f t="shared" ref="AW221" si="2045">AV173</f>
        <v>0</v>
      </c>
      <c r="AX221" s="23" t="e">
        <f t="shared" ref="AX221" si="2046">AW173</f>
        <v>#DIV/0!</v>
      </c>
      <c r="AY221" s="23">
        <f t="shared" ref="AY221" si="2047">AX173</f>
        <v>0</v>
      </c>
      <c r="AZ221" s="23" t="e">
        <f t="shared" ref="AZ221" si="2048">AY173</f>
        <v>#DIV/0!</v>
      </c>
      <c r="BA221" s="23">
        <f t="shared" ref="BA221" si="2049">AZ173</f>
        <v>0</v>
      </c>
      <c r="BB221" s="23" t="e">
        <f t="shared" ref="BB221" si="2050">BA173</f>
        <v>#DIV/0!</v>
      </c>
      <c r="BC221" s="23">
        <f t="shared" ref="BC221" si="2051">BB173</f>
        <v>0</v>
      </c>
      <c r="BD221" s="23" t="e">
        <f t="shared" ref="BD221" si="2052">BC173</f>
        <v>#DIV/0!</v>
      </c>
      <c r="BE221" s="23">
        <f t="shared" ref="BE221" si="2053">BD173</f>
        <v>0</v>
      </c>
      <c r="BF221" s="23" t="e">
        <f t="shared" ref="BF221" si="2054">BE173</f>
        <v>#DIV/0!</v>
      </c>
      <c r="BG221" s="23">
        <f t="shared" ref="BG221" si="2055">BF173</f>
        <v>0</v>
      </c>
      <c r="BH221" s="23" t="e">
        <f t="shared" ref="BH221" si="2056">BG173</f>
        <v>#DIV/0!</v>
      </c>
      <c r="BI221" s="23">
        <f t="shared" ref="BI221" si="2057">BH173</f>
        <v>0</v>
      </c>
      <c r="BJ221" s="23">
        <f t="shared" ref="BJ221" si="2058">BI173</f>
        <v>189.82199999999992</v>
      </c>
      <c r="BK221" s="23">
        <f t="shared" ref="BK221" si="2059">BJ173</f>
        <v>454.71</v>
      </c>
      <c r="BL221" s="23">
        <f t="shared" ref="BL221" si="2060">BK173</f>
        <v>503.22911231756962</v>
      </c>
      <c r="BM221" s="23">
        <f t="shared" ref="BM221" si="2061">BL173</f>
        <v>454.21699999999998</v>
      </c>
      <c r="BN221" s="23">
        <f t="shared" ref="BN221" si="2062">BM173</f>
        <v>526.72455478115864</v>
      </c>
      <c r="BO221" s="23">
        <f t="shared" ref="BO221" si="2063">BN173</f>
        <v>499.81</v>
      </c>
      <c r="BP221" s="23">
        <f t="shared" ref="BP221" si="2064">BO173</f>
        <v>431.28600054352239</v>
      </c>
      <c r="BQ221" s="23">
        <f t="shared" ref="BQ221" si="2065">BP173</f>
        <v>517.48</v>
      </c>
      <c r="BR221" s="23">
        <f t="shared" ref="BR221" si="2066">BQ173</f>
        <v>534.35030584380092</v>
      </c>
      <c r="BS221" s="23">
        <f t="shared" ref="BS221" si="2067">BR173</f>
        <v>290.95</v>
      </c>
      <c r="BT221" s="23">
        <f t="shared" ref="BT221" si="2068">BS173</f>
        <v>89.716650592873236</v>
      </c>
      <c r="BU221" s="23">
        <f t="shared" ref="BU221" si="2069">BT173</f>
        <v>427.76</v>
      </c>
      <c r="BV221" s="23">
        <f t="shared" ref="BV221" si="2070">BU173</f>
        <v>22.365732817953301</v>
      </c>
      <c r="BW221" s="23">
        <f t="shared" ref="BW221" si="2071">BV173</f>
        <v>504.04</v>
      </c>
      <c r="BX221" s="23">
        <f t="shared" ref="BX221" si="2072">BW173</f>
        <v>228.16562925408243</v>
      </c>
      <c r="BY221" s="23">
        <f t="shared" ref="BY221" si="2073">BX173</f>
        <v>478.7</v>
      </c>
      <c r="BZ221" s="23">
        <f t="shared" ref="BZ221" si="2074">BY173</f>
        <v>555.39993859733295</v>
      </c>
      <c r="CA221" s="23">
        <f t="shared" ref="CA221" si="2075">BZ173</f>
        <v>95.18</v>
      </c>
      <c r="CB221" s="23">
        <f t="shared" ref="CB221" si="2076">CA173</f>
        <v>-684.5322910776872</v>
      </c>
      <c r="CC221" s="23">
        <f t="shared" ref="CC221" si="2077">CB173</f>
        <v>98.97</v>
      </c>
      <c r="CD221" s="23">
        <f t="shared" ref="CD221" si="2078">CC173</f>
        <v>-112.76205182220373</v>
      </c>
      <c r="CE221" s="23">
        <f t="shared" ref="CE221" si="2079">CD173</f>
        <v>339.19</v>
      </c>
      <c r="CF221" s="23">
        <f t="shared" ref="CF221" si="2080">CE173</f>
        <v>192.71182188606261</v>
      </c>
      <c r="CG221" s="23">
        <f t="shared" ref="CG221" si="2081">CF173</f>
        <v>557.92000000000007</v>
      </c>
      <c r="CH221" s="23">
        <f t="shared" ref="CH221:CL221" si="2082">CG173</f>
        <v>1055.2228431134699</v>
      </c>
      <c r="CI221" s="23">
        <f t="shared" si="2082"/>
        <v>710.95</v>
      </c>
      <c r="CJ221" s="23">
        <f t="shared" si="2082"/>
        <v>1080.8679391928099</v>
      </c>
      <c r="CK221" s="23">
        <f t="shared" ref="CK221" si="2083">CJ173</f>
        <v>440.45</v>
      </c>
      <c r="CL221" s="23">
        <f t="shared" si="2082"/>
        <v>213.20246768843725</v>
      </c>
      <c r="CM221" s="24">
        <f t="shared" ref="CM221" si="2084">CL173</f>
        <v>534.4</v>
      </c>
      <c r="CN221" s="24">
        <f t="shared" ref="CN221" si="2085">CM173</f>
        <v>318.73096928844819</v>
      </c>
      <c r="CO221" s="24">
        <f t="shared" ref="CO221" si="2086">CN173</f>
        <v>554.34395432945985</v>
      </c>
      <c r="CP221" s="24">
        <f t="shared" ref="CP221" si="2087">CO173</f>
        <v>556.65933622465013</v>
      </c>
      <c r="CQ221" s="24">
        <f t="shared" ref="CQ221" si="2088">CP173</f>
        <v>551.940346973342</v>
      </c>
      <c r="CR221" s="24">
        <f t="shared" ref="CR221" si="2089">CQ173</f>
        <v>483.89946466879104</v>
      </c>
      <c r="CS221" s="24">
        <f t="shared" ref="CS221" si="2090">CR173</f>
        <v>796.4094079262527</v>
      </c>
      <c r="CT221" s="24">
        <f t="shared" ref="CT221" si="2091">CS173</f>
        <v>807.52241807917915</v>
      </c>
      <c r="CU221" s="24">
        <f t="shared" ref="CU221" si="2092">CT173</f>
        <v>763.56440833178624</v>
      </c>
      <c r="CV221" s="24">
        <f t="shared" ref="CV221" si="2093">CU173</f>
        <v>730.70350285250925</v>
      </c>
      <c r="CW221" s="24">
        <f t="shared" ref="CW221" si="2094">CV173</f>
        <v>1089.7466487878257</v>
      </c>
      <c r="CX221" s="24">
        <f t="shared" ref="CX221" si="2095">CW173</f>
        <v>1096.9342177607805</v>
      </c>
      <c r="CY221" s="24">
        <f t="shared" ref="CY221" si="2096">CX173</f>
        <v>1039.7229945072277</v>
      </c>
      <c r="CZ221" s="24">
        <f t="shared" ref="CZ221" si="2097">CY173</f>
        <v>1007.3367040558178</v>
      </c>
      <c r="DA221" s="24">
        <f t="shared" ref="DA221" si="2098">CZ173</f>
        <v>1413.3042080317641</v>
      </c>
      <c r="DB221" s="24">
        <f t="shared" ref="DB221" si="2099">DA173</f>
        <v>1413.8370895999908</v>
      </c>
      <c r="DE221" s="123"/>
      <c r="DF221" s="23">
        <v>213.20246768843725</v>
      </c>
    </row>
    <row r="222" spans="1:110" s="23" customFormat="1" x14ac:dyDescent="0.2">
      <c r="A222" s="23" t="s">
        <v>443</v>
      </c>
      <c r="C222" s="23">
        <f t="shared" ref="C222:W222" si="2100">C221+C217+C213+C211</f>
        <v>0</v>
      </c>
      <c r="D222" s="23">
        <f t="shared" si="2100"/>
        <v>0</v>
      </c>
      <c r="E222" s="23">
        <f t="shared" si="2100"/>
        <v>0</v>
      </c>
      <c r="F222" s="23">
        <f t="shared" si="2100"/>
        <v>0</v>
      </c>
      <c r="G222" s="23">
        <f t="shared" si="2100"/>
        <v>0</v>
      </c>
      <c r="H222" s="23">
        <f t="shared" si="2100"/>
        <v>0</v>
      </c>
      <c r="I222" s="23">
        <f t="shared" si="2100"/>
        <v>0</v>
      </c>
      <c r="J222" s="23">
        <f>J221+J217+J213+J211</f>
        <v>0</v>
      </c>
      <c r="K222" s="23">
        <f>K221+K217+K213+K211</f>
        <v>0</v>
      </c>
      <c r="L222" s="23">
        <f>L221+L217+L213+L211</f>
        <v>0</v>
      </c>
      <c r="M222" s="23">
        <f>M221+M217+M213+M211</f>
        <v>0</v>
      </c>
      <c r="N222" s="23">
        <f t="shared" si="2100"/>
        <v>0</v>
      </c>
      <c r="O222" s="23">
        <f t="shared" si="2100"/>
        <v>0</v>
      </c>
      <c r="P222" s="23">
        <f t="shared" si="2100"/>
        <v>0</v>
      </c>
      <c r="Q222" s="23">
        <f t="shared" si="2100"/>
        <v>0</v>
      </c>
      <c r="R222" s="23">
        <f t="shared" si="2100"/>
        <v>0</v>
      </c>
      <c r="S222" s="23">
        <f t="shared" si="2100"/>
        <v>104.29200000000048</v>
      </c>
      <c r="T222" s="23">
        <f t="shared" si="2100"/>
        <v>454.70999999999958</v>
      </c>
      <c r="U222" s="23">
        <f t="shared" si="2100"/>
        <v>499.80999999999915</v>
      </c>
      <c r="V222" s="23">
        <f t="shared" si="2100"/>
        <v>290.95000000000005</v>
      </c>
      <c r="W222" s="23">
        <f t="shared" si="2100"/>
        <v>504.04000000000053</v>
      </c>
      <c r="X222" s="23">
        <f t="shared" ref="X222:Y222" si="2101">X221+X217+X213+X211</f>
        <v>95.180000000000518</v>
      </c>
      <c r="Y222" s="23">
        <f t="shared" si="2101"/>
        <v>339.18999999999937</v>
      </c>
      <c r="Z222" s="23">
        <f t="shared" ref="Z222:AA222" si="2102">Z221+Z217+Z213+Z211</f>
        <v>710.95000000000084</v>
      </c>
      <c r="AA222" s="23">
        <f t="shared" si="2102"/>
        <v>534.40000000000009</v>
      </c>
      <c r="AB222" s="24">
        <f t="shared" ref="AA222:AD222" si="2103">AB221+AB217+AB213+AB211</f>
        <v>551.94034697334234</v>
      </c>
      <c r="AC222" s="24">
        <f t="shared" si="2103"/>
        <v>763.56440833178613</v>
      </c>
      <c r="AD222" s="24">
        <f t="shared" si="2103"/>
        <v>1039.7229945072272</v>
      </c>
      <c r="AE222" s="24">
        <f t="shared" ref="AE222" si="2104">AE221+AE217+AE213+AE211</f>
        <v>1341.0439610363569</v>
      </c>
      <c r="AI222" s="23">
        <f t="shared" ref="AI222" si="2105">AI221+AI217+AI213+AI211</f>
        <v>0</v>
      </c>
      <c r="AJ222" s="23">
        <f t="shared" ref="AJ222:AL222" si="2106">AJ221+AJ217+AJ213+AJ211</f>
        <v>0</v>
      </c>
      <c r="AK222" s="23" t="e">
        <f t="shared" si="2106"/>
        <v>#DIV/0!</v>
      </c>
      <c r="AL222" s="23" t="e">
        <f t="shared" si="2106"/>
        <v>#DIV/0!</v>
      </c>
      <c r="AM222" s="23" t="e">
        <f t="shared" ref="AM222" si="2107">AM221+AM217+AM213+AM211</f>
        <v>#DIV/0!</v>
      </c>
      <c r="AN222" s="23" t="e">
        <f t="shared" ref="AN222:CD222" si="2108">AN221+AN217+AN213+AN211</f>
        <v>#DIV/0!</v>
      </c>
      <c r="AO222" s="23" t="e">
        <f t="shared" si="2108"/>
        <v>#DIV/0!</v>
      </c>
      <c r="AP222" s="23" t="e">
        <f t="shared" si="2108"/>
        <v>#DIV/0!</v>
      </c>
      <c r="AQ222" s="23" t="e">
        <f t="shared" si="2108"/>
        <v>#DIV/0!</v>
      </c>
      <c r="AR222" s="23" t="e">
        <f t="shared" si="2108"/>
        <v>#DIV/0!</v>
      </c>
      <c r="AS222" s="23" t="e">
        <f t="shared" si="2108"/>
        <v>#DIV/0!</v>
      </c>
      <c r="AT222" s="23" t="e">
        <f t="shared" si="2108"/>
        <v>#DIV/0!</v>
      </c>
      <c r="AU222" s="23" t="e">
        <f t="shared" si="2108"/>
        <v>#DIV/0!</v>
      </c>
      <c r="AV222" s="23" t="e">
        <f t="shared" si="2108"/>
        <v>#DIV/0!</v>
      </c>
      <c r="AW222" s="23" t="e">
        <f t="shared" si="2108"/>
        <v>#DIV/0!</v>
      </c>
      <c r="AX222" s="23" t="e">
        <f t="shared" si="2108"/>
        <v>#DIV/0!</v>
      </c>
      <c r="AY222" s="23" t="e">
        <f t="shared" si="2108"/>
        <v>#DIV/0!</v>
      </c>
      <c r="AZ222" s="23" t="e">
        <f t="shared" si="2108"/>
        <v>#DIV/0!</v>
      </c>
      <c r="BA222" s="23" t="e">
        <f t="shared" si="2108"/>
        <v>#DIV/0!</v>
      </c>
      <c r="BB222" s="23" t="e">
        <f t="shared" si="2108"/>
        <v>#DIV/0!</v>
      </c>
      <c r="BC222" s="23" t="e">
        <f t="shared" si="2108"/>
        <v>#DIV/0!</v>
      </c>
      <c r="BD222" s="23" t="e">
        <f t="shared" si="2108"/>
        <v>#DIV/0!</v>
      </c>
      <c r="BE222" s="23" t="e">
        <f t="shared" si="2108"/>
        <v>#DIV/0!</v>
      </c>
      <c r="BF222" s="23" t="e">
        <f t="shared" si="2108"/>
        <v>#DIV/0!</v>
      </c>
      <c r="BG222" s="23" t="e">
        <f t="shared" si="2108"/>
        <v>#DIV/0!</v>
      </c>
      <c r="BH222" s="23" t="e">
        <f t="shared" si="2108"/>
        <v>#DIV/0!</v>
      </c>
      <c r="BI222" s="23">
        <f t="shared" si="2108"/>
        <v>189.82199999999992</v>
      </c>
      <c r="BJ222" s="23">
        <f t="shared" si="2108"/>
        <v>454.70999999999958</v>
      </c>
      <c r="BK222" s="23">
        <f t="shared" si="2108"/>
        <v>503.22911231756962</v>
      </c>
      <c r="BL222" s="23">
        <f t="shared" si="2108"/>
        <v>454.21700000000106</v>
      </c>
      <c r="BM222" s="23">
        <f t="shared" si="2108"/>
        <v>526.72455478115864</v>
      </c>
      <c r="BN222" s="23">
        <f t="shared" si="2108"/>
        <v>499.81000000000108</v>
      </c>
      <c r="BO222" s="23">
        <f t="shared" si="2108"/>
        <v>431.28600054352239</v>
      </c>
      <c r="BP222" s="23">
        <f t="shared" si="2108"/>
        <v>517.47999999999956</v>
      </c>
      <c r="BQ222" s="23">
        <f t="shared" si="2108"/>
        <v>534.35030584380092</v>
      </c>
      <c r="BR222" s="23">
        <f t="shared" si="2108"/>
        <v>290.95000000000033</v>
      </c>
      <c r="BS222" s="23">
        <f t="shared" si="2108"/>
        <v>89.716650592873236</v>
      </c>
      <c r="BT222" s="23">
        <f t="shared" si="2108"/>
        <v>427.75999999999925</v>
      </c>
      <c r="BU222" s="23">
        <f t="shared" si="2108"/>
        <v>22.365732817953301</v>
      </c>
      <c r="BV222" s="23">
        <f t="shared" si="2108"/>
        <v>504.04000000000048</v>
      </c>
      <c r="BW222" s="23">
        <f t="shared" si="2108"/>
        <v>228.16562925408243</v>
      </c>
      <c r="BX222" s="23">
        <f t="shared" si="2108"/>
        <v>478.69999999999993</v>
      </c>
      <c r="BY222" s="23">
        <f t="shared" si="2108"/>
        <v>555.39993859733295</v>
      </c>
      <c r="BZ222" s="23">
        <f t="shared" si="2108"/>
        <v>95.179999999999382</v>
      </c>
      <c r="CA222" s="23">
        <f t="shared" si="2108"/>
        <v>-684.5322910776872</v>
      </c>
      <c r="CB222" s="23">
        <f t="shared" si="2108"/>
        <v>98.970000000000937</v>
      </c>
      <c r="CC222" s="23">
        <f t="shared" si="2108"/>
        <v>-112.76205182220373</v>
      </c>
      <c r="CD222" s="23">
        <f t="shared" si="2108"/>
        <v>339.18999999999937</v>
      </c>
      <c r="CE222" s="23">
        <f t="shared" ref="CE222:CF222" si="2109">CE221+CE217+CE213+CE211</f>
        <v>192.71182188606261</v>
      </c>
      <c r="CF222" s="23">
        <f t="shared" si="2109"/>
        <v>557.92000000000087</v>
      </c>
      <c r="CG222" s="23">
        <f t="shared" ref="CG222:CH222" si="2110">CG221+CG217+CG213+CG211</f>
        <v>1055.2228431134699</v>
      </c>
      <c r="CH222" s="23">
        <f t="shared" si="2110"/>
        <v>710.94999999999982</v>
      </c>
      <c r="CI222" s="23">
        <f t="shared" ref="CI222:CJ222" si="2111">CI221+CI217+CI213+CI211</f>
        <v>1080.8679391928099</v>
      </c>
      <c r="CJ222" s="23">
        <f t="shared" si="2111"/>
        <v>440.45000000000039</v>
      </c>
      <c r="CK222" s="23">
        <f t="shared" ref="CK222:DB222" si="2112">CK221+CK217+CK213+CK211</f>
        <v>213.20246768843725</v>
      </c>
      <c r="CL222" s="23">
        <f t="shared" si="2112"/>
        <v>534.39999999999964</v>
      </c>
      <c r="CM222" s="24">
        <f t="shared" si="2112"/>
        <v>318.73096928844819</v>
      </c>
      <c r="CN222" s="24">
        <f t="shared" si="2112"/>
        <v>554.34395432945985</v>
      </c>
      <c r="CO222" s="24">
        <f t="shared" si="2112"/>
        <v>556.65933622465013</v>
      </c>
      <c r="CP222" s="24">
        <f t="shared" si="2112"/>
        <v>551.940346973342</v>
      </c>
      <c r="CQ222" s="24">
        <f t="shared" si="2112"/>
        <v>483.89946466879104</v>
      </c>
      <c r="CR222" s="24">
        <f t="shared" si="2112"/>
        <v>796.4094079262527</v>
      </c>
      <c r="CS222" s="24">
        <f t="shared" si="2112"/>
        <v>807.52241807917915</v>
      </c>
      <c r="CT222" s="24">
        <f t="shared" si="2112"/>
        <v>763.56440833178624</v>
      </c>
      <c r="CU222" s="24">
        <f t="shared" si="2112"/>
        <v>730.70350285250925</v>
      </c>
      <c r="CV222" s="24">
        <f t="shared" si="2112"/>
        <v>1089.7466487878257</v>
      </c>
      <c r="CW222" s="24">
        <f t="shared" si="2112"/>
        <v>1096.9342177607805</v>
      </c>
      <c r="CX222" s="24">
        <f t="shared" si="2112"/>
        <v>1039.7229945072277</v>
      </c>
      <c r="CY222" s="24">
        <f t="shared" si="2112"/>
        <v>1007.3367040558178</v>
      </c>
      <c r="CZ222" s="24">
        <f t="shared" si="2112"/>
        <v>1413.3042080317641</v>
      </c>
      <c r="DA222" s="24">
        <f t="shared" si="2112"/>
        <v>1413.8370895999908</v>
      </c>
      <c r="DB222" s="24">
        <f t="shared" si="2112"/>
        <v>1341.0439610363571</v>
      </c>
      <c r="DE222" s="123"/>
      <c r="DF222" s="23">
        <v>-1187.5771739193769</v>
      </c>
    </row>
    <row r="223" spans="1:110" s="28" customFormat="1" x14ac:dyDescent="0.2">
      <c r="A223" s="28" t="s">
        <v>444</v>
      </c>
      <c r="C223" s="28">
        <f t="shared" ref="C223:W223" si="2113">C222-C173</f>
        <v>0</v>
      </c>
      <c r="D223" s="28">
        <f t="shared" si="2113"/>
        <v>0</v>
      </c>
      <c r="E223" s="28">
        <f t="shared" si="2113"/>
        <v>0</v>
      </c>
      <c r="F223" s="28">
        <f t="shared" si="2113"/>
        <v>0</v>
      </c>
      <c r="G223" s="28">
        <f t="shared" si="2113"/>
        <v>0</v>
      </c>
      <c r="H223" s="28">
        <f t="shared" si="2113"/>
        <v>0</v>
      </c>
      <c r="I223" s="28">
        <f t="shared" si="2113"/>
        <v>0</v>
      </c>
      <c r="J223" s="28">
        <f>J222-J173</f>
        <v>0</v>
      </c>
      <c r="K223" s="28">
        <f t="shared" si="2113"/>
        <v>0</v>
      </c>
      <c r="L223" s="28">
        <f t="shared" si="2113"/>
        <v>0</v>
      </c>
      <c r="M223" s="28">
        <f t="shared" si="2113"/>
        <v>0</v>
      </c>
      <c r="N223" s="28">
        <f t="shared" si="2113"/>
        <v>0</v>
      </c>
      <c r="O223" s="28">
        <f t="shared" si="2113"/>
        <v>0</v>
      </c>
      <c r="P223" s="28">
        <f t="shared" si="2113"/>
        <v>0</v>
      </c>
      <c r="Q223" s="28">
        <f t="shared" si="2113"/>
        <v>0</v>
      </c>
      <c r="R223" s="28">
        <f t="shared" si="2113"/>
        <v>0</v>
      </c>
      <c r="S223" s="28">
        <f t="shared" si="2113"/>
        <v>4.8316906031686813E-13</v>
      </c>
      <c r="T223" s="28">
        <f t="shared" si="2113"/>
        <v>0</v>
      </c>
      <c r="U223" s="28">
        <f t="shared" si="2113"/>
        <v>-8.5265128291212022E-13</v>
      </c>
      <c r="V223" s="28">
        <f t="shared" si="2113"/>
        <v>0</v>
      </c>
      <c r="W223" s="28">
        <f t="shared" si="2113"/>
        <v>5.1159076974727213E-13</v>
      </c>
      <c r="X223" s="28">
        <f t="shared" ref="X223:Y223" si="2114">X222-X173</f>
        <v>5.1159076974727213E-13</v>
      </c>
      <c r="Y223" s="28">
        <f t="shared" si="2114"/>
        <v>-6.2527760746888816E-13</v>
      </c>
      <c r="Z223" s="28">
        <f t="shared" ref="Z223:AA223" si="2115">Z222-Z173</f>
        <v>0</v>
      </c>
      <c r="AA223" s="28">
        <f t="shared" si="2115"/>
        <v>0</v>
      </c>
      <c r="AB223" s="30">
        <f t="shared" ref="AA223:AD223" si="2116">AB222-AB173</f>
        <v>0</v>
      </c>
      <c r="AC223" s="30">
        <f t="shared" si="2116"/>
        <v>0</v>
      </c>
      <c r="AD223" s="30">
        <f t="shared" si="2116"/>
        <v>0</v>
      </c>
      <c r="AE223" s="30">
        <f t="shared" ref="AE223" si="2117">AE222-AE173</f>
        <v>0</v>
      </c>
      <c r="AI223" s="28">
        <f t="shared" ref="AI223" si="2118">AI222-AI173</f>
        <v>0</v>
      </c>
      <c r="AJ223" s="28">
        <f t="shared" ref="AJ223:AL223" si="2119">AJ222-AJ173</f>
        <v>0</v>
      </c>
      <c r="AK223" s="28" t="e">
        <f t="shared" si="2119"/>
        <v>#DIV/0!</v>
      </c>
      <c r="AL223" s="28" t="e">
        <f t="shared" si="2119"/>
        <v>#DIV/0!</v>
      </c>
      <c r="AM223" s="28" t="e">
        <f t="shared" ref="AM223" si="2120">AM222-AM173</f>
        <v>#DIV/0!</v>
      </c>
      <c r="AN223" s="28" t="e">
        <f t="shared" ref="AN223:CD223" si="2121">AN222-AN173</f>
        <v>#DIV/0!</v>
      </c>
      <c r="AO223" s="28" t="e">
        <f t="shared" si="2121"/>
        <v>#DIV/0!</v>
      </c>
      <c r="AP223" s="28" t="e">
        <f t="shared" si="2121"/>
        <v>#DIV/0!</v>
      </c>
      <c r="AQ223" s="28" t="e">
        <f t="shared" si="2121"/>
        <v>#DIV/0!</v>
      </c>
      <c r="AR223" s="28" t="e">
        <f t="shared" si="2121"/>
        <v>#DIV/0!</v>
      </c>
      <c r="AS223" s="28" t="e">
        <f t="shared" si="2121"/>
        <v>#DIV/0!</v>
      </c>
      <c r="AT223" s="28" t="e">
        <f t="shared" si="2121"/>
        <v>#DIV/0!</v>
      </c>
      <c r="AU223" s="28" t="e">
        <f t="shared" si="2121"/>
        <v>#DIV/0!</v>
      </c>
      <c r="AV223" s="28" t="e">
        <f t="shared" si="2121"/>
        <v>#DIV/0!</v>
      </c>
      <c r="AW223" s="28" t="e">
        <f t="shared" si="2121"/>
        <v>#DIV/0!</v>
      </c>
      <c r="AX223" s="28" t="e">
        <f t="shared" si="2121"/>
        <v>#DIV/0!</v>
      </c>
      <c r="AY223" s="28" t="e">
        <f t="shared" si="2121"/>
        <v>#DIV/0!</v>
      </c>
      <c r="AZ223" s="28" t="e">
        <f t="shared" si="2121"/>
        <v>#DIV/0!</v>
      </c>
      <c r="BA223" s="28" t="e">
        <f t="shared" si="2121"/>
        <v>#DIV/0!</v>
      </c>
      <c r="BB223" s="28" t="e">
        <f t="shared" si="2121"/>
        <v>#DIV/0!</v>
      </c>
      <c r="BC223" s="28" t="e">
        <f t="shared" si="2121"/>
        <v>#DIV/0!</v>
      </c>
      <c r="BD223" s="28" t="e">
        <f t="shared" si="2121"/>
        <v>#DIV/0!</v>
      </c>
      <c r="BE223" s="28" t="e">
        <f t="shared" si="2121"/>
        <v>#DIV/0!</v>
      </c>
      <c r="BF223" s="28" t="e">
        <f t="shared" si="2121"/>
        <v>#DIV/0!</v>
      </c>
      <c r="BG223" s="28" t="e">
        <f t="shared" si="2121"/>
        <v>#DIV/0!</v>
      </c>
      <c r="BH223" s="28" t="e">
        <f t="shared" si="2121"/>
        <v>#DIV/0!</v>
      </c>
      <c r="BI223" s="28">
        <f t="shared" si="2121"/>
        <v>0</v>
      </c>
      <c r="BJ223" s="28">
        <f t="shared" si="2121"/>
        <v>0</v>
      </c>
      <c r="BK223" s="28">
        <f t="shared" si="2121"/>
        <v>0</v>
      </c>
      <c r="BL223" s="28">
        <f t="shared" si="2121"/>
        <v>1.0800249583553523E-12</v>
      </c>
      <c r="BM223" s="28">
        <f t="shared" si="2121"/>
        <v>0</v>
      </c>
      <c r="BN223" s="28">
        <f t="shared" si="2121"/>
        <v>1.0800249583553523E-12</v>
      </c>
      <c r="BO223" s="28">
        <f t="shared" si="2121"/>
        <v>0</v>
      </c>
      <c r="BP223" s="28">
        <f t="shared" si="2121"/>
        <v>0</v>
      </c>
      <c r="BQ223" s="28">
        <f t="shared" si="2121"/>
        <v>0</v>
      </c>
      <c r="BR223" s="28">
        <f t="shared" si="2121"/>
        <v>0</v>
      </c>
      <c r="BS223" s="28">
        <f t="shared" si="2121"/>
        <v>0</v>
      </c>
      <c r="BT223" s="28">
        <f t="shared" si="2121"/>
        <v>-7.3896444519050419E-13</v>
      </c>
      <c r="BU223" s="28">
        <f t="shared" si="2121"/>
        <v>0</v>
      </c>
      <c r="BV223" s="28">
        <f t="shared" si="2121"/>
        <v>4.5474735088646412E-13</v>
      </c>
      <c r="BW223" s="28">
        <f t="shared" si="2121"/>
        <v>0</v>
      </c>
      <c r="BX223" s="28">
        <f t="shared" si="2121"/>
        <v>0</v>
      </c>
      <c r="BY223" s="28">
        <f t="shared" si="2121"/>
        <v>0</v>
      </c>
      <c r="BZ223" s="28">
        <f t="shared" si="2121"/>
        <v>-6.2527760746888816E-13</v>
      </c>
      <c r="CA223" s="28">
        <f t="shared" si="2121"/>
        <v>0</v>
      </c>
      <c r="CB223" s="28">
        <f t="shared" si="2121"/>
        <v>9.3791641120333225E-13</v>
      </c>
      <c r="CC223" s="28">
        <f t="shared" si="2121"/>
        <v>0</v>
      </c>
      <c r="CD223" s="28">
        <f t="shared" si="2121"/>
        <v>-6.2527760746888816E-13</v>
      </c>
      <c r="CE223" s="28">
        <f t="shared" ref="CE223:CF223" si="2122">CE222-CE173</f>
        <v>0</v>
      </c>
      <c r="CF223" s="28">
        <f t="shared" si="2122"/>
        <v>0</v>
      </c>
      <c r="CG223" s="28">
        <f t="shared" ref="CG223:CH223" si="2123">CG222-CG173</f>
        <v>0</v>
      </c>
      <c r="CH223" s="28">
        <f t="shared" si="2123"/>
        <v>0</v>
      </c>
      <c r="CI223" s="28">
        <f t="shared" ref="CI223:CJ223" si="2124">CI222-CI173</f>
        <v>0</v>
      </c>
      <c r="CJ223" s="28">
        <f t="shared" si="2124"/>
        <v>0</v>
      </c>
      <c r="CK223" s="28">
        <f t="shared" ref="CK223:DB223" si="2125">CK222-CK173</f>
        <v>0</v>
      </c>
      <c r="CL223" s="28">
        <f t="shared" si="2125"/>
        <v>0</v>
      </c>
      <c r="CM223" s="30">
        <f t="shared" si="2125"/>
        <v>0</v>
      </c>
      <c r="CN223" s="30">
        <f t="shared" si="2125"/>
        <v>0</v>
      </c>
      <c r="CO223" s="30">
        <f t="shared" si="2125"/>
        <v>0</v>
      </c>
      <c r="CP223" s="30">
        <f t="shared" si="2125"/>
        <v>0</v>
      </c>
      <c r="CQ223" s="30">
        <f t="shared" si="2125"/>
        <v>0</v>
      </c>
      <c r="CR223" s="30">
        <f t="shared" si="2125"/>
        <v>0</v>
      </c>
      <c r="CS223" s="30">
        <f t="shared" si="2125"/>
        <v>0</v>
      </c>
      <c r="CT223" s="30">
        <f t="shared" si="2125"/>
        <v>0</v>
      </c>
      <c r="CU223" s="30">
        <f t="shared" si="2125"/>
        <v>0</v>
      </c>
      <c r="CV223" s="30">
        <f t="shared" si="2125"/>
        <v>0</v>
      </c>
      <c r="CW223" s="30">
        <f t="shared" si="2125"/>
        <v>0</v>
      </c>
      <c r="CX223" s="30">
        <f t="shared" si="2125"/>
        <v>0</v>
      </c>
      <c r="CY223" s="30">
        <f t="shared" si="2125"/>
        <v>0</v>
      </c>
      <c r="CZ223" s="30">
        <f t="shared" si="2125"/>
        <v>0</v>
      </c>
      <c r="DA223" s="30">
        <f t="shared" si="2125"/>
        <v>0</v>
      </c>
      <c r="DB223" s="30">
        <f t="shared" si="2125"/>
        <v>0</v>
      </c>
      <c r="DE223" s="139"/>
      <c r="DF223" s="28">
        <v>0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2" customFormat="1" x14ac:dyDescent="0.2">
      <c r="A225" s="22" t="s">
        <v>96</v>
      </c>
      <c r="C225" s="22">
        <f t="shared" ref="C225:W225" si="2126">C211+C213</f>
        <v>0</v>
      </c>
      <c r="D225" s="22">
        <f t="shared" si="2126"/>
        <v>0</v>
      </c>
      <c r="E225" s="22">
        <f t="shared" si="2126"/>
        <v>0</v>
      </c>
      <c r="F225" s="22">
        <f t="shared" si="2126"/>
        <v>0</v>
      </c>
      <c r="G225" s="22">
        <f t="shared" si="2126"/>
        <v>0</v>
      </c>
      <c r="H225" s="22">
        <f t="shared" si="2126"/>
        <v>0</v>
      </c>
      <c r="I225" s="22">
        <f t="shared" si="2126"/>
        <v>0</v>
      </c>
      <c r="J225" s="22">
        <f>J211+J213</f>
        <v>0</v>
      </c>
      <c r="K225" s="22">
        <f t="shared" si="2126"/>
        <v>0</v>
      </c>
      <c r="L225" s="22">
        <f t="shared" si="2126"/>
        <v>0</v>
      </c>
      <c r="M225" s="22">
        <f t="shared" si="2126"/>
        <v>0</v>
      </c>
      <c r="N225" s="22">
        <f t="shared" si="2126"/>
        <v>0</v>
      </c>
      <c r="O225" s="22">
        <f t="shared" si="2126"/>
        <v>0</v>
      </c>
      <c r="P225" s="22">
        <f t="shared" si="2126"/>
        <v>0</v>
      </c>
      <c r="Q225" s="22">
        <f t="shared" si="2126"/>
        <v>0</v>
      </c>
      <c r="R225" s="22">
        <f t="shared" si="2126"/>
        <v>0</v>
      </c>
      <c r="S225" s="22">
        <f t="shared" si="2126"/>
        <v>178.45500000000055</v>
      </c>
      <c r="T225" s="22">
        <f t="shared" si="2126"/>
        <v>-1697.8770000000002</v>
      </c>
      <c r="U225" s="22">
        <f t="shared" si="2126"/>
        <v>1123.8169999999989</v>
      </c>
      <c r="V225" s="22">
        <f t="shared" si="2126"/>
        <v>676.27000000000032</v>
      </c>
      <c r="W225" s="22">
        <f t="shared" si="2126"/>
        <v>-911.13</v>
      </c>
      <c r="X225" s="22">
        <f t="shared" ref="X225:Y225" si="2127">X211+X213</f>
        <v>-2012.1699999999998</v>
      </c>
      <c r="Y225" s="22">
        <f t="shared" si="2127"/>
        <v>375.06999999999937</v>
      </c>
      <c r="Z225" s="22">
        <f t="shared" ref="Z225:AA225" si="2128">Z211+Z213</f>
        <v>-11.109999999999317</v>
      </c>
      <c r="AA225" s="22">
        <f t="shared" si="2128"/>
        <v>-405.00999999999942</v>
      </c>
      <c r="AB225" s="21">
        <f t="shared" ref="AA225:AD225" si="2129">AB211+AB213</f>
        <v>17.540346973342018</v>
      </c>
      <c r="AC225" s="21">
        <f t="shared" si="2129"/>
        <v>211.62406135844373</v>
      </c>
      <c r="AD225" s="21">
        <f t="shared" si="2129"/>
        <v>276.1585861754395</v>
      </c>
      <c r="AE225" s="21">
        <f t="shared" ref="AE225" si="2130">AE211+AE213</f>
        <v>301.32096652912981</v>
      </c>
      <c r="AI225" s="22">
        <f t="shared" ref="AI225" si="2131">AI211+AI213</f>
        <v>0</v>
      </c>
      <c r="AJ225" s="22">
        <f t="shared" ref="AJ225:AL225" si="2132">AJ211+AJ213</f>
        <v>0</v>
      </c>
      <c r="AK225" s="22" t="e">
        <f t="shared" si="2132"/>
        <v>#DIV/0!</v>
      </c>
      <c r="AL225" s="22" t="e">
        <f t="shared" si="2132"/>
        <v>#DIV/0!</v>
      </c>
      <c r="AM225" s="22" t="e">
        <f t="shared" ref="AM225" si="2133">AM211+AM213</f>
        <v>#DIV/0!</v>
      </c>
      <c r="AN225" s="22" t="e">
        <f t="shared" ref="AN225:CD225" si="2134">AN211+AN213</f>
        <v>#DIV/0!</v>
      </c>
      <c r="AO225" s="22" t="e">
        <f t="shared" si="2134"/>
        <v>#DIV/0!</v>
      </c>
      <c r="AP225" s="22" t="e">
        <f t="shared" si="2134"/>
        <v>#DIV/0!</v>
      </c>
      <c r="AQ225" s="22" t="e">
        <f t="shared" si="2134"/>
        <v>#DIV/0!</v>
      </c>
      <c r="AR225" s="22" t="e">
        <f t="shared" si="2134"/>
        <v>#DIV/0!</v>
      </c>
      <c r="AS225" s="22" t="e">
        <f t="shared" si="2134"/>
        <v>#DIV/0!</v>
      </c>
      <c r="AT225" s="22" t="e">
        <f t="shared" si="2134"/>
        <v>#DIV/0!</v>
      </c>
      <c r="AU225" s="22" t="e">
        <f t="shared" si="2134"/>
        <v>#DIV/0!</v>
      </c>
      <c r="AV225" s="22" t="e">
        <f t="shared" si="2134"/>
        <v>#DIV/0!</v>
      </c>
      <c r="AW225" s="22" t="e">
        <f t="shared" si="2134"/>
        <v>#DIV/0!</v>
      </c>
      <c r="AX225" s="22" t="e">
        <f t="shared" si="2134"/>
        <v>#DIV/0!</v>
      </c>
      <c r="AY225" s="22" t="e">
        <f t="shared" si="2134"/>
        <v>#DIV/0!</v>
      </c>
      <c r="AZ225" s="22" t="e">
        <f t="shared" si="2134"/>
        <v>#DIV/0!</v>
      </c>
      <c r="BA225" s="22" t="e">
        <f t="shared" si="2134"/>
        <v>#DIV/0!</v>
      </c>
      <c r="BB225" s="22" t="e">
        <f t="shared" si="2134"/>
        <v>#DIV/0!</v>
      </c>
      <c r="BC225" s="22" t="e">
        <f t="shared" si="2134"/>
        <v>#DIV/0!</v>
      </c>
      <c r="BD225" s="22" t="e">
        <f t="shared" si="2134"/>
        <v>#DIV/0!</v>
      </c>
      <c r="BE225" s="22" t="e">
        <f t="shared" si="2134"/>
        <v>#DIV/0!</v>
      </c>
      <c r="BF225" s="22" t="e">
        <f t="shared" si="2134"/>
        <v>#DIV/0!</v>
      </c>
      <c r="BG225" s="22" t="e">
        <f t="shared" si="2134"/>
        <v>#DIV/0!</v>
      </c>
      <c r="BH225" s="22" t="e">
        <f t="shared" si="2134"/>
        <v>#DIV/0!</v>
      </c>
      <c r="BI225" s="22">
        <f t="shared" si="2134"/>
        <v>189.82199999999992</v>
      </c>
      <c r="BJ225" s="22">
        <f t="shared" si="2134"/>
        <v>-2314.6980000000003</v>
      </c>
      <c r="BK225" s="22">
        <f t="shared" si="2134"/>
        <v>48.519112317569736</v>
      </c>
      <c r="BL225" s="22">
        <f t="shared" si="2134"/>
        <v>-90.508112317568802</v>
      </c>
      <c r="BM225" s="22">
        <f t="shared" si="2134"/>
        <v>72.50755478115866</v>
      </c>
      <c r="BN225" s="22">
        <f t="shared" si="2134"/>
        <v>1093.2994452188425</v>
      </c>
      <c r="BO225" s="22">
        <f t="shared" si="2134"/>
        <v>-68.52399945647764</v>
      </c>
      <c r="BP225" s="22">
        <f t="shared" si="2134"/>
        <v>433.99399945647735</v>
      </c>
      <c r="BQ225" s="22">
        <f t="shared" si="2134"/>
        <v>16.87030584380085</v>
      </c>
      <c r="BR225" s="22">
        <f t="shared" si="2134"/>
        <v>293.92969415619945</v>
      </c>
      <c r="BS225" s="22">
        <f t="shared" si="2134"/>
        <v>-201.23334940712675</v>
      </c>
      <c r="BT225" s="22">
        <f t="shared" si="2134"/>
        <v>-8.6066505928737342</v>
      </c>
      <c r="BU225" s="22">
        <f t="shared" si="2134"/>
        <v>-405.39426718204669</v>
      </c>
      <c r="BV225" s="22">
        <f t="shared" si="2134"/>
        <v>-295.89573281795333</v>
      </c>
      <c r="BW225" s="22">
        <f t="shared" si="2134"/>
        <v>-275.87437074591759</v>
      </c>
      <c r="BX225" s="22">
        <f t="shared" si="2134"/>
        <v>-709.75562925408235</v>
      </c>
      <c r="BY225" s="22">
        <f t="shared" si="2134"/>
        <v>76.699938597332931</v>
      </c>
      <c r="BZ225" s="22">
        <f t="shared" si="2134"/>
        <v>-1103.2399385973335</v>
      </c>
      <c r="CA225" s="22">
        <f t="shared" si="2134"/>
        <v>-779.71229107768715</v>
      </c>
      <c r="CB225" s="22">
        <f t="shared" si="2134"/>
        <v>645.39229107768801</v>
      </c>
      <c r="CC225" s="22">
        <f t="shared" si="2134"/>
        <v>-211.7320518222038</v>
      </c>
      <c r="CD225" s="22">
        <f t="shared" si="2134"/>
        <v>721.09205182220342</v>
      </c>
      <c r="CE225" s="22">
        <f t="shared" ref="CE225:CF225" si="2135">CE211+CE213</f>
        <v>-146.47817811393739</v>
      </c>
      <c r="CF225" s="22">
        <f t="shared" si="2135"/>
        <v>-17.131821886061726</v>
      </c>
      <c r="CG225" s="22">
        <f t="shared" ref="CG225:CH225" si="2136">CG211+CG213</f>
        <v>497.30284311346998</v>
      </c>
      <c r="CH225" s="22">
        <f t="shared" si="2136"/>
        <v>-344.80284311346992</v>
      </c>
      <c r="CI225" s="22">
        <f t="shared" ref="CI225:CJ225" si="2137">CI211+CI213</f>
        <v>369.91793919280991</v>
      </c>
      <c r="CJ225" s="22">
        <f t="shared" si="2137"/>
        <v>-839.85793919280957</v>
      </c>
      <c r="CK225" s="22">
        <f t="shared" ref="CK225:DB225" si="2138">CK211+CK213</f>
        <v>-227.24753231156274</v>
      </c>
      <c r="CL225" s="22">
        <f t="shared" si="2138"/>
        <v>292.17753231156252</v>
      </c>
      <c r="CM225" s="21">
        <f t="shared" si="2138"/>
        <v>-215.66903071155178</v>
      </c>
      <c r="CN225" s="21">
        <f t="shared" si="2138"/>
        <v>235.61298504101165</v>
      </c>
      <c r="CO225" s="21">
        <f t="shared" si="2138"/>
        <v>2.3153818951904128</v>
      </c>
      <c r="CP225" s="21">
        <f t="shared" si="2138"/>
        <v>-4.7189892513080451</v>
      </c>
      <c r="CQ225" s="21">
        <f t="shared" si="2138"/>
        <v>-68.040882304550962</v>
      </c>
      <c r="CR225" s="21">
        <f t="shared" si="2138"/>
        <v>312.50994325746166</v>
      </c>
      <c r="CS225" s="21">
        <f t="shared" si="2138"/>
        <v>11.113010152926421</v>
      </c>
      <c r="CT225" s="21">
        <f t="shared" si="2138"/>
        <v>-43.95800974739295</v>
      </c>
      <c r="CU225" s="21">
        <f t="shared" si="2138"/>
        <v>-32.860905479277029</v>
      </c>
      <c r="CV225" s="21">
        <f t="shared" si="2138"/>
        <v>359.04314593531643</v>
      </c>
      <c r="CW225" s="21">
        <f t="shared" si="2138"/>
        <v>7.1875689729546703</v>
      </c>
      <c r="CX225" s="21">
        <f t="shared" si="2138"/>
        <v>-57.211223253552873</v>
      </c>
      <c r="CY225" s="21">
        <f t="shared" si="2138"/>
        <v>-32.386290451409657</v>
      </c>
      <c r="CZ225" s="21">
        <f t="shared" si="2138"/>
        <v>405.96750397594622</v>
      </c>
      <c r="DA225" s="21">
        <f t="shared" si="2138"/>
        <v>0.53288156822671962</v>
      </c>
      <c r="DB225" s="21">
        <f t="shared" si="2138"/>
        <v>-72.793128563633644</v>
      </c>
      <c r="DE225" s="126"/>
      <c r="DF225" s="22">
        <v>-1400.779641607814</v>
      </c>
    </row>
    <row r="226" spans="1:110" x14ac:dyDescent="0.2">
      <c r="A226" s="152" t="s">
        <v>496</v>
      </c>
      <c r="AA226" s="2"/>
      <c r="CL226" s="2"/>
    </row>
    <row r="227" spans="1:110" x14ac:dyDescent="0.2">
      <c r="AA227" s="2"/>
      <c r="CL227" s="2"/>
    </row>
    <row r="228" spans="1:110" s="7" customFormat="1" hidden="1" outlineLevel="1" x14ac:dyDescent="0.2">
      <c r="A228" s="61" t="s">
        <v>97</v>
      </c>
      <c r="AB228" s="77"/>
      <c r="AC228" s="77"/>
      <c r="AD228" s="77"/>
      <c r="AE228" s="77"/>
      <c r="CM228" s="50"/>
      <c r="CN228" s="50"/>
      <c r="CO228" s="50"/>
      <c r="CP228" s="50"/>
      <c r="CQ228" s="50"/>
      <c r="CR228" s="50"/>
      <c r="CS228" s="50"/>
      <c r="CT228" s="50"/>
      <c r="CU228" s="50"/>
      <c r="CV228" s="50"/>
      <c r="CW228" s="50"/>
      <c r="CX228" s="50"/>
      <c r="CY228" s="50"/>
      <c r="CZ228" s="50"/>
      <c r="DA228" s="50"/>
      <c r="DB228" s="50"/>
      <c r="DE228" s="138"/>
    </row>
    <row r="229" spans="1:110" s="62" customFormat="1" hidden="1" outlineLevel="1" x14ac:dyDescent="0.2">
      <c r="A229" s="62" t="s">
        <v>98</v>
      </c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2" t="s">
        <v>99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231" s="62" t="s">
        <v>100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11" customFormat="1" collapsed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83" customFormat="1" x14ac:dyDescent="0.2">
      <c r="A236" s="82" t="s">
        <v>101</v>
      </c>
      <c r="AB236" s="72"/>
      <c r="AC236" s="72"/>
      <c r="AD236" s="72"/>
      <c r="AE236" s="72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6" customFormat="1" x14ac:dyDescent="0.2">
      <c r="A237" s="66" t="s">
        <v>471</v>
      </c>
      <c r="AB237" s="50"/>
      <c r="AC237" s="50"/>
      <c r="AD237" s="50"/>
      <c r="AE237" s="50"/>
      <c r="AL237" s="66">
        <f t="shared" ref="AL237:BQ237" si="2139">SUM(AI17:AL17)</f>
        <v>0</v>
      </c>
      <c r="AM237" s="66">
        <f t="shared" si="2139"/>
        <v>0</v>
      </c>
      <c r="AN237" s="66">
        <f t="shared" si="2139"/>
        <v>0</v>
      </c>
      <c r="AO237" s="66">
        <f t="shared" si="2139"/>
        <v>0</v>
      </c>
      <c r="AP237" s="66">
        <f t="shared" si="2139"/>
        <v>0</v>
      </c>
      <c r="AQ237" s="66">
        <f t="shared" si="2139"/>
        <v>0</v>
      </c>
      <c r="AR237" s="66">
        <f t="shared" si="2139"/>
        <v>0</v>
      </c>
      <c r="AS237" s="66">
        <f t="shared" si="2139"/>
        <v>0</v>
      </c>
      <c r="AT237" s="66">
        <f t="shared" si="2139"/>
        <v>0</v>
      </c>
      <c r="AU237" s="66">
        <f t="shared" si="2139"/>
        <v>0</v>
      </c>
      <c r="AV237" s="66">
        <f t="shared" si="2139"/>
        <v>0</v>
      </c>
      <c r="AW237" s="66">
        <f t="shared" si="2139"/>
        <v>0</v>
      </c>
      <c r="AX237" s="66">
        <f t="shared" si="2139"/>
        <v>0</v>
      </c>
      <c r="AY237" s="66">
        <f t="shared" si="2139"/>
        <v>0</v>
      </c>
      <c r="AZ237" s="66">
        <f t="shared" si="2139"/>
        <v>0</v>
      </c>
      <c r="BA237" s="66">
        <f t="shared" si="2139"/>
        <v>0</v>
      </c>
      <c r="BB237" s="66">
        <f t="shared" si="2139"/>
        <v>0</v>
      </c>
      <c r="BC237" s="66">
        <f t="shared" si="2139"/>
        <v>0</v>
      </c>
      <c r="BD237" s="66">
        <f t="shared" si="2139"/>
        <v>0</v>
      </c>
      <c r="BE237" s="66">
        <f t="shared" si="2139"/>
        <v>0</v>
      </c>
      <c r="BF237" s="66">
        <f t="shared" si="2139"/>
        <v>0</v>
      </c>
      <c r="BG237" s="66">
        <f t="shared" si="2139"/>
        <v>0</v>
      </c>
      <c r="BH237" s="66">
        <f t="shared" si="2139"/>
        <v>2472.509</v>
      </c>
      <c r="BI237" s="66">
        <f t="shared" si="2139"/>
        <v>4116.5209999999997</v>
      </c>
      <c r="BJ237" s="66">
        <f t="shared" si="2139"/>
        <v>6441.7849999999999</v>
      </c>
      <c r="BK237" s="66">
        <f t="shared" si="2139"/>
        <v>7686.7349999999997</v>
      </c>
      <c r="BL237" s="66">
        <f t="shared" si="2139"/>
        <v>6407.5559999999996</v>
      </c>
      <c r="BM237" s="66">
        <f t="shared" si="2139"/>
        <v>5839.9250000000002</v>
      </c>
      <c r="BN237" s="66">
        <f t="shared" si="2139"/>
        <v>5575.2910000000002</v>
      </c>
      <c r="BO237" s="66">
        <f t="shared" si="2139"/>
        <v>5398.241</v>
      </c>
      <c r="BP237" s="66">
        <f t="shared" si="2139"/>
        <v>5541.5410000000002</v>
      </c>
      <c r="BQ237" s="66">
        <f t="shared" si="2139"/>
        <v>5776.8899999999994</v>
      </c>
      <c r="BR237" s="66">
        <f t="shared" ref="BR237:CW237" si="2140">SUM(BO17:BR17)</f>
        <v>5080.8</v>
      </c>
      <c r="BS237" s="66">
        <f t="shared" si="2140"/>
        <v>5207.5300000000007</v>
      </c>
      <c r="BT237" s="66">
        <f t="shared" si="2140"/>
        <v>5309.32</v>
      </c>
      <c r="BU237" s="66">
        <f t="shared" si="2140"/>
        <v>5492.45</v>
      </c>
      <c r="BV237" s="66">
        <f t="shared" si="2140"/>
        <v>5198.9399999999996</v>
      </c>
      <c r="BW237" s="66">
        <f t="shared" si="2140"/>
        <v>5211.24</v>
      </c>
      <c r="BX237" s="66">
        <f t="shared" si="2140"/>
        <v>4085.5099999999998</v>
      </c>
      <c r="BY237" s="66">
        <f t="shared" si="2140"/>
        <v>2997.61</v>
      </c>
      <c r="BZ237" s="66">
        <f t="shared" si="2140"/>
        <v>2015.0100000000002</v>
      </c>
      <c r="CA237" s="66">
        <f t="shared" si="2140"/>
        <v>1323.04</v>
      </c>
      <c r="CB237" s="66">
        <f t="shared" si="2140"/>
        <v>1769.87</v>
      </c>
      <c r="CC237" s="66">
        <f t="shared" si="2140"/>
        <v>1945.79</v>
      </c>
      <c r="CD237" s="66">
        <f t="shared" si="2140"/>
        <v>3035.37</v>
      </c>
      <c r="CE237" s="66">
        <f t="shared" si="2140"/>
        <v>3435.47</v>
      </c>
      <c r="CF237" s="66">
        <f t="shared" si="2140"/>
        <v>3706.4399999999996</v>
      </c>
      <c r="CG237" s="66">
        <f t="shared" si="2140"/>
        <v>4960.7599999999993</v>
      </c>
      <c r="CH237" s="66">
        <f t="shared" si="2140"/>
        <v>6301.8600000000006</v>
      </c>
      <c r="CI237" s="66">
        <f t="shared" si="2140"/>
        <v>7148.43</v>
      </c>
      <c r="CJ237" s="66">
        <f t="shared" si="2140"/>
        <v>7866.5400000000009</v>
      </c>
      <c r="CK237" s="66">
        <f t="shared" si="2140"/>
        <v>8121.55</v>
      </c>
      <c r="CL237" s="66">
        <f t="shared" si="2140"/>
        <v>7548.05</v>
      </c>
      <c r="CM237" s="50">
        <f t="shared" si="2140"/>
        <v>8218.1699662146275</v>
      </c>
      <c r="CN237" s="50">
        <f t="shared" si="2140"/>
        <v>8662.5489014586547</v>
      </c>
      <c r="CO237" s="50">
        <f t="shared" si="2140"/>
        <v>8922.4166452273057</v>
      </c>
      <c r="CP237" s="50">
        <f t="shared" si="2140"/>
        <v>9527.7377996073501</v>
      </c>
      <c r="CQ237" s="50">
        <f t="shared" si="2140"/>
        <v>9943.3405356465191</v>
      </c>
      <c r="CR237" s="50">
        <f t="shared" si="2140"/>
        <v>10270.586686916724</v>
      </c>
      <c r="CS237" s="50">
        <f t="shared" si="2140"/>
        <v>10603.367457840335</v>
      </c>
      <c r="CT237" s="50">
        <f t="shared" si="2140"/>
        <v>11008.901433147657</v>
      </c>
      <c r="CU237" s="50">
        <f t="shared" si="2140"/>
        <v>11386.994201530872</v>
      </c>
      <c r="CV237" s="50">
        <f t="shared" si="2140"/>
        <v>11710.877953139516</v>
      </c>
      <c r="CW237" s="50">
        <f t="shared" si="2140"/>
        <v>12058.61234587786</v>
      </c>
      <c r="CX237" s="50">
        <f t="shared" ref="CX237:DB237" si="2141">SUM(CU17:CX17)</f>
        <v>12447.257963130127</v>
      </c>
      <c r="CY237" s="50">
        <f t="shared" si="2141"/>
        <v>12860.417628184217</v>
      </c>
      <c r="CZ237" s="50">
        <f t="shared" si="2141"/>
        <v>13218.58018948965</v>
      </c>
      <c r="DA237" s="50">
        <f t="shared" si="2141"/>
        <v>13608.133412648433</v>
      </c>
      <c r="DB237" s="50">
        <f t="shared" si="2141"/>
        <v>14047.107819541399</v>
      </c>
      <c r="DE237" s="138"/>
      <c r="DF237" s="66">
        <v>9947.4412747288843</v>
      </c>
    </row>
    <row r="238" spans="1:110" s="66" customFormat="1" x14ac:dyDescent="0.2">
      <c r="A238" s="66" t="s">
        <v>472</v>
      </c>
      <c r="AB238" s="50"/>
      <c r="AC238" s="50"/>
      <c r="AD238" s="50"/>
      <c r="AE238" s="50"/>
      <c r="AL238" s="66">
        <f t="shared" ref="AL238:BQ238" si="2142">SUM(AI35:AL35)</f>
        <v>0</v>
      </c>
      <c r="AM238" s="66">
        <f t="shared" si="2142"/>
        <v>0</v>
      </c>
      <c r="AN238" s="66">
        <f t="shared" si="2142"/>
        <v>0</v>
      </c>
      <c r="AO238" s="66">
        <f t="shared" si="2142"/>
        <v>0</v>
      </c>
      <c r="AP238" s="66">
        <f t="shared" si="2142"/>
        <v>0</v>
      </c>
      <c r="AQ238" s="66">
        <f t="shared" si="2142"/>
        <v>0</v>
      </c>
      <c r="AR238" s="66">
        <f t="shared" si="2142"/>
        <v>0</v>
      </c>
      <c r="AS238" s="66">
        <f t="shared" si="2142"/>
        <v>0</v>
      </c>
      <c r="AT238" s="66">
        <f t="shared" si="2142"/>
        <v>0</v>
      </c>
      <c r="AU238" s="66">
        <f t="shared" si="2142"/>
        <v>0</v>
      </c>
      <c r="AV238" s="66">
        <f t="shared" si="2142"/>
        <v>0</v>
      </c>
      <c r="AW238" s="66">
        <f t="shared" si="2142"/>
        <v>0</v>
      </c>
      <c r="AX238" s="66">
        <f t="shared" si="2142"/>
        <v>0</v>
      </c>
      <c r="AY238" s="66">
        <f t="shared" si="2142"/>
        <v>0</v>
      </c>
      <c r="AZ238" s="66">
        <f t="shared" si="2142"/>
        <v>0</v>
      </c>
      <c r="BA238" s="66">
        <f t="shared" si="2142"/>
        <v>0</v>
      </c>
      <c r="BB238" s="66">
        <f t="shared" si="2142"/>
        <v>0</v>
      </c>
      <c r="BC238" s="66">
        <f t="shared" si="2142"/>
        <v>0</v>
      </c>
      <c r="BD238" s="66">
        <f t="shared" si="2142"/>
        <v>0</v>
      </c>
      <c r="BE238" s="66">
        <f t="shared" si="2142"/>
        <v>0</v>
      </c>
      <c r="BF238" s="66">
        <f t="shared" si="2142"/>
        <v>0</v>
      </c>
      <c r="BG238" s="66">
        <f t="shared" si="2142"/>
        <v>0</v>
      </c>
      <c r="BH238" s="66">
        <f t="shared" si="2142"/>
        <v>29.315999999999832</v>
      </c>
      <c r="BI238" s="66">
        <f t="shared" si="2142"/>
        <v>217.39399999999975</v>
      </c>
      <c r="BJ238" s="66">
        <f t="shared" si="2142"/>
        <v>549.26100000000008</v>
      </c>
      <c r="BK238" s="66">
        <f t="shared" si="2142"/>
        <v>615.29100000000017</v>
      </c>
      <c r="BL238" s="66">
        <f t="shared" si="2142"/>
        <v>680.67500000000018</v>
      </c>
      <c r="BM238" s="66">
        <f t="shared" si="2142"/>
        <v>502.45800000000042</v>
      </c>
      <c r="BN238" s="66">
        <f t="shared" si="2142"/>
        <v>304.18100000000015</v>
      </c>
      <c r="BO238" s="66">
        <f t="shared" si="2142"/>
        <v>254.73100000000022</v>
      </c>
      <c r="BP238" s="66">
        <f t="shared" si="2142"/>
        <v>164.39100000000036</v>
      </c>
      <c r="BQ238" s="66">
        <f t="shared" si="2142"/>
        <v>168.97000000000031</v>
      </c>
      <c r="BR238" s="66">
        <f t="shared" ref="BR238:CW238" si="2143">SUM(BO35:BR35)</f>
        <v>-388.92999999999967</v>
      </c>
      <c r="BS238" s="66">
        <f t="shared" si="2143"/>
        <v>-509.21999999999969</v>
      </c>
      <c r="BT238" s="66">
        <f t="shared" si="2143"/>
        <v>-808.02999999999975</v>
      </c>
      <c r="BU238" s="66">
        <f t="shared" si="2143"/>
        <v>-1213.55</v>
      </c>
      <c r="BV238" s="66">
        <f t="shared" si="2143"/>
        <v>-913.48000000000013</v>
      </c>
      <c r="BW238" s="66">
        <f t="shared" si="2143"/>
        <v>-1153.6400000000001</v>
      </c>
      <c r="BX238" s="66">
        <f t="shared" si="2143"/>
        <v>-1229.3800000000001</v>
      </c>
      <c r="BY238" s="66">
        <f t="shared" si="2143"/>
        <v>-902.1099999999999</v>
      </c>
      <c r="BZ238" s="66">
        <f t="shared" si="2143"/>
        <v>-1129.9899999999998</v>
      </c>
      <c r="CA238" s="66">
        <f t="shared" si="2143"/>
        <v>-823.32999999999981</v>
      </c>
      <c r="CB238" s="66">
        <f t="shared" si="2143"/>
        <v>-451.6699999999999</v>
      </c>
      <c r="CC238" s="66">
        <f t="shared" si="2143"/>
        <v>-404.03999999999991</v>
      </c>
      <c r="CD238" s="66">
        <f t="shared" si="2143"/>
        <v>-22.569999999999993</v>
      </c>
      <c r="CE238" s="66">
        <f t="shared" si="2143"/>
        <v>39.319999999999823</v>
      </c>
      <c r="CF238" s="66">
        <f t="shared" si="2143"/>
        <v>55.999999999999886</v>
      </c>
      <c r="CG238" s="66">
        <f t="shared" si="2143"/>
        <v>142.50999999999993</v>
      </c>
      <c r="CH238" s="66">
        <f t="shared" si="2143"/>
        <v>246.73000000000025</v>
      </c>
      <c r="CI238" s="66">
        <f t="shared" si="2143"/>
        <v>307.51000000000039</v>
      </c>
      <c r="CJ238" s="66">
        <f t="shared" si="2143"/>
        <v>293.2800000000002</v>
      </c>
      <c r="CK238" s="66">
        <f t="shared" si="2143"/>
        <v>289.90000000000032</v>
      </c>
      <c r="CL238" s="66">
        <f t="shared" si="2143"/>
        <v>302.08999999999992</v>
      </c>
      <c r="CM238" s="50">
        <f t="shared" si="2143"/>
        <v>312.48394015722363</v>
      </c>
      <c r="CN238" s="50">
        <f t="shared" si="2143"/>
        <v>390.02022748910258</v>
      </c>
      <c r="CO238" s="50">
        <f t="shared" si="2143"/>
        <v>430.95935141192922</v>
      </c>
      <c r="CP238" s="50">
        <f t="shared" si="2143"/>
        <v>411.05521188375417</v>
      </c>
      <c r="CQ238" s="50">
        <f t="shared" si="2143"/>
        <v>437.47281776694854</v>
      </c>
      <c r="CR238" s="50">
        <f t="shared" si="2143"/>
        <v>466.46113879208144</v>
      </c>
      <c r="CS238" s="50">
        <f t="shared" si="2143"/>
        <v>480.71457158661576</v>
      </c>
      <c r="CT238" s="50">
        <f t="shared" si="2143"/>
        <v>489.07914363349073</v>
      </c>
      <c r="CU238" s="50">
        <f t="shared" si="2143"/>
        <v>510.06379080888428</v>
      </c>
      <c r="CV238" s="50">
        <f t="shared" si="2143"/>
        <v>526.98531969406793</v>
      </c>
      <c r="CW238" s="50">
        <f t="shared" si="2143"/>
        <v>541.37683979353551</v>
      </c>
      <c r="CX238" s="50">
        <f t="shared" ref="CX238:DB238" si="2144">SUM(CU35:CX35)</f>
        <v>557.36694286242971</v>
      </c>
      <c r="CY238" s="50">
        <f t="shared" si="2144"/>
        <v>577.05072442306539</v>
      </c>
      <c r="CZ238" s="50">
        <f t="shared" si="2144"/>
        <v>593.37855683190401</v>
      </c>
      <c r="DA238" s="50">
        <f t="shared" si="2144"/>
        <v>610.48184254567013</v>
      </c>
      <c r="DB238" s="50">
        <f t="shared" si="2144"/>
        <v>630.03760824387768</v>
      </c>
      <c r="DE238" s="138"/>
      <c r="DF238" s="66">
        <v>303.81675952944272</v>
      </c>
    </row>
    <row r="239" spans="1:110" s="66" customFormat="1" x14ac:dyDescent="0.2">
      <c r="A239" s="66" t="s">
        <v>473</v>
      </c>
      <c r="AB239" s="50"/>
      <c r="AC239" s="50"/>
      <c r="AD239" s="50"/>
      <c r="AE239" s="50"/>
      <c r="AL239" s="66">
        <f t="shared" ref="AL239:BQ239" si="2145">SUM(AI48:AL48)</f>
        <v>0</v>
      </c>
      <c r="AM239" s="66">
        <f t="shared" si="2145"/>
        <v>0</v>
      </c>
      <c r="AN239" s="66">
        <f t="shared" si="2145"/>
        <v>0</v>
      </c>
      <c r="AO239" s="66">
        <f t="shared" si="2145"/>
        <v>0</v>
      </c>
      <c r="AP239" s="66">
        <f t="shared" si="2145"/>
        <v>0</v>
      </c>
      <c r="AQ239" s="66">
        <f t="shared" si="2145"/>
        <v>0</v>
      </c>
      <c r="AR239" s="66">
        <f t="shared" si="2145"/>
        <v>0</v>
      </c>
      <c r="AS239" s="66">
        <f t="shared" si="2145"/>
        <v>0</v>
      </c>
      <c r="AT239" s="66">
        <f t="shared" si="2145"/>
        <v>0</v>
      </c>
      <c r="AU239" s="66">
        <f t="shared" si="2145"/>
        <v>0</v>
      </c>
      <c r="AV239" s="66">
        <f t="shared" si="2145"/>
        <v>0</v>
      </c>
      <c r="AW239" s="66">
        <f t="shared" si="2145"/>
        <v>0</v>
      </c>
      <c r="AX239" s="66">
        <f t="shared" si="2145"/>
        <v>0</v>
      </c>
      <c r="AY239" s="66">
        <f t="shared" si="2145"/>
        <v>0</v>
      </c>
      <c r="AZ239" s="66">
        <f t="shared" si="2145"/>
        <v>0</v>
      </c>
      <c r="BA239" s="66">
        <f t="shared" si="2145"/>
        <v>0</v>
      </c>
      <c r="BB239" s="66">
        <f t="shared" si="2145"/>
        <v>0</v>
      </c>
      <c r="BC239" s="66">
        <f t="shared" si="2145"/>
        <v>0</v>
      </c>
      <c r="BD239" s="66">
        <f t="shared" si="2145"/>
        <v>0</v>
      </c>
      <c r="BE239" s="66">
        <f t="shared" si="2145"/>
        <v>0</v>
      </c>
      <c r="BF239" s="66">
        <f t="shared" si="2145"/>
        <v>0</v>
      </c>
      <c r="BG239" s="66">
        <f t="shared" si="2145"/>
        <v>0</v>
      </c>
      <c r="BH239" s="66">
        <f t="shared" si="2145"/>
        <v>58.360999999999848</v>
      </c>
      <c r="BI239" s="66">
        <f t="shared" si="2145"/>
        <v>246.85999999999976</v>
      </c>
      <c r="BJ239" s="66">
        <f t="shared" si="2145"/>
        <v>541.66300000000001</v>
      </c>
      <c r="BK239" s="66">
        <f t="shared" si="2145"/>
        <v>587.673</v>
      </c>
      <c r="BL239" s="66">
        <f t="shared" si="2145"/>
        <v>608.72200000000021</v>
      </c>
      <c r="BM239" s="66">
        <f t="shared" si="2145"/>
        <v>470.49400000000037</v>
      </c>
      <c r="BN239" s="66">
        <f t="shared" si="2145"/>
        <v>304.28100000000018</v>
      </c>
      <c r="BO239" s="66">
        <f t="shared" si="2145"/>
        <v>275.49100000000021</v>
      </c>
      <c r="BP239" s="66">
        <f t="shared" si="2145"/>
        <v>211.17100000000039</v>
      </c>
      <c r="BQ239" s="66">
        <f t="shared" si="2145"/>
        <v>183.35000000000031</v>
      </c>
      <c r="BR239" s="66">
        <f t="shared" ref="BR239:CW239" si="2146">SUM(BO48:BR48)</f>
        <v>-290.03999999999968</v>
      </c>
      <c r="BS239" s="66">
        <f t="shared" si="2146"/>
        <v>-383.27999999999969</v>
      </c>
      <c r="BT239" s="66">
        <f t="shared" si="2146"/>
        <v>-682.7199999999998</v>
      </c>
      <c r="BU239" s="66">
        <f t="shared" si="2146"/>
        <v>-1133.95</v>
      </c>
      <c r="BV239" s="66">
        <f t="shared" si="2146"/>
        <v>-915.7600000000001</v>
      </c>
      <c r="BW239" s="66">
        <f t="shared" si="2146"/>
        <v>-1195.73</v>
      </c>
      <c r="BX239" s="66">
        <f t="shared" si="2146"/>
        <v>-1210.0900000000001</v>
      </c>
      <c r="BY239" s="66">
        <f t="shared" si="2146"/>
        <v>-880.45999999999992</v>
      </c>
      <c r="BZ239" s="66">
        <f t="shared" si="2146"/>
        <v>-1174.9599999999996</v>
      </c>
      <c r="CA239" s="66">
        <f t="shared" si="2146"/>
        <v>-914.28999999999974</v>
      </c>
      <c r="CB239" s="66">
        <f t="shared" si="2146"/>
        <v>-670.0899999999998</v>
      </c>
      <c r="CC239" s="66">
        <f t="shared" si="2146"/>
        <v>-633.32999999999981</v>
      </c>
      <c r="CD239" s="66">
        <f t="shared" si="2146"/>
        <v>-210.82</v>
      </c>
      <c r="CE239" s="66">
        <f t="shared" si="2146"/>
        <v>-110.67000000000017</v>
      </c>
      <c r="CF239" s="66">
        <f t="shared" si="2146"/>
        <v>-47.590000000000117</v>
      </c>
      <c r="CG239" s="66">
        <f t="shared" si="2146"/>
        <v>31.939999999999927</v>
      </c>
      <c r="CH239" s="66">
        <f t="shared" si="2146"/>
        <v>85.550000000000239</v>
      </c>
      <c r="CI239" s="66">
        <f t="shared" si="2146"/>
        <v>119.41000000000039</v>
      </c>
      <c r="CJ239" s="66">
        <f t="shared" si="2146"/>
        <v>213.32000000000019</v>
      </c>
      <c r="CK239" s="66">
        <f t="shared" si="2146"/>
        <v>228.57000000000033</v>
      </c>
      <c r="CL239" s="66">
        <f t="shared" si="2146"/>
        <v>315.14999999999992</v>
      </c>
      <c r="CM239" s="50">
        <f t="shared" si="2146"/>
        <v>367.76519361472162</v>
      </c>
      <c r="CN239" s="50">
        <f t="shared" si="2146"/>
        <v>355.15494169924017</v>
      </c>
      <c r="CO239" s="50">
        <f t="shared" si="2146"/>
        <v>428.8410850655593</v>
      </c>
      <c r="CP239" s="50">
        <f t="shared" si="2146"/>
        <v>411.66565858137051</v>
      </c>
      <c r="CQ239" s="50">
        <f t="shared" si="2146"/>
        <v>442.89997939713135</v>
      </c>
      <c r="CR239" s="50">
        <f t="shared" si="2146"/>
        <v>466.39632972196927</v>
      </c>
      <c r="CS239" s="50">
        <f t="shared" si="2146"/>
        <v>480.18826809688784</v>
      </c>
      <c r="CT239" s="50">
        <f t="shared" si="2146"/>
        <v>487.71475422029511</v>
      </c>
      <c r="CU239" s="50">
        <f t="shared" si="2146"/>
        <v>506.75618618740043</v>
      </c>
      <c r="CV239" s="50">
        <f t="shared" si="2146"/>
        <v>520.22010340945235</v>
      </c>
      <c r="CW239" s="50">
        <f t="shared" si="2146"/>
        <v>531.90336234500307</v>
      </c>
      <c r="CX239" s="50">
        <f t="shared" ref="CX239:DB239" si="2147">SUM(CU48:CX48)</f>
        <v>544.8063495575467</v>
      </c>
      <c r="CY239" s="50">
        <f t="shared" si="2147"/>
        <v>561.07770262596091</v>
      </c>
      <c r="CZ239" s="50">
        <f t="shared" si="2147"/>
        <v>573.9767778910043</v>
      </c>
      <c r="DA239" s="50">
        <f t="shared" si="2147"/>
        <v>587.26832234330391</v>
      </c>
      <c r="DB239" s="50">
        <f t="shared" si="2147"/>
        <v>602.8555712009163</v>
      </c>
      <c r="DE239" s="138"/>
      <c r="DF239" s="66">
        <v>265.15688458685065</v>
      </c>
    </row>
    <row r="240" spans="1:110" s="93" customFormat="1" x14ac:dyDescent="0.2"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11" customFormat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2" customFormat="1" hidden="1" outlineLevel="1" x14ac:dyDescent="0.2">
      <c r="A242" s="61" t="s">
        <v>339</v>
      </c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4" customFormat="1" hidden="1" outlineLevel="1" x14ac:dyDescent="0.2">
      <c r="A243" s="64" t="s">
        <v>474</v>
      </c>
      <c r="B243" s="64">
        <f t="shared" ref="B243:Z243" si="2148">B15-B249</f>
        <v>0</v>
      </c>
      <c r="C243" s="64">
        <f t="shared" si="2148"/>
        <v>0</v>
      </c>
      <c r="D243" s="64">
        <f t="shared" si="2148"/>
        <v>0</v>
      </c>
      <c r="E243" s="64">
        <f t="shared" si="2148"/>
        <v>0</v>
      </c>
      <c r="F243" s="64">
        <f t="shared" si="2148"/>
        <v>0</v>
      </c>
      <c r="G243" s="64">
        <f t="shared" si="2148"/>
        <v>0</v>
      </c>
      <c r="H243" s="64">
        <f t="shared" si="2148"/>
        <v>0</v>
      </c>
      <c r="I243" s="64">
        <f t="shared" si="2148"/>
        <v>0</v>
      </c>
      <c r="J243" s="64">
        <f t="shared" si="2148"/>
        <v>0</v>
      </c>
      <c r="K243" s="64">
        <f t="shared" si="2148"/>
        <v>0</v>
      </c>
      <c r="L243" s="64">
        <f t="shared" si="2148"/>
        <v>0</v>
      </c>
      <c r="M243" s="64">
        <f t="shared" si="2148"/>
        <v>0</v>
      </c>
      <c r="N243" s="64">
        <f t="shared" si="2148"/>
        <v>0</v>
      </c>
      <c r="O243" s="64">
        <f t="shared" si="2148"/>
        <v>0</v>
      </c>
      <c r="P243" s="64">
        <f t="shared" si="2148"/>
        <v>0</v>
      </c>
      <c r="Q243" s="64">
        <f t="shared" si="2148"/>
        <v>0</v>
      </c>
      <c r="R243" s="64">
        <f t="shared" si="2148"/>
        <v>0</v>
      </c>
      <c r="S243" s="64">
        <f t="shared" si="2148"/>
        <v>6871.7079999999996</v>
      </c>
      <c r="T243" s="64">
        <f t="shared" si="2148"/>
        <v>8240.4079999999994</v>
      </c>
      <c r="U243" s="64">
        <f t="shared" si="2148"/>
        <v>5575.29</v>
      </c>
      <c r="V243" s="64">
        <f t="shared" si="2148"/>
        <v>5080.8</v>
      </c>
      <c r="W243" s="64">
        <f t="shared" si="2148"/>
        <v>5198.9399999999996</v>
      </c>
      <c r="X243" s="64">
        <f t="shared" si="2148"/>
        <v>2015.01</v>
      </c>
      <c r="Y243" s="64">
        <f t="shared" si="2148"/>
        <v>3035.37</v>
      </c>
      <c r="Z243" s="64">
        <f t="shared" si="2148"/>
        <v>6301.86</v>
      </c>
      <c r="AA243" s="64">
        <f t="shared" ref="AA243" si="2149">AA15-AA249</f>
        <v>7548.05</v>
      </c>
      <c r="AB243" s="30"/>
      <c r="AC243" s="30"/>
      <c r="AD243" s="30"/>
      <c r="AE243" s="30"/>
      <c r="AI243" s="64">
        <f t="shared" ref="AI243:BN243" si="2150">AI15-AI249</f>
        <v>0</v>
      </c>
      <c r="AJ243" s="64">
        <f t="shared" si="2150"/>
        <v>0</v>
      </c>
      <c r="AK243" s="64">
        <f t="shared" si="2150"/>
        <v>0</v>
      </c>
      <c r="AL243" s="64">
        <f t="shared" si="2150"/>
        <v>0</v>
      </c>
      <c r="AM243" s="64">
        <f t="shared" si="2150"/>
        <v>0</v>
      </c>
      <c r="AN243" s="64">
        <f t="shared" si="2150"/>
        <v>0</v>
      </c>
      <c r="AO243" s="64">
        <f t="shared" si="2150"/>
        <v>0</v>
      </c>
      <c r="AP243" s="64">
        <f t="shared" si="2150"/>
        <v>0</v>
      </c>
      <c r="AQ243" s="64">
        <f t="shared" si="2150"/>
        <v>0</v>
      </c>
      <c r="AR243" s="64">
        <f t="shared" si="2150"/>
        <v>0</v>
      </c>
      <c r="AS243" s="64">
        <f t="shared" si="2150"/>
        <v>0</v>
      </c>
      <c r="AT243" s="64">
        <f t="shared" si="2150"/>
        <v>0</v>
      </c>
      <c r="AU243" s="64">
        <f t="shared" si="2150"/>
        <v>0</v>
      </c>
      <c r="AV243" s="64">
        <f t="shared" si="2150"/>
        <v>0</v>
      </c>
      <c r="AW243" s="64">
        <f t="shared" si="2150"/>
        <v>0</v>
      </c>
      <c r="AX243" s="64">
        <f t="shared" si="2150"/>
        <v>0</v>
      </c>
      <c r="AY243" s="64">
        <f t="shared" si="2150"/>
        <v>0</v>
      </c>
      <c r="AZ243" s="64">
        <f t="shared" si="2150"/>
        <v>0</v>
      </c>
      <c r="BA243" s="64">
        <f t="shared" si="2150"/>
        <v>0</v>
      </c>
      <c r="BB243" s="64">
        <f t="shared" si="2150"/>
        <v>0</v>
      </c>
      <c r="BC243" s="64">
        <f t="shared" si="2150"/>
        <v>0</v>
      </c>
      <c r="BD243" s="64">
        <f t="shared" si="2150"/>
        <v>0</v>
      </c>
      <c r="BE243" s="64">
        <f t="shared" si="2150"/>
        <v>0</v>
      </c>
      <c r="BF243" s="64">
        <f t="shared" si="2150"/>
        <v>0</v>
      </c>
      <c r="BG243" s="64">
        <f t="shared" si="2150"/>
        <v>0</v>
      </c>
      <c r="BH243" s="64">
        <f t="shared" si="2150"/>
        <v>2472.509</v>
      </c>
      <c r="BI243" s="64">
        <f t="shared" si="2150"/>
        <v>1644.0119999999999</v>
      </c>
      <c r="BJ243" s="64">
        <f t="shared" si="2150"/>
        <v>2325.2640000000001</v>
      </c>
      <c r="BK243" s="64">
        <f t="shared" si="2150"/>
        <v>1244.95</v>
      </c>
      <c r="BL243" s="64">
        <f t="shared" si="2150"/>
        <v>1193.33</v>
      </c>
      <c r="BM243" s="64">
        <f t="shared" si="2150"/>
        <v>1076.3810000000001</v>
      </c>
      <c r="BN243" s="64">
        <f t="shared" si="2150"/>
        <v>2060.63</v>
      </c>
      <c r="BO243" s="64">
        <f t="shared" ref="BO243:CT243" si="2151">BO15-BO249</f>
        <v>1067.9000000000001</v>
      </c>
      <c r="BP243" s="64">
        <f t="shared" si="2151"/>
        <v>1336.63</v>
      </c>
      <c r="BQ243" s="64">
        <f t="shared" si="2151"/>
        <v>1311.73</v>
      </c>
      <c r="BR243" s="64">
        <f t="shared" si="2151"/>
        <v>1364.54</v>
      </c>
      <c r="BS243" s="64">
        <f t="shared" si="2151"/>
        <v>1194.6300000000001</v>
      </c>
      <c r="BT243" s="64">
        <f t="shared" si="2151"/>
        <v>1438.42</v>
      </c>
      <c r="BU243" s="64">
        <f t="shared" si="2151"/>
        <v>1494.86</v>
      </c>
      <c r="BV243" s="64">
        <f t="shared" si="2151"/>
        <v>1071.03</v>
      </c>
      <c r="BW243" s="64">
        <f t="shared" si="2151"/>
        <v>1206.93</v>
      </c>
      <c r="BX243" s="64">
        <f t="shared" si="2151"/>
        <v>312.69</v>
      </c>
      <c r="BY243" s="64">
        <f t="shared" si="2151"/>
        <v>406.96</v>
      </c>
      <c r="BZ243" s="64">
        <f t="shared" si="2151"/>
        <v>88.43</v>
      </c>
      <c r="CA243" s="64">
        <f t="shared" si="2151"/>
        <v>514.96</v>
      </c>
      <c r="CB243" s="64">
        <f t="shared" si="2151"/>
        <v>759.52</v>
      </c>
      <c r="CC243" s="64">
        <f t="shared" si="2151"/>
        <v>582.88</v>
      </c>
      <c r="CD243" s="64">
        <f t="shared" si="2151"/>
        <v>1178.01</v>
      </c>
      <c r="CE243" s="64">
        <f t="shared" si="2151"/>
        <v>915.06</v>
      </c>
      <c r="CF243" s="64">
        <f t="shared" si="2151"/>
        <v>1030.49</v>
      </c>
      <c r="CG243" s="64">
        <f t="shared" si="2151"/>
        <v>1837.2</v>
      </c>
      <c r="CH243" s="64">
        <f t="shared" si="2151"/>
        <v>2519.11</v>
      </c>
      <c r="CI243" s="64">
        <f t="shared" si="2151"/>
        <v>1761.63</v>
      </c>
      <c r="CJ243" s="64">
        <f t="shared" si="2151"/>
        <v>1748.6</v>
      </c>
      <c r="CK243" s="64">
        <f t="shared" si="2151"/>
        <v>2092.21</v>
      </c>
      <c r="CL243" s="64">
        <f t="shared" ref="CL243" si="2152">CL15-CL249</f>
        <v>1945.61</v>
      </c>
      <c r="CM243" s="30">
        <f t="shared" si="2151"/>
        <v>2431.7499662146265</v>
      </c>
      <c r="CN243" s="30">
        <f t="shared" si="2151"/>
        <v>2192.978935244028</v>
      </c>
      <c r="CO243" s="30">
        <f t="shared" si="2151"/>
        <v>2352.0777437686525</v>
      </c>
      <c r="CP243" s="30">
        <f t="shared" si="2151"/>
        <v>2550.9311543800436</v>
      </c>
      <c r="CQ243" s="30">
        <f t="shared" si="2151"/>
        <v>2847.3527022537937</v>
      </c>
      <c r="CR243" s="30">
        <f t="shared" si="2151"/>
        <v>2520.2250865142341</v>
      </c>
      <c r="CS243" s="30">
        <f t="shared" si="2151"/>
        <v>2684.8585146922633</v>
      </c>
      <c r="CT243" s="30">
        <f t="shared" si="2151"/>
        <v>2956.4651296873662</v>
      </c>
      <c r="CU243" s="30">
        <f t="shared" ref="CU243:DB243" si="2153">CU15-CU249</f>
        <v>3225.4454706370084</v>
      </c>
      <c r="CV243" s="30">
        <f t="shared" si="2153"/>
        <v>2844.1088381228792</v>
      </c>
      <c r="CW243" s="30">
        <f t="shared" si="2153"/>
        <v>3032.5929074306068</v>
      </c>
      <c r="CX243" s="30">
        <f t="shared" si="2153"/>
        <v>3345.1107469396343</v>
      </c>
      <c r="CY243" s="30">
        <f t="shared" si="2153"/>
        <v>3638.605135691098</v>
      </c>
      <c r="CZ243" s="30">
        <f t="shared" si="2153"/>
        <v>3202.2713994283113</v>
      </c>
      <c r="DA243" s="30">
        <f t="shared" si="2153"/>
        <v>3422.1461305893895</v>
      </c>
      <c r="DB243" s="30">
        <f t="shared" si="2153"/>
        <v>3784.0851538326001</v>
      </c>
      <c r="DE243" s="139"/>
      <c r="DF243" s="64">
        <v>4345.0012747288838</v>
      </c>
    </row>
    <row r="244" spans="1:110" s="64" customFormat="1" hidden="1" outlineLevel="1" x14ac:dyDescent="0.2">
      <c r="A244" s="64" t="s">
        <v>475</v>
      </c>
      <c r="B244" s="64">
        <f t="shared" ref="B244:Z244" si="2154">B35-B250</f>
        <v>0</v>
      </c>
      <c r="C244" s="64">
        <f t="shared" si="2154"/>
        <v>0</v>
      </c>
      <c r="D244" s="64">
        <f t="shared" si="2154"/>
        <v>0</v>
      </c>
      <c r="E244" s="64">
        <f t="shared" si="2154"/>
        <v>0</v>
      </c>
      <c r="F244" s="64">
        <f t="shared" si="2154"/>
        <v>0</v>
      </c>
      <c r="G244" s="64">
        <f t="shared" si="2154"/>
        <v>0</v>
      </c>
      <c r="H244" s="64">
        <f t="shared" si="2154"/>
        <v>0</v>
      </c>
      <c r="I244" s="64">
        <f t="shared" si="2154"/>
        <v>0</v>
      </c>
      <c r="J244" s="64">
        <f t="shared" si="2154"/>
        <v>0</v>
      </c>
      <c r="K244" s="64">
        <f t="shared" si="2154"/>
        <v>0</v>
      </c>
      <c r="L244" s="64">
        <f t="shared" si="2154"/>
        <v>0</v>
      </c>
      <c r="M244" s="64">
        <f t="shared" si="2154"/>
        <v>0</v>
      </c>
      <c r="N244" s="64">
        <f t="shared" si="2154"/>
        <v>0</v>
      </c>
      <c r="O244" s="64">
        <f t="shared" si="2154"/>
        <v>0</v>
      </c>
      <c r="P244" s="64">
        <f t="shared" si="2154"/>
        <v>0</v>
      </c>
      <c r="Q244" s="64">
        <f t="shared" si="2154"/>
        <v>0</v>
      </c>
      <c r="R244" s="64">
        <f t="shared" si="2154"/>
        <v>0</v>
      </c>
      <c r="S244" s="64">
        <f t="shared" si="2154"/>
        <v>594.94600000000014</v>
      </c>
      <c r="T244" s="64">
        <f t="shared" si="2154"/>
        <v>710.05499999999984</v>
      </c>
      <c r="U244" s="64">
        <f t="shared" si="2154"/>
        <v>372.75999999999976</v>
      </c>
      <c r="V244" s="64">
        <f t="shared" si="2154"/>
        <v>-377.04999999999973</v>
      </c>
      <c r="W244" s="64">
        <f t="shared" si="2154"/>
        <v>-902.98000000000047</v>
      </c>
      <c r="X244" s="64">
        <f t="shared" si="2154"/>
        <v>-1123.5999999999999</v>
      </c>
      <c r="Y244" s="64">
        <f t="shared" si="2154"/>
        <v>-7.3300000000001546</v>
      </c>
      <c r="Z244" s="64">
        <f t="shared" si="2154"/>
        <v>264.27</v>
      </c>
      <c r="AA244" s="64">
        <f t="shared" ref="AA244" si="2155">AA35-AA250</f>
        <v>313.18000000000075</v>
      </c>
      <c r="AB244" s="30"/>
      <c r="AC244" s="30"/>
      <c r="AD244" s="30"/>
      <c r="AE244" s="30"/>
      <c r="AI244" s="64">
        <f t="shared" ref="AI244:BN244" si="2156">AI35-AI250</f>
        <v>0</v>
      </c>
      <c r="AJ244" s="64">
        <f t="shared" si="2156"/>
        <v>0</v>
      </c>
      <c r="AK244" s="64">
        <f t="shared" si="2156"/>
        <v>0</v>
      </c>
      <c r="AL244" s="64">
        <f t="shared" si="2156"/>
        <v>0</v>
      </c>
      <c r="AM244" s="64">
        <f t="shared" si="2156"/>
        <v>0</v>
      </c>
      <c r="AN244" s="64">
        <f t="shared" si="2156"/>
        <v>0</v>
      </c>
      <c r="AO244" s="64">
        <f t="shared" si="2156"/>
        <v>0</v>
      </c>
      <c r="AP244" s="64">
        <f t="shared" si="2156"/>
        <v>0</v>
      </c>
      <c r="AQ244" s="64">
        <f t="shared" si="2156"/>
        <v>0</v>
      </c>
      <c r="AR244" s="64">
        <f t="shared" si="2156"/>
        <v>0</v>
      </c>
      <c r="AS244" s="64">
        <f t="shared" si="2156"/>
        <v>0</v>
      </c>
      <c r="AT244" s="64">
        <f t="shared" si="2156"/>
        <v>0</v>
      </c>
      <c r="AU244" s="64">
        <f t="shared" si="2156"/>
        <v>0</v>
      </c>
      <c r="AV244" s="64">
        <f t="shared" si="2156"/>
        <v>0</v>
      </c>
      <c r="AW244" s="64">
        <f t="shared" si="2156"/>
        <v>0</v>
      </c>
      <c r="AX244" s="64">
        <f t="shared" si="2156"/>
        <v>0</v>
      </c>
      <c r="AY244" s="64">
        <f t="shared" si="2156"/>
        <v>0</v>
      </c>
      <c r="AZ244" s="64">
        <f t="shared" si="2156"/>
        <v>0</v>
      </c>
      <c r="BA244" s="64">
        <f t="shared" si="2156"/>
        <v>0</v>
      </c>
      <c r="BB244" s="64">
        <f t="shared" si="2156"/>
        <v>0</v>
      </c>
      <c r="BC244" s="64">
        <f t="shared" si="2156"/>
        <v>0</v>
      </c>
      <c r="BD244" s="64">
        <f t="shared" si="2156"/>
        <v>0</v>
      </c>
      <c r="BE244" s="64">
        <f t="shared" si="2156"/>
        <v>0</v>
      </c>
      <c r="BF244" s="64">
        <f t="shared" si="2156"/>
        <v>0</v>
      </c>
      <c r="BG244" s="64">
        <f t="shared" si="2156"/>
        <v>0</v>
      </c>
      <c r="BH244" s="64">
        <f t="shared" si="2156"/>
        <v>29.315999999999832</v>
      </c>
      <c r="BI244" s="64">
        <f t="shared" si="2156"/>
        <v>188.07799999999992</v>
      </c>
      <c r="BJ244" s="64">
        <f t="shared" si="2156"/>
        <v>331.8670000000003</v>
      </c>
      <c r="BK244" s="64">
        <f t="shared" si="2156"/>
        <v>66.03000000000003</v>
      </c>
      <c r="BL244" s="64">
        <f t="shared" si="2156"/>
        <v>94.699999999999989</v>
      </c>
      <c r="BM244" s="64">
        <f t="shared" si="2156"/>
        <v>9.8610000000001037</v>
      </c>
      <c r="BN244" s="64">
        <f t="shared" si="2156"/>
        <v>133.59000000000003</v>
      </c>
      <c r="BO244" s="64">
        <f t="shared" ref="BO244:CT244" si="2157">BO35-BO250</f>
        <v>16.580000000000098</v>
      </c>
      <c r="BP244" s="64">
        <f t="shared" si="2157"/>
        <v>4.3600000000001273</v>
      </c>
      <c r="BQ244" s="64">
        <f t="shared" si="2157"/>
        <v>14.440000000000055</v>
      </c>
      <c r="BR244" s="64">
        <f t="shared" si="2157"/>
        <v>-424.30999999999995</v>
      </c>
      <c r="BS244" s="64">
        <f t="shared" si="2157"/>
        <v>-103.70999999999992</v>
      </c>
      <c r="BT244" s="64">
        <f t="shared" si="2157"/>
        <v>-294.44999999999993</v>
      </c>
      <c r="BU244" s="64">
        <f t="shared" si="2157"/>
        <v>-391.08000000000015</v>
      </c>
      <c r="BV244" s="64">
        <f t="shared" si="2157"/>
        <v>-124.24000000000012</v>
      </c>
      <c r="BW244" s="64">
        <f t="shared" si="2157"/>
        <v>-343.86999999999989</v>
      </c>
      <c r="BX244" s="64">
        <f t="shared" si="2157"/>
        <v>-370.18999999999994</v>
      </c>
      <c r="BY244" s="64">
        <f t="shared" si="2157"/>
        <v>-63.809999999999974</v>
      </c>
      <c r="BZ244" s="64">
        <f t="shared" si="2157"/>
        <v>-352.11999999999995</v>
      </c>
      <c r="CA244" s="64">
        <f t="shared" si="2157"/>
        <v>-37.209999999999923</v>
      </c>
      <c r="CB244" s="64">
        <f t="shared" si="2157"/>
        <v>1.4699999999999704</v>
      </c>
      <c r="CC244" s="64">
        <f t="shared" si="2157"/>
        <v>-16.180000000000007</v>
      </c>
      <c r="CD244" s="64">
        <f t="shared" si="2157"/>
        <v>29.349999999999966</v>
      </c>
      <c r="CE244" s="64">
        <f t="shared" si="2157"/>
        <v>24.679999999999893</v>
      </c>
      <c r="CF244" s="64">
        <f t="shared" si="2157"/>
        <v>18.150000000000034</v>
      </c>
      <c r="CG244" s="64">
        <f t="shared" si="2157"/>
        <v>70.330000000000041</v>
      </c>
      <c r="CH244" s="64">
        <f t="shared" si="2157"/>
        <v>133.57000000000028</v>
      </c>
      <c r="CI244" s="64">
        <f t="shared" si="2157"/>
        <v>85.460000000000036</v>
      </c>
      <c r="CJ244" s="64">
        <f t="shared" si="2157"/>
        <v>3.9199999999998454</v>
      </c>
      <c r="CK244" s="64">
        <f t="shared" si="2157"/>
        <v>66.950000000000159</v>
      </c>
      <c r="CL244" s="64">
        <f t="shared" ref="CL244" si="2158">CL35-CL250</f>
        <v>145.75999999999988</v>
      </c>
      <c r="CM244" s="30">
        <f t="shared" si="2157"/>
        <v>95.853940157223747</v>
      </c>
      <c r="CN244" s="30">
        <f t="shared" si="2157"/>
        <v>81.456287331878798</v>
      </c>
      <c r="CO244" s="30">
        <f t="shared" si="2157"/>
        <v>107.8891239228268</v>
      </c>
      <c r="CP244" s="30">
        <f t="shared" si="2157"/>
        <v>125.85586047182483</v>
      </c>
      <c r="CQ244" s="30">
        <f t="shared" si="2157"/>
        <v>122.27154604041812</v>
      </c>
      <c r="CR244" s="30">
        <f t="shared" si="2157"/>
        <v>110.4446083570117</v>
      </c>
      <c r="CS244" s="30">
        <f t="shared" si="2157"/>
        <v>122.14255671736112</v>
      </c>
      <c r="CT244" s="30">
        <f t="shared" si="2157"/>
        <v>134.22043251869979</v>
      </c>
      <c r="CU244" s="30">
        <f t="shared" ref="CU244:DB244" si="2159">CU35-CU250</f>
        <v>143.25619321581166</v>
      </c>
      <c r="CV244" s="30">
        <f t="shared" si="2159"/>
        <v>127.36613724219535</v>
      </c>
      <c r="CW244" s="30">
        <f t="shared" si="2159"/>
        <v>136.5340768168287</v>
      </c>
      <c r="CX244" s="30">
        <f t="shared" si="2159"/>
        <v>150.21053558759399</v>
      </c>
      <c r="CY244" s="30">
        <f t="shared" si="2159"/>
        <v>162.93997477644734</v>
      </c>
      <c r="CZ244" s="30">
        <f t="shared" si="2159"/>
        <v>143.69396965103397</v>
      </c>
      <c r="DA244" s="30">
        <f t="shared" si="2159"/>
        <v>153.63736253059483</v>
      </c>
      <c r="DB244" s="30">
        <f t="shared" si="2159"/>
        <v>169.76630128580155</v>
      </c>
      <c r="DE244" s="139"/>
      <c r="DF244" s="64">
        <v>147.48675952944268</v>
      </c>
    </row>
    <row r="245" spans="1:110" s="89" customFormat="1" hidden="1" outlineLevel="1" x14ac:dyDescent="0.2">
      <c r="A245" s="86" t="s">
        <v>476</v>
      </c>
      <c r="B245" s="86" t="e">
        <f>+B244/B243</f>
        <v>#DIV/0!</v>
      </c>
      <c r="C245" s="86" t="e">
        <f t="shared" ref="C245" si="2160">+C244/C243</f>
        <v>#DIV/0!</v>
      </c>
      <c r="D245" s="86" t="e">
        <f t="shared" ref="D245" si="2161">+D244/D243</f>
        <v>#DIV/0!</v>
      </c>
      <c r="E245" s="86" t="e">
        <f t="shared" ref="E245" si="2162">+E244/E243</f>
        <v>#DIV/0!</v>
      </c>
      <c r="F245" s="86" t="e">
        <f t="shared" ref="F245" si="2163">+F244/F243</f>
        <v>#DIV/0!</v>
      </c>
      <c r="G245" s="86" t="e">
        <f t="shared" ref="G245" si="2164">+G244/G243</f>
        <v>#DIV/0!</v>
      </c>
      <c r="H245" s="86" t="e">
        <f t="shared" ref="H245" si="2165">+H244/H243</f>
        <v>#DIV/0!</v>
      </c>
      <c r="I245" s="86" t="e">
        <f t="shared" ref="I245" si="2166">+I244/I243</f>
        <v>#DIV/0!</v>
      </c>
      <c r="J245" s="86" t="e">
        <f t="shared" ref="J245" si="2167">+J244/J243</f>
        <v>#DIV/0!</v>
      </c>
      <c r="K245" s="86" t="e">
        <f t="shared" ref="K245" si="2168">+K244/K243</f>
        <v>#DIV/0!</v>
      </c>
      <c r="L245" s="86" t="e">
        <f t="shared" ref="L245" si="2169">+L244/L243</f>
        <v>#DIV/0!</v>
      </c>
      <c r="M245" s="86" t="e">
        <f t="shared" ref="M245" si="2170">+M244/M243</f>
        <v>#DIV/0!</v>
      </c>
      <c r="N245" s="86" t="e">
        <f t="shared" ref="N245" si="2171">+N244/N243</f>
        <v>#DIV/0!</v>
      </c>
      <c r="O245" s="86" t="e">
        <f t="shared" ref="O245" si="2172">+O244/O243</f>
        <v>#DIV/0!</v>
      </c>
      <c r="P245" s="86" t="e">
        <f t="shared" ref="P245" si="2173">+P244/P243</f>
        <v>#DIV/0!</v>
      </c>
      <c r="Q245" s="86" t="e">
        <f t="shared" ref="Q245" si="2174">+Q244/Q243</f>
        <v>#DIV/0!</v>
      </c>
      <c r="R245" s="86" t="e">
        <f t="shared" ref="R245" si="2175">+R244/R243</f>
        <v>#DIV/0!</v>
      </c>
      <c r="S245" s="86">
        <f t="shared" ref="S245" si="2176">+S244/S243</f>
        <v>8.6579057200917173E-2</v>
      </c>
      <c r="T245" s="86">
        <f t="shared" ref="T245" si="2177">+T244/T243</f>
        <v>8.6167456756995511E-2</v>
      </c>
      <c r="U245" s="86">
        <f t="shared" ref="U245" si="2178">+U244/U243</f>
        <v>6.6859302386064176E-2</v>
      </c>
      <c r="V245" s="86">
        <f t="shared" ref="V245" si="2179">+V244/V243</f>
        <v>-7.421075421193507E-2</v>
      </c>
      <c r="W245" s="86">
        <f t="shared" ref="W245" si="2180">+W244/W243</f>
        <v>-0.17368540510180933</v>
      </c>
      <c r="X245" s="86">
        <f t="shared" ref="X245:Y245" si="2181">+X244/X243</f>
        <v>-0.55761509868437376</v>
      </c>
      <c r="Y245" s="86">
        <f t="shared" si="2181"/>
        <v>-2.4148621090674793E-3</v>
      </c>
      <c r="Z245" s="86">
        <f t="shared" ref="Z245:AA245" si="2182">+Z244/Z243</f>
        <v>4.1935238167779033E-2</v>
      </c>
      <c r="AA245" s="86">
        <f t="shared" si="2182"/>
        <v>4.1491511052523598E-2</v>
      </c>
      <c r="AB245" s="87"/>
      <c r="AC245" s="87"/>
      <c r="AD245" s="87"/>
      <c r="AE245" s="87"/>
      <c r="AF245" s="86"/>
      <c r="AG245" s="86"/>
      <c r="AH245" s="86"/>
      <c r="AI245" s="86" t="e">
        <f t="shared" ref="AI245" si="2183">+AI244/AI243</f>
        <v>#DIV/0!</v>
      </c>
      <c r="AJ245" s="86" t="e">
        <f t="shared" ref="AJ245" si="2184">+AJ244/AJ243</f>
        <v>#DIV/0!</v>
      </c>
      <c r="AK245" s="86" t="e">
        <f t="shared" ref="AK245" si="2185">+AK244/AK243</f>
        <v>#DIV/0!</v>
      </c>
      <c r="AL245" s="86" t="e">
        <f t="shared" ref="AL245" si="2186">+AL244/AL243</f>
        <v>#DIV/0!</v>
      </c>
      <c r="AM245" s="86" t="e">
        <f t="shared" ref="AM245" si="2187">+AM244/AM243</f>
        <v>#DIV/0!</v>
      </c>
      <c r="AN245" s="86" t="e">
        <f t="shared" ref="AN245" si="2188">+AN244/AN243</f>
        <v>#DIV/0!</v>
      </c>
      <c r="AO245" s="86" t="e">
        <f t="shared" ref="AO245" si="2189">+AO244/AO243</f>
        <v>#DIV/0!</v>
      </c>
      <c r="AP245" s="86" t="e">
        <f t="shared" ref="AP245" si="2190">+AP244/AP243</f>
        <v>#DIV/0!</v>
      </c>
      <c r="AQ245" s="86" t="e">
        <f t="shared" ref="AQ245" si="2191">+AQ244/AQ243</f>
        <v>#DIV/0!</v>
      </c>
      <c r="AR245" s="86" t="e">
        <f t="shared" ref="AR245" si="2192">+AR244/AR243</f>
        <v>#DIV/0!</v>
      </c>
      <c r="AS245" s="86" t="e">
        <f t="shared" ref="AS245" si="2193">+AS244/AS243</f>
        <v>#DIV/0!</v>
      </c>
      <c r="AT245" s="86" t="e">
        <f t="shared" ref="AT245" si="2194">+AT244/AT243</f>
        <v>#DIV/0!</v>
      </c>
      <c r="AU245" s="86" t="e">
        <f t="shared" ref="AU245" si="2195">+AU244/AU243</f>
        <v>#DIV/0!</v>
      </c>
      <c r="AV245" s="86" t="e">
        <f t="shared" ref="AV245" si="2196">+AV244/AV243</f>
        <v>#DIV/0!</v>
      </c>
      <c r="AW245" s="86" t="e">
        <f t="shared" ref="AW245" si="2197">+AW244/AW243</f>
        <v>#DIV/0!</v>
      </c>
      <c r="AX245" s="86" t="e">
        <f t="shared" ref="AX245" si="2198">+AX244/AX243</f>
        <v>#DIV/0!</v>
      </c>
      <c r="AY245" s="86" t="e">
        <f t="shared" ref="AY245" si="2199">+AY244/AY243</f>
        <v>#DIV/0!</v>
      </c>
      <c r="AZ245" s="86" t="e">
        <f t="shared" ref="AZ245" si="2200">+AZ244/AZ243</f>
        <v>#DIV/0!</v>
      </c>
      <c r="BA245" s="86" t="e">
        <f t="shared" ref="BA245" si="2201">+BA244/BA243</f>
        <v>#DIV/0!</v>
      </c>
      <c r="BB245" s="86" t="e">
        <f t="shared" ref="BB245" si="2202">+BB244/BB243</f>
        <v>#DIV/0!</v>
      </c>
      <c r="BC245" s="86" t="e">
        <f t="shared" ref="BC245" si="2203">+BC244/BC243</f>
        <v>#DIV/0!</v>
      </c>
      <c r="BD245" s="86" t="e">
        <f t="shared" ref="BD245" si="2204">+BD244/BD243</f>
        <v>#DIV/0!</v>
      </c>
      <c r="BE245" s="86" t="e">
        <f t="shared" ref="BE245" si="2205">+BE244/BE243</f>
        <v>#DIV/0!</v>
      </c>
      <c r="BF245" s="86" t="e">
        <f t="shared" ref="BF245" si="2206">+BF244/BF243</f>
        <v>#DIV/0!</v>
      </c>
      <c r="BG245" s="86" t="e">
        <f t="shared" ref="BG245" si="2207">+BG244/BG243</f>
        <v>#DIV/0!</v>
      </c>
      <c r="BH245" s="86">
        <f t="shared" ref="BH245" si="2208">+BH244/BH243</f>
        <v>1.1856781916668386E-2</v>
      </c>
      <c r="BI245" s="86">
        <f t="shared" ref="BI245" si="2209">+BI244/BI243</f>
        <v>0.11440184134908986</v>
      </c>
      <c r="BJ245" s="86">
        <f t="shared" ref="BJ245" si="2210">+BJ244/BJ243</f>
        <v>0.14272228873796708</v>
      </c>
      <c r="BK245" s="86">
        <f t="shared" ref="BK245" si="2211">+BK244/BK243</f>
        <v>5.3038274629503217E-2</v>
      </c>
      <c r="BL245" s="86">
        <f t="shared" ref="BL245" si="2212">+BL244/BL243</f>
        <v>7.9357763569171971E-2</v>
      </c>
      <c r="BM245" s="86">
        <f t="shared" ref="BM245" si="2213">+BM244/BM243</f>
        <v>9.161254239902137E-3</v>
      </c>
      <c r="BN245" s="86">
        <f t="shared" ref="BN245" si="2214">+BN244/BN243</f>
        <v>6.4829688008036387E-2</v>
      </c>
      <c r="BO245" s="86">
        <f t="shared" ref="BO245" si="2215">+BO244/BO243</f>
        <v>1.5525798295720664E-2</v>
      </c>
      <c r="BP245" s="86">
        <f t="shared" ref="BP245" si="2216">+BP244/BP243</f>
        <v>3.261934866043802E-3</v>
      </c>
      <c r="BQ245" s="86">
        <f t="shared" ref="BQ245" si="2217">+BQ244/BQ243</f>
        <v>1.1008363001532368E-2</v>
      </c>
      <c r="BR245" s="86">
        <f t="shared" ref="BR245" si="2218">+BR244/BR243</f>
        <v>-0.31095460741348729</v>
      </c>
      <c r="BS245" s="86">
        <f t="shared" ref="BS245" si="2219">+BS244/BS243</f>
        <v>-8.6813490369403001E-2</v>
      </c>
      <c r="BT245" s="86">
        <f t="shared" ref="BT245" si="2220">+BT244/BT243</f>
        <v>-0.20470377219449112</v>
      </c>
      <c r="BU245" s="86">
        <f t="shared" ref="BU245" si="2221">+BU244/BU243</f>
        <v>-0.26161647244558028</v>
      </c>
      <c r="BV245" s="86">
        <f t="shared" ref="BV245" si="2222">+BV244/BV243</f>
        <v>-0.11600048551394464</v>
      </c>
      <c r="BW245" s="86">
        <f t="shared" ref="BW245" si="2223">+BW244/BW243</f>
        <v>-0.28491296098365265</v>
      </c>
      <c r="BX245" s="86">
        <f t="shared" ref="BX245" si="2224">+BX244/BX243</f>
        <v>-1.1838881959768459</v>
      </c>
      <c r="BY245" s="86">
        <f t="shared" ref="BY245" si="2225">+BY244/BY243</f>
        <v>-0.15679673678002745</v>
      </c>
      <c r="BZ245" s="86">
        <f t="shared" ref="BZ245" si="2226">+BZ244/BZ243</f>
        <v>-3.9819065927852528</v>
      </c>
      <c r="CA245" s="86">
        <f t="shared" ref="CA245" si="2227">+CA244/CA243</f>
        <v>-7.2258039459375326E-2</v>
      </c>
      <c r="CB245" s="86">
        <f t="shared" ref="CB245:CC245" si="2228">+CB244/CB243</f>
        <v>1.935432904992588E-3</v>
      </c>
      <c r="CC245" s="86">
        <f t="shared" si="2228"/>
        <v>-2.7758715344496306E-2</v>
      </c>
      <c r="CD245" s="86">
        <f t="shared" ref="CD245" si="2229">+CD244/CD243</f>
        <v>2.4914898854848402E-2</v>
      </c>
      <c r="CE245" s="86">
        <f t="shared" ref="CE245:CF245" si="2230">+CE244/CE243</f>
        <v>2.697090901143083E-2</v>
      </c>
      <c r="CF245" s="86">
        <f t="shared" si="2230"/>
        <v>1.7612980232704863E-2</v>
      </c>
      <c r="CG245" s="86">
        <f t="shared" ref="CG245:CH245" si="2231">+CG244/CG243</f>
        <v>3.828107990420207E-2</v>
      </c>
      <c r="CH245" s="86">
        <f t="shared" si="2231"/>
        <v>5.3022694523065794E-2</v>
      </c>
      <c r="CI245" s="86">
        <f t="shared" ref="CI245:CJ245" si="2232">+CI244/CI243</f>
        <v>4.851188955683091E-2</v>
      </c>
      <c r="CJ245" s="86">
        <f t="shared" si="2232"/>
        <v>2.2417934347477098E-3</v>
      </c>
      <c r="CK245" s="86">
        <f t="shared" ref="CK245:DB245" si="2233">+CK244/CK243</f>
        <v>3.1999655866285011E-2</v>
      </c>
      <c r="CL245" s="86">
        <f t="shared" si="2233"/>
        <v>7.4917378097357587E-2</v>
      </c>
      <c r="CM245" s="47">
        <f t="shared" si="2233"/>
        <v>3.9417679238805292E-2</v>
      </c>
      <c r="CN245" s="47">
        <f t="shared" si="2233"/>
        <v>3.7144126659298983E-2</v>
      </c>
      <c r="CO245" s="47">
        <f t="shared" si="2233"/>
        <v>4.586970996543669E-2</v>
      </c>
      <c r="CP245" s="47">
        <f t="shared" si="2233"/>
        <v>4.9337223490224597E-2</v>
      </c>
      <c r="CQ245" s="47">
        <f t="shared" si="2233"/>
        <v>4.2942184838441436E-2</v>
      </c>
      <c r="CR245" s="47">
        <f t="shared" si="2233"/>
        <v>4.3823311238350343E-2</v>
      </c>
      <c r="CS245" s="47">
        <f t="shared" si="2233"/>
        <v>4.5493107383113268E-2</v>
      </c>
      <c r="CT245" s="47">
        <f t="shared" si="2233"/>
        <v>4.539895673753238E-2</v>
      </c>
      <c r="CU245" s="47">
        <f t="shared" si="2233"/>
        <v>4.441439004935939E-2</v>
      </c>
      <c r="CV245" s="47">
        <f t="shared" si="2233"/>
        <v>4.478244135208883E-2</v>
      </c>
      <c r="CW245" s="47">
        <f t="shared" si="2233"/>
        <v>4.5022223880523578E-2</v>
      </c>
      <c r="CX245" s="47">
        <f t="shared" si="2233"/>
        <v>4.4904503004876056E-2</v>
      </c>
      <c r="CY245" s="47">
        <f t="shared" si="2233"/>
        <v>4.4780889571712036E-2</v>
      </c>
      <c r="CZ245" s="47">
        <f t="shared" si="2233"/>
        <v>4.487251445230004E-2</v>
      </c>
      <c r="DA245" s="47">
        <f t="shared" si="2233"/>
        <v>4.4895032727352929E-2</v>
      </c>
      <c r="DB245" s="47">
        <f t="shared" si="2233"/>
        <v>4.4863234939060158E-2</v>
      </c>
      <c r="DE245" s="130"/>
      <c r="DF245" s="89">
        <v>3.394400834523241E-2</v>
      </c>
    </row>
    <row r="246" spans="1:110" s="64" customFormat="1" hidden="1" outlineLevel="1" x14ac:dyDescent="0.2">
      <c r="A246" s="64" t="s">
        <v>477</v>
      </c>
      <c r="B246" s="64">
        <f t="shared" ref="B246:Z246" si="2234">B48-B252</f>
        <v>0</v>
      </c>
      <c r="C246" s="64">
        <f t="shared" si="2234"/>
        <v>0</v>
      </c>
      <c r="D246" s="64">
        <f t="shared" si="2234"/>
        <v>0</v>
      </c>
      <c r="E246" s="64">
        <f t="shared" si="2234"/>
        <v>0</v>
      </c>
      <c r="F246" s="64">
        <f t="shared" si="2234"/>
        <v>0</v>
      </c>
      <c r="G246" s="64">
        <f t="shared" si="2234"/>
        <v>0</v>
      </c>
      <c r="H246" s="64">
        <f t="shared" si="2234"/>
        <v>0</v>
      </c>
      <c r="I246" s="64">
        <f t="shared" si="2234"/>
        <v>0</v>
      </c>
      <c r="J246" s="64">
        <f t="shared" si="2234"/>
        <v>0</v>
      </c>
      <c r="K246" s="64">
        <f t="shared" si="2234"/>
        <v>0</v>
      </c>
      <c r="L246" s="64">
        <f t="shared" si="2234"/>
        <v>0</v>
      </c>
      <c r="M246" s="64">
        <f t="shared" si="2234"/>
        <v>0</v>
      </c>
      <c r="N246" s="64">
        <f t="shared" si="2234"/>
        <v>0</v>
      </c>
      <c r="O246" s="64">
        <f t="shared" si="2234"/>
        <v>0</v>
      </c>
      <c r="P246" s="64">
        <f t="shared" si="2234"/>
        <v>0</v>
      </c>
      <c r="Q246" s="64">
        <f t="shared" si="2234"/>
        <v>0</v>
      </c>
      <c r="R246" s="64">
        <f t="shared" si="2234"/>
        <v>0</v>
      </c>
      <c r="S246" s="64">
        <f t="shared" si="2234"/>
        <v>450.53500000000008</v>
      </c>
      <c r="T246" s="64">
        <f t="shared" si="2234"/>
        <v>638.23299999999983</v>
      </c>
      <c r="U246" s="64">
        <f t="shared" si="2234"/>
        <v>304.26999999999975</v>
      </c>
      <c r="V246" s="64">
        <f t="shared" si="2234"/>
        <v>-290.03999999999974</v>
      </c>
      <c r="W246" s="64">
        <f t="shared" si="2234"/>
        <v>-915.76000000000045</v>
      </c>
      <c r="X246" s="64">
        <f t="shared" si="2234"/>
        <v>-1174.96</v>
      </c>
      <c r="Y246" s="64">
        <f t="shared" si="2234"/>
        <v>-210.79000000000013</v>
      </c>
      <c r="Z246" s="64">
        <f t="shared" si="2234"/>
        <v>85.549999999999969</v>
      </c>
      <c r="AA246" s="64">
        <f t="shared" ref="AA246" si="2235">AA48-AA252</f>
        <v>315.15000000000072</v>
      </c>
      <c r="AB246" s="30"/>
      <c r="AC246" s="30"/>
      <c r="AD246" s="30"/>
      <c r="AE246" s="30"/>
      <c r="AI246" s="64">
        <f t="shared" ref="AI246:BN246" si="2236">AI48-AI252</f>
        <v>0</v>
      </c>
      <c r="AJ246" s="64">
        <f t="shared" si="2236"/>
        <v>0</v>
      </c>
      <c r="AK246" s="64">
        <f t="shared" si="2236"/>
        <v>0</v>
      </c>
      <c r="AL246" s="64">
        <f t="shared" si="2236"/>
        <v>0</v>
      </c>
      <c r="AM246" s="64">
        <f t="shared" si="2236"/>
        <v>0</v>
      </c>
      <c r="AN246" s="64">
        <f t="shared" si="2236"/>
        <v>0</v>
      </c>
      <c r="AO246" s="64">
        <f t="shared" si="2236"/>
        <v>0</v>
      </c>
      <c r="AP246" s="64">
        <f t="shared" si="2236"/>
        <v>0</v>
      </c>
      <c r="AQ246" s="64">
        <f t="shared" si="2236"/>
        <v>0</v>
      </c>
      <c r="AR246" s="64">
        <f t="shared" si="2236"/>
        <v>0</v>
      </c>
      <c r="AS246" s="64">
        <f t="shared" si="2236"/>
        <v>0</v>
      </c>
      <c r="AT246" s="64">
        <f t="shared" si="2236"/>
        <v>0</v>
      </c>
      <c r="AU246" s="64">
        <f t="shared" si="2236"/>
        <v>0</v>
      </c>
      <c r="AV246" s="64">
        <f t="shared" si="2236"/>
        <v>0</v>
      </c>
      <c r="AW246" s="64">
        <f t="shared" si="2236"/>
        <v>0</v>
      </c>
      <c r="AX246" s="64">
        <f t="shared" si="2236"/>
        <v>0</v>
      </c>
      <c r="AY246" s="64">
        <f t="shared" si="2236"/>
        <v>0</v>
      </c>
      <c r="AZ246" s="64">
        <f t="shared" si="2236"/>
        <v>0</v>
      </c>
      <c r="BA246" s="64">
        <f t="shared" si="2236"/>
        <v>0</v>
      </c>
      <c r="BB246" s="64">
        <f t="shared" si="2236"/>
        <v>0</v>
      </c>
      <c r="BC246" s="64">
        <f t="shared" si="2236"/>
        <v>0</v>
      </c>
      <c r="BD246" s="64">
        <f t="shared" si="2236"/>
        <v>0</v>
      </c>
      <c r="BE246" s="64">
        <f t="shared" si="2236"/>
        <v>0</v>
      </c>
      <c r="BF246" s="64">
        <f t="shared" si="2236"/>
        <v>0</v>
      </c>
      <c r="BG246" s="64">
        <f t="shared" si="2236"/>
        <v>0</v>
      </c>
      <c r="BH246" s="64">
        <f t="shared" si="2236"/>
        <v>58.360999999999848</v>
      </c>
      <c r="BI246" s="64">
        <f t="shared" si="2236"/>
        <v>188.49899999999991</v>
      </c>
      <c r="BJ246" s="64">
        <f t="shared" si="2236"/>
        <v>294.80300000000028</v>
      </c>
      <c r="BK246" s="64">
        <f t="shared" si="2236"/>
        <v>46.010000000000026</v>
      </c>
      <c r="BL246" s="64">
        <f t="shared" si="2236"/>
        <v>79.41</v>
      </c>
      <c r="BM246" s="64">
        <f t="shared" si="2236"/>
        <v>50.2710000000001</v>
      </c>
      <c r="BN246" s="64">
        <f t="shared" si="2236"/>
        <v>128.59000000000003</v>
      </c>
      <c r="BO246" s="64">
        <f t="shared" ref="BO246:CT246" si="2237">BO48-BO252</f>
        <v>17.220000000000102</v>
      </c>
      <c r="BP246" s="64">
        <f t="shared" si="2237"/>
        <v>15.090000000000131</v>
      </c>
      <c r="BQ246" s="64">
        <f t="shared" si="2237"/>
        <v>22.450000000000056</v>
      </c>
      <c r="BR246" s="64">
        <f t="shared" si="2237"/>
        <v>-344.79999999999995</v>
      </c>
      <c r="BS246" s="64">
        <f t="shared" si="2237"/>
        <v>-76.019999999999911</v>
      </c>
      <c r="BT246" s="64">
        <f t="shared" si="2237"/>
        <v>-284.34999999999991</v>
      </c>
      <c r="BU246" s="64">
        <f t="shared" si="2237"/>
        <v>-428.78000000000014</v>
      </c>
      <c r="BV246" s="64">
        <f t="shared" si="2237"/>
        <v>-126.61000000000011</v>
      </c>
      <c r="BW246" s="64">
        <f t="shared" si="2237"/>
        <v>-355.9899999999999</v>
      </c>
      <c r="BX246" s="64">
        <f t="shared" si="2237"/>
        <v>-298.70999999999992</v>
      </c>
      <c r="BY246" s="64">
        <f t="shared" si="2237"/>
        <v>-99.149999999999977</v>
      </c>
      <c r="BZ246" s="64">
        <f t="shared" si="2237"/>
        <v>-421.1099999999999</v>
      </c>
      <c r="CA246" s="64">
        <f t="shared" si="2237"/>
        <v>-95.319999999999922</v>
      </c>
      <c r="CB246" s="64">
        <f t="shared" si="2237"/>
        <v>-54.510000000000034</v>
      </c>
      <c r="CC246" s="64">
        <f t="shared" si="2237"/>
        <v>-62.390000000000008</v>
      </c>
      <c r="CD246" s="64">
        <f t="shared" si="2237"/>
        <v>1.3999999999999631</v>
      </c>
      <c r="CE246" s="64">
        <f t="shared" si="2237"/>
        <v>4.8299999999998935</v>
      </c>
      <c r="CF246" s="64">
        <f t="shared" si="2237"/>
        <v>8.5700000000000358</v>
      </c>
      <c r="CG246" s="64">
        <f t="shared" si="2237"/>
        <v>17.140000000000033</v>
      </c>
      <c r="CH246" s="64">
        <f t="shared" si="2237"/>
        <v>55.010000000000282</v>
      </c>
      <c r="CI246" s="64">
        <f t="shared" si="2237"/>
        <v>38.690000000000033</v>
      </c>
      <c r="CJ246" s="64">
        <f t="shared" si="2237"/>
        <v>102.47999999999985</v>
      </c>
      <c r="CK246" s="64">
        <f t="shared" si="2237"/>
        <v>32.390000000000157</v>
      </c>
      <c r="CL246" s="64">
        <f t="shared" ref="CL246" si="2238">CL48-CL252</f>
        <v>141.58999999999989</v>
      </c>
      <c r="CM246" s="30">
        <f t="shared" si="2237"/>
        <v>91.305193614721674</v>
      </c>
      <c r="CN246" s="30">
        <f t="shared" si="2237"/>
        <v>89.869748084518463</v>
      </c>
      <c r="CO246" s="30">
        <f t="shared" si="2237"/>
        <v>106.0761433663193</v>
      </c>
      <c r="CP246" s="30">
        <f t="shared" si="2237"/>
        <v>124.4145735158111</v>
      </c>
      <c r="CQ246" s="30">
        <f t="shared" si="2237"/>
        <v>122.53951443048247</v>
      </c>
      <c r="CR246" s="30">
        <f t="shared" si="2237"/>
        <v>113.36609840935637</v>
      </c>
      <c r="CS246" s="30">
        <f t="shared" si="2237"/>
        <v>119.86808174123792</v>
      </c>
      <c r="CT246" s="30">
        <f t="shared" si="2237"/>
        <v>131.94105963921834</v>
      </c>
      <c r="CU246" s="30">
        <f t="shared" ref="CU246:DB246" si="2239">CU48-CU252</f>
        <v>141.58094639758781</v>
      </c>
      <c r="CV246" s="30">
        <f t="shared" si="2239"/>
        <v>126.83001563140826</v>
      </c>
      <c r="CW246" s="30">
        <f t="shared" si="2239"/>
        <v>131.55134067678864</v>
      </c>
      <c r="CX246" s="30">
        <f t="shared" si="2239"/>
        <v>144.84404685176199</v>
      </c>
      <c r="CY246" s="30">
        <f t="shared" si="2239"/>
        <v>157.85229946600202</v>
      </c>
      <c r="CZ246" s="30">
        <f t="shared" si="2239"/>
        <v>139.72909089645168</v>
      </c>
      <c r="DA246" s="30">
        <f t="shared" si="2239"/>
        <v>144.84288512908819</v>
      </c>
      <c r="DB246" s="30">
        <f t="shared" si="2239"/>
        <v>160.43129570937447</v>
      </c>
      <c r="DE246" s="139"/>
      <c r="DF246" s="64">
        <v>91.596884586850621</v>
      </c>
    </row>
    <row r="247" spans="1:110" s="64" customFormat="1" hidden="1" outlineLevel="1" x14ac:dyDescent="0.2"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5" t="s">
        <v>352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4" customFormat="1" hidden="1" outlineLevel="1" x14ac:dyDescent="0.2">
      <c r="A249" s="64" t="s">
        <v>478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4" t="s">
        <v>479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89" customFormat="1" hidden="1" outlineLevel="1" x14ac:dyDescent="0.2">
      <c r="A251" s="86" t="s">
        <v>480</v>
      </c>
      <c r="B251" s="86" t="e">
        <f>+B250/B249</f>
        <v>#DIV/0!</v>
      </c>
      <c r="C251" s="86" t="e">
        <f t="shared" ref="C251:X251" si="2240">+C250/C249</f>
        <v>#DIV/0!</v>
      </c>
      <c r="D251" s="86" t="e">
        <f t="shared" si="2240"/>
        <v>#DIV/0!</v>
      </c>
      <c r="E251" s="86" t="e">
        <f t="shared" si="2240"/>
        <v>#DIV/0!</v>
      </c>
      <c r="F251" s="86" t="e">
        <f t="shared" si="2240"/>
        <v>#DIV/0!</v>
      </c>
      <c r="G251" s="86" t="e">
        <f t="shared" si="2240"/>
        <v>#DIV/0!</v>
      </c>
      <c r="H251" s="86" t="e">
        <f t="shared" si="2240"/>
        <v>#DIV/0!</v>
      </c>
      <c r="I251" s="86" t="e">
        <f t="shared" si="2240"/>
        <v>#DIV/0!</v>
      </c>
      <c r="J251" s="86" t="e">
        <f t="shared" si="2240"/>
        <v>#DIV/0!</v>
      </c>
      <c r="K251" s="86" t="e">
        <f t="shared" si="2240"/>
        <v>#DIV/0!</v>
      </c>
      <c r="L251" s="86" t="e">
        <f t="shared" si="2240"/>
        <v>#DIV/0!</v>
      </c>
      <c r="M251" s="86" t="e">
        <f t="shared" si="2240"/>
        <v>#DIV/0!</v>
      </c>
      <c r="N251" s="86" t="e">
        <f t="shared" si="2240"/>
        <v>#DIV/0!</v>
      </c>
      <c r="O251" s="86" t="e">
        <f t="shared" si="2240"/>
        <v>#DIV/0!</v>
      </c>
      <c r="P251" s="86" t="e">
        <f t="shared" si="2240"/>
        <v>#DIV/0!</v>
      </c>
      <c r="Q251" s="86" t="e">
        <f t="shared" si="2240"/>
        <v>#DIV/0!</v>
      </c>
      <c r="R251" s="86" t="e">
        <f t="shared" si="2240"/>
        <v>#DIV/0!</v>
      </c>
      <c r="S251" s="86" t="e">
        <f t="shared" si="2240"/>
        <v>#DIV/0!</v>
      </c>
      <c r="T251" s="86" t="e">
        <f t="shared" si="2240"/>
        <v>#DIV/0!</v>
      </c>
      <c r="U251" s="86" t="e">
        <f t="shared" si="2240"/>
        <v>#DIV/0!</v>
      </c>
      <c r="V251" s="86" t="e">
        <f t="shared" si="2240"/>
        <v>#DIV/0!</v>
      </c>
      <c r="W251" s="86" t="e">
        <f t="shared" si="2240"/>
        <v>#DIV/0!</v>
      </c>
      <c r="X251" s="86" t="e">
        <f t="shared" si="2240"/>
        <v>#DIV/0!</v>
      </c>
      <c r="Y251" s="86" t="e">
        <f t="shared" ref="Y251:Z251" si="2241">+Y250/Y249</f>
        <v>#DIV/0!</v>
      </c>
      <c r="Z251" s="86" t="e">
        <f t="shared" si="2241"/>
        <v>#DIV/0!</v>
      </c>
      <c r="AA251" s="86" t="e">
        <f t="shared" ref="AA251" si="2242">+AA250/AA249</f>
        <v>#DIV/0!</v>
      </c>
      <c r="AB251" s="87"/>
      <c r="AC251" s="87"/>
      <c r="AD251" s="87"/>
      <c r="AE251" s="87"/>
      <c r="AF251" s="86"/>
      <c r="AG251" s="86"/>
      <c r="AH251" s="86"/>
      <c r="AI251" s="86" t="e">
        <f t="shared" ref="AI251" si="2243">+AI250/AI249</f>
        <v>#DIV/0!</v>
      </c>
      <c r="AJ251" s="86" t="e">
        <f t="shared" ref="AJ251" si="2244">+AJ250/AJ249</f>
        <v>#DIV/0!</v>
      </c>
      <c r="AK251" s="86" t="e">
        <f t="shared" ref="AK251" si="2245">+AK250/AK249</f>
        <v>#DIV/0!</v>
      </c>
      <c r="AL251" s="86" t="e">
        <f t="shared" ref="AL251" si="2246">+AL250/AL249</f>
        <v>#DIV/0!</v>
      </c>
      <c r="AM251" s="86" t="e">
        <f t="shared" ref="AM251" si="2247">+AM250/AM249</f>
        <v>#DIV/0!</v>
      </c>
      <c r="AN251" s="86" t="e">
        <f t="shared" ref="AN251" si="2248">+AN250/AN249</f>
        <v>#DIV/0!</v>
      </c>
      <c r="AO251" s="86" t="e">
        <f t="shared" ref="AO251" si="2249">+AO250/AO249</f>
        <v>#DIV/0!</v>
      </c>
      <c r="AP251" s="86" t="e">
        <f t="shared" ref="AP251" si="2250">+AP250/AP249</f>
        <v>#DIV/0!</v>
      </c>
      <c r="AQ251" s="86" t="e">
        <f t="shared" ref="AQ251" si="2251">+AQ250/AQ249</f>
        <v>#DIV/0!</v>
      </c>
      <c r="AR251" s="86" t="e">
        <f t="shared" ref="AR251" si="2252">+AR250/AR249</f>
        <v>#DIV/0!</v>
      </c>
      <c r="AS251" s="86" t="e">
        <f t="shared" ref="AS251" si="2253">+AS250/AS249</f>
        <v>#DIV/0!</v>
      </c>
      <c r="AT251" s="86" t="e">
        <f t="shared" ref="AT251" si="2254">+AT250/AT249</f>
        <v>#DIV/0!</v>
      </c>
      <c r="AU251" s="86" t="e">
        <f t="shared" ref="AU251" si="2255">+AU250/AU249</f>
        <v>#DIV/0!</v>
      </c>
      <c r="AV251" s="86" t="e">
        <f t="shared" ref="AV251" si="2256">+AV250/AV249</f>
        <v>#DIV/0!</v>
      </c>
      <c r="AW251" s="86" t="e">
        <f t="shared" ref="AW251" si="2257">+AW250/AW249</f>
        <v>#DIV/0!</v>
      </c>
      <c r="AX251" s="86" t="e">
        <f t="shared" ref="AX251" si="2258">+AX250/AX249</f>
        <v>#DIV/0!</v>
      </c>
      <c r="AY251" s="86" t="e">
        <f t="shared" ref="AY251" si="2259">+AY250/AY249</f>
        <v>#DIV/0!</v>
      </c>
      <c r="AZ251" s="86" t="e">
        <f t="shared" ref="AZ251" si="2260">+AZ250/AZ249</f>
        <v>#DIV/0!</v>
      </c>
      <c r="BA251" s="86" t="e">
        <f t="shared" ref="BA251" si="2261">+BA250/BA249</f>
        <v>#DIV/0!</v>
      </c>
      <c r="BB251" s="86" t="e">
        <f t="shared" ref="BB251" si="2262">+BB250/BB249</f>
        <v>#DIV/0!</v>
      </c>
      <c r="BC251" s="86" t="e">
        <f t="shared" ref="BC251" si="2263">+BC250/BC249</f>
        <v>#DIV/0!</v>
      </c>
      <c r="BD251" s="86" t="e">
        <f t="shared" ref="BD251" si="2264">+BD250/BD249</f>
        <v>#DIV/0!</v>
      </c>
      <c r="BE251" s="86" t="e">
        <f t="shared" ref="BE251" si="2265">+BE250/BE249</f>
        <v>#DIV/0!</v>
      </c>
      <c r="BF251" s="86" t="e">
        <f t="shared" ref="BF251" si="2266">+BF250/BF249</f>
        <v>#DIV/0!</v>
      </c>
      <c r="BG251" s="86" t="e">
        <f t="shared" ref="BG251" si="2267">+BG250/BG249</f>
        <v>#DIV/0!</v>
      </c>
      <c r="BH251" s="86" t="e">
        <f t="shared" ref="BH251" si="2268">+BH250/BH249</f>
        <v>#DIV/0!</v>
      </c>
      <c r="BI251" s="86" t="e">
        <f t="shared" ref="BI251" si="2269">+BI250/BI249</f>
        <v>#DIV/0!</v>
      </c>
      <c r="BJ251" s="86" t="e">
        <f t="shared" ref="BJ251" si="2270">+BJ250/BJ249</f>
        <v>#DIV/0!</v>
      </c>
      <c r="BK251" s="86" t="e">
        <f t="shared" ref="BK251" si="2271">+BK250/BK249</f>
        <v>#DIV/0!</v>
      </c>
      <c r="BL251" s="86" t="e">
        <f t="shared" ref="BL251" si="2272">+BL250/BL249</f>
        <v>#DIV/0!</v>
      </c>
      <c r="BM251" s="86" t="e">
        <f t="shared" ref="BM251" si="2273">+BM250/BM249</f>
        <v>#DIV/0!</v>
      </c>
      <c r="BN251" s="86" t="e">
        <f t="shared" ref="BN251" si="2274">+BN250/BN249</f>
        <v>#DIV/0!</v>
      </c>
      <c r="BO251" s="86" t="e">
        <f t="shared" ref="BO251" si="2275">+BO250/BO249</f>
        <v>#DIV/0!</v>
      </c>
      <c r="BP251" s="86" t="e">
        <f t="shared" ref="BP251" si="2276">+BP250/BP249</f>
        <v>#DIV/0!</v>
      </c>
      <c r="BQ251" s="86" t="e">
        <f t="shared" ref="BQ251" si="2277">+BQ250/BQ249</f>
        <v>#DIV/0!</v>
      </c>
      <c r="BR251" s="86" t="e">
        <f t="shared" ref="BR251" si="2278">+BR250/BR249</f>
        <v>#DIV/0!</v>
      </c>
      <c r="BS251" s="86" t="e">
        <f t="shared" ref="BS251" si="2279">+BS250/BS249</f>
        <v>#DIV/0!</v>
      </c>
      <c r="BT251" s="86" t="e">
        <f t="shared" ref="BT251" si="2280">+BT250/BT249</f>
        <v>#DIV/0!</v>
      </c>
      <c r="BU251" s="86" t="e">
        <f t="shared" ref="BU251" si="2281">+BU250/BU249</f>
        <v>#DIV/0!</v>
      </c>
      <c r="BV251" s="86" t="e">
        <f t="shared" ref="BV251" si="2282">+BV250/BV249</f>
        <v>#DIV/0!</v>
      </c>
      <c r="BW251" s="86" t="e">
        <f t="shared" ref="BW251" si="2283">+BW250/BW249</f>
        <v>#DIV/0!</v>
      </c>
      <c r="BX251" s="86" t="e">
        <f t="shared" ref="BX251" si="2284">+BX250/BX249</f>
        <v>#DIV/0!</v>
      </c>
      <c r="BY251" s="86" t="e">
        <f t="shared" ref="BY251" si="2285">+BY250/BY249</f>
        <v>#DIV/0!</v>
      </c>
      <c r="BZ251" s="86" t="e">
        <f t="shared" ref="BZ251" si="2286">+BZ250/BZ249</f>
        <v>#DIV/0!</v>
      </c>
      <c r="CA251" s="86" t="e">
        <f t="shared" ref="CA251" si="2287">+CA250/CA249</f>
        <v>#DIV/0!</v>
      </c>
      <c r="CB251" s="86" t="e">
        <f t="shared" ref="CB251:CC251" si="2288">+CB250/CB249</f>
        <v>#DIV/0!</v>
      </c>
      <c r="CC251" s="86" t="e">
        <f t="shared" si="2288"/>
        <v>#DIV/0!</v>
      </c>
      <c r="CD251" s="86" t="e">
        <f t="shared" ref="CD251" si="2289">+CD250/CD249</f>
        <v>#DIV/0!</v>
      </c>
      <c r="CE251" s="86" t="e">
        <f t="shared" ref="CE251:CF251" si="2290">+CE250/CE249</f>
        <v>#DIV/0!</v>
      </c>
      <c r="CF251" s="86" t="e">
        <f t="shared" si="2290"/>
        <v>#DIV/0!</v>
      </c>
      <c r="CG251" s="86" t="e">
        <f t="shared" ref="CG251:CH251" si="2291">+CG250/CG249</f>
        <v>#DIV/0!</v>
      </c>
      <c r="CH251" s="86" t="e">
        <f t="shared" si="2291"/>
        <v>#DIV/0!</v>
      </c>
      <c r="CI251" s="86" t="e">
        <f t="shared" ref="CI251:CJ251" si="2292">+CI250/CI249</f>
        <v>#DIV/0!</v>
      </c>
      <c r="CJ251" s="86" t="e">
        <f t="shared" si="2292"/>
        <v>#DIV/0!</v>
      </c>
      <c r="CK251" s="86" t="e">
        <f t="shared" ref="CK251:DB251" si="2293">+CK250/CK249</f>
        <v>#DIV/0!</v>
      </c>
      <c r="CL251" s="86" t="e">
        <f t="shared" si="2293"/>
        <v>#DIV/0!</v>
      </c>
      <c r="CM251" s="47" t="e">
        <f t="shared" si="2293"/>
        <v>#DIV/0!</v>
      </c>
      <c r="CN251" s="47" t="e">
        <f t="shared" si="2293"/>
        <v>#DIV/0!</v>
      </c>
      <c r="CO251" s="47" t="e">
        <f t="shared" si="2293"/>
        <v>#DIV/0!</v>
      </c>
      <c r="CP251" s="47" t="e">
        <f t="shared" si="2293"/>
        <v>#DIV/0!</v>
      </c>
      <c r="CQ251" s="47" t="e">
        <f t="shared" si="2293"/>
        <v>#DIV/0!</v>
      </c>
      <c r="CR251" s="47" t="e">
        <f t="shared" si="2293"/>
        <v>#DIV/0!</v>
      </c>
      <c r="CS251" s="47" t="e">
        <f t="shared" si="2293"/>
        <v>#DIV/0!</v>
      </c>
      <c r="CT251" s="47" t="e">
        <f t="shared" si="2293"/>
        <v>#DIV/0!</v>
      </c>
      <c r="CU251" s="47" t="e">
        <f t="shared" si="2293"/>
        <v>#DIV/0!</v>
      </c>
      <c r="CV251" s="47" t="e">
        <f t="shared" si="2293"/>
        <v>#DIV/0!</v>
      </c>
      <c r="CW251" s="47" t="e">
        <f t="shared" si="2293"/>
        <v>#DIV/0!</v>
      </c>
      <c r="CX251" s="47" t="e">
        <f t="shared" si="2293"/>
        <v>#DIV/0!</v>
      </c>
      <c r="CY251" s="47" t="e">
        <f t="shared" si="2293"/>
        <v>#DIV/0!</v>
      </c>
      <c r="CZ251" s="47" t="e">
        <f t="shared" si="2293"/>
        <v>#DIV/0!</v>
      </c>
      <c r="DA251" s="47" t="e">
        <f t="shared" si="2293"/>
        <v>#DIV/0!</v>
      </c>
      <c r="DB251" s="47" t="e">
        <f t="shared" si="2293"/>
        <v>#DIV/0!</v>
      </c>
      <c r="DE251" s="130"/>
    </row>
    <row r="252" spans="1:110" s="64" customFormat="1" hidden="1" outlineLevel="1" x14ac:dyDescent="0.2">
      <c r="A252" s="64" t="s">
        <v>481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11" customFormat="1" collapsed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2" customFormat="1" x14ac:dyDescent="0.2">
      <c r="A255" s="154" t="s">
        <v>497</v>
      </c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63"/>
      <c r="AC255" s="63"/>
      <c r="AD255" s="63"/>
      <c r="AE255" s="63"/>
      <c r="AL255" s="180"/>
      <c r="CF255" s="180"/>
      <c r="CG255" s="180"/>
      <c r="CH255" s="180"/>
      <c r="CI255" s="180"/>
      <c r="CJ255" s="180"/>
      <c r="CK255" s="180"/>
      <c r="CL255" s="18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84" customFormat="1" x14ac:dyDescent="0.2">
      <c r="A256" s="84" t="s">
        <v>512</v>
      </c>
      <c r="B256" s="84" t="e">
        <f>B15/B177</f>
        <v>#DIV/0!</v>
      </c>
      <c r="C256" s="84" t="e">
        <f>C15/C177</f>
        <v>#DIV/0!</v>
      </c>
      <c r="D256" s="84" t="e">
        <f>D15/D177</f>
        <v>#DIV/0!</v>
      </c>
      <c r="E256" s="84" t="e">
        <f t="shared" ref="E256:Y256" si="2294">E17/(E173+E160+E150)</f>
        <v>#DIV/0!</v>
      </c>
      <c r="F256" s="84" t="e">
        <f t="shared" si="2294"/>
        <v>#DIV/0!</v>
      </c>
      <c r="G256" s="84" t="e">
        <f t="shared" si="2294"/>
        <v>#DIV/0!</v>
      </c>
      <c r="H256" s="84" t="e">
        <f t="shared" si="2294"/>
        <v>#DIV/0!</v>
      </c>
      <c r="I256" s="84" t="e">
        <f t="shared" si="2294"/>
        <v>#DIV/0!</v>
      </c>
      <c r="J256" s="84" t="e">
        <f t="shared" si="2294"/>
        <v>#DIV/0!</v>
      </c>
      <c r="K256" s="84" t="e">
        <f t="shared" si="2294"/>
        <v>#DIV/0!</v>
      </c>
      <c r="L256" s="84" t="e">
        <f t="shared" si="2294"/>
        <v>#DIV/0!</v>
      </c>
      <c r="M256" s="84" t="e">
        <f t="shared" si="2294"/>
        <v>#DIV/0!</v>
      </c>
      <c r="N256" s="84" t="e">
        <f t="shared" si="2294"/>
        <v>#DIV/0!</v>
      </c>
      <c r="O256" s="84" t="e">
        <f t="shared" si="2294"/>
        <v>#DIV/0!</v>
      </c>
      <c r="P256" s="84" t="e">
        <f t="shared" si="2294"/>
        <v>#DIV/0!</v>
      </c>
      <c r="Q256" s="84" t="e">
        <f t="shared" si="2294"/>
        <v>#DIV/0!</v>
      </c>
      <c r="R256" s="84" t="e">
        <f t="shared" si="2294"/>
        <v>#DIV/0!</v>
      </c>
      <c r="S256" s="84">
        <f t="shared" si="2294"/>
        <v>1.3781914399684076</v>
      </c>
      <c r="T256" s="84">
        <f t="shared" si="2294"/>
        <v>1.4858896161293267</v>
      </c>
      <c r="U256" s="84">
        <f t="shared" si="2294"/>
        <v>1.0483040920278504</v>
      </c>
      <c r="V256" s="84">
        <f t="shared" si="2294"/>
        <v>1.4157417959813754</v>
      </c>
      <c r="W256" s="84">
        <f t="shared" si="2294"/>
        <v>1.5295003692142943</v>
      </c>
      <c r="X256" s="84">
        <f t="shared" si="2294"/>
        <v>0.65163019927173016</v>
      </c>
      <c r="Y256" s="84">
        <f t="shared" si="2294"/>
        <v>0.71646874712326247</v>
      </c>
      <c r="Z256" s="84">
        <f>Z17/(Z173+Z160+Z150)</f>
        <v>1.1242500521819179</v>
      </c>
      <c r="AA256" s="84">
        <f>AA17/(AA173+AA160+AA150)</f>
        <v>1.4304218465736813</v>
      </c>
      <c r="AB256" s="50">
        <f t="shared" ref="AA256:AE256" si="2295">AB17/(AB173+AB160+AB150)</f>
        <v>1.4115046463128249</v>
      </c>
      <c r="AC256" s="50">
        <f t="shared" si="2295"/>
        <v>1.3865610139170594</v>
      </c>
      <c r="AD256" s="50">
        <f t="shared" si="2295"/>
        <v>1.3594549079923355</v>
      </c>
      <c r="AE256" s="50">
        <f t="shared" si="2295"/>
        <v>1.3351415009208418</v>
      </c>
      <c r="AL256" s="84" t="e">
        <f>SUM(AI17:AL17)/(AL173+AL160+AL150)</f>
        <v>#DIV/0!</v>
      </c>
      <c r="AM256" s="84" t="e">
        <f t="shared" ref="AM256:CL256" si="2296">SUM(AJ17:AM17)/(AM173+AM160+AM150)</f>
        <v>#DIV/0!</v>
      </c>
      <c r="AN256" s="84" t="e">
        <f t="shared" si="2296"/>
        <v>#DIV/0!</v>
      </c>
      <c r="AO256" s="84" t="e">
        <f t="shared" si="2296"/>
        <v>#DIV/0!</v>
      </c>
      <c r="AP256" s="84" t="e">
        <f t="shared" si="2296"/>
        <v>#DIV/0!</v>
      </c>
      <c r="AQ256" s="84" t="e">
        <f t="shared" si="2296"/>
        <v>#DIV/0!</v>
      </c>
      <c r="AR256" s="84" t="e">
        <f t="shared" si="2296"/>
        <v>#DIV/0!</v>
      </c>
      <c r="AS256" s="84" t="e">
        <f t="shared" si="2296"/>
        <v>#DIV/0!</v>
      </c>
      <c r="AT256" s="84" t="e">
        <f t="shared" si="2296"/>
        <v>#DIV/0!</v>
      </c>
      <c r="AU256" s="84" t="e">
        <f t="shared" si="2296"/>
        <v>#DIV/0!</v>
      </c>
      <c r="AV256" s="84" t="e">
        <f t="shared" si="2296"/>
        <v>#DIV/0!</v>
      </c>
      <c r="AW256" s="84" t="e">
        <f t="shared" si="2296"/>
        <v>#DIV/0!</v>
      </c>
      <c r="AX256" s="84" t="e">
        <f t="shared" si="2296"/>
        <v>#DIV/0!</v>
      </c>
      <c r="AY256" s="84" t="e">
        <f t="shared" si="2296"/>
        <v>#DIV/0!</v>
      </c>
      <c r="AZ256" s="84" t="e">
        <f t="shared" si="2296"/>
        <v>#DIV/0!</v>
      </c>
      <c r="BA256" s="84" t="e">
        <f t="shared" si="2296"/>
        <v>#DIV/0!</v>
      </c>
      <c r="BB256" s="84" t="e">
        <f t="shared" si="2296"/>
        <v>#DIV/0!</v>
      </c>
      <c r="BC256" s="84" t="e">
        <f t="shared" si="2296"/>
        <v>#DIV/0!</v>
      </c>
      <c r="BD256" s="84" t="e">
        <f t="shared" si="2296"/>
        <v>#DIV/0!</v>
      </c>
      <c r="BE256" s="84" t="e">
        <f t="shared" si="2296"/>
        <v>#DIV/0!</v>
      </c>
      <c r="BF256" s="84" t="e">
        <f t="shared" si="2296"/>
        <v>#DIV/0!</v>
      </c>
      <c r="BG256" s="84" t="e">
        <f t="shared" si="2296"/>
        <v>#DIV/0!</v>
      </c>
      <c r="BH256" s="84" t="e">
        <f t="shared" si="2296"/>
        <v>#DIV/0!</v>
      </c>
      <c r="BI256" s="84">
        <f t="shared" si="2296"/>
        <v>21.686216560778</v>
      </c>
      <c r="BJ256" s="84">
        <f t="shared" si="2296"/>
        <v>1.2018713025645005</v>
      </c>
      <c r="BK256" s="84">
        <f t="shared" si="2296"/>
        <v>1.7008426268318084</v>
      </c>
      <c r="BL256" s="84">
        <f t="shared" si="2296"/>
        <v>1.1092555683450396</v>
      </c>
      <c r="BM256" s="84">
        <f t="shared" si="2296"/>
        <v>1.0344163679744927</v>
      </c>
      <c r="BN256" s="84">
        <f t="shared" si="2296"/>
        <v>1.1154798513838231</v>
      </c>
      <c r="BO256" s="84">
        <f t="shared" si="2296"/>
        <v>1.3685583605938441</v>
      </c>
      <c r="BP256" s="84">
        <f t="shared" si="2296"/>
        <v>1.3043185889031943</v>
      </c>
      <c r="BQ256" s="84">
        <f t="shared" si="2296"/>
        <v>1.3612994973489974</v>
      </c>
      <c r="BR256" s="84">
        <f t="shared" si="2296"/>
        <v>1.4157417959813756</v>
      </c>
      <c r="BS256" s="84">
        <f t="shared" si="2296"/>
        <v>1.5869487113353067</v>
      </c>
      <c r="BT256" s="84">
        <f t="shared" si="2296"/>
        <v>1.6192381591387357</v>
      </c>
      <c r="BU256" s="84">
        <f t="shared" si="2296"/>
        <v>1.8797321475649282</v>
      </c>
      <c r="BV256" s="84">
        <f t="shared" si="2296"/>
        <v>1.5295003692142943</v>
      </c>
      <c r="BW256" s="84">
        <f t="shared" si="2296"/>
        <v>1.6167882687968271</v>
      </c>
      <c r="BX256" s="84">
        <f t="shared" si="2296"/>
        <v>1.215343243267363</v>
      </c>
      <c r="BY256" s="84">
        <f t="shared" si="2296"/>
        <v>0.81708999112823444</v>
      </c>
      <c r="BZ256" s="84">
        <f t="shared" si="2296"/>
        <v>0.65163019927173005</v>
      </c>
      <c r="CA256" s="84">
        <f t="shared" si="2296"/>
        <v>0.21576758031778726</v>
      </c>
      <c r="CB256" s="84">
        <f t="shared" si="2296"/>
        <v>0.45191477844335837</v>
      </c>
      <c r="CC256" s="84">
        <f t="shared" si="2296"/>
        <v>0.54900441038179859</v>
      </c>
      <c r="CD256" s="84">
        <f t="shared" si="2296"/>
        <v>0.71646874712326247</v>
      </c>
      <c r="CE256" s="84">
        <f t="shared" si="2296"/>
        <v>0.87994406962364813</v>
      </c>
      <c r="CF256" s="84">
        <f t="shared" si="2296"/>
        <v>0.76686446358964167</v>
      </c>
      <c r="CG256" s="84">
        <f t="shared" si="2296"/>
        <v>0.81899314625162289</v>
      </c>
      <c r="CH256" s="84">
        <f t="shared" si="2296"/>
        <v>1.1242500521819181</v>
      </c>
      <c r="CI256" s="84">
        <f t="shared" si="2296"/>
        <v>1.5834162569998129</v>
      </c>
      <c r="CJ256" s="84">
        <f t="shared" si="2296"/>
        <v>1.6317575556431374</v>
      </c>
      <c r="CK256" s="84">
        <f t="shared" ref="CK256" si="2297">SUM(CH17:CK17)/(CK173+CK160+CK150)</f>
        <v>1.4907698904746056</v>
      </c>
      <c r="CL256" s="84">
        <f t="shared" si="2296"/>
        <v>1.4304218465736813</v>
      </c>
      <c r="CM256" s="50">
        <f t="shared" ref="CM256:DB256" si="2298">SUM(CJ17:CM17)/(CM173+CM160+CM150)</f>
        <v>1.3178142734728044</v>
      </c>
      <c r="CN256" s="50">
        <f t="shared" si="2298"/>
        <v>1.4709118143246267</v>
      </c>
      <c r="CO256" s="50">
        <f t="shared" si="2298"/>
        <v>1.4219679295833796</v>
      </c>
      <c r="CP256" s="50">
        <f t="shared" si="2298"/>
        <v>1.4115046463128249</v>
      </c>
      <c r="CQ256" s="50">
        <f t="shared" si="2298"/>
        <v>1.3438432149196244</v>
      </c>
      <c r="CR256" s="50">
        <f t="shared" si="2298"/>
        <v>1.4849081884396822</v>
      </c>
      <c r="CS256" s="50">
        <f t="shared" si="2298"/>
        <v>1.4473884831103612</v>
      </c>
      <c r="CT256" s="50">
        <f t="shared" si="2298"/>
        <v>1.3865610139170594</v>
      </c>
      <c r="CU256" s="50">
        <f t="shared" si="2298"/>
        <v>1.3304919869549452</v>
      </c>
      <c r="CV256" s="50">
        <f t="shared" si="2298"/>
        <v>1.4653564684789415</v>
      </c>
      <c r="CW256" s="50">
        <f t="shared" si="2298"/>
        <v>1.4260993686997432</v>
      </c>
      <c r="CX256" s="50">
        <f t="shared" si="2298"/>
        <v>1.3594549079923355</v>
      </c>
      <c r="CY256" s="50">
        <f t="shared" si="2298"/>
        <v>1.3075864602419958</v>
      </c>
      <c r="CZ256" s="50">
        <f t="shared" si="2298"/>
        <v>1.4395445688110553</v>
      </c>
      <c r="DA256" s="50">
        <f t="shared" si="2298"/>
        <v>1.4005749263455791</v>
      </c>
      <c r="DB256" s="50">
        <f t="shared" si="2298"/>
        <v>1.3351415009208418</v>
      </c>
      <c r="DE256" s="138"/>
      <c r="DF256" s="84">
        <v>1.0293268659400143</v>
      </c>
    </row>
    <row r="257" spans="1:110" s="84" customFormat="1" x14ac:dyDescent="0.2">
      <c r="A257" s="84" t="s">
        <v>513</v>
      </c>
      <c r="E257" s="181" t="e">
        <f>+E49</f>
        <v>#DIV/0!</v>
      </c>
      <c r="F257" s="181" t="e">
        <f t="shared" ref="F257:AE257" si="2299">+F49</f>
        <v>#DIV/0!</v>
      </c>
      <c r="G257" s="181" t="e">
        <f t="shared" si="2299"/>
        <v>#DIV/0!</v>
      </c>
      <c r="H257" s="181" t="e">
        <f t="shared" si="2299"/>
        <v>#DIV/0!</v>
      </c>
      <c r="I257" s="181" t="e">
        <f t="shared" si="2299"/>
        <v>#DIV/0!</v>
      </c>
      <c r="J257" s="181" t="e">
        <f t="shared" si="2299"/>
        <v>#DIV/0!</v>
      </c>
      <c r="K257" s="181" t="e">
        <f t="shared" si="2299"/>
        <v>#DIV/0!</v>
      </c>
      <c r="L257" s="181" t="e">
        <f t="shared" si="2299"/>
        <v>#DIV/0!</v>
      </c>
      <c r="M257" s="181" t="e">
        <f t="shared" si="2299"/>
        <v>#DIV/0!</v>
      </c>
      <c r="N257" s="181" t="e">
        <f t="shared" si="2299"/>
        <v>#DIV/0!</v>
      </c>
      <c r="O257" s="181" t="e">
        <f t="shared" si="2299"/>
        <v>#DIV/0!</v>
      </c>
      <c r="P257" s="181" t="e">
        <f t="shared" si="2299"/>
        <v>#DIV/0!</v>
      </c>
      <c r="Q257" s="181" t="e">
        <f t="shared" si="2299"/>
        <v>#DIV/0!</v>
      </c>
      <c r="R257" s="181" t="e">
        <f t="shared" si="2299"/>
        <v>#DIV/0!</v>
      </c>
      <c r="S257" s="181">
        <f t="shared" si="2299"/>
        <v>6.5563757947805709E-2</v>
      </c>
      <c r="T257" s="181">
        <f t="shared" si="2299"/>
        <v>7.7451626181616232E-2</v>
      </c>
      <c r="U257" s="181">
        <f t="shared" si="2299"/>
        <v>5.4574739609957464E-2</v>
      </c>
      <c r="V257" s="181">
        <f t="shared" si="2299"/>
        <v>-5.7085498346717001E-2</v>
      </c>
      <c r="W257" s="181">
        <f t="shared" si="2299"/>
        <v>-0.17614359850277181</v>
      </c>
      <c r="X257" s="181">
        <f t="shared" si="2299"/>
        <v>-0.58310380593644695</v>
      </c>
      <c r="Y257" s="181">
        <f t="shared" si="2299"/>
        <v>-6.9444581714914536E-2</v>
      </c>
      <c r="Z257" s="181">
        <f t="shared" si="2299"/>
        <v>1.3575357116787737E-2</v>
      </c>
      <c r="AA257" s="181">
        <f t="shared" ref="AA257" si="2300">+AA49</f>
        <v>4.1752505614032855E-2</v>
      </c>
      <c r="AB257" s="182">
        <f t="shared" si="2299"/>
        <v>4.320707257480734E-2</v>
      </c>
      <c r="AC257" s="182">
        <f t="shared" si="2299"/>
        <v>4.4301854929120532E-2</v>
      </c>
      <c r="AD257" s="182">
        <f t="shared" si="2299"/>
        <v>4.3769186046542084E-2</v>
      </c>
      <c r="AE257" s="182">
        <f t="shared" si="2299"/>
        <v>4.2916704203143093E-2</v>
      </c>
      <c r="AL257" s="181" t="e">
        <f t="shared" ref="AL257:CW257" si="2301">+AL49</f>
        <v>#DIV/0!</v>
      </c>
      <c r="AM257" s="181" t="e">
        <f t="shared" si="2301"/>
        <v>#DIV/0!</v>
      </c>
      <c r="AN257" s="181" t="e">
        <f t="shared" si="2301"/>
        <v>#DIV/0!</v>
      </c>
      <c r="AO257" s="181" t="e">
        <f t="shared" si="2301"/>
        <v>#DIV/0!</v>
      </c>
      <c r="AP257" s="181" t="e">
        <f t="shared" si="2301"/>
        <v>#DIV/0!</v>
      </c>
      <c r="AQ257" s="181" t="e">
        <f t="shared" si="2301"/>
        <v>#DIV/0!</v>
      </c>
      <c r="AR257" s="181" t="e">
        <f t="shared" si="2301"/>
        <v>#DIV/0!</v>
      </c>
      <c r="AS257" s="181" t="e">
        <f t="shared" si="2301"/>
        <v>#DIV/0!</v>
      </c>
      <c r="AT257" s="181" t="e">
        <f t="shared" si="2301"/>
        <v>#DIV/0!</v>
      </c>
      <c r="AU257" s="181" t="e">
        <f t="shared" si="2301"/>
        <v>#DIV/0!</v>
      </c>
      <c r="AV257" s="181" t="e">
        <f t="shared" si="2301"/>
        <v>#DIV/0!</v>
      </c>
      <c r="AW257" s="181" t="e">
        <f t="shared" si="2301"/>
        <v>#DIV/0!</v>
      </c>
      <c r="AX257" s="181" t="e">
        <f t="shared" si="2301"/>
        <v>#DIV/0!</v>
      </c>
      <c r="AY257" s="181" t="e">
        <f t="shared" si="2301"/>
        <v>#DIV/0!</v>
      </c>
      <c r="AZ257" s="181" t="e">
        <f t="shared" si="2301"/>
        <v>#DIV/0!</v>
      </c>
      <c r="BA257" s="181" t="e">
        <f t="shared" si="2301"/>
        <v>#DIV/0!</v>
      </c>
      <c r="BB257" s="181" t="e">
        <f t="shared" si="2301"/>
        <v>#DIV/0!</v>
      </c>
      <c r="BC257" s="181" t="e">
        <f t="shared" si="2301"/>
        <v>#DIV/0!</v>
      </c>
      <c r="BD257" s="181" t="e">
        <f t="shared" si="2301"/>
        <v>#DIV/0!</v>
      </c>
      <c r="BE257" s="181" t="e">
        <f t="shared" si="2301"/>
        <v>#DIV/0!</v>
      </c>
      <c r="BF257" s="181" t="e">
        <f t="shared" si="2301"/>
        <v>#DIV/0!</v>
      </c>
      <c r="BG257" s="181" t="e">
        <f t="shared" si="2301"/>
        <v>#DIV/0!</v>
      </c>
      <c r="BH257" s="181">
        <f t="shared" si="2301"/>
        <v>2.36039585700193E-2</v>
      </c>
      <c r="BI257" s="181">
        <f t="shared" si="2301"/>
        <v>0.11465792220494736</v>
      </c>
      <c r="BJ257" s="181">
        <f t="shared" si="2301"/>
        <v>0.12678259328833211</v>
      </c>
      <c r="BK257" s="181">
        <f t="shared" si="2301"/>
        <v>3.695730752239048E-2</v>
      </c>
      <c r="BL257" s="181">
        <f t="shared" si="2301"/>
        <v>6.6544878616979372E-2</v>
      </c>
      <c r="BM257" s="181">
        <f t="shared" si="2301"/>
        <v>4.6703722938253367E-2</v>
      </c>
      <c r="BN257" s="181">
        <f t="shared" si="2301"/>
        <v>6.2403245609352495E-2</v>
      </c>
      <c r="BO257" s="181">
        <f t="shared" si="2301"/>
        <v>1.6125105346942691E-2</v>
      </c>
      <c r="BP257" s="181">
        <f t="shared" si="2301"/>
        <v>1.1289586497385313E-2</v>
      </c>
      <c r="BQ257" s="181">
        <f t="shared" si="2301"/>
        <v>1.7114802588947462E-2</v>
      </c>
      <c r="BR257" s="181">
        <f t="shared" si="2301"/>
        <v>-0.25268588681900123</v>
      </c>
      <c r="BS257" s="181">
        <f t="shared" si="2301"/>
        <v>-6.363476557595231E-2</v>
      </c>
      <c r="BT257" s="181">
        <f t="shared" si="2301"/>
        <v>-0.19768217905757698</v>
      </c>
      <c r="BU257" s="181">
        <f t="shared" si="2301"/>
        <v>-0.28683622546593002</v>
      </c>
      <c r="BV257" s="181">
        <f t="shared" si="2301"/>
        <v>-0.11821330868416395</v>
      </c>
      <c r="BW257" s="181">
        <f t="shared" si="2301"/>
        <v>-0.29495496839087593</v>
      </c>
      <c r="BX257" s="181">
        <f t="shared" si="2301"/>
        <v>-0.95529118296075965</v>
      </c>
      <c r="BY257" s="181">
        <f t="shared" si="2301"/>
        <v>-0.24363573815608408</v>
      </c>
      <c r="BZ257" s="181">
        <f t="shared" si="2301"/>
        <v>-4.7620716951260871</v>
      </c>
      <c r="CA257" s="181">
        <f t="shared" si="2301"/>
        <v>-0.18510175547615332</v>
      </c>
      <c r="CB257" s="181">
        <f t="shared" si="2301"/>
        <v>-7.1769012007583788E-2</v>
      </c>
      <c r="CC257" s="181">
        <f t="shared" si="2301"/>
        <v>-0.1070374691188581</v>
      </c>
      <c r="CD257" s="181">
        <f t="shared" si="2301"/>
        <v>1.1884449198223811E-3</v>
      </c>
      <c r="CE257" s="181">
        <f t="shared" si="2301"/>
        <v>5.2783424037766858E-3</v>
      </c>
      <c r="CF257" s="181">
        <f t="shared" si="2301"/>
        <v>8.3164319886656207E-3</v>
      </c>
      <c r="CG257" s="181">
        <f t="shared" si="2301"/>
        <v>9.3294143261485035E-3</v>
      </c>
      <c r="CH257" s="181">
        <f t="shared" si="2301"/>
        <v>2.1837077380503542E-2</v>
      </c>
      <c r="CI257" s="181">
        <f t="shared" si="2301"/>
        <v>2.1962614169831366E-2</v>
      </c>
      <c r="CJ257" s="181">
        <f t="shared" si="2301"/>
        <v>5.8606885508406641E-2</v>
      </c>
      <c r="CK257" s="181">
        <f t="shared" si="2301"/>
        <v>1.5481237543076535E-2</v>
      </c>
      <c r="CL257" s="181">
        <f t="shared" ref="CL257" si="2302">+CL49</f>
        <v>7.2774091416059686E-2</v>
      </c>
      <c r="CM257" s="182">
        <f t="shared" si="2301"/>
        <v>3.7547114170151108E-2</v>
      </c>
      <c r="CN257" s="182">
        <f t="shared" si="2301"/>
        <v>4.098067092218468E-2</v>
      </c>
      <c r="CO257" s="182">
        <f t="shared" si="2301"/>
        <v>4.5098910377153259E-2</v>
      </c>
      <c r="CP257" s="182">
        <f t="shared" si="2301"/>
        <v>4.8772219235390442E-2</v>
      </c>
      <c r="CQ257" s="182">
        <f t="shared" si="2301"/>
        <v>4.3036296252827247E-2</v>
      </c>
      <c r="CR257" s="182">
        <f t="shared" si="2301"/>
        <v>4.4982529146297377E-2</v>
      </c>
      <c r="CS257" s="182">
        <f t="shared" si="2301"/>
        <v>4.4645958468681961E-2</v>
      </c>
      <c r="CT257" s="182">
        <f t="shared" si="2301"/>
        <v>4.462797761905974E-2</v>
      </c>
      <c r="CU257" s="182">
        <f t="shared" si="2301"/>
        <v>4.3895005414438561E-2</v>
      </c>
      <c r="CV257" s="182">
        <f t="shared" si="2301"/>
        <v>4.4593938857528555E-2</v>
      </c>
      <c r="CW257" s="182">
        <f t="shared" si="2301"/>
        <v>4.3379162549135805E-2</v>
      </c>
      <c r="CX257" s="182">
        <f t="shared" ref="CX257:DB257" si="2303">+CX49</f>
        <v>4.3300224659012114E-2</v>
      </c>
      <c r="CY257" s="182">
        <f t="shared" si="2303"/>
        <v>4.3382640759127157E-2</v>
      </c>
      <c r="CZ257" s="182">
        <f t="shared" si="2303"/>
        <v>4.3634368692608928E-2</v>
      </c>
      <c r="DA257" s="182">
        <f t="shared" si="2303"/>
        <v>4.2325160762244303E-2</v>
      </c>
      <c r="DB257" s="182">
        <f t="shared" si="2303"/>
        <v>4.2396322806553734E-2</v>
      </c>
      <c r="DE257" s="138"/>
      <c r="DF257" s="84">
        <v>2.1080979911235129E-2</v>
      </c>
    </row>
    <row r="258" spans="1:110" s="84" customFormat="1" x14ac:dyDescent="0.2">
      <c r="A258" s="84" t="s">
        <v>514</v>
      </c>
      <c r="E258" s="84" t="e">
        <f>(E173+E160+E150+E152)/E132</f>
        <v>#DIV/0!</v>
      </c>
      <c r="F258" s="84" t="e">
        <f t="shared" ref="F258:AE258" si="2304">(F173+F160+F150+F152)/F132</f>
        <v>#DIV/0!</v>
      </c>
      <c r="G258" s="84" t="e">
        <f t="shared" si="2304"/>
        <v>#DIV/0!</v>
      </c>
      <c r="H258" s="84" t="e">
        <f t="shared" si="2304"/>
        <v>#DIV/0!</v>
      </c>
      <c r="I258" s="84" t="e">
        <f t="shared" si="2304"/>
        <v>#DIV/0!</v>
      </c>
      <c r="J258" s="84" t="e">
        <f t="shared" si="2304"/>
        <v>#DIV/0!</v>
      </c>
      <c r="K258" s="84" t="e">
        <f t="shared" si="2304"/>
        <v>#DIV/0!</v>
      </c>
      <c r="L258" s="84" t="e">
        <f t="shared" si="2304"/>
        <v>#DIV/0!</v>
      </c>
      <c r="M258" s="84" t="e">
        <f t="shared" si="2304"/>
        <v>#DIV/0!</v>
      </c>
      <c r="N258" s="84" t="e">
        <f t="shared" si="2304"/>
        <v>#DIV/0!</v>
      </c>
      <c r="O258" s="84" t="e">
        <f t="shared" si="2304"/>
        <v>#DIV/0!</v>
      </c>
      <c r="P258" s="84" t="e">
        <f t="shared" si="2304"/>
        <v>#DIV/0!</v>
      </c>
      <c r="Q258" s="84" t="e">
        <f t="shared" si="2304"/>
        <v>#DIV/0!</v>
      </c>
      <c r="R258" s="84" t="e">
        <f t="shared" si="2304"/>
        <v>#DIV/0!</v>
      </c>
      <c r="S258" s="84">
        <f t="shared" si="2304"/>
        <v>25.362468271690972</v>
      </c>
      <c r="T258" s="84">
        <f t="shared" si="2304"/>
        <v>6.5942145478153531</v>
      </c>
      <c r="U258" s="84">
        <f t="shared" si="2304"/>
        <v>4.9200617969212557</v>
      </c>
      <c r="V258" s="84">
        <f t="shared" si="2304"/>
        <v>5.4221157913821241</v>
      </c>
      <c r="W258" s="84">
        <f t="shared" si="2304"/>
        <v>3.7077424844015878</v>
      </c>
      <c r="X258" s="84">
        <f t="shared" si="2304"/>
        <v>-13.73849298027368</v>
      </c>
      <c r="Y258" s="84">
        <f t="shared" si="2304"/>
        <v>4.3713383616909312</v>
      </c>
      <c r="Z258" s="84">
        <f t="shared" si="2304"/>
        <v>5.5660933807320312</v>
      </c>
      <c r="AA258" s="84">
        <f t="shared" ref="AA258" si="2305">(AA173+AA160+AA150+AA152)/AA132</f>
        <v>8.1212774143901481</v>
      </c>
      <c r="AB258" s="50">
        <f t="shared" si="2304"/>
        <v>6.5322991993071771</v>
      </c>
      <c r="AC258" s="50">
        <f t="shared" si="2304"/>
        <v>5.3180669116729895</v>
      </c>
      <c r="AD258" s="50">
        <f t="shared" si="2304"/>
        <v>4.5559437177705204</v>
      </c>
      <c r="AE258" s="50">
        <f t="shared" si="2304"/>
        <v>4.0708746788409718</v>
      </c>
      <c r="AL258" s="84" t="e">
        <f t="shared" ref="AL258:CW258" si="2306">(AL173+AL160+AL150+AL152)/AL132</f>
        <v>#DIV/0!</v>
      </c>
      <c r="AM258" s="84" t="e">
        <f t="shared" si="2306"/>
        <v>#DIV/0!</v>
      </c>
      <c r="AN258" s="84" t="e">
        <f t="shared" si="2306"/>
        <v>#DIV/0!</v>
      </c>
      <c r="AO258" s="84" t="e">
        <f t="shared" si="2306"/>
        <v>#DIV/0!</v>
      </c>
      <c r="AP258" s="84" t="e">
        <f t="shared" si="2306"/>
        <v>#DIV/0!</v>
      </c>
      <c r="AQ258" s="84" t="e">
        <f t="shared" si="2306"/>
        <v>#DIV/0!</v>
      </c>
      <c r="AR258" s="84" t="e">
        <f t="shared" si="2306"/>
        <v>#DIV/0!</v>
      </c>
      <c r="AS258" s="84" t="e">
        <f t="shared" si="2306"/>
        <v>#DIV/0!</v>
      </c>
      <c r="AT258" s="84" t="e">
        <f t="shared" si="2306"/>
        <v>#DIV/0!</v>
      </c>
      <c r="AU258" s="84" t="e">
        <f t="shared" si="2306"/>
        <v>#DIV/0!</v>
      </c>
      <c r="AV258" s="84" t="e">
        <f t="shared" si="2306"/>
        <v>#DIV/0!</v>
      </c>
      <c r="AW258" s="84" t="e">
        <f t="shared" si="2306"/>
        <v>#DIV/0!</v>
      </c>
      <c r="AX258" s="84" t="e">
        <f t="shared" si="2306"/>
        <v>#DIV/0!</v>
      </c>
      <c r="AY258" s="84" t="e">
        <f t="shared" si="2306"/>
        <v>#DIV/0!</v>
      </c>
      <c r="AZ258" s="84" t="e">
        <f t="shared" si="2306"/>
        <v>#DIV/0!</v>
      </c>
      <c r="BA258" s="84" t="e">
        <f t="shared" si="2306"/>
        <v>#DIV/0!</v>
      </c>
      <c r="BB258" s="84" t="e">
        <f t="shared" si="2306"/>
        <v>#DIV/0!</v>
      </c>
      <c r="BC258" s="84" t="e">
        <f t="shared" si="2306"/>
        <v>#DIV/0!</v>
      </c>
      <c r="BD258" s="84" t="e">
        <f t="shared" si="2306"/>
        <v>#DIV/0!</v>
      </c>
      <c r="BE258" s="84" t="e">
        <f t="shared" si="2306"/>
        <v>#DIV/0!</v>
      </c>
      <c r="BF258" s="84" t="e">
        <f t="shared" si="2306"/>
        <v>#DIV/0!</v>
      </c>
      <c r="BG258" s="84" t="e">
        <f t="shared" si="2306"/>
        <v>#DIV/0!</v>
      </c>
      <c r="BH258" s="84" t="e">
        <f t="shared" si="2306"/>
        <v>#DIV/0!</v>
      </c>
      <c r="BI258" s="84">
        <f t="shared" si="2306"/>
        <v>1</v>
      </c>
      <c r="BJ258" s="84">
        <f t="shared" si="2306"/>
        <v>6.3730770053959187</v>
      </c>
      <c r="BK258" s="84">
        <f t="shared" si="2306"/>
        <v>5.08281962734402</v>
      </c>
      <c r="BL258" s="84">
        <f t="shared" si="2306"/>
        <v>5.896559925686228</v>
      </c>
      <c r="BM258" s="84">
        <f t="shared" si="2306"/>
        <v>5.4852295584971795</v>
      </c>
      <c r="BN258" s="84">
        <f t="shared" si="2306"/>
        <v>4.6237696121965657</v>
      </c>
      <c r="BO258" s="84">
        <f t="shared" si="2306"/>
        <v>3.5944455275120508</v>
      </c>
      <c r="BP258" s="84">
        <f t="shared" si="2306"/>
        <v>4.010052006153904</v>
      </c>
      <c r="BQ258" s="84">
        <f t="shared" si="2306"/>
        <v>3.9252426794352853</v>
      </c>
      <c r="BR258" s="84">
        <f t="shared" si="2306"/>
        <v>5.4221157913821232</v>
      </c>
      <c r="BS258" s="84">
        <f t="shared" si="2306"/>
        <v>5.60207834343987</v>
      </c>
      <c r="BT258" s="84">
        <f t="shared" si="2306"/>
        <v>7.4144675847409705</v>
      </c>
      <c r="BU258" s="84">
        <f t="shared" si="2306"/>
        <v>147.42342375718411</v>
      </c>
      <c r="BV258" s="84">
        <f t="shared" si="2306"/>
        <v>3.7077424844015878</v>
      </c>
      <c r="BW258" s="84">
        <f t="shared" si="2306"/>
        <v>5.7265789824156581</v>
      </c>
      <c r="BX258" s="84">
        <f t="shared" si="2306"/>
        <v>9.6037768191297879</v>
      </c>
      <c r="BY258" s="84">
        <f t="shared" si="2306"/>
        <v>14.745935098655643</v>
      </c>
      <c r="BZ258" s="84">
        <f t="shared" si="2306"/>
        <v>-13.73849298027368</v>
      </c>
      <c r="CA258" s="84">
        <f t="shared" si="2306"/>
        <v>-19.128944278017304</v>
      </c>
      <c r="CB258" s="84">
        <f t="shared" si="2306"/>
        <v>-9.7980535888519178</v>
      </c>
      <c r="CC258" s="84">
        <f t="shared" si="2306"/>
        <v>-7.6486158395965829</v>
      </c>
      <c r="CD258" s="84">
        <f t="shared" si="2306"/>
        <v>4.3713383616909312</v>
      </c>
      <c r="CE258" s="84">
        <f t="shared" si="2306"/>
        <v>4.0110455755998426</v>
      </c>
      <c r="CF258" s="84">
        <f t="shared" si="2306"/>
        <v>5.0044419594321745</v>
      </c>
      <c r="CG258" s="84">
        <f t="shared" si="2306"/>
        <v>6.1768520996069851</v>
      </c>
      <c r="CH258" s="84">
        <f t="shared" si="2306"/>
        <v>5.5660933807320312</v>
      </c>
      <c r="CI258" s="84">
        <f t="shared" si="2306"/>
        <v>4.344977001937532</v>
      </c>
      <c r="CJ258" s="84">
        <f t="shared" si="2306"/>
        <v>10.254179606074784</v>
      </c>
      <c r="CK258" s="84">
        <f t="shared" si="2306"/>
        <v>11.656481472977276</v>
      </c>
      <c r="CL258" s="84">
        <f t="shared" ref="CL258" si="2307">(CL173+CL160+CL150+CL152)/CL132</f>
        <v>8.1212774143901481</v>
      </c>
      <c r="CM258" s="50">
        <f t="shared" si="2306"/>
        <v>8.4957950876173864</v>
      </c>
      <c r="CN258" s="50">
        <f t="shared" si="2306"/>
        <v>7.2093842369052537</v>
      </c>
      <c r="CO258" s="50">
        <f t="shared" si="2306"/>
        <v>6.8505455411773584</v>
      </c>
      <c r="CP258" s="50">
        <f t="shared" si="2306"/>
        <v>6.5322991993071771</v>
      </c>
      <c r="CQ258" s="50">
        <f t="shared" si="2306"/>
        <v>6.4404828219494386</v>
      </c>
      <c r="CR258" s="50">
        <f t="shared" si="2306"/>
        <v>5.510389271501154</v>
      </c>
      <c r="CS258" s="50">
        <f t="shared" si="2306"/>
        <v>5.3549686710834434</v>
      </c>
      <c r="CT258" s="50">
        <f t="shared" si="2306"/>
        <v>5.3180669116729895</v>
      </c>
      <c r="CU258" s="50">
        <f t="shared" si="2306"/>
        <v>5.2585677170653913</v>
      </c>
      <c r="CV258" s="50">
        <f t="shared" si="2306"/>
        <v>4.5737077280228879</v>
      </c>
      <c r="CW258" s="50">
        <f t="shared" si="2306"/>
        <v>4.5172198951715803</v>
      </c>
      <c r="CX258" s="50">
        <f t="shared" ref="CX258:DB258" si="2308">(CX173+CX160+CX150+CX152)/CX132</f>
        <v>4.5559437177705204</v>
      </c>
      <c r="CY258" s="50">
        <f t="shared" si="2308"/>
        <v>4.5522336489968298</v>
      </c>
      <c r="CZ258" s="50">
        <f t="shared" si="2308"/>
        <v>4.0041518240647784</v>
      </c>
      <c r="DA258" s="50">
        <f t="shared" si="2308"/>
        <v>3.9966521248981071</v>
      </c>
      <c r="DB258" s="50">
        <f t="shared" si="2308"/>
        <v>4.0708746788409718</v>
      </c>
      <c r="DE258" s="138"/>
      <c r="DF258" s="84">
        <v>17.423744651712937</v>
      </c>
    </row>
    <row r="259" spans="1:110" s="84" customFormat="1" x14ac:dyDescent="0.2">
      <c r="A259" s="154" t="s">
        <v>498</v>
      </c>
      <c r="AB259" s="50"/>
      <c r="AC259" s="50"/>
      <c r="AD259" s="50"/>
      <c r="AE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50"/>
      <c r="DB259" s="50"/>
      <c r="DE259" s="138"/>
    </row>
    <row r="260" spans="1:110" s="88" customFormat="1" x14ac:dyDescent="0.2">
      <c r="A260" s="88" t="s">
        <v>102</v>
      </c>
      <c r="B260" s="88" t="e">
        <f t="shared" ref="B260:AE260" si="2309">B173/B132</f>
        <v>#DIV/0!</v>
      </c>
      <c r="C260" s="88" t="e">
        <f t="shared" si="2309"/>
        <v>#DIV/0!</v>
      </c>
      <c r="D260" s="88" t="e">
        <f t="shared" si="2309"/>
        <v>#DIV/0!</v>
      </c>
      <c r="F260" s="88" t="e">
        <f t="shared" si="2309"/>
        <v>#DIV/0!</v>
      </c>
      <c r="G260" s="88" t="e">
        <f t="shared" si="2309"/>
        <v>#DIV/0!</v>
      </c>
      <c r="H260" s="88" t="e">
        <f t="shared" si="2309"/>
        <v>#DIV/0!</v>
      </c>
      <c r="I260" s="88" t="e">
        <f t="shared" si="2309"/>
        <v>#DIV/0!</v>
      </c>
      <c r="J260" s="88" t="e">
        <f t="shared" si="2309"/>
        <v>#DIV/0!</v>
      </c>
      <c r="K260" s="88" t="e">
        <f t="shared" si="2309"/>
        <v>#DIV/0!</v>
      </c>
      <c r="L260" s="88" t="e">
        <f t="shared" si="2309"/>
        <v>#DIV/0!</v>
      </c>
      <c r="M260" s="88" t="e">
        <f t="shared" si="2309"/>
        <v>#DIV/0!</v>
      </c>
      <c r="N260" s="88" t="e">
        <f t="shared" si="2309"/>
        <v>#DIV/0!</v>
      </c>
      <c r="O260" s="88" t="e">
        <f t="shared" si="2309"/>
        <v>#DIV/0!</v>
      </c>
      <c r="P260" s="88" t="e">
        <f t="shared" si="2309"/>
        <v>#DIV/0!</v>
      </c>
      <c r="Q260" s="88" t="e">
        <f t="shared" si="2309"/>
        <v>#DIV/0!</v>
      </c>
      <c r="R260" s="88" t="e">
        <f t="shared" si="2309"/>
        <v>#DIV/0!</v>
      </c>
      <c r="S260" s="88">
        <f t="shared" si="2309"/>
        <v>0.53050241364050232</v>
      </c>
      <c r="T260" s="88">
        <f t="shared" si="2309"/>
        <v>0.54067390720161324</v>
      </c>
      <c r="U260" s="88">
        <f t="shared" si="2309"/>
        <v>0.462376036116045</v>
      </c>
      <c r="V260" s="88">
        <f t="shared" si="2309"/>
        <v>0.4395811929654922</v>
      </c>
      <c r="W260" s="88">
        <f t="shared" si="2309"/>
        <v>0.54980583795104498</v>
      </c>
      <c r="X260" s="88">
        <f t="shared" si="2309"/>
        <v>-0.4228718677803448</v>
      </c>
      <c r="Y260" s="88">
        <f t="shared" si="2309"/>
        <v>0.34997987969086952</v>
      </c>
      <c r="Z260" s="88">
        <f t="shared" si="2309"/>
        <v>0.70596588088098033</v>
      </c>
      <c r="AA260" s="88">
        <f t="shared" ref="AA260" si="2310">AA173/AA132</f>
        <v>0.82247018083878409</v>
      </c>
      <c r="AB260" s="42">
        <f t="shared" si="2309"/>
        <v>0.53413461772051996</v>
      </c>
      <c r="AC260" s="42">
        <f t="shared" si="2309"/>
        <v>0.51143974574747486</v>
      </c>
      <c r="AD260" s="42">
        <f t="shared" si="2309"/>
        <v>0.51735317187190066</v>
      </c>
      <c r="AE260" s="42">
        <f t="shared" si="2309"/>
        <v>0.51888501324719549</v>
      </c>
      <c r="AL260" s="88" t="e">
        <f t="shared" ref="AL260:CW260" si="2311">AL173/AL132</f>
        <v>#DIV/0!</v>
      </c>
      <c r="AM260" s="88" t="e">
        <f t="shared" si="2311"/>
        <v>#DIV/0!</v>
      </c>
      <c r="AN260" s="88" t="e">
        <f t="shared" si="2311"/>
        <v>#DIV/0!</v>
      </c>
      <c r="AO260" s="88" t="e">
        <f t="shared" si="2311"/>
        <v>#DIV/0!</v>
      </c>
      <c r="AP260" s="88" t="e">
        <f t="shared" si="2311"/>
        <v>#DIV/0!</v>
      </c>
      <c r="AQ260" s="88" t="e">
        <f t="shared" si="2311"/>
        <v>#DIV/0!</v>
      </c>
      <c r="AR260" s="88" t="e">
        <f t="shared" si="2311"/>
        <v>#DIV/0!</v>
      </c>
      <c r="AS260" s="88" t="e">
        <f t="shared" si="2311"/>
        <v>#DIV/0!</v>
      </c>
      <c r="AT260" s="88" t="e">
        <f t="shared" si="2311"/>
        <v>#DIV/0!</v>
      </c>
      <c r="AU260" s="88" t="e">
        <f t="shared" si="2311"/>
        <v>#DIV/0!</v>
      </c>
      <c r="AV260" s="88" t="e">
        <f t="shared" si="2311"/>
        <v>#DIV/0!</v>
      </c>
      <c r="AW260" s="88" t="e">
        <f t="shared" si="2311"/>
        <v>#DIV/0!</v>
      </c>
      <c r="AX260" s="88" t="e">
        <f t="shared" si="2311"/>
        <v>#DIV/0!</v>
      </c>
      <c r="AY260" s="88" t="e">
        <f t="shared" si="2311"/>
        <v>#DIV/0!</v>
      </c>
      <c r="AZ260" s="88" t="e">
        <f t="shared" si="2311"/>
        <v>#DIV/0!</v>
      </c>
      <c r="BA260" s="88" t="e">
        <f t="shared" si="2311"/>
        <v>#DIV/0!</v>
      </c>
      <c r="BB260" s="88" t="e">
        <f t="shared" si="2311"/>
        <v>#DIV/0!</v>
      </c>
      <c r="BC260" s="88" t="e">
        <f t="shared" si="2311"/>
        <v>#DIV/0!</v>
      </c>
      <c r="BD260" s="88" t="e">
        <f t="shared" si="2311"/>
        <v>#DIV/0!</v>
      </c>
      <c r="BE260" s="88" t="e">
        <f t="shared" si="2311"/>
        <v>#DIV/0!</v>
      </c>
      <c r="BF260" s="88" t="e">
        <f t="shared" si="2311"/>
        <v>#DIV/0!</v>
      </c>
      <c r="BG260" s="88" t="e">
        <f t="shared" si="2311"/>
        <v>#DIV/0!</v>
      </c>
      <c r="BH260" s="88" t="e">
        <f t="shared" si="2311"/>
        <v>#DIV/0!</v>
      </c>
      <c r="BI260" s="88">
        <f t="shared" si="2311"/>
        <v>1</v>
      </c>
      <c r="BJ260" s="88">
        <f t="shared" si="2311"/>
        <v>0.54067390720161324</v>
      </c>
      <c r="BK260" s="88">
        <f t="shared" si="2311"/>
        <v>0.56596904481105426</v>
      </c>
      <c r="BL260" s="88">
        <f t="shared" si="2311"/>
        <v>0.46366179067607149</v>
      </c>
      <c r="BM260" s="88">
        <f t="shared" si="2311"/>
        <v>0.51176017548966524</v>
      </c>
      <c r="BN260" s="88">
        <f t="shared" si="2311"/>
        <v>0.462376036116045</v>
      </c>
      <c r="BO260" s="88">
        <f t="shared" si="2311"/>
        <v>0.39301427084831358</v>
      </c>
      <c r="BP260" s="88">
        <f t="shared" si="2311"/>
        <v>0.48842367554200605</v>
      </c>
      <c r="BQ260" s="88">
        <f t="shared" si="2311"/>
        <v>0.49425623968088728</v>
      </c>
      <c r="BR260" s="88">
        <f t="shared" si="2311"/>
        <v>0.4395811929654922</v>
      </c>
      <c r="BS260" s="88">
        <f t="shared" si="2311"/>
        <v>0.15316281513396821</v>
      </c>
      <c r="BT260" s="88">
        <f t="shared" si="2311"/>
        <v>0.96727946995907099</v>
      </c>
      <c r="BU260" s="88">
        <f t="shared" si="2311"/>
        <v>1.1284426245183381</v>
      </c>
      <c r="BV260" s="88">
        <f t="shared" si="2311"/>
        <v>0.54980583795104498</v>
      </c>
      <c r="BW260" s="88">
        <f t="shared" si="2311"/>
        <v>0.40537555166399997</v>
      </c>
      <c r="BX260" s="88">
        <f t="shared" si="2311"/>
        <v>1.3675970631088765</v>
      </c>
      <c r="BY260" s="88">
        <f t="shared" si="2311"/>
        <v>2.2324045926176006</v>
      </c>
      <c r="BZ260" s="88">
        <f t="shared" si="2311"/>
        <v>-0.42287186778034475</v>
      </c>
      <c r="CA260" s="88">
        <f t="shared" si="2311"/>
        <v>2.1354930309707916</v>
      </c>
      <c r="CB260" s="88">
        <f t="shared" si="2311"/>
        <v>-0.24760451327212227</v>
      </c>
      <c r="CC260" s="88">
        <f t="shared" si="2311"/>
        <v>0.24334682511589567</v>
      </c>
      <c r="CD260" s="88">
        <f t="shared" si="2311"/>
        <v>0.34997987969086947</v>
      </c>
      <c r="CE260" s="88">
        <f t="shared" si="2311"/>
        <v>0.19798617354941914</v>
      </c>
      <c r="CF260" s="88">
        <f t="shared" si="2311"/>
        <v>0.57768251897410416</v>
      </c>
      <c r="CG260" s="88">
        <f t="shared" si="2311"/>
        <v>1.0760772196298971</v>
      </c>
      <c r="CH260" s="88">
        <f t="shared" si="2311"/>
        <v>0.70596588088098033</v>
      </c>
      <c r="CI260" s="88">
        <f t="shared" si="2311"/>
        <v>1.0402663437945101</v>
      </c>
      <c r="CJ260" s="88">
        <f t="shared" si="2311"/>
        <v>0.93684859828987099</v>
      </c>
      <c r="CK260" s="88">
        <f t="shared" si="2311"/>
        <v>0.4561749100037169</v>
      </c>
      <c r="CL260" s="88">
        <f t="shared" ref="CL260" si="2312">CL173/CL132</f>
        <v>0.82247018083878409</v>
      </c>
      <c r="CM260" s="42">
        <f t="shared" si="2311"/>
        <v>0.43421755804224121</v>
      </c>
      <c r="CN260" s="42">
        <f t="shared" si="2311"/>
        <v>0.67860714040871328</v>
      </c>
      <c r="CO260" s="42">
        <f t="shared" si="2311"/>
        <v>0.60774578769420162</v>
      </c>
      <c r="CP260" s="42">
        <f t="shared" si="2311"/>
        <v>0.53413461772051996</v>
      </c>
      <c r="CQ260" s="42">
        <f t="shared" si="2311"/>
        <v>0.42120144996187309</v>
      </c>
      <c r="CR260" s="42">
        <f t="shared" si="2311"/>
        <v>0.63448741334090053</v>
      </c>
      <c r="CS260" s="42">
        <f t="shared" si="2311"/>
        <v>0.59027287006311024</v>
      </c>
      <c r="CT260" s="42">
        <f t="shared" si="2311"/>
        <v>0.51143974574747486</v>
      </c>
      <c r="CU260" s="42">
        <f t="shared" si="2311"/>
        <v>0.44896431563199868</v>
      </c>
      <c r="CV260" s="42">
        <f t="shared" si="2311"/>
        <v>0.62365984374028538</v>
      </c>
      <c r="CW260" s="42">
        <f t="shared" si="2311"/>
        <v>0.5860089784274729</v>
      </c>
      <c r="CX260" s="42">
        <f t="shared" ref="CX260:DB260" si="2313">CX173/CX132</f>
        <v>0.51735317187190066</v>
      </c>
      <c r="CY260" s="42">
        <f t="shared" si="2313"/>
        <v>0.46624538491734996</v>
      </c>
      <c r="CZ260" s="42">
        <f t="shared" si="2313"/>
        <v>0.61629194785304953</v>
      </c>
      <c r="DA260" s="42">
        <f t="shared" si="2313"/>
        <v>0.58157202455514334</v>
      </c>
      <c r="DB260" s="42">
        <f t="shared" si="2313"/>
        <v>0.51888501324719549</v>
      </c>
      <c r="DE260" s="125"/>
      <c r="DF260" s="88">
        <v>-2.1411409798217611</v>
      </c>
    </row>
    <row r="261" spans="1:110" s="89" customFormat="1" x14ac:dyDescent="0.2">
      <c r="A261" s="89" t="s">
        <v>103</v>
      </c>
      <c r="C261" s="89" t="e">
        <f t="shared" ref="C261:AE261" si="2314">C140/B140-1</f>
        <v>#DIV/0!</v>
      </c>
      <c r="D261" s="89" t="e">
        <f t="shared" si="2314"/>
        <v>#DIV/0!</v>
      </c>
      <c r="F261" s="89" t="e">
        <f t="shared" si="2314"/>
        <v>#DIV/0!</v>
      </c>
      <c r="G261" s="89" t="e">
        <f t="shared" si="2314"/>
        <v>#DIV/0!</v>
      </c>
      <c r="H261" s="89" t="e">
        <f t="shared" si="2314"/>
        <v>#DIV/0!</v>
      </c>
      <c r="I261" s="89" t="e">
        <f t="shared" si="2314"/>
        <v>#DIV/0!</v>
      </c>
      <c r="J261" s="89" t="e">
        <f t="shared" si="2314"/>
        <v>#DIV/0!</v>
      </c>
      <c r="K261" s="89" t="e">
        <f>K140/J140-1</f>
        <v>#DIV/0!</v>
      </c>
      <c r="L261" s="89" t="e">
        <f t="shared" si="2314"/>
        <v>#DIV/0!</v>
      </c>
      <c r="M261" s="89" t="e">
        <f t="shared" si="2314"/>
        <v>#DIV/0!</v>
      </c>
      <c r="N261" s="89" t="e">
        <f t="shared" si="2314"/>
        <v>#DIV/0!</v>
      </c>
      <c r="O261" s="89" t="e">
        <f t="shared" si="2314"/>
        <v>#DIV/0!</v>
      </c>
      <c r="P261" s="89" t="e">
        <f t="shared" si="2314"/>
        <v>#DIV/0!</v>
      </c>
      <c r="Q261" s="89" t="e">
        <f t="shared" si="2314"/>
        <v>#DIV/0!</v>
      </c>
      <c r="R261" s="89" t="e">
        <f t="shared" si="2314"/>
        <v>#DIV/0!</v>
      </c>
      <c r="S261" s="89" t="e">
        <f t="shared" si="2314"/>
        <v>#DIV/0!</v>
      </c>
      <c r="T261" s="89">
        <f t="shared" si="2314"/>
        <v>11.098470160804183</v>
      </c>
      <c r="U261" s="89">
        <f t="shared" si="2314"/>
        <v>-0.45055517251285582</v>
      </c>
      <c r="V261" s="89">
        <f t="shared" si="2314"/>
        <v>-0.61737361524133194</v>
      </c>
      <c r="W261" s="89">
        <f t="shared" si="2314"/>
        <v>-7.1079321020604325E-2</v>
      </c>
      <c r="X261" s="89">
        <f t="shared" si="2314"/>
        <v>3.6314301475658528</v>
      </c>
      <c r="Y261" s="89">
        <f t="shared" si="2314"/>
        <v>-0.76343829871708979</v>
      </c>
      <c r="Z261" s="89">
        <f t="shared" si="2314"/>
        <v>0.89122225485671125</v>
      </c>
      <c r="AA261" s="89">
        <f t="shared" si="2314"/>
        <v>0.2909913807447837</v>
      </c>
      <c r="AB261" s="47">
        <f t="shared" si="2314"/>
        <v>0</v>
      </c>
      <c r="AC261" s="47">
        <f t="shared" si="2314"/>
        <v>0</v>
      </c>
      <c r="AD261" s="47">
        <f t="shared" si="2314"/>
        <v>0</v>
      </c>
      <c r="AE261" s="47">
        <f t="shared" si="2314"/>
        <v>0</v>
      </c>
      <c r="AL261" s="89" t="e">
        <f t="shared" ref="AL261:CW261" si="2315">AL140/AK140-1</f>
        <v>#DIV/0!</v>
      </c>
      <c r="AM261" s="89" t="e">
        <f t="shared" si="2315"/>
        <v>#DIV/0!</v>
      </c>
      <c r="AN261" s="89" t="e">
        <f t="shared" si="2315"/>
        <v>#DIV/0!</v>
      </c>
      <c r="AO261" s="89" t="e">
        <f t="shared" si="2315"/>
        <v>#DIV/0!</v>
      </c>
      <c r="AP261" s="89" t="e">
        <f t="shared" si="2315"/>
        <v>#DIV/0!</v>
      </c>
      <c r="AQ261" s="89" t="e">
        <f t="shared" si="2315"/>
        <v>#DIV/0!</v>
      </c>
      <c r="AR261" s="89" t="e">
        <f t="shared" si="2315"/>
        <v>#DIV/0!</v>
      </c>
      <c r="AS261" s="89" t="e">
        <f t="shared" si="2315"/>
        <v>#DIV/0!</v>
      </c>
      <c r="AT261" s="89" t="e">
        <f t="shared" si="2315"/>
        <v>#DIV/0!</v>
      </c>
      <c r="AU261" s="89" t="e">
        <f t="shared" si="2315"/>
        <v>#DIV/0!</v>
      </c>
      <c r="AV261" s="89" t="e">
        <f t="shared" si="2315"/>
        <v>#DIV/0!</v>
      </c>
      <c r="AW261" s="89" t="e">
        <f t="shared" si="2315"/>
        <v>#DIV/0!</v>
      </c>
      <c r="AX261" s="89" t="e">
        <f t="shared" si="2315"/>
        <v>#DIV/0!</v>
      </c>
      <c r="AY261" s="89" t="e">
        <f t="shared" si="2315"/>
        <v>#DIV/0!</v>
      </c>
      <c r="AZ261" s="89" t="e">
        <f t="shared" si="2315"/>
        <v>#DIV/0!</v>
      </c>
      <c r="BA261" s="89" t="e">
        <f t="shared" si="2315"/>
        <v>#DIV/0!</v>
      </c>
      <c r="BB261" s="89" t="e">
        <f t="shared" si="2315"/>
        <v>#DIV/0!</v>
      </c>
      <c r="BC261" s="89" t="e">
        <f t="shared" si="2315"/>
        <v>#DIV/0!</v>
      </c>
      <c r="BD261" s="89" t="e">
        <f t="shared" si="2315"/>
        <v>#DIV/0!</v>
      </c>
      <c r="BE261" s="89" t="e">
        <f t="shared" si="2315"/>
        <v>#DIV/0!</v>
      </c>
      <c r="BF261" s="89" t="e">
        <f t="shared" si="2315"/>
        <v>#DIV/0!</v>
      </c>
      <c r="BG261" s="89" t="e">
        <f t="shared" si="2315"/>
        <v>#DIV/0!</v>
      </c>
      <c r="BH261" s="89" t="e">
        <f t="shared" si="2315"/>
        <v>#DIV/0!</v>
      </c>
      <c r="BI261" s="89" t="e">
        <f t="shared" si="2315"/>
        <v>#DIV/0!</v>
      </c>
      <c r="BJ261" s="89" t="e">
        <f t="shared" si="2315"/>
        <v>#DIV/0!</v>
      </c>
      <c r="BK261" s="89">
        <f t="shared" si="2315"/>
        <v>0</v>
      </c>
      <c r="BL261" s="89">
        <f t="shared" si="2315"/>
        <v>1.469582220115484E-2</v>
      </c>
      <c r="BM261" s="89">
        <f t="shared" si="2315"/>
        <v>0</v>
      </c>
      <c r="BN261" s="89">
        <f t="shared" si="2315"/>
        <v>-0.45851277253192302</v>
      </c>
      <c r="BO261" s="89">
        <f t="shared" si="2315"/>
        <v>0</v>
      </c>
      <c r="BP261" s="89">
        <f t="shared" si="2315"/>
        <v>-0.22662658083069176</v>
      </c>
      <c r="BQ261" s="89">
        <f t="shared" si="2315"/>
        <v>0</v>
      </c>
      <c r="BR261" s="89">
        <f t="shared" si="2315"/>
        <v>-0.50525014789148992</v>
      </c>
      <c r="BS261" s="89">
        <f t="shared" si="2315"/>
        <v>0</v>
      </c>
      <c r="BT261" s="89">
        <f t="shared" si="2315"/>
        <v>0.43883847549909238</v>
      </c>
      <c r="BU261" s="89">
        <f t="shared" si="2315"/>
        <v>0</v>
      </c>
      <c r="BV261" s="89">
        <f t="shared" si="2315"/>
        <v>-0.354395441324865</v>
      </c>
      <c r="BW261" s="89">
        <f t="shared" si="2315"/>
        <v>0</v>
      </c>
      <c r="BX261" s="89">
        <f t="shared" si="2315"/>
        <v>2.0174918402059485</v>
      </c>
      <c r="BY261" s="89">
        <f t="shared" si="2315"/>
        <v>0</v>
      </c>
      <c r="BZ261" s="89">
        <f t="shared" si="2315"/>
        <v>0.53486086883659989</v>
      </c>
      <c r="CA261" s="89">
        <f t="shared" si="2315"/>
        <v>0</v>
      </c>
      <c r="CB261" s="89">
        <f t="shared" si="2315"/>
        <v>8.0925084989702079E-2</v>
      </c>
      <c r="CC261" s="89">
        <f t="shared" si="2315"/>
        <v>0</v>
      </c>
      <c r="CD261" s="89">
        <f t="shared" si="2315"/>
        <v>-0.78114884688316399</v>
      </c>
      <c r="CE261" s="89">
        <f t="shared" si="2315"/>
        <v>0</v>
      </c>
      <c r="CF261" s="89">
        <f t="shared" si="2315"/>
        <v>0.83107456048336337</v>
      </c>
      <c r="CG261" s="89">
        <f t="shared" si="2315"/>
        <v>0</v>
      </c>
      <c r="CH261" s="89">
        <f t="shared" si="2315"/>
        <v>3.2848304307974363E-2</v>
      </c>
      <c r="CI261" s="89">
        <f t="shared" si="2315"/>
        <v>0</v>
      </c>
      <c r="CJ261" s="89">
        <f t="shared" si="2315"/>
        <v>0.32483610103497607</v>
      </c>
      <c r="CK261" s="89">
        <f t="shared" si="2315"/>
        <v>0</v>
      </c>
      <c r="CL261" s="89">
        <f t="shared" si="2315"/>
        <v>-2.554634513941223E-2</v>
      </c>
      <c r="CM261" s="47">
        <f t="shared" si="2315"/>
        <v>0</v>
      </c>
      <c r="CN261" s="47">
        <f t="shared" si="2315"/>
        <v>0</v>
      </c>
      <c r="CO261" s="47">
        <f t="shared" si="2315"/>
        <v>0</v>
      </c>
      <c r="CP261" s="47">
        <f t="shared" si="2315"/>
        <v>0</v>
      </c>
      <c r="CQ261" s="47">
        <f t="shared" si="2315"/>
        <v>0</v>
      </c>
      <c r="CR261" s="47">
        <f t="shared" si="2315"/>
        <v>0</v>
      </c>
      <c r="CS261" s="47">
        <f t="shared" si="2315"/>
        <v>0</v>
      </c>
      <c r="CT261" s="47">
        <f t="shared" si="2315"/>
        <v>0</v>
      </c>
      <c r="CU261" s="47">
        <f t="shared" si="2315"/>
        <v>0</v>
      </c>
      <c r="CV261" s="47">
        <f t="shared" si="2315"/>
        <v>0</v>
      </c>
      <c r="CW261" s="47">
        <f t="shared" si="2315"/>
        <v>0</v>
      </c>
      <c r="CX261" s="47">
        <f t="shared" ref="CX261:DB261" si="2316">CX140/CW140-1</f>
        <v>0</v>
      </c>
      <c r="CY261" s="47">
        <f t="shared" si="2316"/>
        <v>0</v>
      </c>
      <c r="CZ261" s="47">
        <f t="shared" si="2316"/>
        <v>0</v>
      </c>
      <c r="DA261" s="47">
        <f t="shared" si="2316"/>
        <v>0</v>
      </c>
      <c r="DB261" s="47">
        <f t="shared" si="2316"/>
        <v>0</v>
      </c>
      <c r="DE261" s="130"/>
      <c r="DF261" s="89">
        <v>0</v>
      </c>
    </row>
    <row r="262" spans="1:110" s="89" customFormat="1" x14ac:dyDescent="0.2">
      <c r="A262" s="89" t="s">
        <v>104</v>
      </c>
      <c r="C262" s="89" t="e">
        <f>C35/B35-1</f>
        <v>#DIV/0!</v>
      </c>
      <c r="D262" s="89" t="e">
        <f>D35/C35-1</f>
        <v>#DIV/0!</v>
      </c>
      <c r="F262" s="89" t="e">
        <f t="shared" ref="F262:AE262" si="2317">F35/E35-1</f>
        <v>#DIV/0!</v>
      </c>
      <c r="G262" s="89" t="e">
        <f t="shared" si="2317"/>
        <v>#DIV/0!</v>
      </c>
      <c r="H262" s="89" t="e">
        <f t="shared" si="2317"/>
        <v>#DIV/0!</v>
      </c>
      <c r="I262" s="89" t="e">
        <f t="shared" si="2317"/>
        <v>#DIV/0!</v>
      </c>
      <c r="J262" s="89" t="e">
        <f t="shared" si="2317"/>
        <v>#DIV/0!</v>
      </c>
      <c r="K262" s="89" t="e">
        <f t="shared" si="2317"/>
        <v>#DIV/0!</v>
      </c>
      <c r="L262" s="89" t="e">
        <f t="shared" si="2317"/>
        <v>#DIV/0!</v>
      </c>
      <c r="M262" s="89" t="e">
        <f t="shared" si="2317"/>
        <v>#DIV/0!</v>
      </c>
      <c r="N262" s="89" t="e">
        <f t="shared" si="2317"/>
        <v>#DIV/0!</v>
      </c>
      <c r="O262" s="89" t="e">
        <f t="shared" si="2317"/>
        <v>#DIV/0!</v>
      </c>
      <c r="P262" s="89" t="e">
        <f t="shared" si="2317"/>
        <v>#DIV/0!</v>
      </c>
      <c r="Q262" s="89" t="e">
        <f t="shared" si="2317"/>
        <v>#DIV/0!</v>
      </c>
      <c r="R262" s="89" t="e">
        <f t="shared" si="2317"/>
        <v>#DIV/0!</v>
      </c>
      <c r="S262" s="89" t="e">
        <f t="shared" si="2317"/>
        <v>#DIV/0!</v>
      </c>
      <c r="T262" s="89">
        <f t="shared" si="2317"/>
        <v>0.19347806355534725</v>
      </c>
      <c r="U262" s="89">
        <f t="shared" si="2317"/>
        <v>-0.4750265824478388</v>
      </c>
      <c r="V262" s="89">
        <f t="shared" si="2317"/>
        <v>-2.0115087455735594</v>
      </c>
      <c r="W262" s="89">
        <f t="shared" si="2317"/>
        <v>1.3948547937939297</v>
      </c>
      <c r="X262" s="89">
        <f t="shared" si="2317"/>
        <v>0.2443243482690638</v>
      </c>
      <c r="Y262" s="89">
        <f t="shared" si="2317"/>
        <v>-0.99347632609469549</v>
      </c>
      <c r="Z262" s="89">
        <f t="shared" si="2317"/>
        <v>-37.053206002727748</v>
      </c>
      <c r="AA262" s="89">
        <f t="shared" si="2317"/>
        <v>0.18507586937601994</v>
      </c>
      <c r="AB262" s="47">
        <f t="shared" si="2317"/>
        <v>0.31252063313031675</v>
      </c>
      <c r="AC262" s="47">
        <f t="shared" si="2317"/>
        <v>0.18981375127729039</v>
      </c>
      <c r="AD262" s="47">
        <f t="shared" si="2317"/>
        <v>0.13962525312694951</v>
      </c>
      <c r="AE262" s="47">
        <f t="shared" si="2317"/>
        <v>0.13038208726237066</v>
      </c>
      <c r="AL262" s="89" t="e">
        <f t="shared" ref="AL262:CW262" si="2318">AL35/AK35-1</f>
        <v>#DIV/0!</v>
      </c>
      <c r="AM262" s="89" t="e">
        <f t="shared" si="2318"/>
        <v>#DIV/0!</v>
      </c>
      <c r="AN262" s="89" t="e">
        <f t="shared" si="2318"/>
        <v>#DIV/0!</v>
      </c>
      <c r="AO262" s="89" t="e">
        <f t="shared" si="2318"/>
        <v>#DIV/0!</v>
      </c>
      <c r="AP262" s="89" t="e">
        <f t="shared" si="2318"/>
        <v>#DIV/0!</v>
      </c>
      <c r="AQ262" s="89" t="e">
        <f t="shared" si="2318"/>
        <v>#DIV/0!</v>
      </c>
      <c r="AR262" s="89" t="e">
        <f t="shared" si="2318"/>
        <v>#DIV/0!</v>
      </c>
      <c r="AS262" s="89" t="e">
        <f t="shared" si="2318"/>
        <v>#DIV/0!</v>
      </c>
      <c r="AT262" s="89" t="e">
        <f t="shared" si="2318"/>
        <v>#DIV/0!</v>
      </c>
      <c r="AU262" s="89" t="e">
        <f t="shared" si="2318"/>
        <v>#DIV/0!</v>
      </c>
      <c r="AV262" s="89" t="e">
        <f t="shared" si="2318"/>
        <v>#DIV/0!</v>
      </c>
      <c r="AW262" s="89" t="e">
        <f t="shared" si="2318"/>
        <v>#DIV/0!</v>
      </c>
      <c r="AX262" s="89" t="e">
        <f t="shared" si="2318"/>
        <v>#DIV/0!</v>
      </c>
      <c r="AY262" s="89" t="e">
        <f t="shared" si="2318"/>
        <v>#DIV/0!</v>
      </c>
      <c r="AZ262" s="89" t="e">
        <f t="shared" si="2318"/>
        <v>#DIV/0!</v>
      </c>
      <c r="BA262" s="89" t="e">
        <f t="shared" si="2318"/>
        <v>#DIV/0!</v>
      </c>
      <c r="BB262" s="89" t="e">
        <f t="shared" si="2318"/>
        <v>#DIV/0!</v>
      </c>
      <c r="BC262" s="89" t="e">
        <f t="shared" si="2318"/>
        <v>#DIV/0!</v>
      </c>
      <c r="BD262" s="89" t="e">
        <f t="shared" si="2318"/>
        <v>#DIV/0!</v>
      </c>
      <c r="BE262" s="89" t="e">
        <f t="shared" si="2318"/>
        <v>#DIV/0!</v>
      </c>
      <c r="BF262" s="89" t="e">
        <f t="shared" si="2318"/>
        <v>#DIV/0!</v>
      </c>
      <c r="BG262" s="89" t="e">
        <f t="shared" si="2318"/>
        <v>#DIV/0!</v>
      </c>
      <c r="BH262" s="89" t="e">
        <f t="shared" si="2318"/>
        <v>#DIV/0!</v>
      </c>
      <c r="BI262" s="89">
        <f t="shared" si="2318"/>
        <v>5.4155410015009204</v>
      </c>
      <c r="BJ262" s="89">
        <f t="shared" si="2318"/>
        <v>0.76451791278086989</v>
      </c>
      <c r="BK262" s="89">
        <f t="shared" si="2318"/>
        <v>-0.8010347518734916</v>
      </c>
      <c r="BL262" s="89">
        <f t="shared" si="2318"/>
        <v>0.4341965773133416</v>
      </c>
      <c r="BM262" s="89">
        <f t="shared" si="2318"/>
        <v>-0.89587117212249101</v>
      </c>
      <c r="BN262" s="89">
        <f t="shared" si="2318"/>
        <v>12.547307575296484</v>
      </c>
      <c r="BO262" s="89">
        <f t="shared" si="2318"/>
        <v>-0.87588891384085565</v>
      </c>
      <c r="BP262" s="89">
        <f t="shared" si="2318"/>
        <v>-0.73703256936066941</v>
      </c>
      <c r="BQ262" s="89">
        <f t="shared" si="2318"/>
        <v>2.3119266055045031</v>
      </c>
      <c r="BR262" s="89">
        <f t="shared" si="2318"/>
        <v>-30.384349030470798</v>
      </c>
      <c r="BS262" s="89">
        <f t="shared" si="2318"/>
        <v>-0.75557964695623503</v>
      </c>
      <c r="BT262" s="89">
        <f t="shared" si="2318"/>
        <v>1.8391669077234609</v>
      </c>
      <c r="BU262" s="89">
        <f t="shared" si="2318"/>
        <v>0.32817116658176348</v>
      </c>
      <c r="BV262" s="89">
        <f t="shared" si="2318"/>
        <v>-0.68231563874399082</v>
      </c>
      <c r="BW262" s="89">
        <f t="shared" si="2318"/>
        <v>1.7677881519639373</v>
      </c>
      <c r="BX262" s="89">
        <f t="shared" si="2318"/>
        <v>7.6540553116003274E-2</v>
      </c>
      <c r="BY262" s="89">
        <f t="shared" si="2318"/>
        <v>-0.82762905534995546</v>
      </c>
      <c r="BZ262" s="89">
        <f t="shared" si="2318"/>
        <v>4.5182573264378636</v>
      </c>
      <c r="CA262" s="89">
        <f t="shared" si="2318"/>
        <v>-0.89432579802340129</v>
      </c>
      <c r="CB262" s="89">
        <f t="shared" si="2318"/>
        <v>-1.0395055092717005</v>
      </c>
      <c r="CC262" s="89">
        <f t="shared" si="2318"/>
        <v>-12.006802721088661</v>
      </c>
      <c r="CD262" s="89">
        <f t="shared" si="2318"/>
        <v>-2.8139678615574755</v>
      </c>
      <c r="CE262" s="89">
        <f t="shared" si="2318"/>
        <v>-0.15911413969335875</v>
      </c>
      <c r="CF262" s="89">
        <f t="shared" si="2318"/>
        <v>-0.2645867098865432</v>
      </c>
      <c r="CG262" s="89">
        <f t="shared" si="2318"/>
        <v>2.8749311294765789</v>
      </c>
      <c r="CH262" s="89">
        <f t="shared" si="2318"/>
        <v>0.8991895350490573</v>
      </c>
      <c r="CI262" s="89">
        <f t="shared" si="2318"/>
        <v>-0.36018567043497896</v>
      </c>
      <c r="CJ262" s="89">
        <f t="shared" si="2318"/>
        <v>-0.95413058740931611</v>
      </c>
      <c r="CK262" s="89">
        <f t="shared" si="2318"/>
        <v>16.079081632653775</v>
      </c>
      <c r="CL262" s="89">
        <f t="shared" si="2318"/>
        <v>1.1771471247199332</v>
      </c>
      <c r="CM262" s="47">
        <f t="shared" si="2318"/>
        <v>-0.34238515259862912</v>
      </c>
      <c r="CN262" s="47">
        <f t="shared" si="2318"/>
        <v>-0.15020407926611368</v>
      </c>
      <c r="CO262" s="47">
        <f t="shared" si="2318"/>
        <v>0.32450333125609099</v>
      </c>
      <c r="CP262" s="47">
        <f t="shared" si="2318"/>
        <v>0.16652963612763827</v>
      </c>
      <c r="CQ262" s="47">
        <f t="shared" si="2318"/>
        <v>-2.8479519491340088E-2</v>
      </c>
      <c r="CR262" s="47">
        <f t="shared" si="2318"/>
        <v>-9.6726818842193252E-2</v>
      </c>
      <c r="CS262" s="47">
        <f t="shared" si="2318"/>
        <v>0.10591688027482382</v>
      </c>
      <c r="CT262" s="47">
        <f t="shared" si="2318"/>
        <v>9.8883436911239464E-2</v>
      </c>
      <c r="CU262" s="47">
        <f t="shared" si="2318"/>
        <v>6.7320306808376529E-2</v>
      </c>
      <c r="CV262" s="47">
        <f t="shared" si="2318"/>
        <v>-0.11092055161397707</v>
      </c>
      <c r="CW262" s="47">
        <f t="shared" si="2318"/>
        <v>7.1980981547708378E-2</v>
      </c>
      <c r="CX262" s="47">
        <f t="shared" ref="CX262:DB262" si="2319">CX35/CW35-1</f>
        <v>0.10016883029951096</v>
      </c>
      <c r="CY262" s="47">
        <f t="shared" si="2319"/>
        <v>8.4743983762911812E-2</v>
      </c>
      <c r="CZ262" s="47">
        <f t="shared" si="2319"/>
        <v>-0.11811714805908602</v>
      </c>
      <c r="DA262" s="47">
        <f t="shared" si="2319"/>
        <v>6.9198400626753864E-2</v>
      </c>
      <c r="DB262" s="47">
        <f t="shared" si="2319"/>
        <v>0.10498057562004059</v>
      </c>
      <c r="DE262" s="130"/>
      <c r="DF262" s="89">
        <v>1.2029389026055615</v>
      </c>
    </row>
    <row r="263" spans="1:110" s="103" customFormat="1" x14ac:dyDescent="0.2">
      <c r="A263" s="147" t="s">
        <v>105</v>
      </c>
      <c r="C263" s="103" t="e">
        <f>IF(C261&gt;C262,"RF",0)</f>
        <v>#DIV/0!</v>
      </c>
      <c r="D263" s="103" t="e">
        <f t="shared" ref="D263:U263" si="2320">IF(D261&gt;D262,"RF",0)</f>
        <v>#DIV/0!</v>
      </c>
      <c r="F263" s="103" t="e">
        <f t="shared" si="2320"/>
        <v>#DIV/0!</v>
      </c>
      <c r="G263" s="103" t="e">
        <f t="shared" si="2320"/>
        <v>#DIV/0!</v>
      </c>
      <c r="H263" s="103" t="e">
        <f t="shared" si="2320"/>
        <v>#DIV/0!</v>
      </c>
      <c r="I263" s="103" t="e">
        <f t="shared" si="2320"/>
        <v>#DIV/0!</v>
      </c>
      <c r="J263" s="103" t="e">
        <f t="shared" si="2320"/>
        <v>#DIV/0!</v>
      </c>
      <c r="K263" s="103" t="e">
        <f t="shared" si="2320"/>
        <v>#DIV/0!</v>
      </c>
      <c r="L263" s="103" t="e">
        <f t="shared" si="2320"/>
        <v>#DIV/0!</v>
      </c>
      <c r="M263" s="103" t="e">
        <f t="shared" si="2320"/>
        <v>#DIV/0!</v>
      </c>
      <c r="N263" s="103" t="e">
        <f t="shared" si="2320"/>
        <v>#DIV/0!</v>
      </c>
      <c r="O263" s="103" t="e">
        <f t="shared" si="2320"/>
        <v>#DIV/0!</v>
      </c>
      <c r="P263" s="103" t="e">
        <f t="shared" si="2320"/>
        <v>#DIV/0!</v>
      </c>
      <c r="Q263" s="103" t="e">
        <f t="shared" si="2320"/>
        <v>#DIV/0!</v>
      </c>
      <c r="R263" s="103" t="e">
        <f t="shared" si="2320"/>
        <v>#DIV/0!</v>
      </c>
      <c r="S263" s="103" t="e">
        <f t="shared" si="2320"/>
        <v>#DIV/0!</v>
      </c>
      <c r="T263" s="103" t="str">
        <f t="shared" si="2320"/>
        <v>RF</v>
      </c>
      <c r="U263" s="103" t="str">
        <f t="shared" si="2320"/>
        <v>RF</v>
      </c>
      <c r="V263" s="103" t="str">
        <f>IF(V261&gt;V262,"RF",0)</f>
        <v>RF</v>
      </c>
      <c r="W263" s="103">
        <f t="shared" ref="W263:AE263" si="2321">IF(W261&gt;W262,"RF",0)</f>
        <v>0</v>
      </c>
      <c r="X263" s="103" t="str">
        <f t="shared" si="2321"/>
        <v>RF</v>
      </c>
      <c r="Y263" s="103" t="str">
        <f t="shared" si="2321"/>
        <v>RF</v>
      </c>
      <c r="Z263" s="103" t="str">
        <f t="shared" si="2321"/>
        <v>RF</v>
      </c>
      <c r="AA263" s="103" t="str">
        <f t="shared" ref="AA263" si="2322">IF(AA261&gt;AA262,"RF",0)</f>
        <v>RF</v>
      </c>
      <c r="AB263" s="73">
        <f t="shared" si="2321"/>
        <v>0</v>
      </c>
      <c r="AC263" s="73">
        <f t="shared" si="2321"/>
        <v>0</v>
      </c>
      <c r="AD263" s="73">
        <f t="shared" si="2321"/>
        <v>0</v>
      </c>
      <c r="AE263" s="73">
        <f t="shared" si="2321"/>
        <v>0</v>
      </c>
      <c r="AL263" s="103" t="e">
        <f t="shared" ref="AL263:CW263" si="2323">IF(AL261&gt;AL262,"RF",0)</f>
        <v>#DIV/0!</v>
      </c>
      <c r="AM263" s="103" t="e">
        <f t="shared" si="2323"/>
        <v>#DIV/0!</v>
      </c>
      <c r="AN263" s="103" t="e">
        <f t="shared" si="2323"/>
        <v>#DIV/0!</v>
      </c>
      <c r="AO263" s="103" t="e">
        <f t="shared" si="2323"/>
        <v>#DIV/0!</v>
      </c>
      <c r="AP263" s="103" t="e">
        <f t="shared" si="2323"/>
        <v>#DIV/0!</v>
      </c>
      <c r="AQ263" s="103" t="e">
        <f t="shared" si="2323"/>
        <v>#DIV/0!</v>
      </c>
      <c r="AR263" s="103" t="e">
        <f t="shared" si="2323"/>
        <v>#DIV/0!</v>
      </c>
      <c r="AS263" s="103" t="e">
        <f t="shared" si="2323"/>
        <v>#DIV/0!</v>
      </c>
      <c r="AT263" s="103" t="e">
        <f t="shared" si="2323"/>
        <v>#DIV/0!</v>
      </c>
      <c r="AU263" s="103" t="e">
        <f t="shared" si="2323"/>
        <v>#DIV/0!</v>
      </c>
      <c r="AV263" s="103" t="e">
        <f t="shared" si="2323"/>
        <v>#DIV/0!</v>
      </c>
      <c r="AW263" s="103" t="e">
        <f t="shared" si="2323"/>
        <v>#DIV/0!</v>
      </c>
      <c r="AX263" s="103" t="e">
        <f t="shared" si="2323"/>
        <v>#DIV/0!</v>
      </c>
      <c r="AY263" s="103" t="e">
        <f t="shared" si="2323"/>
        <v>#DIV/0!</v>
      </c>
      <c r="AZ263" s="103" t="e">
        <f t="shared" si="2323"/>
        <v>#DIV/0!</v>
      </c>
      <c r="BA263" s="103" t="e">
        <f t="shared" si="2323"/>
        <v>#DIV/0!</v>
      </c>
      <c r="BB263" s="103" t="e">
        <f t="shared" si="2323"/>
        <v>#DIV/0!</v>
      </c>
      <c r="BC263" s="103" t="e">
        <f t="shared" si="2323"/>
        <v>#DIV/0!</v>
      </c>
      <c r="BD263" s="103" t="e">
        <f t="shared" si="2323"/>
        <v>#DIV/0!</v>
      </c>
      <c r="BE263" s="103" t="e">
        <f t="shared" si="2323"/>
        <v>#DIV/0!</v>
      </c>
      <c r="BF263" s="103" t="e">
        <f t="shared" si="2323"/>
        <v>#DIV/0!</v>
      </c>
      <c r="BG263" s="103" t="e">
        <f t="shared" si="2323"/>
        <v>#DIV/0!</v>
      </c>
      <c r="BH263" s="103" t="e">
        <f t="shared" si="2323"/>
        <v>#DIV/0!</v>
      </c>
      <c r="BI263" s="103" t="e">
        <f t="shared" si="2323"/>
        <v>#DIV/0!</v>
      </c>
      <c r="BJ263" s="103" t="e">
        <f t="shared" si="2323"/>
        <v>#DIV/0!</v>
      </c>
      <c r="BK263" s="103" t="str">
        <f t="shared" si="2323"/>
        <v>RF</v>
      </c>
      <c r="BL263" s="103">
        <f t="shared" si="2323"/>
        <v>0</v>
      </c>
      <c r="BM263" s="103" t="str">
        <f t="shared" si="2323"/>
        <v>RF</v>
      </c>
      <c r="BN263" s="103">
        <f t="shared" si="2323"/>
        <v>0</v>
      </c>
      <c r="BO263" s="103" t="str">
        <f t="shared" si="2323"/>
        <v>RF</v>
      </c>
      <c r="BP263" s="103" t="str">
        <f t="shared" si="2323"/>
        <v>RF</v>
      </c>
      <c r="BQ263" s="103">
        <f t="shared" si="2323"/>
        <v>0</v>
      </c>
      <c r="BR263" s="103" t="str">
        <f t="shared" si="2323"/>
        <v>RF</v>
      </c>
      <c r="BS263" s="103" t="str">
        <f t="shared" si="2323"/>
        <v>RF</v>
      </c>
      <c r="BT263" s="103">
        <f t="shared" si="2323"/>
        <v>0</v>
      </c>
      <c r="BU263" s="103">
        <f t="shared" si="2323"/>
        <v>0</v>
      </c>
      <c r="BV263" s="103" t="str">
        <f t="shared" si="2323"/>
        <v>RF</v>
      </c>
      <c r="BW263" s="103">
        <f t="shared" si="2323"/>
        <v>0</v>
      </c>
      <c r="BX263" s="103" t="str">
        <f t="shared" si="2323"/>
        <v>RF</v>
      </c>
      <c r="BY263" s="103" t="str">
        <f t="shared" si="2323"/>
        <v>RF</v>
      </c>
      <c r="BZ263" s="103">
        <f t="shared" si="2323"/>
        <v>0</v>
      </c>
      <c r="CA263" s="103" t="str">
        <f t="shared" si="2323"/>
        <v>RF</v>
      </c>
      <c r="CB263" s="103" t="str">
        <f t="shared" si="2323"/>
        <v>RF</v>
      </c>
      <c r="CC263" s="103" t="str">
        <f t="shared" si="2323"/>
        <v>RF</v>
      </c>
      <c r="CD263" s="103" t="str">
        <f t="shared" si="2323"/>
        <v>RF</v>
      </c>
      <c r="CE263" s="103" t="str">
        <f t="shared" si="2323"/>
        <v>RF</v>
      </c>
      <c r="CF263" s="103" t="str">
        <f t="shared" si="2323"/>
        <v>RF</v>
      </c>
      <c r="CG263" s="103">
        <f t="shared" si="2323"/>
        <v>0</v>
      </c>
      <c r="CH263" s="103">
        <f t="shared" si="2323"/>
        <v>0</v>
      </c>
      <c r="CI263" s="103" t="str">
        <f t="shared" si="2323"/>
        <v>RF</v>
      </c>
      <c r="CJ263" s="103" t="str">
        <f t="shared" si="2323"/>
        <v>RF</v>
      </c>
      <c r="CK263" s="103">
        <f t="shared" si="2323"/>
        <v>0</v>
      </c>
      <c r="CL263" s="103">
        <f t="shared" ref="CL263" si="2324">IF(CL261&gt;CL262,"RF",0)</f>
        <v>0</v>
      </c>
      <c r="CM263" s="73" t="str">
        <f t="shared" si="2323"/>
        <v>RF</v>
      </c>
      <c r="CN263" s="73" t="str">
        <f t="shared" si="2323"/>
        <v>RF</v>
      </c>
      <c r="CO263" s="73">
        <f t="shared" si="2323"/>
        <v>0</v>
      </c>
      <c r="CP263" s="73">
        <f t="shared" si="2323"/>
        <v>0</v>
      </c>
      <c r="CQ263" s="73" t="str">
        <f t="shared" si="2323"/>
        <v>RF</v>
      </c>
      <c r="CR263" s="73" t="str">
        <f t="shared" si="2323"/>
        <v>RF</v>
      </c>
      <c r="CS263" s="73">
        <f t="shared" si="2323"/>
        <v>0</v>
      </c>
      <c r="CT263" s="73">
        <f t="shared" si="2323"/>
        <v>0</v>
      </c>
      <c r="CU263" s="73">
        <f t="shared" si="2323"/>
        <v>0</v>
      </c>
      <c r="CV263" s="73" t="str">
        <f t="shared" si="2323"/>
        <v>RF</v>
      </c>
      <c r="CW263" s="73">
        <f t="shared" si="2323"/>
        <v>0</v>
      </c>
      <c r="CX263" s="73">
        <f t="shared" ref="CX263:DB263" si="2325">IF(CX261&gt;CX262,"RF",0)</f>
        <v>0</v>
      </c>
      <c r="CY263" s="73">
        <f t="shared" si="2325"/>
        <v>0</v>
      </c>
      <c r="CZ263" s="73" t="str">
        <f t="shared" si="2325"/>
        <v>RF</v>
      </c>
      <c r="DA263" s="73">
        <f t="shared" si="2325"/>
        <v>0</v>
      </c>
      <c r="DB263" s="73">
        <f t="shared" si="2325"/>
        <v>0</v>
      </c>
      <c r="DE263" s="142"/>
      <c r="DF263" s="103">
        <v>0</v>
      </c>
    </row>
    <row r="264" spans="1:110" s="86" customFormat="1" x14ac:dyDescent="0.2">
      <c r="A264" s="86" t="s">
        <v>432</v>
      </c>
      <c r="B264" s="86" t="e">
        <f>B43/B15</f>
        <v>#DIV/0!</v>
      </c>
      <c r="C264" s="86" t="e">
        <f>C43/C15</f>
        <v>#DIV/0!</v>
      </c>
      <c r="D264" s="86" t="e">
        <f>D43/D15</f>
        <v>#DIV/0!</v>
      </c>
      <c r="F264" s="86" t="e">
        <f t="shared" ref="F264:AE264" si="2326">F43/F15</f>
        <v>#DIV/0!</v>
      </c>
      <c r="G264" s="86" t="e">
        <f t="shared" si="2326"/>
        <v>#DIV/0!</v>
      </c>
      <c r="H264" s="86" t="e">
        <f t="shared" si="2326"/>
        <v>#DIV/0!</v>
      </c>
      <c r="I264" s="86" t="e">
        <f t="shared" si="2326"/>
        <v>#DIV/0!</v>
      </c>
      <c r="J264" s="86" t="e">
        <f t="shared" si="2326"/>
        <v>#DIV/0!</v>
      </c>
      <c r="K264" s="86" t="e">
        <f t="shared" si="2326"/>
        <v>#DIV/0!</v>
      </c>
      <c r="L264" s="86" t="e">
        <f t="shared" si="2326"/>
        <v>#DIV/0!</v>
      </c>
      <c r="M264" s="86" t="e">
        <f t="shared" si="2326"/>
        <v>#DIV/0!</v>
      </c>
      <c r="N264" s="86" t="e">
        <f t="shared" si="2326"/>
        <v>#DIV/0!</v>
      </c>
      <c r="O264" s="86" t="e">
        <f t="shared" si="2326"/>
        <v>#DIV/0!</v>
      </c>
      <c r="P264" s="86" t="e">
        <f t="shared" si="2326"/>
        <v>#DIV/0!</v>
      </c>
      <c r="Q264" s="86" t="e">
        <f t="shared" si="2326"/>
        <v>#DIV/0!</v>
      </c>
      <c r="R264" s="86" t="e">
        <f t="shared" si="2326"/>
        <v>#DIV/0!</v>
      </c>
      <c r="S264" s="86">
        <f t="shared" si="2326"/>
        <v>1.103248275392377E-2</v>
      </c>
      <c r="T264" s="86">
        <f t="shared" si="2326"/>
        <v>1.8519107306337258E-2</v>
      </c>
      <c r="U264" s="86">
        <f t="shared" si="2326"/>
        <v>4.7265702770618208E-2</v>
      </c>
      <c r="V264" s="86">
        <f t="shared" si="2326"/>
        <v>2.0660132262635803E-2</v>
      </c>
      <c r="W264" s="86">
        <f t="shared" si="2326"/>
        <v>1.6774573278399058E-2</v>
      </c>
      <c r="X264" s="86">
        <f t="shared" si="2326"/>
        <v>7.5086475997637736E-2</v>
      </c>
      <c r="Y264" s="86">
        <f t="shared" si="2326"/>
        <v>7.7012028187667406E-2</v>
      </c>
      <c r="Z264" s="86">
        <f t="shared" si="2326"/>
        <v>2.0151193457169789E-2</v>
      </c>
      <c r="AA264" s="86">
        <f t="shared" ref="AA264" si="2327">AA43/AA15</f>
        <v>2.1842727591894595E-2</v>
      </c>
      <c r="AB264" s="87">
        <f t="shared" si="2326"/>
        <v>-3.2329249864852146E-3</v>
      </c>
      <c r="AC264" s="87">
        <f t="shared" si="2326"/>
        <v>-2.0954742865814295E-3</v>
      </c>
      <c r="AD264" s="87">
        <f t="shared" si="2326"/>
        <v>-8.9587416103654061E-4</v>
      </c>
      <c r="AE264" s="87">
        <f t="shared" si="2326"/>
        <v>1.7848678339607487E-4</v>
      </c>
      <c r="AL264" s="86" t="e">
        <f t="shared" ref="AL264:CW264" si="2328">AL43/AL15</f>
        <v>#DIV/0!</v>
      </c>
      <c r="AM264" s="86" t="e">
        <f t="shared" si="2328"/>
        <v>#DIV/0!</v>
      </c>
      <c r="AN264" s="86" t="e">
        <f t="shared" si="2328"/>
        <v>#DIV/0!</v>
      </c>
      <c r="AO264" s="86" t="e">
        <f t="shared" si="2328"/>
        <v>#DIV/0!</v>
      </c>
      <c r="AP264" s="86" t="e">
        <f t="shared" si="2328"/>
        <v>#DIV/0!</v>
      </c>
      <c r="AQ264" s="86" t="e">
        <f t="shared" si="2328"/>
        <v>#DIV/0!</v>
      </c>
      <c r="AR264" s="86" t="e">
        <f t="shared" si="2328"/>
        <v>#DIV/0!</v>
      </c>
      <c r="AS264" s="86" t="e">
        <f t="shared" si="2328"/>
        <v>#DIV/0!</v>
      </c>
      <c r="AT264" s="86" t="e">
        <f t="shared" si="2328"/>
        <v>#DIV/0!</v>
      </c>
      <c r="AU264" s="86" t="e">
        <f t="shared" si="2328"/>
        <v>#DIV/0!</v>
      </c>
      <c r="AV264" s="86" t="e">
        <f t="shared" si="2328"/>
        <v>#DIV/0!</v>
      </c>
      <c r="AW264" s="86" t="e">
        <f t="shared" si="2328"/>
        <v>#DIV/0!</v>
      </c>
      <c r="AX264" s="86" t="e">
        <f t="shared" si="2328"/>
        <v>#DIV/0!</v>
      </c>
      <c r="AY264" s="86" t="e">
        <f t="shared" si="2328"/>
        <v>#DIV/0!</v>
      </c>
      <c r="AZ264" s="86" t="e">
        <f t="shared" si="2328"/>
        <v>#DIV/0!</v>
      </c>
      <c r="BA264" s="86" t="e">
        <f t="shared" si="2328"/>
        <v>#DIV/0!</v>
      </c>
      <c r="BB264" s="86" t="e">
        <f t="shared" si="2328"/>
        <v>#DIV/0!</v>
      </c>
      <c r="BC264" s="86" t="e">
        <f t="shared" si="2328"/>
        <v>#DIV/0!</v>
      </c>
      <c r="BD264" s="86" t="e">
        <f t="shared" si="2328"/>
        <v>#DIV/0!</v>
      </c>
      <c r="BE264" s="86" t="e">
        <f t="shared" si="2328"/>
        <v>#DIV/0!</v>
      </c>
      <c r="BF264" s="86" t="e">
        <f t="shared" si="2328"/>
        <v>#DIV/0!</v>
      </c>
      <c r="BG264" s="86" t="e">
        <f t="shared" si="2328"/>
        <v>#DIV/0!</v>
      </c>
      <c r="BH264" s="86">
        <f t="shared" si="2328"/>
        <v>3.9381049775754099E-3</v>
      </c>
      <c r="BI264" s="86">
        <f t="shared" si="2328"/>
        <v>2.5015024221234396E-2</v>
      </c>
      <c r="BJ264" s="86">
        <f t="shared" si="2328"/>
        <v>1.3598455917263589E-2</v>
      </c>
      <c r="BK264" s="86">
        <f t="shared" si="2328"/>
        <v>4.0812884051568334E-2</v>
      </c>
      <c r="BL264" s="86">
        <f t="shared" si="2328"/>
        <v>5.2173330093100823E-2</v>
      </c>
      <c r="BM264" s="86">
        <f t="shared" si="2328"/>
        <v>4.7315959683420644E-2</v>
      </c>
      <c r="BN264" s="86">
        <f t="shared" si="2328"/>
        <v>1.500997267825859E-2</v>
      </c>
      <c r="BO264" s="86">
        <f t="shared" si="2328"/>
        <v>2.3063957299372599E-2</v>
      </c>
      <c r="BP264" s="86">
        <f t="shared" si="2328"/>
        <v>1.6773527453371538E-2</v>
      </c>
      <c r="BQ264" s="86">
        <f t="shared" si="2328"/>
        <v>1.7617954914502222E-2</v>
      </c>
      <c r="BR264" s="86">
        <f t="shared" si="2328"/>
        <v>1.6804197751623257E-2</v>
      </c>
      <c r="BS264" s="86">
        <f t="shared" si="2328"/>
        <v>1.0480232373203417E-2</v>
      </c>
      <c r="BT264" s="86">
        <f t="shared" si="2328"/>
        <v>1.1894995898277276E-2</v>
      </c>
      <c r="BU264" s="86">
        <f t="shared" si="2328"/>
        <v>1.8898090791110874E-2</v>
      </c>
      <c r="BV264" s="86">
        <f t="shared" si="2328"/>
        <v>1.7581206875624398E-2</v>
      </c>
      <c r="BW264" s="86">
        <f t="shared" si="2328"/>
        <v>1.2146520510717273E-2</v>
      </c>
      <c r="BX264" s="86">
        <f t="shared" si="2328"/>
        <v>0.10502414531964567</v>
      </c>
      <c r="BY264" s="86">
        <f t="shared" si="2328"/>
        <v>9.3154118340868883E-2</v>
      </c>
      <c r="BZ264" s="86">
        <f t="shared" si="2328"/>
        <v>0.67284858079837151</v>
      </c>
      <c r="CA264" s="86">
        <f t="shared" si="2328"/>
        <v>0.12057247164828336</v>
      </c>
      <c r="CB264" s="86">
        <f t="shared" si="2328"/>
        <v>8.4711396671582062E-2</v>
      </c>
      <c r="CC264" s="86">
        <f t="shared" si="2328"/>
        <v>0.11589006313477902</v>
      </c>
      <c r="CD264" s="86">
        <f t="shared" si="2328"/>
        <v>2.0831741666029999E-2</v>
      </c>
      <c r="CE264" s="86">
        <f t="shared" si="2328"/>
        <v>2.0588813848272245E-2</v>
      </c>
      <c r="CF264" s="86">
        <f t="shared" si="2328"/>
        <v>2.7375326301080069E-2</v>
      </c>
      <c r="CG264" s="86">
        <f t="shared" si="2328"/>
        <v>1.7058567385151317E-2</v>
      </c>
      <c r="CH264" s="86">
        <f t="shared" si="2328"/>
        <v>1.2329751380447855E-2</v>
      </c>
      <c r="CI264" s="86">
        <f t="shared" si="2328"/>
        <v>1.6513115693987952E-2</v>
      </c>
      <c r="CJ264" s="86">
        <f t="shared" si="2328"/>
        <v>2.0330550154409242E-2</v>
      </c>
      <c r="CK264" s="86">
        <f t="shared" si="2328"/>
        <v>2.2674588114959777E-2</v>
      </c>
      <c r="CL264" s="86">
        <f t="shared" ref="CL264" si="2329">CL43/CL15</f>
        <v>2.1432866812978964E-2</v>
      </c>
      <c r="CM264" s="87">
        <f t="shared" si="2328"/>
        <v>-2.9625691272832278E-3</v>
      </c>
      <c r="CN264" s="87">
        <f t="shared" si="2328"/>
        <v>-4.4108283779331217E-3</v>
      </c>
      <c r="CO264" s="87">
        <f t="shared" si="2328"/>
        <v>-2.9658635315608552E-3</v>
      </c>
      <c r="CP264" s="87">
        <f t="shared" si="2328"/>
        <v>-2.724275363721607E-3</v>
      </c>
      <c r="CQ264" s="87">
        <f t="shared" si="2328"/>
        <v>-2.4596370390274781E-3</v>
      </c>
      <c r="CR264" s="87">
        <f t="shared" si="2328"/>
        <v>-3.0879285161773897E-3</v>
      </c>
      <c r="CS264" s="87">
        <f t="shared" si="2328"/>
        <v>-1.5662546675133308E-3</v>
      </c>
      <c r="CT264" s="87">
        <f t="shared" si="2328"/>
        <v>-1.3793393245198151E-3</v>
      </c>
      <c r="CU264" s="87">
        <f t="shared" si="2328"/>
        <v>-1.4203086241854782E-3</v>
      </c>
      <c r="CV264" s="87">
        <f t="shared" si="2328"/>
        <v>-1.7429944506446575E-3</v>
      </c>
      <c r="CW264" s="87">
        <f t="shared" si="2328"/>
        <v>-2.7947278625801026E-4</v>
      </c>
      <c r="CX264" s="87">
        <f t="shared" ref="CX264:DB264" si="2330">CX43/CX15</f>
        <v>-2.2876840640791005E-4</v>
      </c>
      <c r="CY264" s="87">
        <f t="shared" si="2330"/>
        <v>-3.9029136682184386E-4</v>
      </c>
      <c r="CZ264" s="87">
        <f t="shared" si="2330"/>
        <v>-5.5923475396941948E-4</v>
      </c>
      <c r="DA264" s="87">
        <f t="shared" si="2330"/>
        <v>8.3457294721019895E-4</v>
      </c>
      <c r="DB264" s="87">
        <f t="shared" si="2330"/>
        <v>7.5635986567994251E-4</v>
      </c>
      <c r="DE264" s="141"/>
      <c r="DF264" s="86">
        <v>8.6443762756356415E-3</v>
      </c>
    </row>
    <row r="265" spans="1:110" s="86" customFormat="1" x14ac:dyDescent="0.2">
      <c r="A265" s="86" t="s">
        <v>433</v>
      </c>
      <c r="B265" s="86" t="e">
        <f>B39/B15</f>
        <v>#DIV/0!</v>
      </c>
      <c r="C265" s="86" t="e">
        <f>C39/C15</f>
        <v>#DIV/0!</v>
      </c>
      <c r="D265" s="86" t="e">
        <f>D39/D15</f>
        <v>#DIV/0!</v>
      </c>
      <c r="F265" s="86" t="e">
        <f t="shared" ref="F265:AE265" si="2331">F39/F15</f>
        <v>#DIV/0!</v>
      </c>
      <c r="G265" s="86" t="e">
        <f t="shared" si="2331"/>
        <v>#DIV/0!</v>
      </c>
      <c r="H265" s="86" t="e">
        <f t="shared" si="2331"/>
        <v>#DIV/0!</v>
      </c>
      <c r="I265" s="86" t="e">
        <f t="shared" si="2331"/>
        <v>#DIV/0!</v>
      </c>
      <c r="J265" s="86" t="e">
        <f t="shared" si="2331"/>
        <v>#DIV/0!</v>
      </c>
      <c r="K265" s="86" t="e">
        <f t="shared" si="2331"/>
        <v>#DIV/0!</v>
      </c>
      <c r="L265" s="86" t="e">
        <f t="shared" si="2331"/>
        <v>#DIV/0!</v>
      </c>
      <c r="M265" s="86" t="e">
        <f t="shared" si="2331"/>
        <v>#DIV/0!</v>
      </c>
      <c r="N265" s="86" t="e">
        <f t="shared" si="2331"/>
        <v>#DIV/0!</v>
      </c>
      <c r="O265" s="86" t="e">
        <f t="shared" si="2331"/>
        <v>#DIV/0!</v>
      </c>
      <c r="P265" s="86" t="e">
        <f t="shared" si="2331"/>
        <v>#DIV/0!</v>
      </c>
      <c r="Q265" s="86" t="e">
        <f t="shared" si="2331"/>
        <v>#DIV/0!</v>
      </c>
      <c r="R265" s="86" t="e">
        <f t="shared" si="2331"/>
        <v>#DIV/0!</v>
      </c>
      <c r="S265" s="86">
        <f t="shared" si="2331"/>
        <v>4.6102075350116747E-4</v>
      </c>
      <c r="T265" s="86">
        <f t="shared" si="2331"/>
        <v>9.4704048634485101E-4</v>
      </c>
      <c r="U265" s="86">
        <f t="shared" si="2331"/>
        <v>2.5523336005840057E-3</v>
      </c>
      <c r="V265" s="86">
        <f t="shared" si="2331"/>
        <v>3.2494882695638483E-3</v>
      </c>
      <c r="W265" s="86">
        <f t="shared" si="2331"/>
        <v>2.8217290447668181E-3</v>
      </c>
      <c r="X265" s="86">
        <f t="shared" si="2331"/>
        <v>7.2952491550910417E-3</v>
      </c>
      <c r="Y265" s="86">
        <f t="shared" si="2331"/>
        <v>5.4853279830794927E-3</v>
      </c>
      <c r="Z265" s="86">
        <f t="shared" si="2331"/>
        <v>2.2755186563966829E-3</v>
      </c>
      <c r="AA265" s="86">
        <f t="shared" ref="AA265" si="2332">AA39/AA15</f>
        <v>1.4944257126012677E-3</v>
      </c>
      <c r="AB265" s="87">
        <f t="shared" si="2331"/>
        <v>1.3239739468653014E-3</v>
      </c>
      <c r="AC265" s="87">
        <f t="shared" si="2331"/>
        <v>5.152057394252693E-4</v>
      </c>
      <c r="AD265" s="87">
        <f t="shared" si="2331"/>
        <v>2.0488323615946546E-4</v>
      </c>
      <c r="AE265" s="87">
        <f t="shared" si="2331"/>
        <v>8.1629782471950881E-5</v>
      </c>
      <c r="AL265" s="86" t="e">
        <f t="shared" ref="AL265:CW265" si="2333">AL39/AL15</f>
        <v>#DIV/0!</v>
      </c>
      <c r="AM265" s="86" t="e">
        <f t="shared" si="2333"/>
        <v>#DIV/0!</v>
      </c>
      <c r="AN265" s="86" t="e">
        <f t="shared" si="2333"/>
        <v>#DIV/0!</v>
      </c>
      <c r="AO265" s="86" t="e">
        <f t="shared" si="2333"/>
        <v>#DIV/0!</v>
      </c>
      <c r="AP265" s="86" t="e">
        <f t="shared" si="2333"/>
        <v>#DIV/0!</v>
      </c>
      <c r="AQ265" s="86" t="e">
        <f t="shared" si="2333"/>
        <v>#DIV/0!</v>
      </c>
      <c r="AR265" s="86" t="e">
        <f t="shared" si="2333"/>
        <v>#DIV/0!</v>
      </c>
      <c r="AS265" s="86" t="e">
        <f t="shared" si="2333"/>
        <v>#DIV/0!</v>
      </c>
      <c r="AT265" s="86" t="e">
        <f t="shared" si="2333"/>
        <v>#DIV/0!</v>
      </c>
      <c r="AU265" s="86" t="e">
        <f t="shared" si="2333"/>
        <v>#DIV/0!</v>
      </c>
      <c r="AV265" s="86" t="e">
        <f t="shared" si="2333"/>
        <v>#DIV/0!</v>
      </c>
      <c r="AW265" s="86" t="e">
        <f t="shared" si="2333"/>
        <v>#DIV/0!</v>
      </c>
      <c r="AX265" s="86" t="e">
        <f t="shared" si="2333"/>
        <v>#DIV/0!</v>
      </c>
      <c r="AY265" s="86" t="e">
        <f t="shared" si="2333"/>
        <v>#DIV/0!</v>
      </c>
      <c r="AZ265" s="86" t="e">
        <f t="shared" si="2333"/>
        <v>#DIV/0!</v>
      </c>
      <c r="BA265" s="86" t="e">
        <f t="shared" si="2333"/>
        <v>#DIV/0!</v>
      </c>
      <c r="BB265" s="86" t="e">
        <f t="shared" si="2333"/>
        <v>#DIV/0!</v>
      </c>
      <c r="BC265" s="86" t="e">
        <f t="shared" si="2333"/>
        <v>#DIV/0!</v>
      </c>
      <c r="BD265" s="86" t="e">
        <f t="shared" si="2333"/>
        <v>#DIV/0!</v>
      </c>
      <c r="BE265" s="86" t="e">
        <f t="shared" si="2333"/>
        <v>#DIV/0!</v>
      </c>
      <c r="BF265" s="86" t="e">
        <f t="shared" si="2333"/>
        <v>#DIV/0!</v>
      </c>
      <c r="BG265" s="86" t="e">
        <f t="shared" si="2333"/>
        <v>#DIV/0!</v>
      </c>
      <c r="BH265" s="86">
        <f t="shared" si="2333"/>
        <v>8.5297970603949262E-4</v>
      </c>
      <c r="BI265" s="86">
        <f t="shared" si="2333"/>
        <v>1.7779675574144229E-3</v>
      </c>
      <c r="BJ265" s="86">
        <f t="shared" si="2333"/>
        <v>9.5731065375802488E-4</v>
      </c>
      <c r="BK265" s="86">
        <f t="shared" si="2333"/>
        <v>2.5221896461705287E-3</v>
      </c>
      <c r="BL265" s="86">
        <f t="shared" si="2333"/>
        <v>3.276545465210797E-3</v>
      </c>
      <c r="BM265" s="86">
        <f t="shared" si="2333"/>
        <v>3.493186892001995E-3</v>
      </c>
      <c r="BN265" s="86">
        <f t="shared" si="2333"/>
        <v>1.6645394854971538E-3</v>
      </c>
      <c r="BO265" s="86">
        <f t="shared" si="2333"/>
        <v>3.6426631707088676E-3</v>
      </c>
      <c r="BP265" s="86">
        <f t="shared" si="2333"/>
        <v>2.7906002409043636E-3</v>
      </c>
      <c r="BQ265" s="86">
        <f t="shared" si="2333"/>
        <v>2.9579257926555008E-3</v>
      </c>
      <c r="BR265" s="86">
        <f t="shared" si="2333"/>
        <v>3.6715669749512654E-3</v>
      </c>
      <c r="BS265" s="86">
        <f t="shared" si="2333"/>
        <v>2.5782041301490835E-3</v>
      </c>
      <c r="BT265" s="86">
        <f t="shared" si="2333"/>
        <v>2.2802797513938903E-3</v>
      </c>
      <c r="BU265" s="86">
        <f t="shared" si="2333"/>
        <v>3.0036257575960295E-3</v>
      </c>
      <c r="BV265" s="86">
        <f t="shared" si="2333"/>
        <v>3.5666601309020289E-3</v>
      </c>
      <c r="BW265" s="86">
        <f t="shared" si="2333"/>
        <v>2.8667776921611028E-3</v>
      </c>
      <c r="BX265" s="86">
        <f t="shared" si="2333"/>
        <v>1.0553583421279862E-2</v>
      </c>
      <c r="BY265" s="86">
        <f t="shared" si="2333"/>
        <v>1.0099272655789268E-2</v>
      </c>
      <c r="BZ265" s="86">
        <f t="shared" si="2333"/>
        <v>4.3311093520298535E-2</v>
      </c>
      <c r="CA265" s="86">
        <f t="shared" si="2333"/>
        <v>6.6412925275749568E-3</v>
      </c>
      <c r="CB265" s="86">
        <f t="shared" si="2333"/>
        <v>5.6483041921213404E-3</v>
      </c>
      <c r="CC265" s="86">
        <f t="shared" si="2333"/>
        <v>7.7031292890474886E-3</v>
      </c>
      <c r="CD265" s="86">
        <f t="shared" si="2333"/>
        <v>3.7860459588628281E-3</v>
      </c>
      <c r="CE265" s="86">
        <f t="shared" si="2333"/>
        <v>4.3822263021004084E-3</v>
      </c>
      <c r="CF265" s="86">
        <f t="shared" si="2333"/>
        <v>3.7166784733476308E-3</v>
      </c>
      <c r="CG265" s="86">
        <f t="shared" si="2333"/>
        <v>1.8343130851295449E-3</v>
      </c>
      <c r="CH265" s="86">
        <f t="shared" si="2333"/>
        <v>1.2425023123245908E-3</v>
      </c>
      <c r="CI265" s="86">
        <f t="shared" si="2333"/>
        <v>1.5951136163666604E-3</v>
      </c>
      <c r="CJ265" s="86">
        <f t="shared" si="2333"/>
        <v>1.5612489991993596E-3</v>
      </c>
      <c r="CK265" s="86">
        <f t="shared" si="2333"/>
        <v>1.3669755904044049E-3</v>
      </c>
      <c r="CL265" s="86">
        <f t="shared" ref="CL265" si="2334">CL39/CL15</f>
        <v>1.4802555496733671E-3</v>
      </c>
      <c r="CM265" s="87">
        <f t="shared" si="2333"/>
        <v>1.7072261653091779E-3</v>
      </c>
      <c r="CN265" s="87">
        <f t="shared" si="2333"/>
        <v>1.5502058683233302E-3</v>
      </c>
      <c r="CO265" s="87">
        <f t="shared" si="2333"/>
        <v>1.1835484038808307E-3</v>
      </c>
      <c r="CP265" s="87">
        <f t="shared" si="2333"/>
        <v>8.9361987349313591E-4</v>
      </c>
      <c r="CQ265" s="87">
        <f t="shared" si="2333"/>
        <v>6.5557766598459371E-4</v>
      </c>
      <c r="CR265" s="87">
        <f t="shared" si="2333"/>
        <v>6.0651276547800089E-4</v>
      </c>
      <c r="CS265" s="87">
        <f t="shared" si="2333"/>
        <v>4.6619942313190797E-4</v>
      </c>
      <c r="CT265" s="87">
        <f t="shared" si="2333"/>
        <v>3.466843482999428E-4</v>
      </c>
      <c r="CU265" s="87">
        <f t="shared" si="2333"/>
        <v>2.6021429551193939E-4</v>
      </c>
      <c r="CV265" s="87">
        <f t="shared" si="2333"/>
        <v>2.4165094844343015E-4</v>
      </c>
      <c r="CW265" s="87">
        <f t="shared" si="2333"/>
        <v>1.855814061006007E-4</v>
      </c>
      <c r="CX265" s="87">
        <f t="shared" ref="CX265:DB265" si="2335">CX39/CX15</f>
        <v>1.3776913612351981E-4</v>
      </c>
      <c r="CY265" s="87">
        <f t="shared" si="2335"/>
        <v>1.0371495124115245E-4</v>
      </c>
      <c r="CZ265" s="87">
        <f t="shared" si="2335"/>
        <v>9.6501045610289041E-5</v>
      </c>
      <c r="DA265" s="87">
        <f t="shared" si="2335"/>
        <v>7.3944429890895189E-5</v>
      </c>
      <c r="DB265" s="87">
        <f t="shared" si="2335"/>
        <v>5.4759184851536607E-5</v>
      </c>
      <c r="DE265" s="141"/>
      <c r="DF265" s="86">
        <v>5.578795156911153E-4</v>
      </c>
    </row>
    <row r="266" spans="1:110" s="85" customFormat="1" x14ac:dyDescent="0.2">
      <c r="AB266" s="58"/>
      <c r="AC266" s="58"/>
      <c r="AD266" s="58"/>
      <c r="AE266" s="58"/>
      <c r="CM266" s="72"/>
      <c r="CN266" s="72"/>
      <c r="CO266" s="72"/>
      <c r="CP266" s="72"/>
      <c r="CQ266" s="72"/>
      <c r="CR266" s="72"/>
      <c r="CS266" s="72"/>
      <c r="CT266" s="72"/>
      <c r="CU266" s="72"/>
      <c r="CV266" s="72"/>
      <c r="CW266" s="72"/>
      <c r="CX266" s="72"/>
      <c r="CY266" s="72"/>
      <c r="CZ266" s="72"/>
      <c r="DA266" s="72"/>
      <c r="DB266" s="72"/>
      <c r="DE266" s="143"/>
    </row>
  </sheetData>
  <sortState xmlns:xlrd2="http://schemas.microsoft.com/office/spreadsheetml/2017/richdata2" ref="A27:DE32">
    <sortCondition ref="A27:A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295131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Sterling and Wilson Renewable Energy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2472.509</v>
      </c>
      <c r="AC6">
        <f>_xll.EQNXTDZ($A$1,$B6,AC$1,$B$1)</f>
        <v>1644.0119999999999</v>
      </c>
      <c r="AD6">
        <f>_xll.EQNXTDZ($A$1,$B6,AD$1,$B$1)</f>
        <v>2325.2640000000001</v>
      </c>
      <c r="AE6">
        <f>_xll.EQNXTDZ($A$1,$B6,AE$1,$B$1)</f>
        <v>1244.95</v>
      </c>
      <c r="AF6">
        <f>_xll.EQNXTDZ($A$1,$B6,AF$1,$B$1)</f>
        <v>1193.33</v>
      </c>
      <c r="AG6">
        <f>_xll.EQNXTDZ($A$1,$B6,AG$1,$B$1)</f>
        <v>1076.3810000000001</v>
      </c>
      <c r="AH6">
        <f>_xll.EQNXTDZ($A$1,$B6,AH$1,$B$1)</f>
        <v>2060.63</v>
      </c>
      <c r="AI6">
        <f>_xll.EQNXTDZ($A$1,$B6,AI$1,$B$1)</f>
        <v>1067.9000000000001</v>
      </c>
      <c r="AJ6">
        <f>_xll.EQNXTDZ($A$1,$B6,AJ$1,$B$1)</f>
        <v>1336.63</v>
      </c>
      <c r="AK6">
        <f>_xll.EQNXTDZ($A$1,$B6,AK$1,$B$1)</f>
        <v>1311.73</v>
      </c>
      <c r="AL6">
        <f>_xll.EQNXTDZ($A$1,$B6,AL$1,$B$1)</f>
        <v>1364.54</v>
      </c>
      <c r="AM6">
        <f>_xll.EQNXTDZ($A$1,$B6,AM$1,$B$1)</f>
        <v>1194.6300000000001</v>
      </c>
      <c r="AN6">
        <f>_xll.EQNXTDZ($A$1,$B6,AN$1,$B$1)</f>
        <v>1438.42</v>
      </c>
      <c r="AO6">
        <f>_xll.EQNXTDZ($A$1,$B6,AO$1,$B$1)</f>
        <v>1494.86</v>
      </c>
      <c r="AP6">
        <f>_xll.EQNXTDZ($A$1,$B6,AP$1,$B$1)</f>
        <v>1071.03</v>
      </c>
      <c r="AQ6">
        <f>_xll.EQNXTDZ($A$1,$B6,AQ$1,$B$1)</f>
        <v>1206.93</v>
      </c>
      <c r="AR6">
        <f>_xll.EQNXTDZ($A$1,$B6,AR$1,$B$1)</f>
        <v>312.69</v>
      </c>
      <c r="AS6">
        <f>_xll.EQNXTDZ($A$1,$B6,AS$1,$B$1)</f>
        <v>406.96</v>
      </c>
      <c r="AT6">
        <f>_xll.EQNXTDZ($A$1,$B6,AT$1,$B$1)</f>
        <v>88.43</v>
      </c>
      <c r="AU6">
        <f>_xll.EQNXTDZ($A$1,$B6,AU$1,$B$1)</f>
        <v>514.96</v>
      </c>
      <c r="AV6">
        <f>_xll.EQNXTDZ($A$1,$B6,AV$1,$B$1)</f>
        <v>759.52</v>
      </c>
      <c r="AW6">
        <f>_xll.EQNXTDZ($A$1,$B6,AW$1,$B$1)</f>
        <v>582.88</v>
      </c>
      <c r="AX6">
        <f>_xll.EQNXTDZ($A$1,$B6,AX$1,$B$1)</f>
        <v>1178.01</v>
      </c>
      <c r="AY6">
        <f>_xll.EQNXTDZ($A$1,$B6,AY$1,$B$1)</f>
        <v>915.06</v>
      </c>
      <c r="AZ6">
        <f>_xll.EQNXTDZ($A$1,$B6,AZ$1,$B$1)</f>
        <v>1030.49</v>
      </c>
      <c r="BA6">
        <f>_xll.EQNXTDZ($A$1,$B6,BA$1,$B$1)</f>
        <v>1837.2</v>
      </c>
      <c r="BB6">
        <f>_xll.EQNXTDZ($A$1,$B6,BB$1,$B$1)</f>
        <v>2519.11</v>
      </c>
      <c r="BC6">
        <f>_xll.EQNXTDZ($A$1,$B6,BC$1,$B$1)</f>
        <v>1761.63</v>
      </c>
      <c r="BD6">
        <f>_xll.EQNXTDZ($A$1,$B6,BD$1,$B$1)</f>
        <v>1748.6</v>
      </c>
      <c r="BE6">
        <f>_xll.EQNXTDZ($A$1,$B6,BE$1,$B$1)</f>
        <v>2092.21</v>
      </c>
      <c r="BF6">
        <f>_xll.EQNXTDZ($A$1,$B6,BF$1,$B$1)</f>
        <v>1945.61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2472.509</v>
      </c>
      <c r="AC9">
        <f>_xll.EQNXTDZ($A$1,$B9,AC$1,$B$1)</f>
        <v>1644.0119999999999</v>
      </c>
      <c r="AD9">
        <f>_xll.EQNXTDZ($A$1,$B9,AD$1,$B$1)</f>
        <v>2325.2640000000001</v>
      </c>
      <c r="AE9">
        <f>_xll.EQNXTDZ($A$1,$B9,AE$1,$B$1)</f>
        <v>1244.95</v>
      </c>
      <c r="AF9">
        <f>_xll.EQNXTDZ($A$1,$B9,AF$1,$B$1)</f>
        <v>1193.33</v>
      </c>
      <c r="AG9">
        <f>_xll.EQNXTDZ($A$1,$B9,AG$1,$B$1)</f>
        <v>1076.3800000000001</v>
      </c>
      <c r="AH9">
        <f>_xll.EQNXTDZ($A$1,$B9,AH$1,$B$1)</f>
        <v>2060.63</v>
      </c>
      <c r="AI9">
        <f>_xll.EQNXTDZ($A$1,$B9,AI$1,$B$1)</f>
        <v>1067.9000000000001</v>
      </c>
      <c r="AJ9">
        <f>_xll.EQNXTDZ($A$1,$B9,AJ$1,$B$1)</f>
        <v>1336.63</v>
      </c>
      <c r="AK9">
        <f>_xll.EQNXTDZ($A$1,$B9,AK$1,$B$1)</f>
        <v>1311.73</v>
      </c>
      <c r="AL9">
        <f>_xll.EQNXTDZ($A$1,$B9,AL$1,$B$1)</f>
        <v>1364.54</v>
      </c>
      <c r="AM9">
        <f>_xll.EQNXTDZ($A$1,$B9,AM$1,$B$1)</f>
        <v>1194.6300000000001</v>
      </c>
      <c r="AN9">
        <f>_xll.EQNXTDZ($A$1,$B9,AN$1,$B$1)</f>
        <v>1438.42</v>
      </c>
      <c r="AO9">
        <f>_xll.EQNXTDZ($A$1,$B9,AO$1,$B$1)</f>
        <v>1494.86</v>
      </c>
      <c r="AP9">
        <f>_xll.EQNXTDZ($A$1,$B9,AP$1,$B$1)</f>
        <v>1071.03</v>
      </c>
      <c r="AQ9">
        <f>_xll.EQNXTDZ($A$1,$B9,AQ$1,$B$1)</f>
        <v>1206.93</v>
      </c>
      <c r="AR9">
        <f>_xll.EQNXTDZ($A$1,$B9,AR$1,$B$1)</f>
        <v>312.69</v>
      </c>
      <c r="AS9">
        <f>_xll.EQNXTDZ($A$1,$B9,AS$1,$B$1)</f>
        <v>406.96</v>
      </c>
      <c r="AT9">
        <f>_xll.EQNXTDZ($A$1,$B9,AT$1,$B$1)</f>
        <v>88.43</v>
      </c>
      <c r="AU9">
        <f>_xll.EQNXTDZ($A$1,$B9,AU$1,$B$1)</f>
        <v>514.96</v>
      </c>
      <c r="AV9">
        <f>_xll.EQNXTDZ($A$1,$B9,AV$1,$B$1)</f>
        <v>759.52</v>
      </c>
      <c r="AW9">
        <f>_xll.EQNXTDZ($A$1,$B9,AW$1,$B$1)</f>
        <v>582.88</v>
      </c>
      <c r="AX9">
        <f>_xll.EQNXTDZ($A$1,$B9,AX$1,$B$1)</f>
        <v>1178.01</v>
      </c>
      <c r="AY9">
        <f>_xll.EQNXTDZ($A$1,$B9,AY$1,$B$1)</f>
        <v>915.06</v>
      </c>
      <c r="AZ9">
        <f>_xll.EQNXTDZ($A$1,$B9,AZ$1,$B$1)</f>
        <v>1030.49</v>
      </c>
      <c r="BA9">
        <f>_xll.EQNXTDZ($A$1,$B9,BA$1,$B$1)</f>
        <v>1837.2</v>
      </c>
      <c r="BB9">
        <f>_xll.EQNXTDZ($A$1,$B9,BB$1,$B$1)</f>
        <v>2519.11</v>
      </c>
      <c r="BC9">
        <f>_xll.EQNXTDZ($A$1,$B9,BC$1,$B$1)</f>
        <v>1761.63</v>
      </c>
      <c r="BD9">
        <f>_xll.EQNXTDZ($A$1,$B9,BD$1,$B$1)</f>
        <v>1748.6</v>
      </c>
      <c r="BE9">
        <f>_xll.EQNXTDZ($A$1,$B9,BE$1,$B$1)</f>
        <v>2092.21</v>
      </c>
      <c r="BF9">
        <f>_xll.EQNXTDZ($A$1,$B9,BF$1,$B$1)</f>
        <v>1945.61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0.34300000000000003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2339.8960000000002</v>
      </c>
      <c r="AC11">
        <f>_xll.EQNXTDZ($A$1,$B11,AC$1,$B$1)</f>
        <v>921.22500000000002</v>
      </c>
      <c r="AD11">
        <f>_xll.EQNXTDZ($A$1,$B11,AD$1,$B$1)</f>
        <v>981.63599999999997</v>
      </c>
      <c r="AE11">
        <f>_xll.EQNXTDZ($A$1,$B11,AE$1,$B$1)</f>
        <v>672.35</v>
      </c>
      <c r="AF11">
        <f>_xll.EQNXTDZ($A$1,$B11,AF$1,$B$1)</f>
        <v>741.42</v>
      </c>
      <c r="AG11">
        <f>_xll.EQNXTDZ($A$1,$B11,AG$1,$B$1)</f>
        <v>778.89</v>
      </c>
      <c r="AH11">
        <f>_xll.EQNXTDZ($A$1,$B11,AH$1,$B$1)</f>
        <v>1396.63</v>
      </c>
      <c r="AI11">
        <f>_xll.EQNXTDZ($A$1,$B11,AI$1,$B$1)</f>
        <v>635.75</v>
      </c>
      <c r="AJ11">
        <f>_xll.EQNXTDZ($A$1,$B11,AJ$1,$B$1)</f>
        <v>759.02</v>
      </c>
      <c r="AK11">
        <f>_xll.EQNXTDZ($A$1,$B11,AK$1,$B$1)</f>
        <v>605.05999999999995</v>
      </c>
      <c r="AL11">
        <f>_xll.EQNXTDZ($A$1,$B11,AL$1,$B$1)</f>
        <v>1069.27</v>
      </c>
      <c r="AM11">
        <f>_xll.EQNXTDZ($A$1,$B11,AM$1,$B$1)</f>
        <v>460.3</v>
      </c>
      <c r="AN11">
        <f>_xll.EQNXTDZ($A$1,$B11,AN$1,$B$1)</f>
        <v>640.67999999999995</v>
      </c>
      <c r="AO11">
        <f>_xll.EQNXTDZ($A$1,$B11,AO$1,$B$1)</f>
        <v>979.05</v>
      </c>
      <c r="AP11">
        <f>_xll.EQNXTDZ($A$1,$B11,AP$1,$B$1)</f>
        <v>339.41</v>
      </c>
      <c r="AQ11">
        <f>_xll.EQNXTDZ($A$1,$B11,AQ$1,$B$1)</f>
        <v>893.32</v>
      </c>
      <c r="AR11">
        <f>_xll.EQNXTDZ($A$1,$B11,AR$1,$B$1)</f>
        <v>157.82</v>
      </c>
      <c r="AS11">
        <f>_xll.EQNXTDZ($A$1,$B11,AS$1,$B$1)</f>
        <v>151.35</v>
      </c>
      <c r="AT11">
        <f>_xll.EQNXTDZ($A$1,$B11,AT$1,$B$1)</f>
        <v>8.01</v>
      </c>
      <c r="AU11">
        <f>_xll.EQNXTDZ($A$1,$B11,AU$1,$B$1)</f>
        <v>239.91</v>
      </c>
      <c r="AV11">
        <f>_xll.EQNXTDZ($A$1,$B11,AV$1,$B$1)</f>
        <v>467.37</v>
      </c>
      <c r="AW11">
        <f>_xll.EQNXTDZ($A$1,$B11,AW$1,$B$1)</f>
        <v>355.5</v>
      </c>
      <c r="AX11">
        <f>_xll.EQNXTDZ($A$1,$B11,AX$1,$B$1)</f>
        <v>878.96</v>
      </c>
      <c r="AY11">
        <f>_xll.EQNXTDZ($A$1,$B11,AY$1,$B$1)</f>
        <v>641.47</v>
      </c>
      <c r="AZ11">
        <f>_xll.EQNXTDZ($A$1,$B11,AZ$1,$B$1)</f>
        <v>729.38</v>
      </c>
      <c r="BA11">
        <f>_xll.EQNXTDZ($A$1,$B11,BA$1,$B$1)</f>
        <v>1380.25</v>
      </c>
      <c r="BB11">
        <f>_xll.EQNXTDZ($A$1,$B11,BB$1,$B$1)</f>
        <v>1809.81</v>
      </c>
      <c r="BC11">
        <f>_xll.EQNXTDZ($A$1,$B11,BC$1,$B$1)</f>
        <v>1122.42</v>
      </c>
      <c r="BD11">
        <f>_xll.EQNXTDZ($A$1,$B11,BD$1,$B$1)</f>
        <v>1063.95</v>
      </c>
      <c r="BE11">
        <f>_xll.EQNXTDZ($A$1,$B11,BE$1,$B$1)</f>
        <v>1345.6</v>
      </c>
      <c r="BF11">
        <f>_xll.EQNXTDZ($A$1,$B11,BF$1,$B$1)</f>
        <v>1156.02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178.53899999999999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60.98</v>
      </c>
      <c r="AC14">
        <f>_xll.EQNXTDZ($A$1,$B14,AC$1,$B$1)</f>
        <v>298.60500000000002</v>
      </c>
      <c r="AD14">
        <f>_xll.EQNXTDZ($A$1,$B14,AD$1,$B$1)</f>
        <v>961.33500000000004</v>
      </c>
      <c r="AE14">
        <f>_xll.EQNXTDZ($A$1,$B14,AE$1,$B$1)</f>
        <v>458.25</v>
      </c>
      <c r="AF14">
        <f>_xll.EQNXTDZ($A$1,$B14,AF$1,$B$1)</f>
        <v>291.52</v>
      </c>
      <c r="AG14">
        <f>_xll.EQNXTDZ($A$1,$B14,AG$1,$B$1)</f>
        <v>230.72</v>
      </c>
      <c r="AH14">
        <f>_xll.EQNXTDZ($A$1,$B14,AH$1,$B$1)</f>
        <v>461.07</v>
      </c>
      <c r="AI14">
        <f>_xll.EQNXTDZ($A$1,$B14,AI$1,$B$1)</f>
        <v>365.89</v>
      </c>
      <c r="AJ14">
        <f>_xll.EQNXTDZ($A$1,$B14,AJ$1,$B$1)</f>
        <v>519.6</v>
      </c>
      <c r="AK14">
        <f>_xll.EQNXTDZ($A$1,$B14,AK$1,$B$1)</f>
        <v>642.5</v>
      </c>
      <c r="AL14">
        <f>_xll.EQNXTDZ($A$1,$B14,AL$1,$B$1)</f>
        <v>664.16</v>
      </c>
      <c r="AM14">
        <f>_xll.EQNXTDZ($A$1,$B14,AM$1,$B$1)</f>
        <v>783.44</v>
      </c>
      <c r="AN14">
        <f>_xll.EQNXTDZ($A$1,$B14,AN$1,$B$1)</f>
        <v>1033.17</v>
      </c>
      <c r="AO14">
        <f>_xll.EQNXTDZ($A$1,$B14,AO$1,$B$1)</f>
        <v>847.95</v>
      </c>
      <c r="AP14">
        <f>_xll.EQNXTDZ($A$1,$B14,AP$1,$B$1)</f>
        <v>800.53</v>
      </c>
      <c r="AQ14">
        <f>_xll.EQNXTDZ($A$1,$B14,AQ$1,$B$1)</f>
        <v>597.29999999999995</v>
      </c>
      <c r="AR14">
        <f>_xll.EQNXTDZ($A$1,$B14,AR$1,$B$1)</f>
        <v>461.56</v>
      </c>
      <c r="AS14">
        <f>_xll.EQNXTDZ($A$1,$B14,AS$1,$B$1)</f>
        <v>256.51</v>
      </c>
      <c r="AT14">
        <f>_xll.EQNXTDZ($A$1,$B14,AT$1,$B$1)</f>
        <v>371.28</v>
      </c>
      <c r="AU14">
        <f>_xll.EQNXTDZ($A$1,$B14,AU$1,$B$1)</f>
        <v>253.59</v>
      </c>
      <c r="AV14">
        <f>_xll.EQNXTDZ($A$1,$B14,AV$1,$B$1)</f>
        <v>234.86</v>
      </c>
      <c r="AW14">
        <f>_xll.EQNXTDZ($A$1,$B14,AW$1,$B$1)</f>
        <v>191.69</v>
      </c>
      <c r="AX14">
        <f>_xll.EQNXTDZ($A$1,$B14,AX$1,$B$1)</f>
        <v>224.79</v>
      </c>
      <c r="AY14">
        <f>_xll.EQNXTDZ($A$1,$B14,AY$1,$B$1)</f>
        <v>201.99</v>
      </c>
      <c r="AZ14">
        <f>_xll.EQNXTDZ($A$1,$B14,AZ$1,$B$1)</f>
        <v>235.6</v>
      </c>
      <c r="BA14">
        <f>_xll.EQNXTDZ($A$1,$B14,BA$1,$B$1)</f>
        <v>338.86</v>
      </c>
      <c r="BB14">
        <f>_xll.EQNXTDZ($A$1,$B14,BB$1,$B$1)</f>
        <v>517.67999999999995</v>
      </c>
      <c r="BC14">
        <f>_xll.EQNXTDZ($A$1,$B14,BC$1,$B$1)</f>
        <v>509.28</v>
      </c>
      <c r="BD14">
        <f>_xll.EQNXTDZ($A$1,$B14,BD$1,$B$1)</f>
        <v>636.85</v>
      </c>
      <c r="BE14">
        <f>_xll.EQNXTDZ($A$1,$B14,BE$1,$B$1)</f>
        <v>637.28</v>
      </c>
      <c r="BF14">
        <f>_xll.EQNXTDZ($A$1,$B14,BF$1,$B$1)</f>
        <v>594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42.317</v>
      </c>
      <c r="AC16">
        <f>_xll.EQNXTDZ($A$1,$B16,AC$1,$B$1)</f>
        <v>57.564999999999998</v>
      </c>
      <c r="AD16">
        <f>_xll.EQNXTDZ($A$1,$B16,AD$1,$B$1)</f>
        <v>50.082999999999998</v>
      </c>
      <c r="AE16">
        <f>_xll.EQNXTDZ($A$1,$B16,AE$1,$B$1)</f>
        <v>48.32</v>
      </c>
      <c r="AF16">
        <f>_xll.EQNXTDZ($A$1,$B16,AF$1,$B$1)</f>
        <v>65.69</v>
      </c>
      <c r="AG16">
        <f>_xll.EQNXTDZ($A$1,$B16,AG$1,$B$1)</f>
        <v>56.91</v>
      </c>
      <c r="AH16">
        <f>_xll.EQNXTDZ($A$1,$B16,AH$1,$B$1)</f>
        <v>69.34</v>
      </c>
      <c r="AI16">
        <f>_xll.EQNXTDZ($A$1,$B16,AI$1,$B$1)</f>
        <v>49.68</v>
      </c>
      <c r="AJ16">
        <f>_xll.EQNXTDZ($A$1,$B16,AJ$1,$B$1)</f>
        <v>53.65</v>
      </c>
      <c r="AK16">
        <f>_xll.EQNXTDZ($A$1,$B16,AK$1,$B$1)</f>
        <v>49.73</v>
      </c>
      <c r="AL16">
        <f>_xll.EQNXTDZ($A$1,$B16,AL$1,$B$1)</f>
        <v>55.42</v>
      </c>
      <c r="AM16">
        <f>_xll.EQNXTDZ($A$1,$B16,AM$1,$B$1)</f>
        <v>54.6</v>
      </c>
      <c r="AN16">
        <f>_xll.EQNXTDZ($A$1,$B16,AN$1,$B$1)</f>
        <v>59.02</v>
      </c>
      <c r="AO16">
        <f>_xll.EQNXTDZ($A$1,$B16,AO$1,$B$1)</f>
        <v>58.94</v>
      </c>
      <c r="AP16">
        <f>_xll.EQNXTDZ($A$1,$B16,AP$1,$B$1)</f>
        <v>55.33</v>
      </c>
      <c r="AQ16">
        <f>_xll.EQNXTDZ($A$1,$B16,AQ$1,$B$1)</f>
        <v>60.18</v>
      </c>
      <c r="AR16">
        <f>_xll.EQNXTDZ($A$1,$B16,AR$1,$B$1)</f>
        <v>63.5</v>
      </c>
      <c r="AS16">
        <f>_xll.EQNXTDZ($A$1,$B16,AS$1,$B$1)</f>
        <v>62.91</v>
      </c>
      <c r="AT16">
        <f>_xll.EQNXTDZ($A$1,$B16,AT$1,$B$1)</f>
        <v>61.26</v>
      </c>
      <c r="AU16">
        <f>_xll.EQNXTDZ($A$1,$B16,AU$1,$B$1)</f>
        <v>58.67</v>
      </c>
      <c r="AV16">
        <f>_xll.EQNXTDZ($A$1,$B16,AV$1,$B$1)</f>
        <v>55.82</v>
      </c>
      <c r="AW16">
        <f>_xll.EQNXTDZ($A$1,$B16,AW$1,$B$1)</f>
        <v>51.87</v>
      </c>
      <c r="AX16">
        <f>_xll.EQNXTDZ($A$1,$B16,AX$1,$B$1)</f>
        <v>44.91</v>
      </c>
      <c r="AY16">
        <f>_xll.EQNXTDZ($A$1,$B16,AY$1,$B$1)</f>
        <v>46.92</v>
      </c>
      <c r="AZ16">
        <f>_xll.EQNXTDZ($A$1,$B16,AZ$1,$B$1)</f>
        <v>47.36</v>
      </c>
      <c r="BA16">
        <f>_xll.EQNXTDZ($A$1,$B16,BA$1,$B$1)</f>
        <v>47.76</v>
      </c>
      <c r="BB16">
        <f>_xll.EQNXTDZ($A$1,$B16,BB$1,$B$1)</f>
        <v>58.05</v>
      </c>
      <c r="BC16">
        <f>_xll.EQNXTDZ($A$1,$B16,BC$1,$B$1)</f>
        <v>44.47</v>
      </c>
      <c r="BD16">
        <f>_xll.EQNXTDZ($A$1,$B16,BD$1,$B$1)</f>
        <v>43.88</v>
      </c>
      <c r="BE16">
        <f>_xll.EQNXTDZ($A$1,$B16,BE$1,$B$1)</f>
        <v>42.38</v>
      </c>
      <c r="BF16">
        <f>_xll.EQNXTDZ($A$1,$B16,BF$1,$B$1)</f>
        <v>49.83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29.315999999999999</v>
      </c>
      <c r="AC22">
        <f>_xll.EQNXTDZ($A$1,$B22,AC$1,$B$1)</f>
        <v>188.078</v>
      </c>
      <c r="AD22">
        <f>_xll.EQNXTDZ($A$1,$B22,AD$1,$B$1)</f>
        <v>331.86700000000002</v>
      </c>
      <c r="AE22">
        <f>_xll.EQNXTDZ($A$1,$B22,AE$1,$B$1)</f>
        <v>66.029999999999902</v>
      </c>
      <c r="AF22">
        <f>_xll.EQNXTDZ($A$1,$B22,AF$1,$B$1)</f>
        <v>94.7</v>
      </c>
      <c r="AG22">
        <f>_xll.EQNXTDZ($A$1,$B22,AG$1,$B$1)</f>
        <v>9.8600000000000403</v>
      </c>
      <c r="AH22">
        <f>_xll.EQNXTDZ($A$1,$B22,AH$1,$B$1)</f>
        <v>133.59</v>
      </c>
      <c r="AI22">
        <f>_xll.EQNXTDZ($A$1,$B22,AI$1,$B$1)</f>
        <v>16.580000000000101</v>
      </c>
      <c r="AJ22">
        <f>_xll.EQNXTDZ($A$1,$B22,AJ$1,$B$1)</f>
        <v>4.3599999999998502</v>
      </c>
      <c r="AK22">
        <f>_xll.EQNXTDZ($A$1,$B22,AK$1,$B$1)</f>
        <v>14.44</v>
      </c>
      <c r="AL22">
        <f>_xll.EQNXTDZ($A$1,$B22,AL$1,$B$1)</f>
        <v>-424.31</v>
      </c>
      <c r="AM22">
        <f>_xll.EQNXTDZ($A$1,$B22,AM$1,$B$1)</f>
        <v>-103.71</v>
      </c>
      <c r="AN22">
        <f>_xll.EQNXTDZ($A$1,$B22,AN$1,$B$1)</f>
        <v>-294.45</v>
      </c>
      <c r="AO22">
        <f>_xll.EQNXTDZ($A$1,$B22,AO$1,$B$1)</f>
        <v>-391.08</v>
      </c>
      <c r="AP22">
        <f>_xll.EQNXTDZ($A$1,$B22,AP$1,$B$1)</f>
        <v>-124.24</v>
      </c>
      <c r="AQ22">
        <f>_xll.EQNXTDZ($A$1,$B22,AQ$1,$B$1)</f>
        <v>-343.87</v>
      </c>
      <c r="AR22">
        <f>_xll.EQNXTDZ($A$1,$B22,AR$1,$B$1)</f>
        <v>-370.19</v>
      </c>
      <c r="AS22">
        <f>_xll.EQNXTDZ($A$1,$B22,AS$1,$B$1)</f>
        <v>-63.81</v>
      </c>
      <c r="AT22">
        <f>_xll.EQNXTDZ($A$1,$B22,AT$1,$B$1)</f>
        <v>-352.12</v>
      </c>
      <c r="AU22">
        <f>_xll.EQNXTDZ($A$1,$B22,AU$1,$B$1)</f>
        <v>-37.209999999999901</v>
      </c>
      <c r="AV22">
        <f>_xll.EQNXTDZ($A$1,$B22,AV$1,$B$1)</f>
        <v>1.4700000000000699</v>
      </c>
      <c r="AW22">
        <f>_xll.EQNXTDZ($A$1,$B22,AW$1,$B$1)</f>
        <v>-16.1799999999999</v>
      </c>
      <c r="AX22">
        <f>_xll.EQNXTDZ($A$1,$B22,AX$1,$B$1)</f>
        <v>29.35</v>
      </c>
      <c r="AY22">
        <f>_xll.EQNXTDZ($A$1,$B22,AY$1,$B$1)</f>
        <v>24.6799999999999</v>
      </c>
      <c r="AZ22">
        <f>_xll.EQNXTDZ($A$1,$B22,AZ$1,$B$1)</f>
        <v>18.149999999999999</v>
      </c>
      <c r="BA22">
        <f>_xll.EQNXTDZ($A$1,$B22,BA$1,$B$1)</f>
        <v>70.330000000000297</v>
      </c>
      <c r="BB22">
        <f>_xll.EQNXTDZ($A$1,$B22,BB$1,$B$1)</f>
        <v>133.57</v>
      </c>
      <c r="BC22">
        <f>_xll.EQNXTDZ($A$1,$B22,BC$1,$B$1)</f>
        <v>85.459999999999894</v>
      </c>
      <c r="BD22">
        <f>_xll.EQNXTDZ($A$1,$B22,BD$1,$B$1)</f>
        <v>3.9200000000000701</v>
      </c>
      <c r="BE22">
        <f>_xll.EQNXTDZ($A$1,$B22,BE$1,$B$1)</f>
        <v>66.95</v>
      </c>
      <c r="BF22">
        <f>_xll.EQNXTDZ($A$1,$B22,BF$1,$B$1)</f>
        <v>145.76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67.784000000000006</v>
      </c>
      <c r="AC23">
        <f>_xll.EQNXTDZ($A$1,$B23,AC$1,$B$1)</f>
        <v>85.400999999999996</v>
      </c>
      <c r="AD23">
        <f>_xll.EQNXTDZ($A$1,$B23,AD$1,$B$1)</f>
        <v>42.91</v>
      </c>
      <c r="AE23">
        <f>_xll.EQNXTDZ($A$1,$B23,AE$1,$B$1)</f>
        <v>64.39</v>
      </c>
      <c r="AF23">
        <f>_xll.EQNXTDZ($A$1,$B23,AF$1,$B$1)</f>
        <v>72.319999999999993</v>
      </c>
      <c r="AG23">
        <f>_xll.EQNXTDZ($A$1,$B23,AG$1,$B$1)</f>
        <v>106.9</v>
      </c>
      <c r="AH23">
        <f>_xll.EQNXTDZ($A$1,$B23,AH$1,$B$1)</f>
        <v>59.87</v>
      </c>
      <c r="AI23">
        <f>_xll.EQNXTDZ($A$1,$B23,AI$1,$B$1)</f>
        <v>31.48</v>
      </c>
      <c r="AJ23">
        <f>_xll.EQNXTDZ($A$1,$B23,AJ$1,$B$1)</f>
        <v>39.31</v>
      </c>
      <c r="AK23">
        <f>_xll.EQNXTDZ($A$1,$B23,AK$1,$B$1)</f>
        <v>35.909999999999997</v>
      </c>
      <c r="AL23">
        <f>_xll.EQNXTDZ($A$1,$B23,AL$1,$B$1)</f>
        <v>51.79</v>
      </c>
      <c r="AM23">
        <f>_xll.EQNXTDZ($A$1,$B23,AM$1,$B$1)</f>
        <v>32.57</v>
      </c>
      <c r="AN23">
        <f>_xll.EQNXTDZ($A$1,$B23,AN$1,$B$1)</f>
        <v>31.32</v>
      </c>
      <c r="AO23">
        <f>_xll.EQNXTDZ($A$1,$B23,AO$1,$B$1)</f>
        <v>7.37</v>
      </c>
      <c r="AP23">
        <f>_xll.EQNXTDZ($A$1,$B23,AP$1,$B$1)</f>
        <v>23.44</v>
      </c>
      <c r="AQ23">
        <f>_xll.EQNXTDZ($A$1,$B23,AQ$1,$B$1)</f>
        <v>4.13</v>
      </c>
      <c r="AR23">
        <f>_xll.EQNXTDZ($A$1,$B23,AR$1,$B$1)</f>
        <v>98.11</v>
      </c>
      <c r="AS23">
        <f>_xll.EQNXTDZ($A$1,$B23,AS$1,$B$1)</f>
        <v>10.69</v>
      </c>
      <c r="AT23">
        <f>_xll.EQNXTDZ($A$1,$B23,AT$1,$B$1)</f>
        <v>-2.0699999999999998</v>
      </c>
      <c r="AU23">
        <f>_xll.EQNXTDZ($A$1,$B23,AU$1,$B$1)</f>
        <v>7.39</v>
      </c>
      <c r="AV23">
        <f>_xll.EQNXTDZ($A$1,$B23,AV$1,$B$1)</f>
        <v>17.21</v>
      </c>
      <c r="AW23">
        <f>_xll.EQNXTDZ($A$1,$B23,AW$1,$B$1)</f>
        <v>27.43</v>
      </c>
      <c r="AX23">
        <f>_xll.EQNXTDZ($A$1,$B23,AX$1,$B$1)</f>
        <v>33.39</v>
      </c>
      <c r="AY23">
        <f>_xll.EQNXTDZ($A$1,$B23,AY$1,$B$1)</f>
        <v>12.83</v>
      </c>
      <c r="AZ23">
        <f>_xll.EQNXTDZ($A$1,$B23,AZ$1,$B$1)</f>
        <v>33.96</v>
      </c>
      <c r="BA23">
        <f>_xll.EQNXTDZ($A$1,$B23,BA$1,$B$1)</f>
        <v>5.47</v>
      </c>
      <c r="BB23">
        <f>_xll.EQNXTDZ($A$1,$B23,BB$1,$B$1)</f>
        <v>-12.66</v>
      </c>
      <c r="BC23">
        <f>_xll.EQNXTDZ($A$1,$B23,BC$1,$B$1)</f>
        <v>21.11</v>
      </c>
      <c r="BD23">
        <f>_xll.EQNXTDZ($A$1,$B23,BD$1,$B$1)</f>
        <v>111.05</v>
      </c>
      <c r="BE23">
        <f>_xll.EQNXTDZ($A$1,$B23,BE$1,$B$1)</f>
        <v>18.579999999999998</v>
      </c>
      <c r="BF23">
        <f>_xll.EQNXTDZ($A$1,$B23,BF$1,$B$1)</f>
        <v>52.93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97.100000000000406</v>
      </c>
      <c r="AC24">
        <f>_xll.EQNXTDZ($A$1,$B24,AC$1,$B$1)</f>
        <v>273.47899999999998</v>
      </c>
      <c r="AD24">
        <f>_xll.EQNXTDZ($A$1,$B24,AD$1,$B$1)</f>
        <v>374.77699999999999</v>
      </c>
      <c r="AE24">
        <f>_xll.EQNXTDZ($A$1,$B24,AE$1,$B$1)</f>
        <v>130.41999999999999</v>
      </c>
      <c r="AF24">
        <f>_xll.EQNXTDZ($A$1,$B24,AF$1,$B$1)</f>
        <v>167.02</v>
      </c>
      <c r="AG24">
        <f>_xll.EQNXTDZ($A$1,$B24,AG$1,$B$1)</f>
        <v>116.76</v>
      </c>
      <c r="AH24">
        <f>_xll.EQNXTDZ($A$1,$B24,AH$1,$B$1)</f>
        <v>193.46</v>
      </c>
      <c r="AI24">
        <f>_xll.EQNXTDZ($A$1,$B24,AI$1,$B$1)</f>
        <v>48.06</v>
      </c>
      <c r="AJ24">
        <f>_xll.EQNXTDZ($A$1,$B24,AJ$1,$B$1)</f>
        <v>43.669999999999902</v>
      </c>
      <c r="AK24">
        <f>_xll.EQNXTDZ($A$1,$B24,AK$1,$B$1)</f>
        <v>50.35</v>
      </c>
      <c r="AL24">
        <f>_xll.EQNXTDZ($A$1,$B24,AL$1,$B$1)</f>
        <v>-372.52</v>
      </c>
      <c r="AM24">
        <f>_xll.EQNXTDZ($A$1,$B24,AM$1,$B$1)</f>
        <v>-71.14</v>
      </c>
      <c r="AN24">
        <f>_xll.EQNXTDZ($A$1,$B24,AN$1,$B$1)</f>
        <v>-263.13</v>
      </c>
      <c r="AO24">
        <f>_xll.EQNXTDZ($A$1,$B24,AO$1,$B$1)</f>
        <v>-383.71</v>
      </c>
      <c r="AP24">
        <f>_xll.EQNXTDZ($A$1,$B24,AP$1,$B$1)</f>
        <v>-100.8</v>
      </c>
      <c r="AQ24">
        <f>_xll.EQNXTDZ($A$1,$B24,AQ$1,$B$1)</f>
        <v>-339.74</v>
      </c>
      <c r="AR24">
        <f>_xll.EQNXTDZ($A$1,$B24,AR$1,$B$1)</f>
        <v>-272.08</v>
      </c>
      <c r="AS24">
        <f>_xll.EQNXTDZ($A$1,$B24,AS$1,$B$1)</f>
        <v>-53.12</v>
      </c>
      <c r="AT24">
        <f>_xll.EQNXTDZ($A$1,$B24,AT$1,$B$1)</f>
        <v>-354.19</v>
      </c>
      <c r="AU24">
        <f>_xll.EQNXTDZ($A$1,$B24,AU$1,$B$1)</f>
        <v>-29.82</v>
      </c>
      <c r="AV24">
        <f>_xll.EQNXTDZ($A$1,$B24,AV$1,$B$1)</f>
        <v>18.680000000000099</v>
      </c>
      <c r="AW24">
        <f>_xll.EQNXTDZ($A$1,$B24,AW$1,$B$1)</f>
        <v>11.250000000000099</v>
      </c>
      <c r="AX24">
        <f>_xll.EQNXTDZ($A$1,$B24,AX$1,$B$1)</f>
        <v>62.74</v>
      </c>
      <c r="AY24">
        <f>_xll.EQNXTDZ($A$1,$B24,AY$1,$B$1)</f>
        <v>37.509999999999899</v>
      </c>
      <c r="AZ24">
        <f>_xll.EQNXTDZ($A$1,$B24,AZ$1,$B$1)</f>
        <v>52.11</v>
      </c>
      <c r="BA24">
        <f>_xll.EQNXTDZ($A$1,$B24,BA$1,$B$1)</f>
        <v>75.800000000000395</v>
      </c>
      <c r="BB24">
        <f>_xll.EQNXTDZ($A$1,$B24,BB$1,$B$1)</f>
        <v>120.91</v>
      </c>
      <c r="BC24">
        <f>_xll.EQNXTDZ($A$1,$B24,BC$1,$B$1)</f>
        <v>106.57</v>
      </c>
      <c r="BD24">
        <f>_xll.EQNXTDZ($A$1,$B24,BD$1,$B$1)</f>
        <v>114.97</v>
      </c>
      <c r="BE24">
        <f>_xll.EQNXTDZ($A$1,$B24,BE$1,$B$1)</f>
        <v>85.5300000000003</v>
      </c>
      <c r="BF24">
        <f>_xll.EQNXTDZ($A$1,$B24,BF$1,$B$1)</f>
        <v>198.69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9.7370000000000001</v>
      </c>
      <c r="AC25">
        <f>_xll.EQNXTDZ($A$1,$B25,AC$1,$B$1)</f>
        <v>41.125</v>
      </c>
      <c r="AD25">
        <f>_xll.EQNXTDZ($A$1,$B25,AD$1,$B$1)</f>
        <v>31.62</v>
      </c>
      <c r="AE25">
        <f>_xll.EQNXTDZ($A$1,$B25,AE$1,$B$1)</f>
        <v>50.81</v>
      </c>
      <c r="AF25">
        <f>_xll.EQNXTDZ($A$1,$B25,AF$1,$B$1)</f>
        <v>62.26</v>
      </c>
      <c r="AG25">
        <f>_xll.EQNXTDZ($A$1,$B25,AG$1,$B$1)</f>
        <v>50.93</v>
      </c>
      <c r="AH25">
        <f>_xll.EQNXTDZ($A$1,$B25,AH$1,$B$1)</f>
        <v>30.93</v>
      </c>
      <c r="AI25">
        <f>_xll.EQNXTDZ($A$1,$B25,AI$1,$B$1)</f>
        <v>24.63</v>
      </c>
      <c r="AJ25">
        <f>_xll.EQNXTDZ($A$1,$B25,AJ$1,$B$1)</f>
        <v>22.42</v>
      </c>
      <c r="AK25">
        <f>_xll.EQNXTDZ($A$1,$B25,AK$1,$B$1)</f>
        <v>23.11</v>
      </c>
      <c r="AL25">
        <f>_xll.EQNXTDZ($A$1,$B25,AL$1,$B$1)</f>
        <v>22.93</v>
      </c>
      <c r="AM25">
        <f>_xll.EQNXTDZ($A$1,$B25,AM$1,$B$1)</f>
        <v>12.52</v>
      </c>
      <c r="AN25">
        <f>_xll.EQNXTDZ($A$1,$B25,AN$1,$B$1)</f>
        <v>17.11</v>
      </c>
      <c r="AO25">
        <f>_xll.EQNXTDZ($A$1,$B25,AO$1,$B$1)</f>
        <v>28.25</v>
      </c>
      <c r="AP25">
        <f>_xll.EQNXTDZ($A$1,$B25,AP$1,$B$1)</f>
        <v>18.829999999999998</v>
      </c>
      <c r="AQ25">
        <f>_xll.EQNXTDZ($A$1,$B25,AQ$1,$B$1)</f>
        <v>14.66</v>
      </c>
      <c r="AR25">
        <f>_xll.EQNXTDZ($A$1,$B25,AR$1,$B$1)</f>
        <v>32.840000000000003</v>
      </c>
      <c r="AS25">
        <f>_xll.EQNXTDZ($A$1,$B25,AS$1,$B$1)</f>
        <v>37.909999999999997</v>
      </c>
      <c r="AT25">
        <f>_xll.EQNXTDZ($A$1,$B25,AT$1,$B$1)</f>
        <v>59.5</v>
      </c>
      <c r="AU25">
        <f>_xll.EQNXTDZ($A$1,$B25,AU$1,$B$1)</f>
        <v>62.09</v>
      </c>
      <c r="AV25">
        <f>_xll.EQNXTDZ($A$1,$B25,AV$1,$B$1)</f>
        <v>64.34</v>
      </c>
      <c r="AW25">
        <f>_xll.EQNXTDZ($A$1,$B25,AW$1,$B$1)</f>
        <v>67.55</v>
      </c>
      <c r="AX25">
        <f>_xll.EQNXTDZ($A$1,$B25,AX$1,$B$1)</f>
        <v>24.54</v>
      </c>
      <c r="AY25">
        <f>_xll.EQNXTDZ($A$1,$B25,AY$1,$B$1)</f>
        <v>18.84</v>
      </c>
      <c r="AZ25">
        <f>_xll.EQNXTDZ($A$1,$B25,AZ$1,$B$1)</f>
        <v>28.21</v>
      </c>
      <c r="BA25">
        <f>_xll.EQNXTDZ($A$1,$B25,BA$1,$B$1)</f>
        <v>31.34</v>
      </c>
      <c r="BB25">
        <f>_xll.EQNXTDZ($A$1,$B25,BB$1,$B$1)</f>
        <v>31.06</v>
      </c>
      <c r="BC25">
        <f>_xll.EQNXTDZ($A$1,$B25,BC$1,$B$1)</f>
        <v>29.09</v>
      </c>
      <c r="BD25">
        <f>_xll.EQNXTDZ($A$1,$B25,BD$1,$B$1)</f>
        <v>35.549999999999997</v>
      </c>
      <c r="BE25">
        <f>_xll.EQNXTDZ($A$1,$B25,BE$1,$B$1)</f>
        <v>47.44</v>
      </c>
      <c r="BF25">
        <f>_xll.EQNXTDZ($A$1,$B25,BF$1,$B$1)</f>
        <v>41.7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-580.1</v>
      </c>
      <c r="BE26">
        <f>_xll.EQNXTDZ($A$1,$B26,BE$1,$B$1)</f>
        <v>-30.84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87.363000000000397</v>
      </c>
      <c r="AC27">
        <f>_xll.EQNXTDZ($A$1,$B27,AC$1,$B$1)</f>
        <v>232.35400000000001</v>
      </c>
      <c r="AD27">
        <f>_xll.EQNXTDZ($A$1,$B27,AD$1,$B$1)</f>
        <v>343.15699999999998</v>
      </c>
      <c r="AE27">
        <f>_xll.EQNXTDZ($A$1,$B27,AE$1,$B$1)</f>
        <v>79.6099999999999</v>
      </c>
      <c r="AF27">
        <f>_xll.EQNXTDZ($A$1,$B27,AF$1,$B$1)</f>
        <v>104.76</v>
      </c>
      <c r="AG27">
        <f>_xll.EQNXTDZ($A$1,$B27,AG$1,$B$1)</f>
        <v>65.83</v>
      </c>
      <c r="AH27">
        <f>_xll.EQNXTDZ($A$1,$B27,AH$1,$B$1)</f>
        <v>162.53</v>
      </c>
      <c r="AI27">
        <f>_xll.EQNXTDZ($A$1,$B27,AI$1,$B$1)</f>
        <v>23.43</v>
      </c>
      <c r="AJ27">
        <f>_xll.EQNXTDZ($A$1,$B27,AJ$1,$B$1)</f>
        <v>21.249999999999901</v>
      </c>
      <c r="AK27">
        <f>_xll.EQNXTDZ($A$1,$B27,AK$1,$B$1)</f>
        <v>27.24</v>
      </c>
      <c r="AL27">
        <f>_xll.EQNXTDZ($A$1,$B27,AL$1,$B$1)</f>
        <v>-395.45</v>
      </c>
      <c r="AM27">
        <f>_xll.EQNXTDZ($A$1,$B27,AM$1,$B$1)</f>
        <v>-83.66</v>
      </c>
      <c r="AN27">
        <f>_xll.EQNXTDZ($A$1,$B27,AN$1,$B$1)</f>
        <v>-280.24</v>
      </c>
      <c r="AO27">
        <f>_xll.EQNXTDZ($A$1,$B27,AO$1,$B$1)</f>
        <v>-411.96</v>
      </c>
      <c r="AP27">
        <f>_xll.EQNXTDZ($A$1,$B27,AP$1,$B$1)</f>
        <v>-119.63</v>
      </c>
      <c r="AQ27">
        <f>_xll.EQNXTDZ($A$1,$B27,AQ$1,$B$1)</f>
        <v>-354.4</v>
      </c>
      <c r="AR27">
        <f>_xll.EQNXTDZ($A$1,$B27,AR$1,$B$1)</f>
        <v>-304.92</v>
      </c>
      <c r="AS27">
        <f>_xll.EQNXTDZ($A$1,$B27,AS$1,$B$1)</f>
        <v>-91.03</v>
      </c>
      <c r="AT27">
        <f>_xll.EQNXTDZ($A$1,$B27,AT$1,$B$1)</f>
        <v>-413.69</v>
      </c>
      <c r="AU27">
        <f>_xll.EQNXTDZ($A$1,$B27,AU$1,$B$1)</f>
        <v>-91.91</v>
      </c>
      <c r="AV27">
        <f>_xll.EQNXTDZ($A$1,$B27,AV$1,$B$1)</f>
        <v>-45.659999999999897</v>
      </c>
      <c r="AW27">
        <f>_xll.EQNXTDZ($A$1,$B27,AW$1,$B$1)</f>
        <v>-56.299999999999898</v>
      </c>
      <c r="AX27">
        <f>_xll.EQNXTDZ($A$1,$B27,AX$1,$B$1)</f>
        <v>38.200000000000003</v>
      </c>
      <c r="AY27">
        <f>_xll.EQNXTDZ($A$1,$B27,AY$1,$B$1)</f>
        <v>18.669999999999899</v>
      </c>
      <c r="AZ27">
        <f>_xll.EQNXTDZ($A$1,$B27,AZ$1,$B$1)</f>
        <v>23.9</v>
      </c>
      <c r="BA27">
        <f>_xll.EQNXTDZ($A$1,$B27,BA$1,$B$1)</f>
        <v>44.460000000000399</v>
      </c>
      <c r="BB27">
        <f>_xll.EQNXTDZ($A$1,$B27,BB$1,$B$1)</f>
        <v>89.850000000000193</v>
      </c>
      <c r="BC27">
        <f>_xll.EQNXTDZ($A$1,$B27,BC$1,$B$1)</f>
        <v>77.480000000000103</v>
      </c>
      <c r="BD27">
        <f>_xll.EQNXTDZ($A$1,$B27,BD$1,$B$1)</f>
        <v>-500.68</v>
      </c>
      <c r="BE27">
        <f>_xll.EQNXTDZ($A$1,$B27,BE$1,$B$1)</f>
        <v>7.2500000000003002</v>
      </c>
      <c r="BF27">
        <f>_xll.EQNXTDZ($A$1,$B27,BF$1,$B$1)</f>
        <v>156.99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2.109</v>
      </c>
      <c r="AC28">
        <f>_xll.EQNXTDZ($A$1,$B28,AC$1,$B$1)</f>
        <v>2.923</v>
      </c>
      <c r="AD28">
        <f>_xll.EQNXTDZ($A$1,$B28,AD$1,$B$1)</f>
        <v>2.226</v>
      </c>
      <c r="AE28">
        <f>_xll.EQNXTDZ($A$1,$B28,AE$1,$B$1)</f>
        <v>3.14</v>
      </c>
      <c r="AF28">
        <f>_xll.EQNXTDZ($A$1,$B28,AF$1,$B$1)</f>
        <v>3.91</v>
      </c>
      <c r="AG28">
        <f>_xll.EQNXTDZ($A$1,$B28,AG$1,$B$1)</f>
        <v>3.76</v>
      </c>
      <c r="AH28">
        <f>_xll.EQNXTDZ($A$1,$B28,AH$1,$B$1)</f>
        <v>3.43</v>
      </c>
      <c r="AI28">
        <f>_xll.EQNXTDZ($A$1,$B28,AI$1,$B$1)</f>
        <v>3.89</v>
      </c>
      <c r="AJ28">
        <f>_xll.EQNXTDZ($A$1,$B28,AJ$1,$B$1)</f>
        <v>3.73</v>
      </c>
      <c r="AK28">
        <f>_xll.EQNXTDZ($A$1,$B28,AK$1,$B$1)</f>
        <v>3.88</v>
      </c>
      <c r="AL28">
        <f>_xll.EQNXTDZ($A$1,$B28,AL$1,$B$1)</f>
        <v>5.01</v>
      </c>
      <c r="AM28">
        <f>_xll.EQNXTDZ($A$1,$B28,AM$1,$B$1)</f>
        <v>3.08</v>
      </c>
      <c r="AN28">
        <f>_xll.EQNXTDZ($A$1,$B28,AN$1,$B$1)</f>
        <v>3.28</v>
      </c>
      <c r="AO28">
        <f>_xll.EQNXTDZ($A$1,$B28,AO$1,$B$1)</f>
        <v>4.49</v>
      </c>
      <c r="AP28">
        <f>_xll.EQNXTDZ($A$1,$B28,AP$1,$B$1)</f>
        <v>3.82</v>
      </c>
      <c r="AQ28">
        <f>_xll.EQNXTDZ($A$1,$B28,AQ$1,$B$1)</f>
        <v>3.46</v>
      </c>
      <c r="AR28">
        <f>_xll.EQNXTDZ($A$1,$B28,AR$1,$B$1)</f>
        <v>3.3</v>
      </c>
      <c r="AS28">
        <f>_xll.EQNXTDZ($A$1,$B28,AS$1,$B$1)</f>
        <v>4.1100000000000003</v>
      </c>
      <c r="AT28">
        <f>_xll.EQNXTDZ($A$1,$B28,AT$1,$B$1)</f>
        <v>3.83</v>
      </c>
      <c r="AU28">
        <f>_xll.EQNXTDZ($A$1,$B28,AU$1,$B$1)</f>
        <v>3.42</v>
      </c>
      <c r="AV28">
        <f>_xll.EQNXTDZ($A$1,$B28,AV$1,$B$1)</f>
        <v>4.29</v>
      </c>
      <c r="AW28">
        <f>_xll.EQNXTDZ($A$1,$B28,AW$1,$B$1)</f>
        <v>4.49</v>
      </c>
      <c r="AX28">
        <f>_xll.EQNXTDZ($A$1,$B28,AX$1,$B$1)</f>
        <v>4.46</v>
      </c>
      <c r="AY28">
        <f>_xll.EQNXTDZ($A$1,$B28,AY$1,$B$1)</f>
        <v>4.01</v>
      </c>
      <c r="AZ28">
        <f>_xll.EQNXTDZ($A$1,$B28,AZ$1,$B$1)</f>
        <v>3.83</v>
      </c>
      <c r="BA28">
        <f>_xll.EQNXTDZ($A$1,$B28,BA$1,$B$1)</f>
        <v>3.37</v>
      </c>
      <c r="BB28">
        <f>_xll.EQNXTDZ($A$1,$B28,BB$1,$B$1)</f>
        <v>3.13</v>
      </c>
      <c r="BC28">
        <f>_xll.EQNXTDZ($A$1,$B28,BC$1,$B$1)</f>
        <v>2.81</v>
      </c>
      <c r="BD28">
        <f>_xll.EQNXTDZ($A$1,$B28,BD$1,$B$1)</f>
        <v>2.73</v>
      </c>
      <c r="BE28">
        <f>_xll.EQNXTDZ($A$1,$B28,BE$1,$B$1)</f>
        <v>2.86</v>
      </c>
      <c r="BF28">
        <f>_xll.EQNXTDZ($A$1,$B28,BF$1,$B$1)</f>
        <v>2.88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26.893000000000001</v>
      </c>
      <c r="AC29">
        <f>_xll.EQNXTDZ($A$1,$B29,AC$1,$B$1)</f>
        <v>40.932000000000002</v>
      </c>
      <c r="AD29">
        <f>_xll.EQNXTDZ($A$1,$B29,AD$1,$B$1)</f>
        <v>46.128</v>
      </c>
      <c r="AE29">
        <f>_xll.EQNXTDZ($A$1,$B29,AE$1,$B$1)</f>
        <v>30.46</v>
      </c>
      <c r="AF29">
        <f>_xll.EQNXTDZ($A$1,$B29,AF$1,$B$1)</f>
        <v>21.44</v>
      </c>
      <c r="AG29">
        <f>_xll.EQNXTDZ($A$1,$B29,AG$1,$B$1)</f>
        <v>11.8</v>
      </c>
      <c r="AH29">
        <f>_xll.EQNXTDZ($A$1,$B29,AH$1,$B$1)</f>
        <v>30.51</v>
      </c>
      <c r="AI29">
        <f>_xll.EQNXTDZ($A$1,$B29,AI$1,$B$1)</f>
        <v>2.3199999999999998</v>
      </c>
      <c r="AJ29">
        <f>_xll.EQNXTDZ($A$1,$B29,AJ$1,$B$1)</f>
        <v>2.4300000000000002</v>
      </c>
      <c r="AK29">
        <f>_xll.EQNXTDZ($A$1,$B29,AK$1,$B$1)</f>
        <v>0.91</v>
      </c>
      <c r="AL29">
        <f>_xll.EQNXTDZ($A$1,$B29,AL$1,$B$1)</f>
        <v>-55.66</v>
      </c>
      <c r="AM29">
        <f>_xll.EQNXTDZ($A$1,$B29,AM$1,$B$1)</f>
        <v>-10.72</v>
      </c>
      <c r="AN29">
        <f>_xll.EQNXTDZ($A$1,$B29,AN$1,$B$1)</f>
        <v>0.83</v>
      </c>
      <c r="AO29">
        <f>_xll.EQNXTDZ($A$1,$B29,AO$1,$B$1)</f>
        <v>12.33</v>
      </c>
      <c r="AP29">
        <f>_xll.EQNXTDZ($A$1,$B29,AP$1,$B$1)</f>
        <v>3.16</v>
      </c>
      <c r="AQ29">
        <f>_xll.EQNXTDZ($A$1,$B29,AQ$1,$B$1)</f>
        <v>-1.87</v>
      </c>
      <c r="AR29">
        <f>_xll.EQNXTDZ($A$1,$B29,AR$1,$B$1)</f>
        <v>-9.51</v>
      </c>
      <c r="AS29">
        <f>_xll.EQNXTDZ($A$1,$B29,AS$1,$B$1)</f>
        <v>4.01</v>
      </c>
      <c r="AT29">
        <f>_xll.EQNXTDZ($A$1,$B29,AT$1,$B$1)</f>
        <v>3.59</v>
      </c>
      <c r="AU29">
        <f>_xll.EQNXTDZ($A$1,$B29,AU$1,$B$1)</f>
        <v>-0.01</v>
      </c>
      <c r="AV29">
        <f>_xll.EQNXTDZ($A$1,$B29,AV$1,$B$1)</f>
        <v>4.5599999999999996</v>
      </c>
      <c r="AW29">
        <f>_xll.EQNXTDZ($A$1,$B29,AW$1,$B$1)</f>
        <v>1.6</v>
      </c>
      <c r="AX29">
        <f>_xll.EQNXTDZ($A$1,$B29,AX$1,$B$1)</f>
        <v>32.340000000000003</v>
      </c>
      <c r="AY29">
        <f>_xll.EQNXTDZ($A$1,$B29,AY$1,$B$1)</f>
        <v>9.83</v>
      </c>
      <c r="AZ29">
        <f>_xll.EQNXTDZ($A$1,$B29,AZ$1,$B$1)</f>
        <v>11.5</v>
      </c>
      <c r="BA29">
        <f>_xll.EQNXTDZ($A$1,$B29,BA$1,$B$1)</f>
        <v>23.95</v>
      </c>
      <c r="BB29">
        <f>_xll.EQNXTDZ($A$1,$B29,BB$1,$B$1)</f>
        <v>31.71</v>
      </c>
      <c r="BC29">
        <f>_xll.EQNXTDZ($A$1,$B29,BC$1,$B$1)</f>
        <v>35.979999999999997</v>
      </c>
      <c r="BD29">
        <f>_xll.EQNXTDZ($A$1,$B29,BD$1,$B$1)</f>
        <v>-25.79</v>
      </c>
      <c r="BE29">
        <f>_xll.EQNXTDZ($A$1,$B29,BE$1,$B$1)</f>
        <v>2.84</v>
      </c>
      <c r="BF29">
        <f>_xll.EQNXTDZ($A$1,$B29,BF$1,$B$1)</f>
        <v>12.52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58.361000000000402</v>
      </c>
      <c r="AC30">
        <f>_xll.EQNXTDZ($A$1,$B30,AC$1,$B$1)</f>
        <v>188.499</v>
      </c>
      <c r="AD30">
        <f>_xll.EQNXTDZ($A$1,$B30,AD$1,$B$1)</f>
        <v>294.803</v>
      </c>
      <c r="AE30">
        <f>_xll.EQNXTDZ($A$1,$B30,AE$1,$B$1)</f>
        <v>46.009999999999899</v>
      </c>
      <c r="AF30">
        <f>_xll.EQNXTDZ($A$1,$B30,AF$1,$B$1)</f>
        <v>79.410000000000096</v>
      </c>
      <c r="AG30">
        <f>_xll.EQNXTDZ($A$1,$B30,AG$1,$B$1)</f>
        <v>50.27</v>
      </c>
      <c r="AH30">
        <f>_xll.EQNXTDZ($A$1,$B30,AH$1,$B$1)</f>
        <v>128.59</v>
      </c>
      <c r="AI30">
        <f>_xll.EQNXTDZ($A$1,$B30,AI$1,$B$1)</f>
        <v>17.22</v>
      </c>
      <c r="AJ30">
        <f>_xll.EQNXTDZ($A$1,$B30,AJ$1,$B$1)</f>
        <v>15.0899999999999</v>
      </c>
      <c r="AK30">
        <f>_xll.EQNXTDZ($A$1,$B30,AK$1,$B$1)</f>
        <v>22.45</v>
      </c>
      <c r="AL30">
        <f>_xll.EQNXTDZ($A$1,$B30,AL$1,$B$1)</f>
        <v>-344.8</v>
      </c>
      <c r="AM30">
        <f>_xll.EQNXTDZ($A$1,$B30,AM$1,$B$1)</f>
        <v>-76.02</v>
      </c>
      <c r="AN30">
        <f>_xll.EQNXTDZ($A$1,$B30,AN$1,$B$1)</f>
        <v>-284.35000000000002</v>
      </c>
      <c r="AO30">
        <f>_xll.EQNXTDZ($A$1,$B30,AO$1,$B$1)</f>
        <v>-428.78</v>
      </c>
      <c r="AP30">
        <f>_xll.EQNXTDZ($A$1,$B30,AP$1,$B$1)</f>
        <v>-126.61</v>
      </c>
      <c r="AQ30">
        <f>_xll.EQNXTDZ($A$1,$B30,AQ$1,$B$1)</f>
        <v>-355.99</v>
      </c>
      <c r="AR30">
        <f>_xll.EQNXTDZ($A$1,$B30,AR$1,$B$1)</f>
        <v>-298.70999999999998</v>
      </c>
      <c r="AS30">
        <f>_xll.EQNXTDZ($A$1,$B30,AS$1,$B$1)</f>
        <v>-99.15</v>
      </c>
      <c r="AT30">
        <f>_xll.EQNXTDZ($A$1,$B30,AT$1,$B$1)</f>
        <v>-421.11</v>
      </c>
      <c r="AU30">
        <f>_xll.EQNXTDZ($A$1,$B30,AU$1,$B$1)</f>
        <v>-95.32</v>
      </c>
      <c r="AV30">
        <f>_xll.EQNXTDZ($A$1,$B30,AV$1,$B$1)</f>
        <v>-54.509999999999899</v>
      </c>
      <c r="AW30">
        <f>_xll.EQNXTDZ($A$1,$B30,AW$1,$B$1)</f>
        <v>-62.389999999999901</v>
      </c>
      <c r="AX30">
        <f>_xll.EQNXTDZ($A$1,$B30,AX$1,$B$1)</f>
        <v>1.3999999999999699</v>
      </c>
      <c r="AY30">
        <f>_xll.EQNXTDZ($A$1,$B30,AY$1,$B$1)</f>
        <v>4.82999999999985</v>
      </c>
      <c r="AZ30">
        <f>_xll.EQNXTDZ($A$1,$B30,AZ$1,$B$1)</f>
        <v>8.5700000000000305</v>
      </c>
      <c r="BA30">
        <f>_xll.EQNXTDZ($A$1,$B30,BA$1,$B$1)</f>
        <v>17.140000000000398</v>
      </c>
      <c r="BB30">
        <f>_xll.EQNXTDZ($A$1,$B30,BB$1,$B$1)</f>
        <v>55.010000000000197</v>
      </c>
      <c r="BC30">
        <f>_xll.EQNXTDZ($A$1,$B30,BC$1,$B$1)</f>
        <v>38.690000000000097</v>
      </c>
      <c r="BD30">
        <f>_xll.EQNXTDZ($A$1,$B30,BD$1,$B$1)</f>
        <v>-477.62</v>
      </c>
      <c r="BE30">
        <f>_xll.EQNXTDZ($A$1,$B30,BE$1,$B$1)</f>
        <v>1.5500000000003</v>
      </c>
      <c r="BF30">
        <f>_xll.EQNXTDZ($A$1,$B30,BF$1,$B$1)</f>
        <v>141.59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-0.314</v>
      </c>
      <c r="AC34">
        <f>_xll.EQNXTDZ($A$1,$B34,AC$1,$B$1)</f>
        <v>1.323</v>
      </c>
      <c r="AD34">
        <f>_xll.EQNXTDZ($A$1,$B34,AD$1,$B$1)</f>
        <v>1.0860000000000001</v>
      </c>
      <c r="AE34">
        <f>_xll.EQNXTDZ($A$1,$B34,AE$1,$B$1)</f>
        <v>2.13</v>
      </c>
      <c r="AF34">
        <f>_xll.EQNXTDZ($A$1,$B34,AF$1,$B$1)</f>
        <v>0.62</v>
      </c>
      <c r="AG34">
        <f>_xll.EQNXTDZ($A$1,$B34,AG$1,$B$1)</f>
        <v>-0.66</v>
      </c>
      <c r="AH34">
        <f>_xll.EQNXTDZ($A$1,$B34,AH$1,$B$1)</f>
        <v>3.69</v>
      </c>
      <c r="AI34">
        <f>_xll.EQNXTDZ($A$1,$B34,AI$1,$B$1)</f>
        <v>-0.8</v>
      </c>
      <c r="AJ34">
        <f>_xll.EQNXTDZ($A$1,$B34,AJ$1,$B$1)</f>
        <v>8.33</v>
      </c>
      <c r="AK34">
        <f>_xll.EQNXTDZ($A$1,$B34,AK$1,$B$1)</f>
        <v>-0.82</v>
      </c>
      <c r="AL34">
        <f>_xll.EQNXTDZ($A$1,$B34,AL$1,$B$1)</f>
        <v>-2.0499999999999998</v>
      </c>
      <c r="AM34">
        <f>_xll.EQNXTDZ($A$1,$B34,AM$1,$B$1)</f>
        <v>-0.1</v>
      </c>
      <c r="AN34">
        <f>_xll.EQNXTDZ($A$1,$B34,AN$1,$B$1)</f>
        <v>-0.28000000000000003</v>
      </c>
      <c r="AO34">
        <f>_xll.EQNXTDZ($A$1,$B34,AO$1,$B$1)</f>
        <v>6.37</v>
      </c>
      <c r="AP34">
        <f>_xll.EQNXTDZ($A$1,$B34,AP$1,$B$1)</f>
        <v>0.31</v>
      </c>
      <c r="AQ34">
        <f>_xll.EQNXTDZ($A$1,$B34,AQ$1,$B$1)</f>
        <v>2.08</v>
      </c>
      <c r="AR34">
        <f>_xll.EQNXTDZ($A$1,$B34,AR$1,$B$1)</f>
        <v>1.76</v>
      </c>
      <c r="AS34">
        <f>_xll.EQNXTDZ($A$1,$B34,AS$1,$B$1)</f>
        <v>-2.09</v>
      </c>
      <c r="AT34">
        <f>_xll.EQNXTDZ($A$1,$B34,AT$1,$B$1)</f>
        <v>3.66</v>
      </c>
      <c r="AU34">
        <f>_xll.EQNXTDZ($A$1,$B34,AU$1,$B$1)</f>
        <v>-0.15</v>
      </c>
      <c r="AV34">
        <f>_xll.EQNXTDZ($A$1,$B34,AV$1,$B$1)</f>
        <v>0.26</v>
      </c>
      <c r="AW34">
        <f>_xll.EQNXTDZ($A$1,$B34,AW$1,$B$1)</f>
        <v>-1.28</v>
      </c>
      <c r="AX34">
        <f>_xll.EQNXTDZ($A$1,$B34,AX$1,$B$1)</f>
        <v>0.04</v>
      </c>
      <c r="AY34">
        <f>_xll.EQNXTDZ($A$1,$B34,AY$1,$B$1)</f>
        <v>-0.64</v>
      </c>
      <c r="AZ34">
        <f>_xll.EQNXTDZ($A$1,$B34,AZ$1,$B$1)</f>
        <v>-1.52</v>
      </c>
      <c r="BA34">
        <f>_xll.EQNXTDZ($A$1,$B34,BA$1,$B$1)</f>
        <v>-2.31</v>
      </c>
      <c r="BB34">
        <f>_xll.EQNXTDZ($A$1,$B34,BB$1,$B$1)</f>
        <v>0.37</v>
      </c>
      <c r="BC34">
        <f>_xll.EQNXTDZ($A$1,$B34,BC$1,$B$1)</f>
        <v>-6.72</v>
      </c>
      <c r="BD34">
        <f>_xll.EQNXTDZ($A$1,$B34,BD$1,$B$1)</f>
        <v>4.42</v>
      </c>
      <c r="BE34">
        <f>_xll.EQNXTDZ($A$1,$B34,BE$1,$B$1)</f>
        <v>-4.32</v>
      </c>
      <c r="BF34">
        <f>_xll.EQNXTDZ($A$1,$B34,BF$1,$B$1)</f>
        <v>-7.02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58.046999999999997</v>
      </c>
      <c r="AC38">
        <f>_xll.EQNXTDZ($A$1,$B38,AC$1,$B$1)</f>
        <v>189.822</v>
      </c>
      <c r="AD38">
        <f>_xll.EQNXTDZ($A$1,$B38,AD$1,$B$1)</f>
        <v>295.88900000000001</v>
      </c>
      <c r="AE38">
        <f>_xll.EQNXTDZ($A$1,$B38,AE$1,$B$1)</f>
        <v>48.14</v>
      </c>
      <c r="AF38">
        <f>_xll.EQNXTDZ($A$1,$B38,AF$1,$B$1)</f>
        <v>80.03</v>
      </c>
      <c r="AG38">
        <f>_xll.EQNXTDZ($A$1,$B38,AG$1,$B$1)</f>
        <v>49.61</v>
      </c>
      <c r="AH38">
        <f>_xll.EQNXTDZ($A$1,$B38,AH$1,$B$1)</f>
        <v>132.28</v>
      </c>
      <c r="AI38">
        <f>_xll.EQNXTDZ($A$1,$B38,AI$1,$B$1)</f>
        <v>16.420000000000002</v>
      </c>
      <c r="AJ38">
        <f>_xll.EQNXTDZ($A$1,$B38,AJ$1,$B$1)</f>
        <v>23.42</v>
      </c>
      <c r="AK38">
        <f>_xll.EQNXTDZ($A$1,$B38,AK$1,$B$1)</f>
        <v>21.63</v>
      </c>
      <c r="AL38">
        <f>_xll.EQNXTDZ($A$1,$B38,AL$1,$B$1)</f>
        <v>-346.85</v>
      </c>
      <c r="AM38">
        <f>_xll.EQNXTDZ($A$1,$B38,AM$1,$B$1)</f>
        <v>-76.12</v>
      </c>
      <c r="AN38">
        <f>_xll.EQNXTDZ($A$1,$B38,AN$1,$B$1)</f>
        <v>-284.63</v>
      </c>
      <c r="AO38">
        <f>_xll.EQNXTDZ($A$1,$B38,AO$1,$B$1)</f>
        <v>-422.41</v>
      </c>
      <c r="AP38">
        <f>_xll.EQNXTDZ($A$1,$B38,AP$1,$B$1)</f>
        <v>-126.3</v>
      </c>
      <c r="AQ38">
        <f>_xll.EQNXTDZ($A$1,$B38,AQ$1,$B$1)</f>
        <v>-353.91</v>
      </c>
      <c r="AR38">
        <f>_xll.EQNXTDZ($A$1,$B38,AR$1,$B$1)</f>
        <v>-296.95</v>
      </c>
      <c r="AS38">
        <f>_xll.EQNXTDZ($A$1,$B38,AS$1,$B$1)</f>
        <v>-101.24</v>
      </c>
      <c r="AT38">
        <f>_xll.EQNXTDZ($A$1,$B38,AT$1,$B$1)</f>
        <v>-417.45</v>
      </c>
      <c r="AU38">
        <f>_xll.EQNXTDZ($A$1,$B38,AU$1,$B$1)</f>
        <v>-95.47</v>
      </c>
      <c r="AV38">
        <f>_xll.EQNXTDZ($A$1,$B38,AV$1,$B$1)</f>
        <v>-54.25</v>
      </c>
      <c r="AW38">
        <f>_xll.EQNXTDZ($A$1,$B38,AW$1,$B$1)</f>
        <v>-63.67</v>
      </c>
      <c r="AX38">
        <f>_xll.EQNXTDZ($A$1,$B38,AX$1,$B$1)</f>
        <v>1.44</v>
      </c>
      <c r="AY38">
        <f>_xll.EQNXTDZ($A$1,$B38,AY$1,$B$1)</f>
        <v>4.1900000000000004</v>
      </c>
      <c r="AZ38">
        <f>_xll.EQNXTDZ($A$1,$B38,AZ$1,$B$1)</f>
        <v>7.05</v>
      </c>
      <c r="BA38">
        <f>_xll.EQNXTDZ($A$1,$B38,BA$1,$B$1)</f>
        <v>14.83</v>
      </c>
      <c r="BB38">
        <f>_xll.EQNXTDZ($A$1,$B38,BB$1,$B$1)</f>
        <v>55.38</v>
      </c>
      <c r="BC38">
        <f>_xll.EQNXTDZ($A$1,$B38,BC$1,$B$1)</f>
        <v>31.97</v>
      </c>
      <c r="BD38">
        <f>_xll.EQNXTDZ($A$1,$B38,BD$1,$B$1)</f>
        <v>-473.2</v>
      </c>
      <c r="BE38">
        <f>_xll.EQNXTDZ($A$1,$B38,BE$1,$B$1)</f>
        <v>-2.77</v>
      </c>
      <c r="BF38">
        <f>_xll.EQNXTDZ($A$1,$B38,BF$1,$B$1)</f>
        <v>134.57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4.306</v>
      </c>
      <c r="AC40">
        <f>_xll.EQNXTDZ($A$1,$B40,AC$1,$B$1)</f>
        <v>-2.91</v>
      </c>
      <c r="AD40">
        <f>_xll.EQNXTDZ($A$1,$B40,AD$1,$B$1)</f>
        <v>4.5819999999999999</v>
      </c>
      <c r="AE40">
        <f>_xll.EQNXTDZ($A$1,$B40,AE$1,$B$1)</f>
        <v>-0.27</v>
      </c>
      <c r="AF40">
        <f>_xll.EQNXTDZ($A$1,$B40,AF$1,$B$1)</f>
        <v>10.92</v>
      </c>
      <c r="AG40">
        <f>_xll.EQNXTDZ($A$1,$B40,AG$1,$B$1)</f>
        <v>2.58</v>
      </c>
      <c r="AH40">
        <f>_xll.EQNXTDZ($A$1,$B40,AH$1,$B$1)</f>
        <v>33.68</v>
      </c>
      <c r="AI40">
        <f>_xll.EQNXTDZ($A$1,$B40,AI$1,$B$1)</f>
        <v>-51.05</v>
      </c>
      <c r="AJ40">
        <f>_xll.EQNXTDZ($A$1,$B40,AJ$1,$B$1)</f>
        <v>-11.87</v>
      </c>
      <c r="AK40">
        <f>_xll.EQNXTDZ($A$1,$B40,AK$1,$B$1)</f>
        <v>-113.8</v>
      </c>
      <c r="AL40">
        <f>_xll.EQNXTDZ($A$1,$B40,AL$1,$B$1)</f>
        <v>51.94</v>
      </c>
      <c r="AM40">
        <f>_xll.EQNXTDZ($A$1,$B40,AM$1,$B$1)</f>
        <v>69.61</v>
      </c>
      <c r="AN40">
        <f>_xll.EQNXTDZ($A$1,$B40,AN$1,$B$1)</f>
        <v>70.03</v>
      </c>
      <c r="AO40">
        <f>_xll.EQNXTDZ($A$1,$B40,AO$1,$B$1)</f>
        <v>-38.28</v>
      </c>
      <c r="AP40">
        <f>_xll.EQNXTDZ($A$1,$B40,AP$1,$B$1)</f>
        <v>-31.2</v>
      </c>
      <c r="AQ40">
        <f>_xll.EQNXTDZ($A$1,$B40,AQ$1,$B$1)</f>
        <v>45.84</v>
      </c>
      <c r="AR40">
        <f>_xll.EQNXTDZ($A$1,$B40,AR$1,$B$1)</f>
        <v>40.56</v>
      </c>
      <c r="AS40">
        <f>_xll.EQNXTDZ($A$1,$B40,AS$1,$B$1)</f>
        <v>-23.04</v>
      </c>
      <c r="AT40">
        <f>_xll.EQNXTDZ($A$1,$B40,AT$1,$B$1)</f>
        <v>-37.880000000000003</v>
      </c>
      <c r="AU40">
        <f>_xll.EQNXTDZ($A$1,$B40,AU$1,$B$1)</f>
        <v>-0.04</v>
      </c>
      <c r="AV40">
        <f>_xll.EQNXTDZ($A$1,$B40,AV$1,$B$1)</f>
        <v>-26.04</v>
      </c>
      <c r="AW40">
        <f>_xll.EQNXTDZ($A$1,$B40,AW$1,$B$1)</f>
        <v>-16.04</v>
      </c>
      <c r="AX40">
        <f>_xll.EQNXTDZ($A$1,$B40,AX$1,$B$1)</f>
        <v>-28.19</v>
      </c>
      <c r="AY40">
        <f>_xll.EQNXTDZ($A$1,$B40,AY$1,$B$1)</f>
        <v>-4.1399999999999997</v>
      </c>
      <c r="AZ40">
        <f>_xll.EQNXTDZ($A$1,$B40,AZ$1,$B$1)</f>
        <v>-16.53</v>
      </c>
      <c r="BA40">
        <f>_xll.EQNXTDZ($A$1,$B40,BA$1,$B$1)</f>
        <v>-13.19</v>
      </c>
      <c r="BB40">
        <f>_xll.EQNXTDZ($A$1,$B40,BB$1,$B$1)</f>
        <v>-17</v>
      </c>
      <c r="BC40">
        <f>_xll.EQNXTDZ($A$1,$B40,BC$1,$B$1)</f>
        <v>-39.93</v>
      </c>
      <c r="BD40">
        <f>_xll.EQNXTDZ($A$1,$B40,BD$1,$B$1)</f>
        <v>-56.64</v>
      </c>
      <c r="BE40">
        <f>_xll.EQNXTDZ($A$1,$B40,BE$1,$B$1)</f>
        <v>26.27</v>
      </c>
      <c r="BF40">
        <f>_xll.EQNXTDZ($A$1,$B40,BF$1,$B$1)</f>
        <v>20.440000000000001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62.234000000000002</v>
      </c>
      <c r="AC41">
        <f>_xll.EQNXTDZ($A$1,$B41,AC$1,$B$1)</f>
        <v>187.04400000000001</v>
      </c>
      <c r="AD41">
        <f>_xll.EQNXTDZ($A$1,$B41,AD$1,$B$1)</f>
        <v>300.26299999999998</v>
      </c>
      <c r="AE41">
        <f>_xll.EQNXTDZ($A$1,$B41,AE$1,$B$1)</f>
        <v>47.96</v>
      </c>
      <c r="AF41">
        <f>_xll.EQNXTDZ($A$1,$B41,AF$1,$B$1)</f>
        <v>90.67</v>
      </c>
      <c r="AG41">
        <f>_xll.EQNXTDZ($A$1,$B41,AG$1,$B$1)</f>
        <v>52.87</v>
      </c>
      <c r="AH41">
        <f>_xll.EQNXTDZ($A$1,$B41,AH$1,$B$1)</f>
        <v>164.56</v>
      </c>
      <c r="AI41">
        <f>_xll.EQNXTDZ($A$1,$B41,AI$1,$B$1)</f>
        <v>-33.950000000000003</v>
      </c>
      <c r="AJ41">
        <f>_xll.EQNXTDZ($A$1,$B41,AJ$1,$B$1)</f>
        <v>12.44</v>
      </c>
      <c r="AK41">
        <f>_xll.EQNXTDZ($A$1,$B41,AK$1,$B$1)</f>
        <v>-91.73</v>
      </c>
      <c r="AL41">
        <f>_xll.EQNXTDZ($A$1,$B41,AL$1,$B$1)</f>
        <v>-294.94</v>
      </c>
      <c r="AM41">
        <f>_xll.EQNXTDZ($A$1,$B41,AM$1,$B$1)</f>
        <v>-6</v>
      </c>
      <c r="AN41">
        <f>_xll.EQNXTDZ($A$1,$B41,AN$1,$B$1)</f>
        <v>-214.73</v>
      </c>
      <c r="AO41">
        <f>_xll.EQNXTDZ($A$1,$B41,AO$1,$B$1)</f>
        <v>-461.01</v>
      </c>
      <c r="AP41">
        <f>_xll.EQNXTDZ($A$1,$B41,AP$1,$B$1)</f>
        <v>-157.13</v>
      </c>
      <c r="AQ41">
        <f>_xll.EQNXTDZ($A$1,$B41,AQ$1,$B$1)</f>
        <v>-308.97000000000003</v>
      </c>
      <c r="AR41">
        <f>_xll.EQNXTDZ($A$1,$B41,AR$1,$B$1)</f>
        <v>-257.76</v>
      </c>
      <c r="AS41">
        <f>_xll.EQNXTDZ($A$1,$B41,AS$1,$B$1)</f>
        <v>-122.97</v>
      </c>
      <c r="AT41">
        <f>_xll.EQNXTDZ($A$1,$B41,AT$1,$B$1)</f>
        <v>-455.48</v>
      </c>
      <c r="AU41">
        <f>_xll.EQNXTDZ($A$1,$B41,AU$1,$B$1)</f>
        <v>-95.47</v>
      </c>
      <c r="AV41">
        <f>_xll.EQNXTDZ($A$1,$B41,AV$1,$B$1)</f>
        <v>-80.489999999999995</v>
      </c>
      <c r="AW41">
        <f>_xll.EQNXTDZ($A$1,$B41,AW$1,$B$1)</f>
        <v>-79.22</v>
      </c>
      <c r="AX41">
        <f>_xll.EQNXTDZ($A$1,$B41,AX$1,$B$1)</f>
        <v>-27.01</v>
      </c>
      <c r="AY41">
        <f>_xll.EQNXTDZ($A$1,$B41,AY$1,$B$1)</f>
        <v>0.2</v>
      </c>
      <c r="AZ41">
        <f>_xll.EQNXTDZ($A$1,$B41,AZ$1,$B$1)</f>
        <v>-8.73</v>
      </c>
      <c r="BA41">
        <f>_xll.EQNXTDZ($A$1,$B41,BA$1,$B$1)</f>
        <v>0.93</v>
      </c>
      <c r="BB41">
        <f>_xll.EQNXTDZ($A$1,$B41,BB$1,$B$1)</f>
        <v>39.270000000000003</v>
      </c>
      <c r="BC41">
        <f>_xll.EQNXTDZ($A$1,$B41,BC$1,$B$1)</f>
        <v>-7.05</v>
      </c>
      <c r="BD41">
        <f>_xll.EQNXTDZ($A$1,$B41,BD$1,$B$1)</f>
        <v>-530.75</v>
      </c>
      <c r="BE41">
        <f>_xll.EQNXTDZ($A$1,$B41,BE$1,$B$1)</f>
        <v>23.28</v>
      </c>
      <c r="BF41">
        <f>_xll.EQNXTDZ($A$1,$B41,BF$1,$B$1)</f>
        <v>154.85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58.046999999999997</v>
      </c>
      <c r="AC42">
        <f>_xll.EQNXTDZ($A$1,$B42,AC$1,$B$1)</f>
        <v>189.822</v>
      </c>
      <c r="AD42">
        <f>_xll.EQNXTDZ($A$1,$B42,AD$1,$B$1)</f>
        <v>295.88900000000001</v>
      </c>
      <c r="AE42">
        <f>_xll.EQNXTDZ($A$1,$B42,AE$1,$B$1)</f>
        <v>48.14</v>
      </c>
      <c r="AF42">
        <f>_xll.EQNXTDZ($A$1,$B42,AF$1,$B$1)</f>
        <v>80.03</v>
      </c>
      <c r="AG42">
        <f>_xll.EQNXTDZ($A$1,$B42,AG$1,$B$1)</f>
        <v>49.61</v>
      </c>
      <c r="AH42">
        <f>_xll.EQNXTDZ($A$1,$B42,AH$1,$B$1)</f>
        <v>132.28</v>
      </c>
      <c r="AI42">
        <f>_xll.EQNXTDZ($A$1,$B42,AI$1,$B$1)</f>
        <v>16.420000000000002</v>
      </c>
      <c r="AJ42">
        <f>_xll.EQNXTDZ($A$1,$B42,AJ$1,$B$1)</f>
        <v>23.42</v>
      </c>
      <c r="AK42">
        <f>_xll.EQNXTDZ($A$1,$B42,AK$1,$B$1)</f>
        <v>21.63</v>
      </c>
      <c r="AL42">
        <f>_xll.EQNXTDZ($A$1,$B42,AL$1,$B$1)</f>
        <v>-346.85</v>
      </c>
      <c r="AM42">
        <f>_xll.EQNXTDZ($A$1,$B42,AM$1,$B$1)</f>
        <v>-76.12</v>
      </c>
      <c r="AN42">
        <f>_xll.EQNXTDZ($A$1,$B42,AN$1,$B$1)</f>
        <v>-284.63</v>
      </c>
      <c r="AO42">
        <f>_xll.EQNXTDZ($A$1,$B42,AO$1,$B$1)</f>
        <v>-422.41</v>
      </c>
      <c r="AP42">
        <f>_xll.EQNXTDZ($A$1,$B42,AP$1,$B$1)</f>
        <v>-126.3</v>
      </c>
      <c r="AQ42">
        <f>_xll.EQNXTDZ($A$1,$B42,AQ$1,$B$1)</f>
        <v>-353.91</v>
      </c>
      <c r="AR42">
        <f>_xll.EQNXTDZ($A$1,$B42,AR$1,$B$1)</f>
        <v>-296.95</v>
      </c>
      <c r="AS42">
        <f>_xll.EQNXTDZ($A$1,$B42,AS$1,$B$1)</f>
        <v>-101.24</v>
      </c>
      <c r="AT42">
        <f>_xll.EQNXTDZ($A$1,$B42,AT$1,$B$1)</f>
        <v>-417.45</v>
      </c>
      <c r="AU42">
        <f>_xll.EQNXTDZ($A$1,$B42,AU$1,$B$1)</f>
        <v>-95.47</v>
      </c>
      <c r="AV42">
        <f>_xll.EQNXTDZ($A$1,$B42,AV$1,$B$1)</f>
        <v>-54.25</v>
      </c>
      <c r="AW42">
        <f>_xll.EQNXTDZ($A$1,$B42,AW$1,$B$1)</f>
        <v>-63.67</v>
      </c>
      <c r="AX42">
        <f>_xll.EQNXTDZ($A$1,$B42,AX$1,$B$1)</f>
        <v>1.44</v>
      </c>
      <c r="AY42">
        <f>_xll.EQNXTDZ($A$1,$B42,AY$1,$B$1)</f>
        <v>4.1900000000000004</v>
      </c>
      <c r="AZ42">
        <f>_xll.EQNXTDZ($A$1,$B42,AZ$1,$B$1)</f>
        <v>7.05</v>
      </c>
      <c r="BA42">
        <f>_xll.EQNXTDZ($A$1,$B42,BA$1,$B$1)</f>
        <v>14.83</v>
      </c>
      <c r="BB42">
        <f>_xll.EQNXTDZ($A$1,$B42,BB$1,$B$1)</f>
        <v>55.38</v>
      </c>
      <c r="BC42">
        <f>_xll.EQNXTDZ($A$1,$B42,BC$1,$B$1)</f>
        <v>31.97</v>
      </c>
      <c r="BD42">
        <f>_xll.EQNXTDZ($A$1,$B42,BD$1,$B$1)</f>
        <v>-473.2</v>
      </c>
      <c r="BE42">
        <f>_xll.EQNXTDZ($A$1,$B42,BE$1,$B$1)</f>
        <v>-2.77</v>
      </c>
      <c r="BF42">
        <f>_xll.EQNXTDZ($A$1,$B42,BF$1,$B$1)</f>
        <v>134.57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16.036000000000001</v>
      </c>
      <c r="AC45">
        <f>_xll.EQNXTDZ($A$1,$B45,AC$1,$B$1)</f>
        <v>16.036000000000001</v>
      </c>
      <c r="AD45">
        <f>_xll.EQNXTDZ($A$1,$B45,AD$1,$B$1)</f>
        <v>16.036000000000001</v>
      </c>
      <c r="AE45">
        <f>_xll.EQNXTDZ($A$1,$B45,AE$1,$B$1)</f>
        <v>16.04</v>
      </c>
      <c r="AF45">
        <f>_xll.EQNXTDZ($A$1,$B45,AF$1,$B$1)</f>
        <v>16.04</v>
      </c>
      <c r="AG45">
        <f>_xll.EQNXTDZ($A$1,$B45,AG$1,$B$1)</f>
        <v>16.04</v>
      </c>
      <c r="AH45">
        <f>_xll.EQNXTDZ($A$1,$B45,AH$1,$B$1)</f>
        <v>16.04</v>
      </c>
      <c r="AI45">
        <f>_xll.EQNXTDZ($A$1,$B45,AI$1,$B$1)</f>
        <v>16.04</v>
      </c>
      <c r="AJ45">
        <f>_xll.EQNXTDZ($A$1,$B45,AJ$1,$B$1)</f>
        <v>16.04</v>
      </c>
      <c r="AK45">
        <f>_xll.EQNXTDZ($A$1,$B45,AK$1,$B$1)</f>
        <v>16.04</v>
      </c>
      <c r="AL45">
        <f>_xll.EQNXTDZ($A$1,$B45,AL$1,$B$1)</f>
        <v>16.04</v>
      </c>
      <c r="AM45">
        <f>_xll.EQNXTDZ($A$1,$B45,AM$1,$B$1)</f>
        <v>16.04</v>
      </c>
      <c r="AN45">
        <f>_xll.EQNXTDZ($A$1,$B45,AN$1,$B$1)</f>
        <v>16.04</v>
      </c>
      <c r="AO45">
        <f>_xll.EQNXTDZ($A$1,$B45,AO$1,$B$1)</f>
        <v>18.97</v>
      </c>
      <c r="AP45">
        <f>_xll.EQNXTDZ($A$1,$B45,AP$1,$B$1)</f>
        <v>18.97</v>
      </c>
      <c r="AQ45">
        <f>_xll.EQNXTDZ($A$1,$B45,AQ$1,$B$1)</f>
        <v>18.97</v>
      </c>
      <c r="AR45">
        <f>_xll.EQNXTDZ($A$1,$B45,AR$1,$B$1)</f>
        <v>18.97</v>
      </c>
      <c r="AS45">
        <f>_xll.EQNXTDZ($A$1,$B45,AS$1,$B$1)</f>
        <v>18.97</v>
      </c>
      <c r="AT45">
        <f>_xll.EQNXTDZ($A$1,$B45,AT$1,$B$1)</f>
        <v>18.97</v>
      </c>
      <c r="AU45">
        <f>_xll.EQNXTDZ($A$1,$B45,AU$1,$B$1)</f>
        <v>18.97</v>
      </c>
      <c r="AV45">
        <f>_xll.EQNXTDZ($A$1,$B45,AV$1,$B$1)</f>
        <v>18.97</v>
      </c>
      <c r="AW45">
        <f>_xll.EQNXTDZ($A$1,$B45,AW$1,$B$1)</f>
        <v>23.3</v>
      </c>
      <c r="AX45">
        <f>_xll.EQNXTDZ($A$1,$B45,AX$1,$B$1)</f>
        <v>23.32</v>
      </c>
      <c r="AY45">
        <f>_xll.EQNXTDZ($A$1,$B45,AY$1,$B$1)</f>
        <v>23.33</v>
      </c>
      <c r="AZ45">
        <f>_xll.EQNXTDZ($A$1,$B45,AZ$1,$B$1)</f>
        <v>23.33</v>
      </c>
      <c r="BA45">
        <f>_xll.EQNXTDZ($A$1,$B45,BA$1,$B$1)</f>
        <v>23.35</v>
      </c>
      <c r="BB45">
        <f>_xll.EQNXTDZ($A$1,$B45,BB$1,$B$1)</f>
        <v>23.35</v>
      </c>
      <c r="BC45">
        <f>_xll.EQNXTDZ($A$1,$B45,BC$1,$B$1)</f>
        <v>23.35</v>
      </c>
      <c r="BD45">
        <f>_xll.EQNXTDZ($A$1,$B45,BD$1,$B$1)</f>
        <v>23.35</v>
      </c>
      <c r="BE45">
        <f>_xll.EQNXTDZ($A$1,$B45,BE$1,$B$1)</f>
        <v>23.35</v>
      </c>
      <c r="BF45">
        <f>_xll.EQNXTDZ($A$1,$B45,BF$1,$B$1)</f>
        <v>23.35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623.20000000000005</v>
      </c>
      <c r="AG48" s="55">
        <f>_xll.EQNXTDZ($A$1,$B48,AG$5)</f>
        <v>322.14999999999998</v>
      </c>
      <c r="AH48" s="55">
        <f>_xll.EQNXTDZ($A$1,$B48,AH$5)</f>
        <v>76.900000000000006</v>
      </c>
      <c r="AI48" s="55">
        <f>_xll.EQNXTDZ($A$1,$B48,AI$5)</f>
        <v>219.65</v>
      </c>
      <c r="AJ48" s="55">
        <f>_xll.EQNXTDZ($A$1,$B48,AJ$5)</f>
        <v>225.3</v>
      </c>
      <c r="AK48" s="55">
        <f>_xll.EQNXTDZ($A$1,$B48,AK$5)</f>
        <v>259.39999999999998</v>
      </c>
      <c r="AL48" s="55">
        <f>_xll.EQNXTDZ($A$1,$B48,AL$5)</f>
        <v>257.60000000000002</v>
      </c>
      <c r="AM48" s="55">
        <f>_xll.EQNXTDZ($A$1,$B48,AM$5)</f>
        <v>271.60000000000002</v>
      </c>
      <c r="AN48" s="55">
        <f>_xll.EQNXTDZ($A$1,$B48,AN$5)</f>
        <v>399.4</v>
      </c>
      <c r="AO48" s="55">
        <f>_xll.EQNXTDZ($A$1,$B48,AO$5)</f>
        <v>382.25</v>
      </c>
      <c r="AP48" s="55">
        <f>_xll.EQNXTDZ($A$1,$B48,AP$5)</f>
        <v>317.39999999999998</v>
      </c>
      <c r="AQ48" s="55">
        <f>_xll.EQNXTDZ($A$1,$B48,AQ$5)</f>
        <v>296.75</v>
      </c>
      <c r="AR48" s="55">
        <f>_xll.EQNXTDZ($A$1,$B48,AR$5)</f>
        <v>310.05</v>
      </c>
      <c r="AS48" s="55">
        <f>_xll.EQNXTDZ($A$1,$B48,AS$5)</f>
        <v>267.55</v>
      </c>
      <c r="AT48" s="55">
        <f>_xll.EQNXTDZ($A$1,$B48,AT$5)</f>
        <v>292.14999999999998</v>
      </c>
      <c r="AU48" s="55">
        <f>_xll.EQNXTDZ($A$1,$B48,AU$5)</f>
        <v>289.10000000000002</v>
      </c>
      <c r="AV48" s="55">
        <f>_xll.EQNXTDZ($A$1,$B48,AV$5)</f>
        <v>361.05</v>
      </c>
      <c r="AW48" s="55">
        <f>_xll.EQNXTDZ($A$1,$B48,AW$5)</f>
        <v>432.6</v>
      </c>
      <c r="AX48" s="55">
        <f>_xll.EQNXTDZ($A$1,$B48,AX$5)</f>
        <v>523.85</v>
      </c>
      <c r="AY48" s="55">
        <f>_xll.EQNXTDZ($A$1,$B48,AY$5)</f>
        <v>712.55</v>
      </c>
      <c r="AZ48" s="55">
        <f>_xll.EQNXTDZ($A$1,$B48,AZ$5)</f>
        <v>617.15</v>
      </c>
      <c r="BA48" s="55">
        <f>_xll.EQNXTDZ($A$1,$B48,BA$5)</f>
        <v>458.55</v>
      </c>
      <c r="BB48" s="55">
        <f>_xll.EQNXTDZ($A$1,$B48,BB$5)</f>
        <v>250.5</v>
      </c>
      <c r="BC48" s="55">
        <f>_xll.EQNXTDZ($A$1,$B48,BC$5)</f>
        <v>319.8</v>
      </c>
      <c r="BD48" s="55">
        <f>_xll.EQNXTDZ($A$1,$B48,BD$5)</f>
        <v>242.4</v>
      </c>
      <c r="BE48" s="55">
        <f>_xll.EQNXTDZ($A$1,$B48,BE$5)</f>
        <v>214.3</v>
      </c>
      <c r="BF48" s="55">
        <f>_xll.EQNXTDZ($A$1,$B48,BF$5)</f>
        <v>148.94999999999999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100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77.22</v>
      </c>
      <c r="AG49" s="55">
        <f>_xll.EQNXTDZ($A$1,$B49,AG$5)</f>
        <v>77.22</v>
      </c>
      <c r="AH49" s="55">
        <f>_xll.EQNXTDZ($A$1,$B49,AH$5)</f>
        <v>77.22</v>
      </c>
      <c r="AI49" s="55">
        <f>_xll.EQNXTDZ($A$1,$B49,AI$5)</f>
        <v>77.22</v>
      </c>
      <c r="AJ49" s="55">
        <f>_xll.EQNXTDZ($A$1,$B49,AJ$5)</f>
        <v>77.22</v>
      </c>
      <c r="AK49" s="55">
        <f>_xll.EQNXTDZ($A$1,$B49,AK$5)</f>
        <v>75.349999999999994</v>
      </c>
      <c r="AL49" s="55">
        <f>_xll.EQNXTDZ($A$1,$B49,AL$5)</f>
        <v>69.36</v>
      </c>
      <c r="AM49" s="55">
        <f>_xll.EQNXTDZ($A$1,$B49,AM$5)</f>
        <v>69.36</v>
      </c>
      <c r="AN49" s="55">
        <f>_xll.EQNXTDZ($A$1,$B49,AN$5)</f>
        <v>69.36</v>
      </c>
      <c r="AO49" s="55">
        <f>_xll.EQNXTDZ($A$1,$B49,AO$5)</f>
        <v>74.099999999999994</v>
      </c>
      <c r="AP49" s="55">
        <f>_xll.EQNXTDZ($A$1,$B49,AP$5)</f>
        <v>78.56</v>
      </c>
      <c r="AQ49" s="55">
        <f>_xll.EQNXTDZ($A$1,$B49,AQ$5)</f>
        <v>78.56</v>
      </c>
      <c r="AR49" s="55">
        <f>_xll.EQNXTDZ($A$1,$B49,AR$5)</f>
        <v>76.69</v>
      </c>
      <c r="AS49" s="55">
        <f>_xll.EQNXTDZ($A$1,$B49,AS$5)</f>
        <v>72.73</v>
      </c>
      <c r="AT49" s="55">
        <f>_xll.EQNXTDZ($A$1,$B49,AT$5)</f>
        <v>72.73</v>
      </c>
      <c r="AU49" s="55">
        <f>_xll.EQNXTDZ($A$1,$B49,AU$5)</f>
        <v>69.040000000000006</v>
      </c>
      <c r="AV49" s="55">
        <f>_xll.EQNXTDZ($A$1,$B49,AV$5)</f>
        <v>67.56</v>
      </c>
      <c r="AW49" s="55">
        <f>_xll.EQNXTDZ($A$1,$B49,AW$5)</f>
        <v>52.98</v>
      </c>
      <c r="AX49" s="55">
        <f>_xll.EQNXTDZ($A$1,$B49,AX$5)</f>
        <v>52.94</v>
      </c>
      <c r="AY49" s="55">
        <f>_xll.EQNXTDZ($A$1,$B49,AY$5)</f>
        <v>52.91</v>
      </c>
      <c r="AZ49" s="55">
        <f>_xll.EQNXTDZ($A$1,$B49,AZ$5)</f>
        <v>45.75</v>
      </c>
      <c r="BA49" s="55">
        <f>_xll.EQNXTDZ($A$1,$B49,BA$5)</f>
        <v>45.73</v>
      </c>
      <c r="BB49" s="55">
        <f>_xll.EQNXTDZ($A$1,$B49,BB$5)</f>
        <v>45.73</v>
      </c>
      <c r="BC49" s="55">
        <f>_xll.EQNXTDZ($A$1,$B49,BC$5)</f>
        <v>45.73</v>
      </c>
      <c r="BD49" s="55">
        <f>_xll.EQNXTDZ($A$1,$B49,BD$5)</f>
        <v>45.72</v>
      </c>
      <c r="BE49" s="55">
        <f>_xll.EQNXTDZ($A$1,$B49,BE$5)</f>
        <v>45.72</v>
      </c>
      <c r="BF49" s="55">
        <f>_xll.EQNXTDZ($A$1,$B49,BF$5)</f>
        <v>45.72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48.23</v>
      </c>
      <c r="AG50" s="55">
        <f>_xll.EQNXTDZ($A$1,$B50,AG$5)</f>
        <v>48.23</v>
      </c>
      <c r="AH50" s="55">
        <f>_xll.EQNXTDZ($A$1,$B50,AH$5)</f>
        <v>48.23</v>
      </c>
      <c r="AI50" s="55">
        <f>_xll.EQNXTDZ($A$1,$B50,AI$5)</f>
        <v>48.23</v>
      </c>
      <c r="AJ50" s="55">
        <f>_xll.EQNXTDZ($A$1,$B50,AJ$5)</f>
        <v>48.23</v>
      </c>
      <c r="AK50" s="55">
        <f>_xll.EQNXTDZ($A$1,$B50,AK$5)</f>
        <v>49.43</v>
      </c>
      <c r="AL50" s="55">
        <f>_xll.EQNXTDZ($A$1,$B50,AL$5)</f>
        <v>53.69</v>
      </c>
      <c r="AM50" s="55">
        <f>_xll.EQNXTDZ($A$1,$B50,AM$5)</f>
        <v>53.69</v>
      </c>
      <c r="AN50" s="55">
        <f>_xll.EQNXTDZ($A$1,$B50,AN$5)</f>
        <v>60.89</v>
      </c>
      <c r="AO50" s="55">
        <f>_xll.EQNXTDZ($A$1,$B50,AO$5)</f>
        <v>48.18</v>
      </c>
      <c r="AP50" s="55">
        <f>_xll.EQNXTDZ($A$1,$B50,AP$5)</f>
        <v>30.87</v>
      </c>
      <c r="AQ50" s="55">
        <f>_xll.EQNXTDZ($A$1,$B50,AQ$5)</f>
        <v>39.5</v>
      </c>
      <c r="AR50" s="55">
        <f>_xll.EQNXTDZ($A$1,$B50,AR$5)</f>
        <v>40.89</v>
      </c>
      <c r="AS50" s="55">
        <f>_xll.EQNXTDZ($A$1,$B50,AS$5)</f>
        <v>38.93</v>
      </c>
      <c r="AT50" s="55">
        <f>_xll.EQNXTDZ($A$1,$B50,AT$5)</f>
        <v>39.520000000000003</v>
      </c>
      <c r="AU50" s="55">
        <f>_xll.EQNXTDZ($A$1,$B50,AU$5)</f>
        <v>39.479999999999997</v>
      </c>
      <c r="AV50" s="55">
        <f>_xll.EQNXTDZ($A$1,$B50,AV$5)</f>
        <v>38.75</v>
      </c>
      <c r="AW50" s="55">
        <f>_xll.EQNXTDZ($A$1,$B50,AW$5)</f>
        <v>37.380000000000003</v>
      </c>
      <c r="AX50" s="55">
        <f>_xll.EQNXTDZ($A$1,$B50,AX$5)</f>
        <v>37.159999999999997</v>
      </c>
      <c r="AY50" s="55">
        <f>_xll.EQNXTDZ($A$1,$B50,AY$5)</f>
        <v>34.880000000000003</v>
      </c>
      <c r="AZ50" s="55">
        <f>_xll.EQNXTDZ($A$1,$B50,AZ$5)</f>
        <v>27.15</v>
      </c>
      <c r="BA50" s="55">
        <f>_xll.EQNXTDZ($A$1,$B50,BA$5)</f>
        <v>27.62</v>
      </c>
      <c r="BB50" s="55">
        <f>_xll.EQNXTDZ($A$1,$B50,BB$5)</f>
        <v>27.62</v>
      </c>
      <c r="BC50" s="55">
        <f>_xll.EQNXTDZ($A$1,$B50,BC$5)</f>
        <v>27.62</v>
      </c>
      <c r="BD50" s="55">
        <f>_xll.EQNXTDZ($A$1,$B50,BD$5)</f>
        <v>27.62</v>
      </c>
      <c r="BE50" s="55">
        <f>_xll.EQNXTDZ($A$1,$B50,BE$5)</f>
        <v>27.62</v>
      </c>
      <c r="BF50" s="55">
        <f>_xll.EQNXTDZ($A$1,$B50,BF$5)</f>
        <v>27.62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16.036000000000001</v>
      </c>
      <c r="AE56" s="55">
        <f>_xll.EQNXTDZ($A$1,$B56,AE$5,$B$1)</f>
        <v>0</v>
      </c>
      <c r="AF56" s="55">
        <f>_xll.EQNXTDZ($A$1,$B56,AF$5,$B$1)</f>
        <v>16.036000000000001</v>
      </c>
      <c r="AG56" s="55">
        <f>_xll.EQNXTDZ($A$1,$B56,AG$5,$B$1)</f>
        <v>0</v>
      </c>
      <c r="AH56" s="55">
        <f>_xll.EQNXTDZ($A$1,$B56,AH$5,$B$1)</f>
        <v>16.04</v>
      </c>
      <c r="AI56" s="55">
        <f>_xll.EQNXTDZ($A$1,$B56,AI$5,$B$1)</f>
        <v>0</v>
      </c>
      <c r="AJ56" s="55">
        <f>_xll.EQNXTDZ($A$1,$B56,AJ$5,$B$1)</f>
        <v>16.04</v>
      </c>
      <c r="AK56" s="55">
        <f>_xll.EQNXTDZ($A$1,$B56,AK$5,$B$1)</f>
        <v>0</v>
      </c>
      <c r="AL56" s="55">
        <f>_xll.EQNXTDZ($A$1,$B56,AL$5,$B$1)</f>
        <v>16.04</v>
      </c>
      <c r="AM56" s="55">
        <f>_xll.EQNXTDZ($A$1,$B56,AM$5,$B$1)</f>
        <v>0</v>
      </c>
      <c r="AN56" s="55">
        <f>_xll.EQNXTDZ($A$1,$B56,AN$5,$B$1)</f>
        <v>16.04</v>
      </c>
      <c r="AO56" s="55">
        <f>_xll.EQNXTDZ($A$1,$B56,AO$5,$B$1)</f>
        <v>0</v>
      </c>
      <c r="AP56" s="55">
        <f>_xll.EQNXTDZ($A$1,$B56,AP$5,$B$1)</f>
        <v>18.97</v>
      </c>
      <c r="AQ56" s="55">
        <f>_xll.EQNXTDZ($A$1,$B56,AQ$5,$B$1)</f>
        <v>0</v>
      </c>
      <c r="AR56" s="55">
        <f>_xll.EQNXTDZ($A$1,$B56,AR$5,$B$1)</f>
        <v>18.97</v>
      </c>
      <c r="AS56" s="55">
        <f>_xll.EQNXTDZ($A$1,$B56,AS$5,$B$1)</f>
        <v>0</v>
      </c>
      <c r="AT56" s="55">
        <f>_xll.EQNXTDZ($A$1,$B56,AT$5,$B$1)</f>
        <v>18.97</v>
      </c>
      <c r="AU56" s="55">
        <f>_xll.EQNXTDZ($A$1,$B56,AU$5,$B$1)</f>
        <v>0</v>
      </c>
      <c r="AV56" s="55">
        <f>_xll.EQNXTDZ($A$1,$B56,AV$5,$B$1)</f>
        <v>18.97</v>
      </c>
      <c r="AW56" s="55">
        <f>_xll.EQNXTDZ($A$1,$B56,AW$5,$B$1)</f>
        <v>0</v>
      </c>
      <c r="AX56" s="55">
        <f>_xll.EQNXTDZ($A$1,$B56,AX$5,$B$1)</f>
        <v>23.32</v>
      </c>
      <c r="AY56" s="55">
        <f>_xll.EQNXTDZ($A$1,$B56,AY$5,$B$1)</f>
        <v>0</v>
      </c>
      <c r="AZ56" s="55">
        <f>_xll.EQNXTDZ($A$1,$B56,AZ$5,$B$1)</f>
        <v>23.34</v>
      </c>
      <c r="BA56" s="55">
        <f>_xll.EQNXTDZ($A$1,$B56,BA$5,$B$1)</f>
        <v>0</v>
      </c>
      <c r="BB56" s="55">
        <f>_xll.EQNXTDZ($A$1,$B56,BB$5,$B$1)</f>
        <v>23.35</v>
      </c>
      <c r="BC56" s="55">
        <f>_xll.EQNXTDZ($A$1,$B56,BC$5,$B$1)</f>
        <v>0</v>
      </c>
      <c r="BD56" s="55">
        <f>_xll.EQNXTDZ($A$1,$B56,BD$5,$B$1)</f>
        <v>23.35</v>
      </c>
      <c r="BE56" s="55">
        <f>_xll.EQNXTDZ($A$1,$B56,BE$5,$B$1)</f>
        <v>0</v>
      </c>
      <c r="BF56" s="55">
        <f>_xll.EQNXTDZ($A$1,$B56,BF$5,$B$1)</f>
        <v>23.35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824.97</v>
      </c>
      <c r="AE58" s="55">
        <f>_xll.EQNXTDZ($A$1,$B58,AE$5,$B$1)</f>
        <v>0</v>
      </c>
      <c r="AF58" s="55">
        <f>_xll.EQNXTDZ($A$1,$B58,AF$5,$B$1)</f>
        <v>963.59400000000005</v>
      </c>
      <c r="AG58" s="55">
        <f>_xll.EQNXTDZ($A$1,$B58,AG$5,$B$1)</f>
        <v>0</v>
      </c>
      <c r="AH58" s="55">
        <f>_xll.EQNXTDZ($A$1,$B58,AH$5,$B$1)</f>
        <v>1064.92</v>
      </c>
      <c r="AI58" s="55">
        <f>_xll.EQNXTDZ($A$1,$B58,AI$5,$B$1)</f>
        <v>0</v>
      </c>
      <c r="AJ58" s="55">
        <f>_xll.EQNXTDZ($A$1,$B58,AJ$5,$B$1)</f>
        <v>1043.45</v>
      </c>
      <c r="AK58" s="55">
        <f>_xll.EQNXTDZ($A$1,$B58,AK$5,$B$1)</f>
        <v>0</v>
      </c>
      <c r="AL58" s="55">
        <f>_xll.EQNXTDZ($A$1,$B58,AL$5,$B$1)</f>
        <v>645.84</v>
      </c>
      <c r="AM58" s="55">
        <f>_xll.EQNXTDZ($A$1,$B58,AM$5,$B$1)</f>
        <v>0</v>
      </c>
      <c r="AN58" s="55">
        <f>_xll.EQNXTDZ($A$1,$B58,AN$5,$B$1)</f>
        <v>426.19</v>
      </c>
      <c r="AO58" s="55">
        <f>_xll.EQNXTDZ($A$1,$B58,AO$5,$B$1)</f>
        <v>0</v>
      </c>
      <c r="AP58" s="55">
        <f>_xll.EQNXTDZ($A$1,$B58,AP$5,$B$1)</f>
        <v>897.79</v>
      </c>
      <c r="AQ58" s="55">
        <f>_xll.EQNXTDZ($A$1,$B58,AQ$5,$B$1)</f>
        <v>0</v>
      </c>
      <c r="AR58" s="55">
        <f>_xll.EQNXTDZ($A$1,$B58,AR$5,$B$1)</f>
        <v>331.06</v>
      </c>
      <c r="AS58" s="55">
        <f>_xll.EQNXTDZ($A$1,$B58,AS$5,$B$1)</f>
        <v>0</v>
      </c>
      <c r="AT58" s="55">
        <f>_xll.EQNXTDZ($A$1,$B58,AT$5,$B$1)</f>
        <v>-244.05</v>
      </c>
      <c r="AU58" s="55">
        <f>_xll.EQNXTDZ($A$1,$B58,AU$5,$B$1)</f>
        <v>0</v>
      </c>
      <c r="AV58" s="55">
        <f>_xll.EQNXTDZ($A$1,$B58,AV$5,$B$1)</f>
        <v>-418.68</v>
      </c>
      <c r="AW58" s="55">
        <f>_xll.EQNXTDZ($A$1,$B58,AW$5,$B$1)</f>
        <v>0</v>
      </c>
      <c r="AX58" s="55">
        <f>_xll.EQNXTDZ($A$1,$B58,AX$5,$B$1)</f>
        <v>945.85</v>
      </c>
      <c r="AY58" s="55">
        <f>_xll.EQNXTDZ($A$1,$B58,AY$5,$B$1)</f>
        <v>0</v>
      </c>
      <c r="AZ58" s="55">
        <f>_xll.EQNXTDZ($A$1,$B58,AZ$5,$B$1)</f>
        <v>942.45</v>
      </c>
      <c r="BA58" s="55">
        <f>_xll.EQNXTDZ($A$1,$B58,BA$5,$B$1)</f>
        <v>0</v>
      </c>
      <c r="BB58" s="55">
        <f>_xll.EQNXTDZ($A$1,$B58,BB$5,$B$1)</f>
        <v>983.71</v>
      </c>
      <c r="BC58" s="55">
        <f>_xll.EQNXTDZ($A$1,$B58,BC$5,$B$1)</f>
        <v>0</v>
      </c>
      <c r="BD58" s="55">
        <f>_xll.EQNXTDZ($A$1,$B58,BD$5,$B$1)</f>
        <v>446.79</v>
      </c>
      <c r="BE58" s="55">
        <f>_xll.EQNXTDZ($A$1,$B58,BE$5,$B$1)</f>
        <v>0</v>
      </c>
      <c r="BF58" s="55">
        <f>_xll.EQNXTDZ($A$1,$B58,BF$5,$B$1)</f>
        <v>626.4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841.00599999999997</v>
      </c>
      <c r="AE59" s="55">
        <f>_xll.EQNXTDZ($A$1,$B59,AE$5,$B$1)</f>
        <v>0</v>
      </c>
      <c r="AF59" s="55">
        <f>_xll.EQNXTDZ($A$1,$B59,AF$5,$B$1)</f>
        <v>979.63</v>
      </c>
      <c r="AG59" s="55">
        <f>_xll.EQNXTDZ($A$1,$B59,AG$5,$B$1)</f>
        <v>0</v>
      </c>
      <c r="AH59" s="55">
        <f>_xll.EQNXTDZ($A$1,$B59,AH$5,$B$1)</f>
        <v>1080.96</v>
      </c>
      <c r="AI59" s="55">
        <f>_xll.EQNXTDZ($A$1,$B59,AI$5,$B$1)</f>
        <v>0</v>
      </c>
      <c r="AJ59" s="55">
        <f>_xll.EQNXTDZ($A$1,$B59,AJ$5,$B$1)</f>
        <v>1059.49</v>
      </c>
      <c r="AK59" s="55">
        <f>_xll.EQNXTDZ($A$1,$B59,AK$5,$B$1)</f>
        <v>0</v>
      </c>
      <c r="AL59" s="55">
        <f>_xll.EQNXTDZ($A$1,$B59,AL$5,$B$1)</f>
        <v>661.88</v>
      </c>
      <c r="AM59" s="55">
        <f>_xll.EQNXTDZ($A$1,$B59,AM$5,$B$1)</f>
        <v>0</v>
      </c>
      <c r="AN59" s="55">
        <f>_xll.EQNXTDZ($A$1,$B59,AN$5,$B$1)</f>
        <v>442.23</v>
      </c>
      <c r="AO59" s="55">
        <f>_xll.EQNXTDZ($A$1,$B59,AO$5,$B$1)</f>
        <v>0</v>
      </c>
      <c r="AP59" s="55">
        <f>_xll.EQNXTDZ($A$1,$B59,AP$5,$B$1)</f>
        <v>916.76</v>
      </c>
      <c r="AQ59" s="55">
        <f>_xll.EQNXTDZ($A$1,$B59,AQ$5,$B$1)</f>
        <v>0</v>
      </c>
      <c r="AR59" s="55">
        <f>_xll.EQNXTDZ($A$1,$B59,AR$5,$B$1)</f>
        <v>350.03</v>
      </c>
      <c r="AS59" s="55">
        <f>_xll.EQNXTDZ($A$1,$B59,AS$5,$B$1)</f>
        <v>0</v>
      </c>
      <c r="AT59" s="55">
        <f>_xll.EQNXTDZ($A$1,$B59,AT$5,$B$1)</f>
        <v>-225.08</v>
      </c>
      <c r="AU59" s="55">
        <f>_xll.EQNXTDZ($A$1,$B59,AU$5,$B$1)</f>
        <v>0</v>
      </c>
      <c r="AV59" s="55">
        <f>_xll.EQNXTDZ($A$1,$B59,AV$5,$B$1)</f>
        <v>-399.71</v>
      </c>
      <c r="AW59" s="55">
        <f>_xll.EQNXTDZ($A$1,$B59,AW$5,$B$1)</f>
        <v>0</v>
      </c>
      <c r="AX59" s="55">
        <f>_xll.EQNXTDZ($A$1,$B59,AX$5,$B$1)</f>
        <v>969.17</v>
      </c>
      <c r="AY59" s="55">
        <f>_xll.EQNXTDZ($A$1,$B59,AY$5,$B$1)</f>
        <v>0</v>
      </c>
      <c r="AZ59" s="55">
        <f>_xll.EQNXTDZ($A$1,$B59,AZ$5,$B$1)</f>
        <v>965.79</v>
      </c>
      <c r="BA59" s="55">
        <f>_xll.EQNXTDZ($A$1,$B59,BA$5,$B$1)</f>
        <v>0</v>
      </c>
      <c r="BB59" s="55">
        <f>_xll.EQNXTDZ($A$1,$B59,BB$5,$B$1)</f>
        <v>1007.06</v>
      </c>
      <c r="BC59" s="55">
        <f>_xll.EQNXTDZ($A$1,$B59,BC$5,$B$1)</f>
        <v>0</v>
      </c>
      <c r="BD59" s="55">
        <f>_xll.EQNXTDZ($A$1,$B59,BD$5,$B$1)</f>
        <v>470.14</v>
      </c>
      <c r="BE59" s="55">
        <f>_xll.EQNXTDZ($A$1,$B59,BE$5,$B$1)</f>
        <v>0</v>
      </c>
      <c r="BF59" s="55">
        <f>_xll.EQNXTDZ($A$1,$B59,BF$5,$B$1)</f>
        <v>649.75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-3.4849999999999999</v>
      </c>
      <c r="AE60" s="55">
        <f>_xll.EQNXTDZ($A$1,$B60,AE$5,$B$1)</f>
        <v>0</v>
      </c>
      <c r="AF60" s="55">
        <f>_xll.EQNXTDZ($A$1,$B60,AF$5,$B$1)</f>
        <v>-5.1820000000000004</v>
      </c>
      <c r="AG60" s="55">
        <f>_xll.EQNXTDZ($A$1,$B60,AG$5,$B$1)</f>
        <v>0</v>
      </c>
      <c r="AH60" s="55">
        <f>_xll.EQNXTDZ($A$1,$B60,AH$5,$B$1)</f>
        <v>-8.36</v>
      </c>
      <c r="AI60" s="55">
        <f>_xll.EQNXTDZ($A$1,$B60,AI$5,$B$1)</f>
        <v>0</v>
      </c>
      <c r="AJ60" s="55">
        <f>_xll.EQNXTDZ($A$1,$B60,AJ$5,$B$1)</f>
        <v>-17.45</v>
      </c>
      <c r="AK60" s="55">
        <f>_xll.EQNXTDZ($A$1,$B60,AK$5,$B$1)</f>
        <v>0</v>
      </c>
      <c r="AL60" s="55">
        <f>_xll.EQNXTDZ($A$1,$B60,AL$5,$B$1)</f>
        <v>-4.0999999999999996</v>
      </c>
      <c r="AM60" s="55">
        <f>_xll.EQNXTDZ($A$1,$B60,AM$5,$B$1)</f>
        <v>0</v>
      </c>
      <c r="AN60" s="55">
        <f>_xll.EQNXTDZ($A$1,$B60,AN$5,$B$1)</f>
        <v>-4.08</v>
      </c>
      <c r="AO60" s="55">
        <f>_xll.EQNXTDZ($A$1,$B60,AO$5,$B$1)</f>
        <v>0</v>
      </c>
      <c r="AP60" s="55">
        <f>_xll.EQNXTDZ($A$1,$B60,AP$5,$B$1)</f>
        <v>-10.93</v>
      </c>
      <c r="AQ60" s="55">
        <f>_xll.EQNXTDZ($A$1,$B60,AQ$5,$B$1)</f>
        <v>0</v>
      </c>
      <c r="AR60" s="55">
        <f>_xll.EQNXTDZ($A$1,$B60,AR$5,$B$1)</f>
        <v>-12.5</v>
      </c>
      <c r="AS60" s="55">
        <f>_xll.EQNXTDZ($A$1,$B60,AS$5,$B$1)</f>
        <v>0</v>
      </c>
      <c r="AT60" s="55">
        <f>_xll.EQNXTDZ($A$1,$B60,AT$5,$B$1)</f>
        <v>-15.22</v>
      </c>
      <c r="AU60" s="55">
        <f>_xll.EQNXTDZ($A$1,$B60,AU$5,$B$1)</f>
        <v>0</v>
      </c>
      <c r="AV60" s="55">
        <f>_xll.EQNXTDZ($A$1,$B60,AV$5,$B$1)</f>
        <v>-15.26</v>
      </c>
      <c r="AW60" s="55">
        <f>_xll.EQNXTDZ($A$1,$B60,AW$5,$B$1)</f>
        <v>0</v>
      </c>
      <c r="AX60" s="55">
        <f>_xll.EQNXTDZ($A$1,$B60,AX$5,$B$1)</f>
        <v>-14.16</v>
      </c>
      <c r="AY60" s="55">
        <f>_xll.EQNXTDZ($A$1,$B60,AY$5,$B$1)</f>
        <v>0</v>
      </c>
      <c r="AZ60" s="55">
        <f>_xll.EQNXTDZ($A$1,$B60,AZ$5,$B$1)</f>
        <v>-13.34</v>
      </c>
      <c r="BA60" s="55">
        <f>_xll.EQNXTDZ($A$1,$B60,BA$5,$B$1)</f>
        <v>0</v>
      </c>
      <c r="BB60" s="55">
        <f>_xll.EQNXTDZ($A$1,$B60,BB$5,$B$1)</f>
        <v>-12.54</v>
      </c>
      <c r="BC60" s="55">
        <f>_xll.EQNXTDZ($A$1,$B60,BC$5,$B$1)</f>
        <v>0</v>
      </c>
      <c r="BD60" s="55">
        <f>_xll.EQNXTDZ($A$1,$B60,BD$5,$B$1)</f>
        <v>-10.24</v>
      </c>
      <c r="BE60" s="55">
        <f>_xll.EQNXTDZ($A$1,$B60,BE$5,$B$1)</f>
        <v>0</v>
      </c>
      <c r="BF60" s="55">
        <f>_xll.EQNXTDZ($A$1,$B60,BF$5,$B$1)</f>
        <v>1.48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2E-3</v>
      </c>
      <c r="AE61" s="55">
        <f>_xll.EQNXTDZ($A$1,$B61,AE$5,$B$1)</f>
        <v>0</v>
      </c>
      <c r="AF61" s="55">
        <f>_xll.EQNXTDZ($A$1,$B61,AF$5,$B$1)</f>
        <v>0.88600000000000001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435</v>
      </c>
      <c r="AS61" s="55">
        <f>_xll.EQNXTDZ($A$1,$B61,AS$5,$B$1)</f>
        <v>0</v>
      </c>
      <c r="AT61" s="55">
        <f>_xll.EQNXTDZ($A$1,$B61,AT$5,$B$1)</f>
        <v>700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246.21</v>
      </c>
      <c r="AY61" s="55">
        <f>_xll.EQNXTDZ($A$1,$B61,AY$5,$B$1)</f>
        <v>0</v>
      </c>
      <c r="AZ61" s="55">
        <f>_xll.EQNXTDZ($A$1,$B61,AZ$5,$B$1)</f>
        <v>498.79</v>
      </c>
      <c r="BA61" s="55">
        <f>_xll.EQNXTDZ($A$1,$B61,BA$5,$B$1)</f>
        <v>0</v>
      </c>
      <c r="BB61" s="55">
        <f>_xll.EQNXTDZ($A$1,$B61,BB$5,$B$1)</f>
        <v>523.79</v>
      </c>
      <c r="BC61" s="55">
        <f>_xll.EQNXTDZ($A$1,$B61,BC$5,$B$1)</f>
        <v>0</v>
      </c>
      <c r="BD61" s="55">
        <f>_xll.EQNXTDZ($A$1,$B61,BD$5,$B$1)</f>
        <v>700.79</v>
      </c>
      <c r="BE61" s="55">
        <f>_xll.EQNXTDZ($A$1,$B61,BE$5,$B$1)</f>
        <v>0</v>
      </c>
      <c r="BF61" s="55">
        <f>_xll.EQNXTDZ($A$1,$B61,BF$5,$B$1)</f>
        <v>497.42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2E-3</v>
      </c>
      <c r="AE63" s="55">
        <f>_xll.EQNXTDZ($A$1,$B63,AE$5,$B$1)</f>
        <v>0</v>
      </c>
      <c r="AF63" s="55">
        <f>_xll.EQNXTDZ($A$1,$B63,AF$5,$B$1)</f>
        <v>0.88600000000000001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435</v>
      </c>
      <c r="AS63" s="55">
        <f>_xll.EQNXTDZ($A$1,$B63,AS$5,$B$1)</f>
        <v>0</v>
      </c>
      <c r="AT63" s="55">
        <f>_xll.EQNXTDZ($A$1,$B63,AT$5,$B$1)</f>
        <v>700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246.21</v>
      </c>
      <c r="AY63" s="55">
        <f>_xll.EQNXTDZ($A$1,$B63,AY$5,$B$1)</f>
        <v>0</v>
      </c>
      <c r="AZ63" s="55">
        <f>_xll.EQNXTDZ($A$1,$B63,AZ$5,$B$1)</f>
        <v>498.79</v>
      </c>
      <c r="BA63" s="55">
        <f>_xll.EQNXTDZ($A$1,$B63,BA$5,$B$1)</f>
        <v>0</v>
      </c>
      <c r="BB63" s="55">
        <f>_xll.EQNXTDZ($A$1,$B63,BB$5,$B$1)</f>
        <v>523.79</v>
      </c>
      <c r="BC63" s="55">
        <f>_xll.EQNXTDZ($A$1,$B63,BC$5,$B$1)</f>
        <v>0</v>
      </c>
      <c r="BD63" s="55">
        <f>_xll.EQNXTDZ($A$1,$B63,BD$5,$B$1)</f>
        <v>700.79</v>
      </c>
      <c r="BE63" s="55">
        <f>_xll.EQNXTDZ($A$1,$B63,BE$5,$B$1)</f>
        <v>0</v>
      </c>
      <c r="BF63" s="55">
        <f>_xll.EQNXTDZ($A$1,$B63,BF$5,$B$1)</f>
        <v>497.42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6.79</v>
      </c>
      <c r="AI64" s="55">
        <f>_xll.EQNXTDZ($A$1,$B64,AI$5,$B$1)</f>
        <v>0</v>
      </c>
      <c r="AJ64" s="55">
        <f>_xll.EQNXTDZ($A$1,$B64,AJ$5,$B$1)</f>
        <v>6.29</v>
      </c>
      <c r="AK64" s="55">
        <f>_xll.EQNXTDZ($A$1,$B64,AK$5,$B$1)</f>
        <v>0</v>
      </c>
      <c r="AL64" s="55">
        <f>_xll.EQNXTDZ($A$1,$B64,AL$5,$B$1)</f>
        <v>9.11</v>
      </c>
      <c r="AM64" s="55">
        <f>_xll.EQNXTDZ($A$1,$B64,AM$5,$B$1)</f>
        <v>0</v>
      </c>
      <c r="AN64" s="55">
        <f>_xll.EQNXTDZ($A$1,$B64,AN$5,$B$1)</f>
        <v>8.59</v>
      </c>
      <c r="AO64" s="55">
        <f>_xll.EQNXTDZ($A$1,$B64,AO$5,$B$1)</f>
        <v>0</v>
      </c>
      <c r="AP64" s="55">
        <f>_xll.EQNXTDZ($A$1,$B64,AP$5,$B$1)</f>
        <v>7.95</v>
      </c>
      <c r="AQ64" s="55">
        <f>_xll.EQNXTDZ($A$1,$B64,AQ$5,$B$1)</f>
        <v>0</v>
      </c>
      <c r="AR64" s="55">
        <f>_xll.EQNXTDZ($A$1,$B64,AR$5,$B$1)</f>
        <v>12.53</v>
      </c>
      <c r="AS64" s="55">
        <f>_xll.EQNXTDZ($A$1,$B64,AS$5,$B$1)</f>
        <v>0</v>
      </c>
      <c r="AT64" s="55">
        <f>_xll.EQNXTDZ($A$1,$B64,AT$5,$B$1)</f>
        <v>11.09</v>
      </c>
      <c r="AU64" s="55">
        <f>_xll.EQNXTDZ($A$1,$B64,AU$5,$B$1)</f>
        <v>0</v>
      </c>
      <c r="AV64" s="55">
        <f>_xll.EQNXTDZ($A$1,$B64,AV$5,$B$1)</f>
        <v>34.479999999999997</v>
      </c>
      <c r="AW64" s="55">
        <f>_xll.EQNXTDZ($A$1,$B64,AW$5,$B$1)</f>
        <v>0</v>
      </c>
      <c r="AX64" s="55">
        <f>_xll.EQNXTDZ($A$1,$B64,AX$5,$B$1)</f>
        <v>31.35</v>
      </c>
      <c r="AY64" s="55">
        <f>_xll.EQNXTDZ($A$1,$B64,AY$5,$B$1)</f>
        <v>0</v>
      </c>
      <c r="AZ64" s="55">
        <f>_xll.EQNXTDZ($A$1,$B64,AZ$5,$B$1)</f>
        <v>28.14</v>
      </c>
      <c r="BA64" s="55">
        <f>_xll.EQNXTDZ($A$1,$B64,BA$5,$B$1)</f>
        <v>0</v>
      </c>
      <c r="BB64" s="55">
        <f>_xll.EQNXTDZ($A$1,$B64,BB$5,$B$1)</f>
        <v>27.16</v>
      </c>
      <c r="BC64" s="55">
        <f>_xll.EQNXTDZ($A$1,$B64,BC$5,$B$1)</f>
        <v>0</v>
      </c>
      <c r="BD64" s="55">
        <f>_xll.EQNXTDZ($A$1,$B64,BD$5,$B$1)</f>
        <v>23.27</v>
      </c>
      <c r="BE64" s="55">
        <f>_xll.EQNXTDZ($A$1,$B64,BE$5,$B$1)</f>
        <v>0</v>
      </c>
      <c r="BF64" s="55">
        <f>_xll.EQNXTDZ($A$1,$B64,BF$5,$B$1)</f>
        <v>18.47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8.6110000000000007</v>
      </c>
      <c r="AE66" s="55">
        <f>_xll.EQNXTDZ($A$1,$B66,AE$5,$B$1)</f>
        <v>0</v>
      </c>
      <c r="AF66" s="55">
        <f>_xll.EQNXTDZ($A$1,$B66,AF$5,$B$1)</f>
        <v>9.9870000000000001</v>
      </c>
      <c r="AG66" s="55">
        <f>_xll.EQNXTDZ($A$1,$B66,AG$5,$B$1)</f>
        <v>0</v>
      </c>
      <c r="AH66" s="55">
        <f>_xll.EQNXTDZ($A$1,$B66,AH$5,$B$1)</f>
        <v>13.61</v>
      </c>
      <c r="AI66" s="55">
        <f>_xll.EQNXTDZ($A$1,$B66,AI$5,$B$1)</f>
        <v>0</v>
      </c>
      <c r="AJ66" s="55">
        <f>_xll.EQNXTDZ($A$1,$B66,AJ$5,$B$1)</f>
        <v>15.28</v>
      </c>
      <c r="AK66" s="55">
        <f>_xll.EQNXTDZ($A$1,$B66,AK$5,$B$1)</f>
        <v>0</v>
      </c>
      <c r="AL66" s="55">
        <f>_xll.EQNXTDZ($A$1,$B66,AL$5,$B$1)</f>
        <v>26.12</v>
      </c>
      <c r="AM66" s="55">
        <f>_xll.EQNXTDZ($A$1,$B66,AM$5,$B$1)</f>
        <v>0</v>
      </c>
      <c r="AN66" s="55">
        <f>_xll.EQNXTDZ($A$1,$B66,AN$5,$B$1)</f>
        <v>25.83</v>
      </c>
      <c r="AO66" s="55">
        <f>_xll.EQNXTDZ($A$1,$B66,AO$5,$B$1)</f>
        <v>0</v>
      </c>
      <c r="AP66" s="55">
        <f>_xll.EQNXTDZ($A$1,$B66,AP$5,$B$1)</f>
        <v>25.46</v>
      </c>
      <c r="AQ66" s="55">
        <f>_xll.EQNXTDZ($A$1,$B66,AQ$5,$B$1)</f>
        <v>0</v>
      </c>
      <c r="AR66" s="55">
        <f>_xll.EQNXTDZ($A$1,$B66,AR$5,$B$1)</f>
        <v>15.12</v>
      </c>
      <c r="AS66" s="55">
        <f>_xll.EQNXTDZ($A$1,$B66,AS$5,$B$1)</f>
        <v>0</v>
      </c>
      <c r="AT66" s="55">
        <f>_xll.EQNXTDZ($A$1,$B66,AT$5,$B$1)</f>
        <v>19.239999999999998</v>
      </c>
      <c r="AU66" s="55">
        <f>_xll.EQNXTDZ($A$1,$B66,AU$5,$B$1)</f>
        <v>0</v>
      </c>
      <c r="AV66" s="55">
        <f>_xll.EQNXTDZ($A$1,$B66,AV$5,$B$1)</f>
        <v>21.92</v>
      </c>
      <c r="AW66" s="55">
        <f>_xll.EQNXTDZ($A$1,$B66,AW$5,$B$1)</f>
        <v>0</v>
      </c>
      <c r="AX66" s="55">
        <f>_xll.EQNXTDZ($A$1,$B66,AX$5,$B$1)</f>
        <v>22.4</v>
      </c>
      <c r="AY66" s="55">
        <f>_xll.EQNXTDZ($A$1,$B66,AY$5,$B$1)</f>
        <v>0</v>
      </c>
      <c r="AZ66" s="55">
        <f>_xll.EQNXTDZ($A$1,$B66,AZ$5,$B$1)</f>
        <v>24.1</v>
      </c>
      <c r="BA66" s="55">
        <f>_xll.EQNXTDZ($A$1,$B66,BA$5,$B$1)</f>
        <v>0</v>
      </c>
      <c r="BB66" s="55">
        <f>_xll.EQNXTDZ($A$1,$B66,BB$5,$B$1)</f>
        <v>45.7</v>
      </c>
      <c r="BC66" s="55">
        <f>_xll.EQNXTDZ($A$1,$B66,BC$5,$B$1)</f>
        <v>0</v>
      </c>
      <c r="BD66" s="55">
        <f>_xll.EQNXTDZ($A$1,$B66,BD$5,$B$1)</f>
        <v>51.55</v>
      </c>
      <c r="BE66" s="55">
        <f>_xll.EQNXTDZ($A$1,$B66,BE$5,$B$1)</f>
        <v>0</v>
      </c>
      <c r="BF66" s="55">
        <f>_xll.EQNXTDZ($A$1,$B66,BF$5,$B$1)</f>
        <v>42.38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846.13400000000001</v>
      </c>
      <c r="AE67" s="55">
        <f>_xll.EQNXTDZ($A$1,$B67,AE$5,$B$1)</f>
        <v>0</v>
      </c>
      <c r="AF67" s="55">
        <f>_xll.EQNXTDZ($A$1,$B67,AF$5,$B$1)</f>
        <v>985.32100000000003</v>
      </c>
      <c r="AG67" s="55">
        <f>_xll.EQNXTDZ($A$1,$B67,AG$5,$B$1)</f>
        <v>0</v>
      </c>
      <c r="AH67" s="55">
        <f>_xll.EQNXTDZ($A$1,$B67,AH$5,$B$1)</f>
        <v>1093</v>
      </c>
      <c r="AI67" s="55">
        <f>_xll.EQNXTDZ($A$1,$B67,AI$5,$B$1)</f>
        <v>0</v>
      </c>
      <c r="AJ67" s="55">
        <f>_xll.EQNXTDZ($A$1,$B67,AJ$5,$B$1)</f>
        <v>1063.6099999999999</v>
      </c>
      <c r="AK67" s="55">
        <f>_xll.EQNXTDZ($A$1,$B67,AK$5,$B$1)</f>
        <v>0</v>
      </c>
      <c r="AL67" s="55">
        <f>_xll.EQNXTDZ($A$1,$B67,AL$5,$B$1)</f>
        <v>693.01</v>
      </c>
      <c r="AM67" s="55">
        <f>_xll.EQNXTDZ($A$1,$B67,AM$5,$B$1)</f>
        <v>0</v>
      </c>
      <c r="AN67" s="55">
        <f>_xll.EQNXTDZ($A$1,$B67,AN$5,$B$1)</f>
        <v>472.57</v>
      </c>
      <c r="AO67" s="55">
        <f>_xll.EQNXTDZ($A$1,$B67,AO$5,$B$1)</f>
        <v>0</v>
      </c>
      <c r="AP67" s="55">
        <f>_xll.EQNXTDZ($A$1,$B67,AP$5,$B$1)</f>
        <v>939.24</v>
      </c>
      <c r="AQ67" s="55">
        <f>_xll.EQNXTDZ($A$1,$B67,AQ$5,$B$1)</f>
        <v>0</v>
      </c>
      <c r="AR67" s="55">
        <f>_xll.EQNXTDZ($A$1,$B67,AR$5,$B$1)</f>
        <v>800.18</v>
      </c>
      <c r="AS67" s="55">
        <f>_xll.EQNXTDZ($A$1,$B67,AS$5,$B$1)</f>
        <v>0</v>
      </c>
      <c r="AT67" s="55">
        <f>_xll.EQNXTDZ($A$1,$B67,AT$5,$B$1)</f>
        <v>490.03</v>
      </c>
      <c r="AU67" s="55">
        <f>_xll.EQNXTDZ($A$1,$B67,AU$5,$B$1)</f>
        <v>0</v>
      </c>
      <c r="AV67" s="55">
        <f>_xll.EQNXTDZ($A$1,$B67,AV$5,$B$1)</f>
        <v>-358.57</v>
      </c>
      <c r="AW67" s="55">
        <f>_xll.EQNXTDZ($A$1,$B67,AW$5,$B$1)</f>
        <v>0</v>
      </c>
      <c r="AX67" s="55">
        <f>_xll.EQNXTDZ($A$1,$B67,AX$5,$B$1)</f>
        <v>1254.97</v>
      </c>
      <c r="AY67" s="55">
        <f>_xll.EQNXTDZ($A$1,$B67,AY$5,$B$1)</f>
        <v>0</v>
      </c>
      <c r="AZ67" s="55">
        <f>_xll.EQNXTDZ($A$1,$B67,AZ$5,$B$1)</f>
        <v>1503.48</v>
      </c>
      <c r="BA67" s="55">
        <f>_xll.EQNXTDZ($A$1,$B67,BA$5,$B$1)</f>
        <v>0</v>
      </c>
      <c r="BB67" s="55">
        <f>_xll.EQNXTDZ($A$1,$B67,BB$5,$B$1)</f>
        <v>1591.17</v>
      </c>
      <c r="BC67" s="55">
        <f>_xll.EQNXTDZ($A$1,$B67,BC$5,$B$1)</f>
        <v>0</v>
      </c>
      <c r="BD67" s="55">
        <f>_xll.EQNXTDZ($A$1,$B67,BD$5,$B$1)</f>
        <v>1235.51</v>
      </c>
      <c r="BE67" s="55">
        <f>_xll.EQNXTDZ($A$1,$B67,BE$5,$B$1)</f>
        <v>0</v>
      </c>
      <c r="BF67" s="55">
        <f>_xll.EQNXTDZ($A$1,$B67,BF$5,$B$1)</f>
        <v>1209.5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28.373999999999999</v>
      </c>
      <c r="AE68" s="55">
        <f>_xll.EQNXTDZ($A$1,$B68,AE$5,$B$1)</f>
        <v>0</v>
      </c>
      <c r="AF68" s="55">
        <f>_xll.EQNXTDZ($A$1,$B68,AF$5,$B$1)</f>
        <v>36.116999999999997</v>
      </c>
      <c r="AG68" s="55">
        <f>_xll.EQNXTDZ($A$1,$B68,AG$5,$B$1)</f>
        <v>0</v>
      </c>
      <c r="AH68" s="55">
        <f>_xll.EQNXTDZ($A$1,$B68,AH$5,$B$1)</f>
        <v>32.130000000000003</v>
      </c>
      <c r="AI68" s="55">
        <f>_xll.EQNXTDZ($A$1,$B68,AI$5,$B$1)</f>
        <v>0</v>
      </c>
      <c r="AJ68" s="55">
        <f>_xll.EQNXTDZ($A$1,$B68,AJ$5,$B$1)</f>
        <v>37.89</v>
      </c>
      <c r="AK68" s="55">
        <f>_xll.EQNXTDZ($A$1,$B68,AK$5,$B$1)</f>
        <v>0</v>
      </c>
      <c r="AL68" s="55">
        <f>_xll.EQNXTDZ($A$1,$B68,AL$5,$B$1)</f>
        <v>36.99</v>
      </c>
      <c r="AM68" s="55">
        <f>_xll.EQNXTDZ($A$1,$B68,AM$5,$B$1)</f>
        <v>0</v>
      </c>
      <c r="AN68" s="55">
        <f>_xll.EQNXTDZ($A$1,$B68,AN$5,$B$1)</f>
        <v>35.33</v>
      </c>
      <c r="AO68" s="55">
        <f>_xll.EQNXTDZ($A$1,$B68,AO$5,$B$1)</f>
        <v>0</v>
      </c>
      <c r="AP68" s="55">
        <f>_xll.EQNXTDZ($A$1,$B68,AP$5,$B$1)</f>
        <v>33.07</v>
      </c>
      <c r="AQ68" s="55">
        <f>_xll.EQNXTDZ($A$1,$B68,AQ$5,$B$1)</f>
        <v>0</v>
      </c>
      <c r="AR68" s="55">
        <f>_xll.EQNXTDZ($A$1,$B68,AR$5,$B$1)</f>
        <v>34.119999999999997</v>
      </c>
      <c r="AS68" s="55">
        <f>_xll.EQNXTDZ($A$1,$B68,AS$5,$B$1)</f>
        <v>0</v>
      </c>
      <c r="AT68" s="55">
        <f>_xll.EQNXTDZ($A$1,$B68,AT$5,$B$1)</f>
        <v>31.98</v>
      </c>
      <c r="AU68" s="55">
        <f>_xll.EQNXTDZ($A$1,$B68,AU$5,$B$1)</f>
        <v>0</v>
      </c>
      <c r="AV68" s="55">
        <f>_xll.EQNXTDZ($A$1,$B68,AV$5,$B$1)</f>
        <v>28.26</v>
      </c>
      <c r="AW68" s="55">
        <f>_xll.EQNXTDZ($A$1,$B68,AW$5,$B$1)</f>
        <v>0</v>
      </c>
      <c r="AX68" s="55">
        <f>_xll.EQNXTDZ($A$1,$B68,AX$5,$B$1)</f>
        <v>23.92</v>
      </c>
      <c r="AY68" s="55">
        <f>_xll.EQNXTDZ($A$1,$B68,AY$5,$B$1)</f>
        <v>0</v>
      </c>
      <c r="AZ68" s="55">
        <f>_xll.EQNXTDZ($A$1,$B68,AZ$5,$B$1)</f>
        <v>20.37</v>
      </c>
      <c r="BA68" s="55">
        <f>_xll.EQNXTDZ($A$1,$B68,BA$5,$B$1)</f>
        <v>0</v>
      </c>
      <c r="BB68" s="55">
        <f>_xll.EQNXTDZ($A$1,$B68,BB$5,$B$1)</f>
        <v>18.32</v>
      </c>
      <c r="BC68" s="55">
        <f>_xll.EQNXTDZ($A$1,$B68,BC$5,$B$1)</f>
        <v>0</v>
      </c>
      <c r="BD68" s="55">
        <f>_xll.EQNXTDZ($A$1,$B68,BD$5,$B$1)</f>
        <v>18.760000000000002</v>
      </c>
      <c r="BE68" s="55">
        <f>_xll.EQNXTDZ($A$1,$B68,BE$5,$B$1)</f>
        <v>0</v>
      </c>
      <c r="BF68" s="55">
        <f>_xll.EQNXTDZ($A$1,$B68,BF$5,$B$1)</f>
        <v>22.92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28.373999999999999</v>
      </c>
      <c r="AE71" s="55">
        <f>_xll.EQNXTDZ($A$1,$B71,AE$5,$B$1)</f>
        <v>0</v>
      </c>
      <c r="AF71" s="55">
        <f>_xll.EQNXTDZ($A$1,$B71,AF$5,$B$1)</f>
        <v>36.116999999999997</v>
      </c>
      <c r="AG71" s="55">
        <f>_xll.EQNXTDZ($A$1,$B71,AG$5,$B$1)</f>
        <v>0</v>
      </c>
      <c r="AH71" s="55">
        <f>_xll.EQNXTDZ($A$1,$B71,AH$5,$B$1)</f>
        <v>32.130000000000003</v>
      </c>
      <c r="AI71" s="55">
        <f>_xll.EQNXTDZ($A$1,$B71,AI$5,$B$1)</f>
        <v>0</v>
      </c>
      <c r="AJ71" s="55">
        <f>_xll.EQNXTDZ($A$1,$B71,AJ$5,$B$1)</f>
        <v>37.89</v>
      </c>
      <c r="AK71" s="55">
        <f>_xll.EQNXTDZ($A$1,$B71,AK$5,$B$1)</f>
        <v>0</v>
      </c>
      <c r="AL71" s="55">
        <f>_xll.EQNXTDZ($A$1,$B71,AL$5,$B$1)</f>
        <v>36.99</v>
      </c>
      <c r="AM71" s="55">
        <f>_xll.EQNXTDZ($A$1,$B71,AM$5,$B$1)</f>
        <v>0</v>
      </c>
      <c r="AN71" s="55">
        <f>_xll.EQNXTDZ($A$1,$B71,AN$5,$B$1)</f>
        <v>35.33</v>
      </c>
      <c r="AO71" s="55">
        <f>_xll.EQNXTDZ($A$1,$B71,AO$5,$B$1)</f>
        <v>0</v>
      </c>
      <c r="AP71" s="55">
        <f>_xll.EQNXTDZ($A$1,$B71,AP$5,$B$1)</f>
        <v>33.07</v>
      </c>
      <c r="AQ71" s="55">
        <f>_xll.EQNXTDZ($A$1,$B71,AQ$5,$B$1)</f>
        <v>0</v>
      </c>
      <c r="AR71" s="55">
        <f>_xll.EQNXTDZ($A$1,$B71,AR$5,$B$1)</f>
        <v>34.119999999999997</v>
      </c>
      <c r="AS71" s="55">
        <f>_xll.EQNXTDZ($A$1,$B71,AS$5,$B$1)</f>
        <v>0</v>
      </c>
      <c r="AT71" s="55">
        <f>_xll.EQNXTDZ($A$1,$B71,AT$5,$B$1)</f>
        <v>31.98</v>
      </c>
      <c r="AU71" s="55">
        <f>_xll.EQNXTDZ($A$1,$B71,AU$5,$B$1)</f>
        <v>0</v>
      </c>
      <c r="AV71" s="55">
        <f>_xll.EQNXTDZ($A$1,$B71,AV$5,$B$1)</f>
        <v>28.26</v>
      </c>
      <c r="AW71" s="55">
        <f>_xll.EQNXTDZ($A$1,$B71,AW$5,$B$1)</f>
        <v>0</v>
      </c>
      <c r="AX71" s="55">
        <f>_xll.EQNXTDZ($A$1,$B71,AX$5,$B$1)</f>
        <v>23.92</v>
      </c>
      <c r="AY71" s="55">
        <f>_xll.EQNXTDZ($A$1,$B71,AY$5,$B$1)</f>
        <v>0</v>
      </c>
      <c r="AZ71" s="55">
        <f>_xll.EQNXTDZ($A$1,$B71,AZ$5,$B$1)</f>
        <v>20.37</v>
      </c>
      <c r="BA71" s="55">
        <f>_xll.EQNXTDZ($A$1,$B71,BA$5,$B$1)</f>
        <v>0</v>
      </c>
      <c r="BB71" s="55">
        <f>_xll.EQNXTDZ($A$1,$B71,BB$5,$B$1)</f>
        <v>18.32</v>
      </c>
      <c r="BC71" s="55">
        <f>_xll.EQNXTDZ($A$1,$B71,BC$5,$B$1)</f>
        <v>0</v>
      </c>
      <c r="BD71" s="55">
        <f>_xll.EQNXTDZ($A$1,$B71,BD$5,$B$1)</f>
        <v>18.760000000000002</v>
      </c>
      <c r="BE71" s="55">
        <f>_xll.EQNXTDZ($A$1,$B71,BE$5,$B$1)</f>
        <v>0</v>
      </c>
      <c r="BF71" s="55">
        <f>_xll.EQNXTDZ($A$1,$B71,BF$5,$B$1)</f>
        <v>22.92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3.1150000000000002</v>
      </c>
      <c r="AE72" s="55">
        <f>_xll.EQNXTDZ($A$1,$B72,AE$5,$B$1)</f>
        <v>0</v>
      </c>
      <c r="AF72" s="55">
        <f>_xll.EQNXTDZ($A$1,$B72,AF$5,$B$1)</f>
        <v>3.165</v>
      </c>
      <c r="AG72" s="55">
        <f>_xll.EQNXTDZ($A$1,$B72,AG$5,$B$1)</f>
        <v>0</v>
      </c>
      <c r="AH72" s="55">
        <f>_xll.EQNXTDZ($A$1,$B72,AH$5,$B$1)</f>
        <v>3.36</v>
      </c>
      <c r="AI72" s="55">
        <f>_xll.EQNXTDZ($A$1,$B72,AI$5,$B$1)</f>
        <v>0</v>
      </c>
      <c r="AJ72" s="55">
        <f>_xll.EQNXTDZ($A$1,$B72,AJ$5,$B$1)</f>
        <v>3.3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0.24099999999999999</v>
      </c>
      <c r="AG74" s="55">
        <f>_xll.EQNXTDZ($A$1,$B74,AG$5,$B$1)</f>
        <v>0</v>
      </c>
      <c r="AH74" s="55">
        <f>_xll.EQNXTDZ($A$1,$B74,AH$5,$B$1)</f>
        <v>3.26</v>
      </c>
      <c r="AI74" s="55">
        <f>_xll.EQNXTDZ($A$1,$B74,AI$5,$B$1)</f>
        <v>0</v>
      </c>
      <c r="AJ74" s="55">
        <f>_xll.EQNXTDZ($A$1,$B74,AJ$5,$B$1)</f>
        <v>4.12</v>
      </c>
      <c r="AK74" s="55">
        <f>_xll.EQNXTDZ($A$1,$B74,AK$5,$B$1)</f>
        <v>0</v>
      </c>
      <c r="AL74" s="55">
        <f>_xll.EQNXTDZ($A$1,$B74,AL$5,$B$1)</f>
        <v>7.0000000000000007E-2</v>
      </c>
      <c r="AM74" s="55">
        <f>_xll.EQNXTDZ($A$1,$B74,AM$5,$B$1)</f>
        <v>0</v>
      </c>
      <c r="AN74" s="55">
        <f>_xll.EQNXTDZ($A$1,$B74,AN$5,$B$1)</f>
        <v>0.08</v>
      </c>
      <c r="AO74" s="55">
        <f>_xll.EQNXTDZ($A$1,$B74,AO$5,$B$1)</f>
        <v>0</v>
      </c>
      <c r="AP74" s="55">
        <f>_xll.EQNXTDZ($A$1,$B74,AP$5,$B$1)</f>
        <v>7.0000000000000007E-2</v>
      </c>
      <c r="AQ74" s="55">
        <f>_xll.EQNXTDZ($A$1,$B74,AQ$5,$B$1)</f>
        <v>0</v>
      </c>
      <c r="AR74" s="55">
        <f>_xll.EQNXTDZ($A$1,$B74,AR$5,$B$1)</f>
        <v>0.08</v>
      </c>
      <c r="AS74" s="55">
        <f>_xll.EQNXTDZ($A$1,$B74,AS$5,$B$1)</f>
        <v>0</v>
      </c>
      <c r="AT74" s="55">
        <f>_xll.EQNXTDZ($A$1,$B74,AT$5,$B$1)</f>
        <v>0.08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1.1719999999999999</v>
      </c>
      <c r="AE78" s="55">
        <f>_xll.EQNXTDZ($A$1,$B78,AE$5,$B$1)</f>
        <v>0</v>
      </c>
      <c r="AF78" s="55">
        <f>_xll.EQNXTDZ($A$1,$B78,AF$5,$B$1)</f>
        <v>1.1719999999999999</v>
      </c>
      <c r="AG78" s="55">
        <f>_xll.EQNXTDZ($A$1,$B78,AG$5,$B$1)</f>
        <v>0</v>
      </c>
      <c r="AH78" s="55">
        <f>_xll.EQNXTDZ($A$1,$B78,AH$5,$B$1)</f>
        <v>1.44</v>
      </c>
      <c r="AI78" s="55">
        <f>_xll.EQNXTDZ($A$1,$B78,AI$5,$B$1)</f>
        <v>0</v>
      </c>
      <c r="AJ78" s="55">
        <f>_xll.EQNXTDZ($A$1,$B78,AJ$5,$B$1)</f>
        <v>0.77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2.4470000000000001</v>
      </c>
      <c r="AE79" s="55">
        <f>_xll.EQNXTDZ($A$1,$B79,AE$5,$B$1)</f>
        <v>0</v>
      </c>
      <c r="AF79" s="55">
        <f>_xll.EQNXTDZ($A$1,$B79,AF$5,$B$1)</f>
        <v>2.5139999999999998</v>
      </c>
      <c r="AG79" s="55">
        <f>_xll.EQNXTDZ($A$1,$B79,AG$5,$B$1)</f>
        <v>0</v>
      </c>
      <c r="AH79" s="55">
        <f>_xll.EQNXTDZ($A$1,$B79,AH$5,$B$1)</f>
        <v>14.27</v>
      </c>
      <c r="AI79" s="55">
        <f>_xll.EQNXTDZ($A$1,$B79,AI$5,$B$1)</f>
        <v>0</v>
      </c>
      <c r="AJ79" s="55">
        <f>_xll.EQNXTDZ($A$1,$B79,AJ$5,$B$1)</f>
        <v>22.69</v>
      </c>
      <c r="AK79" s="55">
        <f>_xll.EQNXTDZ($A$1,$B79,AK$5,$B$1)</f>
        <v>0</v>
      </c>
      <c r="AL79" s="55">
        <f>_xll.EQNXTDZ($A$1,$B79,AL$5,$B$1)</f>
        <v>66.66</v>
      </c>
      <c r="AM79" s="55">
        <f>_xll.EQNXTDZ($A$1,$B79,AM$5,$B$1)</f>
        <v>0</v>
      </c>
      <c r="AN79" s="55">
        <f>_xll.EQNXTDZ($A$1,$B79,AN$5,$B$1)</f>
        <v>63.64</v>
      </c>
      <c r="AO79" s="55">
        <f>_xll.EQNXTDZ($A$1,$B79,AO$5,$B$1)</f>
        <v>0</v>
      </c>
      <c r="AP79" s="55">
        <f>_xll.EQNXTDZ($A$1,$B79,AP$5,$B$1)</f>
        <v>58.92</v>
      </c>
      <c r="AQ79" s="55">
        <f>_xll.EQNXTDZ($A$1,$B79,AQ$5,$B$1)</f>
        <v>0</v>
      </c>
      <c r="AR79" s="55">
        <f>_xll.EQNXTDZ($A$1,$B79,AR$5,$B$1)</f>
        <v>70.650000000000006</v>
      </c>
      <c r="AS79" s="55">
        <f>_xll.EQNXTDZ($A$1,$B79,AS$5,$B$1)</f>
        <v>0</v>
      </c>
      <c r="AT79" s="55">
        <f>_xll.EQNXTDZ($A$1,$B79,AT$5,$B$1)</f>
        <v>86.52</v>
      </c>
      <c r="AU79" s="55">
        <f>_xll.EQNXTDZ($A$1,$B79,AU$5,$B$1)</f>
        <v>0</v>
      </c>
      <c r="AV79" s="55">
        <f>_xll.EQNXTDZ($A$1,$B79,AV$5,$B$1)</f>
        <v>74.98</v>
      </c>
      <c r="AW79" s="55">
        <f>_xll.EQNXTDZ($A$1,$B79,AW$5,$B$1)</f>
        <v>0</v>
      </c>
      <c r="AX79" s="55">
        <f>_xll.EQNXTDZ($A$1,$B79,AX$5,$B$1)</f>
        <v>91.75</v>
      </c>
      <c r="AY79" s="55">
        <f>_xll.EQNXTDZ($A$1,$B79,AY$5,$B$1)</f>
        <v>0</v>
      </c>
      <c r="AZ79" s="55">
        <f>_xll.EQNXTDZ($A$1,$B79,AZ$5,$B$1)</f>
        <v>102.49</v>
      </c>
      <c r="BA79" s="55">
        <f>_xll.EQNXTDZ($A$1,$B79,BA$5,$B$1)</f>
        <v>0</v>
      </c>
      <c r="BB79" s="55">
        <f>_xll.EQNXTDZ($A$1,$B79,BB$5,$B$1)</f>
        <v>408.08</v>
      </c>
      <c r="BC79" s="55">
        <f>_xll.EQNXTDZ($A$1,$B79,BC$5,$B$1)</f>
        <v>0</v>
      </c>
      <c r="BD79" s="55">
        <f>_xll.EQNXTDZ($A$1,$B79,BD$5,$B$1)</f>
        <v>477.75</v>
      </c>
      <c r="BE79" s="55">
        <f>_xll.EQNXTDZ($A$1,$B79,BE$5,$B$1)</f>
        <v>0</v>
      </c>
      <c r="BF79" s="55">
        <f>_xll.EQNXTDZ($A$1,$B79,BF$5,$B$1)</f>
        <v>485.9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0.16900000000000001</v>
      </c>
      <c r="AE80" s="55">
        <f>_xll.EQNXTDZ($A$1,$B80,AE$5,$B$1)</f>
        <v>0</v>
      </c>
      <c r="AF80" s="55">
        <f>_xll.EQNXTDZ($A$1,$B80,AF$5,$B$1)</f>
        <v>0.42899999999999999</v>
      </c>
      <c r="AG80" s="55">
        <f>_xll.EQNXTDZ($A$1,$B80,AG$5,$B$1)</f>
        <v>0</v>
      </c>
      <c r="AH80" s="55">
        <f>_xll.EQNXTDZ($A$1,$B80,AH$5,$B$1)</f>
        <v>0.46</v>
      </c>
      <c r="AI80" s="55">
        <f>_xll.EQNXTDZ($A$1,$B80,AI$5,$B$1)</f>
        <v>0</v>
      </c>
      <c r="AJ80" s="55">
        <f>_xll.EQNXTDZ($A$1,$B80,AJ$5,$B$1)</f>
        <v>0.2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100</v>
      </c>
      <c r="BA80" s="55">
        <f>_xll.EQNXTDZ($A$1,$B80,BA$5,$B$1)</f>
        <v>0</v>
      </c>
      <c r="BB80" s="55">
        <f>_xll.EQNXTDZ($A$1,$B80,BB$5,$B$1)</f>
        <v>0.01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0.5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13.147</v>
      </c>
      <c r="AE81" s="55">
        <f>_xll.EQNXTDZ($A$1,$B81,AE$5,$B$1)</f>
        <v>0</v>
      </c>
      <c r="AF81" s="55">
        <f>_xll.EQNXTDZ($A$1,$B81,AF$5,$B$1)</f>
        <v>17.015999999999998</v>
      </c>
      <c r="AG81" s="55">
        <f>_xll.EQNXTDZ($A$1,$B81,AG$5,$B$1)</f>
        <v>0</v>
      </c>
      <c r="AH81" s="55">
        <f>_xll.EQNXTDZ($A$1,$B81,AH$5,$B$1)</f>
        <v>14.51</v>
      </c>
      <c r="AI81" s="55">
        <f>_xll.EQNXTDZ($A$1,$B81,AI$5,$B$1)</f>
        <v>0</v>
      </c>
      <c r="AJ81" s="55">
        <f>_xll.EQNXTDZ($A$1,$B81,AJ$5,$B$1)</f>
        <v>51.58</v>
      </c>
      <c r="AK81" s="55">
        <f>_xll.EQNXTDZ($A$1,$B81,AK$5,$B$1)</f>
        <v>0</v>
      </c>
      <c r="AL81" s="55">
        <f>_xll.EQNXTDZ($A$1,$B81,AL$5,$B$1)</f>
        <v>3.09</v>
      </c>
      <c r="AM81" s="55">
        <f>_xll.EQNXTDZ($A$1,$B81,AM$5,$B$1)</f>
        <v>0</v>
      </c>
      <c r="AN81" s="55">
        <f>_xll.EQNXTDZ($A$1,$B81,AN$5,$B$1)</f>
        <v>4.99</v>
      </c>
      <c r="AO81" s="55">
        <f>_xll.EQNXTDZ($A$1,$B81,AO$5,$B$1)</f>
        <v>0</v>
      </c>
      <c r="AP81" s="55">
        <f>_xll.EQNXTDZ($A$1,$B81,AP$5,$B$1)</f>
        <v>3.9</v>
      </c>
      <c r="AQ81" s="55">
        <f>_xll.EQNXTDZ($A$1,$B81,AQ$5,$B$1)</f>
        <v>0</v>
      </c>
      <c r="AR81" s="55">
        <f>_xll.EQNXTDZ($A$1,$B81,AR$5,$B$1)</f>
        <v>4.01</v>
      </c>
      <c r="AS81" s="55">
        <f>_xll.EQNXTDZ($A$1,$B81,AS$5,$B$1)</f>
        <v>0</v>
      </c>
      <c r="AT81" s="55">
        <f>_xll.EQNXTDZ($A$1,$B81,AT$5,$B$1)</f>
        <v>1.57</v>
      </c>
      <c r="AU81" s="55">
        <f>_xll.EQNXTDZ($A$1,$B81,AU$5,$B$1)</f>
        <v>0</v>
      </c>
      <c r="AV81" s="55">
        <f>_xll.EQNXTDZ($A$1,$B81,AV$5,$B$1)</f>
        <v>1.25</v>
      </c>
      <c r="AW81" s="55">
        <f>_xll.EQNXTDZ($A$1,$B81,AW$5,$B$1)</f>
        <v>0</v>
      </c>
      <c r="AX81" s="55">
        <f>_xll.EQNXTDZ($A$1,$B81,AX$5,$B$1)</f>
        <v>1.1399999999999999</v>
      </c>
      <c r="AY81" s="55">
        <f>_xll.EQNXTDZ($A$1,$B81,AY$5,$B$1)</f>
        <v>0</v>
      </c>
      <c r="AZ81" s="55">
        <f>_xll.EQNXTDZ($A$1,$B81,AZ$5,$B$1)</f>
        <v>4.09</v>
      </c>
      <c r="BA81" s="55">
        <f>_xll.EQNXTDZ($A$1,$B81,BA$5,$B$1)</f>
        <v>0</v>
      </c>
      <c r="BB81" s="55">
        <f>_xll.EQNXTDZ($A$1,$B81,BB$5,$B$1)</f>
        <v>2.61</v>
      </c>
      <c r="BC81" s="55">
        <f>_xll.EQNXTDZ($A$1,$B81,BC$5,$B$1)</f>
        <v>0</v>
      </c>
      <c r="BD81" s="55">
        <f>_xll.EQNXTDZ($A$1,$B81,BD$5,$B$1)</f>
        <v>2.25</v>
      </c>
      <c r="BE81" s="55">
        <f>_xll.EQNXTDZ($A$1,$B81,BE$5,$B$1)</f>
        <v>0</v>
      </c>
      <c r="BF81" s="55">
        <f>_xll.EQNXTDZ($A$1,$B81,BF$5,$B$1)</f>
        <v>2.11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1900.2180000000001</v>
      </c>
      <c r="AE82" s="55">
        <f>_xll.EQNXTDZ($A$1,$B82,AE$5,$B$1)</f>
        <v>0</v>
      </c>
      <c r="AF82" s="55">
        <f>_xll.EQNXTDZ($A$1,$B82,AF$5,$B$1)</f>
        <v>2057.7469999999998</v>
      </c>
      <c r="AG82" s="55">
        <f>_xll.EQNXTDZ($A$1,$B82,AG$5,$B$1)</f>
        <v>0</v>
      </c>
      <c r="AH82" s="55">
        <f>_xll.EQNXTDZ($A$1,$B82,AH$5,$B$1)</f>
        <v>2030.31</v>
      </c>
      <c r="AI82" s="55">
        <f>_xll.EQNXTDZ($A$1,$B82,AI$5,$B$1)</f>
        <v>0</v>
      </c>
      <c r="AJ82" s="55">
        <f>_xll.EQNXTDZ($A$1,$B82,AJ$5,$B$1)</f>
        <v>1119.82</v>
      </c>
      <c r="AK82" s="55">
        <f>_xll.EQNXTDZ($A$1,$B82,AK$5,$B$1)</f>
        <v>0</v>
      </c>
      <c r="AL82" s="55">
        <f>_xll.EQNXTDZ($A$1,$B82,AL$5,$B$1)</f>
        <v>848.86</v>
      </c>
      <c r="AM82" s="55">
        <f>_xll.EQNXTDZ($A$1,$B82,AM$5,$B$1)</f>
        <v>0</v>
      </c>
      <c r="AN82" s="55">
        <f>_xll.EQNXTDZ($A$1,$B82,AN$5,$B$1)</f>
        <v>1229.2</v>
      </c>
      <c r="AO82" s="55">
        <f>_xll.EQNXTDZ($A$1,$B82,AO$5,$B$1)</f>
        <v>0</v>
      </c>
      <c r="AP82" s="55">
        <f>_xll.EQNXTDZ($A$1,$B82,AP$5,$B$1)</f>
        <v>783.96</v>
      </c>
      <c r="AQ82" s="55">
        <f>_xll.EQNXTDZ($A$1,$B82,AQ$5,$B$1)</f>
        <v>0</v>
      </c>
      <c r="AR82" s="55">
        <f>_xll.EQNXTDZ($A$1,$B82,AR$5,$B$1)</f>
        <v>759.99</v>
      </c>
      <c r="AS82" s="55">
        <f>_xll.EQNXTDZ($A$1,$B82,AS$5,$B$1)</f>
        <v>0</v>
      </c>
      <c r="AT82" s="55">
        <f>_xll.EQNXTDZ($A$1,$B82,AT$5,$B$1)</f>
        <v>790.25</v>
      </c>
      <c r="AU82" s="55">
        <f>_xll.EQNXTDZ($A$1,$B82,AU$5,$B$1)</f>
        <v>0</v>
      </c>
      <c r="AV82" s="55">
        <f>_xll.EQNXTDZ($A$1,$B82,AV$5,$B$1)</f>
        <v>688.58</v>
      </c>
      <c r="AW82" s="55">
        <f>_xll.EQNXTDZ($A$1,$B82,AW$5,$B$1)</f>
        <v>0</v>
      </c>
      <c r="AX82" s="55">
        <f>_xll.EQNXTDZ($A$1,$B82,AX$5,$B$1)</f>
        <v>831.69</v>
      </c>
      <c r="AY82" s="55">
        <f>_xll.EQNXTDZ($A$1,$B82,AY$5,$B$1)</f>
        <v>0</v>
      </c>
      <c r="AZ82" s="55">
        <f>_xll.EQNXTDZ($A$1,$B82,AZ$5,$B$1)</f>
        <v>924.07</v>
      </c>
      <c r="BA82" s="55">
        <f>_xll.EQNXTDZ($A$1,$B82,BA$5,$B$1)</f>
        <v>0</v>
      </c>
      <c r="BB82" s="55">
        <f>_xll.EQNXTDZ($A$1,$B82,BB$5,$B$1)</f>
        <v>1254.03</v>
      </c>
      <c r="BC82" s="55">
        <f>_xll.EQNXTDZ($A$1,$B82,BC$5,$B$1)</f>
        <v>0</v>
      </c>
      <c r="BD82" s="55">
        <f>_xll.EQNXTDZ($A$1,$B82,BD$5,$B$1)</f>
        <v>1497.67</v>
      </c>
      <c r="BE82" s="55">
        <f>_xll.EQNXTDZ($A$1,$B82,BE$5,$B$1)</f>
        <v>0</v>
      </c>
      <c r="BF82" s="55">
        <f>_xll.EQNXTDZ($A$1,$B82,BF$5,$B$1)</f>
        <v>1799.27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454.541</v>
      </c>
      <c r="AE83" s="55">
        <f>_xll.EQNXTDZ($A$1,$B83,AE$5,$B$1)</f>
        <v>0</v>
      </c>
      <c r="AF83" s="55">
        <f>_xll.EQNXTDZ($A$1,$B83,AF$5,$B$1)</f>
        <v>453.78800000000001</v>
      </c>
      <c r="AG83" s="55">
        <f>_xll.EQNXTDZ($A$1,$B83,AG$5,$B$1)</f>
        <v>0</v>
      </c>
      <c r="AH83" s="55">
        <f>_xll.EQNXTDZ($A$1,$B83,AH$5,$B$1)</f>
        <v>499.35</v>
      </c>
      <c r="AI83" s="55">
        <f>_xll.EQNXTDZ($A$1,$B83,AI$5,$B$1)</f>
        <v>0</v>
      </c>
      <c r="AJ83" s="55">
        <f>_xll.EQNXTDZ($A$1,$B83,AJ$5,$B$1)</f>
        <v>517.28</v>
      </c>
      <c r="AK83" s="55">
        <f>_xll.EQNXTDZ($A$1,$B83,AK$5,$B$1)</f>
        <v>0</v>
      </c>
      <c r="AL83" s="55">
        <f>_xll.EQNXTDZ($A$1,$B83,AL$5,$B$1)</f>
        <v>290.95</v>
      </c>
      <c r="AM83" s="55">
        <f>_xll.EQNXTDZ($A$1,$B83,AM$5,$B$1)</f>
        <v>0</v>
      </c>
      <c r="AN83" s="55">
        <f>_xll.EQNXTDZ($A$1,$B83,AN$5,$B$1)</f>
        <v>427.76</v>
      </c>
      <c r="AO83" s="55">
        <f>_xll.EQNXTDZ($A$1,$B83,AO$5,$B$1)</f>
        <v>0</v>
      </c>
      <c r="AP83" s="55">
        <f>_xll.EQNXTDZ($A$1,$B83,AP$5,$B$1)</f>
        <v>504.04</v>
      </c>
      <c r="AQ83" s="55">
        <f>_xll.EQNXTDZ($A$1,$B83,AQ$5,$B$1)</f>
        <v>0</v>
      </c>
      <c r="AR83" s="55">
        <f>_xll.EQNXTDZ($A$1,$B83,AR$5,$B$1)</f>
        <v>478.7</v>
      </c>
      <c r="AS83" s="55">
        <f>_xll.EQNXTDZ($A$1,$B83,AS$5,$B$1)</f>
        <v>0</v>
      </c>
      <c r="AT83" s="55">
        <f>_xll.EQNXTDZ($A$1,$B83,AT$5,$B$1)</f>
        <v>95.18</v>
      </c>
      <c r="AU83" s="55">
        <f>_xll.EQNXTDZ($A$1,$B83,AU$5,$B$1)</f>
        <v>0</v>
      </c>
      <c r="AV83" s="55">
        <f>_xll.EQNXTDZ($A$1,$B83,AV$5,$B$1)</f>
        <v>98.97</v>
      </c>
      <c r="AW83" s="55">
        <f>_xll.EQNXTDZ($A$1,$B83,AW$5,$B$1)</f>
        <v>0</v>
      </c>
      <c r="AX83" s="55">
        <f>_xll.EQNXTDZ($A$1,$B83,AX$5,$B$1)</f>
        <v>339.19</v>
      </c>
      <c r="AY83" s="55">
        <f>_xll.EQNXTDZ($A$1,$B83,AY$5,$B$1)</f>
        <v>0</v>
      </c>
      <c r="AZ83" s="55">
        <f>_xll.EQNXTDZ($A$1,$B83,AZ$5,$B$1)</f>
        <v>457.92</v>
      </c>
      <c r="BA83" s="55">
        <f>_xll.EQNXTDZ($A$1,$B83,BA$5,$B$1)</f>
        <v>0</v>
      </c>
      <c r="BB83" s="55">
        <f>_xll.EQNXTDZ($A$1,$B83,BB$5,$B$1)</f>
        <v>710.94</v>
      </c>
      <c r="BC83" s="55">
        <f>_xll.EQNXTDZ($A$1,$B83,BC$5,$B$1)</f>
        <v>0</v>
      </c>
      <c r="BD83" s="55">
        <f>_xll.EQNXTDZ($A$1,$B83,BD$5,$B$1)</f>
        <v>440.45</v>
      </c>
      <c r="BE83" s="55">
        <f>_xll.EQNXTDZ($A$1,$B83,BE$5,$B$1)</f>
        <v>0</v>
      </c>
      <c r="BF83" s="55">
        <f>_xll.EQNXTDZ($A$1,$B83,BF$5,$B$1)</f>
        <v>533.9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1003.2190000000001</v>
      </c>
      <c r="AE84" s="55">
        <f>_xll.EQNXTDZ($A$1,$B84,AE$5,$B$1)</f>
        <v>0</v>
      </c>
      <c r="AF84" s="55">
        <f>_xll.EQNXTDZ($A$1,$B84,AF$5,$B$1)</f>
        <v>1030.4829999999999</v>
      </c>
      <c r="AG84" s="55">
        <f>_xll.EQNXTDZ($A$1,$B84,AG$5,$B$1)</f>
        <v>0</v>
      </c>
      <c r="AH84" s="55">
        <f>_xll.EQNXTDZ($A$1,$B84,AH$5,$B$1)</f>
        <v>1213.7</v>
      </c>
      <c r="AI84" s="55">
        <f>_xll.EQNXTDZ($A$1,$B84,AI$5,$B$1)</f>
        <v>0</v>
      </c>
      <c r="AJ84" s="55">
        <f>_xll.EQNXTDZ($A$1,$B84,AJ$5,$B$1)</f>
        <v>1422.58</v>
      </c>
      <c r="AK84" s="55">
        <f>_xll.EQNXTDZ($A$1,$B84,AK$5,$B$1)</f>
        <v>0</v>
      </c>
      <c r="AL84" s="55">
        <f>_xll.EQNXTDZ($A$1,$B84,AL$5,$B$1)</f>
        <v>1456.18</v>
      </c>
      <c r="AM84" s="55">
        <f>_xll.EQNXTDZ($A$1,$B84,AM$5,$B$1)</f>
        <v>0</v>
      </c>
      <c r="AN84" s="55">
        <f>_xll.EQNXTDZ($A$1,$B84,AN$5,$B$1)</f>
        <v>1516.26</v>
      </c>
      <c r="AO84" s="55">
        <f>_xll.EQNXTDZ($A$1,$B84,AO$5,$B$1)</f>
        <v>0</v>
      </c>
      <c r="AP84" s="55">
        <f>_xll.EQNXTDZ($A$1,$B84,AP$5,$B$1)</f>
        <v>2014.01</v>
      </c>
      <c r="AQ84" s="55">
        <f>_xll.EQNXTDZ($A$1,$B84,AQ$5,$B$1)</f>
        <v>0</v>
      </c>
      <c r="AR84" s="55">
        <f>_xll.EQNXTDZ($A$1,$B84,AR$5,$B$1)</f>
        <v>2011.87</v>
      </c>
      <c r="AS84" s="55">
        <f>_xll.EQNXTDZ($A$1,$B84,AS$5,$B$1)</f>
        <v>0</v>
      </c>
      <c r="AT84" s="55">
        <f>_xll.EQNXTDZ($A$1,$B84,AT$5,$B$1)</f>
        <v>2084.5100000000002</v>
      </c>
      <c r="AU84" s="55">
        <f>_xll.EQNXTDZ($A$1,$B84,AU$5,$B$1)</f>
        <v>0</v>
      </c>
      <c r="AV84" s="55">
        <f>_xll.EQNXTDZ($A$1,$B84,AV$5,$B$1)</f>
        <v>3023.08</v>
      </c>
      <c r="AW84" s="55">
        <f>_xll.EQNXTDZ($A$1,$B84,AW$5,$B$1)</f>
        <v>0</v>
      </c>
      <c r="AX84" s="55">
        <f>_xll.EQNXTDZ($A$1,$B84,AX$5,$B$1)</f>
        <v>2946.82</v>
      </c>
      <c r="AY84" s="55">
        <f>_xll.EQNXTDZ($A$1,$B84,AY$5,$B$1)</f>
        <v>0</v>
      </c>
      <c r="AZ84" s="55">
        <f>_xll.EQNXTDZ($A$1,$B84,AZ$5,$B$1)</f>
        <v>3222.18</v>
      </c>
      <c r="BA84" s="55">
        <f>_xll.EQNXTDZ($A$1,$B84,BA$5,$B$1)</f>
        <v>0</v>
      </c>
      <c r="BB84" s="55">
        <f>_xll.EQNXTDZ($A$1,$B84,BB$5,$B$1)</f>
        <v>3209.58</v>
      </c>
      <c r="BC84" s="55">
        <f>_xll.EQNXTDZ($A$1,$B84,BC$5,$B$1)</f>
        <v>0</v>
      </c>
      <c r="BD84" s="55">
        <f>_xll.EQNXTDZ($A$1,$B84,BD$5,$B$1)</f>
        <v>2379.81</v>
      </c>
      <c r="BE84" s="55">
        <f>_xll.EQNXTDZ($A$1,$B84,BE$5,$B$1)</f>
        <v>0</v>
      </c>
      <c r="BF84" s="55">
        <f>_xll.EQNXTDZ($A$1,$B84,BF$5,$B$1)</f>
        <v>2429.94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1953.394</v>
      </c>
      <c r="AE85" s="55">
        <f>_xll.EQNXTDZ($A$1,$B85,AE$5,$B$1)</f>
        <v>0</v>
      </c>
      <c r="AF85" s="55">
        <f>_xll.EQNXTDZ($A$1,$B85,AF$5,$B$1)</f>
        <v>2173.7750000000001</v>
      </c>
      <c r="AG85" s="55">
        <f>_xll.EQNXTDZ($A$1,$B85,AG$5,$B$1)</f>
        <v>0</v>
      </c>
      <c r="AH85" s="55">
        <f>_xll.EQNXTDZ($A$1,$B85,AH$5,$B$1)</f>
        <v>1185.32</v>
      </c>
      <c r="AI85" s="55">
        <f>_xll.EQNXTDZ($A$1,$B85,AI$5,$B$1)</f>
        <v>0</v>
      </c>
      <c r="AJ85" s="55">
        <f>_xll.EQNXTDZ($A$1,$B85,AJ$5,$B$1)</f>
        <v>1068.3800000000001</v>
      </c>
      <c r="AK85" s="55">
        <f>_xll.EQNXTDZ($A$1,$B85,AK$5,$B$1)</f>
        <v>0</v>
      </c>
      <c r="AL85" s="55">
        <f>_xll.EQNXTDZ($A$1,$B85,AL$5,$B$1)</f>
        <v>885.99</v>
      </c>
      <c r="AM85" s="55">
        <f>_xll.EQNXTDZ($A$1,$B85,AM$5,$B$1)</f>
        <v>0</v>
      </c>
      <c r="AN85" s="55">
        <f>_xll.EQNXTDZ($A$1,$B85,AN$5,$B$1)</f>
        <v>1.64</v>
      </c>
      <c r="AO85" s="55">
        <f>_xll.EQNXTDZ($A$1,$B85,AO$5,$B$1)</f>
        <v>0</v>
      </c>
      <c r="AP85" s="55">
        <f>_xll.EQNXTDZ($A$1,$B85,AP$5,$B$1)</f>
        <v>1.1399999999999999</v>
      </c>
      <c r="AQ85" s="55">
        <f>_xll.EQNXTDZ($A$1,$B85,AQ$5,$B$1)</f>
        <v>0</v>
      </c>
      <c r="AR85" s="55">
        <f>_xll.EQNXTDZ($A$1,$B85,AR$5,$B$1)</f>
        <v>2.19</v>
      </c>
      <c r="AS85" s="55">
        <f>_xll.EQNXTDZ($A$1,$B85,AS$5,$B$1)</f>
        <v>0</v>
      </c>
      <c r="AT85" s="55">
        <f>_xll.EQNXTDZ($A$1,$B85,AT$5,$B$1)</f>
        <v>2.17</v>
      </c>
      <c r="AU85" s="55">
        <f>_xll.EQNXTDZ($A$1,$B85,AU$5,$B$1)</f>
        <v>0</v>
      </c>
      <c r="AV85" s="55">
        <f>_xll.EQNXTDZ($A$1,$B85,AV$5,$B$1)</f>
        <v>1.26</v>
      </c>
      <c r="AW85" s="55">
        <f>_xll.EQNXTDZ($A$1,$B85,AW$5,$B$1)</f>
        <v>0</v>
      </c>
      <c r="AX85" s="55">
        <f>_xll.EQNXTDZ($A$1,$B85,AX$5,$B$1)</f>
        <v>2.06</v>
      </c>
      <c r="AY85" s="55">
        <f>_xll.EQNXTDZ($A$1,$B85,AY$5,$B$1)</f>
        <v>0</v>
      </c>
      <c r="AZ85" s="55">
        <f>_xll.EQNXTDZ($A$1,$B85,AZ$5,$B$1)</f>
        <v>2.12</v>
      </c>
      <c r="BA85" s="55">
        <f>_xll.EQNXTDZ($A$1,$B85,BA$5,$B$1)</f>
        <v>0</v>
      </c>
      <c r="BB85" s="55">
        <f>_xll.EQNXTDZ($A$1,$B85,BB$5,$B$1)</f>
        <v>1.82</v>
      </c>
      <c r="BC85" s="55">
        <f>_xll.EQNXTDZ($A$1,$B85,BC$5,$B$1)</f>
        <v>0</v>
      </c>
      <c r="BD85" s="55">
        <f>_xll.EQNXTDZ($A$1,$B85,BD$5,$B$1)</f>
        <v>4.21</v>
      </c>
      <c r="BE85" s="55">
        <f>_xll.EQNXTDZ($A$1,$B85,BE$5,$B$1)</f>
        <v>0</v>
      </c>
      <c r="BF85" s="55">
        <f>_xll.EQNXTDZ($A$1,$B85,BF$5,$B$1)</f>
        <v>2.2599999999999998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5324.6880000000001</v>
      </c>
      <c r="AE86" s="55">
        <f>_xll.EQNXTDZ($A$1,$B86,AE$5,$B$1)</f>
        <v>0</v>
      </c>
      <c r="AF86" s="55">
        <f>_xll.EQNXTDZ($A$1,$B86,AF$5,$B$1)</f>
        <v>5733.2380000000003</v>
      </c>
      <c r="AG86" s="55">
        <f>_xll.EQNXTDZ($A$1,$B86,AG$5,$B$1)</f>
        <v>0</v>
      </c>
      <c r="AH86" s="55">
        <f>_xll.EQNXTDZ($A$1,$B86,AH$5,$B$1)</f>
        <v>4943.6499999999996</v>
      </c>
      <c r="AI86" s="55">
        <f>_xll.EQNXTDZ($A$1,$B86,AI$5,$B$1)</f>
        <v>0</v>
      </c>
      <c r="AJ86" s="55">
        <f>_xll.EQNXTDZ($A$1,$B86,AJ$5,$B$1)</f>
        <v>4179.84</v>
      </c>
      <c r="AK86" s="55">
        <f>_xll.EQNXTDZ($A$1,$B86,AK$5,$B$1)</f>
        <v>0</v>
      </c>
      <c r="AL86" s="55">
        <f>_xll.EQNXTDZ($A$1,$B86,AL$5,$B$1)</f>
        <v>3485.07</v>
      </c>
      <c r="AM86" s="55">
        <f>_xll.EQNXTDZ($A$1,$B86,AM$5,$B$1)</f>
        <v>0</v>
      </c>
      <c r="AN86" s="55">
        <f>_xll.EQNXTDZ($A$1,$B86,AN$5,$B$1)</f>
        <v>3179.85</v>
      </c>
      <c r="AO86" s="55">
        <f>_xll.EQNXTDZ($A$1,$B86,AO$5,$B$1)</f>
        <v>0</v>
      </c>
      <c r="AP86" s="55">
        <f>_xll.EQNXTDZ($A$1,$B86,AP$5,$B$1)</f>
        <v>3307.05</v>
      </c>
      <c r="AQ86" s="55">
        <f>_xll.EQNXTDZ($A$1,$B86,AQ$5,$B$1)</f>
        <v>0</v>
      </c>
      <c r="AR86" s="55">
        <f>_xll.EQNXTDZ($A$1,$B86,AR$5,$B$1)</f>
        <v>3256.76</v>
      </c>
      <c r="AS86" s="55">
        <f>_xll.EQNXTDZ($A$1,$B86,AS$5,$B$1)</f>
        <v>0</v>
      </c>
      <c r="AT86" s="55">
        <f>_xll.EQNXTDZ($A$1,$B86,AT$5,$B$1)</f>
        <v>2973.68</v>
      </c>
      <c r="AU86" s="55">
        <f>_xll.EQNXTDZ($A$1,$B86,AU$5,$B$1)</f>
        <v>0</v>
      </c>
      <c r="AV86" s="55">
        <f>_xll.EQNXTDZ($A$1,$B86,AV$5,$B$1)</f>
        <v>3813.14</v>
      </c>
      <c r="AW86" s="55">
        <f>_xll.EQNXTDZ($A$1,$B86,AW$5,$B$1)</f>
        <v>0</v>
      </c>
      <c r="AX86" s="55">
        <f>_xll.EQNXTDZ($A$1,$B86,AX$5,$B$1)</f>
        <v>4120.8999999999996</v>
      </c>
      <c r="AY86" s="55">
        <f>_xll.EQNXTDZ($A$1,$B86,AY$5,$B$1)</f>
        <v>0</v>
      </c>
      <c r="AZ86" s="55">
        <f>_xll.EQNXTDZ($A$1,$B86,AZ$5,$B$1)</f>
        <v>4710.38</v>
      </c>
      <c r="BA86" s="55">
        <f>_xll.EQNXTDZ($A$1,$B86,BA$5,$B$1)</f>
        <v>0</v>
      </c>
      <c r="BB86" s="55">
        <f>_xll.EQNXTDZ($A$1,$B86,BB$5,$B$1)</f>
        <v>5178.99</v>
      </c>
      <c r="BC86" s="55">
        <f>_xll.EQNXTDZ($A$1,$B86,BC$5,$B$1)</f>
        <v>0</v>
      </c>
      <c r="BD86" s="55">
        <f>_xll.EQNXTDZ($A$1,$B86,BD$5,$B$1)</f>
        <v>4324.3900000000003</v>
      </c>
      <c r="BE86" s="55">
        <f>_xll.EQNXTDZ($A$1,$B86,BE$5,$B$1)</f>
        <v>0</v>
      </c>
      <c r="BF86" s="55">
        <f>_xll.EQNXTDZ($A$1,$B86,BF$5,$B$1)</f>
        <v>4767.9799999999996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2227.7739999999999</v>
      </c>
      <c r="AE88" s="55">
        <f>_xll.EQNXTDZ($A$1,$B88,AE$5,$B$1)</f>
        <v>0</v>
      </c>
      <c r="AF88" s="55">
        <f>_xll.EQNXTDZ($A$1,$B88,AF$5,$B$1)</f>
        <v>2259.6289999999999</v>
      </c>
      <c r="AG88" s="55">
        <f>_xll.EQNXTDZ($A$1,$B88,AG$5,$B$1)</f>
        <v>0</v>
      </c>
      <c r="AH88" s="55">
        <f>_xll.EQNXTDZ($A$1,$B88,AH$5,$B$1)</f>
        <v>1224.04</v>
      </c>
      <c r="AI88" s="55">
        <f>_xll.EQNXTDZ($A$1,$B88,AI$5,$B$1)</f>
        <v>0</v>
      </c>
      <c r="AJ88" s="55">
        <f>_xll.EQNXTDZ($A$1,$B88,AJ$5,$B$1)</f>
        <v>946.64</v>
      </c>
      <c r="AK88" s="55">
        <f>_xll.EQNXTDZ($A$1,$B88,AK$5,$B$1)</f>
        <v>0</v>
      </c>
      <c r="AL88" s="55">
        <f>_xll.EQNXTDZ($A$1,$B88,AL$5,$B$1)</f>
        <v>468.35</v>
      </c>
      <c r="AM88" s="55">
        <f>_xll.EQNXTDZ($A$1,$B88,AM$5,$B$1)</f>
        <v>0</v>
      </c>
      <c r="AN88" s="55">
        <f>_xll.EQNXTDZ($A$1,$B88,AN$5,$B$1)</f>
        <v>673.88</v>
      </c>
      <c r="AO88" s="55">
        <f>_xll.EQNXTDZ($A$1,$B88,AO$5,$B$1)</f>
        <v>0</v>
      </c>
      <c r="AP88" s="55">
        <f>_xll.EQNXTDZ($A$1,$B88,AP$5,$B$1)</f>
        <v>435.06</v>
      </c>
      <c r="AQ88" s="55">
        <f>_xll.EQNXTDZ($A$1,$B88,AQ$5,$B$1)</f>
        <v>0</v>
      </c>
      <c r="AR88" s="55">
        <f>_xll.EQNXTDZ($A$1,$B88,AR$5,$B$1)</f>
        <v>877.79</v>
      </c>
      <c r="AS88" s="55">
        <f>_xll.EQNXTDZ($A$1,$B88,AS$5,$B$1)</f>
        <v>0</v>
      </c>
      <c r="AT88" s="55">
        <f>_xll.EQNXTDZ($A$1,$B88,AT$5,$B$1)</f>
        <v>1314.95</v>
      </c>
      <c r="AU88" s="55">
        <f>_xll.EQNXTDZ($A$1,$B88,AU$5,$B$1)</f>
        <v>0</v>
      </c>
      <c r="AV88" s="55">
        <f>_xll.EQNXTDZ($A$1,$B88,AV$5,$B$1)</f>
        <v>2178.0100000000002</v>
      </c>
      <c r="AW88" s="55">
        <f>_xll.EQNXTDZ($A$1,$B88,AW$5,$B$1)</f>
        <v>0</v>
      </c>
      <c r="AX88" s="55">
        <f>_xll.EQNXTDZ($A$1,$B88,AX$5,$B$1)</f>
        <v>230.45</v>
      </c>
      <c r="AY88" s="55">
        <f>_xll.EQNXTDZ($A$1,$B88,AY$5,$B$1)</f>
        <v>0</v>
      </c>
      <c r="AZ88" s="55">
        <f>_xll.EQNXTDZ($A$1,$B88,AZ$5,$B$1)</f>
        <v>374.01</v>
      </c>
      <c r="BA88" s="55">
        <f>_xll.EQNXTDZ($A$1,$B88,BA$5,$B$1)</f>
        <v>0</v>
      </c>
      <c r="BB88" s="55">
        <f>_xll.EQNXTDZ($A$1,$B88,BB$5,$B$1)</f>
        <v>377.68</v>
      </c>
      <c r="BC88" s="55">
        <f>_xll.EQNXTDZ($A$1,$B88,BC$5,$B$1)</f>
        <v>0</v>
      </c>
      <c r="BD88" s="55">
        <f>_xll.EQNXTDZ($A$1,$B88,BD$5,$B$1)</f>
        <v>493.51</v>
      </c>
      <c r="BE88" s="55">
        <f>_xll.EQNXTDZ($A$1,$B88,BE$5,$B$1)</f>
        <v>0</v>
      </c>
      <c r="BF88" s="55">
        <f>_xll.EQNXTDZ($A$1,$B88,BF$5,$B$1)</f>
        <v>666.37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1912.549</v>
      </c>
      <c r="AE89" s="55">
        <f>_xll.EQNXTDZ($A$1,$B89,AE$5,$B$1)</f>
        <v>0</v>
      </c>
      <c r="AF89" s="55">
        <f>_xll.EQNXTDZ($A$1,$B89,AF$5,$B$1)</f>
        <v>1841.13</v>
      </c>
      <c r="AG89" s="55">
        <f>_xll.EQNXTDZ($A$1,$B89,AG$5,$B$1)</f>
        <v>0</v>
      </c>
      <c r="AH89" s="55">
        <f>_xll.EQNXTDZ($A$1,$B89,AH$5,$B$1)</f>
        <v>2221.14</v>
      </c>
      <c r="AI89" s="55">
        <f>_xll.EQNXTDZ($A$1,$B89,AI$5,$B$1)</f>
        <v>0</v>
      </c>
      <c r="AJ89" s="55">
        <f>_xll.EQNXTDZ($A$1,$B89,AJ$5,$B$1)</f>
        <v>1426.9</v>
      </c>
      <c r="AK89" s="55">
        <f>_xll.EQNXTDZ($A$1,$B89,AK$5,$B$1)</f>
        <v>0</v>
      </c>
      <c r="AL89" s="55">
        <f>_xll.EQNXTDZ($A$1,$B89,AL$5,$B$1)</f>
        <v>1856.73</v>
      </c>
      <c r="AM89" s="55">
        <f>_xll.EQNXTDZ($A$1,$B89,AM$5,$B$1)</f>
        <v>0</v>
      </c>
      <c r="AN89" s="55">
        <f>_xll.EQNXTDZ($A$1,$B89,AN$5,$B$1)</f>
        <v>1667.85</v>
      </c>
      <c r="AO89" s="55">
        <f>_xll.EQNXTDZ($A$1,$B89,AO$5,$B$1)</f>
        <v>0</v>
      </c>
      <c r="AP89" s="55">
        <f>_xll.EQNXTDZ($A$1,$B89,AP$5,$B$1)</f>
        <v>1402.86</v>
      </c>
      <c r="AQ89" s="55">
        <f>_xll.EQNXTDZ($A$1,$B89,AQ$5,$B$1)</f>
        <v>0</v>
      </c>
      <c r="AR89" s="55">
        <f>_xll.EQNXTDZ($A$1,$B89,AR$5,$B$1)</f>
        <v>1354.22</v>
      </c>
      <c r="AS89" s="55">
        <f>_xll.EQNXTDZ($A$1,$B89,AS$5,$B$1)</f>
        <v>0</v>
      </c>
      <c r="AT89" s="55">
        <f>_xll.EQNXTDZ($A$1,$B89,AT$5,$B$1)</f>
        <v>649.96</v>
      </c>
      <c r="AU89" s="55">
        <f>_xll.EQNXTDZ($A$1,$B89,AU$5,$B$1)</f>
        <v>0</v>
      </c>
      <c r="AV89" s="55">
        <f>_xll.EQNXTDZ($A$1,$B89,AV$5,$B$1)</f>
        <v>1326.47</v>
      </c>
      <c r="AW89" s="55">
        <f>_xll.EQNXTDZ($A$1,$B89,AW$5,$B$1)</f>
        <v>0</v>
      </c>
      <c r="AX89" s="55">
        <f>_xll.EQNXTDZ($A$1,$B89,AX$5,$B$1)</f>
        <v>1507.82</v>
      </c>
      <c r="AY89" s="55">
        <f>_xll.EQNXTDZ($A$1,$B89,AY$5,$B$1)</f>
        <v>0</v>
      </c>
      <c r="AZ89" s="55">
        <f>_xll.EQNXTDZ($A$1,$B89,AZ$5,$B$1)</f>
        <v>1544.47</v>
      </c>
      <c r="BA89" s="55">
        <f>_xll.EQNXTDZ($A$1,$B89,BA$5,$B$1)</f>
        <v>0</v>
      </c>
      <c r="BB89" s="55">
        <f>_xll.EQNXTDZ($A$1,$B89,BB$5,$B$1)</f>
        <v>2750.04</v>
      </c>
      <c r="BC89" s="55">
        <f>_xll.EQNXTDZ($A$1,$B89,BC$5,$B$1)</f>
        <v>0</v>
      </c>
      <c r="BD89" s="55">
        <f>_xll.EQNXTDZ($A$1,$B89,BD$5,$B$1)</f>
        <v>2214.7600000000002</v>
      </c>
      <c r="BE89" s="55">
        <f>_xll.EQNXTDZ($A$1,$B89,BE$5,$B$1)</f>
        <v>0</v>
      </c>
      <c r="BF89" s="55">
        <f>_xll.EQNXTDZ($A$1,$B89,BF$5,$B$1)</f>
        <v>2501.5100000000002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328.61200000000002</v>
      </c>
      <c r="AE91" s="55">
        <f>_xll.EQNXTDZ($A$1,$B91,AE$5,$B$1)</f>
        <v>0</v>
      </c>
      <c r="AF91" s="55">
        <f>_xll.EQNXTDZ($A$1,$B91,AF$5,$B$1)</f>
        <v>615.20799999999997</v>
      </c>
      <c r="AG91" s="55">
        <f>_xll.EQNXTDZ($A$1,$B91,AG$5,$B$1)</f>
        <v>0</v>
      </c>
      <c r="AH91" s="55">
        <f>_xll.EQNXTDZ($A$1,$B91,AH$5,$B$1)</f>
        <v>382.63</v>
      </c>
      <c r="AI91" s="55">
        <f>_xll.EQNXTDZ($A$1,$B91,AI$5,$B$1)</f>
        <v>0</v>
      </c>
      <c r="AJ91" s="55">
        <f>_xll.EQNXTDZ($A$1,$B91,AJ$5,$B$1)</f>
        <v>743.36</v>
      </c>
      <c r="AK91" s="55">
        <f>_xll.EQNXTDZ($A$1,$B91,AK$5,$B$1)</f>
        <v>0</v>
      </c>
      <c r="AL91" s="55">
        <f>_xll.EQNXTDZ($A$1,$B91,AL$5,$B$1)</f>
        <v>538.4</v>
      </c>
      <c r="AM91" s="55">
        <f>_xll.EQNXTDZ($A$1,$B91,AM$5,$B$1)</f>
        <v>0</v>
      </c>
      <c r="AN91" s="55">
        <f>_xll.EQNXTDZ($A$1,$B91,AN$5,$B$1)</f>
        <v>383.58</v>
      </c>
      <c r="AO91" s="55">
        <f>_xll.EQNXTDZ($A$1,$B91,AO$5,$B$1)</f>
        <v>0</v>
      </c>
      <c r="AP91" s="55">
        <f>_xll.EQNXTDZ($A$1,$B91,AP$5,$B$1)</f>
        <v>511.03</v>
      </c>
      <c r="AQ91" s="55">
        <f>_xll.EQNXTDZ($A$1,$B91,AQ$5,$B$1)</f>
        <v>0</v>
      </c>
      <c r="AR91" s="55">
        <f>_xll.EQNXTDZ($A$1,$B91,AR$5,$B$1)</f>
        <v>343.84</v>
      </c>
      <c r="AS91" s="55">
        <f>_xll.EQNXTDZ($A$1,$B91,AS$5,$B$1)</f>
        <v>0</v>
      </c>
      <c r="AT91" s="55">
        <f>_xll.EQNXTDZ($A$1,$B91,AT$5,$B$1)</f>
        <v>661.06</v>
      </c>
      <c r="AU91" s="55">
        <f>_xll.EQNXTDZ($A$1,$B91,AU$5,$B$1)</f>
        <v>0</v>
      </c>
      <c r="AV91" s="55">
        <f>_xll.EQNXTDZ($A$1,$B91,AV$5,$B$1)</f>
        <v>817.9</v>
      </c>
      <c r="AW91" s="55">
        <f>_xll.EQNXTDZ($A$1,$B91,AW$5,$B$1)</f>
        <v>0</v>
      </c>
      <c r="AX91" s="55">
        <f>_xll.EQNXTDZ($A$1,$B91,AX$5,$B$1)</f>
        <v>1257.33</v>
      </c>
      <c r="AY91" s="55">
        <f>_xll.EQNXTDZ($A$1,$B91,AY$5,$B$1)</f>
        <v>0</v>
      </c>
      <c r="AZ91" s="55">
        <f>_xll.EQNXTDZ($A$1,$B91,AZ$5,$B$1)</f>
        <v>1429.14</v>
      </c>
      <c r="BA91" s="55">
        <f>_xll.EQNXTDZ($A$1,$B91,BA$5,$B$1)</f>
        <v>0</v>
      </c>
      <c r="BB91" s="55">
        <f>_xll.EQNXTDZ($A$1,$B91,BB$5,$B$1)</f>
        <v>896.44</v>
      </c>
      <c r="BC91" s="55">
        <f>_xll.EQNXTDZ($A$1,$B91,BC$5,$B$1)</f>
        <v>0</v>
      </c>
      <c r="BD91" s="55">
        <f>_xll.EQNXTDZ($A$1,$B91,BD$5,$B$1)</f>
        <v>897.54</v>
      </c>
      <c r="BE91" s="55">
        <f>_xll.EQNXTDZ($A$1,$B91,BE$5,$B$1)</f>
        <v>0</v>
      </c>
      <c r="BF91" s="55">
        <f>_xll.EQNXTDZ($A$1,$B91,BF$5,$B$1)</f>
        <v>922.92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76.849999999999994</v>
      </c>
      <c r="AE92" s="55">
        <f>_xll.EQNXTDZ($A$1,$B92,AE$5,$B$1)</f>
        <v>0</v>
      </c>
      <c r="AF92" s="55">
        <f>_xll.EQNXTDZ($A$1,$B92,AF$5,$B$1)</f>
        <v>100.306</v>
      </c>
      <c r="AG92" s="55">
        <f>_xll.EQNXTDZ($A$1,$B92,AG$5,$B$1)</f>
        <v>0</v>
      </c>
      <c r="AH92" s="55">
        <f>_xll.EQNXTDZ($A$1,$B92,AH$5,$B$1)</f>
        <v>113.67</v>
      </c>
      <c r="AI92" s="55">
        <f>_xll.EQNXTDZ($A$1,$B92,AI$5,$B$1)</f>
        <v>0</v>
      </c>
      <c r="AJ92" s="55">
        <f>_xll.EQNXTDZ($A$1,$B92,AJ$5,$B$1)</f>
        <v>122.57</v>
      </c>
      <c r="AK92" s="55">
        <f>_xll.EQNXTDZ($A$1,$B92,AK$5,$B$1)</f>
        <v>0</v>
      </c>
      <c r="AL92" s="55">
        <f>_xll.EQNXTDZ($A$1,$B92,AL$5,$B$1)</f>
        <v>152.88</v>
      </c>
      <c r="AM92" s="55">
        <f>_xll.EQNXTDZ($A$1,$B92,AM$5,$B$1)</f>
        <v>0</v>
      </c>
      <c r="AN92" s="55">
        <f>_xll.EQNXTDZ($A$1,$B92,AN$5,$B$1)</f>
        <v>177.85</v>
      </c>
      <c r="AO92" s="55">
        <f>_xll.EQNXTDZ($A$1,$B92,AO$5,$B$1)</f>
        <v>0</v>
      </c>
      <c r="AP92" s="55">
        <f>_xll.EQNXTDZ($A$1,$B92,AP$5,$B$1)</f>
        <v>211.8</v>
      </c>
      <c r="AQ92" s="55">
        <f>_xll.EQNXTDZ($A$1,$B92,AQ$5,$B$1)</f>
        <v>0</v>
      </c>
      <c r="AR92" s="55">
        <f>_xll.EQNXTDZ($A$1,$B92,AR$5,$B$1)</f>
        <v>85.04</v>
      </c>
      <c r="AS92" s="55">
        <f>_xll.EQNXTDZ($A$1,$B92,AS$5,$B$1)</f>
        <v>0</v>
      </c>
      <c r="AT92" s="55">
        <f>_xll.EQNXTDZ($A$1,$B92,AT$5,$B$1)</f>
        <v>74.37</v>
      </c>
      <c r="AU92" s="55">
        <f>_xll.EQNXTDZ($A$1,$B92,AU$5,$B$1)</f>
        <v>0</v>
      </c>
      <c r="AV92" s="55">
        <f>_xll.EQNXTDZ($A$1,$B92,AV$5,$B$1)</f>
        <v>49.11</v>
      </c>
      <c r="AW92" s="55">
        <f>_xll.EQNXTDZ($A$1,$B92,AW$5,$B$1)</f>
        <v>0</v>
      </c>
      <c r="AX92" s="55">
        <f>_xll.EQNXTDZ($A$1,$B92,AX$5,$B$1)</f>
        <v>49.94</v>
      </c>
      <c r="AY92" s="55">
        <f>_xll.EQNXTDZ($A$1,$B92,AY$5,$B$1)</f>
        <v>0</v>
      </c>
      <c r="AZ92" s="55">
        <f>_xll.EQNXTDZ($A$1,$B92,AZ$5,$B$1)</f>
        <v>34.25</v>
      </c>
      <c r="BA92" s="55">
        <f>_xll.EQNXTDZ($A$1,$B92,BA$5,$B$1)</f>
        <v>0</v>
      </c>
      <c r="BB92" s="55">
        <f>_xll.EQNXTDZ($A$1,$B92,BB$5,$B$1)</f>
        <v>14.69</v>
      </c>
      <c r="BC92" s="55">
        <f>_xll.EQNXTDZ($A$1,$B92,BC$5,$B$1)</f>
        <v>0</v>
      </c>
      <c r="BD92" s="55">
        <f>_xll.EQNXTDZ($A$1,$B92,BD$5,$B$1)</f>
        <v>17.670000000000002</v>
      </c>
      <c r="BE92" s="55">
        <f>_xll.EQNXTDZ($A$1,$B92,BE$5,$B$1)</f>
        <v>0</v>
      </c>
      <c r="BF92" s="55">
        <f>_xll.EQNXTDZ($A$1,$B92,BF$5,$B$1)</f>
        <v>17.12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4545.7849999999999</v>
      </c>
      <c r="AE93" s="55">
        <f>_xll.EQNXTDZ($A$1,$B93,AE$5,$B$1)</f>
        <v>0</v>
      </c>
      <c r="AF93" s="55">
        <f>_xll.EQNXTDZ($A$1,$B93,AF$5,$B$1)</f>
        <v>4816.2730000000001</v>
      </c>
      <c r="AG93" s="55">
        <f>_xll.EQNXTDZ($A$1,$B93,AG$5,$B$1)</f>
        <v>0</v>
      </c>
      <c r="AH93" s="55">
        <f>_xll.EQNXTDZ($A$1,$B93,AH$5,$B$1)</f>
        <v>3941.48</v>
      </c>
      <c r="AI93" s="55">
        <f>_xll.EQNXTDZ($A$1,$B93,AI$5,$B$1)</f>
        <v>0</v>
      </c>
      <c r="AJ93" s="55">
        <f>_xll.EQNXTDZ($A$1,$B93,AJ$5,$B$1)</f>
        <v>3239.47</v>
      </c>
      <c r="AK93" s="55">
        <f>_xll.EQNXTDZ($A$1,$B93,AK$5,$B$1)</f>
        <v>0</v>
      </c>
      <c r="AL93" s="55">
        <f>_xll.EQNXTDZ($A$1,$B93,AL$5,$B$1)</f>
        <v>3016.36</v>
      </c>
      <c r="AM93" s="55">
        <f>_xll.EQNXTDZ($A$1,$B93,AM$5,$B$1)</f>
        <v>0</v>
      </c>
      <c r="AN93" s="55">
        <f>_xll.EQNXTDZ($A$1,$B93,AN$5,$B$1)</f>
        <v>2903.16</v>
      </c>
      <c r="AO93" s="55">
        <f>_xll.EQNXTDZ($A$1,$B93,AO$5,$B$1)</f>
        <v>0</v>
      </c>
      <c r="AP93" s="55">
        <f>_xll.EQNXTDZ($A$1,$B93,AP$5,$B$1)</f>
        <v>2560.75</v>
      </c>
      <c r="AQ93" s="55">
        <f>_xll.EQNXTDZ($A$1,$B93,AQ$5,$B$1)</f>
        <v>0</v>
      </c>
      <c r="AR93" s="55">
        <f>_xll.EQNXTDZ($A$1,$B93,AR$5,$B$1)</f>
        <v>2660.89</v>
      </c>
      <c r="AS93" s="55">
        <f>_xll.EQNXTDZ($A$1,$B93,AS$5,$B$1)</f>
        <v>0</v>
      </c>
      <c r="AT93" s="55">
        <f>_xll.EQNXTDZ($A$1,$B93,AT$5,$B$1)</f>
        <v>2700.34</v>
      </c>
      <c r="AU93" s="55">
        <f>_xll.EQNXTDZ($A$1,$B93,AU$5,$B$1)</f>
        <v>0</v>
      </c>
      <c r="AV93" s="55">
        <f>_xll.EQNXTDZ($A$1,$B93,AV$5,$B$1)</f>
        <v>4371.49</v>
      </c>
      <c r="AW93" s="55">
        <f>_xll.EQNXTDZ($A$1,$B93,AW$5,$B$1)</f>
        <v>0</v>
      </c>
      <c r="AX93" s="55">
        <f>_xll.EQNXTDZ($A$1,$B93,AX$5,$B$1)</f>
        <v>3045.54</v>
      </c>
      <c r="AY93" s="55">
        <f>_xll.EQNXTDZ($A$1,$B93,AY$5,$B$1)</f>
        <v>0</v>
      </c>
      <c r="AZ93" s="55">
        <f>_xll.EQNXTDZ($A$1,$B93,AZ$5,$B$1)</f>
        <v>3381.87</v>
      </c>
      <c r="BA93" s="55">
        <f>_xll.EQNXTDZ($A$1,$B93,BA$5,$B$1)</f>
        <v>0</v>
      </c>
      <c r="BB93" s="55">
        <f>_xll.EQNXTDZ($A$1,$B93,BB$5,$B$1)</f>
        <v>4038.85</v>
      </c>
      <c r="BC93" s="55">
        <f>_xll.EQNXTDZ($A$1,$B93,BC$5,$B$1)</f>
        <v>0</v>
      </c>
      <c r="BD93" s="55">
        <f>_xll.EQNXTDZ($A$1,$B93,BD$5,$B$1)</f>
        <v>3623.48</v>
      </c>
      <c r="BE93" s="55">
        <f>_xll.EQNXTDZ($A$1,$B93,BE$5,$B$1)</f>
        <v>0</v>
      </c>
      <c r="BF93" s="55">
        <f>_xll.EQNXTDZ($A$1,$B93,BF$5,$B$1)</f>
        <v>4107.92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778.90300000000002</v>
      </c>
      <c r="AE94" s="55">
        <f>_xll.EQNXTDZ($A$1,$B94,AE$5,$B$1)</f>
        <v>0</v>
      </c>
      <c r="AF94" s="55">
        <f>_xll.EQNXTDZ($A$1,$B94,AF$5,$B$1)</f>
        <v>916.96500000000003</v>
      </c>
      <c r="AG94" s="55">
        <f>_xll.EQNXTDZ($A$1,$B94,AG$5,$B$1)</f>
        <v>0</v>
      </c>
      <c r="AH94" s="55">
        <f>_xll.EQNXTDZ($A$1,$B94,AH$5,$B$1)</f>
        <v>1002.17</v>
      </c>
      <c r="AI94" s="55">
        <f>_xll.EQNXTDZ($A$1,$B94,AI$5,$B$1)</f>
        <v>0</v>
      </c>
      <c r="AJ94" s="55">
        <f>_xll.EQNXTDZ($A$1,$B94,AJ$5,$B$1)</f>
        <v>940.37</v>
      </c>
      <c r="AK94" s="55">
        <f>_xll.EQNXTDZ($A$1,$B94,AK$5,$B$1)</f>
        <v>0</v>
      </c>
      <c r="AL94" s="55">
        <f>_xll.EQNXTDZ($A$1,$B94,AL$5,$B$1)</f>
        <v>468.71</v>
      </c>
      <c r="AM94" s="55">
        <f>_xll.EQNXTDZ($A$1,$B94,AM$5,$B$1)</f>
        <v>0</v>
      </c>
      <c r="AN94" s="55">
        <f>_xll.EQNXTDZ($A$1,$B94,AN$5,$B$1)</f>
        <v>276.69</v>
      </c>
      <c r="AO94" s="55">
        <f>_xll.EQNXTDZ($A$1,$B94,AO$5,$B$1)</f>
        <v>0</v>
      </c>
      <c r="AP94" s="55">
        <f>_xll.EQNXTDZ($A$1,$B94,AP$5,$B$1)</f>
        <v>746.3</v>
      </c>
      <c r="AQ94" s="55">
        <f>_xll.EQNXTDZ($A$1,$B94,AQ$5,$B$1)</f>
        <v>0</v>
      </c>
      <c r="AR94" s="55">
        <f>_xll.EQNXTDZ($A$1,$B94,AR$5,$B$1)</f>
        <v>595.87</v>
      </c>
      <c r="AS94" s="55">
        <f>_xll.EQNXTDZ($A$1,$B94,AS$5,$B$1)</f>
        <v>0</v>
      </c>
      <c r="AT94" s="55">
        <f>_xll.EQNXTDZ($A$1,$B94,AT$5,$B$1)</f>
        <v>273.33999999999997</v>
      </c>
      <c r="AU94" s="55">
        <f>_xll.EQNXTDZ($A$1,$B94,AU$5,$B$1)</f>
        <v>0</v>
      </c>
      <c r="AV94" s="55">
        <f>_xll.EQNXTDZ($A$1,$B94,AV$5,$B$1)</f>
        <v>-558.349999999999</v>
      </c>
      <c r="AW94" s="55">
        <f>_xll.EQNXTDZ($A$1,$B94,AW$5,$B$1)</f>
        <v>0</v>
      </c>
      <c r="AX94" s="55">
        <f>_xll.EQNXTDZ($A$1,$B94,AX$5,$B$1)</f>
        <v>1075.3599999999999</v>
      </c>
      <c r="AY94" s="55">
        <f>_xll.EQNXTDZ($A$1,$B94,AY$5,$B$1)</f>
        <v>0</v>
      </c>
      <c r="AZ94" s="55">
        <f>_xll.EQNXTDZ($A$1,$B94,AZ$5,$B$1)</f>
        <v>1328.51</v>
      </c>
      <c r="BA94" s="55">
        <f>_xll.EQNXTDZ($A$1,$B94,BA$5,$B$1)</f>
        <v>0</v>
      </c>
      <c r="BB94" s="55">
        <f>_xll.EQNXTDZ($A$1,$B94,BB$5,$B$1)</f>
        <v>1140.1400000000001</v>
      </c>
      <c r="BC94" s="55">
        <f>_xll.EQNXTDZ($A$1,$B94,BC$5,$B$1)</f>
        <v>0</v>
      </c>
      <c r="BD94" s="55">
        <f>_xll.EQNXTDZ($A$1,$B94,BD$5,$B$1)</f>
        <v>700.91</v>
      </c>
      <c r="BE94" s="55">
        <f>_xll.EQNXTDZ($A$1,$B94,BE$5,$B$1)</f>
        <v>0</v>
      </c>
      <c r="BF94" s="55">
        <f>_xll.EQNXTDZ($A$1,$B94,BF$5,$B$1)</f>
        <v>660.06000000000097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32.122999999999998</v>
      </c>
      <c r="AE96" s="55">
        <f>_xll.EQNXTDZ($A$1,$B96,AE$5,$B$1)</f>
        <v>0</v>
      </c>
      <c r="AF96" s="55">
        <f>_xll.EQNXTDZ($A$1,$B96,AF$5,$B$1)</f>
        <v>25.146999999999998</v>
      </c>
      <c r="AG96" s="55">
        <f>_xll.EQNXTDZ($A$1,$B96,AG$5,$B$1)</f>
        <v>0</v>
      </c>
      <c r="AH96" s="55">
        <f>_xll.EQNXTDZ($A$1,$B96,AH$5,$B$1)</f>
        <v>36.369999999999997</v>
      </c>
      <c r="AI96" s="55">
        <f>_xll.EQNXTDZ($A$1,$B96,AI$5,$B$1)</f>
        <v>0</v>
      </c>
      <c r="AJ96" s="55">
        <f>_xll.EQNXTDZ($A$1,$B96,AJ$5,$B$1)</f>
        <v>54.47</v>
      </c>
      <c r="AK96" s="55">
        <f>_xll.EQNXTDZ($A$1,$B96,AK$5,$B$1)</f>
        <v>0</v>
      </c>
      <c r="AL96" s="55">
        <f>_xll.EQNXTDZ($A$1,$B96,AL$5,$B$1)</f>
        <v>120.58</v>
      </c>
      <c r="AM96" s="55">
        <f>_xll.EQNXTDZ($A$1,$B96,AM$5,$B$1)</f>
        <v>0</v>
      </c>
      <c r="AN96" s="55">
        <f>_xll.EQNXTDZ($A$1,$B96,AN$5,$B$1)</f>
        <v>96.83</v>
      </c>
      <c r="AO96" s="55">
        <f>_xll.EQNXTDZ($A$1,$B96,AO$5,$B$1)</f>
        <v>0</v>
      </c>
      <c r="AP96" s="55">
        <f>_xll.EQNXTDZ($A$1,$B96,AP$5,$B$1)</f>
        <v>100.88</v>
      </c>
      <c r="AQ96" s="55">
        <f>_xll.EQNXTDZ($A$1,$B96,AQ$5,$B$1)</f>
        <v>0</v>
      </c>
      <c r="AR96" s="55">
        <f>_xll.EQNXTDZ($A$1,$B96,AR$5,$B$1)</f>
        <v>99.46</v>
      </c>
      <c r="AS96" s="55">
        <f>_xll.EQNXTDZ($A$1,$B96,AS$5,$B$1)</f>
        <v>0</v>
      </c>
      <c r="AT96" s="55">
        <f>_xll.EQNXTDZ($A$1,$B96,AT$5,$B$1)</f>
        <v>98.11</v>
      </c>
      <c r="AU96" s="55">
        <f>_xll.EQNXTDZ($A$1,$B96,AU$5,$B$1)</f>
        <v>0</v>
      </c>
      <c r="AV96" s="55">
        <f>_xll.EQNXTDZ($A$1,$B96,AV$5,$B$1)</f>
        <v>96.54</v>
      </c>
      <c r="AW96" s="55">
        <f>_xll.EQNXTDZ($A$1,$B96,AW$5,$B$1)</f>
        <v>0</v>
      </c>
      <c r="AX96" s="55">
        <f>_xll.EQNXTDZ($A$1,$B96,AX$5,$B$1)</f>
        <v>63.94</v>
      </c>
      <c r="AY96" s="55">
        <f>_xll.EQNXTDZ($A$1,$B96,AY$5,$B$1)</f>
        <v>0</v>
      </c>
      <c r="AZ96" s="55">
        <f>_xll.EQNXTDZ($A$1,$B96,AZ$5,$B$1)</f>
        <v>52.11</v>
      </c>
      <c r="BA96" s="55">
        <f>_xll.EQNXTDZ($A$1,$B96,BA$5,$B$1)</f>
        <v>0</v>
      </c>
      <c r="BB96" s="55">
        <f>_xll.EQNXTDZ($A$1,$B96,BB$5,$B$1)</f>
        <v>24.63</v>
      </c>
      <c r="BC96" s="55">
        <f>_xll.EQNXTDZ($A$1,$B96,BC$5,$B$1)</f>
        <v>0</v>
      </c>
      <c r="BD96" s="55">
        <f>_xll.EQNXTDZ($A$1,$B96,BD$5,$B$1)</f>
        <v>38.090000000000003</v>
      </c>
      <c r="BE96" s="55">
        <f>_xll.EQNXTDZ($A$1,$B96,BE$5,$B$1)</f>
        <v>0</v>
      </c>
      <c r="BF96" s="55">
        <f>_xll.EQNXTDZ($A$1,$B96,BF$5,$B$1)</f>
        <v>40.619999999999997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846.13400000000001</v>
      </c>
      <c r="AE97" s="55">
        <f>_xll.EQNXTDZ($A$1,$B97,AE$5,$B$1)</f>
        <v>0</v>
      </c>
      <c r="AF97" s="55">
        <f>_xll.EQNXTDZ($A$1,$B97,AF$5,$B$1)</f>
        <v>985.32100000000003</v>
      </c>
      <c r="AG97" s="55">
        <f>_xll.EQNXTDZ($A$1,$B97,AG$5,$B$1)</f>
        <v>0</v>
      </c>
      <c r="AH97" s="55">
        <f>_xll.EQNXTDZ($A$1,$B97,AH$5,$B$1)</f>
        <v>1093</v>
      </c>
      <c r="AI97" s="55">
        <f>_xll.EQNXTDZ($A$1,$B97,AI$5,$B$1)</f>
        <v>0</v>
      </c>
      <c r="AJ97" s="55">
        <f>_xll.EQNXTDZ($A$1,$B97,AJ$5,$B$1)</f>
        <v>1063.6099999999999</v>
      </c>
      <c r="AK97" s="55">
        <f>_xll.EQNXTDZ($A$1,$B97,AK$5,$B$1)</f>
        <v>0</v>
      </c>
      <c r="AL97" s="55">
        <f>_xll.EQNXTDZ($A$1,$B97,AL$5,$B$1)</f>
        <v>693.01</v>
      </c>
      <c r="AM97" s="55">
        <f>_xll.EQNXTDZ($A$1,$B97,AM$5,$B$1)</f>
        <v>0</v>
      </c>
      <c r="AN97" s="55">
        <f>_xll.EQNXTDZ($A$1,$B97,AN$5,$B$1)</f>
        <v>472.57</v>
      </c>
      <c r="AO97" s="55">
        <f>_xll.EQNXTDZ($A$1,$B97,AO$5,$B$1)</f>
        <v>0</v>
      </c>
      <c r="AP97" s="55">
        <f>_xll.EQNXTDZ($A$1,$B97,AP$5,$B$1)</f>
        <v>939.24</v>
      </c>
      <c r="AQ97" s="55">
        <f>_xll.EQNXTDZ($A$1,$B97,AQ$5,$B$1)</f>
        <v>0</v>
      </c>
      <c r="AR97" s="55">
        <f>_xll.EQNXTDZ($A$1,$B97,AR$5,$B$1)</f>
        <v>800.18</v>
      </c>
      <c r="AS97" s="55">
        <f>_xll.EQNXTDZ($A$1,$B97,AS$5,$B$1)</f>
        <v>0</v>
      </c>
      <c r="AT97" s="55">
        <f>_xll.EQNXTDZ($A$1,$B97,AT$5,$B$1)</f>
        <v>490.03</v>
      </c>
      <c r="AU97" s="55">
        <f>_xll.EQNXTDZ($A$1,$B97,AU$5,$B$1)</f>
        <v>0</v>
      </c>
      <c r="AV97" s="55">
        <f>_xll.EQNXTDZ($A$1,$B97,AV$5,$B$1)</f>
        <v>-358.56999999999903</v>
      </c>
      <c r="AW97" s="55">
        <f>_xll.EQNXTDZ($A$1,$B97,AW$5,$B$1)</f>
        <v>0</v>
      </c>
      <c r="AX97" s="55">
        <f>_xll.EQNXTDZ($A$1,$B97,AX$5,$B$1)</f>
        <v>1254.97</v>
      </c>
      <c r="AY97" s="55">
        <f>_xll.EQNXTDZ($A$1,$B97,AY$5,$B$1)</f>
        <v>0</v>
      </c>
      <c r="AZ97" s="55">
        <f>_xll.EQNXTDZ($A$1,$B97,AZ$5,$B$1)</f>
        <v>1503.48</v>
      </c>
      <c r="BA97" s="55">
        <f>_xll.EQNXTDZ($A$1,$B97,BA$5,$B$1)</f>
        <v>0</v>
      </c>
      <c r="BB97" s="55">
        <f>_xll.EQNXTDZ($A$1,$B97,BB$5,$B$1)</f>
        <v>1591.17</v>
      </c>
      <c r="BC97" s="55">
        <f>_xll.EQNXTDZ($A$1,$B97,BC$5,$B$1)</f>
        <v>0</v>
      </c>
      <c r="BD97" s="55">
        <f>_xll.EQNXTDZ($A$1,$B97,BD$5,$B$1)</f>
        <v>1235.51</v>
      </c>
      <c r="BE97" s="55">
        <f>_xll.EQNXTDZ($A$1,$B97,BE$5,$B$1)</f>
        <v>0</v>
      </c>
      <c r="BF97" s="55">
        <f>_xll.EQNXTDZ($A$1,$B97,BF$5,$B$1)</f>
        <v>1209.5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295131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Sterling and Wilson Renewable Energy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6871.7079999999996</v>
      </c>
      <c r="U6" s="100">
        <f>_xll.EQNXTDZ($A$1,$B6,U$1,$B$1)</f>
        <v>8240.4079999999994</v>
      </c>
      <c r="V6" s="100">
        <f>_xll.EQNXTDZ($A$1,$B6,V$1,$B$1)</f>
        <v>5575.29</v>
      </c>
      <c r="W6" s="100">
        <f>_xll.EQNXTDZ($A$1,$B6,W$1,$B$1)</f>
        <v>5080.8</v>
      </c>
      <c r="X6" s="100">
        <f>_xll.EQNXTDZ($A$1,$B6,X$1,$B$1)</f>
        <v>5198.9399999999996</v>
      </c>
      <c r="Y6" s="100">
        <f>_xll.EQNXTDZ($A$1,$B6,Y$1,$B$1)</f>
        <v>2015.01</v>
      </c>
      <c r="Z6" s="100">
        <f>_xll.EQNXTDZ($A$1,$B6,Z$1,$B$1)</f>
        <v>3035.37</v>
      </c>
      <c r="AA6" s="100">
        <f>_xll.EQNXTDZ($A$1,$B6,AA$1,$B$1)</f>
        <v>6301.86</v>
      </c>
      <c r="AB6" s="100">
        <f>_xll.EQNXTDZ($A$1,$B6,AB$1,$B$1)</f>
        <v>7548.05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6871.7079999999996</v>
      </c>
      <c r="U10" s="100">
        <f>_xll.EQNXTDZ($A$1,$B10,U$1,$B$1)</f>
        <v>8240.4079999999994</v>
      </c>
      <c r="V10" s="100">
        <f>_xll.EQNXTDZ($A$1,$B10,V$1,$B$1)</f>
        <v>5575.29</v>
      </c>
      <c r="W10" s="100">
        <f>_xll.EQNXTDZ($A$1,$B10,W$1,$B$1)</f>
        <v>5080.8</v>
      </c>
      <c r="X10" s="100">
        <f>_xll.EQNXTDZ($A$1,$B10,X$1,$B$1)</f>
        <v>5198.9399999999996</v>
      </c>
      <c r="Y10" s="100">
        <f>_xll.EQNXTDZ($A$1,$B10,Y$1,$B$1)</f>
        <v>2015.01</v>
      </c>
      <c r="Z10" s="100">
        <f>_xll.EQNXTDZ($A$1,$B10,Z$1,$B$1)</f>
        <v>3035.37</v>
      </c>
      <c r="AA10" s="100">
        <f>_xll.EQNXTDZ($A$1,$B10,AA$1,$B$1)</f>
        <v>6301.86</v>
      </c>
      <c r="AB10" s="100">
        <f>_xll.EQNXTDZ($A$1,$B10,AB$1,$B$1)</f>
        <v>7548.05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11.897</v>
      </c>
      <c r="U11" s="100">
        <f>_xll.EQNXTDZ($A$1,$B11,U$1,$B$1)</f>
        <v>1.2669999999999999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5373.4489999999996</v>
      </c>
      <c r="U12" s="100">
        <f>_xll.EQNXTDZ($A$1,$B12,U$1,$B$1)</f>
        <v>5609.0929999999998</v>
      </c>
      <c r="V12" s="100">
        <f>_xll.EQNXTDZ($A$1,$B12,V$1,$B$1)</f>
        <v>3589.3</v>
      </c>
      <c r="W12" s="100">
        <f>_xll.EQNXTDZ($A$1,$B12,W$1,$B$1)</f>
        <v>3069.1</v>
      </c>
      <c r="X12" s="100">
        <f>_xll.EQNXTDZ($A$1,$B12,X$1,$B$1)</f>
        <v>2419.44</v>
      </c>
      <c r="Y12" s="100">
        <f>_xll.EQNXTDZ($A$1,$B12,Y$1,$B$1)</f>
        <v>1210.5</v>
      </c>
      <c r="Z12" s="100">
        <f>_xll.EQNXTDZ($A$1,$B12,Z$1,$B$1)</f>
        <v>1941.73</v>
      </c>
      <c r="AA12" s="100">
        <f>_xll.EQNXTDZ($A$1,$B12,AA$1,$B$1)</f>
        <v>4560.91</v>
      </c>
      <c r="AB12" s="100">
        <f>_xll.EQNXTDZ($A$1,$B12,AB$1,$B$1)</f>
        <v>4687.99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4.8049999999999997</v>
      </c>
      <c r="U13" s="100">
        <f>_xll.EQNXTDZ($A$1,$B13,U$1,$B$1)</f>
        <v>10.693</v>
      </c>
      <c r="V13" s="100">
        <f>_xll.EQNXTDZ($A$1,$B13,V$1,$B$1)</f>
        <v>5.66</v>
      </c>
      <c r="W13" s="100">
        <f>_xll.EQNXTDZ($A$1,$B13,W$1,$B$1)</f>
        <v>0.79</v>
      </c>
      <c r="X13" s="100">
        <f>_xll.EQNXTDZ($A$1,$B13,X$1,$B$1)</f>
        <v>0.38</v>
      </c>
      <c r="Y13" s="100">
        <f>_xll.EQNXTDZ($A$1,$B13,Y$1,$B$1)</f>
        <v>0.57999999999999996</v>
      </c>
      <c r="Z13" s="100">
        <f>_xll.EQNXTDZ($A$1,$B13,Z$1,$B$1)</f>
        <v>0.85</v>
      </c>
      <c r="AA13" s="100">
        <f>_xll.EQNXTDZ($A$1,$B13,AA$1,$B$1)</f>
        <v>1.07</v>
      </c>
      <c r="AB13" s="100">
        <f>_xll.EQNXTDZ($A$1,$B13,AB$1,$B$1)</f>
        <v>0.94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98.623999999999995</v>
      </c>
      <c r="U14" s="100">
        <f>_xll.EQNXTDZ($A$1,$B14,U$1,$B$1)</f>
        <v>177.88800000000001</v>
      </c>
      <c r="V14" s="100">
        <f>_xll.EQNXTDZ($A$1,$B14,V$1,$B$1)</f>
        <v>240.27</v>
      </c>
      <c r="W14" s="100">
        <f>_xll.EQNXTDZ($A$1,$B14,W$1,$B$1)</f>
        <v>208.48</v>
      </c>
      <c r="X14" s="100">
        <f>_xll.EQNXTDZ($A$1,$B14,X$1,$B$1)</f>
        <v>227.89</v>
      </c>
      <c r="Y14" s="100">
        <f>_xll.EQNXTDZ($A$1,$B14,Y$1,$B$1)</f>
        <v>247.85</v>
      </c>
      <c r="Z14" s="100">
        <f>_xll.EQNXTDZ($A$1,$B14,Z$1,$B$1)</f>
        <v>211.27</v>
      </c>
      <c r="AA14" s="100">
        <f>_xll.EQNXTDZ($A$1,$B14,AA$1,$B$1)</f>
        <v>200.09</v>
      </c>
      <c r="AB14" s="100">
        <f>_xll.EQNXTDZ($A$1,$B14,AB$1,$B$1)</f>
        <v>180.56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646.27300000000002</v>
      </c>
      <c r="U15" s="100">
        <f>_xll.EQNXTDZ($A$1,$B15,U$1,$B$1)</f>
        <v>1505.6969999999999</v>
      </c>
      <c r="V15" s="100">
        <f>_xll.EQNXTDZ($A$1,$B15,V$1,$B$1)</f>
        <v>1159.1600000000001</v>
      </c>
      <c r="W15" s="100">
        <f>_xll.EQNXTDZ($A$1,$B15,W$1,$B$1)</f>
        <v>1928.66</v>
      </c>
      <c r="X15" s="100">
        <f>_xll.EQNXTDZ($A$1,$B15,X$1,$B$1)</f>
        <v>3247.95</v>
      </c>
      <c r="Y15" s="100">
        <f>_xll.EQNXTDZ($A$1,$B15,Y$1,$B$1)</f>
        <v>1556.31</v>
      </c>
      <c r="Z15" s="100">
        <f>_xll.EQNXTDZ($A$1,$B15,Z$1,$B$1)</f>
        <v>784.8</v>
      </c>
      <c r="AA15" s="100">
        <f>_xll.EQNXTDZ($A$1,$B15,AA$1,$B$1)</f>
        <v>1102.44</v>
      </c>
      <c r="AB15" s="100">
        <f>_xll.EQNXTDZ($A$1,$B15,AB$1,$B$1)</f>
        <v>2150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93.617999999999995</v>
      </c>
      <c r="U17" s="100">
        <f>_xll.EQNXTDZ($A$1,$B17,U$1,$B$1)</f>
        <v>137.35599999999999</v>
      </c>
      <c r="V17" s="100">
        <f>_xll.EQNXTDZ($A$1,$B17,V$1,$B$1)</f>
        <v>135.71</v>
      </c>
      <c r="W17" s="100">
        <f>_xll.EQNXTDZ($A$1,$B17,W$1,$B$1)</f>
        <v>98.21</v>
      </c>
      <c r="X17" s="100">
        <f>_xll.EQNXTDZ($A$1,$B17,X$1,$B$1)</f>
        <v>84.61</v>
      </c>
      <c r="Y17" s="100">
        <f>_xll.EQNXTDZ($A$1,$B17,Y$1,$B$1)</f>
        <v>92.35</v>
      </c>
      <c r="Z17" s="100">
        <f>_xll.EQNXTDZ($A$1,$B17,Z$1,$B$1)</f>
        <v>84.26</v>
      </c>
      <c r="AA17" s="100">
        <f>_xll.EQNXTDZ($A$1,$B17,AA$1,$B$1)</f>
        <v>112.15</v>
      </c>
      <c r="AB17" s="100">
        <f>_xll.EQNXTDZ($A$1,$B17,AB$1,$B$1)</f>
        <v>137.47999999999999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2.0019999999999998</v>
      </c>
      <c r="U18" s="100">
        <f>_xll.EQNXTDZ($A$1,$B18,U$1,$B$1)</f>
        <v>1.3540000000000001</v>
      </c>
      <c r="V18" s="100">
        <f>_xll.EQNXTDZ($A$1,$B18,V$1,$B$1)</f>
        <v>1.61</v>
      </c>
      <c r="W18" s="100">
        <f>_xll.EQNXTDZ($A$1,$B18,W$1,$B$1)</f>
        <v>0.56000000000000005</v>
      </c>
      <c r="X18" s="100">
        <f>_xll.EQNXTDZ($A$1,$B18,X$1,$B$1)</f>
        <v>8.86</v>
      </c>
      <c r="Y18" s="100">
        <f>_xll.EQNXTDZ($A$1,$B18,Y$1,$B$1)</f>
        <v>2.4300000000000002</v>
      </c>
      <c r="Z18" s="100">
        <f>_xll.EQNXTDZ($A$1,$B18,Z$1,$B$1)</f>
        <v>0.4</v>
      </c>
      <c r="AA18" s="100">
        <f>_xll.EQNXTDZ($A$1,$B18,AA$1,$B$1)</f>
        <v>1.57</v>
      </c>
      <c r="AB18" s="100">
        <f>_xll.EQNXTDZ($A$1,$B18,AB$1,$B$1)</f>
        <v>1.1599999999999999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46.094000000000001</v>
      </c>
      <c r="U19" s="100">
        <f>_xll.EQNXTDZ($A$1,$B19,U$1,$B$1)</f>
        <v>87.004999999999995</v>
      </c>
      <c r="V19" s="100">
        <f>_xll.EQNXTDZ($A$1,$B19,V$1,$B$1)</f>
        <v>70.819999999999993</v>
      </c>
      <c r="W19" s="100">
        <f>_xll.EQNXTDZ($A$1,$B19,W$1,$B$1)</f>
        <v>152.05000000000001</v>
      </c>
      <c r="X19" s="100">
        <f>_xll.EQNXTDZ($A$1,$B19,X$1,$B$1)</f>
        <v>112.79</v>
      </c>
      <c r="Y19" s="100">
        <f>_xll.EQNXTDZ($A$1,$B19,Y$1,$B$1)</f>
        <v>28.59</v>
      </c>
      <c r="Z19" s="100">
        <f>_xll.EQNXTDZ($A$1,$B19,Z$1,$B$1)</f>
        <v>19.39</v>
      </c>
      <c r="AA19" s="100">
        <f>_xll.EQNXTDZ($A$1,$B19,AA$1,$B$1)</f>
        <v>59.36</v>
      </c>
      <c r="AB19" s="100">
        <f>_xll.EQNXTDZ($A$1,$B19,AB$1,$B$1)</f>
        <v>76.739999999999995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6276.7619999999997</v>
      </c>
      <c r="U21" s="100">
        <f>_xll.EQNXTDZ($A$1,$B21,U$1,$B$1)</f>
        <v>7530.3530000000001</v>
      </c>
      <c r="V21" s="100">
        <f>_xll.EQNXTDZ($A$1,$B21,V$1,$B$1)</f>
        <v>5202.53</v>
      </c>
      <c r="W21" s="100">
        <f>_xll.EQNXTDZ($A$1,$B21,W$1,$B$1)</f>
        <v>5457.85</v>
      </c>
      <c r="X21" s="100">
        <f>_xll.EQNXTDZ($A$1,$B21,X$1,$B$1)</f>
        <v>6101.92</v>
      </c>
      <c r="Y21" s="100">
        <f>_xll.EQNXTDZ($A$1,$B21,Y$1,$B$1)</f>
        <v>3138.61</v>
      </c>
      <c r="Z21" s="100">
        <f>_xll.EQNXTDZ($A$1,$B21,Z$1,$B$1)</f>
        <v>3042.7</v>
      </c>
      <c r="AA21" s="100">
        <f>_xll.EQNXTDZ($A$1,$B21,AA$1,$B$1)</f>
        <v>6037.59</v>
      </c>
      <c r="AB21" s="100">
        <f>_xll.EQNXTDZ($A$1,$B21,AB$1,$B$1)</f>
        <v>7234.87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594.94600000000003</v>
      </c>
      <c r="U22" s="100">
        <f>_xll.EQNXTDZ($A$1,$B22,U$1,$B$1)</f>
        <v>710.05499999999995</v>
      </c>
      <c r="V22" s="100">
        <f>_xll.EQNXTDZ($A$1,$B22,V$1,$B$1)</f>
        <v>372.76</v>
      </c>
      <c r="W22" s="100">
        <f>_xll.EQNXTDZ($A$1,$B22,W$1,$B$1)</f>
        <v>-377.05</v>
      </c>
      <c r="X22" s="100">
        <f>_xll.EQNXTDZ($A$1,$B22,X$1,$B$1)</f>
        <v>-902.98</v>
      </c>
      <c r="Y22" s="100">
        <f>_xll.EQNXTDZ($A$1,$B22,Y$1,$B$1)</f>
        <v>-1123.5999999999999</v>
      </c>
      <c r="Z22" s="100">
        <f>_xll.EQNXTDZ($A$1,$B22,Z$1,$B$1)</f>
        <v>-7.3299999999999299</v>
      </c>
      <c r="AA22" s="100">
        <f>_xll.EQNXTDZ($A$1,$B22,AA$1,$B$1)</f>
        <v>264.27</v>
      </c>
      <c r="AB22" s="100">
        <f>_xll.EQNXTDZ($A$1,$B22,AB$1,$B$1)</f>
        <v>313.18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12.712</v>
      </c>
      <c r="U23" s="100">
        <f>_xll.EQNXTDZ($A$1,$B23,U$1,$B$1)</f>
        <v>209.52500000000001</v>
      </c>
      <c r="V23" s="100">
        <f>_xll.EQNXTDZ($A$1,$B23,V$1,$B$1)</f>
        <v>303.49</v>
      </c>
      <c r="W23" s="100">
        <f>_xll.EQNXTDZ($A$1,$B23,W$1,$B$1)</f>
        <v>158.49</v>
      </c>
      <c r="X23" s="100">
        <f>_xll.EQNXTDZ($A$1,$B23,X$1,$B$1)</f>
        <v>94.7</v>
      </c>
      <c r="Y23" s="100">
        <f>_xll.EQNXTDZ($A$1,$B23,Y$1,$B$1)</f>
        <v>110.86</v>
      </c>
      <c r="Z23" s="100">
        <f>_xll.EQNXTDZ($A$1,$B23,Z$1,$B$1)</f>
        <v>85.42</v>
      </c>
      <c r="AA23" s="100">
        <f>_xll.EQNXTDZ($A$1,$B23,AA$1,$B$1)</f>
        <v>39.6</v>
      </c>
      <c r="AB23" s="100">
        <f>_xll.EQNXTDZ($A$1,$B23,AB$1,$B$1)</f>
        <v>203.67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607.65800000000002</v>
      </c>
      <c r="U24" s="100">
        <f>_xll.EQNXTDZ($A$1,$B24,U$1,$B$1)</f>
        <v>919.58</v>
      </c>
      <c r="V24" s="100">
        <f>_xll.EQNXTDZ($A$1,$B24,V$1,$B$1)</f>
        <v>676.25</v>
      </c>
      <c r="W24" s="100">
        <f>_xll.EQNXTDZ($A$1,$B24,W$1,$B$1)</f>
        <v>-218.56</v>
      </c>
      <c r="X24" s="100">
        <f>_xll.EQNXTDZ($A$1,$B24,X$1,$B$1)</f>
        <v>-808.28</v>
      </c>
      <c r="Y24" s="100">
        <f>_xll.EQNXTDZ($A$1,$B24,Y$1,$B$1)</f>
        <v>-1012.74</v>
      </c>
      <c r="Z24" s="100">
        <f>_xll.EQNXTDZ($A$1,$B24,Z$1,$B$1)</f>
        <v>78.09</v>
      </c>
      <c r="AA24" s="100">
        <f>_xll.EQNXTDZ($A$1,$B24,AA$1,$B$1)</f>
        <v>303.87</v>
      </c>
      <c r="AB24" s="100">
        <f>_xll.EQNXTDZ($A$1,$B24,AB$1,$B$1)</f>
        <v>516.85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75.811999999999998</v>
      </c>
      <c r="U25" s="100">
        <f>_xll.EQNXTDZ($A$1,$B25,U$1,$B$1)</f>
        <v>152.60499999999999</v>
      </c>
      <c r="V25" s="100">
        <f>_xll.EQNXTDZ($A$1,$B25,V$1,$B$1)</f>
        <v>263.52</v>
      </c>
      <c r="W25" s="100">
        <f>_xll.EQNXTDZ($A$1,$B25,W$1,$B$1)</f>
        <v>104.97</v>
      </c>
      <c r="X25" s="100">
        <f>_xll.EQNXTDZ($A$1,$B25,X$1,$B$1)</f>
        <v>87.21</v>
      </c>
      <c r="Y25" s="100">
        <f>_xll.EQNXTDZ($A$1,$B25,Y$1,$B$1)</f>
        <v>151.30000000000001</v>
      </c>
      <c r="Z25" s="100">
        <f>_xll.EQNXTDZ($A$1,$B25,Z$1,$B$1)</f>
        <v>233.76</v>
      </c>
      <c r="AA25" s="100">
        <f>_xll.EQNXTDZ($A$1,$B25,AA$1,$B$1)</f>
        <v>126.99</v>
      </c>
      <c r="AB25" s="100">
        <f>_xll.EQNXTDZ($A$1,$B25,AB$1,$B$1)</f>
        <v>164.87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531.846</v>
      </c>
      <c r="U26" s="100">
        <f>_xll.EQNXTDZ($A$1,$B26,U$1,$B$1)</f>
        <v>766.97500000000002</v>
      </c>
      <c r="V26" s="100">
        <f>_xll.EQNXTDZ($A$1,$B26,V$1,$B$1)</f>
        <v>412.73</v>
      </c>
      <c r="W26" s="100">
        <f>_xll.EQNXTDZ($A$1,$B26,W$1,$B$1)</f>
        <v>-323.52999999999997</v>
      </c>
      <c r="X26" s="100">
        <f>_xll.EQNXTDZ($A$1,$B26,X$1,$B$1)</f>
        <v>-895.49</v>
      </c>
      <c r="Y26" s="100">
        <f>_xll.EQNXTDZ($A$1,$B26,Y$1,$B$1)</f>
        <v>-1164.04</v>
      </c>
      <c r="Z26" s="100">
        <f>_xll.EQNXTDZ($A$1,$B26,Z$1,$B$1)</f>
        <v>-155.66999999999999</v>
      </c>
      <c r="AA26" s="100">
        <f>_xll.EQNXTDZ($A$1,$B26,AA$1,$B$1)</f>
        <v>176.88</v>
      </c>
      <c r="AB26" s="100">
        <f>_xll.EQNXTDZ($A$1,$B26,AB$1,$B$1)</f>
        <v>351.98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3.1680000000000001</v>
      </c>
      <c r="U27" s="100">
        <f>_xll.EQNXTDZ($A$1,$B27,U$1,$B$1)</f>
        <v>7.8040000000000003</v>
      </c>
      <c r="V27" s="100">
        <f>_xll.EQNXTDZ($A$1,$B27,V$1,$B$1)</f>
        <v>14.23</v>
      </c>
      <c r="W27" s="100">
        <f>_xll.EQNXTDZ($A$1,$B27,W$1,$B$1)</f>
        <v>16.510000000000002</v>
      </c>
      <c r="X27" s="100">
        <f>_xll.EQNXTDZ($A$1,$B27,X$1,$B$1)</f>
        <v>14.67</v>
      </c>
      <c r="Y27" s="100">
        <f>_xll.EQNXTDZ($A$1,$B27,Y$1,$B$1)</f>
        <v>14.7</v>
      </c>
      <c r="Z27" s="100">
        <f>_xll.EQNXTDZ($A$1,$B27,Z$1,$B$1)</f>
        <v>16.649999999999999</v>
      </c>
      <c r="AA27" s="100">
        <f>_xll.EQNXTDZ($A$1,$B27,AA$1,$B$1)</f>
        <v>14.34</v>
      </c>
      <c r="AB27" s="100">
        <f>_xll.EQNXTDZ($A$1,$B27,AB$1,$B$1)</f>
        <v>11.28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-610.94000000000005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78.143000000000001</v>
      </c>
      <c r="U30" s="100">
        <f>_xll.EQNXTDZ($A$1,$B30,U$1,$B$1)</f>
        <v>120.938</v>
      </c>
      <c r="V30" s="100">
        <f>_xll.EQNXTDZ($A$1,$B30,V$1,$B$1)</f>
        <v>94.23</v>
      </c>
      <c r="W30" s="100">
        <f>_xll.EQNXTDZ($A$1,$B30,W$1,$B$1)</f>
        <v>-50</v>
      </c>
      <c r="X30" s="100">
        <f>_xll.EQNXTDZ($A$1,$B30,X$1,$B$1)</f>
        <v>5.6</v>
      </c>
      <c r="Y30" s="100">
        <f>_xll.EQNXTDZ($A$1,$B30,Y$1,$B$1)</f>
        <v>-3.78</v>
      </c>
      <c r="Z30" s="100">
        <f>_xll.EQNXTDZ($A$1,$B30,Z$1,$B$1)</f>
        <v>38.47</v>
      </c>
      <c r="AA30" s="100">
        <f>_xll.EQNXTDZ($A$1,$B30,AA$1,$B$1)</f>
        <v>76.989999999999995</v>
      </c>
      <c r="AB30" s="100">
        <f>_xll.EQNXTDZ($A$1,$B30,AB$1,$B$1)</f>
        <v>25.55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1.641</v>
      </c>
      <c r="U32" s="100">
        <f>_xll.EQNXTDZ($A$1,$B32,U$1,$B$1)</f>
        <v>0.75600000000000001</v>
      </c>
      <c r="V32" s="100">
        <f>_xll.EQNXTDZ($A$1,$B32,V$1,$B$1)</f>
        <v>5.79</v>
      </c>
      <c r="W32" s="100">
        <f>_xll.EQNXTDZ($A$1,$B32,W$1,$B$1)</f>
        <v>4.66</v>
      </c>
      <c r="X32" s="100">
        <f>_xll.EQNXTDZ($A$1,$B32,X$1,$B$1)</f>
        <v>6.3</v>
      </c>
      <c r="Y32" s="100">
        <f>_xll.EQNXTDZ($A$1,$B32,Y$1,$B$1)</f>
        <v>5.41</v>
      </c>
      <c r="Z32" s="100">
        <f>_xll.EQNXTDZ($A$1,$B32,Z$1,$B$1)</f>
        <v>-1.1299999999999999</v>
      </c>
      <c r="AA32" s="100">
        <f>_xll.EQNXTDZ($A$1,$B32,AA$1,$B$1)</f>
        <v>-4.0999999999999996</v>
      </c>
      <c r="AB32" s="100">
        <f>_xll.EQNXTDZ($A$1,$B32,AB$1,$B$1)</f>
        <v>-13.64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452.17599999999999</v>
      </c>
      <c r="U35" s="100">
        <f>_xll.EQNXTDZ($A$1,$B35,U$1,$B$1)</f>
        <v>638.98900000000003</v>
      </c>
      <c r="V35" s="100">
        <f>_xll.EQNXTDZ($A$1,$B35,V$1,$B$1)</f>
        <v>310.06</v>
      </c>
      <c r="W35" s="100">
        <f>_xll.EQNXTDZ($A$1,$B35,W$1,$B$1)</f>
        <v>-285.38</v>
      </c>
      <c r="X35" s="100">
        <f>_xll.EQNXTDZ($A$1,$B35,X$1,$B$1)</f>
        <v>-909.46</v>
      </c>
      <c r="Y35" s="100">
        <f>_xll.EQNXTDZ($A$1,$B35,Y$1,$B$1)</f>
        <v>-1169.55</v>
      </c>
      <c r="Z35" s="100">
        <f>_xll.EQNXTDZ($A$1,$B35,Z$1,$B$1)</f>
        <v>-211.92</v>
      </c>
      <c r="AA35" s="100">
        <f>_xll.EQNXTDZ($A$1,$B35,AA$1,$B$1)</f>
        <v>81.45</v>
      </c>
      <c r="AB35" s="100">
        <f>_xll.EQNXTDZ($A$1,$B35,AB$1,$B$1)</f>
        <v>-309.43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16.036000000000001</v>
      </c>
      <c r="U41" s="55">
        <f>_xll.EQNXTDZ($A$1,$B41,U$1,$B$1)</f>
        <v>16.036000000000001</v>
      </c>
      <c r="V41" s="55">
        <f>_xll.EQNXTDZ($A$1,$B41,V$1,$B$1)</f>
        <v>16.04</v>
      </c>
      <c r="W41" s="55">
        <f>_xll.EQNXTDZ($A$1,$B41,W$1,$B$1)</f>
        <v>16.04</v>
      </c>
      <c r="X41" s="55">
        <f>_xll.EQNXTDZ($A$1,$B41,X$1,$B$1)</f>
        <v>18.97</v>
      </c>
      <c r="Y41" s="55">
        <f>_xll.EQNXTDZ($A$1,$B41,Y$1,$B$1)</f>
        <v>18.97</v>
      </c>
      <c r="Z41" s="55">
        <f>_xll.EQNXTDZ($A$1,$B41,Z$1,$B$1)</f>
        <v>23.32</v>
      </c>
      <c r="AA41" s="55">
        <f>_xll.EQNXTDZ($A$1,$B41,AA$1,$B$1)</f>
        <v>23.35</v>
      </c>
      <c r="AB41" s="55">
        <f>_xll.EQNXTDZ($A$1,$B41,AB$1,$B$1)</f>
        <v>23.35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3.71</v>
      </c>
      <c r="Y42" s="55">
        <f>_xll.EQNXTDZ($A$1,$B42,Y$1,$B$1)</f>
        <v>7.05</v>
      </c>
      <c r="Z42" s="55">
        <f>_xll.EQNXTDZ($A$1,$B42,Z$1,$B$1)</f>
        <v>5.97</v>
      </c>
      <c r="AA42" s="55">
        <f>_xll.EQNXTDZ($A$1,$B42,AA$1,$B$1)</f>
        <v>2.76</v>
      </c>
      <c r="AB42" s="55">
        <f>_xll.EQNXTDZ($A$1,$B42,AB$1,$B$1)</f>
        <v>3.94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180.55500000000001</v>
      </c>
      <c r="U43" s="55">
        <f>_xll.EQNXTDZ($A$1,$B43,U$1,$B$1)</f>
        <v>824.97</v>
      </c>
      <c r="V43" s="55">
        <f>_xll.EQNXTDZ($A$1,$B43,V$1,$B$1)</f>
        <v>1064.92</v>
      </c>
      <c r="W43" s="55">
        <f>_xll.EQNXTDZ($A$1,$B43,W$1,$B$1)</f>
        <v>645.84</v>
      </c>
      <c r="X43" s="55">
        <f>_xll.EQNXTDZ($A$1,$B43,X$1,$B$1)</f>
        <v>894.08</v>
      </c>
      <c r="Y43" s="55">
        <f>_xll.EQNXTDZ($A$1,$B43,Y$1,$B$1)</f>
        <v>-251.1</v>
      </c>
      <c r="Z43" s="55">
        <f>_xll.EQNXTDZ($A$1,$B43,Z$1,$B$1)</f>
        <v>939.88</v>
      </c>
      <c r="AA43" s="55">
        <f>_xll.EQNXTDZ($A$1,$B43,AA$1,$B$1)</f>
        <v>980.95</v>
      </c>
      <c r="AB43" s="55">
        <f>_xll.EQNXTDZ($A$1,$B43,AB$1,$B$1)</f>
        <v>622.46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196.59100000000001</v>
      </c>
      <c r="U44" s="55">
        <f>_xll.EQNXTDZ($A$1,$B44,U$1,$B$1)</f>
        <v>841.00599999999997</v>
      </c>
      <c r="V44" s="55">
        <f>_xll.EQNXTDZ($A$1,$B44,V$1,$B$1)</f>
        <v>1080.96</v>
      </c>
      <c r="W44" s="55">
        <f>_xll.EQNXTDZ($A$1,$B44,W$1,$B$1)</f>
        <v>661.88</v>
      </c>
      <c r="X44" s="55">
        <f>_xll.EQNXTDZ($A$1,$B44,X$1,$B$1)</f>
        <v>916.76</v>
      </c>
      <c r="Y44" s="55">
        <f>_xll.EQNXTDZ($A$1,$B44,Y$1,$B$1)</f>
        <v>-225.08</v>
      </c>
      <c r="Z44" s="55">
        <f>_xll.EQNXTDZ($A$1,$B44,Z$1,$B$1)</f>
        <v>969.17</v>
      </c>
      <c r="AA44" s="55">
        <f>_xll.EQNXTDZ($A$1,$B44,AA$1,$B$1)</f>
        <v>1007.06</v>
      </c>
      <c r="AB44" s="55">
        <f>_xll.EQNXTDZ($A$1,$B44,AB$1,$B$1)</f>
        <v>649.75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-2.7149999999999999</v>
      </c>
      <c r="U45" s="55">
        <f>_xll.EQNXTDZ($A$1,$B45,U$1,$B$1)</f>
        <v>-3.4849999999999999</v>
      </c>
      <c r="V45" s="55">
        <f>_xll.EQNXTDZ($A$1,$B45,V$1,$B$1)</f>
        <v>-8.36</v>
      </c>
      <c r="W45" s="55">
        <f>_xll.EQNXTDZ($A$1,$B45,W$1,$B$1)</f>
        <v>-4.0999999999999996</v>
      </c>
      <c r="X45" s="55">
        <f>_xll.EQNXTDZ($A$1,$B45,X$1,$B$1)</f>
        <v>-10.93</v>
      </c>
      <c r="Y45" s="55">
        <f>_xll.EQNXTDZ($A$1,$B45,Y$1,$B$1)</f>
        <v>-15.22</v>
      </c>
      <c r="Z45" s="55">
        <f>_xll.EQNXTDZ($A$1,$B45,Z$1,$B$1)</f>
        <v>-14.16</v>
      </c>
      <c r="AA45" s="55">
        <f>_xll.EQNXTDZ($A$1,$B45,AA$1,$B$1)</f>
        <v>-12.54</v>
      </c>
      <c r="AB45" s="55">
        <f>_xll.EQNXTDZ($A$1,$B45,AB$1,$B$1)</f>
        <v>1.48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700</v>
      </c>
      <c r="Z47" s="55">
        <f>_xll.EQNXTDZ($A$1,$B47,Z$1,$B$1)</f>
        <v>246.21</v>
      </c>
      <c r="AA47" s="55">
        <f>_xll.EQNXTDZ($A$1,$B47,AA$1,$B$1)</f>
        <v>523.79</v>
      </c>
      <c r="AB47" s="55">
        <f>_xll.EQNXTDZ($A$1,$B47,AB$1,$B$1)</f>
        <v>497.42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2E-3</v>
      </c>
      <c r="U48" s="55">
        <f>_xll.EQNXTDZ($A$1,$B48,U$1,$B$1)</f>
        <v>2E-3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-11.023</v>
      </c>
      <c r="U49" s="55">
        <f>_xll.EQNXTDZ($A$1,$B49,U$1,$B$1)</f>
        <v>-32.122999999999998</v>
      </c>
      <c r="V49" s="55">
        <f>_xll.EQNXTDZ($A$1,$B49,V$1,$B$1)</f>
        <v>-36.369999999999997</v>
      </c>
      <c r="W49" s="55">
        <f>_xll.EQNXTDZ($A$1,$B49,W$1,$B$1)</f>
        <v>-120.58</v>
      </c>
      <c r="X49" s="55">
        <f>_xll.EQNXTDZ($A$1,$B49,X$1,$B$1)</f>
        <v>-100.88</v>
      </c>
      <c r="Y49" s="55">
        <f>_xll.EQNXTDZ($A$1,$B49,Y$1,$B$1)</f>
        <v>-98.11</v>
      </c>
      <c r="Z49" s="55">
        <f>_xll.EQNXTDZ($A$1,$B49,Z$1,$B$1)</f>
        <v>-63.94</v>
      </c>
      <c r="AA49" s="55">
        <f>_xll.EQNXTDZ($A$1,$B49,AA$1,$B$1)</f>
        <v>-24.63</v>
      </c>
      <c r="AB49" s="55">
        <f>_xll.EQNXTDZ($A$1,$B49,AB$1,$B$1)</f>
        <v>-40.619999999999997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6.79</v>
      </c>
      <c r="W50" s="55">
        <f>_xll.EQNXTDZ($A$1,$B50,W$1,$B$1)</f>
        <v>9.11</v>
      </c>
      <c r="X50" s="55">
        <f>_xll.EQNXTDZ($A$1,$B50,X$1,$B$1)</f>
        <v>7.95</v>
      </c>
      <c r="Y50" s="55">
        <f>_xll.EQNXTDZ($A$1,$B50,Y$1,$B$1)</f>
        <v>11.09</v>
      </c>
      <c r="Z50" s="55">
        <f>_xll.EQNXTDZ($A$1,$B50,Z$1,$B$1)</f>
        <v>31.35</v>
      </c>
      <c r="AA50" s="55">
        <f>_xll.EQNXTDZ($A$1,$B50,AA$1,$B$1)</f>
        <v>27.16</v>
      </c>
      <c r="AB50" s="55">
        <f>_xll.EQNXTDZ($A$1,$B50,AB$1,$B$1)</f>
        <v>18.47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5.5739999999999998</v>
      </c>
      <c r="U52" s="55">
        <f>_xll.EQNXTDZ($A$1,$B52,U$1,$B$1)</f>
        <v>8.6110000000000007</v>
      </c>
      <c r="V52" s="55">
        <f>_xll.EQNXTDZ($A$1,$B52,V$1,$B$1)</f>
        <v>22.96</v>
      </c>
      <c r="W52" s="55">
        <f>_xll.EQNXTDZ($A$1,$B52,W$1,$B$1)</f>
        <v>26.12</v>
      </c>
      <c r="X52" s="55">
        <f>_xll.EQNXTDZ($A$1,$B52,X$1,$B$1)</f>
        <v>25.46</v>
      </c>
      <c r="Y52" s="55">
        <f>_xll.EQNXTDZ($A$1,$B52,Y$1,$B$1)</f>
        <v>19.239999999999998</v>
      </c>
      <c r="Z52" s="55">
        <f>_xll.EQNXTDZ($A$1,$B52,Z$1,$B$1)</f>
        <v>22.4</v>
      </c>
      <c r="AA52" s="55">
        <f>_xll.EQNXTDZ($A$1,$B52,AA$1,$B$1)</f>
        <v>45.7</v>
      </c>
      <c r="AB52" s="55">
        <f>_xll.EQNXTDZ($A$1,$B52,AB$1,$B$1)</f>
        <v>42.38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-5.4470000000000001</v>
      </c>
      <c r="U53" s="55">
        <f>_xll.EQNXTDZ($A$1,$B53,U$1,$B$1)</f>
        <v>-23.51</v>
      </c>
      <c r="V53" s="55">
        <f>_xll.EQNXTDZ($A$1,$B53,V$1,$B$1)</f>
        <v>-6.62</v>
      </c>
      <c r="W53" s="55">
        <f>_xll.EQNXTDZ($A$1,$B53,W$1,$B$1)</f>
        <v>-85.35</v>
      </c>
      <c r="X53" s="55">
        <f>_xll.EQNXTDZ($A$1,$B53,X$1,$B$1)</f>
        <v>-67.47</v>
      </c>
      <c r="Y53" s="55">
        <f>_xll.EQNXTDZ($A$1,$B53,Y$1,$B$1)</f>
        <v>632.22</v>
      </c>
      <c r="Z53" s="55">
        <f>_xll.EQNXTDZ($A$1,$B53,Z$1,$B$1)</f>
        <v>236.02</v>
      </c>
      <c r="AA53" s="55">
        <f>_xll.EQNXTDZ($A$1,$B53,AA$1,$B$1)</f>
        <v>572.02</v>
      </c>
      <c r="AB53" s="55">
        <f>_xll.EQNXTDZ($A$1,$B53,AB$1,$B$1)</f>
        <v>517.65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3739.7939999999999</v>
      </c>
      <c r="U54" s="55">
        <f>_xll.EQNXTDZ($A$1,$B54,U$1,$B$1)</f>
        <v>1912.549</v>
      </c>
      <c r="V54" s="55">
        <f>_xll.EQNXTDZ($A$1,$B54,V$1,$B$1)</f>
        <v>2221.14</v>
      </c>
      <c r="W54" s="55">
        <f>_xll.EQNXTDZ($A$1,$B54,W$1,$B$1)</f>
        <v>1856.73</v>
      </c>
      <c r="X54" s="55">
        <f>_xll.EQNXTDZ($A$1,$B54,X$1,$B$1)</f>
        <v>1402.86</v>
      </c>
      <c r="Y54" s="55">
        <f>_xll.EQNXTDZ($A$1,$B54,Y$1,$B$1)</f>
        <v>649.96</v>
      </c>
      <c r="Z54" s="55">
        <f>_xll.EQNXTDZ($A$1,$B54,Z$1,$B$1)</f>
        <v>1507.82</v>
      </c>
      <c r="AA54" s="55">
        <f>_xll.EQNXTDZ($A$1,$B54,AA$1,$B$1)</f>
        <v>2750.04</v>
      </c>
      <c r="AB54" s="55">
        <f>_xll.EQNXTDZ($A$1,$B54,AB$1,$B$1)</f>
        <v>2501.5100000000002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733.46400000000006</v>
      </c>
      <c r="U55" s="55">
        <f>_xll.EQNXTDZ($A$1,$B55,U$1,$B$1)</f>
        <v>278.35500000000002</v>
      </c>
      <c r="V55" s="55">
        <f>_xll.EQNXTDZ($A$1,$B55,V$1,$B$1)</f>
        <v>359.81</v>
      </c>
      <c r="W55" s="55">
        <f>_xll.EQNXTDZ($A$1,$B55,W$1,$B$1)</f>
        <v>524.80999999999995</v>
      </c>
      <c r="X55" s="55">
        <f>_xll.EQNXTDZ($A$1,$B55,X$1,$B$1)</f>
        <v>500.84</v>
      </c>
      <c r="Y55" s="55">
        <f>_xll.EQNXTDZ($A$1,$B55,Y$1,$B$1)</f>
        <v>856.04</v>
      </c>
      <c r="Z55" s="55">
        <f>_xll.EQNXTDZ($A$1,$B55,Z$1,$B$1)</f>
        <v>1413.38</v>
      </c>
      <c r="AA55" s="55">
        <f>_xll.EQNXTDZ($A$1,$B55,AA$1,$B$1)</f>
        <v>1219.97</v>
      </c>
      <c r="AB55" s="55">
        <f>_xll.EQNXTDZ($A$1,$B55,AB$1,$B$1)</f>
        <v>1505.29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184.13499999999999</v>
      </c>
      <c r="U56" s="55">
        <f>_xll.EQNXTDZ($A$1,$B56,U$1,$B$1)</f>
        <v>2227.7739999999999</v>
      </c>
      <c r="V56" s="55">
        <f>_xll.EQNXTDZ($A$1,$B56,V$1,$B$1)</f>
        <v>1224.04</v>
      </c>
      <c r="W56" s="55">
        <f>_xll.EQNXTDZ($A$1,$B56,W$1,$B$1)</f>
        <v>468.35</v>
      </c>
      <c r="X56" s="55">
        <f>_xll.EQNXTDZ($A$1,$B56,X$1,$B$1)</f>
        <v>435.06</v>
      </c>
      <c r="Y56" s="55">
        <f>_xll.EQNXTDZ($A$1,$B56,Y$1,$B$1)</f>
        <v>1114.95</v>
      </c>
      <c r="Z56" s="55">
        <f>_xll.EQNXTDZ($A$1,$B56,Z$1,$B$1)</f>
        <v>73.62</v>
      </c>
      <c r="AA56" s="55">
        <f>_xll.EQNXTDZ($A$1,$B56,AA$1,$B$1)</f>
        <v>29.69</v>
      </c>
      <c r="AB56" s="55">
        <f>_xll.EQNXTDZ($A$1,$B56,AB$1,$B$1)</f>
        <v>47.39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140.21100000000001</v>
      </c>
      <c r="U57" s="55">
        <f>_xll.EQNXTDZ($A$1,$B57,U$1,$B$1)</f>
        <v>313.08499999999998</v>
      </c>
      <c r="V57" s="55">
        <f>_xll.EQNXTDZ($A$1,$B57,V$1,$B$1)</f>
        <v>447.42</v>
      </c>
      <c r="W57" s="55">
        <f>_xll.EQNXTDZ($A$1,$B57,W$1,$B$1)</f>
        <v>166.47</v>
      </c>
      <c r="X57" s="55">
        <f>_xll.EQNXTDZ($A$1,$B57,X$1,$B$1)</f>
        <v>221.99</v>
      </c>
      <c r="Y57" s="55">
        <f>_xll.EQNXTDZ($A$1,$B57,Y$1,$B$1)</f>
        <v>79.39</v>
      </c>
      <c r="Z57" s="55">
        <f>_xll.EQNXTDZ($A$1,$B57,Z$1,$B$1)</f>
        <v>50.72</v>
      </c>
      <c r="AA57" s="55">
        <f>_xll.EQNXTDZ($A$1,$B57,AA$1,$B$1)</f>
        <v>39.15</v>
      </c>
      <c r="AB57" s="55">
        <f>_xll.EQNXTDZ($A$1,$B57,AB$1,$B$1)</f>
        <v>53.73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4797.6040000000003</v>
      </c>
      <c r="U59" s="55">
        <f>_xll.EQNXTDZ($A$1,$B59,U$1,$B$1)</f>
        <v>4731.7629999999999</v>
      </c>
      <c r="V59" s="55">
        <f>_xll.EQNXTDZ($A$1,$B59,V$1,$B$1)</f>
        <v>4252.41</v>
      </c>
      <c r="W59" s="55">
        <f>_xll.EQNXTDZ($A$1,$B59,W$1,$B$1)</f>
        <v>3016.36</v>
      </c>
      <c r="X59" s="55">
        <f>_xll.EQNXTDZ($A$1,$B59,X$1,$B$1)</f>
        <v>2560.75</v>
      </c>
      <c r="Y59" s="55">
        <f>_xll.EQNXTDZ($A$1,$B59,Y$1,$B$1)</f>
        <v>2700.34</v>
      </c>
      <c r="Z59" s="55">
        <f>_xll.EQNXTDZ($A$1,$B59,Z$1,$B$1)</f>
        <v>3045.54</v>
      </c>
      <c r="AA59" s="55">
        <f>_xll.EQNXTDZ($A$1,$B59,AA$1,$B$1)</f>
        <v>4038.85</v>
      </c>
      <c r="AB59" s="55">
        <f>_xll.EQNXTDZ($A$1,$B59,AB$1,$B$1)</f>
        <v>4107.92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4986.0330000000004</v>
      </c>
      <c r="U60" s="55">
        <f>_xll.EQNXTDZ($A$1,$B60,U$1,$B$1)</f>
        <v>5545.7740000000003</v>
      </c>
      <c r="V60" s="55">
        <f>_xll.EQNXTDZ($A$1,$B60,V$1,$B$1)</f>
        <v>5318.39</v>
      </c>
      <c r="W60" s="55">
        <f>_xll.EQNXTDZ($A$1,$B60,W$1,$B$1)</f>
        <v>3588.79</v>
      </c>
      <c r="X60" s="55">
        <f>_xll.EQNXTDZ($A$1,$B60,X$1,$B$1)</f>
        <v>3399.11</v>
      </c>
      <c r="Y60" s="55">
        <f>_xll.EQNXTDZ($A$1,$B60,Y$1,$B$1)</f>
        <v>3092.26</v>
      </c>
      <c r="Z60" s="55">
        <f>_xll.EQNXTDZ($A$1,$B60,Z$1,$B$1)</f>
        <v>4236.57</v>
      </c>
      <c r="AA60" s="55">
        <f>_xll.EQNXTDZ($A$1,$B60,AA$1,$B$1)</f>
        <v>5605.39</v>
      </c>
      <c r="AB60" s="55">
        <f>_xll.EQNXTDZ($A$1,$B60,AB$1,$B$1)</f>
        <v>5276.8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26.952000000000002</v>
      </c>
      <c r="U62" s="55">
        <f>_xll.EQNXTDZ($A$1,$B62,U$1,$B$1)</f>
        <v>50.561</v>
      </c>
      <c r="V62" s="55">
        <f>_xll.EQNXTDZ($A$1,$B62,V$1,$B$1)</f>
        <v>73.430000000000007</v>
      </c>
      <c r="W62" s="55">
        <f>_xll.EQNXTDZ($A$1,$B62,W$1,$B$1)</f>
        <v>85.52</v>
      </c>
      <c r="X62" s="55">
        <f>_xll.EQNXTDZ($A$1,$B62,X$1,$B$1)</f>
        <v>88.25</v>
      </c>
      <c r="Y62" s="55">
        <f>_xll.EQNXTDZ($A$1,$B62,Y$1,$B$1)</f>
        <v>105.4</v>
      </c>
      <c r="Z62" s="55">
        <f>_xll.EQNXTDZ($A$1,$B62,Z$1,$B$1)</f>
        <v>132.38</v>
      </c>
      <c r="AA62" s="55">
        <f>_xll.EQNXTDZ($A$1,$B62,AA$1,$B$1)</f>
        <v>114.16</v>
      </c>
      <c r="AB62" s="55">
        <f>_xll.EQNXTDZ($A$1,$B62,AB$1,$B$1)</f>
        <v>101.03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5.7009999999999996</v>
      </c>
      <c r="U63" s="55">
        <f>_xll.EQNXTDZ($A$1,$B63,U$1,$B$1)</f>
        <v>19.071999999999999</v>
      </c>
      <c r="V63" s="55">
        <f>_xll.EQNXTDZ($A$1,$B63,V$1,$B$1)</f>
        <v>27.94</v>
      </c>
      <c r="W63" s="55">
        <f>_xll.EQNXTDZ($A$1,$B63,W$1,$B$1)</f>
        <v>39.18</v>
      </c>
      <c r="X63" s="55">
        <f>_xll.EQNXTDZ($A$1,$B63,X$1,$B$1)</f>
        <v>46.06</v>
      </c>
      <c r="Y63" s="55">
        <f>_xll.EQNXTDZ($A$1,$B63,Y$1,$B$1)</f>
        <v>61.16</v>
      </c>
      <c r="Z63" s="55">
        <f>_xll.EQNXTDZ($A$1,$B63,Z$1,$B$1)</f>
        <v>76.17</v>
      </c>
      <c r="AA63" s="55">
        <f>_xll.EQNXTDZ($A$1,$B63,AA$1,$B$1)</f>
        <v>68.3</v>
      </c>
      <c r="AB63" s="55">
        <f>_xll.EQNXTDZ($A$1,$B63,AB$1,$B$1)</f>
        <v>59.75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21.251000000000001</v>
      </c>
      <c r="U65" s="55">
        <f>_xll.EQNXTDZ($A$1,$B65,U$1,$B$1)</f>
        <v>31.489000000000001</v>
      </c>
      <c r="V65" s="55">
        <f>_xll.EQNXTDZ($A$1,$B65,V$1,$B$1)</f>
        <v>45.49</v>
      </c>
      <c r="W65" s="55">
        <f>_xll.EQNXTDZ($A$1,$B65,W$1,$B$1)</f>
        <v>46.34</v>
      </c>
      <c r="X65" s="55">
        <f>_xll.EQNXTDZ($A$1,$B65,X$1,$B$1)</f>
        <v>42.19</v>
      </c>
      <c r="Y65" s="55">
        <f>_xll.EQNXTDZ($A$1,$B65,Y$1,$B$1)</f>
        <v>44.24</v>
      </c>
      <c r="Z65" s="55">
        <f>_xll.EQNXTDZ($A$1,$B65,Z$1,$B$1)</f>
        <v>56.21</v>
      </c>
      <c r="AA65" s="55">
        <f>_xll.EQNXTDZ($A$1,$B65,AA$1,$B$1)</f>
        <v>45.86</v>
      </c>
      <c r="AB65" s="55">
        <f>_xll.EQNXTDZ($A$1,$B65,AB$1,$B$1)</f>
        <v>41.28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2.8740000000000001</v>
      </c>
      <c r="U67" s="55">
        <f>_xll.EQNXTDZ($A$1,$B67,U$1,$B$1)</f>
        <v>0</v>
      </c>
      <c r="V67" s="55">
        <f>_xll.EQNXTDZ($A$1,$B67,V$1,$B$1)</f>
        <v>3.26</v>
      </c>
      <c r="W67" s="55">
        <f>_xll.EQNXTDZ($A$1,$B67,W$1,$B$1)</f>
        <v>7.0000000000000007E-2</v>
      </c>
      <c r="X67" s="55">
        <f>_xll.EQNXTDZ($A$1,$B67,X$1,$B$1)</f>
        <v>7.0000000000000007E-2</v>
      </c>
      <c r="Y67" s="55">
        <f>_xll.EQNXTDZ($A$1,$B67,Y$1,$B$1)</f>
        <v>0.08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0.32</v>
      </c>
      <c r="W68" s="55">
        <f>_xll.EQNXTDZ($A$1,$B68,W$1,$B$1)</f>
        <v>0.32</v>
      </c>
      <c r="X68" s="55">
        <f>_xll.EQNXTDZ($A$1,$B68,X$1,$B$1)</f>
        <v>0.32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6.1550000000000002</v>
      </c>
      <c r="U72" s="55">
        <f>_xll.EQNXTDZ($A$1,$B72,U$1,$B$1)</f>
        <v>2.9129999999999998</v>
      </c>
      <c r="V72" s="55">
        <f>_xll.EQNXTDZ($A$1,$B72,V$1,$B$1)</f>
        <v>12.78</v>
      </c>
      <c r="W72" s="55">
        <f>_xll.EQNXTDZ($A$1,$B72,W$1,$B$1)</f>
        <v>39.22</v>
      </c>
      <c r="X72" s="55">
        <f>_xll.EQNXTDZ($A$1,$B72,X$1,$B$1)</f>
        <v>45.48</v>
      </c>
      <c r="Y72" s="55">
        <f>_xll.EQNXTDZ($A$1,$B72,Y$1,$B$1)</f>
        <v>64.260000000000005</v>
      </c>
      <c r="Z72" s="55">
        <f>_xll.EQNXTDZ($A$1,$B72,Z$1,$B$1)</f>
        <v>32.51</v>
      </c>
      <c r="AA72" s="55">
        <f>_xll.EQNXTDZ($A$1,$B72,AA$1,$B$1)</f>
        <v>94.6</v>
      </c>
      <c r="AB72" s="55">
        <f>_xll.EQNXTDZ($A$1,$B72,AB$1,$B$1)</f>
        <v>132.83000000000001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0.26100000000000001</v>
      </c>
      <c r="U73" s="55">
        <f>_xll.EQNXTDZ($A$1,$B73,U$1,$B$1)</f>
        <v>0.70599999999999996</v>
      </c>
      <c r="V73" s="55">
        <f>_xll.EQNXTDZ($A$1,$B73,V$1,$B$1)</f>
        <v>1.96</v>
      </c>
      <c r="W73" s="55">
        <f>_xll.EQNXTDZ($A$1,$B73,W$1,$B$1)</f>
        <v>17.77</v>
      </c>
      <c r="X73" s="55">
        <f>_xll.EQNXTDZ($A$1,$B73,X$1,$B$1)</f>
        <v>4</v>
      </c>
      <c r="Y73" s="55">
        <f>_xll.EQNXTDZ($A$1,$B73,Y$1,$B$1)</f>
        <v>10</v>
      </c>
      <c r="Z73" s="55">
        <f>_xll.EQNXTDZ($A$1,$B73,Z$1,$B$1)</f>
        <v>26.95</v>
      </c>
      <c r="AA73" s="55">
        <f>_xll.EQNXTDZ($A$1,$B73,AA$1,$B$1)</f>
        <v>285.94</v>
      </c>
      <c r="AB73" s="55">
        <f>_xll.EQNXTDZ($A$1,$B73,AB$1,$B$1)</f>
        <v>334.71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30.541</v>
      </c>
      <c r="U74" s="55">
        <f>_xll.EQNXTDZ($A$1,$B74,U$1,$B$1)</f>
        <v>35.107999999999997</v>
      </c>
      <c r="V74" s="55">
        <f>_xll.EQNXTDZ($A$1,$B74,V$1,$B$1)</f>
        <v>63.81</v>
      </c>
      <c r="W74" s="55">
        <f>_xll.EQNXTDZ($A$1,$B74,W$1,$B$1)</f>
        <v>103.72</v>
      </c>
      <c r="X74" s="55">
        <f>_xll.EQNXTDZ($A$1,$B74,X$1,$B$1)</f>
        <v>92.06</v>
      </c>
      <c r="Y74" s="55">
        <f>_xll.EQNXTDZ($A$1,$B74,Y$1,$B$1)</f>
        <v>118.58</v>
      </c>
      <c r="Z74" s="55">
        <f>_xll.EQNXTDZ($A$1,$B74,Z$1,$B$1)</f>
        <v>115.67</v>
      </c>
      <c r="AA74" s="55">
        <f>_xll.EQNXTDZ($A$1,$B74,AA$1,$B$1)</f>
        <v>426.4</v>
      </c>
      <c r="AB74" s="55">
        <f>_xll.EQNXTDZ($A$1,$B74,AB$1,$B$1)</f>
        <v>508.82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0.159</v>
      </c>
      <c r="U75" s="55">
        <f>_xll.EQNXTDZ($A$1,$B75,U$1,$B$1)</f>
        <v>0.16900000000000001</v>
      </c>
      <c r="V75" s="55">
        <f>_xll.EQNXTDZ($A$1,$B75,V$1,$B$1)</f>
        <v>0.46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0.01</v>
      </c>
      <c r="AB75" s="55">
        <f>_xll.EQNXTDZ($A$1,$B75,AB$1,$B$1)</f>
        <v>0.5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18.556000000000001</v>
      </c>
      <c r="U76" s="55">
        <f>_xll.EQNXTDZ($A$1,$B76,U$1,$B$1)</f>
        <v>13.147</v>
      </c>
      <c r="V76" s="55">
        <f>_xll.EQNXTDZ($A$1,$B76,V$1,$B$1)</f>
        <v>14.51</v>
      </c>
      <c r="W76" s="55">
        <f>_xll.EQNXTDZ($A$1,$B76,W$1,$B$1)</f>
        <v>3.09</v>
      </c>
      <c r="X76" s="55">
        <f>_xll.EQNXTDZ($A$1,$B76,X$1,$B$1)</f>
        <v>3.9</v>
      </c>
      <c r="Y76" s="55">
        <f>_xll.EQNXTDZ($A$1,$B76,Y$1,$B$1)</f>
        <v>1.57</v>
      </c>
      <c r="Z76" s="55">
        <f>_xll.EQNXTDZ($A$1,$B76,Z$1,$B$1)</f>
        <v>1.1399999999999999</v>
      </c>
      <c r="AA76" s="55">
        <f>_xll.EQNXTDZ($A$1,$B76,AA$1,$B$1)</f>
        <v>2.61</v>
      </c>
      <c r="AB76" s="55">
        <f>_xll.EQNXTDZ($A$1,$B76,AB$1,$B$1)</f>
        <v>2.11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1821.47</v>
      </c>
      <c r="U77" s="55">
        <f>_xll.EQNXTDZ($A$1,$B77,U$1,$B$1)</f>
        <v>1900.2180000000001</v>
      </c>
      <c r="V77" s="55">
        <f>_xll.EQNXTDZ($A$1,$B77,V$1,$B$1)</f>
        <v>2030.31</v>
      </c>
      <c r="W77" s="55">
        <f>_xll.EQNXTDZ($A$1,$B77,W$1,$B$1)</f>
        <v>848.86</v>
      </c>
      <c r="X77" s="55">
        <f>_xll.EQNXTDZ($A$1,$B77,X$1,$B$1)</f>
        <v>783.96</v>
      </c>
      <c r="Y77" s="55">
        <f>_xll.EQNXTDZ($A$1,$B77,Y$1,$B$1)</f>
        <v>790.25</v>
      </c>
      <c r="Z77" s="55">
        <f>_xll.EQNXTDZ($A$1,$B77,Z$1,$B$1)</f>
        <v>831.69</v>
      </c>
      <c r="AA77" s="55">
        <f>_xll.EQNXTDZ($A$1,$B77,AA$1,$B$1)</f>
        <v>1254.03</v>
      </c>
      <c r="AB77" s="55">
        <f>_xll.EQNXTDZ($A$1,$B77,AB$1,$B$1)</f>
        <v>1799.27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104.133</v>
      </c>
      <c r="U78" s="55">
        <f>_xll.EQNXTDZ($A$1,$B78,U$1,$B$1)</f>
        <v>454.541</v>
      </c>
      <c r="V78" s="55">
        <f>_xll.EQNXTDZ($A$1,$B78,V$1,$B$1)</f>
        <v>499.35</v>
      </c>
      <c r="W78" s="55">
        <f>_xll.EQNXTDZ($A$1,$B78,W$1,$B$1)</f>
        <v>290.95</v>
      </c>
      <c r="X78" s="55">
        <f>_xll.EQNXTDZ($A$1,$B78,X$1,$B$1)</f>
        <v>504.04</v>
      </c>
      <c r="Y78" s="55">
        <f>_xll.EQNXTDZ($A$1,$B78,Y$1,$B$1)</f>
        <v>95.18</v>
      </c>
      <c r="Z78" s="55">
        <f>_xll.EQNXTDZ($A$1,$B78,Z$1,$B$1)</f>
        <v>339.19</v>
      </c>
      <c r="AA78" s="55">
        <f>_xll.EQNXTDZ($A$1,$B78,AA$1,$B$1)</f>
        <v>710.94</v>
      </c>
      <c r="AB78" s="55">
        <f>_xll.EQNXTDZ($A$1,$B78,AB$1,$B$1)</f>
        <v>533.9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2371.056</v>
      </c>
      <c r="U79" s="55">
        <f>_xll.EQNXTDZ($A$1,$B79,U$1,$B$1)</f>
        <v>610.95799999999997</v>
      </c>
      <c r="V79" s="55">
        <f>_xll.EQNXTDZ($A$1,$B79,V$1,$B$1)</f>
        <v>252.33</v>
      </c>
      <c r="W79" s="55">
        <f>_xll.EQNXTDZ($A$1,$B79,W$1,$B$1)</f>
        <v>228.08</v>
      </c>
      <c r="X79" s="55">
        <f>_xll.EQNXTDZ($A$1,$B79,X$1,$B$1)</f>
        <v>776.29</v>
      </c>
      <c r="Y79" s="55">
        <f>_xll.EQNXTDZ($A$1,$B79,Y$1,$B$1)</f>
        <v>1278.75</v>
      </c>
      <c r="Z79" s="55">
        <f>_xll.EQNXTDZ($A$1,$B79,Z$1,$B$1)</f>
        <v>1317.39</v>
      </c>
      <c r="AA79" s="55">
        <f>_xll.EQNXTDZ($A$1,$B79,AA$1,$B$1)</f>
        <v>1092.06</v>
      </c>
      <c r="AB79" s="55">
        <f>_xll.EQNXTDZ($A$1,$B79,AB$1,$B$1)</f>
        <v>801.75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640.11800000000005</v>
      </c>
      <c r="U80" s="55">
        <f>_xll.EQNXTDZ($A$1,$B80,U$1,$B$1)</f>
        <v>2531.6329999999998</v>
      </c>
      <c r="V80" s="55">
        <f>_xll.EQNXTDZ($A$1,$B80,V$1,$B$1)</f>
        <v>2457.62</v>
      </c>
      <c r="W80" s="55">
        <f>_xll.EQNXTDZ($A$1,$B80,W$1,$B$1)</f>
        <v>2114.09</v>
      </c>
      <c r="X80" s="55">
        <f>_xll.EQNXTDZ($A$1,$B80,X$1,$B$1)</f>
        <v>1238.8599999999999</v>
      </c>
      <c r="Y80" s="55">
        <f>_xll.EQNXTDZ($A$1,$B80,Y$1,$B$1)</f>
        <v>807.93</v>
      </c>
      <c r="Z80" s="55">
        <f>_xll.EQNXTDZ($A$1,$B80,Z$1,$B$1)</f>
        <v>1631.49</v>
      </c>
      <c r="AA80" s="55">
        <f>_xll.EQNXTDZ($A$1,$B80,AA$1,$B$1)</f>
        <v>2119.34</v>
      </c>
      <c r="AB80" s="55">
        <f>_xll.EQNXTDZ($A$1,$B80,AB$1,$B$1)</f>
        <v>1630.45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4955.4920000000002</v>
      </c>
      <c r="U82" s="55">
        <f>_xll.EQNXTDZ($A$1,$B82,U$1,$B$1)</f>
        <v>5510.6660000000002</v>
      </c>
      <c r="V82" s="55">
        <f>_xll.EQNXTDZ($A$1,$B82,V$1,$B$1)</f>
        <v>5254.58</v>
      </c>
      <c r="W82" s="55">
        <f>_xll.EQNXTDZ($A$1,$B82,W$1,$B$1)</f>
        <v>3485.07</v>
      </c>
      <c r="X82" s="55">
        <f>_xll.EQNXTDZ($A$1,$B82,X$1,$B$1)</f>
        <v>3307.05</v>
      </c>
      <c r="Y82" s="55">
        <f>_xll.EQNXTDZ($A$1,$B82,Y$1,$B$1)</f>
        <v>2973.68</v>
      </c>
      <c r="Z82" s="55">
        <f>_xll.EQNXTDZ($A$1,$B82,Z$1,$B$1)</f>
        <v>4120.8999999999996</v>
      </c>
      <c r="AA82" s="55">
        <f>_xll.EQNXTDZ($A$1,$B82,AA$1,$B$1)</f>
        <v>5178.99</v>
      </c>
      <c r="AB82" s="55">
        <f>_xll.EQNXTDZ($A$1,$B82,AB$1,$B$1)</f>
        <v>4767.9799999999996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4986.0330000000004</v>
      </c>
      <c r="U84" s="55">
        <f>_xll.EQNXTDZ($A$1,$B84,U$1,$B$1)</f>
        <v>5545.7740000000003</v>
      </c>
      <c r="V84" s="55">
        <f>_xll.EQNXTDZ($A$1,$B84,V$1,$B$1)</f>
        <v>5318.39</v>
      </c>
      <c r="W84" s="55">
        <f>_xll.EQNXTDZ($A$1,$B84,W$1,$B$1)</f>
        <v>3588.79</v>
      </c>
      <c r="X84" s="55">
        <f>_xll.EQNXTDZ($A$1,$B84,X$1,$B$1)</f>
        <v>3399.11</v>
      </c>
      <c r="Y84" s="55">
        <f>_xll.EQNXTDZ($A$1,$B84,Y$1,$B$1)</f>
        <v>3092.26</v>
      </c>
      <c r="Z84" s="55">
        <f>_xll.EQNXTDZ($A$1,$B84,Z$1,$B$1)</f>
        <v>4236.57</v>
      </c>
      <c r="AA84" s="55">
        <f>_xll.EQNXTDZ($A$1,$B84,AA$1,$B$1)</f>
        <v>5605.39</v>
      </c>
      <c r="AB84" s="55">
        <f>_xll.EQNXTDZ($A$1,$B84,AB$1,$B$1)</f>
        <v>5276.8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206.154</v>
      </c>
      <c r="U85" s="55">
        <f>_xll.EQNXTDZ($A$1,$B85,U$1,$B$1)</f>
        <v>0.17199999999999999</v>
      </c>
      <c r="V85" s="55">
        <f>_xll.EQNXTDZ($A$1,$B85,V$1,$B$1)</f>
        <v>140.28</v>
      </c>
      <c r="W85" s="55">
        <f>_xll.EQNXTDZ($A$1,$B85,W$1,$B$1)</f>
        <v>278.25</v>
      </c>
      <c r="X85" s="55">
        <f>_xll.EQNXTDZ($A$1,$B85,X$1,$B$1)</f>
        <v>1194.52</v>
      </c>
      <c r="Y85" s="55">
        <f>_xll.EQNXTDZ($A$1,$B85,Y$1,$B$1)</f>
        <v>1208.29</v>
      </c>
      <c r="Z85" s="55">
        <f>_xll.EQNXTDZ($A$1,$B85,Z$1,$B$1)</f>
        <v>1050.17</v>
      </c>
      <c r="AA85" s="55">
        <f>_xll.EQNXTDZ($A$1,$B85,AA$1,$B$1)</f>
        <v>859.53</v>
      </c>
      <c r="AB85" s="55">
        <f>_xll.EQNXTDZ($A$1,$B85,AB$1,$B$1)</f>
        <v>522.29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3.1150000000000002</v>
      </c>
      <c r="V86" s="55">
        <f>_xll.EQNXTDZ($A$1,$B86,V$1,$B$1)</f>
        <v>3.36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200</v>
      </c>
      <c r="Z88" s="55">
        <f>_xll.EQNXTDZ($A$1,$B88,Z$1,$B$1)</f>
        <v>156.83000000000001</v>
      </c>
      <c r="AA88" s="55">
        <f>_xll.EQNXTDZ($A$1,$B88,AA$1,$B$1)</f>
        <v>347.99</v>
      </c>
      <c r="AB88" s="55">
        <f>_xll.EQNXTDZ($A$1,$B88,AB$1,$B$1)</f>
        <v>618.98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3.1150000000000002</v>
      </c>
      <c r="V91" s="55">
        <f>_xll.EQNXTDZ($A$1,$B91,V$1,$B$1)</f>
        <v>3.36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130.28100000000001</v>
      </c>
      <c r="U93" s="55">
        <f>_xll.EQNXTDZ($A$1,$B93,U$1,$B$1)</f>
        <v>0.17199999999999999</v>
      </c>
      <c r="V93" s="55">
        <f>_xll.EQNXTDZ($A$1,$B93,V$1,$B$1)</f>
        <v>140.28</v>
      </c>
      <c r="W93" s="55">
        <f>_xll.EQNXTDZ($A$1,$B93,W$1,$B$1)</f>
        <v>278.25</v>
      </c>
      <c r="X93" s="55">
        <f>_xll.EQNXTDZ($A$1,$B93,X$1,$B$1)</f>
        <v>1194.52</v>
      </c>
      <c r="Y93" s="55">
        <f>_xll.EQNXTDZ($A$1,$B93,Y$1,$B$1)</f>
        <v>1208.29</v>
      </c>
      <c r="Z93" s="55">
        <f>_xll.EQNXTDZ($A$1,$B93,Z$1,$B$1)</f>
        <v>1050.17</v>
      </c>
      <c r="AA93" s="55">
        <f>_xll.EQNXTDZ($A$1,$B93,AA$1,$B$1)</f>
        <v>859.53</v>
      </c>
      <c r="AB93" s="55">
        <f>_xll.EQNXTDZ($A$1,$B93,AB$1,$B$1)</f>
        <v>522.29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75.873000000000005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16.036000000000001</v>
      </c>
      <c r="U104" s="55">
        <f>_xll.EQNXTDZ($A$1,$B104,U$1,$B$1)</f>
        <v>16.036000000000001</v>
      </c>
      <c r="V104" s="55">
        <f>_xll.EQNXTDZ($A$1,$B104,V$1,$B$1)</f>
        <v>16.04</v>
      </c>
      <c r="W104" s="55">
        <f>_xll.EQNXTDZ($A$1,$B104,W$1,$B$1)</f>
        <v>16.04</v>
      </c>
      <c r="X104" s="55">
        <f>_xll.EQNXTDZ($A$1,$B104,X$1,$B$1)</f>
        <v>18.97</v>
      </c>
      <c r="Y104" s="55">
        <f>_xll.EQNXTDZ($A$1,$B104,Y$1,$B$1)</f>
        <v>18.97</v>
      </c>
      <c r="Z104" s="55">
        <f>_xll.EQNXTDZ($A$1,$B104,Z$1,$B$1)</f>
        <v>23.32</v>
      </c>
      <c r="AA104" s="55">
        <f>_xll.EQNXTDZ($A$1,$B104,AA$1,$B$1)</f>
        <v>23.35</v>
      </c>
      <c r="AB104" s="55">
        <f>_xll.EQNXTDZ($A$1,$B104,AB$1,$B$1)</f>
        <v>23.35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10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76.900000000000006</v>
      </c>
      <c r="W106" s="55">
        <f>_xll.EQNXTDZ($A$1,$B106,W$1,$B$1)</f>
        <v>257.60000000000002</v>
      </c>
      <c r="X106" s="55">
        <f>_xll.EQNXTDZ($A$1,$B106,X$1,$B$1)</f>
        <v>317.39999999999998</v>
      </c>
      <c r="Y106" s="55">
        <f>_xll.EQNXTDZ($A$1,$B106,Y$1,$B$1)</f>
        <v>292.14999999999998</v>
      </c>
      <c r="Z106" s="55">
        <f>_xll.EQNXTDZ($A$1,$B106,Z$1,$B$1)</f>
        <v>523.85</v>
      </c>
      <c r="AA106" s="55">
        <f>_xll.EQNXTDZ($A$1,$B106,AA$1,$B$1)</f>
        <v>250.5</v>
      </c>
      <c r="AB106" s="55">
        <f>_xll.EQNXTDZ($A$1,$B106,AB$1,$B$1)</f>
        <v>148.94999999999999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755.5</v>
      </c>
      <c r="W107" s="55">
        <f>_xll.EQNXTDZ($A$1,$B107,W$1,$B$1)</f>
        <v>327</v>
      </c>
      <c r="X107" s="55">
        <f>_xll.EQNXTDZ($A$1,$B107,X$1,$B$1)</f>
        <v>509</v>
      </c>
      <c r="Y107" s="55">
        <f>_xll.EQNXTDZ($A$1,$B107,Y$1,$B$1)</f>
        <v>400</v>
      </c>
      <c r="Z107" s="55">
        <f>_xll.EQNXTDZ($A$1,$B107,Z$1,$B$1)</f>
        <v>646.95000000000005</v>
      </c>
      <c r="AA107" s="55">
        <f>_xll.EQNXTDZ($A$1,$B107,AA$1,$B$1)</f>
        <v>828</v>
      </c>
      <c r="AB107" s="55">
        <f>_xll.EQNXTDZ($A$1,$B107,AB$1,$B$1)</f>
        <v>348.9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69.75</v>
      </c>
      <c r="W108" s="55">
        <f>_xll.EQNXTDZ($A$1,$B108,W$1,$B$1)</f>
        <v>73.099999999999994</v>
      </c>
      <c r="X108" s="55">
        <f>_xll.EQNXTDZ($A$1,$B108,X$1,$B$1)</f>
        <v>219</v>
      </c>
      <c r="Y108" s="55">
        <f>_xll.EQNXTDZ($A$1,$B108,Y$1,$B$1)</f>
        <v>255.25</v>
      </c>
      <c r="Z108" s="55">
        <f>_xll.EQNXTDZ($A$1,$B108,Z$1,$B$1)</f>
        <v>253.45</v>
      </c>
      <c r="AA108" s="55">
        <f>_xll.EQNXTDZ($A$1,$B108,AA$1,$B$1)</f>
        <v>218.2</v>
      </c>
      <c r="AB108" s="55">
        <f>_xll.EQNXTDZ($A$1,$B108,AB$1,$B$1)</f>
        <v>148.30000000000001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1233.4760000000001</v>
      </c>
      <c r="W109" s="55">
        <f>_xll.EQNXTDZ($A$1,$B109,W$1,$B$1)</f>
        <v>4131.9040000000005</v>
      </c>
      <c r="X109" s="55">
        <f>_xll.EQNXTDZ($A$1,$B109,X$1,$B$1)</f>
        <v>6021.0780000000004</v>
      </c>
      <c r="Y109" s="55">
        <f>_xll.EQNXTDZ($A$1,$B109,Y$1,$B$1)</f>
        <v>5542.0855000000001</v>
      </c>
      <c r="Z109" s="55">
        <f>_xll.EQNXTDZ($A$1,$B109,Z$1,$B$1)</f>
        <v>12216.182000000001</v>
      </c>
      <c r="AA109" s="55">
        <f>_xll.EQNXTDZ($A$1,$B109,AA$1,$B$1)</f>
        <v>5849.1750000000002</v>
      </c>
      <c r="AB109" s="55">
        <f>_xll.EQNXTDZ($A$1,$B109,AB$1,$B$1)</f>
        <v>3477.9825000000001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6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77.22</v>
      </c>
      <c r="W112" s="56">
        <f>_xll.EQNXTDZ($A$1,$B112,W$5)</f>
        <v>69.36</v>
      </c>
      <c r="X112" s="56">
        <f>_xll.EQNXTDZ($A$1,$B112,X$5)</f>
        <v>78.56</v>
      </c>
      <c r="Y112" s="56">
        <f>_xll.EQNXTDZ($A$1,$B112,Y$5)</f>
        <v>72.73</v>
      </c>
      <c r="Z112" s="56">
        <f>_xll.EQNXTDZ($A$1,$B112,Z$5)</f>
        <v>52.94</v>
      </c>
      <c r="AA112" s="56">
        <f>_xll.EQNXTDZ($A$1,$B112,AA$5)</f>
        <v>45.73</v>
      </c>
      <c r="AB112" s="56">
        <f>_xll.EQNXTDZ($A$1,$B112,AB$5)</f>
        <v>45.72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48.23</v>
      </c>
      <c r="W113" s="56">
        <f>_xll.EQNXTDZ($A$1,$B113,W$5)</f>
        <v>53.69</v>
      </c>
      <c r="X113" s="56">
        <f>_xll.EQNXTDZ($A$1,$B113,X$5)</f>
        <v>30.87</v>
      </c>
      <c r="Y113" s="56">
        <f>_xll.EQNXTDZ($A$1,$B113,Y$5)</f>
        <v>39.520000000000003</v>
      </c>
      <c r="Z113" s="56">
        <f>_xll.EQNXTDZ($A$1,$B113,Z$5)</f>
        <v>37.159999999999997</v>
      </c>
      <c r="AA113" s="56">
        <f>_xll.EQNXTDZ($A$1,$B113,AA$5)</f>
        <v>27.62</v>
      </c>
      <c r="AB113" s="56">
        <f>_xll.EQNXTDZ($A$1,$B113,AB$5)</f>
        <v>27.62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295131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706</v>
      </c>
      <c r="CL6" cm="1">
        <f t="array" ref="CL6">_xll.EQNXTDZ($A$1,$B6,CL$1)</f>
        <v>607</v>
      </c>
      <c r="CM6" cm="1">
        <f t="array" ref="CM6">_xll.EQNXTDZ($A$1,$B6,CM$1)</f>
        <v>612.1</v>
      </c>
      <c r="CN6" cm="1">
        <f t="array" ref="CN6">_xll.EQNXTDZ($A$1,$B6,CN$1)</f>
        <v>582</v>
      </c>
      <c r="CO6" cm="1">
        <f t="array" ref="CO6">_xll.EQNXTDZ($A$1,$B6,CO$1)</f>
        <v>305.25</v>
      </c>
      <c r="CP6" cm="1">
        <f t="array" ref="CP6">_xll.EQNXTDZ($A$1,$B6,CP$1)</f>
        <v>335</v>
      </c>
      <c r="CQ6" cm="1">
        <f t="array" ref="CQ6">_xll.EQNXTDZ($A$1,$B6,CQ$1)</f>
        <v>297.75</v>
      </c>
      <c r="CR6" cm="1">
        <f t="array" ref="CR6">_xll.EQNXTDZ($A$1,$B6,CR$1)</f>
        <v>175.95</v>
      </c>
      <c r="CS6" cm="1">
        <f t="array" ref="CS6">_xll.EQNXTDZ($A$1,$B6,CS$1)</f>
        <v>80.849999999999994</v>
      </c>
      <c r="CT6" cm="1">
        <f t="array" ref="CT6">_xll.EQNXTDZ($A$1,$B6,CT$1)</f>
        <v>157.4</v>
      </c>
      <c r="CU6" cm="1">
        <f t="array" ref="CU6">_xll.EQNXTDZ($A$1,$B6,CU$1)</f>
        <v>141.44999999999999</v>
      </c>
      <c r="CV6" cm="1">
        <f t="array" ref="CV6">_xll.EQNXTDZ($A$1,$B6,CV$1)</f>
        <v>230.6</v>
      </c>
      <c r="CW6" cm="1">
        <f t="array" ref="CW6">_xll.EQNXTDZ($A$1,$B6,CW$1)</f>
        <v>223.5</v>
      </c>
      <c r="CX6" cm="1">
        <f t="array" ref="CX6">_xll.EQNXTDZ($A$1,$B6,CX$1)</f>
        <v>253</v>
      </c>
      <c r="CY6" cm="1">
        <f t="array" ref="CY6">_xll.EQNXTDZ($A$1,$B6,CY$1)</f>
        <v>229.3</v>
      </c>
      <c r="CZ6" cm="1">
        <f t="array" ref="CZ6">_xll.EQNXTDZ($A$1,$B6,CZ$1)</f>
        <v>216.85</v>
      </c>
      <c r="DA6" cm="1">
        <f t="array" ref="DA6">_xll.EQNXTDZ($A$1,$B6,DA$1)</f>
        <v>219</v>
      </c>
      <c r="DB6" cm="1">
        <f t="array" ref="DB6">_xll.EQNXTDZ($A$1,$B6,DB$1)</f>
        <v>263</v>
      </c>
      <c r="DC6" cm="1">
        <f t="array" ref="DC6">_xll.EQNXTDZ($A$1,$B6,DC$1)</f>
        <v>236</v>
      </c>
      <c r="DD6" cm="1">
        <f t="array" ref="DD6">_xll.EQNXTDZ($A$1,$B6,DD$1)</f>
        <v>230.9</v>
      </c>
      <c r="DE6" cm="1">
        <f t="array" ref="DE6">_xll.EQNXTDZ($A$1,$B6,DE$1)</f>
        <v>263.7</v>
      </c>
      <c r="DF6" cm="1">
        <f t="array" ref="DF6">_xll.EQNXTDZ($A$1,$B6,DF$1)</f>
        <v>301</v>
      </c>
      <c r="DG6" cm="1">
        <f t="array" ref="DG6">_xll.EQNXTDZ($A$1,$B6,DG$1)</f>
        <v>226</v>
      </c>
      <c r="DH6" cm="1">
        <f t="array" ref="DH6">_xll.EQNXTDZ($A$1,$B6,DH$1)</f>
        <v>280</v>
      </c>
      <c r="DI6" cm="1">
        <f t="array" ref="DI6">_xll.EQNXTDZ($A$1,$B6,DI$1)</f>
        <v>287.2</v>
      </c>
      <c r="DJ6" cm="1">
        <f t="array" ref="DJ6">_xll.EQNXTDZ($A$1,$B6,DJ$1)</f>
        <v>314.85000000000002</v>
      </c>
      <c r="DK6" cm="1">
        <f t="array" ref="DK6">_xll.EQNXTDZ($A$1,$B6,DK$1)</f>
        <v>397.1</v>
      </c>
      <c r="DL6" cm="1">
        <f t="array" ref="DL6">_xll.EQNXTDZ($A$1,$B6,DL$1)</f>
        <v>439.7</v>
      </c>
      <c r="DM6" cm="1">
        <f t="array" ref="DM6">_xll.EQNXTDZ($A$1,$B6,DM$1)</f>
        <v>404.5</v>
      </c>
      <c r="DN6" cm="1">
        <f t="array" ref="DN6">_xll.EQNXTDZ($A$1,$B6,DN$1)</f>
        <v>383</v>
      </c>
      <c r="DO6" cm="1">
        <f t="array" ref="DO6">_xll.EQNXTDZ($A$1,$B6,DO$1)</f>
        <v>395.1</v>
      </c>
      <c r="DP6" cm="1">
        <f t="array" ref="DP6">_xll.EQNXTDZ($A$1,$B6,DP$1)</f>
        <v>318</v>
      </c>
      <c r="DQ6" cm="1">
        <f t="array" ref="DQ6">_xll.EQNXTDZ($A$1,$B6,DQ$1)</f>
        <v>320</v>
      </c>
      <c r="DR6" cm="1">
        <f t="array" ref="DR6">_xll.EQNXTDZ($A$1,$B6,DR$1)</f>
        <v>376.5</v>
      </c>
      <c r="DS6" cm="1">
        <f t="array" ref="DS6">_xll.EQNXTDZ($A$1,$B6,DS$1)</f>
        <v>330</v>
      </c>
      <c r="DT6" cm="1">
        <f t="array" ref="DT6">_xll.EQNXTDZ($A$1,$B6,DT$1)</f>
        <v>294.8</v>
      </c>
      <c r="DU6" cm="1">
        <f t="array" ref="DU6">_xll.EQNXTDZ($A$1,$B6,DU$1)</f>
        <v>287</v>
      </c>
      <c r="DV6" cm="1">
        <f t="array" ref="DV6">_xll.EQNXTDZ($A$1,$B6,DV$1)</f>
        <v>295.89999999999998</v>
      </c>
      <c r="DW6" cm="1">
        <f t="array" ref="DW6">_xll.EQNXTDZ($A$1,$B6,DW$1)</f>
        <v>307.5</v>
      </c>
      <c r="DX6" cm="1">
        <f t="array" ref="DX6">_xll.EQNXTDZ($A$1,$B6,DX$1)</f>
        <v>289.60000000000002</v>
      </c>
      <c r="DY6" cm="1">
        <f t="array" ref="DY6">_xll.EQNXTDZ($A$1,$B6,DY$1)</f>
        <v>293.25</v>
      </c>
      <c r="DZ6" cm="1">
        <f t="array" ref="DZ6">_xll.EQNXTDZ($A$1,$B6,DZ$1)</f>
        <v>267.35000000000002</v>
      </c>
      <c r="EA6" cm="1">
        <f t="array" ref="EA6">_xll.EQNXTDZ($A$1,$B6,EA$1)</f>
        <v>299</v>
      </c>
      <c r="EB6" cm="1">
        <f t="array" ref="EB6">_xll.EQNXTDZ($A$1,$B6,EB$1)</f>
        <v>292</v>
      </c>
      <c r="EC6" cm="1">
        <f t="array" ref="EC6">_xll.EQNXTDZ($A$1,$B6,EC$1)</f>
        <v>298</v>
      </c>
      <c r="ED6" cm="1">
        <f t="array" ref="ED6">_xll.EQNXTDZ($A$1,$B6,ED$1)</f>
        <v>297.10000000000002</v>
      </c>
      <c r="EE6" cm="1">
        <f t="array" ref="EE6">_xll.EQNXTDZ($A$1,$B6,EE$1)</f>
        <v>286</v>
      </c>
      <c r="EF6" cm="1">
        <f t="array" ref="EF6">_xll.EQNXTDZ($A$1,$B6,EF$1)</f>
        <v>291.60000000000002</v>
      </c>
      <c r="EG6" cm="1">
        <f t="array" ref="EG6">_xll.EQNXTDZ($A$1,$B6,EG$1)</f>
        <v>402.7</v>
      </c>
      <c r="EH6" cm="1">
        <f t="array" ref="EH6">_xll.EQNXTDZ($A$1,$B6,EH$1)</f>
        <v>380</v>
      </c>
      <c r="EI6" cm="1">
        <f t="array" ref="EI6">_xll.EQNXTDZ($A$1,$B6,EI$1)</f>
        <v>357</v>
      </c>
      <c r="EJ6" cm="1">
        <f t="array" ref="EJ6">_xll.EQNXTDZ($A$1,$B6,EJ$1)</f>
        <v>264.95</v>
      </c>
      <c r="EK6" cm="1">
        <f t="array" ref="EK6">_xll.EQNXTDZ($A$1,$B6,EK$1)</f>
        <v>345</v>
      </c>
      <c r="EL6" cm="1">
        <f t="array" ref="EL6">_xll.EQNXTDZ($A$1,$B6,EL$1)</f>
        <v>439</v>
      </c>
      <c r="EM6" cm="1">
        <f t="array" ref="EM6">_xll.EQNXTDZ($A$1,$B6,EM$1)</f>
        <v>584.95000000000005</v>
      </c>
      <c r="EN6" cm="1">
        <f t="array" ref="EN6">_xll.EQNXTDZ($A$1,$B6,EN$1)</f>
        <v>609.79999999999995</v>
      </c>
      <c r="EO6" cm="1">
        <f t="array" ref="EO6">_xll.EQNXTDZ($A$1,$B6,EO$1)</f>
        <v>528</v>
      </c>
      <c r="EP6" cm="1">
        <f t="array" ref="EP6">_xll.EQNXTDZ($A$1,$B6,EP$1)</f>
        <v>665.2</v>
      </c>
      <c r="EQ6" cm="1">
        <f t="array" ref="EQ6">_xll.EQNXTDZ($A$1,$B6,EQ$1)</f>
        <v>736.9</v>
      </c>
      <c r="ER6" cm="1">
        <f t="array" ref="ER6">_xll.EQNXTDZ($A$1,$B6,ER$1)</f>
        <v>722</v>
      </c>
      <c r="ES6" cm="1">
        <f t="array" ref="ES6">_xll.EQNXTDZ($A$1,$B6,ES$1)</f>
        <v>692</v>
      </c>
      <c r="ET6" cm="1">
        <f t="array" ref="ET6">_xll.EQNXTDZ($A$1,$B6,ET$1)</f>
        <v>677</v>
      </c>
      <c r="EU6" cm="1">
        <f t="array" ref="EU6">_xll.EQNXTDZ($A$1,$B6,EU$1)</f>
        <v>614</v>
      </c>
      <c r="EV6" cm="1">
        <f t="array" ref="EV6">_xll.EQNXTDZ($A$1,$B6,EV$1)</f>
        <v>592</v>
      </c>
      <c r="EW6" cm="1">
        <f t="array" ref="EW6">_xll.EQNXTDZ($A$1,$B6,EW$1)</f>
        <v>486.45</v>
      </c>
      <c r="EX6" cm="1">
        <f t="array" ref="EX6">_xll.EQNXTDZ($A$1,$B6,EX$1)</f>
        <v>454.6</v>
      </c>
      <c r="EY6" cm="1">
        <f t="array" ref="EY6">_xll.EQNXTDZ($A$1,$B6,EY$1)</f>
        <v>334.4</v>
      </c>
      <c r="EZ6" cm="1">
        <f t="array" ref="EZ6">_xll.EQNXTDZ($A$1,$B6,EZ$1)</f>
        <v>256.5</v>
      </c>
      <c r="FA6" cm="1">
        <f t="array" ref="FA6">_xll.EQNXTDZ($A$1,$B6,FA$1)</f>
        <v>248.95</v>
      </c>
      <c r="FB6" cm="1">
        <f t="array" ref="FB6">_xll.EQNXTDZ($A$1,$B6,FB$1)</f>
        <v>267.55</v>
      </c>
      <c r="FC6" cm="1">
        <f t="array" ref="FC6">_xll.EQNXTDZ($A$1,$B6,FC$1)</f>
        <v>285</v>
      </c>
      <c r="FD6" cm="1">
        <f t="array" ref="FD6">_xll.EQNXTDZ($A$1,$B6,FD$1)</f>
        <v>321</v>
      </c>
      <c r="FE6" cm="1">
        <f t="array" ref="FE6">_xll.EQNXTDZ($A$1,$B6,FE$1)</f>
        <v>282</v>
      </c>
      <c r="FF6" cm="1">
        <f t="array" ref="FF6">_xll.EQNXTDZ($A$1,$B6,FF$1)</f>
        <v>261.35000000000002</v>
      </c>
      <c r="FG6" cm="1">
        <f t="array" ref="FG6">_xll.EQNXTDZ($A$1,$B6,FG$1)</f>
        <v>242.29</v>
      </c>
      <c r="FH6" cm="1">
        <f t="array" ref="FH6">_xll.EQNXTDZ($A$1,$B6,FH$1)</f>
        <v>220.9</v>
      </c>
      <c r="FI6" cm="1">
        <f t="array" ref="FI6">_xll.EQNXTDZ($A$1,$B6,FI$1)</f>
        <v>233</v>
      </c>
      <c r="FJ6" cm="1">
        <f t="array" ref="FJ6">_xll.EQNXTDZ($A$1,$B6,FJ$1)</f>
        <v>214</v>
      </c>
      <c r="FK6" cm="1">
        <f t="array" ref="FK6">_xll.EQNXTDZ($A$1,$B6,FK$1)</f>
        <v>187</v>
      </c>
      <c r="FL6" cm="1">
        <f t="array" ref="FL6">_xll.EQNXTDZ($A$1,$B6,FL$1)</f>
        <v>184</v>
      </c>
      <c r="FM6" cm="1">
        <f t="array" ref="FM6">_xll.EQNXTDZ($A$1,$B6,FM$1)</f>
        <v>154.30000000000001</v>
      </c>
      <c r="FN6" cm="1">
        <f t="array" ref="FN6">_xll.EQNXTDZ($A$1,$B6,FN$1)</f>
        <v>210</v>
      </c>
      <c r="FO6" cm="1">
        <f t="array" ref="FO6">_xll.EQNXTDZ($A$1,$B6,FO$1)</f>
        <v>187.95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753.45</v>
      </c>
      <c r="CL7" s="116" cm="1">
        <f t="array" ref="CL7">_xll.EQNXTDZ($A$1,$B7,CL$1)</f>
        <v>664.85</v>
      </c>
      <c r="CM7" s="116" cm="1">
        <f t="array" ref="CM7">_xll.EQNXTDZ($A$1,$B7,CM$1)</f>
        <v>630.04999999999995</v>
      </c>
      <c r="CN7" s="116" cm="1">
        <f t="array" ref="CN7">_xll.EQNXTDZ($A$1,$B7,CN$1)</f>
        <v>587.75</v>
      </c>
      <c r="CO7" s="116" cm="1">
        <f t="array" ref="CO7">_xll.EQNXTDZ($A$1,$B7,CO$1)</f>
        <v>328</v>
      </c>
      <c r="CP7" s="116" cm="1">
        <f t="array" ref="CP7">_xll.EQNXTDZ($A$1,$B7,CP$1)</f>
        <v>339.45</v>
      </c>
      <c r="CQ7" s="116" cm="1">
        <f t="array" ref="CQ7">_xll.EQNXTDZ($A$1,$B7,CQ$1)</f>
        <v>327.95</v>
      </c>
      <c r="CR7" s="116" cm="1">
        <f t="array" ref="CR7">_xll.EQNXTDZ($A$1,$B7,CR$1)</f>
        <v>177</v>
      </c>
      <c r="CS7" s="116" cm="1">
        <f t="array" ref="CS7">_xll.EQNXTDZ($A$1,$B7,CS$1)</f>
        <v>183.05</v>
      </c>
      <c r="CT7" s="116" cm="1">
        <f t="array" ref="CT7">_xll.EQNXTDZ($A$1,$B7,CT$1)</f>
        <v>157.4</v>
      </c>
      <c r="CU7" s="116" cm="1">
        <f t="array" ref="CU7">_xll.EQNXTDZ($A$1,$B7,CU$1)</f>
        <v>219.65</v>
      </c>
      <c r="CV7" s="116" cm="1">
        <f t="array" ref="CV7">_xll.EQNXTDZ($A$1,$B7,CV$1)</f>
        <v>257.60000000000002</v>
      </c>
      <c r="CW7" s="116" cm="1">
        <f t="array" ref="CW7">_xll.EQNXTDZ($A$1,$B7,CW$1)</f>
        <v>289</v>
      </c>
      <c r="CX7" s="116" cm="1">
        <f t="array" ref="CX7">_xll.EQNXTDZ($A$1,$B7,CX$1)</f>
        <v>285.5</v>
      </c>
      <c r="CY7" s="116" cm="1">
        <f t="array" ref="CY7">_xll.EQNXTDZ($A$1,$B7,CY$1)</f>
        <v>235</v>
      </c>
      <c r="CZ7" s="116" cm="1">
        <f t="array" ref="CZ7">_xll.EQNXTDZ($A$1,$B7,CZ$1)</f>
        <v>230.25</v>
      </c>
      <c r="DA7" s="116" cm="1">
        <f t="array" ref="DA7">_xll.EQNXTDZ($A$1,$B7,DA$1)</f>
        <v>294.85000000000002</v>
      </c>
      <c r="DB7" s="116" cm="1">
        <f t="array" ref="DB7">_xll.EQNXTDZ($A$1,$B7,DB$1)</f>
        <v>283.55</v>
      </c>
      <c r="DC7" s="116" cm="1">
        <f t="array" ref="DC7">_xll.EQNXTDZ($A$1,$B7,DC$1)</f>
        <v>259</v>
      </c>
      <c r="DD7" s="116" cm="1">
        <f t="array" ref="DD7">_xll.EQNXTDZ($A$1,$B7,DD$1)</f>
        <v>326.8</v>
      </c>
      <c r="DE7" s="116" cm="1">
        <f t="array" ref="DE7">_xll.EQNXTDZ($A$1,$B7,DE$1)</f>
        <v>343.8</v>
      </c>
      <c r="DF7" s="116" cm="1">
        <f t="array" ref="DF7">_xll.EQNXTDZ($A$1,$B7,DF$1)</f>
        <v>320</v>
      </c>
      <c r="DG7" s="116" cm="1">
        <f t="array" ref="DG7">_xll.EQNXTDZ($A$1,$B7,DG$1)</f>
        <v>276.75</v>
      </c>
      <c r="DH7" s="116" cm="1">
        <f t="array" ref="DH7">_xll.EQNXTDZ($A$1,$B7,DH$1)</f>
        <v>297.3</v>
      </c>
      <c r="DI7" s="116" cm="1">
        <f t="array" ref="DI7">_xll.EQNXTDZ($A$1,$B7,DI$1)</f>
        <v>324.39999999999998</v>
      </c>
      <c r="DJ7" s="116" cm="1">
        <f t="array" ref="DJ7">_xll.EQNXTDZ($A$1,$B7,DJ$1)</f>
        <v>426.95</v>
      </c>
      <c r="DK7" s="116" cm="1">
        <f t="array" ref="DK7">_xll.EQNXTDZ($A$1,$B7,DK$1)</f>
        <v>509.1</v>
      </c>
      <c r="DL7" s="116" cm="1">
        <f t="array" ref="DL7">_xll.EQNXTDZ($A$1,$B7,DL$1)</f>
        <v>458.7</v>
      </c>
      <c r="DM7" s="116" cm="1">
        <f t="array" ref="DM7">_xll.EQNXTDZ($A$1,$B7,DM$1)</f>
        <v>407.9</v>
      </c>
      <c r="DN7" s="116" cm="1">
        <f t="array" ref="DN7">_xll.EQNXTDZ($A$1,$B7,DN$1)</f>
        <v>423.45</v>
      </c>
      <c r="DO7" s="116" cm="1">
        <f t="array" ref="DO7">_xll.EQNXTDZ($A$1,$B7,DO$1)</f>
        <v>412.75</v>
      </c>
      <c r="DP7" s="116" cm="1">
        <f t="array" ref="DP7">_xll.EQNXTDZ($A$1,$B7,DP$1)</f>
        <v>339.5</v>
      </c>
      <c r="DQ7" s="116" cm="1">
        <f t="array" ref="DQ7">_xll.EQNXTDZ($A$1,$B7,DQ$1)</f>
        <v>400.45</v>
      </c>
      <c r="DR7" s="116" cm="1">
        <f t="array" ref="DR7">_xll.EQNXTDZ($A$1,$B7,DR$1)</f>
        <v>387.55</v>
      </c>
      <c r="DS7" s="116" cm="1">
        <f t="array" ref="DS7">_xll.EQNXTDZ($A$1,$B7,DS$1)</f>
        <v>344</v>
      </c>
      <c r="DT7" s="116" cm="1">
        <f t="array" ref="DT7">_xll.EQNXTDZ($A$1,$B7,DT$1)</f>
        <v>315.8</v>
      </c>
      <c r="DU7" s="116" cm="1">
        <f t="array" ref="DU7">_xll.EQNXTDZ($A$1,$B7,DU$1)</f>
        <v>309.8</v>
      </c>
      <c r="DV7" s="116" cm="1">
        <f t="array" ref="DV7">_xll.EQNXTDZ($A$1,$B7,DV$1)</f>
        <v>362.05</v>
      </c>
      <c r="DW7" s="116" cm="1">
        <f t="array" ref="DW7">_xll.EQNXTDZ($A$1,$B7,DW$1)</f>
        <v>317.35000000000002</v>
      </c>
      <c r="DX7" s="116" cm="1">
        <f t="array" ref="DX7">_xll.EQNXTDZ($A$1,$B7,DX$1)</f>
        <v>299</v>
      </c>
      <c r="DY7" s="116" cm="1">
        <f t="array" ref="DY7">_xll.EQNXTDZ($A$1,$B7,DY$1)</f>
        <v>307.85000000000002</v>
      </c>
      <c r="DZ7" s="116" cm="1">
        <f t="array" ref="DZ7">_xll.EQNXTDZ($A$1,$B7,DZ$1)</f>
        <v>294</v>
      </c>
      <c r="EA7" s="116" cm="1">
        <f t="array" ref="EA7">_xll.EQNXTDZ($A$1,$B7,EA$1)</f>
        <v>309.89999999999998</v>
      </c>
      <c r="EB7" s="116" cm="1">
        <f t="array" ref="EB7">_xll.EQNXTDZ($A$1,$B7,EB$1)</f>
        <v>338.4</v>
      </c>
      <c r="EC7" s="116" cm="1">
        <f t="array" ref="EC7">_xll.EQNXTDZ($A$1,$B7,EC$1)</f>
        <v>312.64999999999998</v>
      </c>
      <c r="ED7" s="116" cm="1">
        <f t="array" ref="ED7">_xll.EQNXTDZ($A$1,$B7,ED$1)</f>
        <v>302</v>
      </c>
      <c r="EE7" s="116" cm="1">
        <f t="array" ref="EE7">_xll.EQNXTDZ($A$1,$B7,EE$1)</f>
        <v>330</v>
      </c>
      <c r="EF7" s="116" cm="1">
        <f t="array" ref="EF7">_xll.EQNXTDZ($A$1,$B7,EF$1)</f>
        <v>403.9</v>
      </c>
      <c r="EG7" s="116" cm="1">
        <f t="array" ref="EG7">_xll.EQNXTDZ($A$1,$B7,EG$1)</f>
        <v>408.5</v>
      </c>
      <c r="EH7" s="116" cm="1">
        <f t="array" ref="EH7">_xll.EQNXTDZ($A$1,$B7,EH$1)</f>
        <v>401</v>
      </c>
      <c r="EI7" s="116" cm="1">
        <f t="array" ref="EI7">_xll.EQNXTDZ($A$1,$B7,EI$1)</f>
        <v>358.3</v>
      </c>
      <c r="EJ7" s="116" cm="1">
        <f t="array" ref="EJ7">_xll.EQNXTDZ($A$1,$B7,EJ$1)</f>
        <v>350.2</v>
      </c>
      <c r="EK7" s="116" cm="1">
        <f t="array" ref="EK7">_xll.EQNXTDZ($A$1,$B7,EK$1)</f>
        <v>454</v>
      </c>
      <c r="EL7" s="116" cm="1">
        <f t="array" ref="EL7">_xll.EQNXTDZ($A$1,$B7,EL$1)</f>
        <v>627.70000000000005</v>
      </c>
      <c r="EM7" s="116" cm="1">
        <f t="array" ref="EM7">_xll.EQNXTDZ($A$1,$B7,EM$1)</f>
        <v>647</v>
      </c>
      <c r="EN7" s="116" cm="1">
        <f t="array" ref="EN7">_xll.EQNXTDZ($A$1,$B7,EN$1)</f>
        <v>612</v>
      </c>
      <c r="EO7" s="116" cm="1">
        <f t="array" ref="EO7">_xll.EQNXTDZ($A$1,$B7,EO$1)</f>
        <v>696.2</v>
      </c>
      <c r="EP7" s="116" cm="1">
        <f t="array" ref="EP7">_xll.EQNXTDZ($A$1,$B7,EP$1)</f>
        <v>828</v>
      </c>
      <c r="EQ7" s="116" cm="1">
        <f t="array" ref="EQ7">_xll.EQNXTDZ($A$1,$B7,EQ$1)</f>
        <v>810.8</v>
      </c>
      <c r="ER7" s="116" cm="1">
        <f t="array" ref="ER7">_xll.EQNXTDZ($A$1,$B7,ER$1)</f>
        <v>734</v>
      </c>
      <c r="ES7" s="116" cm="1">
        <f t="array" ref="ES7">_xll.EQNXTDZ($A$1,$B7,ES$1)</f>
        <v>711</v>
      </c>
      <c r="ET7" s="116" cm="1">
        <f t="array" ref="ET7">_xll.EQNXTDZ($A$1,$B7,ET$1)</f>
        <v>758.45</v>
      </c>
      <c r="EU7" s="116" cm="1">
        <f t="array" ref="EU7">_xll.EQNXTDZ($A$1,$B7,EU$1)</f>
        <v>641.70000000000005</v>
      </c>
      <c r="EV7" s="116" cm="1">
        <f t="array" ref="EV7">_xll.EQNXTDZ($A$1,$B7,EV$1)</f>
        <v>603.35</v>
      </c>
      <c r="EW7" s="116" cm="1">
        <f t="array" ref="EW7">_xll.EQNXTDZ($A$1,$B7,EW$1)</f>
        <v>525.95000000000005</v>
      </c>
      <c r="EX7" s="116" cm="1">
        <f t="array" ref="EX7">_xll.EQNXTDZ($A$1,$B7,EX$1)</f>
        <v>476.9</v>
      </c>
      <c r="EY7" s="116" cm="1">
        <f t="array" ref="EY7">_xll.EQNXTDZ($A$1,$B7,EY$1)</f>
        <v>343</v>
      </c>
      <c r="EZ7" s="116" cm="1">
        <f t="array" ref="EZ7">_xll.EQNXTDZ($A$1,$B7,EZ$1)</f>
        <v>268.45</v>
      </c>
      <c r="FA7" s="116" cm="1">
        <f t="array" ref="FA7">_xll.EQNXTDZ($A$1,$B7,FA$1)</f>
        <v>333</v>
      </c>
      <c r="FB7" s="116" cm="1">
        <f t="array" ref="FB7">_xll.EQNXTDZ($A$1,$B7,FB$1)</f>
        <v>304.8</v>
      </c>
      <c r="FC7" s="116" cm="1">
        <f t="array" ref="FC7">_xll.EQNXTDZ($A$1,$B7,FC$1)</f>
        <v>348.9</v>
      </c>
      <c r="FD7" s="116" cm="1">
        <f t="array" ref="FD7">_xll.EQNXTDZ($A$1,$B7,FD$1)</f>
        <v>341</v>
      </c>
      <c r="FE7" s="116" cm="1">
        <f t="array" ref="FE7">_xll.EQNXTDZ($A$1,$B7,FE$1)</f>
        <v>286.5</v>
      </c>
      <c r="FF7" s="116" cm="1">
        <f t="array" ref="FF7">_xll.EQNXTDZ($A$1,$B7,FF$1)</f>
        <v>281.7</v>
      </c>
      <c r="FG7" s="116" cm="1">
        <f t="array" ref="FG7">_xll.EQNXTDZ($A$1,$B7,FG$1)</f>
        <v>253.23</v>
      </c>
      <c r="FH7" s="116" cm="1">
        <f t="array" ref="FH7">_xll.EQNXTDZ($A$1,$B7,FH$1)</f>
        <v>245.8</v>
      </c>
      <c r="FI7" s="116" cm="1">
        <f t="array" ref="FI7">_xll.EQNXTDZ($A$1,$B7,FI$1)</f>
        <v>238.5</v>
      </c>
      <c r="FJ7" s="116" cm="1">
        <f t="array" ref="FJ7">_xll.EQNXTDZ($A$1,$B7,FJ$1)</f>
        <v>223.7</v>
      </c>
      <c r="FK7" s="116" cm="1">
        <f t="array" ref="FK7">_xll.EQNXTDZ($A$1,$B7,FK$1)</f>
        <v>222.25</v>
      </c>
      <c r="FL7" s="116" cm="1">
        <f t="array" ref="FL7">_xll.EQNXTDZ($A$1,$B7,FL$1)</f>
        <v>195.5</v>
      </c>
      <c r="FM7" s="116" cm="1">
        <f t="array" ref="FM7">_xll.EQNXTDZ($A$1,$B7,FM$1)</f>
        <v>232</v>
      </c>
      <c r="FN7" s="116" cm="1">
        <f t="array" ref="FN7">_xll.EQNXTDZ($A$1,$B7,FN$1)</f>
        <v>224.7</v>
      </c>
      <c r="FO7" s="116" cm="1">
        <f t="array" ref="FO7">_xll.EQNXTDZ($A$1,$B7,FO$1)</f>
        <v>216.99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753.45</v>
      </c>
      <c r="IS7" s="116">
        <f>+MAX(CM7:CO7)</f>
        <v>630.04999999999995</v>
      </c>
      <c r="IT7" s="116">
        <f>+MAX(CP7:CR7)</f>
        <v>339.45</v>
      </c>
      <c r="IU7" s="116">
        <f>+MAX(CS7:CU7)</f>
        <v>219.65</v>
      </c>
      <c r="IV7" s="116">
        <f>+MAX(CV7:CX7)</f>
        <v>289</v>
      </c>
      <c r="IW7" s="116">
        <f>+MAX(CY7:DA7)</f>
        <v>294.85000000000002</v>
      </c>
      <c r="IX7" s="116">
        <f>+MAX(DB7:DD7)</f>
        <v>326.8</v>
      </c>
      <c r="IY7" s="116">
        <f>+MAX(DE7:DG7)</f>
        <v>343.8</v>
      </c>
      <c r="IZ7" s="116">
        <f>+MAX(DH7:DJ7)</f>
        <v>426.95</v>
      </c>
      <c r="JA7" s="116">
        <f>+MAX(DK7:DM7)</f>
        <v>509.1</v>
      </c>
      <c r="JB7" s="116">
        <f>+MAX(DN7:DP7)</f>
        <v>423.45</v>
      </c>
      <c r="JC7" s="116">
        <f>+MAX(DQ7:DS7)</f>
        <v>400.45</v>
      </c>
      <c r="JD7" s="116">
        <f>+MAX(DT7:DV7)</f>
        <v>362.05</v>
      </c>
      <c r="JE7" s="116">
        <f>+MAX(DW7:DY7)</f>
        <v>317.35000000000002</v>
      </c>
      <c r="JF7" s="116">
        <f>+MAX(DZ7:EB7)</f>
        <v>338.4</v>
      </c>
      <c r="JG7" s="116">
        <f>+MAX(EC7:EE7)</f>
        <v>330</v>
      </c>
      <c r="JH7" s="116">
        <f>+MAX(EF7:EH7)</f>
        <v>408.5</v>
      </c>
      <c r="JI7" s="116">
        <f>+MAX(EI7:EK7)</f>
        <v>454</v>
      </c>
      <c r="JJ7" s="116">
        <f>+MAX(EL7:EN7)</f>
        <v>647</v>
      </c>
      <c r="JK7" s="116">
        <f>MAX(EO7:EQ7)</f>
        <v>828</v>
      </c>
      <c r="JL7" s="116">
        <f>MAX(ER7:ET7)</f>
        <v>758.45</v>
      </c>
      <c r="JM7" s="116">
        <f>MAX(EU7:EW7)</f>
        <v>641.70000000000005</v>
      </c>
      <c r="JN7" s="116">
        <f>MAX(EX7:EZ7)</f>
        <v>476.9</v>
      </c>
      <c r="JO7" s="116">
        <f>MAX(FA7:FC7)</f>
        <v>348.9</v>
      </c>
      <c r="JP7" s="116">
        <f>MAX(FD7:FF7)</f>
        <v>341</v>
      </c>
      <c r="JQ7" s="116">
        <f>MAX(FG7:FI7)</f>
        <v>253.23</v>
      </c>
      <c r="JR7" s="116">
        <f>MAX(FJ7:FL7)</f>
        <v>223.7</v>
      </c>
      <c r="JS7" s="116">
        <f>MAX(FM7:FO7)</f>
        <v>232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602.9</v>
      </c>
      <c r="CL8" s="116" cm="1">
        <f t="array" ref="CL8">_xll.EQNXTDZ($A$1,$B8,CL$1)</f>
        <v>554</v>
      </c>
      <c r="CM8" s="116" cm="1">
        <f t="array" ref="CM8">_xll.EQNXTDZ($A$1,$B8,CM$1)</f>
        <v>575</v>
      </c>
      <c r="CN8" s="116" cm="1">
        <f t="array" ref="CN8">_xll.EQNXTDZ($A$1,$B8,CN$1)</f>
        <v>259.7</v>
      </c>
      <c r="CO8" s="116" cm="1">
        <f t="array" ref="CO8">_xll.EQNXTDZ($A$1,$B8,CO$1)</f>
        <v>245</v>
      </c>
      <c r="CP8" s="116" cm="1">
        <f t="array" ref="CP8">_xll.EQNXTDZ($A$1,$B8,CP$1)</f>
        <v>286.75</v>
      </c>
      <c r="CQ8" s="116" cm="1">
        <f t="array" ref="CQ8">_xll.EQNXTDZ($A$1,$B8,CQ$1)</f>
        <v>165</v>
      </c>
      <c r="CR8" s="116" cm="1">
        <f t="array" ref="CR8">_xll.EQNXTDZ($A$1,$B8,CR$1)</f>
        <v>69.7</v>
      </c>
      <c r="CS8" s="116" cm="1">
        <f t="array" ref="CS8">_xll.EQNXTDZ($A$1,$B8,CS$1)</f>
        <v>73.150000000000006</v>
      </c>
      <c r="CT8" s="116" cm="1">
        <f t="array" ref="CT8">_xll.EQNXTDZ($A$1,$B8,CT$1)</f>
        <v>106.5</v>
      </c>
      <c r="CU8" s="116" cm="1">
        <f t="array" ref="CU8">_xll.EQNXTDZ($A$1,$B8,CU$1)</f>
        <v>141.44999999999999</v>
      </c>
      <c r="CV8" s="116" cm="1">
        <f t="array" ref="CV8">_xll.EQNXTDZ($A$1,$B8,CV$1)</f>
        <v>210</v>
      </c>
      <c r="CW8" s="116" cm="1">
        <f t="array" ref="CW8">_xll.EQNXTDZ($A$1,$B8,CW$1)</f>
        <v>215</v>
      </c>
      <c r="CX8" s="116" cm="1">
        <f t="array" ref="CX8">_xll.EQNXTDZ($A$1,$B8,CX$1)</f>
        <v>188.6</v>
      </c>
      <c r="CY8" s="116" cm="1">
        <f t="array" ref="CY8">_xll.EQNXTDZ($A$1,$B8,CY$1)</f>
        <v>202</v>
      </c>
      <c r="CZ8" s="116" cm="1">
        <f t="array" ref="CZ8">_xll.EQNXTDZ($A$1,$B8,CZ$1)</f>
        <v>211.25</v>
      </c>
      <c r="DA8" s="116" cm="1">
        <f t="array" ref="DA8">_xll.EQNXTDZ($A$1,$B8,DA$1)</f>
        <v>219</v>
      </c>
      <c r="DB8" s="116" cm="1">
        <f t="array" ref="DB8">_xll.EQNXTDZ($A$1,$B8,DB$1)</f>
        <v>231.2</v>
      </c>
      <c r="DC8" s="116" cm="1">
        <f t="array" ref="DC8">_xll.EQNXTDZ($A$1,$B8,DC$1)</f>
        <v>183.5</v>
      </c>
      <c r="DD8" s="116" cm="1">
        <f t="array" ref="DD8">_xll.EQNXTDZ($A$1,$B8,DD$1)</f>
        <v>227.25</v>
      </c>
      <c r="DE8" s="116" cm="1">
        <f t="array" ref="DE8">_xll.EQNXTDZ($A$1,$B8,DE$1)</f>
        <v>262.3</v>
      </c>
      <c r="DF8" s="116" cm="1">
        <f t="array" ref="DF8">_xll.EQNXTDZ($A$1,$B8,DF$1)</f>
        <v>225.4</v>
      </c>
      <c r="DG8" s="116" cm="1">
        <f t="array" ref="DG8">_xll.EQNXTDZ($A$1,$B8,DG$1)</f>
        <v>220.05</v>
      </c>
      <c r="DH8" s="116" cm="1">
        <f t="array" ref="DH8">_xll.EQNXTDZ($A$1,$B8,DH$1)</f>
        <v>261.10000000000002</v>
      </c>
      <c r="DI8" s="116" cm="1">
        <f t="array" ref="DI8">_xll.EQNXTDZ($A$1,$B8,DI$1)</f>
        <v>248.5</v>
      </c>
      <c r="DJ8" s="116" cm="1">
        <f t="array" ref="DJ8">_xll.EQNXTDZ($A$1,$B8,DJ$1)</f>
        <v>308.05</v>
      </c>
      <c r="DK8" s="116" cm="1">
        <f t="array" ref="DK8">_xll.EQNXTDZ($A$1,$B8,DK$1)</f>
        <v>387.9</v>
      </c>
      <c r="DL8" s="116" cm="1">
        <f t="array" ref="DL8">_xll.EQNXTDZ($A$1,$B8,DL$1)</f>
        <v>380</v>
      </c>
      <c r="DM8" s="116" cm="1">
        <f t="array" ref="DM8">_xll.EQNXTDZ($A$1,$B8,DM$1)</f>
        <v>371.8</v>
      </c>
      <c r="DN8" s="116" cm="1">
        <f t="array" ref="DN8">_xll.EQNXTDZ($A$1,$B8,DN$1)</f>
        <v>370.45</v>
      </c>
      <c r="DO8" s="116" cm="1">
        <f t="array" ref="DO8">_xll.EQNXTDZ($A$1,$B8,DO$1)</f>
        <v>295.60000000000002</v>
      </c>
      <c r="DP8" s="116" cm="1">
        <f t="array" ref="DP8">_xll.EQNXTDZ($A$1,$B8,DP$1)</f>
        <v>295</v>
      </c>
      <c r="DQ8" s="116" cm="1">
        <f t="array" ref="DQ8">_xll.EQNXTDZ($A$1,$B8,DQ$1)</f>
        <v>319</v>
      </c>
      <c r="DR8" s="116" cm="1">
        <f t="array" ref="DR8">_xll.EQNXTDZ($A$1,$B8,DR$1)</f>
        <v>305.75</v>
      </c>
      <c r="DS8" s="116" cm="1">
        <f t="array" ref="DS8">_xll.EQNXTDZ($A$1,$B8,DS$1)</f>
        <v>278.05</v>
      </c>
      <c r="DT8" s="116" cm="1">
        <f t="array" ref="DT8">_xll.EQNXTDZ($A$1,$B8,DT$1)</f>
        <v>273.14999999999998</v>
      </c>
      <c r="DU8" s="116" cm="1">
        <f t="array" ref="DU8">_xll.EQNXTDZ($A$1,$B8,DU$1)</f>
        <v>275</v>
      </c>
      <c r="DV8" s="116" cm="1">
        <f t="array" ref="DV8">_xll.EQNXTDZ($A$1,$B8,DV$1)</f>
        <v>286.60000000000002</v>
      </c>
      <c r="DW8" s="116" cm="1">
        <f t="array" ref="DW8">_xll.EQNXTDZ($A$1,$B8,DW$1)</f>
        <v>286.95</v>
      </c>
      <c r="DX8" s="116" cm="1">
        <f t="array" ref="DX8">_xll.EQNXTDZ($A$1,$B8,DX$1)</f>
        <v>273.5</v>
      </c>
      <c r="DY8" s="116" cm="1">
        <f t="array" ref="DY8">_xll.EQNXTDZ($A$1,$B8,DY$1)</f>
        <v>256.25</v>
      </c>
      <c r="DZ8" s="116" cm="1">
        <f t="array" ref="DZ8">_xll.EQNXTDZ($A$1,$B8,DZ$1)</f>
        <v>260.2</v>
      </c>
      <c r="EA8" s="116" cm="1">
        <f t="array" ref="EA8">_xll.EQNXTDZ($A$1,$B8,EA$1)</f>
        <v>276</v>
      </c>
      <c r="EB8" s="116" cm="1">
        <f t="array" ref="EB8">_xll.EQNXTDZ($A$1,$B8,EB$1)</f>
        <v>289.5</v>
      </c>
      <c r="EC8" s="116" cm="1">
        <f t="array" ref="EC8">_xll.EQNXTDZ($A$1,$B8,EC$1)</f>
        <v>278.85000000000002</v>
      </c>
      <c r="ED8" s="116" cm="1">
        <f t="array" ref="ED8">_xll.EQNXTDZ($A$1,$B8,ED$1)</f>
        <v>277.05</v>
      </c>
      <c r="EE8" s="116" cm="1">
        <f t="array" ref="EE8">_xll.EQNXTDZ($A$1,$B8,EE$1)</f>
        <v>284</v>
      </c>
      <c r="EF8" s="116" cm="1">
        <f t="array" ref="EF8">_xll.EQNXTDZ($A$1,$B8,EF$1)</f>
        <v>285.5</v>
      </c>
      <c r="EG8" s="116" cm="1">
        <f t="array" ref="EG8">_xll.EQNXTDZ($A$1,$B8,EG$1)</f>
        <v>345</v>
      </c>
      <c r="EH8" s="116" cm="1">
        <f t="array" ref="EH8">_xll.EQNXTDZ($A$1,$B8,EH$1)</f>
        <v>337.5</v>
      </c>
      <c r="EI8" s="116" cm="1">
        <f t="array" ref="EI8">_xll.EQNXTDZ($A$1,$B8,EI$1)</f>
        <v>253</v>
      </c>
      <c r="EJ8" s="116" cm="1">
        <f t="array" ref="EJ8">_xll.EQNXTDZ($A$1,$B8,EJ$1)</f>
        <v>258.89999999999998</v>
      </c>
      <c r="EK8" s="116" cm="1">
        <f t="array" ref="EK8">_xll.EQNXTDZ($A$1,$B8,EK$1)</f>
        <v>336.1</v>
      </c>
      <c r="EL8" s="116" cm="1">
        <f t="array" ref="EL8">_xll.EQNXTDZ($A$1,$B8,EL$1)</f>
        <v>433.85</v>
      </c>
      <c r="EM8" s="116" cm="1">
        <f t="array" ref="EM8">_xll.EQNXTDZ($A$1,$B8,EM$1)</f>
        <v>540</v>
      </c>
      <c r="EN8" s="116" cm="1">
        <f t="array" ref="EN8">_xll.EQNXTDZ($A$1,$B8,EN$1)</f>
        <v>460</v>
      </c>
      <c r="EO8" s="116" cm="1">
        <f t="array" ref="EO8">_xll.EQNXTDZ($A$1,$B8,EO$1)</f>
        <v>479.85</v>
      </c>
      <c r="EP8" s="116" cm="1">
        <f t="array" ref="EP8">_xll.EQNXTDZ($A$1,$B8,EP$1)</f>
        <v>646</v>
      </c>
      <c r="EQ8" s="116" cm="1">
        <f t="array" ref="EQ8">_xll.EQNXTDZ($A$1,$B8,EQ$1)</f>
        <v>660</v>
      </c>
      <c r="ER8" s="116" cm="1">
        <f t="array" ref="ER8">_xll.EQNXTDZ($A$1,$B8,ER$1)</f>
        <v>624.4</v>
      </c>
      <c r="ES8" s="116" cm="1">
        <f t="array" ref="ES8">_xll.EQNXTDZ($A$1,$B8,ES$1)</f>
        <v>607.85</v>
      </c>
      <c r="ET8" s="116" cm="1">
        <f t="array" ref="ET8">_xll.EQNXTDZ($A$1,$B8,ET$1)</f>
        <v>616.35</v>
      </c>
      <c r="EU8" s="116" cm="1">
        <f t="array" ref="EU8">_xll.EQNXTDZ($A$1,$B8,EU$1)</f>
        <v>504.05</v>
      </c>
      <c r="EV8" s="116" cm="1">
        <f t="array" ref="EV8">_xll.EQNXTDZ($A$1,$B8,EV$1)</f>
        <v>459.05</v>
      </c>
      <c r="EW8" s="116" cm="1">
        <f t="array" ref="EW8">_xll.EQNXTDZ($A$1,$B8,EW$1)</f>
        <v>441.05</v>
      </c>
      <c r="EX8" s="116" cm="1">
        <f t="array" ref="EX8">_xll.EQNXTDZ($A$1,$B8,EX$1)</f>
        <v>305.64999999999998</v>
      </c>
      <c r="EY8" s="116" cm="1">
        <f t="array" ref="EY8">_xll.EQNXTDZ($A$1,$B8,EY$1)</f>
        <v>245.2</v>
      </c>
      <c r="EZ8" s="116" cm="1">
        <f t="array" ref="EZ8">_xll.EQNXTDZ($A$1,$B8,EZ$1)</f>
        <v>218.45</v>
      </c>
      <c r="FA8" s="116" cm="1">
        <f t="array" ref="FA8">_xll.EQNXTDZ($A$1,$B8,FA$1)</f>
        <v>223</v>
      </c>
      <c r="FB8" s="116" cm="1">
        <f t="array" ref="FB8">_xll.EQNXTDZ($A$1,$B8,FB$1)</f>
        <v>244.6</v>
      </c>
      <c r="FC8" s="116" cm="1">
        <f t="array" ref="FC8">_xll.EQNXTDZ($A$1,$B8,FC$1)</f>
        <v>284.45</v>
      </c>
      <c r="FD8" s="116" cm="1">
        <f t="array" ref="FD8">_xll.EQNXTDZ($A$1,$B8,FD$1)</f>
        <v>279.14999999999998</v>
      </c>
      <c r="FE8" s="116" cm="1">
        <f t="array" ref="FE8">_xll.EQNXTDZ($A$1,$B8,FE$1)</f>
        <v>256.25</v>
      </c>
      <c r="FF8" s="116" cm="1">
        <f t="array" ref="FF8">_xll.EQNXTDZ($A$1,$B8,FF$1)</f>
        <v>234.95</v>
      </c>
      <c r="FG8" s="116" cm="1">
        <f t="array" ref="FG8">_xll.EQNXTDZ($A$1,$B8,FG$1)</f>
        <v>219.12</v>
      </c>
      <c r="FH8" s="116" cm="1">
        <f t="array" ref="FH8">_xll.EQNXTDZ($A$1,$B8,FH$1)</f>
        <v>219.61</v>
      </c>
      <c r="FI8" s="116" cm="1">
        <f t="array" ref="FI8">_xll.EQNXTDZ($A$1,$B8,FI$1)</f>
        <v>196.6</v>
      </c>
      <c r="FJ8" s="116" cm="1">
        <f t="array" ref="FJ8">_xll.EQNXTDZ($A$1,$B8,FJ$1)</f>
        <v>176.6</v>
      </c>
      <c r="FK8" s="116" cm="1">
        <f t="array" ref="FK8">_xll.EQNXTDZ($A$1,$B8,FK$1)</f>
        <v>179.01</v>
      </c>
      <c r="FL8" s="116" cm="1">
        <f t="array" ref="FL8">_xll.EQNXTDZ($A$1,$B8,FL$1)</f>
        <v>148</v>
      </c>
      <c r="FM8" s="116" cm="1">
        <f t="array" ref="FM8">_xll.EQNXTDZ($A$1,$B8,FM$1)</f>
        <v>153.69999999999999</v>
      </c>
      <c r="FN8" s="116" cm="1">
        <f t="array" ref="FN8">_xll.EQNXTDZ($A$1,$B8,FN$1)</f>
        <v>186</v>
      </c>
      <c r="FO8" s="116" cm="1">
        <f t="array" ref="FO8">_xll.EQNXTDZ($A$1,$B8,FO$1)</f>
        <v>177.15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245</v>
      </c>
      <c r="IT8" s="116">
        <f>+MIN(CP8:CR8)</f>
        <v>69.7</v>
      </c>
      <c r="IU8" s="116">
        <f>+MIN(CS8:CU8)</f>
        <v>73.150000000000006</v>
      </c>
      <c r="IV8" s="116">
        <f>+MIN(CV8:CX8)</f>
        <v>188.6</v>
      </c>
      <c r="IW8" s="116">
        <f>+MIN(CY8:DA8)</f>
        <v>202</v>
      </c>
      <c r="IX8" s="116">
        <f>+MIN(DB8:DD8)</f>
        <v>183.5</v>
      </c>
      <c r="IY8" s="116">
        <f>+MIN(DE8:DG8)</f>
        <v>220.05</v>
      </c>
      <c r="IZ8" s="116">
        <f>+MIN(DH8:DJ8)</f>
        <v>248.5</v>
      </c>
      <c r="JA8" s="116">
        <f>+MIN(DK8:DM8)</f>
        <v>371.8</v>
      </c>
      <c r="JB8" s="116">
        <f>+MIN(DN8:DP8)</f>
        <v>295</v>
      </c>
      <c r="JC8" s="116">
        <f>+MIN(DQ8:DS8)</f>
        <v>278.05</v>
      </c>
      <c r="JD8" s="116">
        <f>+MIN(DT8:DV8)</f>
        <v>273.14999999999998</v>
      </c>
      <c r="JE8" s="116">
        <f>+MIN(DW8:DY8)</f>
        <v>256.25</v>
      </c>
      <c r="JF8" s="116">
        <f>+MIN(DZ8:EB8)</f>
        <v>260.2</v>
      </c>
      <c r="JG8" s="116">
        <f>+MIN(EC8:EE8)</f>
        <v>277.05</v>
      </c>
      <c r="JH8" s="116">
        <f>+MIN(EF8:EH8)</f>
        <v>285.5</v>
      </c>
      <c r="JI8" s="116">
        <f>+MIN(EI8:EK8)</f>
        <v>253</v>
      </c>
      <c r="JJ8" s="116">
        <f>+MIN(EL8:EN8)</f>
        <v>433.85</v>
      </c>
      <c r="JK8" s="116">
        <f>MIN(EO8:EQ8)</f>
        <v>479.85</v>
      </c>
      <c r="JL8" s="116">
        <f>MIN(ER8:ET8)</f>
        <v>607.85</v>
      </c>
      <c r="JM8" s="116">
        <f>MIN(EU8:EW8)</f>
        <v>441.05</v>
      </c>
      <c r="JN8" s="116">
        <f>MIN(EX8:EZ8)</f>
        <v>218.45</v>
      </c>
      <c r="JO8" s="116">
        <f>MIN(FA8:FC8)</f>
        <v>223</v>
      </c>
      <c r="JP8" s="116">
        <f>MIN(FD8:FF8)</f>
        <v>234.95</v>
      </c>
      <c r="JQ8" s="116">
        <f>MIN(FG8:FI8)</f>
        <v>196.6</v>
      </c>
      <c r="JR8" s="116">
        <f>MIN(FJ8:FL8)</f>
        <v>148</v>
      </c>
      <c r="JS8" s="116">
        <f>MIN(FM8:FO8)</f>
        <v>153.69999999999999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609.85</v>
      </c>
      <c r="CL9" s="116" cm="1">
        <f t="array" ref="CL9">_xll.EQNXTDZ($A$1,$B9,CL$1)</f>
        <v>624.4</v>
      </c>
      <c r="CM9" s="116" cm="1">
        <f t="array" ref="CM9">_xll.EQNXTDZ($A$1,$B9,CM$1)</f>
        <v>584.95000000000005</v>
      </c>
      <c r="CN9" s="116" cm="1">
        <f t="array" ref="CN9">_xll.EQNXTDZ($A$1,$B9,CN$1)</f>
        <v>305.25</v>
      </c>
      <c r="CO9" s="116" cm="1">
        <f t="array" ref="CO9">_xll.EQNXTDZ($A$1,$B9,CO$1)</f>
        <v>323.3</v>
      </c>
      <c r="CP9" s="116" cm="1">
        <f t="array" ref="CP9">_xll.EQNXTDZ($A$1,$B9,CP$1)</f>
        <v>293.25</v>
      </c>
      <c r="CQ9" s="116" cm="1">
        <f t="array" ref="CQ9">_xll.EQNXTDZ($A$1,$B9,CQ$1)</f>
        <v>166.4</v>
      </c>
      <c r="CR9" s="116" cm="1">
        <f t="array" ref="CR9">_xll.EQNXTDZ($A$1,$B9,CR$1)</f>
        <v>77</v>
      </c>
      <c r="CS9" s="116" cm="1">
        <f t="array" ref="CS9">_xll.EQNXTDZ($A$1,$B9,CS$1)</f>
        <v>165.65</v>
      </c>
      <c r="CT9" s="116" cm="1">
        <f t="array" ref="CT9">_xll.EQNXTDZ($A$1,$B9,CT$1)</f>
        <v>144.30000000000001</v>
      </c>
      <c r="CU9" s="116" cm="1">
        <f t="array" ref="CU9">_xll.EQNXTDZ($A$1,$B9,CU$1)</f>
        <v>219.65</v>
      </c>
      <c r="CV9" s="116" cm="1">
        <f t="array" ref="CV9">_xll.EQNXTDZ($A$1,$B9,CV$1)</f>
        <v>223.75</v>
      </c>
      <c r="CW9" s="116" cm="1">
        <f t="array" ref="CW9">_xll.EQNXTDZ($A$1,$B9,CW$1)</f>
        <v>252.75</v>
      </c>
      <c r="CX9" s="116" cm="1">
        <f t="array" ref="CX9">_xll.EQNXTDZ($A$1,$B9,CX$1)</f>
        <v>225.7</v>
      </c>
      <c r="CY9" s="116" cm="1">
        <f t="array" ref="CY9">_xll.EQNXTDZ($A$1,$B9,CY$1)</f>
        <v>216.85</v>
      </c>
      <c r="CZ9" s="116" cm="1">
        <f t="array" ref="CZ9">_xll.EQNXTDZ($A$1,$B9,CZ$1)</f>
        <v>222.45</v>
      </c>
      <c r="DA9" s="116" cm="1">
        <f t="array" ref="DA9">_xll.EQNXTDZ($A$1,$B9,DA$1)</f>
        <v>259.75</v>
      </c>
      <c r="DB9" s="116" cm="1">
        <f t="array" ref="DB9">_xll.EQNXTDZ($A$1,$B9,DB$1)</f>
        <v>233.3</v>
      </c>
      <c r="DC9" s="116" cm="1">
        <f t="array" ref="DC9">_xll.EQNXTDZ($A$1,$B9,DC$1)</f>
        <v>227.85</v>
      </c>
      <c r="DD9" s="116" cm="1">
        <f t="array" ref="DD9">_xll.EQNXTDZ($A$1,$B9,DD$1)</f>
        <v>258.45</v>
      </c>
      <c r="DE9" s="116" cm="1">
        <f t="array" ref="DE9">_xll.EQNXTDZ($A$1,$B9,DE$1)</f>
        <v>301</v>
      </c>
      <c r="DF9" s="116" cm="1">
        <f t="array" ref="DF9">_xll.EQNXTDZ($A$1,$B9,DF$1)</f>
        <v>226.5</v>
      </c>
      <c r="DG9" s="116" cm="1">
        <f t="array" ref="DG9">_xll.EQNXTDZ($A$1,$B9,DG$1)</f>
        <v>272.05</v>
      </c>
      <c r="DH9" s="116" cm="1">
        <f t="array" ref="DH9">_xll.EQNXTDZ($A$1,$B9,DH$1)</f>
        <v>285.39999999999998</v>
      </c>
      <c r="DI9" s="116" cm="1">
        <f t="array" ref="DI9">_xll.EQNXTDZ($A$1,$B9,DI$1)</f>
        <v>311.75</v>
      </c>
      <c r="DJ9" s="116" cm="1">
        <f t="array" ref="DJ9">_xll.EQNXTDZ($A$1,$B9,DJ$1)</f>
        <v>400</v>
      </c>
      <c r="DK9" s="116" cm="1">
        <f t="array" ref="DK9">_xll.EQNXTDZ($A$1,$B9,DK$1)</f>
        <v>434.45</v>
      </c>
      <c r="DL9" s="116" cm="1">
        <f t="array" ref="DL9">_xll.EQNXTDZ($A$1,$B9,DL$1)</f>
        <v>399.7</v>
      </c>
      <c r="DM9" s="116" cm="1">
        <f t="array" ref="DM9">_xll.EQNXTDZ($A$1,$B9,DM$1)</f>
        <v>382.4</v>
      </c>
      <c r="DN9" s="116" cm="1">
        <f t="array" ref="DN9">_xll.EQNXTDZ($A$1,$B9,DN$1)</f>
        <v>394.35</v>
      </c>
      <c r="DO9" s="116" cm="1">
        <f t="array" ref="DO9">_xll.EQNXTDZ($A$1,$B9,DO$1)</f>
        <v>319.3</v>
      </c>
      <c r="DP9" s="116" cm="1">
        <f t="array" ref="DP9">_xll.EQNXTDZ($A$1,$B9,DP$1)</f>
        <v>318.05</v>
      </c>
      <c r="DQ9" s="116" cm="1">
        <f t="array" ref="DQ9">_xll.EQNXTDZ($A$1,$B9,DQ$1)</f>
        <v>381.55</v>
      </c>
      <c r="DR9" s="116" cm="1">
        <f t="array" ref="DR9">_xll.EQNXTDZ($A$1,$B9,DR$1)</f>
        <v>328.5</v>
      </c>
      <c r="DS9" s="116" cm="1">
        <f t="array" ref="DS9">_xll.EQNXTDZ($A$1,$B9,DS$1)</f>
        <v>296.60000000000002</v>
      </c>
      <c r="DT9" s="116" cm="1">
        <f t="array" ref="DT9">_xll.EQNXTDZ($A$1,$B9,DT$1)</f>
        <v>285.39999999999998</v>
      </c>
      <c r="DU9" s="116" cm="1">
        <f t="array" ref="DU9">_xll.EQNXTDZ($A$1,$B9,DU$1)</f>
        <v>297.5</v>
      </c>
      <c r="DV9" s="116" cm="1">
        <f t="array" ref="DV9">_xll.EQNXTDZ($A$1,$B9,DV$1)</f>
        <v>309.7</v>
      </c>
      <c r="DW9" s="116" cm="1">
        <f t="array" ref="DW9">_xll.EQNXTDZ($A$1,$B9,DW$1)</f>
        <v>288.14999999999998</v>
      </c>
      <c r="DX9" s="116" cm="1">
        <f t="array" ref="DX9">_xll.EQNXTDZ($A$1,$B9,DX$1)</f>
        <v>292.75</v>
      </c>
      <c r="DY9" s="116" cm="1">
        <f t="array" ref="DY9">_xll.EQNXTDZ($A$1,$B9,DY$1)</f>
        <v>267.25</v>
      </c>
      <c r="DZ9" s="116" cm="1">
        <f t="array" ref="DZ9">_xll.EQNXTDZ($A$1,$B9,DZ$1)</f>
        <v>286.25</v>
      </c>
      <c r="EA9" s="116" cm="1">
        <f t="array" ref="EA9">_xll.EQNXTDZ($A$1,$B9,EA$1)</f>
        <v>292.10000000000002</v>
      </c>
      <c r="EB9" s="116" cm="1">
        <f t="array" ref="EB9">_xll.EQNXTDZ($A$1,$B9,EB$1)</f>
        <v>291.60000000000002</v>
      </c>
      <c r="EC9" s="116" cm="1">
        <f t="array" ref="EC9">_xll.EQNXTDZ($A$1,$B9,EC$1)</f>
        <v>297.05</v>
      </c>
      <c r="ED9" s="116" cm="1">
        <f t="array" ref="ED9">_xll.EQNXTDZ($A$1,$B9,ED$1)</f>
        <v>285.39999999999998</v>
      </c>
      <c r="EE9" s="116" cm="1">
        <f t="array" ref="EE9">_xll.EQNXTDZ($A$1,$B9,EE$1)</f>
        <v>289.25</v>
      </c>
      <c r="EF9" s="116" cm="1">
        <f t="array" ref="EF9">_xll.EQNXTDZ($A$1,$B9,EF$1)</f>
        <v>401.05</v>
      </c>
      <c r="EG9" s="116" cm="1">
        <f t="array" ref="EG9">_xll.EQNXTDZ($A$1,$B9,EG$1)</f>
        <v>378.3</v>
      </c>
      <c r="EH9" s="116" cm="1">
        <f t="array" ref="EH9">_xll.EQNXTDZ($A$1,$B9,EH$1)</f>
        <v>360.45</v>
      </c>
      <c r="EI9" s="116" cm="1">
        <f t="array" ref="EI9">_xll.EQNXTDZ($A$1,$B9,EI$1)</f>
        <v>263</v>
      </c>
      <c r="EJ9" s="116" cm="1">
        <f t="array" ref="EJ9">_xll.EQNXTDZ($A$1,$B9,EJ$1)</f>
        <v>333.95</v>
      </c>
      <c r="EK9" s="116" cm="1">
        <f t="array" ref="EK9">_xll.EQNXTDZ($A$1,$B9,EK$1)</f>
        <v>432.35</v>
      </c>
      <c r="EL9" s="116" cm="1">
        <f t="array" ref="EL9">_xll.EQNXTDZ($A$1,$B9,EL$1)</f>
        <v>566.70000000000005</v>
      </c>
      <c r="EM9" s="116" cm="1">
        <f t="array" ref="EM9">_xll.EQNXTDZ($A$1,$B9,EM$1)</f>
        <v>604.25</v>
      </c>
      <c r="EN9" s="116" cm="1">
        <f t="array" ref="EN9">_xll.EQNXTDZ($A$1,$B9,EN$1)</f>
        <v>523.25</v>
      </c>
      <c r="EO9" s="116" cm="1">
        <f t="array" ref="EO9">_xll.EQNXTDZ($A$1,$B9,EO$1)</f>
        <v>656.05</v>
      </c>
      <c r="EP9" s="116" cm="1">
        <f t="array" ref="EP9">_xll.EQNXTDZ($A$1,$B9,EP$1)</f>
        <v>701.85</v>
      </c>
      <c r="EQ9" s="116" cm="1">
        <f t="array" ref="EQ9">_xll.EQNXTDZ($A$1,$B9,EQ$1)</f>
        <v>713.4</v>
      </c>
      <c r="ER9" s="116" cm="1">
        <f t="array" ref="ER9">_xll.EQNXTDZ($A$1,$B9,ER$1)</f>
        <v>687.75</v>
      </c>
      <c r="ES9" s="116" cm="1">
        <f t="array" ref="ES9">_xll.EQNXTDZ($A$1,$B9,ES$1)</f>
        <v>673.2</v>
      </c>
      <c r="ET9" s="116" cm="1">
        <f t="array" ref="ET9">_xll.EQNXTDZ($A$1,$B9,ET$1)</f>
        <v>616.4</v>
      </c>
      <c r="EU9" s="116" cm="1">
        <f t="array" ref="EU9">_xll.EQNXTDZ($A$1,$B9,EU$1)</f>
        <v>584.70000000000005</v>
      </c>
      <c r="EV9" s="116" cm="1">
        <f t="array" ref="EV9">_xll.EQNXTDZ($A$1,$B9,EV$1)</f>
        <v>486.45</v>
      </c>
      <c r="EW9" s="116" cm="1">
        <f t="array" ref="EW9">_xll.EQNXTDZ($A$1,$B9,EW$1)</f>
        <v>458.9</v>
      </c>
      <c r="EX9" s="116" cm="1">
        <f t="array" ref="EX9">_xll.EQNXTDZ($A$1,$B9,EX$1)</f>
        <v>330.9</v>
      </c>
      <c r="EY9" s="116" cm="1">
        <f t="array" ref="EY9">_xll.EQNXTDZ($A$1,$B9,EY$1)</f>
        <v>255.45</v>
      </c>
      <c r="EZ9" s="116" cm="1">
        <f t="array" ref="EZ9">_xll.EQNXTDZ($A$1,$B9,EZ$1)</f>
        <v>250.35</v>
      </c>
      <c r="FA9" s="116" cm="1">
        <f t="array" ref="FA9">_xll.EQNXTDZ($A$1,$B9,FA$1)</f>
        <v>271.39999999999998</v>
      </c>
      <c r="FB9" s="116" cm="1">
        <f t="array" ref="FB9">_xll.EQNXTDZ($A$1,$B9,FB$1)</f>
        <v>282.39999999999998</v>
      </c>
      <c r="FC9" s="116" cm="1">
        <f t="array" ref="FC9">_xll.EQNXTDZ($A$1,$B9,FC$1)</f>
        <v>319.89999999999998</v>
      </c>
      <c r="FD9" s="116" cm="1">
        <f t="array" ref="FD9">_xll.EQNXTDZ($A$1,$B9,FD$1)</f>
        <v>281.14999999999998</v>
      </c>
      <c r="FE9" s="116" cm="1">
        <f t="array" ref="FE9">_xll.EQNXTDZ($A$1,$B9,FE$1)</f>
        <v>260</v>
      </c>
      <c r="FF9" s="116" cm="1">
        <f t="array" ref="FF9">_xll.EQNXTDZ($A$1,$B9,FF$1)</f>
        <v>242.15</v>
      </c>
      <c r="FG9" s="116" cm="1">
        <f t="array" ref="FG9">_xll.EQNXTDZ($A$1,$B9,FG$1)</f>
        <v>219.93</v>
      </c>
      <c r="FH9" s="116" cm="1">
        <f t="array" ref="FH9">_xll.EQNXTDZ($A$1,$B9,FH$1)</f>
        <v>225.96</v>
      </c>
      <c r="FI9" s="116" cm="1">
        <f t="array" ref="FI9">_xll.EQNXTDZ($A$1,$B9,FI$1)</f>
        <v>214.18</v>
      </c>
      <c r="FJ9" s="116" cm="1">
        <f t="array" ref="FJ9">_xll.EQNXTDZ($A$1,$B9,FJ$1)</f>
        <v>185</v>
      </c>
      <c r="FK9" s="116" cm="1">
        <f t="array" ref="FK9">_xll.EQNXTDZ($A$1,$B9,FK$1)</f>
        <v>197.99</v>
      </c>
      <c r="FL9" s="116" cm="1">
        <f t="array" ref="FL9">_xll.EQNXTDZ($A$1,$B9,FL$1)</f>
        <v>148.88</v>
      </c>
      <c r="FM9" s="116" cm="1">
        <f t="array" ref="FM9">_xll.EQNXTDZ($A$1,$B9,FM$1)</f>
        <v>208.34</v>
      </c>
      <c r="FN9" s="116" cm="1">
        <f t="array" ref="FN9">_xll.EQNXTDZ($A$1,$B9,FN$1)</f>
        <v>187.58</v>
      </c>
      <c r="FO9" s="116" cm="1">
        <f t="array" ref="FO9">_xll.EQNXTDZ($A$1,$B9,FO$1)</f>
        <v>214.17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624.4</v>
      </c>
      <c r="IS9" s="116">
        <f>+CO9</f>
        <v>323.3</v>
      </c>
      <c r="IT9" s="116">
        <f>+CR9</f>
        <v>77</v>
      </c>
      <c r="IU9" s="116">
        <f>+CU9</f>
        <v>219.65</v>
      </c>
      <c r="IV9" s="116">
        <f>+CX9</f>
        <v>225.7</v>
      </c>
      <c r="IW9" s="116">
        <f>+DA9</f>
        <v>259.75</v>
      </c>
      <c r="IX9" s="116">
        <f>+DD9</f>
        <v>258.45</v>
      </c>
      <c r="IY9" s="116">
        <f>+DG9</f>
        <v>272.05</v>
      </c>
      <c r="IZ9" s="116">
        <f>+DJ9</f>
        <v>400</v>
      </c>
      <c r="JA9" s="116">
        <f>+DM9</f>
        <v>382.4</v>
      </c>
      <c r="JB9" s="116">
        <f>+DP9</f>
        <v>318.05</v>
      </c>
      <c r="JC9" s="116">
        <f>+DS9</f>
        <v>296.60000000000002</v>
      </c>
      <c r="JD9" s="116">
        <f>+DV9</f>
        <v>309.7</v>
      </c>
      <c r="JE9" s="116">
        <f>+DY9</f>
        <v>267.25</v>
      </c>
      <c r="JF9" s="116">
        <f>+EB9</f>
        <v>291.60000000000002</v>
      </c>
      <c r="JG9" s="116">
        <f>+EE9</f>
        <v>289.25</v>
      </c>
      <c r="JH9" s="116">
        <f>+EH9</f>
        <v>360.45</v>
      </c>
      <c r="JI9" s="116">
        <f>+EK9</f>
        <v>432.35</v>
      </c>
      <c r="JJ9" s="116">
        <f>+EN9</f>
        <v>523.25</v>
      </c>
      <c r="JK9" s="116">
        <f>EQ9</f>
        <v>713.4</v>
      </c>
      <c r="JL9" s="116">
        <f>ET9</f>
        <v>616.4</v>
      </c>
      <c r="JM9" s="116">
        <f>EW9</f>
        <v>458.9</v>
      </c>
      <c r="JN9" s="116">
        <f>EZ9</f>
        <v>250.35</v>
      </c>
      <c r="JO9" s="116">
        <f>FC9</f>
        <v>319.89999999999998</v>
      </c>
      <c r="JP9" s="116">
        <f>FF9</f>
        <v>242.15</v>
      </c>
      <c r="JQ9" s="116">
        <f>FI9</f>
        <v>214.18</v>
      </c>
      <c r="JR9" s="116">
        <f>FL9</f>
        <v>148.88</v>
      </c>
      <c r="JS9" s="116">
        <f>FO9</f>
        <v>214.17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700</v>
      </c>
      <c r="CL13" cm="1">
        <f t="array" ref="CL13">_xll.EQNXTDZ($A$1,$B13,CL$1)</f>
        <v>609</v>
      </c>
      <c r="CM13" cm="1">
        <f t="array" ref="CM13">_xll.EQNXTDZ($A$1,$B13,CM$1)</f>
        <v>618.79999999999995</v>
      </c>
      <c r="CN13" cm="1">
        <f t="array" ref="CN13">_xll.EQNXTDZ($A$1,$B13,CN$1)</f>
        <v>585.5</v>
      </c>
      <c r="CO13" cm="1">
        <f t="array" ref="CO13">_xll.EQNXTDZ($A$1,$B13,CO$1)</f>
        <v>301</v>
      </c>
      <c r="CP13" cm="1">
        <f t="array" ref="CP13">_xll.EQNXTDZ($A$1,$B13,CP$1)</f>
        <v>338</v>
      </c>
      <c r="CQ13" cm="1">
        <f t="array" ref="CQ13">_xll.EQNXTDZ($A$1,$B13,CQ$1)</f>
        <v>295</v>
      </c>
      <c r="CR13" cm="1">
        <f t="array" ref="CR13">_xll.EQNXTDZ($A$1,$B13,CR$1)</f>
        <v>170</v>
      </c>
      <c r="CS13" cm="1">
        <f t="array" ref="CS13">_xll.EQNXTDZ($A$1,$B13,CS$1)</f>
        <v>80.7</v>
      </c>
      <c r="CT13" cm="1">
        <f t="array" ref="CT13">_xll.EQNXTDZ($A$1,$B13,CT$1)</f>
        <v>157.4</v>
      </c>
      <c r="CU13" cm="1">
        <f t="array" ref="CU13">_xll.EQNXTDZ($A$1,$B13,CU$1)</f>
        <v>138.35</v>
      </c>
      <c r="CV13" cm="1">
        <f t="array" ref="CV13">_xll.EQNXTDZ($A$1,$B13,CV$1)</f>
        <v>230.6</v>
      </c>
      <c r="CW13" cm="1">
        <f t="array" ref="CW13">_xll.EQNXTDZ($A$1,$B13,CW$1)</f>
        <v>223.8</v>
      </c>
      <c r="CX13" cm="1">
        <f t="array" ref="CX13">_xll.EQNXTDZ($A$1,$B13,CX$1)</f>
        <v>253.3</v>
      </c>
      <c r="CY13" cm="1">
        <f t="array" ref="CY13">_xll.EQNXTDZ($A$1,$B13,CY$1)</f>
        <v>228</v>
      </c>
      <c r="CZ13" cm="1">
        <f t="array" ref="CZ13">_xll.EQNXTDZ($A$1,$B13,CZ$1)</f>
        <v>210</v>
      </c>
      <c r="DA13" cm="1">
        <f t="array" ref="DA13">_xll.EQNXTDZ($A$1,$B13,DA$1)</f>
        <v>214</v>
      </c>
      <c r="DB13" cm="1">
        <f t="array" ref="DB13">_xll.EQNXTDZ($A$1,$B13,DB$1)</f>
        <v>263.3</v>
      </c>
      <c r="DC13" cm="1">
        <f t="array" ref="DC13">_xll.EQNXTDZ($A$1,$B13,DC$1)</f>
        <v>237.85</v>
      </c>
      <c r="DD13" cm="1">
        <f t="array" ref="DD13">_xll.EQNXTDZ($A$1,$B13,DD$1)</f>
        <v>232.5</v>
      </c>
      <c r="DE13" cm="1">
        <f t="array" ref="DE13">_xll.EQNXTDZ($A$1,$B13,DE$1)</f>
        <v>263.05</v>
      </c>
      <c r="DF13" cm="1">
        <f t="array" ref="DF13">_xll.EQNXTDZ($A$1,$B13,DF$1)</f>
        <v>301.10000000000002</v>
      </c>
      <c r="DG13" cm="1">
        <f t="array" ref="DG13">_xll.EQNXTDZ($A$1,$B13,DG$1)</f>
        <v>225.15</v>
      </c>
      <c r="DH13" cm="1">
        <f t="array" ref="DH13">_xll.EQNXTDZ($A$1,$B13,DH$1)</f>
        <v>278</v>
      </c>
      <c r="DI13" cm="1">
        <f t="array" ref="DI13">_xll.EQNXTDZ($A$1,$B13,DI$1)</f>
        <v>289.35000000000002</v>
      </c>
      <c r="DJ13" cm="1">
        <f t="array" ref="DJ13">_xll.EQNXTDZ($A$1,$B13,DJ$1)</f>
        <v>313</v>
      </c>
      <c r="DK13" cm="1">
        <f t="array" ref="DK13">_xll.EQNXTDZ($A$1,$B13,DK$1)</f>
        <v>398</v>
      </c>
      <c r="DL13" cm="1">
        <f t="array" ref="DL13">_xll.EQNXTDZ($A$1,$B13,DL$1)</f>
        <v>435.55</v>
      </c>
      <c r="DM13" cm="1">
        <f t="array" ref="DM13">_xll.EQNXTDZ($A$1,$B13,DM$1)</f>
        <v>402.05</v>
      </c>
      <c r="DN13" cm="1">
        <f t="array" ref="DN13">_xll.EQNXTDZ($A$1,$B13,DN$1)</f>
        <v>384.9</v>
      </c>
      <c r="DO13" cm="1">
        <f t="array" ref="DO13">_xll.EQNXTDZ($A$1,$B13,DO$1)</f>
        <v>396.1</v>
      </c>
      <c r="DP13" cm="1">
        <f t="array" ref="DP13">_xll.EQNXTDZ($A$1,$B13,DP$1)</f>
        <v>316</v>
      </c>
      <c r="DQ13" cm="1">
        <f t="array" ref="DQ13">_xll.EQNXTDZ($A$1,$B13,DQ$1)</f>
        <v>319.25</v>
      </c>
      <c r="DR13" cm="1">
        <f t="array" ref="DR13">_xll.EQNXTDZ($A$1,$B13,DR$1)</f>
        <v>379</v>
      </c>
      <c r="DS13" cm="1">
        <f t="array" ref="DS13">_xll.EQNXTDZ($A$1,$B13,DS$1)</f>
        <v>329</v>
      </c>
      <c r="DT13" cm="1">
        <f t="array" ref="DT13">_xll.EQNXTDZ($A$1,$B13,DT$1)</f>
        <v>298</v>
      </c>
      <c r="DU13" cm="1">
        <f t="array" ref="DU13">_xll.EQNXTDZ($A$1,$B13,DU$1)</f>
        <v>290</v>
      </c>
      <c r="DV13" cm="1">
        <f t="array" ref="DV13">_xll.EQNXTDZ($A$1,$B13,DV$1)</f>
        <v>296</v>
      </c>
      <c r="DW13" cm="1">
        <f t="array" ref="DW13">_xll.EQNXTDZ($A$1,$B13,DW$1)</f>
        <v>314.60000000000002</v>
      </c>
      <c r="DX13" cm="1">
        <f t="array" ref="DX13">_xll.EQNXTDZ($A$1,$B13,DX$1)</f>
        <v>291.89999999999998</v>
      </c>
      <c r="DY13" cm="1">
        <f t="array" ref="DY13">_xll.EQNXTDZ($A$1,$B13,DY$1)</f>
        <v>292.10000000000002</v>
      </c>
      <c r="DZ13" cm="1">
        <f t="array" ref="DZ13">_xll.EQNXTDZ($A$1,$B13,DZ$1)</f>
        <v>269.85000000000002</v>
      </c>
      <c r="EA13" cm="1">
        <f t="array" ref="EA13">_xll.EQNXTDZ($A$1,$B13,EA$1)</f>
        <v>293.25</v>
      </c>
      <c r="EB13" cm="1">
        <f t="array" ref="EB13">_xll.EQNXTDZ($A$1,$B13,EB$1)</f>
        <v>292</v>
      </c>
      <c r="EC13" cm="1">
        <f t="array" ref="EC13">_xll.EQNXTDZ($A$1,$B13,EC$1)</f>
        <v>295.05</v>
      </c>
      <c r="ED13" cm="1">
        <f t="array" ref="ED13">_xll.EQNXTDZ($A$1,$B13,ED$1)</f>
        <v>299.39999999999998</v>
      </c>
      <c r="EE13" cm="1">
        <f t="array" ref="EE13">_xll.EQNXTDZ($A$1,$B13,EE$1)</f>
        <v>284</v>
      </c>
      <c r="EF13" cm="1">
        <f t="array" ref="EF13">_xll.EQNXTDZ($A$1,$B13,EF$1)</f>
        <v>292</v>
      </c>
      <c r="EG13" cm="1">
        <f t="array" ref="EG13">_xll.EQNXTDZ($A$1,$B13,EG$1)</f>
        <v>401</v>
      </c>
      <c r="EH13" cm="1">
        <f t="array" ref="EH13">_xll.EQNXTDZ($A$1,$B13,EH$1)</f>
        <v>375.55</v>
      </c>
      <c r="EI13" cm="1">
        <f t="array" ref="EI13">_xll.EQNXTDZ($A$1,$B13,EI$1)</f>
        <v>359</v>
      </c>
      <c r="EJ13" cm="1">
        <f t="array" ref="EJ13">_xll.EQNXTDZ($A$1,$B13,EJ$1)</f>
        <v>261.60000000000002</v>
      </c>
      <c r="EK13" cm="1">
        <f t="array" ref="EK13">_xll.EQNXTDZ($A$1,$B13,EK$1)</f>
        <v>347</v>
      </c>
      <c r="EL13" cm="1">
        <f t="array" ref="EL13">_xll.EQNXTDZ($A$1,$B13,EL$1)</f>
        <v>443.8</v>
      </c>
      <c r="EM13" cm="1">
        <f t="array" ref="EM13">_xll.EQNXTDZ($A$1,$B13,EM$1)</f>
        <v>582.1</v>
      </c>
      <c r="EN13" cm="1">
        <f t="array" ref="EN13">_xll.EQNXTDZ($A$1,$B13,EN$1)</f>
        <v>612.95000000000005</v>
      </c>
      <c r="EO13" cm="1">
        <f t="array" ref="EO13">_xll.EQNXTDZ($A$1,$B13,EO$1)</f>
        <v>531.75</v>
      </c>
      <c r="EP13" cm="1">
        <f t="array" ref="EP13">_xll.EQNXTDZ($A$1,$B13,EP$1)</f>
        <v>667.95</v>
      </c>
      <c r="EQ13" cm="1">
        <f t="array" ref="EQ13">_xll.EQNXTDZ($A$1,$B13,EQ$1)</f>
        <v>739</v>
      </c>
      <c r="ER13" cm="1">
        <f t="array" ref="ER13">_xll.EQNXTDZ($A$1,$B13,ER$1)</f>
        <v>726.5</v>
      </c>
      <c r="ES13" cm="1">
        <f t="array" ref="ES13">_xll.EQNXTDZ($A$1,$B13,ES$1)</f>
        <v>692</v>
      </c>
      <c r="ET13" cm="1">
        <f t="array" ref="ET13">_xll.EQNXTDZ($A$1,$B13,ET$1)</f>
        <v>679.7</v>
      </c>
      <c r="EU13" cm="1">
        <f t="array" ref="EU13">_xll.EQNXTDZ($A$1,$B13,EU$1)</f>
        <v>614.5</v>
      </c>
      <c r="EV13" cm="1">
        <f t="array" ref="EV13">_xll.EQNXTDZ($A$1,$B13,EV$1)</f>
        <v>596.35</v>
      </c>
      <c r="EW13" cm="1">
        <f t="array" ref="EW13">_xll.EQNXTDZ($A$1,$B13,EW$1)</f>
        <v>486.3</v>
      </c>
      <c r="EX13" cm="1">
        <f t="array" ref="EX13">_xll.EQNXTDZ($A$1,$B13,EX$1)</f>
        <v>458.55</v>
      </c>
      <c r="EY13" cm="1">
        <f t="array" ref="EY13">_xll.EQNXTDZ($A$1,$B13,EY$1)</f>
        <v>334.85</v>
      </c>
      <c r="EZ13" cm="1">
        <f t="array" ref="EZ13">_xll.EQNXTDZ($A$1,$B13,EZ$1)</f>
        <v>257.8</v>
      </c>
      <c r="FA13" cm="1">
        <f t="array" ref="FA13">_xll.EQNXTDZ($A$1,$B13,FA$1)</f>
        <v>249.45</v>
      </c>
      <c r="FB13" cm="1">
        <f t="array" ref="FB13">_xll.EQNXTDZ($A$1,$B13,FB$1)</f>
        <v>265.3</v>
      </c>
      <c r="FC13" cm="1">
        <f t="array" ref="FC13">_xll.EQNXTDZ($A$1,$B13,FC$1)</f>
        <v>285.75</v>
      </c>
      <c r="FD13" cm="1">
        <f t="array" ref="FD13">_xll.EQNXTDZ($A$1,$B13,FD$1)</f>
        <v>320.10000000000002</v>
      </c>
      <c r="FE13" cm="1">
        <f t="array" ref="FE13">_xll.EQNXTDZ($A$1,$B13,FE$1)</f>
        <v>280.14999999999998</v>
      </c>
      <c r="FF13" cm="1">
        <f t="array" ref="FF13">_xll.EQNXTDZ($A$1,$B13,FF$1)</f>
        <v>260.95</v>
      </c>
      <c r="FG13" cm="1">
        <f t="array" ref="FG13">_xll.EQNXTDZ($A$1,$B13,FG$1)</f>
        <v>241.55</v>
      </c>
      <c r="FH13" cm="1">
        <f t="array" ref="FH13">_xll.EQNXTDZ($A$1,$B13,FH$1)</f>
        <v>220.3</v>
      </c>
      <c r="FI13" cm="1">
        <f t="array" ref="FI13">_xll.EQNXTDZ($A$1,$B13,FI$1)</f>
        <v>232.5</v>
      </c>
      <c r="FJ13" cm="1">
        <f t="array" ref="FJ13">_xll.EQNXTDZ($A$1,$B13,FJ$1)</f>
        <v>214.25</v>
      </c>
      <c r="FK13" cm="1">
        <f t="array" ref="FK13">_xll.EQNXTDZ($A$1,$B13,FK$1)</f>
        <v>185.8</v>
      </c>
      <c r="FL13" cm="1">
        <f t="array" ref="FL13">_xll.EQNXTDZ($A$1,$B13,FL$1)</f>
        <v>175</v>
      </c>
      <c r="FM13" cm="1">
        <f t="array" ref="FM13">_xll.EQNXTDZ($A$1,$B13,FM$1)</f>
        <v>152.55000000000001</v>
      </c>
      <c r="FN13" cm="1">
        <f t="array" ref="FN13">_xll.EQNXTDZ($A$1,$B13,FN$1)</f>
        <v>209.2</v>
      </c>
      <c r="FO13" cm="1">
        <f t="array" ref="FO13">_xll.EQNXTDZ($A$1,$B13,FO$1)</f>
        <v>188.55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755.5</v>
      </c>
      <c r="CL14" s="116" cm="1">
        <f t="array" ref="CL14">_xll.EQNXTDZ($A$1,$B14,CL$1)</f>
        <v>665</v>
      </c>
      <c r="CM14" s="116" cm="1">
        <f t="array" ref="CM14">_xll.EQNXTDZ($A$1,$B14,CM$1)</f>
        <v>631.5</v>
      </c>
      <c r="CN14" s="116" cm="1">
        <f t="array" ref="CN14">_xll.EQNXTDZ($A$1,$B14,CN$1)</f>
        <v>585.5</v>
      </c>
      <c r="CO14" s="116" cm="1">
        <f t="array" ref="CO14">_xll.EQNXTDZ($A$1,$B14,CO$1)</f>
        <v>329.95</v>
      </c>
      <c r="CP14" s="116" cm="1">
        <f t="array" ref="CP14">_xll.EQNXTDZ($A$1,$B14,CP$1)</f>
        <v>338.25</v>
      </c>
      <c r="CQ14" s="116" cm="1">
        <f t="array" ref="CQ14">_xll.EQNXTDZ($A$1,$B14,CQ$1)</f>
        <v>330</v>
      </c>
      <c r="CR14" s="116" cm="1">
        <f t="array" ref="CR14">_xll.EQNXTDZ($A$1,$B14,CR$1)</f>
        <v>179</v>
      </c>
      <c r="CS14" s="116" cm="1">
        <f t="array" ref="CS14">_xll.EQNXTDZ($A$1,$B14,CS$1)</f>
        <v>183.05</v>
      </c>
      <c r="CT14" s="116" cm="1">
        <f t="array" ref="CT14">_xll.EQNXTDZ($A$1,$B14,CT$1)</f>
        <v>157.4</v>
      </c>
      <c r="CU14" s="116" cm="1">
        <f t="array" ref="CU14">_xll.EQNXTDZ($A$1,$B14,CU$1)</f>
        <v>219.65</v>
      </c>
      <c r="CV14" s="116" cm="1">
        <f t="array" ref="CV14">_xll.EQNXTDZ($A$1,$B14,CV$1)</f>
        <v>257.64999999999998</v>
      </c>
      <c r="CW14" s="116" cm="1">
        <f t="array" ref="CW14">_xll.EQNXTDZ($A$1,$B14,CW$1)</f>
        <v>289.45</v>
      </c>
      <c r="CX14" s="116" cm="1">
        <f t="array" ref="CX14">_xll.EQNXTDZ($A$1,$B14,CX$1)</f>
        <v>284.95</v>
      </c>
      <c r="CY14" s="116" cm="1">
        <f t="array" ref="CY14">_xll.EQNXTDZ($A$1,$B14,CY$1)</f>
        <v>235.2</v>
      </c>
      <c r="CZ14" s="116" cm="1">
        <f t="array" ref="CZ14">_xll.EQNXTDZ($A$1,$B14,CZ$1)</f>
        <v>230</v>
      </c>
      <c r="DA14" s="116" cm="1">
        <f t="array" ref="DA14">_xll.EQNXTDZ($A$1,$B14,DA$1)</f>
        <v>294.60000000000002</v>
      </c>
      <c r="DB14" s="116" cm="1">
        <f t="array" ref="DB14">_xll.EQNXTDZ($A$1,$B14,DB$1)</f>
        <v>283.45</v>
      </c>
      <c r="DC14" s="116" cm="1">
        <f t="array" ref="DC14">_xll.EQNXTDZ($A$1,$B14,DC$1)</f>
        <v>258.85000000000002</v>
      </c>
      <c r="DD14" s="116" cm="1">
        <f t="array" ref="DD14">_xll.EQNXTDZ($A$1,$B14,DD$1)</f>
        <v>327</v>
      </c>
      <c r="DE14" s="116" cm="1">
        <f t="array" ref="DE14">_xll.EQNXTDZ($A$1,$B14,DE$1)</f>
        <v>343.5</v>
      </c>
      <c r="DF14" s="116" cm="1">
        <f t="array" ref="DF14">_xll.EQNXTDZ($A$1,$B14,DF$1)</f>
        <v>319.89999999999998</v>
      </c>
      <c r="DG14" s="116" cm="1">
        <f t="array" ref="DG14">_xll.EQNXTDZ($A$1,$B14,DG$1)</f>
        <v>276.95</v>
      </c>
      <c r="DH14" s="116" cm="1">
        <f t="array" ref="DH14">_xll.EQNXTDZ($A$1,$B14,DH$1)</f>
        <v>297</v>
      </c>
      <c r="DI14" s="116" cm="1">
        <f t="array" ref="DI14">_xll.EQNXTDZ($A$1,$B14,DI$1)</f>
        <v>324.05</v>
      </c>
      <c r="DJ14" s="116" cm="1">
        <f t="array" ref="DJ14">_xll.EQNXTDZ($A$1,$B14,DJ$1)</f>
        <v>427.5</v>
      </c>
      <c r="DK14" s="116" cm="1">
        <f t="array" ref="DK14">_xll.EQNXTDZ($A$1,$B14,DK$1)</f>
        <v>509</v>
      </c>
      <c r="DL14" s="116" cm="1">
        <f t="array" ref="DL14">_xll.EQNXTDZ($A$1,$B14,DL$1)</f>
        <v>458.95</v>
      </c>
      <c r="DM14" s="116" cm="1">
        <f t="array" ref="DM14">_xll.EQNXTDZ($A$1,$B14,DM$1)</f>
        <v>407.1</v>
      </c>
      <c r="DN14" s="116" cm="1">
        <f t="array" ref="DN14">_xll.EQNXTDZ($A$1,$B14,DN$1)</f>
        <v>423.15</v>
      </c>
      <c r="DO14" s="116" cm="1">
        <f t="array" ref="DO14">_xll.EQNXTDZ($A$1,$B14,DO$1)</f>
        <v>412.45</v>
      </c>
      <c r="DP14" s="116" cm="1">
        <f t="array" ref="DP14">_xll.EQNXTDZ($A$1,$B14,DP$1)</f>
        <v>339.05</v>
      </c>
      <c r="DQ14" s="116" cm="1">
        <f t="array" ref="DQ14">_xll.EQNXTDZ($A$1,$B14,DQ$1)</f>
        <v>400</v>
      </c>
      <c r="DR14" s="116" cm="1">
        <f t="array" ref="DR14">_xll.EQNXTDZ($A$1,$B14,DR$1)</f>
        <v>386.7</v>
      </c>
      <c r="DS14" s="116" cm="1">
        <f t="array" ref="DS14">_xll.EQNXTDZ($A$1,$B14,DS$1)</f>
        <v>343.8</v>
      </c>
      <c r="DT14" s="116" cm="1">
        <f t="array" ref="DT14">_xll.EQNXTDZ($A$1,$B14,DT$1)</f>
        <v>315.5</v>
      </c>
      <c r="DU14" s="116" cm="1">
        <f t="array" ref="DU14">_xll.EQNXTDZ($A$1,$B14,DU$1)</f>
        <v>309.8</v>
      </c>
      <c r="DV14" s="116" cm="1">
        <f t="array" ref="DV14">_xll.EQNXTDZ($A$1,$B14,DV$1)</f>
        <v>362.1</v>
      </c>
      <c r="DW14" s="116" cm="1">
        <f t="array" ref="DW14">_xll.EQNXTDZ($A$1,$B14,DW$1)</f>
        <v>317.10000000000002</v>
      </c>
      <c r="DX14" s="116" cm="1">
        <f t="array" ref="DX14">_xll.EQNXTDZ($A$1,$B14,DX$1)</f>
        <v>298.85000000000002</v>
      </c>
      <c r="DY14" s="116" cm="1">
        <f t="array" ref="DY14">_xll.EQNXTDZ($A$1,$B14,DY$1)</f>
        <v>307.39999999999998</v>
      </c>
      <c r="DZ14" s="116" cm="1">
        <f t="array" ref="DZ14">_xll.EQNXTDZ($A$1,$B14,DZ$1)</f>
        <v>295</v>
      </c>
      <c r="EA14" s="116" cm="1">
        <f t="array" ref="EA14">_xll.EQNXTDZ($A$1,$B14,EA$1)</f>
        <v>309.75</v>
      </c>
      <c r="EB14" s="116" cm="1">
        <f t="array" ref="EB14">_xll.EQNXTDZ($A$1,$B14,EB$1)</f>
        <v>338.45</v>
      </c>
      <c r="EC14" s="116" cm="1">
        <f t="array" ref="EC14">_xll.EQNXTDZ($A$1,$B14,EC$1)</f>
        <v>312</v>
      </c>
      <c r="ED14" s="116" cm="1">
        <f t="array" ref="ED14">_xll.EQNXTDZ($A$1,$B14,ED$1)</f>
        <v>301.45</v>
      </c>
      <c r="EE14" s="116" cm="1">
        <f t="array" ref="EE14">_xll.EQNXTDZ($A$1,$B14,EE$1)</f>
        <v>330</v>
      </c>
      <c r="EF14" s="116" cm="1">
        <f t="array" ref="EF14">_xll.EQNXTDZ($A$1,$B14,EF$1)</f>
        <v>404</v>
      </c>
      <c r="EG14" s="116" cm="1">
        <f t="array" ref="EG14">_xll.EQNXTDZ($A$1,$B14,EG$1)</f>
        <v>408.75</v>
      </c>
      <c r="EH14" s="116" cm="1">
        <f t="array" ref="EH14">_xll.EQNXTDZ($A$1,$B14,EH$1)</f>
        <v>406</v>
      </c>
      <c r="EI14" s="116" cm="1">
        <f t="array" ref="EI14">_xll.EQNXTDZ($A$1,$B14,EI$1)</f>
        <v>359</v>
      </c>
      <c r="EJ14" s="116" cm="1">
        <f t="array" ref="EJ14">_xll.EQNXTDZ($A$1,$B14,EJ$1)</f>
        <v>349.95</v>
      </c>
      <c r="EK14" s="116" cm="1">
        <f t="array" ref="EK14">_xll.EQNXTDZ($A$1,$B14,EK$1)</f>
        <v>459</v>
      </c>
      <c r="EL14" s="116" cm="1">
        <f t="array" ref="EL14">_xll.EQNXTDZ($A$1,$B14,EL$1)</f>
        <v>628.5</v>
      </c>
      <c r="EM14" s="116" cm="1">
        <f t="array" ref="EM14">_xll.EQNXTDZ($A$1,$B14,EM$1)</f>
        <v>646.95000000000005</v>
      </c>
      <c r="EN14" s="116" cm="1">
        <f t="array" ref="EN14">_xll.EQNXTDZ($A$1,$B14,EN$1)</f>
        <v>612.95000000000005</v>
      </c>
      <c r="EO14" s="116" cm="1">
        <f t="array" ref="EO14">_xll.EQNXTDZ($A$1,$B14,EO$1)</f>
        <v>698.9</v>
      </c>
      <c r="EP14" s="116" cm="1">
        <f t="array" ref="EP14">_xll.EQNXTDZ($A$1,$B14,EP$1)</f>
        <v>828</v>
      </c>
      <c r="EQ14" s="116" cm="1">
        <f t="array" ref="EQ14">_xll.EQNXTDZ($A$1,$B14,EQ$1)</f>
        <v>811.1</v>
      </c>
      <c r="ER14" s="116" cm="1">
        <f t="array" ref="ER14">_xll.EQNXTDZ($A$1,$B14,ER$1)</f>
        <v>734.05</v>
      </c>
      <c r="ES14" s="116" cm="1">
        <f t="array" ref="ES14">_xll.EQNXTDZ($A$1,$B14,ES$1)</f>
        <v>710.05</v>
      </c>
      <c r="ET14" s="116" cm="1">
        <f t="array" ref="ET14">_xll.EQNXTDZ($A$1,$B14,ET$1)</f>
        <v>758.35</v>
      </c>
      <c r="EU14" s="116" cm="1">
        <f t="array" ref="EU14">_xll.EQNXTDZ($A$1,$B14,EU$1)</f>
        <v>642</v>
      </c>
      <c r="EV14" s="116" cm="1">
        <f t="array" ref="EV14">_xll.EQNXTDZ($A$1,$B14,EV$1)</f>
        <v>604.85</v>
      </c>
      <c r="EW14" s="116" cm="1">
        <f t="array" ref="EW14">_xll.EQNXTDZ($A$1,$B14,EW$1)</f>
        <v>526</v>
      </c>
      <c r="EX14" s="116" cm="1">
        <f t="array" ref="EX14">_xll.EQNXTDZ($A$1,$B14,EX$1)</f>
        <v>475.35</v>
      </c>
      <c r="EY14" s="116" cm="1">
        <f t="array" ref="EY14">_xll.EQNXTDZ($A$1,$B14,EY$1)</f>
        <v>343</v>
      </c>
      <c r="EZ14" s="116" cm="1">
        <f t="array" ref="EZ14">_xll.EQNXTDZ($A$1,$B14,EZ$1)</f>
        <v>268.64999999999998</v>
      </c>
      <c r="FA14" s="116" cm="1">
        <f t="array" ref="FA14">_xll.EQNXTDZ($A$1,$B14,FA$1)</f>
        <v>333.45</v>
      </c>
      <c r="FB14" s="116" cm="1">
        <f t="array" ref="FB14">_xll.EQNXTDZ($A$1,$B14,FB$1)</f>
        <v>304.55</v>
      </c>
      <c r="FC14" s="116" cm="1">
        <f t="array" ref="FC14">_xll.EQNXTDZ($A$1,$B14,FC$1)</f>
        <v>348.9</v>
      </c>
      <c r="FD14" s="116" cm="1">
        <f t="array" ref="FD14">_xll.EQNXTDZ($A$1,$B14,FD$1)</f>
        <v>341</v>
      </c>
      <c r="FE14" s="116" cm="1">
        <f t="array" ref="FE14">_xll.EQNXTDZ($A$1,$B14,FE$1)</f>
        <v>286.45</v>
      </c>
      <c r="FF14" s="116" cm="1">
        <f t="array" ref="FF14">_xll.EQNXTDZ($A$1,$B14,FF$1)</f>
        <v>281.89999999999998</v>
      </c>
      <c r="FG14" s="116" cm="1">
        <f t="array" ref="FG14">_xll.EQNXTDZ($A$1,$B14,FG$1)</f>
        <v>253</v>
      </c>
      <c r="FH14" s="116" cm="1">
        <f t="array" ref="FH14">_xll.EQNXTDZ($A$1,$B14,FH$1)</f>
        <v>246</v>
      </c>
      <c r="FI14" s="116" cm="1">
        <f t="array" ref="FI14">_xll.EQNXTDZ($A$1,$B14,FI$1)</f>
        <v>238.35</v>
      </c>
      <c r="FJ14" s="116" cm="1">
        <f t="array" ref="FJ14">_xll.EQNXTDZ($A$1,$B14,FJ$1)</f>
        <v>223.6</v>
      </c>
      <c r="FK14" s="116" cm="1">
        <f t="array" ref="FK14">_xll.EQNXTDZ($A$1,$B14,FK$1)</f>
        <v>222.2</v>
      </c>
      <c r="FL14" s="116" cm="1">
        <f t="array" ref="FL14">_xll.EQNXTDZ($A$1,$B14,FL$1)</f>
        <v>195.3</v>
      </c>
      <c r="FM14" s="116" cm="1">
        <f t="array" ref="FM14">_xll.EQNXTDZ($A$1,$B14,FM$1)</f>
        <v>232.15</v>
      </c>
      <c r="FN14" s="116" cm="1">
        <f t="array" ref="FN14">_xll.EQNXTDZ($A$1,$B14,FN$1)</f>
        <v>224.5</v>
      </c>
      <c r="FO14" s="116" cm="1">
        <f t="array" ref="FO14">_xll.EQNXTDZ($A$1,$B14,FO$1)</f>
        <v>217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755.5</v>
      </c>
      <c r="IS14" s="116">
        <f>+MAX(CM14:CO14)</f>
        <v>631.5</v>
      </c>
      <c r="IT14" s="116">
        <f>+MAX(CP14:CR14)</f>
        <v>338.25</v>
      </c>
      <c r="IU14" s="116">
        <f>+MAX(CS14:CU14)</f>
        <v>219.65</v>
      </c>
      <c r="IV14" s="116">
        <f>+MAX(CV14:CX14)</f>
        <v>289.45</v>
      </c>
      <c r="IW14" s="116">
        <f>+MAX(CY14:DA14)</f>
        <v>294.60000000000002</v>
      </c>
      <c r="IX14" s="116">
        <f>+MAX(DB14:DD14)</f>
        <v>327</v>
      </c>
      <c r="IY14" s="116">
        <f>+MAX(DE14:DG14)</f>
        <v>343.5</v>
      </c>
      <c r="IZ14" s="116">
        <f>+MAX(DH14:DJ14)</f>
        <v>427.5</v>
      </c>
      <c r="JA14" s="116">
        <f>+MAX(DK14:DM14)</f>
        <v>509</v>
      </c>
      <c r="JB14" s="116">
        <f>+MAX(DN14:DP14)</f>
        <v>423.15</v>
      </c>
      <c r="JC14" s="116">
        <f>+MAX(DQ14:DS14)</f>
        <v>400</v>
      </c>
      <c r="JD14" s="116">
        <f>+MAX(DT14:DV14)</f>
        <v>362.1</v>
      </c>
      <c r="JE14" s="116">
        <f>+MAX(DW14:DY14)</f>
        <v>317.10000000000002</v>
      </c>
      <c r="JF14" s="116">
        <f>+MAX(DZ14:EB14)</f>
        <v>338.45</v>
      </c>
      <c r="JG14" s="116">
        <f>+MAX(EC14:EE14)</f>
        <v>330</v>
      </c>
      <c r="JH14" s="116">
        <f>+MAX(EF14:EH14)</f>
        <v>408.75</v>
      </c>
      <c r="JI14" s="116">
        <f>+MAX(EI14:EK14)</f>
        <v>459</v>
      </c>
      <c r="JJ14" s="116">
        <f>+MAX(EL14:EN14)</f>
        <v>646.95000000000005</v>
      </c>
      <c r="JK14" s="116">
        <f>MAX(EO14:EQ14)</f>
        <v>828</v>
      </c>
      <c r="JL14" s="116">
        <f>MAX(ER14:ET14)</f>
        <v>758.35</v>
      </c>
      <c r="JM14" s="116">
        <f>MAX(EU14:EW14)</f>
        <v>642</v>
      </c>
      <c r="JN14" s="116">
        <f>MAX(EX14:EZ14)</f>
        <v>475.35</v>
      </c>
      <c r="JO14" s="116">
        <f>MAX(FA14:FC14)</f>
        <v>348.9</v>
      </c>
      <c r="JP14" s="116">
        <f>MAX(FD14:FF14)</f>
        <v>341</v>
      </c>
      <c r="JQ14" s="116">
        <f>MAX(FG14:FI14)</f>
        <v>253</v>
      </c>
      <c r="JR14" s="116">
        <f>MAX(FJ14:FL14)</f>
        <v>223.6</v>
      </c>
      <c r="JS14" s="116">
        <f>MAX(FM14:FO14)</f>
        <v>232.15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602.65</v>
      </c>
      <c r="CL15" s="116" cm="1">
        <f t="array" ref="CL15">_xll.EQNXTDZ($A$1,$B15,CL$1)</f>
        <v>555</v>
      </c>
      <c r="CM15" s="116" cm="1">
        <f t="array" ref="CM15">_xll.EQNXTDZ($A$1,$B15,CM$1)</f>
        <v>577.65</v>
      </c>
      <c r="CN15" s="116" cm="1">
        <f t="array" ref="CN15">_xll.EQNXTDZ($A$1,$B15,CN$1)</f>
        <v>260.05</v>
      </c>
      <c r="CO15" s="116" cm="1">
        <f t="array" ref="CO15">_xll.EQNXTDZ($A$1,$B15,CO$1)</f>
        <v>245.1</v>
      </c>
      <c r="CP15" s="116" cm="1">
        <f t="array" ref="CP15">_xll.EQNXTDZ($A$1,$B15,CP$1)</f>
        <v>286.75</v>
      </c>
      <c r="CQ15" s="116" cm="1">
        <f t="array" ref="CQ15">_xll.EQNXTDZ($A$1,$B15,CQ$1)</f>
        <v>165.1</v>
      </c>
      <c r="CR15" s="116" cm="1">
        <f t="array" ref="CR15">_xll.EQNXTDZ($A$1,$B15,CR$1)</f>
        <v>69.75</v>
      </c>
      <c r="CS15" s="116" cm="1">
        <f t="array" ref="CS15">_xll.EQNXTDZ($A$1,$B15,CS$1)</f>
        <v>73.099999999999994</v>
      </c>
      <c r="CT15" s="116" cm="1">
        <f t="array" ref="CT15">_xll.EQNXTDZ($A$1,$B15,CT$1)</f>
        <v>106.5</v>
      </c>
      <c r="CU15" s="116" cm="1">
        <f t="array" ref="CU15">_xll.EQNXTDZ($A$1,$B15,CU$1)</f>
        <v>138.35</v>
      </c>
      <c r="CV15" s="116" cm="1">
        <f t="array" ref="CV15">_xll.EQNXTDZ($A$1,$B15,CV$1)</f>
        <v>210.1</v>
      </c>
      <c r="CW15" s="116" cm="1">
        <f t="array" ref="CW15">_xll.EQNXTDZ($A$1,$B15,CW$1)</f>
        <v>215</v>
      </c>
      <c r="CX15" s="116" cm="1">
        <f t="array" ref="CX15">_xll.EQNXTDZ($A$1,$B15,CX$1)</f>
        <v>187.25</v>
      </c>
      <c r="CY15" s="116" cm="1">
        <f t="array" ref="CY15">_xll.EQNXTDZ($A$1,$B15,CY$1)</f>
        <v>202.35</v>
      </c>
      <c r="CZ15" s="116" cm="1">
        <f t="array" ref="CZ15">_xll.EQNXTDZ($A$1,$B15,CZ$1)</f>
        <v>210</v>
      </c>
      <c r="DA15" s="116" cm="1">
        <f t="array" ref="DA15">_xll.EQNXTDZ($A$1,$B15,DA$1)</f>
        <v>214</v>
      </c>
      <c r="DB15" s="116" cm="1">
        <f t="array" ref="DB15">_xll.EQNXTDZ($A$1,$B15,DB$1)</f>
        <v>231.1</v>
      </c>
      <c r="DC15" s="116" cm="1">
        <f t="array" ref="DC15">_xll.EQNXTDZ($A$1,$B15,DC$1)</f>
        <v>225.5</v>
      </c>
      <c r="DD15" s="116" cm="1">
        <f t="array" ref="DD15">_xll.EQNXTDZ($A$1,$B15,DD$1)</f>
        <v>227.5</v>
      </c>
      <c r="DE15" s="116" cm="1">
        <f t="array" ref="DE15">_xll.EQNXTDZ($A$1,$B15,DE$1)</f>
        <v>262.8</v>
      </c>
      <c r="DF15" s="116" cm="1">
        <f t="array" ref="DF15">_xll.EQNXTDZ($A$1,$B15,DF$1)</f>
        <v>225.8</v>
      </c>
      <c r="DG15" s="116" cm="1">
        <f t="array" ref="DG15">_xll.EQNXTDZ($A$1,$B15,DG$1)</f>
        <v>219</v>
      </c>
      <c r="DH15" s="116" cm="1">
        <f t="array" ref="DH15">_xll.EQNXTDZ($A$1,$B15,DH$1)</f>
        <v>261.10000000000002</v>
      </c>
      <c r="DI15" s="116" cm="1">
        <f t="array" ref="DI15">_xll.EQNXTDZ($A$1,$B15,DI$1)</f>
        <v>248.35</v>
      </c>
      <c r="DJ15" s="116" cm="1">
        <f t="array" ref="DJ15">_xll.EQNXTDZ($A$1,$B15,DJ$1)</f>
        <v>308.35000000000002</v>
      </c>
      <c r="DK15" s="116" cm="1">
        <f t="array" ref="DK15">_xll.EQNXTDZ($A$1,$B15,DK$1)</f>
        <v>388.05</v>
      </c>
      <c r="DL15" s="116" cm="1">
        <f t="array" ref="DL15">_xll.EQNXTDZ($A$1,$B15,DL$1)</f>
        <v>379.75</v>
      </c>
      <c r="DM15" s="116" cm="1">
        <f t="array" ref="DM15">_xll.EQNXTDZ($A$1,$B15,DM$1)</f>
        <v>372.05</v>
      </c>
      <c r="DN15" s="116" cm="1">
        <f t="array" ref="DN15">_xll.EQNXTDZ($A$1,$B15,DN$1)</f>
        <v>370.15</v>
      </c>
      <c r="DO15" s="116" cm="1">
        <f t="array" ref="DO15">_xll.EQNXTDZ($A$1,$B15,DO$1)</f>
        <v>295.60000000000002</v>
      </c>
      <c r="DP15" s="116" cm="1">
        <f t="array" ref="DP15">_xll.EQNXTDZ($A$1,$B15,DP$1)</f>
        <v>295.25</v>
      </c>
      <c r="DQ15" s="116" cm="1">
        <f t="array" ref="DQ15">_xll.EQNXTDZ($A$1,$B15,DQ$1)</f>
        <v>319.05</v>
      </c>
      <c r="DR15" s="116" cm="1">
        <f t="array" ref="DR15">_xll.EQNXTDZ($A$1,$B15,DR$1)</f>
        <v>306</v>
      </c>
      <c r="DS15" s="116" cm="1">
        <f t="array" ref="DS15">_xll.EQNXTDZ($A$1,$B15,DS$1)</f>
        <v>278.35000000000002</v>
      </c>
      <c r="DT15" s="116" cm="1">
        <f t="array" ref="DT15">_xll.EQNXTDZ($A$1,$B15,DT$1)</f>
        <v>273.35000000000002</v>
      </c>
      <c r="DU15" s="116" cm="1">
        <f t="array" ref="DU15">_xll.EQNXTDZ($A$1,$B15,DU$1)</f>
        <v>275.05</v>
      </c>
      <c r="DV15" s="116" cm="1">
        <f t="array" ref="DV15">_xll.EQNXTDZ($A$1,$B15,DV$1)</f>
        <v>286.5</v>
      </c>
      <c r="DW15" s="116" cm="1">
        <f t="array" ref="DW15">_xll.EQNXTDZ($A$1,$B15,DW$1)</f>
        <v>287</v>
      </c>
      <c r="DX15" s="116" cm="1">
        <f t="array" ref="DX15">_xll.EQNXTDZ($A$1,$B15,DX$1)</f>
        <v>274</v>
      </c>
      <c r="DY15" s="116" cm="1">
        <f t="array" ref="DY15">_xll.EQNXTDZ($A$1,$B15,DY$1)</f>
        <v>255.25</v>
      </c>
      <c r="DZ15" s="116" cm="1">
        <f t="array" ref="DZ15">_xll.EQNXTDZ($A$1,$B15,DZ$1)</f>
        <v>262</v>
      </c>
      <c r="EA15" s="116" cm="1">
        <f t="array" ref="EA15">_xll.EQNXTDZ($A$1,$B15,EA$1)</f>
        <v>276.2</v>
      </c>
      <c r="EB15" s="116" cm="1">
        <f t="array" ref="EB15">_xll.EQNXTDZ($A$1,$B15,EB$1)</f>
        <v>289.39999999999998</v>
      </c>
      <c r="EC15" s="116" cm="1">
        <f t="array" ref="EC15">_xll.EQNXTDZ($A$1,$B15,EC$1)</f>
        <v>279</v>
      </c>
      <c r="ED15" s="116" cm="1">
        <f t="array" ref="ED15">_xll.EQNXTDZ($A$1,$B15,ED$1)</f>
        <v>277.2</v>
      </c>
      <c r="EE15" s="116" cm="1">
        <f t="array" ref="EE15">_xll.EQNXTDZ($A$1,$B15,EE$1)</f>
        <v>284</v>
      </c>
      <c r="EF15" s="116" cm="1">
        <f t="array" ref="EF15">_xll.EQNXTDZ($A$1,$B15,EF$1)</f>
        <v>285.05</v>
      </c>
      <c r="EG15" s="116" cm="1">
        <f t="array" ref="EG15">_xll.EQNXTDZ($A$1,$B15,EG$1)</f>
        <v>344.9</v>
      </c>
      <c r="EH15" s="116" cm="1">
        <f t="array" ref="EH15">_xll.EQNXTDZ($A$1,$B15,EH$1)</f>
        <v>338</v>
      </c>
      <c r="EI15" s="116" cm="1">
        <f t="array" ref="EI15">_xll.EQNXTDZ($A$1,$B15,EI$1)</f>
        <v>253.45</v>
      </c>
      <c r="EJ15" s="116" cm="1">
        <f t="array" ref="EJ15">_xll.EQNXTDZ($A$1,$B15,EJ$1)</f>
        <v>260</v>
      </c>
      <c r="EK15" s="116" cm="1">
        <f t="array" ref="EK15">_xll.EQNXTDZ($A$1,$B15,EK$1)</f>
        <v>336.2</v>
      </c>
      <c r="EL15" s="116" cm="1">
        <f t="array" ref="EL15">_xll.EQNXTDZ($A$1,$B15,EL$1)</f>
        <v>434</v>
      </c>
      <c r="EM15" s="116" cm="1">
        <f t="array" ref="EM15">_xll.EQNXTDZ($A$1,$B15,EM$1)</f>
        <v>532.15</v>
      </c>
      <c r="EN15" s="116" cm="1">
        <f t="array" ref="EN15">_xll.EQNXTDZ($A$1,$B15,EN$1)</f>
        <v>461.4</v>
      </c>
      <c r="EO15" s="116" cm="1">
        <f t="array" ref="EO15">_xll.EQNXTDZ($A$1,$B15,EO$1)</f>
        <v>476.65</v>
      </c>
      <c r="EP15" s="116" cm="1">
        <f t="array" ref="EP15">_xll.EQNXTDZ($A$1,$B15,EP$1)</f>
        <v>645.4</v>
      </c>
      <c r="EQ15" s="116" cm="1">
        <f t="array" ref="EQ15">_xll.EQNXTDZ($A$1,$B15,EQ$1)</f>
        <v>660.15</v>
      </c>
      <c r="ER15" s="116" cm="1">
        <f t="array" ref="ER15">_xll.EQNXTDZ($A$1,$B15,ER$1)</f>
        <v>624.79999999999995</v>
      </c>
      <c r="ES15" s="116" cm="1">
        <f t="array" ref="ES15">_xll.EQNXTDZ($A$1,$B15,ES$1)</f>
        <v>608.1</v>
      </c>
      <c r="ET15" s="116" cm="1">
        <f t="array" ref="ET15">_xll.EQNXTDZ($A$1,$B15,ET$1)</f>
        <v>617.15</v>
      </c>
      <c r="EU15" s="116" cm="1">
        <f t="array" ref="EU15">_xll.EQNXTDZ($A$1,$B15,EU$1)</f>
        <v>504.95</v>
      </c>
      <c r="EV15" s="116" cm="1">
        <f t="array" ref="EV15">_xll.EQNXTDZ($A$1,$B15,EV$1)</f>
        <v>459.2</v>
      </c>
      <c r="EW15" s="116" cm="1">
        <f t="array" ref="EW15">_xll.EQNXTDZ($A$1,$B15,EW$1)</f>
        <v>441.45</v>
      </c>
      <c r="EX15" s="116" cm="1">
        <f t="array" ref="EX15">_xll.EQNXTDZ($A$1,$B15,EX$1)</f>
        <v>305.45</v>
      </c>
      <c r="EY15" s="116" cm="1">
        <f t="array" ref="EY15">_xll.EQNXTDZ($A$1,$B15,EY$1)</f>
        <v>245</v>
      </c>
      <c r="EZ15" s="116" cm="1">
        <f t="array" ref="EZ15">_xll.EQNXTDZ($A$1,$B15,EZ$1)</f>
        <v>218.2</v>
      </c>
      <c r="FA15" s="116" cm="1">
        <f t="array" ref="FA15">_xll.EQNXTDZ($A$1,$B15,FA$1)</f>
        <v>216.05</v>
      </c>
      <c r="FB15" s="116" cm="1">
        <f t="array" ref="FB15">_xll.EQNXTDZ($A$1,$B15,FB$1)</f>
        <v>244.85</v>
      </c>
      <c r="FC15" s="116" cm="1">
        <f t="array" ref="FC15">_xll.EQNXTDZ($A$1,$B15,FC$1)</f>
        <v>284.8</v>
      </c>
      <c r="FD15" s="116" cm="1">
        <f t="array" ref="FD15">_xll.EQNXTDZ($A$1,$B15,FD$1)</f>
        <v>279.35000000000002</v>
      </c>
      <c r="FE15" s="116" cm="1">
        <f t="array" ref="FE15">_xll.EQNXTDZ($A$1,$B15,FE$1)</f>
        <v>256.05</v>
      </c>
      <c r="FF15" s="116" cm="1">
        <f t="array" ref="FF15">_xll.EQNXTDZ($A$1,$B15,FF$1)</f>
        <v>235</v>
      </c>
      <c r="FG15" s="116" cm="1">
        <f t="array" ref="FG15">_xll.EQNXTDZ($A$1,$B15,FG$1)</f>
        <v>219.05</v>
      </c>
      <c r="FH15" s="116" cm="1">
        <f t="array" ref="FH15">_xll.EQNXTDZ($A$1,$B15,FH$1)</f>
        <v>219.8</v>
      </c>
      <c r="FI15" s="116" cm="1">
        <f t="array" ref="FI15">_xll.EQNXTDZ($A$1,$B15,FI$1)</f>
        <v>196.55</v>
      </c>
      <c r="FJ15" s="116" cm="1">
        <f t="array" ref="FJ15">_xll.EQNXTDZ($A$1,$B15,FJ$1)</f>
        <v>176.65</v>
      </c>
      <c r="FK15" s="116" cm="1">
        <f t="array" ref="FK15">_xll.EQNXTDZ($A$1,$B15,FK$1)</f>
        <v>179.1</v>
      </c>
      <c r="FL15" s="116" cm="1">
        <f t="array" ref="FL15">_xll.EQNXTDZ($A$1,$B15,FL$1)</f>
        <v>148.30000000000001</v>
      </c>
      <c r="FM15" s="116" cm="1">
        <f t="array" ref="FM15">_xll.EQNXTDZ($A$1,$B15,FM$1)</f>
        <v>152.55000000000001</v>
      </c>
      <c r="FN15" s="116" cm="1">
        <f t="array" ref="FN15">_xll.EQNXTDZ($A$1,$B15,FN$1)</f>
        <v>185.85</v>
      </c>
      <c r="FO15" s="116" cm="1">
        <f t="array" ref="FO15">_xll.EQNXTDZ($A$1,$B15,FO$1)</f>
        <v>176.9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245.1</v>
      </c>
      <c r="IT15" s="116">
        <f>+MIN(CP15:CR15)</f>
        <v>69.75</v>
      </c>
      <c r="IU15" s="116">
        <f>+MIN(CS15:CU15)</f>
        <v>73.099999999999994</v>
      </c>
      <c r="IV15" s="116">
        <f>+MIN(CV15:CX15)</f>
        <v>187.25</v>
      </c>
      <c r="IW15" s="116">
        <f>+MIN(CY15:DA15)</f>
        <v>202.35</v>
      </c>
      <c r="IX15" s="116">
        <f>+MIN(DB15:DD15)</f>
        <v>225.5</v>
      </c>
      <c r="IY15" s="116">
        <f>+MIN(DE15:DG15)</f>
        <v>219</v>
      </c>
      <c r="IZ15" s="116">
        <f>+MIN(DH15:DJ15)</f>
        <v>248.35</v>
      </c>
      <c r="JA15" s="116">
        <f>+MIN(DK15:DM15)</f>
        <v>372.05</v>
      </c>
      <c r="JB15" s="116">
        <f>+MIN(DN15:DP15)</f>
        <v>295.25</v>
      </c>
      <c r="JC15" s="116">
        <f>+MIN(DQ15:DS15)</f>
        <v>278.35000000000002</v>
      </c>
      <c r="JD15" s="116">
        <f>+MIN(DT15:DV15)</f>
        <v>273.35000000000002</v>
      </c>
      <c r="JE15" s="116">
        <f>+MIN(DW15:DY15)</f>
        <v>255.25</v>
      </c>
      <c r="JF15" s="116">
        <f>+MIN(DZ15:EB15)</f>
        <v>262</v>
      </c>
      <c r="JG15" s="116">
        <f>+MIN(EC15:EE15)</f>
        <v>277.2</v>
      </c>
      <c r="JH15" s="116">
        <f>+MIN(EF15:EH15)</f>
        <v>285.05</v>
      </c>
      <c r="JI15" s="116">
        <f>+MIN(EI15:EK15)</f>
        <v>253.45</v>
      </c>
      <c r="JJ15" s="116">
        <f>+MIN(EL15:EN15)</f>
        <v>434</v>
      </c>
      <c r="JK15" s="116">
        <f>MIN(EO15:EQ15)</f>
        <v>476.65</v>
      </c>
      <c r="JL15" s="116">
        <f>MIN(ER15:ET15)</f>
        <v>608.1</v>
      </c>
      <c r="JM15" s="116">
        <f>MIN(EU15:EW15)</f>
        <v>441.45</v>
      </c>
      <c r="JN15" s="116">
        <f>MIN(EX15:EZ15)</f>
        <v>218.2</v>
      </c>
      <c r="JO15" s="116">
        <f>MIN(FA15:FC15)</f>
        <v>216.05</v>
      </c>
      <c r="JP15" s="116">
        <f>MIN(FD15:FF15)</f>
        <v>235</v>
      </c>
      <c r="JQ15" s="116">
        <f>MIN(FG15:FI15)</f>
        <v>196.55</v>
      </c>
      <c r="JR15" s="116">
        <f>MIN(FJ15:FL15)</f>
        <v>148.30000000000001</v>
      </c>
      <c r="JS15" s="116">
        <f>MIN(FM15:FO15)</f>
        <v>152.55000000000001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609</v>
      </c>
      <c r="CL16" s="116" cm="1">
        <f t="array" ref="CL16">_xll.EQNXTDZ($A$1,$B16,CL$1)</f>
        <v>623.20000000000005</v>
      </c>
      <c r="CM16" s="116" cm="1">
        <f t="array" ref="CM16">_xll.EQNXTDZ($A$1,$B16,CM$1)</f>
        <v>585.6</v>
      </c>
      <c r="CN16" s="116" cm="1">
        <f t="array" ref="CN16">_xll.EQNXTDZ($A$1,$B16,CN$1)</f>
        <v>305.3</v>
      </c>
      <c r="CO16" s="116" cm="1">
        <f t="array" ref="CO16">_xll.EQNXTDZ($A$1,$B16,CO$1)</f>
        <v>322.14999999999998</v>
      </c>
      <c r="CP16" s="116" cm="1">
        <f t="array" ref="CP16">_xll.EQNXTDZ($A$1,$B16,CP$1)</f>
        <v>293.35000000000002</v>
      </c>
      <c r="CQ16" s="116" cm="1">
        <f t="array" ref="CQ16">_xll.EQNXTDZ($A$1,$B16,CQ$1)</f>
        <v>166.4</v>
      </c>
      <c r="CR16" s="116" cm="1">
        <f t="array" ref="CR16">_xll.EQNXTDZ($A$1,$B16,CR$1)</f>
        <v>76.900000000000006</v>
      </c>
      <c r="CS16" s="116" cm="1">
        <f t="array" ref="CS16">_xll.EQNXTDZ($A$1,$B16,CS$1)</f>
        <v>165.65</v>
      </c>
      <c r="CT16" s="116" cm="1">
        <f t="array" ref="CT16">_xll.EQNXTDZ($A$1,$B16,CT$1)</f>
        <v>145.6</v>
      </c>
      <c r="CU16" s="116" cm="1">
        <f t="array" ref="CU16">_xll.EQNXTDZ($A$1,$B16,CU$1)</f>
        <v>219.65</v>
      </c>
      <c r="CV16" s="116" cm="1">
        <f t="array" ref="CV16">_xll.EQNXTDZ($A$1,$B16,CV$1)</f>
        <v>223.8</v>
      </c>
      <c r="CW16" s="116" cm="1">
        <f t="array" ref="CW16">_xll.EQNXTDZ($A$1,$B16,CW$1)</f>
        <v>251.8</v>
      </c>
      <c r="CX16" s="116" cm="1">
        <f t="array" ref="CX16">_xll.EQNXTDZ($A$1,$B16,CX$1)</f>
        <v>225.3</v>
      </c>
      <c r="CY16" s="116" cm="1">
        <f t="array" ref="CY16">_xll.EQNXTDZ($A$1,$B16,CY$1)</f>
        <v>217.4</v>
      </c>
      <c r="CZ16" s="116" cm="1">
        <f t="array" ref="CZ16">_xll.EQNXTDZ($A$1,$B16,CZ$1)</f>
        <v>222.5</v>
      </c>
      <c r="DA16" s="116" cm="1">
        <f t="array" ref="DA16">_xll.EQNXTDZ($A$1,$B16,DA$1)</f>
        <v>259.39999999999998</v>
      </c>
      <c r="DB16" s="116" cm="1">
        <f t="array" ref="DB16">_xll.EQNXTDZ($A$1,$B16,DB$1)</f>
        <v>233.15</v>
      </c>
      <c r="DC16" s="116" cm="1">
        <f t="array" ref="DC16">_xll.EQNXTDZ($A$1,$B16,DC$1)</f>
        <v>227.35</v>
      </c>
      <c r="DD16" s="116" cm="1">
        <f t="array" ref="DD16">_xll.EQNXTDZ($A$1,$B16,DD$1)</f>
        <v>257.60000000000002</v>
      </c>
      <c r="DE16" s="116" cm="1">
        <f t="array" ref="DE16">_xll.EQNXTDZ($A$1,$B16,DE$1)</f>
        <v>301.2</v>
      </c>
      <c r="DF16" s="116" cm="1">
        <f t="array" ref="DF16">_xll.EQNXTDZ($A$1,$B16,DF$1)</f>
        <v>226.8</v>
      </c>
      <c r="DG16" s="116" cm="1">
        <f t="array" ref="DG16">_xll.EQNXTDZ($A$1,$B16,DG$1)</f>
        <v>271.60000000000002</v>
      </c>
      <c r="DH16" s="116" cm="1">
        <f t="array" ref="DH16">_xll.EQNXTDZ($A$1,$B16,DH$1)</f>
        <v>285.14999999999998</v>
      </c>
      <c r="DI16" s="116" cm="1">
        <f t="array" ref="DI16">_xll.EQNXTDZ($A$1,$B16,DI$1)</f>
        <v>312.05</v>
      </c>
      <c r="DJ16" s="116" cm="1">
        <f t="array" ref="DJ16">_xll.EQNXTDZ($A$1,$B16,DJ$1)</f>
        <v>399.4</v>
      </c>
      <c r="DK16" s="116" cm="1">
        <f t="array" ref="DK16">_xll.EQNXTDZ($A$1,$B16,DK$1)</f>
        <v>434.4</v>
      </c>
      <c r="DL16" s="116" cm="1">
        <f t="array" ref="DL16">_xll.EQNXTDZ($A$1,$B16,DL$1)</f>
        <v>399.75</v>
      </c>
      <c r="DM16" s="116" cm="1">
        <f t="array" ref="DM16">_xll.EQNXTDZ($A$1,$B16,DM$1)</f>
        <v>382.25</v>
      </c>
      <c r="DN16" s="116" cm="1">
        <f t="array" ref="DN16">_xll.EQNXTDZ($A$1,$B16,DN$1)</f>
        <v>394.5</v>
      </c>
      <c r="DO16" s="116" cm="1">
        <f t="array" ref="DO16">_xll.EQNXTDZ($A$1,$B16,DO$1)</f>
        <v>319.39999999999998</v>
      </c>
      <c r="DP16" s="116" cm="1">
        <f t="array" ref="DP16">_xll.EQNXTDZ($A$1,$B16,DP$1)</f>
        <v>317.39999999999998</v>
      </c>
      <c r="DQ16" s="116" cm="1">
        <f t="array" ref="DQ16">_xll.EQNXTDZ($A$1,$B16,DQ$1)</f>
        <v>380.75</v>
      </c>
      <c r="DR16" s="116" cm="1">
        <f t="array" ref="DR16">_xll.EQNXTDZ($A$1,$B16,DR$1)</f>
        <v>328.5</v>
      </c>
      <c r="DS16" s="116" cm="1">
        <f t="array" ref="DS16">_xll.EQNXTDZ($A$1,$B16,DS$1)</f>
        <v>296.75</v>
      </c>
      <c r="DT16" s="116" cm="1">
        <f t="array" ref="DT16">_xll.EQNXTDZ($A$1,$B16,DT$1)</f>
        <v>285.35000000000002</v>
      </c>
      <c r="DU16" s="116" cm="1">
        <f t="array" ref="DU16">_xll.EQNXTDZ($A$1,$B16,DU$1)</f>
        <v>297.75</v>
      </c>
      <c r="DV16" s="116" cm="1">
        <f t="array" ref="DV16">_xll.EQNXTDZ($A$1,$B16,DV$1)</f>
        <v>310.05</v>
      </c>
      <c r="DW16" s="116" cm="1">
        <f t="array" ref="DW16">_xll.EQNXTDZ($A$1,$B16,DW$1)</f>
        <v>288.25</v>
      </c>
      <c r="DX16" s="116" cm="1">
        <f t="array" ref="DX16">_xll.EQNXTDZ($A$1,$B16,DX$1)</f>
        <v>292.7</v>
      </c>
      <c r="DY16" s="116" cm="1">
        <f t="array" ref="DY16">_xll.EQNXTDZ($A$1,$B16,DY$1)</f>
        <v>267.55</v>
      </c>
      <c r="DZ16" s="116" cm="1">
        <f t="array" ref="DZ16">_xll.EQNXTDZ($A$1,$B16,DZ$1)</f>
        <v>286.5</v>
      </c>
      <c r="EA16" s="116" cm="1">
        <f t="array" ref="EA16">_xll.EQNXTDZ($A$1,$B16,EA$1)</f>
        <v>290.85000000000002</v>
      </c>
      <c r="EB16" s="116" cm="1">
        <f t="array" ref="EB16">_xll.EQNXTDZ($A$1,$B16,EB$1)</f>
        <v>292.14999999999998</v>
      </c>
      <c r="EC16" s="116" cm="1">
        <f t="array" ref="EC16">_xll.EQNXTDZ($A$1,$B16,EC$1)</f>
        <v>296.89999999999998</v>
      </c>
      <c r="ED16" s="116" cm="1">
        <f t="array" ref="ED16">_xll.EQNXTDZ($A$1,$B16,ED$1)</f>
        <v>285.39999999999998</v>
      </c>
      <c r="EE16" s="116" cm="1">
        <f t="array" ref="EE16">_xll.EQNXTDZ($A$1,$B16,EE$1)</f>
        <v>289.10000000000002</v>
      </c>
      <c r="EF16" s="116" cm="1">
        <f t="array" ref="EF16">_xll.EQNXTDZ($A$1,$B16,EF$1)</f>
        <v>400.95</v>
      </c>
      <c r="EG16" s="116" cm="1">
        <f t="array" ref="EG16">_xll.EQNXTDZ($A$1,$B16,EG$1)</f>
        <v>376.9</v>
      </c>
      <c r="EH16" s="116" cm="1">
        <f t="array" ref="EH16">_xll.EQNXTDZ($A$1,$B16,EH$1)</f>
        <v>361.05</v>
      </c>
      <c r="EI16" s="116" cm="1">
        <f t="array" ref="EI16">_xll.EQNXTDZ($A$1,$B16,EI$1)</f>
        <v>263.85000000000002</v>
      </c>
      <c r="EJ16" s="116" cm="1">
        <f t="array" ref="EJ16">_xll.EQNXTDZ($A$1,$B16,EJ$1)</f>
        <v>334.6</v>
      </c>
      <c r="EK16" s="116" cm="1">
        <f t="array" ref="EK16">_xll.EQNXTDZ($A$1,$B16,EK$1)</f>
        <v>432.6</v>
      </c>
      <c r="EL16" s="116" cm="1">
        <f t="array" ref="EL16">_xll.EQNXTDZ($A$1,$B16,EL$1)</f>
        <v>566.4</v>
      </c>
      <c r="EM16" s="116" cm="1">
        <f t="array" ref="EM16">_xll.EQNXTDZ($A$1,$B16,EM$1)</f>
        <v>603</v>
      </c>
      <c r="EN16" s="116" cm="1">
        <f t="array" ref="EN16">_xll.EQNXTDZ($A$1,$B16,EN$1)</f>
        <v>523.85</v>
      </c>
      <c r="EO16" s="116" cm="1">
        <f t="array" ref="EO16">_xll.EQNXTDZ($A$1,$B16,EO$1)</f>
        <v>656.45</v>
      </c>
      <c r="EP16" s="116" cm="1">
        <f t="array" ref="EP16">_xll.EQNXTDZ($A$1,$B16,EP$1)</f>
        <v>704.05</v>
      </c>
      <c r="EQ16" s="116" cm="1">
        <f t="array" ref="EQ16">_xll.EQNXTDZ($A$1,$B16,EQ$1)</f>
        <v>712.55</v>
      </c>
      <c r="ER16" s="116" cm="1">
        <f t="array" ref="ER16">_xll.EQNXTDZ($A$1,$B16,ER$1)</f>
        <v>688</v>
      </c>
      <c r="ES16" s="116" cm="1">
        <f t="array" ref="ES16">_xll.EQNXTDZ($A$1,$B16,ES$1)</f>
        <v>672.85</v>
      </c>
      <c r="ET16" s="116" cm="1">
        <f t="array" ref="ET16">_xll.EQNXTDZ($A$1,$B16,ET$1)</f>
        <v>617.15</v>
      </c>
      <c r="EU16" s="116" cm="1">
        <f t="array" ref="EU16">_xll.EQNXTDZ($A$1,$B16,EU$1)</f>
        <v>584.9</v>
      </c>
      <c r="EV16" s="116" cm="1">
        <f t="array" ref="EV16">_xll.EQNXTDZ($A$1,$B16,EV$1)</f>
        <v>486.35</v>
      </c>
      <c r="EW16" s="116" cm="1">
        <f t="array" ref="EW16">_xll.EQNXTDZ($A$1,$B16,EW$1)</f>
        <v>458.55</v>
      </c>
      <c r="EX16" s="116" cm="1">
        <f t="array" ref="EX16">_xll.EQNXTDZ($A$1,$B16,EX$1)</f>
        <v>331.15</v>
      </c>
      <c r="EY16" s="116" cm="1">
        <f t="array" ref="EY16">_xll.EQNXTDZ($A$1,$B16,EY$1)</f>
        <v>255.7</v>
      </c>
      <c r="EZ16" s="116" cm="1">
        <f t="array" ref="EZ16">_xll.EQNXTDZ($A$1,$B16,EZ$1)</f>
        <v>250.5</v>
      </c>
      <c r="FA16" s="116" cm="1">
        <f t="array" ref="FA16">_xll.EQNXTDZ($A$1,$B16,FA$1)</f>
        <v>271.35000000000002</v>
      </c>
      <c r="FB16" s="116" cm="1">
        <f t="array" ref="FB16">_xll.EQNXTDZ($A$1,$B16,FB$1)</f>
        <v>282.3</v>
      </c>
      <c r="FC16" s="116" cm="1">
        <f t="array" ref="FC16">_xll.EQNXTDZ($A$1,$B16,FC$1)</f>
        <v>319.8</v>
      </c>
      <c r="FD16" s="116" cm="1">
        <f t="array" ref="FD16">_xll.EQNXTDZ($A$1,$B16,FD$1)</f>
        <v>281.55</v>
      </c>
      <c r="FE16" s="116" cm="1">
        <f t="array" ref="FE16">_xll.EQNXTDZ($A$1,$B16,FE$1)</f>
        <v>260.05</v>
      </c>
      <c r="FF16" s="116" cm="1">
        <f t="array" ref="FF16">_xll.EQNXTDZ($A$1,$B16,FF$1)</f>
        <v>242.4</v>
      </c>
      <c r="FG16" s="116" cm="1">
        <f t="array" ref="FG16">_xll.EQNXTDZ($A$1,$B16,FG$1)</f>
        <v>219.9</v>
      </c>
      <c r="FH16" s="116" cm="1">
        <f t="array" ref="FH16">_xll.EQNXTDZ($A$1,$B16,FH$1)</f>
        <v>225.95</v>
      </c>
      <c r="FI16" s="116" cm="1">
        <f t="array" ref="FI16">_xll.EQNXTDZ($A$1,$B16,FI$1)</f>
        <v>214.3</v>
      </c>
      <c r="FJ16" s="116" cm="1">
        <f t="array" ref="FJ16">_xll.EQNXTDZ($A$1,$B16,FJ$1)</f>
        <v>185.15</v>
      </c>
      <c r="FK16" s="116" cm="1">
        <f t="array" ref="FK16">_xll.EQNXTDZ($A$1,$B16,FK$1)</f>
        <v>197.85</v>
      </c>
      <c r="FL16" s="116" cm="1">
        <f t="array" ref="FL16">_xll.EQNXTDZ($A$1,$B16,FL$1)</f>
        <v>148.94999999999999</v>
      </c>
      <c r="FM16" s="116" cm="1">
        <f t="array" ref="FM16">_xll.EQNXTDZ($A$1,$B16,FM$1)</f>
        <v>208.35</v>
      </c>
      <c r="FN16" s="116" cm="1">
        <f t="array" ref="FN16">_xll.EQNXTDZ($A$1,$B16,FN$1)</f>
        <v>187.85</v>
      </c>
      <c r="FO16" s="116" cm="1">
        <f t="array" ref="FO16">_xll.EQNXTDZ($A$1,$B16,FO$1)</f>
        <v>214.1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623.20000000000005</v>
      </c>
      <c r="IS16" s="116">
        <f>+CO16</f>
        <v>322.14999999999998</v>
      </c>
      <c r="IT16" s="116">
        <f>+CR16</f>
        <v>76.900000000000006</v>
      </c>
      <c r="IU16" s="116">
        <f>+CU16</f>
        <v>219.65</v>
      </c>
      <c r="IV16" s="116">
        <f>+CX16</f>
        <v>225.3</v>
      </c>
      <c r="IW16" s="116">
        <f>+DA16</f>
        <v>259.39999999999998</v>
      </c>
      <c r="IX16" s="116">
        <f>+DD16</f>
        <v>257.60000000000002</v>
      </c>
      <c r="IY16" s="116">
        <f>+DG16</f>
        <v>271.60000000000002</v>
      </c>
      <c r="IZ16" s="116">
        <f>+DJ16</f>
        <v>399.4</v>
      </c>
      <c r="JA16" s="116">
        <f>+DM16</f>
        <v>382.25</v>
      </c>
      <c r="JB16" s="116">
        <f>+DP16</f>
        <v>317.39999999999998</v>
      </c>
      <c r="JC16" s="116">
        <f>+DS16</f>
        <v>296.75</v>
      </c>
      <c r="JD16" s="116">
        <f>+DV16</f>
        <v>310.05</v>
      </c>
      <c r="JE16" s="116">
        <f>+DY16</f>
        <v>267.55</v>
      </c>
      <c r="JF16" s="116">
        <f>+EB16</f>
        <v>292.14999999999998</v>
      </c>
      <c r="JG16" s="116">
        <f>+EE16</f>
        <v>289.10000000000002</v>
      </c>
      <c r="JH16" s="116">
        <f>+EH16</f>
        <v>361.05</v>
      </c>
      <c r="JI16" s="116">
        <f>+EK16</f>
        <v>432.6</v>
      </c>
      <c r="JJ16" s="116">
        <f>+EN16</f>
        <v>523.85</v>
      </c>
      <c r="JK16" s="116">
        <f>EQ16</f>
        <v>712.55</v>
      </c>
      <c r="JL16" s="116">
        <f>ET16</f>
        <v>617.15</v>
      </c>
      <c r="JM16" s="116">
        <f>EW16</f>
        <v>458.55</v>
      </c>
      <c r="JN16" s="116">
        <f>EZ16</f>
        <v>250.5</v>
      </c>
      <c r="JO16" s="116">
        <f>FC16</f>
        <v>319.8</v>
      </c>
      <c r="JP16" s="116">
        <f>FF16</f>
        <v>242.4</v>
      </c>
      <c r="JQ16" s="116">
        <f>FI16</f>
        <v>214.3</v>
      </c>
      <c r="JR16" s="116">
        <f>FL16</f>
        <v>148.94999999999999</v>
      </c>
      <c r="JS16" s="116">
        <f>FO16</f>
        <v>214.1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755.5</v>
      </c>
      <c r="IS19" s="116">
        <f t="shared" si="1"/>
        <v>631.5</v>
      </c>
      <c r="IT19" s="116">
        <f t="shared" si="1"/>
        <v>338.25</v>
      </c>
      <c r="IU19" s="116">
        <f t="shared" si="1"/>
        <v>219.65</v>
      </c>
      <c r="IV19" s="116">
        <f t="shared" si="1"/>
        <v>289.45</v>
      </c>
      <c r="IW19" s="116">
        <f t="shared" si="1"/>
        <v>294.60000000000002</v>
      </c>
      <c r="IX19" s="116">
        <f t="shared" si="1"/>
        <v>327</v>
      </c>
      <c r="IY19" s="116">
        <f t="shared" si="1"/>
        <v>343.5</v>
      </c>
      <c r="IZ19" s="116">
        <f t="shared" si="1"/>
        <v>427.5</v>
      </c>
      <c r="JA19" s="116">
        <f t="shared" si="1"/>
        <v>509</v>
      </c>
      <c r="JB19" s="116">
        <f t="shared" si="1"/>
        <v>423.15</v>
      </c>
      <c r="JC19" s="116">
        <f t="shared" si="1"/>
        <v>400</v>
      </c>
      <c r="JD19" s="116">
        <f t="shared" si="1"/>
        <v>362.1</v>
      </c>
      <c r="JE19" s="116">
        <f t="shared" si="1"/>
        <v>317.10000000000002</v>
      </c>
      <c r="JF19" s="116">
        <f t="shared" si="1"/>
        <v>338.45</v>
      </c>
      <c r="JG19" s="116">
        <f t="shared" si="1"/>
        <v>330</v>
      </c>
      <c r="JH19" s="116">
        <f t="shared" si="1"/>
        <v>408.75</v>
      </c>
      <c r="JI19" s="116">
        <f t="shared" si="1"/>
        <v>459</v>
      </c>
      <c r="JJ19" s="116">
        <f t="shared" ref="JJ19:JJ21" si="2">+IF(JJ14=0,JJ7,JJ14)</f>
        <v>646.95000000000005</v>
      </c>
      <c r="JK19" s="116">
        <f t="shared" ref="JK19" si="3">+IF(JK14=0,JK7,JK14)</f>
        <v>828</v>
      </c>
      <c r="JL19" s="116">
        <f t="shared" ref="JL19:JM19" si="4">+IF(JL14=0,JL7,JL14)</f>
        <v>758.35</v>
      </c>
      <c r="JM19" s="116">
        <f t="shared" si="4"/>
        <v>642</v>
      </c>
      <c r="JN19" s="116">
        <f t="shared" ref="JN19:JO19" si="5">+IF(JN14=0,JN7,JN14)</f>
        <v>475.35</v>
      </c>
      <c r="JO19" s="116">
        <f t="shared" si="5"/>
        <v>348.9</v>
      </c>
      <c r="JP19" s="116">
        <f t="shared" ref="JP19" si="6">+IF(JP14=0,JP7,JP14)</f>
        <v>341</v>
      </c>
      <c r="JQ19" s="116">
        <f t="shared" ref="JQ19:KH19" si="7">+IF(JQ14=0,JQ7,JQ14)</f>
        <v>253</v>
      </c>
      <c r="JR19" s="116">
        <f t="shared" si="7"/>
        <v>223.6</v>
      </c>
      <c r="JS19" s="116">
        <f t="shared" si="7"/>
        <v>232.15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245.1</v>
      </c>
      <c r="IT20" s="116">
        <f t="shared" si="1"/>
        <v>69.75</v>
      </c>
      <c r="IU20" s="116">
        <f t="shared" si="1"/>
        <v>73.099999999999994</v>
      </c>
      <c r="IV20" s="116">
        <f t="shared" si="1"/>
        <v>187.25</v>
      </c>
      <c r="IW20" s="116">
        <f t="shared" si="1"/>
        <v>202.35</v>
      </c>
      <c r="IX20" s="116">
        <f t="shared" si="1"/>
        <v>225.5</v>
      </c>
      <c r="IY20" s="116">
        <f t="shared" si="1"/>
        <v>219</v>
      </c>
      <c r="IZ20" s="116">
        <f t="shared" si="1"/>
        <v>248.35</v>
      </c>
      <c r="JA20" s="116">
        <f t="shared" si="1"/>
        <v>372.05</v>
      </c>
      <c r="JB20" s="116">
        <f t="shared" si="1"/>
        <v>295.25</v>
      </c>
      <c r="JC20" s="116">
        <f t="shared" si="1"/>
        <v>278.35000000000002</v>
      </c>
      <c r="JD20" s="116">
        <f t="shared" si="1"/>
        <v>273.35000000000002</v>
      </c>
      <c r="JE20" s="116">
        <f t="shared" si="1"/>
        <v>255.25</v>
      </c>
      <c r="JF20" s="116">
        <f t="shared" si="1"/>
        <v>262</v>
      </c>
      <c r="JG20" s="116">
        <f t="shared" si="1"/>
        <v>277.2</v>
      </c>
      <c r="JH20" s="116">
        <f t="shared" si="1"/>
        <v>285.05</v>
      </c>
      <c r="JI20" s="116">
        <f t="shared" si="1"/>
        <v>253.45</v>
      </c>
      <c r="JJ20" s="116">
        <f t="shared" si="2"/>
        <v>434</v>
      </c>
      <c r="JK20" s="116">
        <f t="shared" ref="JK20" si="9">+IF(JK15=0,JK8,JK15)</f>
        <v>476.65</v>
      </c>
      <c r="JL20" s="116">
        <f t="shared" ref="JL20:JM20" si="10">+IF(JL15=0,JL8,JL15)</f>
        <v>608.1</v>
      </c>
      <c r="JM20" s="116">
        <f t="shared" si="10"/>
        <v>441.45</v>
      </c>
      <c r="JN20" s="116">
        <f t="shared" ref="JN20:JO20" si="11">+IF(JN15=0,JN8,JN15)</f>
        <v>218.2</v>
      </c>
      <c r="JO20" s="116">
        <f t="shared" si="11"/>
        <v>216.05</v>
      </c>
      <c r="JP20" s="116">
        <f t="shared" ref="JP20" si="12">+IF(JP15=0,JP8,JP15)</f>
        <v>235</v>
      </c>
      <c r="JQ20" s="116">
        <f t="shared" ref="JQ20:KH20" si="13">+IF(JQ15=0,JQ8,JQ15)</f>
        <v>196.55</v>
      </c>
      <c r="JR20" s="116">
        <f t="shared" si="13"/>
        <v>148.30000000000001</v>
      </c>
      <c r="JS20" s="116">
        <f t="shared" si="13"/>
        <v>152.55000000000001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623.20000000000005</v>
      </c>
      <c r="IS21" s="116">
        <f t="shared" si="1"/>
        <v>322.14999999999998</v>
      </c>
      <c r="IT21" s="116">
        <f t="shared" si="1"/>
        <v>76.900000000000006</v>
      </c>
      <c r="IU21" s="116">
        <f t="shared" si="1"/>
        <v>219.65</v>
      </c>
      <c r="IV21" s="116">
        <f t="shared" si="1"/>
        <v>225.3</v>
      </c>
      <c r="IW21" s="116">
        <f t="shared" si="1"/>
        <v>259.39999999999998</v>
      </c>
      <c r="IX21" s="116">
        <f t="shared" si="1"/>
        <v>257.60000000000002</v>
      </c>
      <c r="IY21" s="116">
        <f t="shared" si="1"/>
        <v>271.60000000000002</v>
      </c>
      <c r="IZ21" s="116">
        <f t="shared" si="1"/>
        <v>399.4</v>
      </c>
      <c r="JA21" s="116">
        <f t="shared" si="1"/>
        <v>382.25</v>
      </c>
      <c r="JB21" s="116">
        <f t="shared" si="1"/>
        <v>317.39999999999998</v>
      </c>
      <c r="JC21" s="116">
        <f t="shared" si="1"/>
        <v>296.75</v>
      </c>
      <c r="JD21" s="116">
        <f t="shared" si="1"/>
        <v>310.05</v>
      </c>
      <c r="JE21" s="116">
        <f t="shared" si="1"/>
        <v>267.55</v>
      </c>
      <c r="JF21" s="116">
        <f t="shared" si="1"/>
        <v>292.14999999999998</v>
      </c>
      <c r="JG21" s="116">
        <f t="shared" si="1"/>
        <v>289.10000000000002</v>
      </c>
      <c r="JH21" s="116">
        <f t="shared" si="1"/>
        <v>361.05</v>
      </c>
      <c r="JI21" s="116">
        <f t="shared" si="1"/>
        <v>432.6</v>
      </c>
      <c r="JJ21" s="116">
        <f t="shared" si="2"/>
        <v>523.85</v>
      </c>
      <c r="JK21" s="116">
        <f t="shared" ref="JK21" si="14">+IF(JK16=0,JK9,JK16)</f>
        <v>712.55</v>
      </c>
      <c r="JL21" s="116">
        <f t="shared" ref="JL21:JM21" si="15">+IF(JL16=0,JL9,JL16)</f>
        <v>617.15</v>
      </c>
      <c r="JM21" s="116">
        <f t="shared" si="15"/>
        <v>458.55</v>
      </c>
      <c r="JN21" s="116">
        <f t="shared" ref="JN21:JO21" si="16">+IF(JN16=0,JN9,JN16)</f>
        <v>250.5</v>
      </c>
      <c r="JO21" s="116">
        <f t="shared" si="16"/>
        <v>319.8</v>
      </c>
      <c r="JP21" s="116">
        <f t="shared" ref="JP21" si="17">+IF(JP16=0,JP9,JP16)</f>
        <v>242.4</v>
      </c>
      <c r="JQ21" s="116">
        <f t="shared" ref="JQ21:KH21" si="18">+IF(JQ16=0,JQ9,JQ16)</f>
        <v>214.3</v>
      </c>
      <c r="JR21" s="116">
        <f t="shared" si="18"/>
        <v>148.94999999999999</v>
      </c>
      <c r="JS21" s="116">
        <f t="shared" si="18"/>
        <v>214.1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295131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201809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16036000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160360000</v>
      </c>
      <c r="AG6" cm="1">
        <f t="array" ref="AG6">_xll.EQNXTDZ($A$1,$B6,AG$1)</f>
        <v>160360000</v>
      </c>
      <c r="AH6" cm="1">
        <f t="array" ref="AH6">_xll.EQNXTDZ($A$1,$B6,AH$1)</f>
        <v>160360000</v>
      </c>
      <c r="AI6" cm="1">
        <f t="array" ref="AI6">_xll.EQNXTDZ($A$1,$B6,AI$1)</f>
        <v>160360000</v>
      </c>
      <c r="AJ6" cm="1">
        <f t="array" ref="AJ6">_xll.EQNXTDZ($A$1,$B6,AJ$1)</f>
        <v>160360000</v>
      </c>
      <c r="AK6" cm="1">
        <f t="array" ref="AK6">_xll.EQNXTDZ($A$1,$B6,AK$1)</f>
        <v>160360000</v>
      </c>
      <c r="AL6" cm="1">
        <f t="array" ref="AL6">_xll.EQNXTDZ($A$1,$B6,AL$1)</f>
        <v>160360000</v>
      </c>
      <c r="AM6" cm="1">
        <f t="array" ref="AM6">_xll.EQNXTDZ($A$1,$B6,AM$1)</f>
        <v>160360000</v>
      </c>
      <c r="AN6" cm="1">
        <f t="array" ref="AN6">_xll.EQNXTDZ($A$1,$B6,AN$1)</f>
        <v>160360000</v>
      </c>
      <c r="AO6" cm="1">
        <f t="array" ref="AO6">_xll.EQNXTDZ($A$1,$B6,AO$1)</f>
        <v>189693333</v>
      </c>
      <c r="AP6" cm="1">
        <f t="array" ref="AP6">_xll.EQNXTDZ($A$1,$B6,AP$1)</f>
        <v>189693333</v>
      </c>
      <c r="AQ6" cm="1">
        <f t="array" ref="AQ6">_xll.EQNXTDZ($A$1,$B6,AQ$1)</f>
        <v>189693333</v>
      </c>
      <c r="AR6" cm="1">
        <f t="array" ref="AR6">_xll.EQNXTDZ($A$1,$B6,AR$1)</f>
        <v>189693333</v>
      </c>
      <c r="AS6" cm="1">
        <f t="array" ref="AS6">_xll.EQNXTDZ($A$1,$B6,AS$1)</f>
        <v>189693333</v>
      </c>
      <c r="AT6" cm="1">
        <f t="array" ref="AT6">_xll.EQNXTDZ($A$1,$B6,AT$1)</f>
        <v>189693333</v>
      </c>
      <c r="AU6" cm="1">
        <f t="array" ref="AU6">_xll.EQNXTDZ($A$1,$B6,AU$1)</f>
        <v>189693333</v>
      </c>
      <c r="AV6" cm="1">
        <f t="array" ref="AV6">_xll.EQNXTDZ($A$1,$B6,AV$1)</f>
        <v>189706372</v>
      </c>
      <c r="AW6" cm="1">
        <f t="array" ref="AW6">_xll.EQNXTDZ($A$1,$B6,AW$1)</f>
        <v>233014464</v>
      </c>
      <c r="AX6" cm="1">
        <f t="array" ref="AX6">_xll.EQNXTDZ($A$1,$B6,AX$1)</f>
        <v>233202317</v>
      </c>
      <c r="AY6" cm="1">
        <f t="array" ref="AY6">_xll.EQNXTDZ($A$1,$B6,AY$1)</f>
        <v>233277661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1.6035999999999999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16.036000000000001</v>
      </c>
      <c r="AG7" s="100">
        <f t="shared" si="1"/>
        <v>16.036000000000001</v>
      </c>
      <c r="AH7" s="100">
        <f t="shared" si="1"/>
        <v>16.036000000000001</v>
      </c>
      <c r="AI7" s="100">
        <f t="shared" si="1"/>
        <v>16.036000000000001</v>
      </c>
      <c r="AJ7" s="100">
        <f t="shared" si="1"/>
        <v>16.036000000000001</v>
      </c>
      <c r="AK7" s="100">
        <f t="shared" si="1"/>
        <v>16.036000000000001</v>
      </c>
      <c r="AL7" s="100">
        <f t="shared" si="1"/>
        <v>16.036000000000001</v>
      </c>
      <c r="AM7" s="100">
        <f t="shared" si="1"/>
        <v>16.036000000000001</v>
      </c>
      <c r="AN7" s="100">
        <f t="shared" si="1"/>
        <v>16.036000000000001</v>
      </c>
      <c r="AO7" s="100">
        <f t="shared" si="1"/>
        <v>18.969333299999999</v>
      </c>
      <c r="AP7" s="100">
        <f t="shared" si="1"/>
        <v>18.969333299999999</v>
      </c>
      <c r="AQ7" s="100">
        <f t="shared" si="1"/>
        <v>18.969333299999999</v>
      </c>
      <c r="AR7" s="100">
        <f t="shared" si="1"/>
        <v>18.969333299999999</v>
      </c>
      <c r="AS7" s="100">
        <f t="shared" si="1"/>
        <v>18.969333299999999</v>
      </c>
      <c r="AT7" s="100">
        <f t="shared" ref="AT7:AX7" si="2">+AT6/10^7</f>
        <v>18.969333299999999</v>
      </c>
      <c r="AU7" s="100">
        <f t="shared" si="2"/>
        <v>18.969333299999999</v>
      </c>
      <c r="AV7" s="100">
        <f t="shared" si="2"/>
        <v>18.970637199999999</v>
      </c>
      <c r="AW7" s="100">
        <f t="shared" si="2"/>
        <v>23.3014464</v>
      </c>
      <c r="AX7" s="100">
        <f t="shared" si="2"/>
        <v>23.320231700000001</v>
      </c>
      <c r="AY7" s="100">
        <f t="shared" ref="AY7" si="3">+AY6/10^7</f>
        <v>23.327766100000002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295131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43697</v>
      </c>
      <c r="B4" s="116">
        <v>755.5</v>
      </c>
      <c r="C4" s="116">
        <v>725.35</v>
      </c>
      <c r="D4" s="116">
        <v>691</v>
      </c>
      <c r="E4" s="116">
        <v>700</v>
      </c>
      <c r="F4" s="116">
        <v>725.35</v>
      </c>
      <c r="G4">
        <v>308653</v>
      </c>
      <c r="H4" s="116"/>
      <c r="I4" s="116"/>
      <c r="L4" s="170">
        <v>43697</v>
      </c>
      <c r="M4" s="116">
        <v>726.2</v>
      </c>
      <c r="N4" s="116">
        <v>753.45</v>
      </c>
      <c r="O4" s="116">
        <v>690.1</v>
      </c>
      <c r="P4" s="116">
        <v>706</v>
      </c>
      <c r="Q4" s="116">
        <v>726.2</v>
      </c>
      <c r="R4">
        <v>4599673</v>
      </c>
    </row>
    <row r="5" spans="1:18" x14ac:dyDescent="0.25">
      <c r="A5" s="170">
        <v>43698</v>
      </c>
      <c r="B5" s="116">
        <v>723</v>
      </c>
      <c r="C5" s="116">
        <v>689</v>
      </c>
      <c r="D5" s="116">
        <v>677</v>
      </c>
      <c r="E5" s="116">
        <v>715</v>
      </c>
      <c r="F5" s="116">
        <v>689</v>
      </c>
      <c r="G5">
        <v>512705</v>
      </c>
      <c r="H5" s="116"/>
      <c r="I5" s="116"/>
      <c r="L5" s="170">
        <v>43698</v>
      </c>
      <c r="M5" s="116">
        <v>688</v>
      </c>
      <c r="N5" s="116">
        <v>723.1</v>
      </c>
      <c r="O5" s="116">
        <v>675</v>
      </c>
      <c r="P5" s="116">
        <v>714.15</v>
      </c>
      <c r="Q5" s="116">
        <v>688</v>
      </c>
      <c r="R5">
        <v>995590</v>
      </c>
    </row>
    <row r="6" spans="1:18" x14ac:dyDescent="0.25">
      <c r="A6" s="170">
        <v>43699</v>
      </c>
      <c r="B6" s="116">
        <v>689.75</v>
      </c>
      <c r="C6" s="116">
        <v>637.4</v>
      </c>
      <c r="D6" s="116">
        <v>631.04999999999995</v>
      </c>
      <c r="E6" s="116">
        <v>689.75</v>
      </c>
      <c r="F6" s="116">
        <v>637.4</v>
      </c>
      <c r="G6">
        <v>34271</v>
      </c>
      <c r="H6" s="116"/>
      <c r="I6" s="116"/>
      <c r="L6" s="170">
        <v>43699</v>
      </c>
      <c r="M6" s="116">
        <v>639.45000000000005</v>
      </c>
      <c r="N6" s="116">
        <v>688</v>
      </c>
      <c r="O6" s="116">
        <v>631.20000000000005</v>
      </c>
      <c r="P6" s="116">
        <v>688</v>
      </c>
      <c r="Q6" s="116">
        <v>639.45000000000005</v>
      </c>
      <c r="R6">
        <v>657050</v>
      </c>
    </row>
    <row r="7" spans="1:18" x14ac:dyDescent="0.25">
      <c r="A7" s="170">
        <v>43700</v>
      </c>
      <c r="B7" s="116">
        <v>639.79999999999995</v>
      </c>
      <c r="C7" s="116">
        <v>625.15</v>
      </c>
      <c r="D7" s="116">
        <v>602.65</v>
      </c>
      <c r="E7" s="116">
        <v>639.79999999999995</v>
      </c>
      <c r="F7" s="116">
        <v>625.15</v>
      </c>
      <c r="G7">
        <v>122670</v>
      </c>
      <c r="H7" s="116"/>
      <c r="I7" s="116"/>
      <c r="L7" s="170">
        <v>43700</v>
      </c>
      <c r="M7" s="116">
        <v>625</v>
      </c>
      <c r="N7" s="116">
        <v>634</v>
      </c>
      <c r="O7" s="116">
        <v>602.9</v>
      </c>
      <c r="P7" s="116">
        <v>630.04999999999995</v>
      </c>
      <c r="Q7" s="116">
        <v>625</v>
      </c>
      <c r="R7">
        <v>539280</v>
      </c>
    </row>
    <row r="8" spans="1:18" x14ac:dyDescent="0.25">
      <c r="A8" s="170">
        <v>43703</v>
      </c>
      <c r="B8" s="116">
        <v>640.9</v>
      </c>
      <c r="C8" s="116">
        <v>630.85</v>
      </c>
      <c r="D8" s="116">
        <v>612</v>
      </c>
      <c r="E8" s="116">
        <v>635</v>
      </c>
      <c r="F8" s="116">
        <v>630.85</v>
      </c>
      <c r="G8">
        <v>52869</v>
      </c>
      <c r="H8" s="116"/>
      <c r="I8" s="116"/>
      <c r="L8" s="170">
        <v>43703</v>
      </c>
      <c r="M8" s="116">
        <v>630.35</v>
      </c>
      <c r="N8" s="116">
        <v>642.95000000000005</v>
      </c>
      <c r="O8" s="116">
        <v>612</v>
      </c>
      <c r="P8" s="116">
        <v>629.9</v>
      </c>
      <c r="Q8" s="116">
        <v>630.35</v>
      </c>
      <c r="R8">
        <v>222217</v>
      </c>
    </row>
    <row r="9" spans="1:18" x14ac:dyDescent="0.25">
      <c r="A9" s="170">
        <v>43704</v>
      </c>
      <c r="B9" s="116">
        <v>696</v>
      </c>
      <c r="C9" s="116">
        <v>638.95000000000005</v>
      </c>
      <c r="D9" s="116">
        <v>627.6</v>
      </c>
      <c r="E9" s="116">
        <v>627.85</v>
      </c>
      <c r="F9" s="116">
        <v>638.95000000000005</v>
      </c>
      <c r="G9">
        <v>38423</v>
      </c>
      <c r="H9" s="116"/>
      <c r="I9" s="116"/>
      <c r="L9" s="170">
        <v>43704</v>
      </c>
      <c r="M9" s="116">
        <v>639.79999999999995</v>
      </c>
      <c r="N9" s="116">
        <v>698.05</v>
      </c>
      <c r="O9" s="116">
        <v>625.4</v>
      </c>
      <c r="P9" s="116">
        <v>629.9</v>
      </c>
      <c r="Q9" s="116">
        <v>639.79999999999995</v>
      </c>
      <c r="R9">
        <v>441883</v>
      </c>
    </row>
    <row r="10" spans="1:18" x14ac:dyDescent="0.25">
      <c r="A10" s="170">
        <v>43705</v>
      </c>
      <c r="B10" s="116">
        <v>646.75</v>
      </c>
      <c r="C10" s="116">
        <v>625.5</v>
      </c>
      <c r="D10" s="116">
        <v>618</v>
      </c>
      <c r="E10" s="116">
        <v>641</v>
      </c>
      <c r="F10" s="116">
        <v>625.5</v>
      </c>
      <c r="G10">
        <v>11219</v>
      </c>
      <c r="H10" s="116"/>
      <c r="I10" s="116"/>
      <c r="L10" s="170">
        <v>43705</v>
      </c>
      <c r="M10" s="116">
        <v>625.85</v>
      </c>
      <c r="N10" s="116">
        <v>648.04999999999995</v>
      </c>
      <c r="O10" s="116">
        <v>614</v>
      </c>
      <c r="P10" s="116">
        <v>640.1</v>
      </c>
      <c r="Q10" s="116">
        <v>625.85</v>
      </c>
      <c r="R10">
        <v>435291</v>
      </c>
    </row>
    <row r="11" spans="1:18" x14ac:dyDescent="0.25">
      <c r="A11" s="170">
        <v>43706</v>
      </c>
      <c r="B11" s="116">
        <v>632.54999999999995</v>
      </c>
      <c r="C11" s="116">
        <v>618.79999999999995</v>
      </c>
      <c r="D11" s="116">
        <v>613.29999999999995</v>
      </c>
      <c r="E11" s="116">
        <v>618.29999999999995</v>
      </c>
      <c r="F11" s="116">
        <v>618.79999999999995</v>
      </c>
      <c r="G11">
        <v>4658</v>
      </c>
      <c r="H11" s="116"/>
      <c r="I11" s="116"/>
      <c r="L11" s="170">
        <v>43706</v>
      </c>
      <c r="M11" s="116">
        <v>619.6</v>
      </c>
      <c r="N11" s="116">
        <v>634.45000000000005</v>
      </c>
      <c r="O11" s="116">
        <v>615</v>
      </c>
      <c r="P11" s="116">
        <v>619</v>
      </c>
      <c r="Q11" s="116">
        <v>619.6</v>
      </c>
      <c r="R11">
        <v>43801</v>
      </c>
    </row>
    <row r="12" spans="1:18" x14ac:dyDescent="0.25">
      <c r="A12" s="170">
        <v>43707</v>
      </c>
      <c r="B12" s="116">
        <v>621.54999999999995</v>
      </c>
      <c r="C12" s="116">
        <v>609</v>
      </c>
      <c r="D12" s="116">
        <v>607</v>
      </c>
      <c r="E12" s="116">
        <v>620.5</v>
      </c>
      <c r="F12" s="116">
        <v>609</v>
      </c>
      <c r="G12">
        <v>3991</v>
      </c>
      <c r="H12" s="116"/>
      <c r="I12" s="116"/>
      <c r="L12" s="170">
        <v>43707</v>
      </c>
      <c r="M12" s="116">
        <v>609.85</v>
      </c>
      <c r="N12" s="116">
        <v>626.15</v>
      </c>
      <c r="O12" s="116">
        <v>607</v>
      </c>
      <c r="P12" s="116">
        <v>621</v>
      </c>
      <c r="Q12" s="116">
        <v>609.85</v>
      </c>
      <c r="R12">
        <v>171995</v>
      </c>
    </row>
    <row r="13" spans="1:18" x14ac:dyDescent="0.25">
      <c r="A13" s="170">
        <v>43711</v>
      </c>
      <c r="B13" s="116">
        <v>609.15</v>
      </c>
      <c r="C13" s="116">
        <v>573.15</v>
      </c>
      <c r="D13" s="116">
        <v>569.5</v>
      </c>
      <c r="E13" s="116">
        <v>609</v>
      </c>
      <c r="F13" s="116">
        <v>573.15</v>
      </c>
      <c r="G13">
        <v>9995</v>
      </c>
      <c r="H13" s="116"/>
      <c r="I13" s="116"/>
      <c r="L13" s="170">
        <v>43711</v>
      </c>
      <c r="M13" s="116">
        <v>573.9</v>
      </c>
      <c r="N13" s="116">
        <v>610</v>
      </c>
      <c r="O13" s="116">
        <v>570</v>
      </c>
      <c r="P13" s="116">
        <v>607</v>
      </c>
      <c r="Q13" s="116">
        <v>573.9</v>
      </c>
      <c r="R13">
        <v>294115</v>
      </c>
    </row>
    <row r="14" spans="1:18" x14ac:dyDescent="0.25">
      <c r="A14" s="170">
        <v>43712</v>
      </c>
      <c r="B14" s="116">
        <v>575.4</v>
      </c>
      <c r="C14" s="116">
        <v>568.95000000000005</v>
      </c>
      <c r="D14" s="116">
        <v>562.4</v>
      </c>
      <c r="E14" s="116">
        <v>570.54999999999995</v>
      </c>
      <c r="F14" s="116">
        <v>568.95000000000005</v>
      </c>
      <c r="G14">
        <v>4664</v>
      </c>
      <c r="H14" s="116"/>
      <c r="I14" s="116"/>
      <c r="L14" s="170">
        <v>43712</v>
      </c>
      <c r="M14" s="116">
        <v>568.54999999999995</v>
      </c>
      <c r="N14" s="116">
        <v>575.5</v>
      </c>
      <c r="O14" s="116">
        <v>561.04999999999995</v>
      </c>
      <c r="P14" s="116">
        <v>570.04999999999995</v>
      </c>
      <c r="Q14" s="116">
        <v>568.54999999999995</v>
      </c>
      <c r="R14">
        <v>85814</v>
      </c>
    </row>
    <row r="15" spans="1:18" x14ac:dyDescent="0.25">
      <c r="A15" s="170">
        <v>43713</v>
      </c>
      <c r="B15" s="116">
        <v>574</v>
      </c>
      <c r="C15" s="116">
        <v>564.65</v>
      </c>
      <c r="D15" s="116">
        <v>557.4</v>
      </c>
      <c r="E15" s="116">
        <v>563.5</v>
      </c>
      <c r="F15" s="116">
        <v>564.65</v>
      </c>
      <c r="G15">
        <v>4589</v>
      </c>
      <c r="H15" s="116"/>
      <c r="I15" s="116"/>
      <c r="L15" s="170">
        <v>43713</v>
      </c>
      <c r="M15" s="116">
        <v>565.65</v>
      </c>
      <c r="N15" s="116">
        <v>573.75</v>
      </c>
      <c r="O15" s="116">
        <v>556.15</v>
      </c>
      <c r="P15" s="116">
        <v>565.1</v>
      </c>
      <c r="Q15" s="116">
        <v>565.65</v>
      </c>
      <c r="R15">
        <v>57215</v>
      </c>
    </row>
    <row r="16" spans="1:18" x14ac:dyDescent="0.25">
      <c r="A16" s="170">
        <v>43714</v>
      </c>
      <c r="B16" s="116">
        <v>582</v>
      </c>
      <c r="C16" s="116">
        <v>564.15</v>
      </c>
      <c r="D16" s="116">
        <v>555</v>
      </c>
      <c r="E16" s="116">
        <v>561</v>
      </c>
      <c r="F16" s="116">
        <v>564.15</v>
      </c>
      <c r="G16">
        <v>3742</v>
      </c>
      <c r="H16" s="116"/>
      <c r="I16" s="116"/>
      <c r="L16" s="170">
        <v>43714</v>
      </c>
      <c r="M16" s="116">
        <v>564.35</v>
      </c>
      <c r="N16" s="116">
        <v>581.1</v>
      </c>
      <c r="O16" s="116">
        <v>554</v>
      </c>
      <c r="P16" s="116">
        <v>559</v>
      </c>
      <c r="Q16" s="116">
        <v>564.35</v>
      </c>
      <c r="R16">
        <v>665399</v>
      </c>
    </row>
    <row r="17" spans="1:18" x14ac:dyDescent="0.25">
      <c r="A17" s="170">
        <v>43717</v>
      </c>
      <c r="B17" s="116">
        <v>573.45000000000005</v>
      </c>
      <c r="C17" s="116">
        <v>569.29999999999995</v>
      </c>
      <c r="D17" s="116">
        <v>559.54999999999995</v>
      </c>
      <c r="E17" s="116">
        <v>560.65</v>
      </c>
      <c r="F17" s="116">
        <v>569.29999999999995</v>
      </c>
      <c r="G17">
        <v>8779</v>
      </c>
      <c r="H17" s="116"/>
      <c r="I17" s="116"/>
      <c r="L17" s="170">
        <v>43717</v>
      </c>
      <c r="M17" s="116">
        <v>567.1</v>
      </c>
      <c r="N17" s="116">
        <v>573</v>
      </c>
      <c r="O17" s="116">
        <v>557.6</v>
      </c>
      <c r="P17" s="116">
        <v>559.9</v>
      </c>
      <c r="Q17" s="116">
        <v>567.1</v>
      </c>
      <c r="R17">
        <v>447811</v>
      </c>
    </row>
    <row r="18" spans="1:18" x14ac:dyDescent="0.25">
      <c r="A18" s="170">
        <v>43719</v>
      </c>
      <c r="B18" s="116">
        <v>612</v>
      </c>
      <c r="C18" s="116">
        <v>587.04999999999995</v>
      </c>
      <c r="D18" s="116">
        <v>567</v>
      </c>
      <c r="E18" s="116">
        <v>569</v>
      </c>
      <c r="F18" s="116">
        <v>587.04999999999995</v>
      </c>
      <c r="G18">
        <v>10585</v>
      </c>
      <c r="H18" s="116"/>
      <c r="I18" s="116"/>
      <c r="L18" s="170">
        <v>43719</v>
      </c>
      <c r="M18" s="116">
        <v>587.4</v>
      </c>
      <c r="N18" s="116">
        <v>612.35</v>
      </c>
      <c r="O18" s="116">
        <v>567.29999999999995</v>
      </c>
      <c r="P18" s="116">
        <v>572.75</v>
      </c>
      <c r="Q18" s="116">
        <v>587.4</v>
      </c>
      <c r="R18">
        <v>275069</v>
      </c>
    </row>
    <row r="19" spans="1:18" x14ac:dyDescent="0.25">
      <c r="A19" s="170">
        <v>43720</v>
      </c>
      <c r="B19" s="116">
        <v>597.5</v>
      </c>
      <c r="C19" s="116">
        <v>583.35</v>
      </c>
      <c r="D19" s="116">
        <v>576.75</v>
      </c>
      <c r="E19" s="116">
        <v>587.85</v>
      </c>
      <c r="F19" s="116">
        <v>583.35</v>
      </c>
      <c r="G19">
        <v>53118</v>
      </c>
      <c r="H19" s="116"/>
      <c r="I19" s="116"/>
      <c r="L19" s="170">
        <v>43720</v>
      </c>
      <c r="M19" s="116">
        <v>583</v>
      </c>
      <c r="N19" s="116">
        <v>600</v>
      </c>
      <c r="O19" s="116">
        <v>576</v>
      </c>
      <c r="P19" s="116">
        <v>585.1</v>
      </c>
      <c r="Q19" s="116">
        <v>583</v>
      </c>
      <c r="R19">
        <v>115394</v>
      </c>
    </row>
    <row r="20" spans="1:18" x14ac:dyDescent="0.25">
      <c r="A20" s="170">
        <v>43721</v>
      </c>
      <c r="B20" s="116">
        <v>600</v>
      </c>
      <c r="C20" s="116">
        <v>592.4</v>
      </c>
      <c r="D20" s="116">
        <v>580.25</v>
      </c>
      <c r="E20" s="116">
        <v>586.70000000000005</v>
      </c>
      <c r="F20" s="116">
        <v>592.4</v>
      </c>
      <c r="G20">
        <v>67525</v>
      </c>
      <c r="H20" s="116"/>
      <c r="I20" s="116"/>
      <c r="L20" s="170">
        <v>43721</v>
      </c>
      <c r="M20" s="116">
        <v>595.4</v>
      </c>
      <c r="N20" s="116">
        <v>604.95000000000005</v>
      </c>
      <c r="O20" s="116">
        <v>575.6</v>
      </c>
      <c r="P20" s="116">
        <v>587</v>
      </c>
      <c r="Q20" s="116">
        <v>595.4</v>
      </c>
      <c r="R20">
        <v>104525</v>
      </c>
    </row>
    <row r="21" spans="1:18" x14ac:dyDescent="0.25">
      <c r="A21" s="170">
        <v>43724</v>
      </c>
      <c r="B21" s="116">
        <v>636.35</v>
      </c>
      <c r="C21" s="116">
        <v>629.35</v>
      </c>
      <c r="D21" s="116">
        <v>590.04999999999995</v>
      </c>
      <c r="E21" s="116">
        <v>595</v>
      </c>
      <c r="F21" s="116">
        <v>629.35</v>
      </c>
      <c r="G21">
        <v>16632</v>
      </c>
      <c r="H21" s="116"/>
      <c r="I21" s="116"/>
      <c r="L21" s="170">
        <v>43724</v>
      </c>
      <c r="M21" s="116">
        <v>629.20000000000005</v>
      </c>
      <c r="N21" s="116">
        <v>636.70000000000005</v>
      </c>
      <c r="O21" s="116">
        <v>591</v>
      </c>
      <c r="P21" s="116">
        <v>595.4</v>
      </c>
      <c r="Q21" s="116">
        <v>629.20000000000005</v>
      </c>
      <c r="R21">
        <v>179775</v>
      </c>
    </row>
    <row r="22" spans="1:18" x14ac:dyDescent="0.25">
      <c r="A22" s="170">
        <v>43725</v>
      </c>
      <c r="B22" s="116">
        <v>648</v>
      </c>
      <c r="C22" s="116">
        <v>610.95000000000005</v>
      </c>
      <c r="D22" s="116">
        <v>603.25</v>
      </c>
      <c r="E22" s="116">
        <v>648</v>
      </c>
      <c r="F22" s="116">
        <v>610.95000000000005</v>
      </c>
      <c r="G22">
        <v>9351</v>
      </c>
      <c r="H22" s="116"/>
      <c r="I22" s="116"/>
      <c r="L22" s="170">
        <v>43725</v>
      </c>
      <c r="M22" s="116">
        <v>610</v>
      </c>
      <c r="N22" s="116">
        <v>644</v>
      </c>
      <c r="O22" s="116">
        <v>602.1</v>
      </c>
      <c r="P22" s="116">
        <v>644</v>
      </c>
      <c r="Q22" s="116">
        <v>610</v>
      </c>
      <c r="R22">
        <v>84942</v>
      </c>
    </row>
    <row r="23" spans="1:18" x14ac:dyDescent="0.25">
      <c r="A23" s="170">
        <v>43726</v>
      </c>
      <c r="B23" s="116">
        <v>626.95000000000005</v>
      </c>
      <c r="C23" s="116">
        <v>610.95000000000005</v>
      </c>
      <c r="D23" s="116">
        <v>605.54999999999995</v>
      </c>
      <c r="E23" s="116">
        <v>619</v>
      </c>
      <c r="F23" s="116">
        <v>610.95000000000005</v>
      </c>
      <c r="G23">
        <v>4645</v>
      </c>
      <c r="H23" s="116"/>
      <c r="I23" s="116"/>
      <c r="L23" s="170">
        <v>43726</v>
      </c>
      <c r="M23" s="116">
        <v>609.35</v>
      </c>
      <c r="N23" s="116">
        <v>630</v>
      </c>
      <c r="O23" s="116">
        <v>605.35</v>
      </c>
      <c r="P23" s="116">
        <v>606</v>
      </c>
      <c r="Q23" s="116">
        <v>609.35</v>
      </c>
      <c r="R23">
        <v>26221</v>
      </c>
    </row>
    <row r="24" spans="1:18" x14ac:dyDescent="0.25">
      <c r="A24" s="170">
        <v>43727</v>
      </c>
      <c r="B24" s="116">
        <v>612.65</v>
      </c>
      <c r="C24" s="116">
        <v>594</v>
      </c>
      <c r="D24" s="116">
        <v>591.15</v>
      </c>
      <c r="E24" s="116">
        <v>611.79999999999995</v>
      </c>
      <c r="F24" s="116">
        <v>594</v>
      </c>
      <c r="G24">
        <v>1600</v>
      </c>
      <c r="H24" s="116"/>
      <c r="I24" s="116"/>
      <c r="L24" s="170">
        <v>43727</v>
      </c>
      <c r="M24" s="116">
        <v>594.20000000000005</v>
      </c>
      <c r="N24" s="116">
        <v>615.1</v>
      </c>
      <c r="O24" s="116">
        <v>591</v>
      </c>
      <c r="P24" s="116">
        <v>615</v>
      </c>
      <c r="Q24" s="116">
        <v>594.20000000000005</v>
      </c>
      <c r="R24">
        <v>22886</v>
      </c>
    </row>
    <row r="25" spans="1:18" x14ac:dyDescent="0.25">
      <c r="A25" s="170">
        <v>43728</v>
      </c>
      <c r="B25" s="116">
        <v>623.95000000000005</v>
      </c>
      <c r="C25" s="116">
        <v>618.20000000000005</v>
      </c>
      <c r="D25" s="116">
        <v>594</v>
      </c>
      <c r="E25" s="116">
        <v>594</v>
      </c>
      <c r="F25" s="116">
        <v>618.20000000000005</v>
      </c>
      <c r="G25">
        <v>32836</v>
      </c>
      <c r="H25" s="116"/>
      <c r="I25" s="116"/>
      <c r="L25" s="170">
        <v>43728</v>
      </c>
      <c r="M25" s="116">
        <v>617.79999999999995</v>
      </c>
      <c r="N25" s="116">
        <v>622.15</v>
      </c>
      <c r="O25" s="116">
        <v>591.4</v>
      </c>
      <c r="P25" s="116">
        <v>591.4</v>
      </c>
      <c r="Q25" s="116">
        <v>617.79999999999995</v>
      </c>
      <c r="R25">
        <v>113521</v>
      </c>
    </row>
    <row r="26" spans="1:18" x14ac:dyDescent="0.25">
      <c r="A26" s="170">
        <v>43731</v>
      </c>
      <c r="B26" s="116">
        <v>665</v>
      </c>
      <c r="C26" s="116">
        <v>634.45000000000005</v>
      </c>
      <c r="D26" s="116">
        <v>606.65</v>
      </c>
      <c r="E26" s="116">
        <v>623</v>
      </c>
      <c r="F26" s="116">
        <v>634.45000000000005</v>
      </c>
      <c r="G26">
        <v>11718</v>
      </c>
      <c r="H26" s="116"/>
      <c r="I26" s="116"/>
      <c r="L26" s="170">
        <v>43731</v>
      </c>
      <c r="M26" s="116">
        <v>636.35</v>
      </c>
      <c r="N26" s="116">
        <v>664.85</v>
      </c>
      <c r="O26" s="116">
        <v>606.29999999999995</v>
      </c>
      <c r="P26" s="116">
        <v>621.95000000000005</v>
      </c>
      <c r="Q26" s="116">
        <v>636.35</v>
      </c>
      <c r="R26">
        <v>564385</v>
      </c>
    </row>
    <row r="27" spans="1:18" x14ac:dyDescent="0.25">
      <c r="A27" s="170">
        <v>43732</v>
      </c>
      <c r="B27" s="116">
        <v>636</v>
      </c>
      <c r="C27" s="116">
        <v>619.04999999999995</v>
      </c>
      <c r="D27" s="116">
        <v>612</v>
      </c>
      <c r="E27" s="116">
        <v>634</v>
      </c>
      <c r="F27" s="116">
        <v>619.04999999999995</v>
      </c>
      <c r="G27">
        <v>4899</v>
      </c>
      <c r="H27" s="116"/>
      <c r="I27" s="116"/>
      <c r="L27" s="170">
        <v>43732</v>
      </c>
      <c r="M27" s="116">
        <v>620.65</v>
      </c>
      <c r="N27" s="116">
        <v>635</v>
      </c>
      <c r="O27" s="116">
        <v>611.1</v>
      </c>
      <c r="P27" s="116">
        <v>630.20000000000005</v>
      </c>
      <c r="Q27" s="116">
        <v>620.65</v>
      </c>
      <c r="R27">
        <v>74111</v>
      </c>
    </row>
    <row r="28" spans="1:18" x14ac:dyDescent="0.25">
      <c r="A28" s="170">
        <v>43733</v>
      </c>
      <c r="B28" s="116">
        <v>634.4</v>
      </c>
      <c r="C28" s="116">
        <v>611.6</v>
      </c>
      <c r="D28" s="116">
        <v>605.5</v>
      </c>
      <c r="E28" s="116">
        <v>615</v>
      </c>
      <c r="F28" s="116">
        <v>611.6</v>
      </c>
      <c r="G28">
        <v>5710</v>
      </c>
      <c r="H28" s="116"/>
      <c r="I28" s="116"/>
      <c r="L28" s="170">
        <v>43733</v>
      </c>
      <c r="M28" s="116">
        <v>612.25</v>
      </c>
      <c r="N28" s="116">
        <v>634.79999999999995</v>
      </c>
      <c r="O28" s="116">
        <v>601.29999999999995</v>
      </c>
      <c r="P28" s="116">
        <v>620.65</v>
      </c>
      <c r="Q28" s="116">
        <v>612.25</v>
      </c>
      <c r="R28">
        <v>343065</v>
      </c>
    </row>
    <row r="29" spans="1:18" x14ac:dyDescent="0.25">
      <c r="A29" s="170">
        <v>43734</v>
      </c>
      <c r="B29" s="116">
        <v>623.4</v>
      </c>
      <c r="C29" s="116">
        <v>603.95000000000005</v>
      </c>
      <c r="D29" s="116">
        <v>601.20000000000005</v>
      </c>
      <c r="E29" s="116">
        <v>614.35</v>
      </c>
      <c r="F29" s="116">
        <v>603.95000000000005</v>
      </c>
      <c r="G29">
        <v>4632</v>
      </c>
      <c r="H29" s="116"/>
      <c r="I29" s="116"/>
      <c r="L29" s="170">
        <v>43734</v>
      </c>
      <c r="M29" s="116">
        <v>602.65</v>
      </c>
      <c r="N29" s="116">
        <v>625</v>
      </c>
      <c r="O29" s="116">
        <v>596.1</v>
      </c>
      <c r="P29" s="116">
        <v>610</v>
      </c>
      <c r="Q29" s="116">
        <v>602.65</v>
      </c>
      <c r="R29">
        <v>67978</v>
      </c>
    </row>
    <row r="30" spans="1:18" x14ac:dyDescent="0.25">
      <c r="A30" s="170">
        <v>43735</v>
      </c>
      <c r="B30" s="116">
        <v>611.04999999999995</v>
      </c>
      <c r="C30" s="116">
        <v>607.6</v>
      </c>
      <c r="D30" s="116">
        <v>598</v>
      </c>
      <c r="E30" s="116">
        <v>605.04999999999995</v>
      </c>
      <c r="F30" s="116">
        <v>607.6</v>
      </c>
      <c r="G30">
        <v>1853</v>
      </c>
      <c r="H30" s="116"/>
      <c r="I30" s="116"/>
      <c r="L30" s="170">
        <v>43735</v>
      </c>
      <c r="M30" s="116">
        <v>606.70000000000005</v>
      </c>
      <c r="N30" s="116">
        <v>613.95000000000005</v>
      </c>
      <c r="O30" s="116">
        <v>600.1</v>
      </c>
      <c r="P30" s="116">
        <v>603</v>
      </c>
      <c r="Q30" s="116">
        <v>606.70000000000005</v>
      </c>
      <c r="R30">
        <v>34479</v>
      </c>
    </row>
    <row r="31" spans="1:18" x14ac:dyDescent="0.25">
      <c r="A31" s="170">
        <v>43738</v>
      </c>
      <c r="B31" s="116">
        <v>625.35</v>
      </c>
      <c r="C31" s="116">
        <v>623.20000000000005</v>
      </c>
      <c r="D31" s="116">
        <v>607.20000000000005</v>
      </c>
      <c r="E31" s="116">
        <v>610</v>
      </c>
      <c r="F31" s="116">
        <v>623.20000000000005</v>
      </c>
      <c r="G31">
        <v>8451</v>
      </c>
      <c r="H31" s="116"/>
      <c r="I31" s="116"/>
      <c r="L31" s="170">
        <v>43738</v>
      </c>
      <c r="M31" s="116">
        <v>624.4</v>
      </c>
      <c r="N31" s="116">
        <v>625.4</v>
      </c>
      <c r="O31" s="116">
        <v>606</v>
      </c>
      <c r="P31" s="116">
        <v>606.70000000000005</v>
      </c>
      <c r="Q31" s="116">
        <v>624.4</v>
      </c>
      <c r="R31">
        <v>124004</v>
      </c>
    </row>
    <row r="32" spans="1:18" x14ac:dyDescent="0.25">
      <c r="A32" s="170">
        <v>43739</v>
      </c>
      <c r="B32" s="116">
        <v>624.1</v>
      </c>
      <c r="C32" s="116">
        <v>604</v>
      </c>
      <c r="D32" s="116">
        <v>595.04999999999995</v>
      </c>
      <c r="E32" s="116">
        <v>618.79999999999995</v>
      </c>
      <c r="F32" s="116">
        <v>604</v>
      </c>
      <c r="G32">
        <v>3075</v>
      </c>
      <c r="H32" s="116"/>
      <c r="I32" s="116"/>
      <c r="L32" s="170">
        <v>43739</v>
      </c>
      <c r="M32" s="116">
        <v>604.70000000000005</v>
      </c>
      <c r="N32" s="116">
        <v>623.70000000000005</v>
      </c>
      <c r="O32" s="116">
        <v>593</v>
      </c>
      <c r="P32" s="116">
        <v>612.1</v>
      </c>
      <c r="Q32" s="116">
        <v>604.70000000000005</v>
      </c>
      <c r="R32">
        <v>27787</v>
      </c>
    </row>
    <row r="33" spans="1:18" x14ac:dyDescent="0.25">
      <c r="A33" s="170">
        <v>43741</v>
      </c>
      <c r="B33" s="116">
        <v>612.45000000000005</v>
      </c>
      <c r="C33" s="116">
        <v>607.15</v>
      </c>
      <c r="D33" s="116">
        <v>604</v>
      </c>
      <c r="E33" s="116">
        <v>605.1</v>
      </c>
      <c r="F33" s="116">
        <v>607.15</v>
      </c>
      <c r="G33">
        <v>2092</v>
      </c>
      <c r="H33" s="116"/>
      <c r="I33" s="116"/>
      <c r="L33" s="170">
        <v>43741</v>
      </c>
      <c r="M33" s="116">
        <v>607.79999999999995</v>
      </c>
      <c r="N33" s="116">
        <v>614.79999999999995</v>
      </c>
      <c r="O33" s="116">
        <v>602.1</v>
      </c>
      <c r="P33" s="116">
        <v>613.75</v>
      </c>
      <c r="Q33" s="116">
        <v>607.79999999999995</v>
      </c>
      <c r="R33">
        <v>89238</v>
      </c>
    </row>
    <row r="34" spans="1:18" x14ac:dyDescent="0.25">
      <c r="A34" s="170">
        <v>43742</v>
      </c>
      <c r="B34" s="116">
        <v>612.29999999999995</v>
      </c>
      <c r="C34" s="116">
        <v>597.15</v>
      </c>
      <c r="D34" s="116">
        <v>595</v>
      </c>
      <c r="E34" s="116">
        <v>610</v>
      </c>
      <c r="F34" s="116">
        <v>597.15</v>
      </c>
      <c r="G34">
        <v>1021</v>
      </c>
      <c r="H34" s="116"/>
      <c r="I34" s="116"/>
      <c r="L34" s="170">
        <v>43742</v>
      </c>
      <c r="M34" s="116">
        <v>598.25</v>
      </c>
      <c r="N34" s="116">
        <v>616.85</v>
      </c>
      <c r="O34" s="116">
        <v>595</v>
      </c>
      <c r="P34" s="116">
        <v>602.1</v>
      </c>
      <c r="Q34" s="116">
        <v>598.25</v>
      </c>
      <c r="R34">
        <v>24185</v>
      </c>
    </row>
    <row r="35" spans="1:18" x14ac:dyDescent="0.25">
      <c r="A35" s="170">
        <v>43745</v>
      </c>
      <c r="B35" s="116">
        <v>604.15</v>
      </c>
      <c r="C35" s="116">
        <v>593.65</v>
      </c>
      <c r="D35" s="116">
        <v>577.65</v>
      </c>
      <c r="E35" s="116">
        <v>602.25</v>
      </c>
      <c r="F35" s="116">
        <v>593.65</v>
      </c>
      <c r="G35">
        <v>2232</v>
      </c>
      <c r="H35" s="116"/>
      <c r="I35" s="116"/>
      <c r="L35" s="170">
        <v>43745</v>
      </c>
      <c r="M35" s="116">
        <v>594.4</v>
      </c>
      <c r="N35" s="116">
        <v>607</v>
      </c>
      <c r="O35" s="116">
        <v>575</v>
      </c>
      <c r="P35" s="116">
        <v>598.29999999999995</v>
      </c>
      <c r="Q35" s="116">
        <v>594.4</v>
      </c>
      <c r="R35">
        <v>82652</v>
      </c>
    </row>
    <row r="36" spans="1:18" x14ac:dyDescent="0.25">
      <c r="A36" s="170">
        <v>43747</v>
      </c>
      <c r="B36" s="116">
        <v>602.95000000000005</v>
      </c>
      <c r="C36" s="116">
        <v>592.04999999999995</v>
      </c>
      <c r="D36" s="116">
        <v>582</v>
      </c>
      <c r="E36" s="116">
        <v>602.95000000000005</v>
      </c>
      <c r="F36" s="116">
        <v>592.04999999999995</v>
      </c>
      <c r="G36">
        <v>1426</v>
      </c>
      <c r="H36" s="116"/>
      <c r="I36" s="116"/>
      <c r="L36" s="170">
        <v>43747</v>
      </c>
      <c r="M36" s="116">
        <v>593.9</v>
      </c>
      <c r="N36" s="116">
        <v>600</v>
      </c>
      <c r="O36" s="116">
        <v>592.5</v>
      </c>
      <c r="P36" s="116">
        <v>600</v>
      </c>
      <c r="Q36" s="116">
        <v>593.9</v>
      </c>
      <c r="R36">
        <v>28394</v>
      </c>
    </row>
    <row r="37" spans="1:18" x14ac:dyDescent="0.25">
      <c r="A37" s="170">
        <v>43748</v>
      </c>
      <c r="B37" s="116">
        <v>596.95000000000005</v>
      </c>
      <c r="C37" s="116">
        <v>583.25</v>
      </c>
      <c r="D37" s="116">
        <v>580.25</v>
      </c>
      <c r="E37" s="116">
        <v>593.9</v>
      </c>
      <c r="F37" s="116">
        <v>583.25</v>
      </c>
      <c r="G37">
        <v>674</v>
      </c>
      <c r="H37" s="116"/>
      <c r="I37" s="116"/>
      <c r="L37" s="170">
        <v>43748</v>
      </c>
      <c r="M37" s="116">
        <v>585.9</v>
      </c>
      <c r="N37" s="116">
        <v>598.95000000000005</v>
      </c>
      <c r="O37" s="116">
        <v>580.20000000000005</v>
      </c>
      <c r="P37" s="116">
        <v>591.15</v>
      </c>
      <c r="Q37" s="116">
        <v>585.9</v>
      </c>
      <c r="R37">
        <v>23600</v>
      </c>
    </row>
    <row r="38" spans="1:18" x14ac:dyDescent="0.25">
      <c r="A38" s="170">
        <v>43749</v>
      </c>
      <c r="B38" s="116">
        <v>630.04999999999995</v>
      </c>
      <c r="C38" s="116">
        <v>619</v>
      </c>
      <c r="D38" s="116">
        <v>589</v>
      </c>
      <c r="E38" s="116">
        <v>593.70000000000005</v>
      </c>
      <c r="F38" s="116">
        <v>619</v>
      </c>
      <c r="G38">
        <v>3740</v>
      </c>
      <c r="H38" s="116"/>
      <c r="I38" s="116"/>
      <c r="L38" s="170">
        <v>43749</v>
      </c>
      <c r="M38" s="116">
        <v>620.70000000000005</v>
      </c>
      <c r="N38" s="116">
        <v>630.04999999999995</v>
      </c>
      <c r="O38" s="116">
        <v>587</v>
      </c>
      <c r="P38" s="116">
        <v>587</v>
      </c>
      <c r="Q38" s="116">
        <v>620.70000000000005</v>
      </c>
      <c r="R38">
        <v>97603</v>
      </c>
    </row>
    <row r="39" spans="1:18" x14ac:dyDescent="0.25">
      <c r="A39" s="170">
        <v>43752</v>
      </c>
      <c r="B39" s="116">
        <v>631.5</v>
      </c>
      <c r="C39" s="116">
        <v>604.25</v>
      </c>
      <c r="D39" s="116">
        <v>599</v>
      </c>
      <c r="E39" s="116">
        <v>618.65</v>
      </c>
      <c r="F39" s="116">
        <v>604.25</v>
      </c>
      <c r="G39">
        <v>2328</v>
      </c>
      <c r="H39" s="116"/>
      <c r="I39" s="116"/>
      <c r="L39" s="170">
        <v>43752</v>
      </c>
      <c r="M39" s="116">
        <v>607.25</v>
      </c>
      <c r="N39" s="116">
        <v>626</v>
      </c>
      <c r="O39" s="116">
        <v>598.25</v>
      </c>
      <c r="P39" s="116">
        <v>620.04999999999995</v>
      </c>
      <c r="Q39" s="116">
        <v>607.25</v>
      </c>
      <c r="R39">
        <v>48591</v>
      </c>
    </row>
    <row r="40" spans="1:18" x14ac:dyDescent="0.25">
      <c r="A40" s="170">
        <v>43753</v>
      </c>
      <c r="B40" s="116">
        <v>609.95000000000005</v>
      </c>
      <c r="C40" s="116">
        <v>600</v>
      </c>
      <c r="D40" s="116">
        <v>598.25</v>
      </c>
      <c r="E40" s="116">
        <v>605.65</v>
      </c>
      <c r="F40" s="116">
        <v>600</v>
      </c>
      <c r="G40">
        <v>16210</v>
      </c>
      <c r="H40" s="116"/>
      <c r="I40" s="116"/>
      <c r="L40" s="170">
        <v>43753</v>
      </c>
      <c r="M40" s="116">
        <v>599.54999999999995</v>
      </c>
      <c r="N40" s="116">
        <v>610.85</v>
      </c>
      <c r="O40" s="116">
        <v>595.1</v>
      </c>
      <c r="P40" s="116">
        <v>609</v>
      </c>
      <c r="Q40" s="116">
        <v>599.54999999999995</v>
      </c>
      <c r="R40">
        <v>19204</v>
      </c>
    </row>
    <row r="41" spans="1:18" x14ac:dyDescent="0.25">
      <c r="A41" s="170">
        <v>43754</v>
      </c>
      <c r="B41" s="116">
        <v>610</v>
      </c>
      <c r="C41" s="116">
        <v>597.15</v>
      </c>
      <c r="D41" s="116">
        <v>590.1</v>
      </c>
      <c r="E41" s="116">
        <v>609.29999999999995</v>
      </c>
      <c r="F41" s="116">
        <v>597.15</v>
      </c>
      <c r="G41">
        <v>1770</v>
      </c>
      <c r="H41" s="116"/>
      <c r="I41" s="116"/>
      <c r="L41" s="170">
        <v>43754</v>
      </c>
      <c r="M41" s="116">
        <v>598.54999999999995</v>
      </c>
      <c r="N41" s="116">
        <v>611.85</v>
      </c>
      <c r="O41" s="116">
        <v>593.9</v>
      </c>
      <c r="P41" s="116">
        <v>611.85</v>
      </c>
      <c r="Q41" s="116">
        <v>598.54999999999995</v>
      </c>
      <c r="R41">
        <v>43988</v>
      </c>
    </row>
    <row r="42" spans="1:18" x14ac:dyDescent="0.25">
      <c r="A42" s="170">
        <v>43755</v>
      </c>
      <c r="B42" s="116">
        <v>600</v>
      </c>
      <c r="C42" s="116">
        <v>599.45000000000005</v>
      </c>
      <c r="D42" s="116">
        <v>594.4</v>
      </c>
      <c r="E42" s="116">
        <v>597.20000000000005</v>
      </c>
      <c r="F42" s="116">
        <v>599.45000000000005</v>
      </c>
      <c r="G42">
        <v>601</v>
      </c>
      <c r="H42" s="116"/>
      <c r="I42" s="116"/>
      <c r="L42" s="170">
        <v>43755</v>
      </c>
      <c r="M42" s="116">
        <v>598.70000000000005</v>
      </c>
      <c r="N42" s="116">
        <v>601.25</v>
      </c>
      <c r="O42" s="116">
        <v>594.35</v>
      </c>
      <c r="P42" s="116">
        <v>600.54999999999995</v>
      </c>
      <c r="Q42" s="116">
        <v>598.70000000000005</v>
      </c>
      <c r="R42">
        <v>20283</v>
      </c>
    </row>
    <row r="43" spans="1:18" x14ac:dyDescent="0.25">
      <c r="A43" s="170">
        <v>43756</v>
      </c>
      <c r="B43" s="116">
        <v>619.5</v>
      </c>
      <c r="C43" s="116">
        <v>598.9</v>
      </c>
      <c r="D43" s="116">
        <v>594.9</v>
      </c>
      <c r="E43" s="116">
        <v>598.15</v>
      </c>
      <c r="F43" s="116">
        <v>598.9</v>
      </c>
      <c r="G43">
        <v>3003</v>
      </c>
      <c r="H43" s="116"/>
      <c r="I43" s="116"/>
      <c r="L43" s="170">
        <v>43756</v>
      </c>
      <c r="M43" s="116">
        <v>596.70000000000005</v>
      </c>
      <c r="N43" s="116">
        <v>618</v>
      </c>
      <c r="O43" s="116">
        <v>595</v>
      </c>
      <c r="P43" s="116">
        <v>601.75</v>
      </c>
      <c r="Q43" s="116">
        <v>596.70000000000005</v>
      </c>
      <c r="R43">
        <v>41494</v>
      </c>
    </row>
    <row r="44" spans="1:18" x14ac:dyDescent="0.25">
      <c r="A44" s="170">
        <v>43760</v>
      </c>
      <c r="B44" s="116">
        <v>610</v>
      </c>
      <c r="C44" s="116">
        <v>580.9</v>
      </c>
      <c r="D44" s="116">
        <v>580</v>
      </c>
      <c r="E44" s="116">
        <v>610</v>
      </c>
      <c r="F44" s="116">
        <v>580.9</v>
      </c>
      <c r="G44">
        <v>3217</v>
      </c>
      <c r="H44" s="116"/>
      <c r="I44" s="116"/>
      <c r="L44" s="170">
        <v>43760</v>
      </c>
      <c r="M44" s="116">
        <v>581.95000000000005</v>
      </c>
      <c r="N44" s="116">
        <v>598.79999999999995</v>
      </c>
      <c r="O44" s="116">
        <v>580</v>
      </c>
      <c r="P44" s="116">
        <v>592.1</v>
      </c>
      <c r="Q44" s="116">
        <v>581.95000000000005</v>
      </c>
      <c r="R44">
        <v>20027</v>
      </c>
    </row>
    <row r="45" spans="1:18" x14ac:dyDescent="0.25">
      <c r="A45" s="170">
        <v>43761</v>
      </c>
      <c r="B45" s="116">
        <v>605</v>
      </c>
      <c r="C45" s="116">
        <v>594.65</v>
      </c>
      <c r="D45" s="116">
        <v>588.29999999999995</v>
      </c>
      <c r="E45" s="116">
        <v>605</v>
      </c>
      <c r="F45" s="116">
        <v>594.65</v>
      </c>
      <c r="G45">
        <v>7396</v>
      </c>
      <c r="H45" s="116"/>
      <c r="I45" s="116"/>
      <c r="L45" s="170">
        <v>43761</v>
      </c>
      <c r="M45" s="116">
        <v>594.54999999999995</v>
      </c>
      <c r="N45" s="116">
        <v>600</v>
      </c>
      <c r="O45" s="116">
        <v>587.70000000000005</v>
      </c>
      <c r="P45" s="116">
        <v>587.75</v>
      </c>
      <c r="Q45" s="116">
        <v>594.54999999999995</v>
      </c>
      <c r="R45">
        <v>52152</v>
      </c>
    </row>
    <row r="46" spans="1:18" x14ac:dyDescent="0.25">
      <c r="A46" s="170">
        <v>43762</v>
      </c>
      <c r="B46" s="116">
        <v>597</v>
      </c>
      <c r="C46" s="116">
        <v>588.1</v>
      </c>
      <c r="D46" s="116">
        <v>578.65</v>
      </c>
      <c r="E46" s="116">
        <v>597</v>
      </c>
      <c r="F46" s="116">
        <v>588.1</v>
      </c>
      <c r="G46">
        <v>2651</v>
      </c>
      <c r="H46" s="116"/>
      <c r="I46" s="116"/>
      <c r="L46" s="170">
        <v>43762</v>
      </c>
      <c r="M46" s="116">
        <v>587.54999999999995</v>
      </c>
      <c r="N46" s="116">
        <v>597.6</v>
      </c>
      <c r="O46" s="116">
        <v>585</v>
      </c>
      <c r="P46" s="116">
        <v>594</v>
      </c>
      <c r="Q46" s="116">
        <v>587.54999999999995</v>
      </c>
      <c r="R46">
        <v>12381</v>
      </c>
    </row>
    <row r="47" spans="1:18" x14ac:dyDescent="0.25">
      <c r="A47" s="170">
        <v>43763</v>
      </c>
      <c r="B47" s="116">
        <v>593.1</v>
      </c>
      <c r="C47" s="116">
        <v>586.25</v>
      </c>
      <c r="D47" s="116">
        <v>584.04999999999995</v>
      </c>
      <c r="E47" s="116">
        <v>590.45000000000005</v>
      </c>
      <c r="F47" s="116">
        <v>586.25</v>
      </c>
      <c r="G47">
        <v>1134</v>
      </c>
      <c r="H47" s="116"/>
      <c r="I47" s="116"/>
      <c r="L47" s="170">
        <v>43763</v>
      </c>
      <c r="M47" s="116">
        <v>586.70000000000005</v>
      </c>
      <c r="N47" s="116">
        <v>593</v>
      </c>
      <c r="O47" s="116">
        <v>583</v>
      </c>
      <c r="P47" s="116">
        <v>583</v>
      </c>
      <c r="Q47" s="116">
        <v>586.70000000000005</v>
      </c>
      <c r="R47">
        <v>5922</v>
      </c>
    </row>
    <row r="48" spans="1:18" x14ac:dyDescent="0.25">
      <c r="A48" s="170">
        <v>43765</v>
      </c>
      <c r="B48" s="116">
        <v>597.5</v>
      </c>
      <c r="C48" s="116">
        <v>590.25</v>
      </c>
      <c r="D48" s="116">
        <v>586.75</v>
      </c>
      <c r="E48" s="116">
        <v>586.75</v>
      </c>
      <c r="F48" s="116">
        <v>590.25</v>
      </c>
      <c r="G48">
        <v>1160</v>
      </c>
      <c r="H48" s="116"/>
      <c r="I48" s="116"/>
      <c r="L48" s="170">
        <v>43765</v>
      </c>
      <c r="M48" s="116">
        <v>590.95000000000005</v>
      </c>
      <c r="N48" s="116">
        <v>596.9</v>
      </c>
      <c r="O48" s="116">
        <v>585</v>
      </c>
      <c r="P48" s="116">
        <v>596</v>
      </c>
      <c r="Q48" s="116">
        <v>590.95000000000005</v>
      </c>
      <c r="R48">
        <v>8824</v>
      </c>
    </row>
    <row r="49" spans="1:18" x14ac:dyDescent="0.25">
      <c r="A49" s="170">
        <v>43767</v>
      </c>
      <c r="B49" s="116">
        <v>600</v>
      </c>
      <c r="C49" s="116">
        <v>589.45000000000005</v>
      </c>
      <c r="D49" s="116">
        <v>585.25</v>
      </c>
      <c r="E49" s="116">
        <v>590</v>
      </c>
      <c r="F49" s="116">
        <v>589.45000000000005</v>
      </c>
      <c r="G49">
        <v>1556</v>
      </c>
      <c r="H49" s="116"/>
      <c r="I49" s="116"/>
      <c r="L49" s="170">
        <v>43767</v>
      </c>
      <c r="M49" s="116">
        <v>590</v>
      </c>
      <c r="N49" s="116">
        <v>595</v>
      </c>
      <c r="O49" s="116">
        <v>586.4</v>
      </c>
      <c r="P49" s="116">
        <v>595</v>
      </c>
      <c r="Q49" s="116">
        <v>590</v>
      </c>
      <c r="R49">
        <v>13610</v>
      </c>
    </row>
    <row r="50" spans="1:18" x14ac:dyDescent="0.25">
      <c r="A50" s="170">
        <v>43768</v>
      </c>
      <c r="B50" s="116">
        <v>595</v>
      </c>
      <c r="C50" s="116">
        <v>594</v>
      </c>
      <c r="D50" s="116">
        <v>591.45000000000005</v>
      </c>
      <c r="E50" s="116">
        <v>594.5</v>
      </c>
      <c r="F50" s="116">
        <v>594</v>
      </c>
      <c r="G50">
        <v>2861</v>
      </c>
      <c r="H50" s="116"/>
      <c r="I50" s="116"/>
      <c r="L50" s="170">
        <v>43768</v>
      </c>
      <c r="M50" s="116">
        <v>593.45000000000005</v>
      </c>
      <c r="N50" s="116">
        <v>595</v>
      </c>
      <c r="O50" s="116">
        <v>588.1</v>
      </c>
      <c r="P50" s="116">
        <v>593.9</v>
      </c>
      <c r="Q50" s="116">
        <v>593.45000000000005</v>
      </c>
      <c r="R50">
        <v>64208</v>
      </c>
    </row>
    <row r="51" spans="1:18" x14ac:dyDescent="0.25">
      <c r="A51" s="170">
        <v>43769</v>
      </c>
      <c r="B51" s="116">
        <v>595</v>
      </c>
      <c r="C51" s="116">
        <v>585.6</v>
      </c>
      <c r="D51" s="116">
        <v>583.5</v>
      </c>
      <c r="E51" s="116">
        <v>594</v>
      </c>
      <c r="F51" s="116">
        <v>585.6</v>
      </c>
      <c r="G51">
        <v>1981</v>
      </c>
      <c r="H51" s="116"/>
      <c r="I51" s="116"/>
      <c r="L51" s="170">
        <v>43769</v>
      </c>
      <c r="M51" s="116">
        <v>584.95000000000005</v>
      </c>
      <c r="N51" s="116">
        <v>594.95000000000005</v>
      </c>
      <c r="O51" s="116">
        <v>582.15</v>
      </c>
      <c r="P51" s="116">
        <v>594</v>
      </c>
      <c r="Q51" s="116">
        <v>584.95000000000005</v>
      </c>
      <c r="R51">
        <v>73523</v>
      </c>
    </row>
    <row r="52" spans="1:18" x14ac:dyDescent="0.25">
      <c r="A52" s="170">
        <v>43770</v>
      </c>
      <c r="B52" s="116">
        <v>585.5</v>
      </c>
      <c r="C52" s="116">
        <v>576.70000000000005</v>
      </c>
      <c r="D52" s="116">
        <v>567.29999999999995</v>
      </c>
      <c r="E52" s="116">
        <v>585.5</v>
      </c>
      <c r="F52" s="116">
        <v>576.70000000000005</v>
      </c>
      <c r="G52">
        <v>5097</v>
      </c>
      <c r="H52" s="116"/>
      <c r="I52" s="116"/>
      <c r="L52" s="170">
        <v>43770</v>
      </c>
      <c r="M52" s="116">
        <v>570.54999999999995</v>
      </c>
      <c r="N52" s="116">
        <v>587.75</v>
      </c>
      <c r="O52" s="116">
        <v>567</v>
      </c>
      <c r="P52" s="116">
        <v>582</v>
      </c>
      <c r="Q52" s="116">
        <v>570.54999999999995</v>
      </c>
      <c r="R52">
        <v>155219</v>
      </c>
    </row>
    <row r="53" spans="1:18" x14ac:dyDescent="0.25">
      <c r="A53" s="170">
        <v>43773</v>
      </c>
      <c r="B53" s="116">
        <v>575</v>
      </c>
      <c r="C53" s="116">
        <v>559.5</v>
      </c>
      <c r="D53" s="116">
        <v>558.29999999999995</v>
      </c>
      <c r="E53" s="116">
        <v>568</v>
      </c>
      <c r="F53" s="116">
        <v>559.5</v>
      </c>
      <c r="G53">
        <v>3521</v>
      </c>
      <c r="H53" s="116"/>
      <c r="I53" s="116"/>
      <c r="L53" s="170">
        <v>43773</v>
      </c>
      <c r="M53" s="116">
        <v>559.5</v>
      </c>
      <c r="N53" s="116">
        <v>575</v>
      </c>
      <c r="O53" s="116">
        <v>558</v>
      </c>
      <c r="P53" s="116">
        <v>570.54999999999995</v>
      </c>
      <c r="Q53" s="116">
        <v>559.5</v>
      </c>
      <c r="R53">
        <v>63225</v>
      </c>
    </row>
    <row r="54" spans="1:18" x14ac:dyDescent="0.25">
      <c r="A54" s="170">
        <v>43774</v>
      </c>
      <c r="B54" s="116">
        <v>561</v>
      </c>
      <c r="C54" s="116">
        <v>556.54999999999995</v>
      </c>
      <c r="D54" s="116">
        <v>554.04999999999995</v>
      </c>
      <c r="E54" s="116">
        <v>560.45000000000005</v>
      </c>
      <c r="F54" s="116">
        <v>556.54999999999995</v>
      </c>
      <c r="G54">
        <v>1158</v>
      </c>
      <c r="H54" s="116"/>
      <c r="I54" s="116"/>
      <c r="L54" s="170">
        <v>43774</v>
      </c>
      <c r="M54" s="116">
        <v>556.75</v>
      </c>
      <c r="N54" s="116">
        <v>560</v>
      </c>
      <c r="O54" s="116">
        <v>553.1</v>
      </c>
      <c r="P54" s="116">
        <v>560</v>
      </c>
      <c r="Q54" s="116">
        <v>556.75</v>
      </c>
      <c r="R54">
        <v>37834</v>
      </c>
    </row>
    <row r="55" spans="1:18" x14ac:dyDescent="0.25">
      <c r="A55" s="170">
        <v>43775</v>
      </c>
      <c r="B55" s="116">
        <v>559.45000000000005</v>
      </c>
      <c r="C55" s="116">
        <v>558.45000000000005</v>
      </c>
      <c r="D55" s="116">
        <v>549.5</v>
      </c>
      <c r="E55" s="116">
        <v>558</v>
      </c>
      <c r="F55" s="116">
        <v>558.45000000000005</v>
      </c>
      <c r="G55">
        <v>2592</v>
      </c>
      <c r="H55" s="116"/>
      <c r="I55" s="116"/>
      <c r="L55" s="170">
        <v>43775</v>
      </c>
      <c r="M55" s="116">
        <v>558.35</v>
      </c>
      <c r="N55" s="116">
        <v>559.95000000000005</v>
      </c>
      <c r="O55" s="116">
        <v>548</v>
      </c>
      <c r="P55" s="116">
        <v>555.5</v>
      </c>
      <c r="Q55" s="116">
        <v>558.35</v>
      </c>
      <c r="R55">
        <v>32251</v>
      </c>
    </row>
    <row r="56" spans="1:18" x14ac:dyDescent="0.25">
      <c r="A56" s="170">
        <v>43776</v>
      </c>
      <c r="B56" s="116">
        <v>566.4</v>
      </c>
      <c r="C56" s="116">
        <v>560.1</v>
      </c>
      <c r="D56" s="116">
        <v>551.1</v>
      </c>
      <c r="E56" s="116">
        <v>560.5</v>
      </c>
      <c r="F56" s="116">
        <v>560.1</v>
      </c>
      <c r="G56">
        <v>12510</v>
      </c>
      <c r="H56" s="116"/>
      <c r="I56" s="116"/>
      <c r="L56" s="170">
        <v>43776</v>
      </c>
      <c r="M56" s="116">
        <v>559.70000000000005</v>
      </c>
      <c r="N56" s="116">
        <v>565</v>
      </c>
      <c r="O56" s="116">
        <v>551.15</v>
      </c>
      <c r="P56" s="116">
        <v>555.1</v>
      </c>
      <c r="Q56" s="116">
        <v>559.70000000000005</v>
      </c>
      <c r="R56">
        <v>28772</v>
      </c>
    </row>
    <row r="57" spans="1:18" x14ac:dyDescent="0.25">
      <c r="A57" s="170">
        <v>43777</v>
      </c>
      <c r="B57" s="116">
        <v>566</v>
      </c>
      <c r="C57" s="116">
        <v>545</v>
      </c>
      <c r="D57" s="116">
        <v>542.54999999999995</v>
      </c>
      <c r="E57" s="116">
        <v>565</v>
      </c>
      <c r="F57" s="116">
        <v>545</v>
      </c>
      <c r="G57">
        <v>3949</v>
      </c>
      <c r="H57" s="116"/>
      <c r="I57" s="116"/>
      <c r="L57" s="170">
        <v>43777</v>
      </c>
      <c r="M57" s="116">
        <v>544.85</v>
      </c>
      <c r="N57" s="116">
        <v>564</v>
      </c>
      <c r="O57" s="116">
        <v>541.5</v>
      </c>
      <c r="P57" s="116">
        <v>563</v>
      </c>
      <c r="Q57" s="116">
        <v>544.85</v>
      </c>
      <c r="R57">
        <v>98872</v>
      </c>
    </row>
    <row r="58" spans="1:18" x14ac:dyDescent="0.25">
      <c r="A58" s="170">
        <v>43780</v>
      </c>
      <c r="B58" s="116">
        <v>550.5</v>
      </c>
      <c r="C58" s="116">
        <v>534.54999999999995</v>
      </c>
      <c r="D58" s="116">
        <v>525.5</v>
      </c>
      <c r="E58" s="116">
        <v>545</v>
      </c>
      <c r="F58" s="116">
        <v>534.54999999999995</v>
      </c>
      <c r="G58">
        <v>5764</v>
      </c>
      <c r="H58" s="116"/>
      <c r="I58" s="116"/>
      <c r="L58" s="170">
        <v>43780</v>
      </c>
      <c r="M58" s="116">
        <v>533.85</v>
      </c>
      <c r="N58" s="116">
        <v>550</v>
      </c>
      <c r="O58" s="116">
        <v>527</v>
      </c>
      <c r="P58" s="116">
        <v>543.29999999999995</v>
      </c>
      <c r="Q58" s="116">
        <v>533.85</v>
      </c>
      <c r="R58">
        <v>65304</v>
      </c>
    </row>
    <row r="59" spans="1:18" x14ac:dyDescent="0.25">
      <c r="A59" s="170">
        <v>43782</v>
      </c>
      <c r="B59" s="116">
        <v>540</v>
      </c>
      <c r="C59" s="116">
        <v>520.29999999999995</v>
      </c>
      <c r="D59" s="116">
        <v>514.4</v>
      </c>
      <c r="E59" s="116">
        <v>530.1</v>
      </c>
      <c r="F59" s="116">
        <v>520.29999999999995</v>
      </c>
      <c r="G59">
        <v>6646</v>
      </c>
      <c r="H59" s="116"/>
      <c r="I59" s="116"/>
      <c r="L59" s="170">
        <v>43782</v>
      </c>
      <c r="M59" s="116">
        <v>522.5</v>
      </c>
      <c r="N59" s="116">
        <v>541.45000000000005</v>
      </c>
      <c r="O59" s="116">
        <v>518</v>
      </c>
      <c r="P59" s="116">
        <v>526</v>
      </c>
      <c r="Q59" s="116">
        <v>522.5</v>
      </c>
      <c r="R59">
        <v>447853</v>
      </c>
    </row>
    <row r="60" spans="1:18" x14ac:dyDescent="0.25">
      <c r="A60" s="170">
        <v>43783</v>
      </c>
      <c r="B60" s="116">
        <v>520</v>
      </c>
      <c r="C60" s="116">
        <v>501.45</v>
      </c>
      <c r="D60" s="116">
        <v>494.15</v>
      </c>
      <c r="E60" s="116">
        <v>519.95000000000005</v>
      </c>
      <c r="F60" s="116">
        <v>501.45</v>
      </c>
      <c r="G60">
        <v>3415</v>
      </c>
      <c r="H60" s="116"/>
      <c r="I60" s="116"/>
      <c r="L60" s="170">
        <v>43783</v>
      </c>
      <c r="M60" s="116">
        <v>500.85</v>
      </c>
      <c r="N60" s="116">
        <v>524.6</v>
      </c>
      <c r="O60" s="116">
        <v>492.15</v>
      </c>
      <c r="P60" s="116">
        <v>524.6</v>
      </c>
      <c r="Q60" s="116">
        <v>500.85</v>
      </c>
      <c r="R60">
        <v>123497</v>
      </c>
    </row>
    <row r="61" spans="1:18" x14ac:dyDescent="0.25">
      <c r="A61" s="170">
        <v>43784</v>
      </c>
      <c r="B61" s="116">
        <v>480</v>
      </c>
      <c r="C61" s="116">
        <v>401.2</v>
      </c>
      <c r="D61" s="116">
        <v>401.2</v>
      </c>
      <c r="E61" s="116">
        <v>480</v>
      </c>
      <c r="F61" s="116">
        <v>401.2</v>
      </c>
      <c r="G61">
        <v>5548</v>
      </c>
      <c r="H61" s="116"/>
      <c r="I61" s="116"/>
      <c r="L61" s="170">
        <v>43784</v>
      </c>
      <c r="M61" s="116">
        <v>400.7</v>
      </c>
      <c r="N61" s="116">
        <v>459.95</v>
      </c>
      <c r="O61" s="116">
        <v>400.7</v>
      </c>
      <c r="P61" s="116">
        <v>459.95</v>
      </c>
      <c r="Q61" s="116">
        <v>400.7</v>
      </c>
      <c r="R61">
        <v>123908</v>
      </c>
    </row>
    <row r="62" spans="1:18" x14ac:dyDescent="0.25">
      <c r="A62" s="170">
        <v>43787</v>
      </c>
      <c r="B62" s="116">
        <v>321</v>
      </c>
      <c r="C62" s="116">
        <v>321</v>
      </c>
      <c r="D62" s="116">
        <v>321</v>
      </c>
      <c r="E62" s="116">
        <v>321</v>
      </c>
      <c r="F62" s="116">
        <v>321</v>
      </c>
      <c r="G62">
        <v>93034</v>
      </c>
      <c r="H62" s="116"/>
      <c r="I62" s="116"/>
      <c r="L62" s="170">
        <v>43787</v>
      </c>
      <c r="M62" s="116">
        <v>320.60000000000002</v>
      </c>
      <c r="N62" s="116">
        <v>320.60000000000002</v>
      </c>
      <c r="O62" s="116">
        <v>320.60000000000002</v>
      </c>
      <c r="P62" s="116">
        <v>320.60000000000002</v>
      </c>
      <c r="Q62" s="116">
        <v>320.60000000000002</v>
      </c>
      <c r="R62">
        <v>368258</v>
      </c>
    </row>
    <row r="63" spans="1:18" x14ac:dyDescent="0.25">
      <c r="A63" s="170">
        <v>43788</v>
      </c>
      <c r="B63" s="116">
        <v>288.89999999999998</v>
      </c>
      <c r="C63" s="116">
        <v>288.89999999999998</v>
      </c>
      <c r="D63" s="116">
        <v>288.89999999999998</v>
      </c>
      <c r="E63" s="116">
        <v>288.89999999999998</v>
      </c>
      <c r="F63" s="116">
        <v>288.89999999999998</v>
      </c>
      <c r="G63">
        <v>5147</v>
      </c>
      <c r="H63" s="116"/>
      <c r="I63" s="116"/>
      <c r="L63" s="170">
        <v>43788</v>
      </c>
      <c r="M63" s="116">
        <v>288.55</v>
      </c>
      <c r="N63" s="116">
        <v>288.55</v>
      </c>
      <c r="O63" s="116">
        <v>288.55</v>
      </c>
      <c r="P63" s="116">
        <v>288.55</v>
      </c>
      <c r="Q63" s="116">
        <v>288.55</v>
      </c>
      <c r="R63">
        <v>148246</v>
      </c>
    </row>
    <row r="64" spans="1:18" x14ac:dyDescent="0.25">
      <c r="A64" s="170">
        <v>43789</v>
      </c>
      <c r="B64" s="116">
        <v>313</v>
      </c>
      <c r="C64" s="116">
        <v>283.75</v>
      </c>
      <c r="D64" s="116">
        <v>260.05</v>
      </c>
      <c r="E64" s="116">
        <v>260.05</v>
      </c>
      <c r="F64" s="116">
        <v>283.75</v>
      </c>
      <c r="G64">
        <v>202590</v>
      </c>
      <c r="H64" s="116"/>
      <c r="I64" s="116"/>
      <c r="L64" s="170">
        <v>43789</v>
      </c>
      <c r="M64" s="116">
        <v>285.55</v>
      </c>
      <c r="N64" s="116">
        <v>313</v>
      </c>
      <c r="O64" s="116">
        <v>259.7</v>
      </c>
      <c r="P64" s="116">
        <v>259.7</v>
      </c>
      <c r="Q64" s="116">
        <v>285.55</v>
      </c>
      <c r="R64">
        <v>2913650</v>
      </c>
    </row>
    <row r="65" spans="1:18" x14ac:dyDescent="0.25">
      <c r="A65" s="170">
        <v>43790</v>
      </c>
      <c r="B65" s="116">
        <v>312.10000000000002</v>
      </c>
      <c r="C65" s="116">
        <v>312.10000000000002</v>
      </c>
      <c r="D65" s="116">
        <v>293</v>
      </c>
      <c r="E65" s="116">
        <v>293</v>
      </c>
      <c r="F65" s="116">
        <v>312.10000000000002</v>
      </c>
      <c r="G65">
        <v>23978</v>
      </c>
      <c r="H65" s="116"/>
      <c r="I65" s="116"/>
      <c r="L65" s="170">
        <v>43790</v>
      </c>
      <c r="M65" s="116">
        <v>314.10000000000002</v>
      </c>
      <c r="N65" s="116">
        <v>314.10000000000002</v>
      </c>
      <c r="O65" s="116">
        <v>292.39999999999998</v>
      </c>
      <c r="P65" s="116">
        <v>292.39999999999998</v>
      </c>
      <c r="Q65" s="116">
        <v>314.10000000000002</v>
      </c>
      <c r="R65">
        <v>808386</v>
      </c>
    </row>
    <row r="66" spans="1:18" x14ac:dyDescent="0.25">
      <c r="A66" s="170">
        <v>43791</v>
      </c>
      <c r="B66" s="116">
        <v>343.3</v>
      </c>
      <c r="C66" s="116">
        <v>332.5</v>
      </c>
      <c r="D66" s="116">
        <v>320</v>
      </c>
      <c r="E66" s="116">
        <v>338</v>
      </c>
      <c r="F66" s="116">
        <v>332.5</v>
      </c>
      <c r="G66">
        <v>157107</v>
      </c>
      <c r="H66" s="116"/>
      <c r="I66" s="116"/>
      <c r="L66" s="170">
        <v>43791</v>
      </c>
      <c r="M66" s="116">
        <v>332.65</v>
      </c>
      <c r="N66" s="116">
        <v>345</v>
      </c>
      <c r="O66" s="116">
        <v>321.05</v>
      </c>
      <c r="P66" s="116">
        <v>339</v>
      </c>
      <c r="Q66" s="116">
        <v>332.65</v>
      </c>
      <c r="R66">
        <v>1767005</v>
      </c>
    </row>
    <row r="67" spans="1:18" x14ac:dyDescent="0.25">
      <c r="A67" s="170">
        <v>43794</v>
      </c>
      <c r="B67" s="116">
        <v>359</v>
      </c>
      <c r="C67" s="116">
        <v>349.4</v>
      </c>
      <c r="D67" s="116">
        <v>338</v>
      </c>
      <c r="E67" s="116">
        <v>339</v>
      </c>
      <c r="F67" s="116">
        <v>349.4</v>
      </c>
      <c r="G67">
        <v>41225</v>
      </c>
      <c r="H67" s="116"/>
      <c r="I67" s="116"/>
      <c r="L67" s="170">
        <v>43794</v>
      </c>
      <c r="M67" s="116">
        <v>349.3</v>
      </c>
      <c r="N67" s="116">
        <v>360</v>
      </c>
      <c r="O67" s="116">
        <v>337</v>
      </c>
      <c r="P67" s="116">
        <v>338</v>
      </c>
      <c r="Q67" s="116">
        <v>349.3</v>
      </c>
      <c r="R67">
        <v>1643164</v>
      </c>
    </row>
    <row r="68" spans="1:18" x14ac:dyDescent="0.25">
      <c r="A68" s="170">
        <v>43795</v>
      </c>
      <c r="B68" s="116">
        <v>365</v>
      </c>
      <c r="C68" s="116">
        <v>334.3</v>
      </c>
      <c r="D68" s="116">
        <v>332.7</v>
      </c>
      <c r="E68" s="116">
        <v>351</v>
      </c>
      <c r="F68" s="116">
        <v>334.3</v>
      </c>
      <c r="G68">
        <v>41326</v>
      </c>
      <c r="H68" s="116"/>
      <c r="I68" s="116"/>
      <c r="L68" s="170">
        <v>43795</v>
      </c>
      <c r="M68" s="116">
        <v>334.8</v>
      </c>
      <c r="N68" s="116">
        <v>360</v>
      </c>
      <c r="O68" s="116">
        <v>331.15</v>
      </c>
      <c r="P68" s="116">
        <v>360</v>
      </c>
      <c r="Q68" s="116">
        <v>334.8</v>
      </c>
      <c r="R68">
        <v>698134</v>
      </c>
    </row>
    <row r="69" spans="1:18" x14ac:dyDescent="0.25">
      <c r="A69" s="170">
        <v>43796</v>
      </c>
      <c r="B69" s="116">
        <v>338.5</v>
      </c>
      <c r="C69" s="116">
        <v>331.6</v>
      </c>
      <c r="D69" s="116">
        <v>325.5</v>
      </c>
      <c r="E69" s="116">
        <v>337</v>
      </c>
      <c r="F69" s="116">
        <v>331.6</v>
      </c>
      <c r="G69">
        <v>17277</v>
      </c>
      <c r="H69" s="116"/>
      <c r="I69" s="116"/>
      <c r="L69" s="170">
        <v>43796</v>
      </c>
      <c r="M69" s="116">
        <v>331.4</v>
      </c>
      <c r="N69" s="116">
        <v>340</v>
      </c>
      <c r="O69" s="116">
        <v>325</v>
      </c>
      <c r="P69" s="116">
        <v>334.9</v>
      </c>
      <c r="Q69" s="116">
        <v>331.4</v>
      </c>
      <c r="R69">
        <v>286018</v>
      </c>
    </row>
    <row r="70" spans="1:18" x14ac:dyDescent="0.25">
      <c r="A70" s="170">
        <v>43797</v>
      </c>
      <c r="B70" s="116">
        <v>335.05</v>
      </c>
      <c r="C70" s="116">
        <v>324.85000000000002</v>
      </c>
      <c r="D70" s="116">
        <v>321</v>
      </c>
      <c r="E70" s="116">
        <v>326.2</v>
      </c>
      <c r="F70" s="116">
        <v>324.85000000000002</v>
      </c>
      <c r="G70">
        <v>12112</v>
      </c>
      <c r="H70" s="116"/>
      <c r="I70" s="116"/>
      <c r="L70" s="170">
        <v>43797</v>
      </c>
      <c r="M70" s="116">
        <v>324.95</v>
      </c>
      <c r="N70" s="116">
        <v>336</v>
      </c>
      <c r="O70" s="116">
        <v>320</v>
      </c>
      <c r="P70" s="116">
        <v>331.5</v>
      </c>
      <c r="Q70" s="116">
        <v>324.95</v>
      </c>
      <c r="R70">
        <v>142372</v>
      </c>
    </row>
    <row r="71" spans="1:18" x14ac:dyDescent="0.25">
      <c r="A71" s="170">
        <v>43798</v>
      </c>
      <c r="B71" s="116">
        <v>324.35000000000002</v>
      </c>
      <c r="C71" s="116">
        <v>305.3</v>
      </c>
      <c r="D71" s="116">
        <v>302.7</v>
      </c>
      <c r="E71" s="116">
        <v>324.35000000000002</v>
      </c>
      <c r="F71" s="116">
        <v>305.3</v>
      </c>
      <c r="G71">
        <v>15441</v>
      </c>
      <c r="H71" s="116"/>
      <c r="I71" s="116"/>
      <c r="L71" s="170">
        <v>43798</v>
      </c>
      <c r="M71" s="116">
        <v>305.25</v>
      </c>
      <c r="N71" s="116">
        <v>324</v>
      </c>
      <c r="O71" s="116">
        <v>302.5</v>
      </c>
      <c r="P71" s="116">
        <v>323</v>
      </c>
      <c r="Q71" s="116">
        <v>305.25</v>
      </c>
      <c r="R71">
        <v>298432</v>
      </c>
    </row>
    <row r="72" spans="1:18" x14ac:dyDescent="0.25">
      <c r="A72" s="170">
        <v>43801</v>
      </c>
      <c r="B72" s="116">
        <v>301</v>
      </c>
      <c r="C72" s="116">
        <v>281.75</v>
      </c>
      <c r="D72" s="116">
        <v>278</v>
      </c>
      <c r="E72" s="116">
        <v>301</v>
      </c>
      <c r="F72" s="116">
        <v>281.75</v>
      </c>
      <c r="G72">
        <v>49448</v>
      </c>
      <c r="H72" s="116"/>
      <c r="I72" s="116"/>
      <c r="L72" s="170">
        <v>43801</v>
      </c>
      <c r="M72" s="116">
        <v>281.7</v>
      </c>
      <c r="N72" s="116">
        <v>305.25</v>
      </c>
      <c r="O72" s="116">
        <v>279</v>
      </c>
      <c r="P72" s="116">
        <v>305.25</v>
      </c>
      <c r="Q72" s="116">
        <v>281.7</v>
      </c>
      <c r="R72">
        <v>447625</v>
      </c>
    </row>
    <row r="73" spans="1:18" x14ac:dyDescent="0.25">
      <c r="A73" s="170">
        <v>43802</v>
      </c>
      <c r="B73" s="116">
        <v>285</v>
      </c>
      <c r="C73" s="116">
        <v>256.39999999999998</v>
      </c>
      <c r="D73" s="116">
        <v>254.5</v>
      </c>
      <c r="E73" s="116">
        <v>282.05</v>
      </c>
      <c r="F73" s="116">
        <v>256.39999999999998</v>
      </c>
      <c r="G73">
        <v>33150</v>
      </c>
      <c r="H73" s="116"/>
      <c r="I73" s="116"/>
      <c r="L73" s="170">
        <v>43802</v>
      </c>
      <c r="M73" s="116">
        <v>256</v>
      </c>
      <c r="N73" s="116">
        <v>284.5</v>
      </c>
      <c r="O73" s="116">
        <v>254.1</v>
      </c>
      <c r="P73" s="116">
        <v>280.05</v>
      </c>
      <c r="Q73" s="116">
        <v>256</v>
      </c>
      <c r="R73">
        <v>471422</v>
      </c>
    </row>
    <row r="74" spans="1:18" x14ac:dyDescent="0.25">
      <c r="A74" s="170">
        <v>43803</v>
      </c>
      <c r="B74" s="116">
        <v>261.2</v>
      </c>
      <c r="C74" s="116">
        <v>248.4</v>
      </c>
      <c r="D74" s="116">
        <v>245.1</v>
      </c>
      <c r="E74" s="116">
        <v>261.2</v>
      </c>
      <c r="F74" s="116">
        <v>248.4</v>
      </c>
      <c r="G74">
        <v>27272</v>
      </c>
      <c r="H74" s="116"/>
      <c r="I74" s="116"/>
      <c r="L74" s="170">
        <v>43803</v>
      </c>
      <c r="M74" s="116">
        <v>247.75</v>
      </c>
      <c r="N74" s="116">
        <v>264.39999999999998</v>
      </c>
      <c r="O74" s="116">
        <v>245</v>
      </c>
      <c r="P74" s="116">
        <v>264.39999999999998</v>
      </c>
      <c r="Q74" s="116">
        <v>247.75</v>
      </c>
      <c r="R74">
        <v>471617</v>
      </c>
    </row>
    <row r="75" spans="1:18" x14ac:dyDescent="0.25">
      <c r="A75" s="170">
        <v>43804</v>
      </c>
      <c r="B75" s="116">
        <v>260.8</v>
      </c>
      <c r="C75" s="116">
        <v>260.8</v>
      </c>
      <c r="D75" s="116">
        <v>251.75</v>
      </c>
      <c r="E75" s="116">
        <v>253.15</v>
      </c>
      <c r="F75" s="116">
        <v>260.8</v>
      </c>
      <c r="G75">
        <v>11982</v>
      </c>
      <c r="H75" s="116"/>
      <c r="I75" s="116"/>
      <c r="L75" s="170">
        <v>43804</v>
      </c>
      <c r="M75" s="116">
        <v>260.10000000000002</v>
      </c>
      <c r="N75" s="116">
        <v>260.10000000000002</v>
      </c>
      <c r="O75" s="116">
        <v>250.2</v>
      </c>
      <c r="P75" s="116">
        <v>250.2</v>
      </c>
      <c r="Q75" s="116">
        <v>260.10000000000002</v>
      </c>
      <c r="R75">
        <v>149665</v>
      </c>
    </row>
    <row r="76" spans="1:18" x14ac:dyDescent="0.25">
      <c r="A76" s="170">
        <v>43805</v>
      </c>
      <c r="B76" s="116">
        <v>273.8</v>
      </c>
      <c r="C76" s="116">
        <v>273.8</v>
      </c>
      <c r="D76" s="116">
        <v>273.8</v>
      </c>
      <c r="E76" s="116">
        <v>273.8</v>
      </c>
      <c r="F76" s="116">
        <v>273.8</v>
      </c>
      <c r="G76">
        <v>48734</v>
      </c>
      <c r="H76" s="116"/>
      <c r="I76" s="116"/>
      <c r="L76" s="170">
        <v>43805</v>
      </c>
      <c r="M76" s="116">
        <v>273.10000000000002</v>
      </c>
      <c r="N76" s="116">
        <v>273.10000000000002</v>
      </c>
      <c r="O76" s="116">
        <v>273.10000000000002</v>
      </c>
      <c r="P76" s="116">
        <v>273.10000000000002</v>
      </c>
      <c r="Q76" s="116">
        <v>273.10000000000002</v>
      </c>
      <c r="R76">
        <v>12593</v>
      </c>
    </row>
    <row r="77" spans="1:18" x14ac:dyDescent="0.25">
      <c r="A77" s="170">
        <v>43808</v>
      </c>
      <c r="B77" s="116">
        <v>287.45</v>
      </c>
      <c r="C77" s="116">
        <v>287.45</v>
      </c>
      <c r="D77" s="116">
        <v>271</v>
      </c>
      <c r="E77" s="116">
        <v>287.45</v>
      </c>
      <c r="F77" s="116">
        <v>287.45</v>
      </c>
      <c r="G77">
        <v>54214</v>
      </c>
      <c r="H77" s="116"/>
      <c r="I77" s="116"/>
      <c r="L77" s="170">
        <v>43808</v>
      </c>
      <c r="M77" s="116">
        <v>286.75</v>
      </c>
      <c r="N77" s="116">
        <v>286.75</v>
      </c>
      <c r="O77" s="116">
        <v>272</v>
      </c>
      <c r="P77" s="116">
        <v>286.75</v>
      </c>
      <c r="Q77" s="116">
        <v>286.75</v>
      </c>
      <c r="R77">
        <v>226823</v>
      </c>
    </row>
    <row r="78" spans="1:18" x14ac:dyDescent="0.25">
      <c r="A78" s="170">
        <v>43809</v>
      </c>
      <c r="B78" s="116">
        <v>300.95</v>
      </c>
      <c r="C78" s="116">
        <v>273.10000000000002</v>
      </c>
      <c r="D78" s="116">
        <v>273.10000000000002</v>
      </c>
      <c r="E78" s="116">
        <v>298</v>
      </c>
      <c r="F78" s="116">
        <v>273.10000000000002</v>
      </c>
      <c r="G78">
        <v>84803</v>
      </c>
      <c r="H78" s="116"/>
      <c r="I78" s="116"/>
      <c r="L78" s="170">
        <v>43809</v>
      </c>
      <c r="M78" s="116">
        <v>272.45</v>
      </c>
      <c r="N78" s="116">
        <v>300.95</v>
      </c>
      <c r="O78" s="116">
        <v>272.45</v>
      </c>
      <c r="P78" s="116">
        <v>286</v>
      </c>
      <c r="Q78" s="116">
        <v>272.45</v>
      </c>
      <c r="R78">
        <v>631435</v>
      </c>
    </row>
    <row r="79" spans="1:18" x14ac:dyDescent="0.25">
      <c r="A79" s="170">
        <v>43810</v>
      </c>
      <c r="B79" s="116">
        <v>285</v>
      </c>
      <c r="C79" s="116">
        <v>277.45</v>
      </c>
      <c r="D79" s="116">
        <v>269</v>
      </c>
      <c r="E79" s="116">
        <v>274.45</v>
      </c>
      <c r="F79" s="116">
        <v>277.45</v>
      </c>
      <c r="G79">
        <v>17089</v>
      </c>
      <c r="H79" s="116"/>
      <c r="I79" s="116"/>
      <c r="L79" s="170">
        <v>43810</v>
      </c>
      <c r="M79" s="116">
        <v>278.35000000000002</v>
      </c>
      <c r="N79" s="116">
        <v>284.39999999999998</v>
      </c>
      <c r="O79" s="116">
        <v>266.55</v>
      </c>
      <c r="P79" s="116">
        <v>266.55</v>
      </c>
      <c r="Q79" s="116">
        <v>278.35000000000002</v>
      </c>
      <c r="R79">
        <v>156694</v>
      </c>
    </row>
    <row r="80" spans="1:18" x14ac:dyDescent="0.25">
      <c r="A80" s="170">
        <v>43811</v>
      </c>
      <c r="B80" s="116">
        <v>291.3</v>
      </c>
      <c r="C80" s="116">
        <v>286.3</v>
      </c>
      <c r="D80" s="116">
        <v>268.2</v>
      </c>
      <c r="E80" s="116">
        <v>284.95</v>
      </c>
      <c r="F80" s="116">
        <v>286.3</v>
      </c>
      <c r="G80">
        <v>13647</v>
      </c>
      <c r="H80" s="116"/>
      <c r="I80" s="116"/>
      <c r="L80" s="170">
        <v>43811</v>
      </c>
      <c r="M80" s="116">
        <v>284.85000000000002</v>
      </c>
      <c r="N80" s="116">
        <v>292.05</v>
      </c>
      <c r="O80" s="116">
        <v>269</v>
      </c>
      <c r="P80" s="116">
        <v>283.95</v>
      </c>
      <c r="Q80" s="116">
        <v>284.85000000000002</v>
      </c>
      <c r="R80">
        <v>197527</v>
      </c>
    </row>
    <row r="81" spans="1:18" x14ac:dyDescent="0.25">
      <c r="A81" s="170">
        <v>43812</v>
      </c>
      <c r="B81" s="116">
        <v>300.60000000000002</v>
      </c>
      <c r="C81" s="116">
        <v>300.60000000000002</v>
      </c>
      <c r="D81" s="116">
        <v>300.60000000000002</v>
      </c>
      <c r="E81" s="116">
        <v>300.60000000000002</v>
      </c>
      <c r="F81" s="116">
        <v>300.60000000000002</v>
      </c>
      <c r="G81">
        <v>13540</v>
      </c>
      <c r="H81" s="116"/>
      <c r="I81" s="116"/>
      <c r="L81" s="170">
        <v>43812</v>
      </c>
      <c r="M81" s="116">
        <v>299.05</v>
      </c>
      <c r="N81" s="116">
        <v>299.05</v>
      </c>
      <c r="O81" s="116">
        <v>299.05</v>
      </c>
      <c r="P81" s="116">
        <v>299.05</v>
      </c>
      <c r="Q81" s="116">
        <v>299.05</v>
      </c>
      <c r="R81">
        <v>25220</v>
      </c>
    </row>
    <row r="82" spans="1:18" x14ac:dyDescent="0.25">
      <c r="A82" s="170">
        <v>43815</v>
      </c>
      <c r="B82" s="116">
        <v>315.60000000000002</v>
      </c>
      <c r="C82" s="116">
        <v>298.05</v>
      </c>
      <c r="D82" s="116">
        <v>292.05</v>
      </c>
      <c r="E82" s="116">
        <v>315.60000000000002</v>
      </c>
      <c r="F82" s="116">
        <v>298.05</v>
      </c>
      <c r="G82">
        <v>112366</v>
      </c>
      <c r="H82" s="116"/>
      <c r="I82" s="116"/>
      <c r="L82" s="170">
        <v>43815</v>
      </c>
      <c r="M82" s="116">
        <v>298.45</v>
      </c>
      <c r="N82" s="116">
        <v>314</v>
      </c>
      <c r="O82" s="116">
        <v>291</v>
      </c>
      <c r="P82" s="116">
        <v>314</v>
      </c>
      <c r="Q82" s="116">
        <v>298.45</v>
      </c>
      <c r="R82">
        <v>625150</v>
      </c>
    </row>
    <row r="83" spans="1:18" x14ac:dyDescent="0.25">
      <c r="A83" s="170">
        <v>43816</v>
      </c>
      <c r="B83" s="116">
        <v>312.95</v>
      </c>
      <c r="C83" s="116">
        <v>311.89999999999998</v>
      </c>
      <c r="D83" s="116">
        <v>298.5</v>
      </c>
      <c r="E83" s="116">
        <v>300</v>
      </c>
      <c r="F83" s="116">
        <v>311.89999999999998</v>
      </c>
      <c r="G83">
        <v>40530</v>
      </c>
      <c r="H83" s="116"/>
      <c r="I83" s="116"/>
      <c r="L83" s="170">
        <v>43816</v>
      </c>
      <c r="M83" s="116">
        <v>312.35000000000002</v>
      </c>
      <c r="N83" s="116">
        <v>313.35000000000002</v>
      </c>
      <c r="O83" s="116">
        <v>297.60000000000002</v>
      </c>
      <c r="P83" s="116">
        <v>300</v>
      </c>
      <c r="Q83" s="116">
        <v>312.35000000000002</v>
      </c>
      <c r="R83">
        <v>320644</v>
      </c>
    </row>
    <row r="84" spans="1:18" x14ac:dyDescent="0.25">
      <c r="A84" s="170">
        <v>43817</v>
      </c>
      <c r="B84" s="116">
        <v>327.45</v>
      </c>
      <c r="C84" s="116">
        <v>321.14999999999998</v>
      </c>
      <c r="D84" s="116">
        <v>305</v>
      </c>
      <c r="E84" s="116">
        <v>312.39999999999998</v>
      </c>
      <c r="F84" s="116">
        <v>321.14999999999998</v>
      </c>
      <c r="G84">
        <v>29087</v>
      </c>
      <c r="H84" s="116"/>
      <c r="I84" s="116"/>
      <c r="L84" s="170">
        <v>43817</v>
      </c>
      <c r="M84" s="116">
        <v>320.95</v>
      </c>
      <c r="N84" s="116">
        <v>326.89999999999998</v>
      </c>
      <c r="O84" s="116">
        <v>304.5</v>
      </c>
      <c r="P84" s="116">
        <v>310</v>
      </c>
      <c r="Q84" s="116">
        <v>320.95</v>
      </c>
      <c r="R84">
        <v>514067</v>
      </c>
    </row>
    <row r="85" spans="1:18" x14ac:dyDescent="0.25">
      <c r="A85" s="170">
        <v>43818</v>
      </c>
      <c r="B85" s="116">
        <v>329.95</v>
      </c>
      <c r="C85" s="116">
        <v>306.05</v>
      </c>
      <c r="D85" s="116">
        <v>305.10000000000002</v>
      </c>
      <c r="E85" s="116">
        <v>326.05</v>
      </c>
      <c r="F85" s="116">
        <v>306.05</v>
      </c>
      <c r="G85">
        <v>22370</v>
      </c>
      <c r="H85" s="116"/>
      <c r="I85" s="116"/>
      <c r="L85" s="170">
        <v>43818</v>
      </c>
      <c r="M85" s="116">
        <v>305.45</v>
      </c>
      <c r="N85" s="116">
        <v>327.5</v>
      </c>
      <c r="O85" s="116">
        <v>304.95</v>
      </c>
      <c r="P85" s="116">
        <v>327.5</v>
      </c>
      <c r="Q85" s="116">
        <v>305.45</v>
      </c>
      <c r="R85">
        <v>323650</v>
      </c>
    </row>
    <row r="86" spans="1:18" x14ac:dyDescent="0.25">
      <c r="A86" s="170">
        <v>43819</v>
      </c>
      <c r="B86" s="116">
        <v>315</v>
      </c>
      <c r="C86" s="116">
        <v>291.89999999999998</v>
      </c>
      <c r="D86" s="116">
        <v>291</v>
      </c>
      <c r="E86" s="116">
        <v>303.2</v>
      </c>
      <c r="F86" s="116">
        <v>291.89999999999998</v>
      </c>
      <c r="G86">
        <v>17778</v>
      </c>
      <c r="H86" s="116"/>
      <c r="I86" s="116"/>
      <c r="L86" s="170">
        <v>43819</v>
      </c>
      <c r="M86" s="116">
        <v>291.85000000000002</v>
      </c>
      <c r="N86" s="116">
        <v>305.60000000000002</v>
      </c>
      <c r="O86" s="116">
        <v>291</v>
      </c>
      <c r="P86" s="116">
        <v>301</v>
      </c>
      <c r="Q86" s="116">
        <v>291.85000000000002</v>
      </c>
      <c r="R86">
        <v>252216</v>
      </c>
    </row>
    <row r="87" spans="1:18" x14ac:dyDescent="0.25">
      <c r="A87" s="170">
        <v>43822</v>
      </c>
      <c r="B87" s="116">
        <v>306.45</v>
      </c>
      <c r="C87" s="116">
        <v>302.75</v>
      </c>
      <c r="D87" s="116">
        <v>292.95</v>
      </c>
      <c r="E87" s="116">
        <v>294</v>
      </c>
      <c r="F87" s="116">
        <v>302.75</v>
      </c>
      <c r="G87">
        <v>27065</v>
      </c>
      <c r="H87" s="116"/>
      <c r="I87" s="116"/>
      <c r="L87" s="170">
        <v>43822</v>
      </c>
      <c r="M87" s="116">
        <v>301.8</v>
      </c>
      <c r="N87" s="116">
        <v>306.39999999999998</v>
      </c>
      <c r="O87" s="116">
        <v>290</v>
      </c>
      <c r="P87" s="116">
        <v>290</v>
      </c>
      <c r="Q87" s="116">
        <v>301.8</v>
      </c>
      <c r="R87">
        <v>236314</v>
      </c>
    </row>
    <row r="88" spans="1:18" x14ac:dyDescent="0.25">
      <c r="A88" s="170">
        <v>43823</v>
      </c>
      <c r="B88" s="116">
        <v>306</v>
      </c>
      <c r="C88" s="116">
        <v>297.10000000000002</v>
      </c>
      <c r="D88" s="116">
        <v>296</v>
      </c>
      <c r="E88" s="116">
        <v>305.45</v>
      </c>
      <c r="F88" s="116">
        <v>297.10000000000002</v>
      </c>
      <c r="G88">
        <v>8922</v>
      </c>
      <c r="H88" s="116"/>
      <c r="I88" s="116"/>
      <c r="L88" s="170">
        <v>43823</v>
      </c>
      <c r="M88" s="116">
        <v>297.60000000000002</v>
      </c>
      <c r="N88" s="116">
        <v>306</v>
      </c>
      <c r="O88" s="116">
        <v>296</v>
      </c>
      <c r="P88" s="116">
        <v>305.89999999999998</v>
      </c>
      <c r="Q88" s="116">
        <v>297.60000000000002</v>
      </c>
      <c r="R88">
        <v>91224</v>
      </c>
    </row>
    <row r="89" spans="1:18" x14ac:dyDescent="0.25">
      <c r="A89" s="170">
        <v>43825</v>
      </c>
      <c r="B89" s="116">
        <v>297.10000000000002</v>
      </c>
      <c r="C89" s="116">
        <v>290.2</v>
      </c>
      <c r="D89" s="116">
        <v>288</v>
      </c>
      <c r="E89" s="116">
        <v>297.10000000000002</v>
      </c>
      <c r="F89" s="116">
        <v>290.2</v>
      </c>
      <c r="G89">
        <v>14617</v>
      </c>
      <c r="H89" s="116"/>
      <c r="I89" s="116"/>
      <c r="L89" s="170">
        <v>43825</v>
      </c>
      <c r="M89" s="116">
        <v>289.8</v>
      </c>
      <c r="N89" s="116">
        <v>296.14999999999998</v>
      </c>
      <c r="O89" s="116">
        <v>287</v>
      </c>
      <c r="P89" s="116">
        <v>295.10000000000002</v>
      </c>
      <c r="Q89" s="116">
        <v>289.8</v>
      </c>
      <c r="R89">
        <v>138787</v>
      </c>
    </row>
    <row r="90" spans="1:18" x14ac:dyDescent="0.25">
      <c r="A90" s="170">
        <v>43826</v>
      </c>
      <c r="B90" s="116">
        <v>304.05</v>
      </c>
      <c r="C90" s="116">
        <v>298.89999999999998</v>
      </c>
      <c r="D90" s="116">
        <v>286.95</v>
      </c>
      <c r="E90" s="116">
        <v>293.25</v>
      </c>
      <c r="F90" s="116">
        <v>298.89999999999998</v>
      </c>
      <c r="G90">
        <v>26422</v>
      </c>
      <c r="H90" s="116"/>
      <c r="I90" s="116"/>
      <c r="L90" s="170">
        <v>43826</v>
      </c>
      <c r="M90" s="116">
        <v>299.2</v>
      </c>
      <c r="N90" s="116">
        <v>304</v>
      </c>
      <c r="O90" s="116">
        <v>286.89999999999998</v>
      </c>
      <c r="P90" s="116">
        <v>294.89999999999998</v>
      </c>
      <c r="Q90" s="116">
        <v>299.2</v>
      </c>
      <c r="R90">
        <v>307225</v>
      </c>
    </row>
    <row r="91" spans="1:18" x14ac:dyDescent="0.25">
      <c r="A91" s="170">
        <v>43829</v>
      </c>
      <c r="B91" s="116">
        <v>313.8</v>
      </c>
      <c r="C91" s="116">
        <v>313.8</v>
      </c>
      <c r="D91" s="116">
        <v>303.8</v>
      </c>
      <c r="E91" s="116">
        <v>303.8</v>
      </c>
      <c r="F91" s="116">
        <v>313.8</v>
      </c>
      <c r="G91">
        <v>11848</v>
      </c>
      <c r="H91" s="116"/>
      <c r="I91" s="116"/>
      <c r="L91" s="170">
        <v>43829</v>
      </c>
      <c r="M91" s="116">
        <v>314.14999999999998</v>
      </c>
      <c r="N91" s="116">
        <v>314.14999999999998</v>
      </c>
      <c r="O91" s="116">
        <v>302.7</v>
      </c>
      <c r="P91" s="116">
        <v>304.25</v>
      </c>
      <c r="Q91" s="116">
        <v>314.14999999999998</v>
      </c>
      <c r="R91">
        <v>121004</v>
      </c>
    </row>
    <row r="92" spans="1:18" x14ac:dyDescent="0.25">
      <c r="A92" s="170">
        <v>43830</v>
      </c>
      <c r="B92" s="116">
        <v>329.45</v>
      </c>
      <c r="C92" s="116">
        <v>322.14999999999998</v>
      </c>
      <c r="D92" s="116">
        <v>315.3</v>
      </c>
      <c r="E92" s="116">
        <v>329.45</v>
      </c>
      <c r="F92" s="116">
        <v>322.14999999999998</v>
      </c>
      <c r="G92">
        <v>58762</v>
      </c>
      <c r="H92" s="116"/>
      <c r="I92" s="116"/>
      <c r="L92" s="170">
        <v>43830</v>
      </c>
      <c r="M92" s="116">
        <v>323.3</v>
      </c>
      <c r="N92" s="116">
        <v>328</v>
      </c>
      <c r="O92" s="116">
        <v>314.45</v>
      </c>
      <c r="P92" s="116">
        <v>328</v>
      </c>
      <c r="Q92" s="116">
        <v>323.3</v>
      </c>
      <c r="R92">
        <v>533743</v>
      </c>
    </row>
    <row r="93" spans="1:18" x14ac:dyDescent="0.25">
      <c r="A93" s="170">
        <v>43831</v>
      </c>
      <c r="B93" s="116">
        <v>338.25</v>
      </c>
      <c r="C93" s="116">
        <v>331.7</v>
      </c>
      <c r="D93" s="116">
        <v>318.8</v>
      </c>
      <c r="E93" s="116">
        <v>338</v>
      </c>
      <c r="F93" s="116">
        <v>331.7</v>
      </c>
      <c r="G93">
        <v>91908</v>
      </c>
      <c r="H93" s="116"/>
      <c r="I93" s="116"/>
      <c r="L93" s="170">
        <v>43831</v>
      </c>
      <c r="M93" s="116">
        <v>331.75</v>
      </c>
      <c r="N93" s="116">
        <v>339.45</v>
      </c>
      <c r="O93" s="116">
        <v>318.14999999999998</v>
      </c>
      <c r="P93" s="116">
        <v>335</v>
      </c>
      <c r="Q93" s="116">
        <v>331.75</v>
      </c>
      <c r="R93">
        <v>1093435</v>
      </c>
    </row>
    <row r="94" spans="1:18" x14ac:dyDescent="0.25">
      <c r="A94" s="170">
        <v>43832</v>
      </c>
      <c r="B94" s="116">
        <v>337.2</v>
      </c>
      <c r="C94" s="116">
        <v>330.9</v>
      </c>
      <c r="D94" s="116">
        <v>325.8</v>
      </c>
      <c r="E94" s="116">
        <v>333</v>
      </c>
      <c r="F94" s="116">
        <v>330.9</v>
      </c>
      <c r="G94">
        <v>24594</v>
      </c>
      <c r="H94" s="116"/>
      <c r="I94" s="116"/>
      <c r="L94" s="170">
        <v>43832</v>
      </c>
      <c r="M94" s="116">
        <v>331.5</v>
      </c>
      <c r="N94" s="116">
        <v>337.6</v>
      </c>
      <c r="O94" s="116">
        <v>325</v>
      </c>
      <c r="P94" s="116">
        <v>333.1</v>
      </c>
      <c r="Q94" s="116">
        <v>331.5</v>
      </c>
      <c r="R94">
        <v>214273</v>
      </c>
    </row>
    <row r="95" spans="1:18" x14ac:dyDescent="0.25">
      <c r="A95" s="170">
        <v>43833</v>
      </c>
      <c r="B95" s="116">
        <v>332</v>
      </c>
      <c r="C95" s="116">
        <v>316.95</v>
      </c>
      <c r="D95" s="116">
        <v>316</v>
      </c>
      <c r="E95" s="116">
        <v>332</v>
      </c>
      <c r="F95" s="116">
        <v>316.95</v>
      </c>
      <c r="G95">
        <v>23317</v>
      </c>
      <c r="H95" s="116"/>
      <c r="I95" s="116"/>
      <c r="L95" s="170">
        <v>43833</v>
      </c>
      <c r="M95" s="116">
        <v>317.60000000000002</v>
      </c>
      <c r="N95" s="116">
        <v>333.45</v>
      </c>
      <c r="O95" s="116">
        <v>316</v>
      </c>
      <c r="P95" s="116">
        <v>332</v>
      </c>
      <c r="Q95" s="116">
        <v>317.60000000000002</v>
      </c>
      <c r="R95">
        <v>226140</v>
      </c>
    </row>
    <row r="96" spans="1:18" x14ac:dyDescent="0.25">
      <c r="A96" s="170">
        <v>43836</v>
      </c>
      <c r="B96" s="116">
        <v>317.3</v>
      </c>
      <c r="C96" s="116">
        <v>307.60000000000002</v>
      </c>
      <c r="D96" s="116">
        <v>303.5</v>
      </c>
      <c r="E96" s="116">
        <v>314.85000000000002</v>
      </c>
      <c r="F96" s="116">
        <v>307.60000000000002</v>
      </c>
      <c r="G96">
        <v>768396</v>
      </c>
      <c r="H96" s="116"/>
      <c r="I96" s="116"/>
      <c r="L96" s="170">
        <v>43836</v>
      </c>
      <c r="M96" s="116">
        <v>307.55</v>
      </c>
      <c r="N96" s="116">
        <v>317.89999999999998</v>
      </c>
      <c r="O96" s="116">
        <v>303.5</v>
      </c>
      <c r="P96" s="116">
        <v>317.60000000000002</v>
      </c>
      <c r="Q96" s="116">
        <v>307.55</v>
      </c>
      <c r="R96">
        <v>361915</v>
      </c>
    </row>
    <row r="97" spans="1:18" x14ac:dyDescent="0.25">
      <c r="A97" s="170">
        <v>43837</v>
      </c>
      <c r="B97" s="116">
        <v>315.60000000000002</v>
      </c>
      <c r="C97" s="116">
        <v>309.25</v>
      </c>
      <c r="D97" s="116">
        <v>308.14999999999998</v>
      </c>
      <c r="E97" s="116">
        <v>312.64999999999998</v>
      </c>
      <c r="F97" s="116">
        <v>309.25</v>
      </c>
      <c r="G97">
        <v>4001</v>
      </c>
      <c r="H97" s="116"/>
      <c r="I97" s="116"/>
      <c r="L97" s="170">
        <v>43837</v>
      </c>
      <c r="M97" s="116">
        <v>309.2</v>
      </c>
      <c r="N97" s="116">
        <v>316</v>
      </c>
      <c r="O97" s="116">
        <v>307</v>
      </c>
      <c r="P97" s="116">
        <v>309</v>
      </c>
      <c r="Q97" s="116">
        <v>309.2</v>
      </c>
      <c r="R97">
        <v>69310</v>
      </c>
    </row>
    <row r="98" spans="1:18" x14ac:dyDescent="0.25">
      <c r="A98" s="170">
        <v>43838</v>
      </c>
      <c r="B98" s="116">
        <v>310.5</v>
      </c>
      <c r="C98" s="116">
        <v>306.39999999999998</v>
      </c>
      <c r="D98" s="116">
        <v>301</v>
      </c>
      <c r="E98" s="116">
        <v>302.3</v>
      </c>
      <c r="F98" s="116">
        <v>306.39999999999998</v>
      </c>
      <c r="G98">
        <v>7444</v>
      </c>
      <c r="H98" s="116"/>
      <c r="I98" s="116"/>
      <c r="L98" s="170">
        <v>43838</v>
      </c>
      <c r="M98" s="116">
        <v>306.75</v>
      </c>
      <c r="N98" s="116">
        <v>310.39999999999998</v>
      </c>
      <c r="O98" s="116">
        <v>301</v>
      </c>
      <c r="P98" s="116">
        <v>303</v>
      </c>
      <c r="Q98" s="116">
        <v>306.75</v>
      </c>
      <c r="R98">
        <v>63650</v>
      </c>
    </row>
    <row r="99" spans="1:18" x14ac:dyDescent="0.25">
      <c r="A99" s="170">
        <v>43839</v>
      </c>
      <c r="B99" s="116">
        <v>321.7</v>
      </c>
      <c r="C99" s="116">
        <v>321.7</v>
      </c>
      <c r="D99" s="116">
        <v>309.85000000000002</v>
      </c>
      <c r="E99" s="116">
        <v>311</v>
      </c>
      <c r="F99" s="116">
        <v>321.7</v>
      </c>
      <c r="G99">
        <v>43158</v>
      </c>
      <c r="H99" s="116"/>
      <c r="I99" s="116"/>
      <c r="L99" s="170">
        <v>43839</v>
      </c>
      <c r="M99" s="116">
        <v>322.05</v>
      </c>
      <c r="N99" s="116">
        <v>322.05</v>
      </c>
      <c r="O99" s="116">
        <v>309.14999999999998</v>
      </c>
      <c r="P99" s="116">
        <v>311</v>
      </c>
      <c r="Q99" s="116">
        <v>322.05</v>
      </c>
      <c r="R99">
        <v>597015</v>
      </c>
    </row>
    <row r="100" spans="1:18" x14ac:dyDescent="0.25">
      <c r="A100" s="170">
        <v>43840</v>
      </c>
      <c r="B100" s="116">
        <v>319</v>
      </c>
      <c r="C100" s="116">
        <v>305.85000000000002</v>
      </c>
      <c r="D100" s="116">
        <v>305.64999999999998</v>
      </c>
      <c r="E100" s="116">
        <v>310.60000000000002</v>
      </c>
      <c r="F100" s="116">
        <v>305.85000000000002</v>
      </c>
      <c r="G100">
        <v>43448</v>
      </c>
      <c r="H100" s="116"/>
      <c r="I100" s="116"/>
      <c r="L100" s="170">
        <v>43840</v>
      </c>
      <c r="M100" s="116">
        <v>306.14999999999998</v>
      </c>
      <c r="N100" s="116">
        <v>319.8</v>
      </c>
      <c r="O100" s="116">
        <v>305.95</v>
      </c>
      <c r="P100" s="116">
        <v>314</v>
      </c>
      <c r="Q100" s="116">
        <v>306.14999999999998</v>
      </c>
      <c r="R100">
        <v>362846</v>
      </c>
    </row>
    <row r="101" spans="1:18" x14ac:dyDescent="0.25">
      <c r="A101" s="170">
        <v>43843</v>
      </c>
      <c r="B101" s="116">
        <v>311.89999999999998</v>
      </c>
      <c r="C101" s="116">
        <v>304.75</v>
      </c>
      <c r="D101" s="116">
        <v>301.39999999999998</v>
      </c>
      <c r="E101" s="116">
        <v>308.2</v>
      </c>
      <c r="F101" s="116">
        <v>304.75</v>
      </c>
      <c r="G101">
        <v>12521</v>
      </c>
      <c r="H101" s="116"/>
      <c r="I101" s="116"/>
      <c r="L101" s="170">
        <v>43843</v>
      </c>
      <c r="M101" s="116">
        <v>304.39999999999998</v>
      </c>
      <c r="N101" s="116">
        <v>314</v>
      </c>
      <c r="O101" s="116">
        <v>301</v>
      </c>
      <c r="P101" s="116">
        <v>308.5</v>
      </c>
      <c r="Q101" s="116">
        <v>304.39999999999998</v>
      </c>
      <c r="R101">
        <v>81486</v>
      </c>
    </row>
    <row r="102" spans="1:18" x14ac:dyDescent="0.25">
      <c r="A102" s="170">
        <v>43844</v>
      </c>
      <c r="B102" s="116">
        <v>316.7</v>
      </c>
      <c r="C102" s="116">
        <v>310.89999999999998</v>
      </c>
      <c r="D102" s="116">
        <v>305.60000000000002</v>
      </c>
      <c r="E102" s="116">
        <v>308</v>
      </c>
      <c r="F102" s="116">
        <v>310.89999999999998</v>
      </c>
      <c r="G102">
        <v>19767</v>
      </c>
      <c r="H102" s="116"/>
      <c r="I102" s="116"/>
      <c r="L102" s="170">
        <v>43844</v>
      </c>
      <c r="M102" s="116">
        <v>310.64999999999998</v>
      </c>
      <c r="N102" s="116">
        <v>317</v>
      </c>
      <c r="O102" s="116">
        <v>305</v>
      </c>
      <c r="P102" s="116">
        <v>306.10000000000002</v>
      </c>
      <c r="Q102" s="116">
        <v>310.64999999999998</v>
      </c>
      <c r="R102">
        <v>135626</v>
      </c>
    </row>
    <row r="103" spans="1:18" x14ac:dyDescent="0.25">
      <c r="A103" s="170">
        <v>43845</v>
      </c>
      <c r="B103" s="116">
        <v>315.3</v>
      </c>
      <c r="C103" s="116">
        <v>312.95</v>
      </c>
      <c r="D103" s="116">
        <v>310</v>
      </c>
      <c r="E103" s="116">
        <v>310</v>
      </c>
      <c r="F103" s="116">
        <v>312.95</v>
      </c>
      <c r="G103">
        <v>219692</v>
      </c>
      <c r="H103" s="116"/>
      <c r="I103" s="116"/>
      <c r="L103" s="170">
        <v>43845</v>
      </c>
      <c r="M103" s="116">
        <v>312.85000000000002</v>
      </c>
      <c r="N103" s="116">
        <v>315.64999999999998</v>
      </c>
      <c r="O103" s="116">
        <v>309.8</v>
      </c>
      <c r="P103" s="116">
        <v>309.89999999999998</v>
      </c>
      <c r="Q103" s="116">
        <v>312.85000000000002</v>
      </c>
      <c r="R103">
        <v>64952</v>
      </c>
    </row>
    <row r="104" spans="1:18" x14ac:dyDescent="0.25">
      <c r="A104" s="170">
        <v>43846</v>
      </c>
      <c r="B104" s="116">
        <v>323.89999999999998</v>
      </c>
      <c r="C104" s="116">
        <v>311.2</v>
      </c>
      <c r="D104" s="116">
        <v>308.7</v>
      </c>
      <c r="E104" s="116">
        <v>315</v>
      </c>
      <c r="F104" s="116">
        <v>311.2</v>
      </c>
      <c r="G104">
        <v>9218</v>
      </c>
      <c r="H104" s="116"/>
      <c r="I104" s="116"/>
      <c r="L104" s="170">
        <v>43846</v>
      </c>
      <c r="M104" s="116">
        <v>312.05</v>
      </c>
      <c r="N104" s="116">
        <v>324</v>
      </c>
      <c r="O104" s="116">
        <v>308.75</v>
      </c>
      <c r="P104" s="116">
        <v>314.10000000000002</v>
      </c>
      <c r="Q104" s="116">
        <v>312.05</v>
      </c>
      <c r="R104">
        <v>184553</v>
      </c>
    </row>
    <row r="105" spans="1:18" x14ac:dyDescent="0.25">
      <c r="A105" s="170">
        <v>43847</v>
      </c>
      <c r="B105" s="116">
        <v>316.95</v>
      </c>
      <c r="C105" s="116">
        <v>311.05</v>
      </c>
      <c r="D105" s="116">
        <v>310</v>
      </c>
      <c r="E105" s="116">
        <v>312.5</v>
      </c>
      <c r="F105" s="116">
        <v>311.05</v>
      </c>
      <c r="G105">
        <v>9325</v>
      </c>
      <c r="H105" s="116"/>
      <c r="I105" s="116"/>
      <c r="L105" s="170">
        <v>43847</v>
      </c>
      <c r="M105" s="116">
        <v>311.7</v>
      </c>
      <c r="N105" s="116">
        <v>316.89999999999998</v>
      </c>
      <c r="O105" s="116">
        <v>309.10000000000002</v>
      </c>
      <c r="P105" s="116">
        <v>315</v>
      </c>
      <c r="Q105" s="116">
        <v>311.7</v>
      </c>
      <c r="R105">
        <v>158935</v>
      </c>
    </row>
    <row r="106" spans="1:18" x14ac:dyDescent="0.25">
      <c r="A106" s="170">
        <v>43850</v>
      </c>
      <c r="B106" s="116">
        <v>314.7</v>
      </c>
      <c r="C106" s="116">
        <v>309.55</v>
      </c>
      <c r="D106" s="116">
        <v>307.05</v>
      </c>
      <c r="E106" s="116">
        <v>314.2</v>
      </c>
      <c r="F106" s="116">
        <v>309.55</v>
      </c>
      <c r="G106">
        <v>6228</v>
      </c>
      <c r="H106" s="116"/>
      <c r="I106" s="116"/>
      <c r="L106" s="170">
        <v>43850</v>
      </c>
      <c r="M106" s="116">
        <v>309.85000000000002</v>
      </c>
      <c r="N106" s="116">
        <v>315</v>
      </c>
      <c r="O106" s="116">
        <v>307.05</v>
      </c>
      <c r="P106" s="116">
        <v>312.10000000000002</v>
      </c>
      <c r="Q106" s="116">
        <v>309.85000000000002</v>
      </c>
      <c r="R106">
        <v>156719</v>
      </c>
    </row>
    <row r="107" spans="1:18" x14ac:dyDescent="0.25">
      <c r="A107" s="170">
        <v>43851</v>
      </c>
      <c r="B107" s="116">
        <v>310</v>
      </c>
      <c r="C107" s="116">
        <v>307.55</v>
      </c>
      <c r="D107" s="116">
        <v>303</v>
      </c>
      <c r="E107" s="116">
        <v>309</v>
      </c>
      <c r="F107" s="116">
        <v>307.55</v>
      </c>
      <c r="G107">
        <v>8422</v>
      </c>
      <c r="H107" s="116"/>
      <c r="I107" s="116"/>
      <c r="L107" s="170">
        <v>43851</v>
      </c>
      <c r="M107" s="116">
        <v>307.10000000000002</v>
      </c>
      <c r="N107" s="116">
        <v>310.85000000000002</v>
      </c>
      <c r="O107" s="116">
        <v>303.39999999999998</v>
      </c>
      <c r="P107" s="116">
        <v>308.5</v>
      </c>
      <c r="Q107" s="116">
        <v>307.10000000000002</v>
      </c>
      <c r="R107">
        <v>97745</v>
      </c>
    </row>
    <row r="108" spans="1:18" x14ac:dyDescent="0.25">
      <c r="A108" s="170">
        <v>43852</v>
      </c>
      <c r="B108" s="116">
        <v>310</v>
      </c>
      <c r="C108" s="116">
        <v>303.8</v>
      </c>
      <c r="D108" s="116">
        <v>295</v>
      </c>
      <c r="E108" s="116">
        <v>308.89999999999998</v>
      </c>
      <c r="F108" s="116">
        <v>303.8</v>
      </c>
      <c r="G108">
        <v>18142</v>
      </c>
      <c r="H108" s="116"/>
      <c r="I108" s="116"/>
      <c r="L108" s="170">
        <v>43852</v>
      </c>
      <c r="M108" s="116">
        <v>303.14999999999998</v>
      </c>
      <c r="N108" s="116">
        <v>310</v>
      </c>
      <c r="O108" s="116">
        <v>295.25</v>
      </c>
      <c r="P108" s="116">
        <v>308.95</v>
      </c>
      <c r="Q108" s="116">
        <v>303.14999999999998</v>
      </c>
      <c r="R108">
        <v>123183</v>
      </c>
    </row>
    <row r="109" spans="1:18" x14ac:dyDescent="0.25">
      <c r="A109" s="170">
        <v>43853</v>
      </c>
      <c r="B109" s="116">
        <v>306.25</v>
      </c>
      <c r="C109" s="116">
        <v>299.60000000000002</v>
      </c>
      <c r="D109" s="116">
        <v>297.8</v>
      </c>
      <c r="E109" s="116">
        <v>304.10000000000002</v>
      </c>
      <c r="F109" s="116">
        <v>299.60000000000002</v>
      </c>
      <c r="G109">
        <v>3935</v>
      </c>
      <c r="H109" s="116"/>
      <c r="I109" s="116"/>
      <c r="L109" s="170">
        <v>43853</v>
      </c>
      <c r="M109" s="116">
        <v>299.89999999999998</v>
      </c>
      <c r="N109" s="116">
        <v>306.95</v>
      </c>
      <c r="O109" s="116">
        <v>298</v>
      </c>
      <c r="P109" s="116">
        <v>306</v>
      </c>
      <c r="Q109" s="116">
        <v>299.89999999999998</v>
      </c>
      <c r="R109">
        <v>51465</v>
      </c>
    </row>
    <row r="110" spans="1:18" x14ac:dyDescent="0.25">
      <c r="A110" s="170">
        <v>43854</v>
      </c>
      <c r="B110" s="116">
        <v>302.60000000000002</v>
      </c>
      <c r="C110" s="116">
        <v>297.55</v>
      </c>
      <c r="D110" s="116">
        <v>295.45</v>
      </c>
      <c r="E110" s="116">
        <v>300.25</v>
      </c>
      <c r="F110" s="116">
        <v>297.55</v>
      </c>
      <c r="G110">
        <v>7179</v>
      </c>
      <c r="H110" s="116"/>
      <c r="I110" s="116"/>
      <c r="L110" s="170">
        <v>43854</v>
      </c>
      <c r="M110" s="116">
        <v>298</v>
      </c>
      <c r="N110" s="116">
        <v>302.85000000000002</v>
      </c>
      <c r="O110" s="116">
        <v>295.05</v>
      </c>
      <c r="P110" s="116">
        <v>297</v>
      </c>
      <c r="Q110" s="116">
        <v>298</v>
      </c>
      <c r="R110">
        <v>95121</v>
      </c>
    </row>
    <row r="111" spans="1:18" x14ac:dyDescent="0.25">
      <c r="A111" s="170">
        <v>43857</v>
      </c>
      <c r="B111" s="116">
        <v>312.39999999999998</v>
      </c>
      <c r="C111" s="116">
        <v>302.95</v>
      </c>
      <c r="D111" s="116">
        <v>295.35000000000002</v>
      </c>
      <c r="E111" s="116">
        <v>297.45</v>
      </c>
      <c r="F111" s="116">
        <v>302.95</v>
      </c>
      <c r="G111">
        <v>19118</v>
      </c>
      <c r="H111" s="116"/>
      <c r="I111" s="116"/>
      <c r="L111" s="170">
        <v>43857</v>
      </c>
      <c r="M111" s="116">
        <v>303.05</v>
      </c>
      <c r="N111" s="116">
        <v>312.89999999999998</v>
      </c>
      <c r="O111" s="116">
        <v>295.05</v>
      </c>
      <c r="P111" s="116">
        <v>298</v>
      </c>
      <c r="Q111" s="116">
        <v>303.05</v>
      </c>
      <c r="R111">
        <v>131848</v>
      </c>
    </row>
    <row r="112" spans="1:18" x14ac:dyDescent="0.25">
      <c r="A112" s="170">
        <v>43858</v>
      </c>
      <c r="B112" s="116">
        <v>305.2</v>
      </c>
      <c r="C112" s="116">
        <v>298.25</v>
      </c>
      <c r="D112" s="116">
        <v>296.45</v>
      </c>
      <c r="E112" s="116">
        <v>304.89999999999998</v>
      </c>
      <c r="F112" s="116">
        <v>298.25</v>
      </c>
      <c r="G112">
        <v>6813</v>
      </c>
      <c r="H112" s="116"/>
      <c r="I112" s="116"/>
      <c r="L112" s="170">
        <v>43858</v>
      </c>
      <c r="M112" s="116">
        <v>298.2</v>
      </c>
      <c r="N112" s="116">
        <v>305.95</v>
      </c>
      <c r="O112" s="116">
        <v>296.5</v>
      </c>
      <c r="P112" s="116">
        <v>303.25</v>
      </c>
      <c r="Q112" s="116">
        <v>298.2</v>
      </c>
      <c r="R112">
        <v>47414</v>
      </c>
    </row>
    <row r="113" spans="1:18" x14ac:dyDescent="0.25">
      <c r="A113" s="170">
        <v>43859</v>
      </c>
      <c r="B113" s="116">
        <v>308</v>
      </c>
      <c r="C113" s="116">
        <v>298.2</v>
      </c>
      <c r="D113" s="116">
        <v>297.60000000000002</v>
      </c>
      <c r="E113" s="116">
        <v>308</v>
      </c>
      <c r="F113" s="116">
        <v>298.2</v>
      </c>
      <c r="G113">
        <v>3565</v>
      </c>
      <c r="H113" s="116"/>
      <c r="I113" s="116"/>
      <c r="L113" s="170">
        <v>43859</v>
      </c>
      <c r="M113" s="116">
        <v>299.35000000000002</v>
      </c>
      <c r="N113" s="116">
        <v>303.75</v>
      </c>
      <c r="O113" s="116">
        <v>298</v>
      </c>
      <c r="P113" s="116">
        <v>298</v>
      </c>
      <c r="Q113" s="116">
        <v>299.35000000000002</v>
      </c>
      <c r="R113">
        <v>48964</v>
      </c>
    </row>
    <row r="114" spans="1:18" x14ac:dyDescent="0.25">
      <c r="A114" s="170">
        <v>43860</v>
      </c>
      <c r="B114" s="116">
        <v>298.39999999999998</v>
      </c>
      <c r="C114" s="116">
        <v>293.35000000000002</v>
      </c>
      <c r="D114" s="116">
        <v>292.39999999999998</v>
      </c>
      <c r="E114" s="116">
        <v>298.39999999999998</v>
      </c>
      <c r="F114" s="116">
        <v>293.35000000000002</v>
      </c>
      <c r="G114">
        <v>7192</v>
      </c>
      <c r="H114" s="116"/>
      <c r="I114" s="116"/>
      <c r="L114" s="170">
        <v>43860</v>
      </c>
      <c r="M114" s="116">
        <v>294.7</v>
      </c>
      <c r="N114" s="116">
        <v>301.95</v>
      </c>
      <c r="O114" s="116">
        <v>293.2</v>
      </c>
      <c r="P114" s="116">
        <v>301</v>
      </c>
      <c r="Q114" s="116">
        <v>294.7</v>
      </c>
      <c r="R114">
        <v>53076</v>
      </c>
    </row>
    <row r="115" spans="1:18" x14ac:dyDescent="0.25">
      <c r="A115" s="170">
        <v>43861</v>
      </c>
      <c r="B115" s="116">
        <v>299.39999999999998</v>
      </c>
      <c r="C115" s="116">
        <v>293.35000000000002</v>
      </c>
      <c r="D115" s="116">
        <v>286.75</v>
      </c>
      <c r="E115" s="116">
        <v>299.39999999999998</v>
      </c>
      <c r="F115" s="116">
        <v>293.35000000000002</v>
      </c>
      <c r="G115">
        <v>7789</v>
      </c>
      <c r="H115" s="116"/>
      <c r="I115" s="116"/>
      <c r="L115" s="170">
        <v>43861</v>
      </c>
      <c r="M115" s="116">
        <v>293.25</v>
      </c>
      <c r="N115" s="116">
        <v>300</v>
      </c>
      <c r="O115" s="116">
        <v>286.75</v>
      </c>
      <c r="P115" s="116">
        <v>298</v>
      </c>
      <c r="Q115" s="116">
        <v>293.25</v>
      </c>
      <c r="R115">
        <v>63238</v>
      </c>
    </row>
    <row r="116" spans="1:18" x14ac:dyDescent="0.25">
      <c r="A116" s="170">
        <v>43862</v>
      </c>
      <c r="B116" s="116">
        <v>307</v>
      </c>
      <c r="C116" s="116">
        <v>284.75</v>
      </c>
      <c r="D116" s="116">
        <v>283</v>
      </c>
      <c r="E116" s="116">
        <v>295</v>
      </c>
      <c r="F116" s="116">
        <v>284.75</v>
      </c>
      <c r="G116">
        <v>10638</v>
      </c>
      <c r="H116" s="116"/>
      <c r="I116" s="116"/>
      <c r="L116" s="170">
        <v>43862</v>
      </c>
      <c r="M116" s="116">
        <v>285.64999999999998</v>
      </c>
      <c r="N116" s="116">
        <v>307</v>
      </c>
      <c r="O116" s="116">
        <v>282</v>
      </c>
      <c r="P116" s="116">
        <v>297.75</v>
      </c>
      <c r="Q116" s="116">
        <v>285.64999999999998</v>
      </c>
      <c r="R116">
        <v>119620</v>
      </c>
    </row>
    <row r="117" spans="1:18" x14ac:dyDescent="0.25">
      <c r="A117" s="170">
        <v>43864</v>
      </c>
      <c r="B117" s="116">
        <v>289.10000000000002</v>
      </c>
      <c r="C117" s="116">
        <v>282.55</v>
      </c>
      <c r="D117" s="116">
        <v>275.3</v>
      </c>
      <c r="E117" s="116">
        <v>286.8</v>
      </c>
      <c r="F117" s="116">
        <v>282.55</v>
      </c>
      <c r="G117">
        <v>7705</v>
      </c>
      <c r="H117" s="116"/>
      <c r="I117" s="116"/>
      <c r="L117" s="170">
        <v>43864</v>
      </c>
      <c r="M117" s="116">
        <v>282.2</v>
      </c>
      <c r="N117" s="116">
        <v>289.3</v>
      </c>
      <c r="O117" s="116">
        <v>275</v>
      </c>
      <c r="P117" s="116">
        <v>287</v>
      </c>
      <c r="Q117" s="116">
        <v>282.2</v>
      </c>
      <c r="R117">
        <v>148718</v>
      </c>
    </row>
    <row r="118" spans="1:18" x14ac:dyDescent="0.25">
      <c r="A118" s="170">
        <v>43865</v>
      </c>
      <c r="B118" s="116">
        <v>293.2</v>
      </c>
      <c r="C118" s="116">
        <v>291.75</v>
      </c>
      <c r="D118" s="116">
        <v>282.5</v>
      </c>
      <c r="E118" s="116">
        <v>282.5</v>
      </c>
      <c r="F118" s="116">
        <v>291.75</v>
      </c>
      <c r="G118">
        <v>6063</v>
      </c>
      <c r="H118" s="116"/>
      <c r="I118" s="116"/>
      <c r="L118" s="170">
        <v>43865</v>
      </c>
      <c r="M118" s="116">
        <v>291.64999999999998</v>
      </c>
      <c r="N118" s="116">
        <v>294</v>
      </c>
      <c r="O118" s="116">
        <v>283</v>
      </c>
      <c r="P118" s="116">
        <v>283</v>
      </c>
      <c r="Q118" s="116">
        <v>291.64999999999998</v>
      </c>
      <c r="R118">
        <v>65898</v>
      </c>
    </row>
    <row r="119" spans="1:18" x14ac:dyDescent="0.25">
      <c r="A119" s="170">
        <v>43866</v>
      </c>
      <c r="B119" s="116">
        <v>306.3</v>
      </c>
      <c r="C119" s="116">
        <v>306.3</v>
      </c>
      <c r="D119" s="116">
        <v>292.2</v>
      </c>
      <c r="E119" s="116">
        <v>292.60000000000002</v>
      </c>
      <c r="F119" s="116">
        <v>306.3</v>
      </c>
      <c r="G119">
        <v>9916</v>
      </c>
      <c r="H119" s="116"/>
      <c r="I119" s="116"/>
      <c r="L119" s="170">
        <v>43866</v>
      </c>
      <c r="M119" s="116">
        <v>306.2</v>
      </c>
      <c r="N119" s="116">
        <v>306.2</v>
      </c>
      <c r="O119" s="116">
        <v>291.5</v>
      </c>
      <c r="P119" s="116">
        <v>291.85000000000002</v>
      </c>
      <c r="Q119" s="116">
        <v>306.2</v>
      </c>
      <c r="R119">
        <v>174454</v>
      </c>
    </row>
    <row r="120" spans="1:18" x14ac:dyDescent="0.25">
      <c r="A120" s="170">
        <v>43867</v>
      </c>
      <c r="B120" s="116">
        <v>324.7</v>
      </c>
      <c r="C120" s="116">
        <v>310.2</v>
      </c>
      <c r="D120" s="116">
        <v>306.60000000000002</v>
      </c>
      <c r="E120" s="116">
        <v>315</v>
      </c>
      <c r="F120" s="116">
        <v>310.2</v>
      </c>
      <c r="G120">
        <v>33088</v>
      </c>
      <c r="H120" s="116"/>
      <c r="I120" s="116"/>
      <c r="L120" s="170">
        <v>43867</v>
      </c>
      <c r="M120" s="116">
        <v>311.89999999999998</v>
      </c>
      <c r="N120" s="116">
        <v>324.95</v>
      </c>
      <c r="O120" s="116">
        <v>306.05</v>
      </c>
      <c r="P120" s="116">
        <v>317.35000000000002</v>
      </c>
      <c r="Q120" s="116">
        <v>311.89999999999998</v>
      </c>
      <c r="R120">
        <v>491935</v>
      </c>
    </row>
    <row r="121" spans="1:18" x14ac:dyDescent="0.25">
      <c r="A121" s="170">
        <v>43868</v>
      </c>
      <c r="B121" s="116">
        <v>317</v>
      </c>
      <c r="C121" s="116">
        <v>310.60000000000002</v>
      </c>
      <c r="D121" s="116">
        <v>308</v>
      </c>
      <c r="E121" s="116">
        <v>315</v>
      </c>
      <c r="F121" s="116">
        <v>310.60000000000002</v>
      </c>
      <c r="G121">
        <v>5628</v>
      </c>
      <c r="H121" s="116"/>
      <c r="I121" s="116"/>
      <c r="L121" s="170">
        <v>43868</v>
      </c>
      <c r="M121" s="116">
        <v>310.45</v>
      </c>
      <c r="N121" s="116">
        <v>318</v>
      </c>
      <c r="O121" s="116">
        <v>307.25</v>
      </c>
      <c r="P121" s="116">
        <v>311.7</v>
      </c>
      <c r="Q121" s="116">
        <v>310.45</v>
      </c>
      <c r="R121">
        <v>75238</v>
      </c>
    </row>
    <row r="122" spans="1:18" x14ac:dyDescent="0.25">
      <c r="A122" s="170">
        <v>43871</v>
      </c>
      <c r="B122" s="116">
        <v>320</v>
      </c>
      <c r="C122" s="116">
        <v>315.10000000000002</v>
      </c>
      <c r="D122" s="116">
        <v>311.39999999999998</v>
      </c>
      <c r="E122" s="116">
        <v>311.39999999999998</v>
      </c>
      <c r="F122" s="116">
        <v>315.10000000000002</v>
      </c>
      <c r="G122">
        <v>9236</v>
      </c>
      <c r="H122" s="116"/>
      <c r="I122" s="116"/>
      <c r="L122" s="170">
        <v>43871</v>
      </c>
      <c r="M122" s="116">
        <v>314.75</v>
      </c>
      <c r="N122" s="116">
        <v>319.8</v>
      </c>
      <c r="O122" s="116">
        <v>310</v>
      </c>
      <c r="P122" s="116">
        <v>313.55</v>
      </c>
      <c r="Q122" s="116">
        <v>314.75</v>
      </c>
      <c r="R122">
        <v>105422</v>
      </c>
    </row>
    <row r="123" spans="1:18" x14ac:dyDescent="0.25">
      <c r="A123" s="170">
        <v>43872</v>
      </c>
      <c r="B123" s="116">
        <v>330</v>
      </c>
      <c r="C123" s="116">
        <v>312.39999999999998</v>
      </c>
      <c r="D123" s="116">
        <v>311.25</v>
      </c>
      <c r="E123" s="116">
        <v>315.8</v>
      </c>
      <c r="F123" s="116">
        <v>312.39999999999998</v>
      </c>
      <c r="G123">
        <v>19988</v>
      </c>
      <c r="H123" s="116"/>
      <c r="I123" s="116"/>
      <c r="L123" s="170">
        <v>43872</v>
      </c>
      <c r="M123" s="116">
        <v>313.85000000000002</v>
      </c>
      <c r="N123" s="116">
        <v>327.95</v>
      </c>
      <c r="O123" s="116">
        <v>312</v>
      </c>
      <c r="P123" s="116">
        <v>318</v>
      </c>
      <c r="Q123" s="116">
        <v>313.85000000000002</v>
      </c>
      <c r="R123">
        <v>201089</v>
      </c>
    </row>
    <row r="124" spans="1:18" x14ac:dyDescent="0.25">
      <c r="A124" s="170">
        <v>43873</v>
      </c>
      <c r="B124" s="116">
        <v>315.14999999999998</v>
      </c>
      <c r="C124" s="116">
        <v>299.95</v>
      </c>
      <c r="D124" s="116">
        <v>295.25</v>
      </c>
      <c r="E124" s="116">
        <v>310.89999999999998</v>
      </c>
      <c r="F124" s="116">
        <v>299.95</v>
      </c>
      <c r="G124">
        <v>15125</v>
      </c>
      <c r="H124" s="116"/>
      <c r="I124" s="116"/>
      <c r="L124" s="170">
        <v>43873</v>
      </c>
      <c r="M124" s="116">
        <v>299.7</v>
      </c>
      <c r="N124" s="116">
        <v>315.10000000000002</v>
      </c>
      <c r="O124" s="116">
        <v>296</v>
      </c>
      <c r="P124" s="116">
        <v>312.2</v>
      </c>
      <c r="Q124" s="116">
        <v>299.7</v>
      </c>
      <c r="R124">
        <v>75912</v>
      </c>
    </row>
    <row r="125" spans="1:18" x14ac:dyDescent="0.25">
      <c r="A125" s="170">
        <v>43874</v>
      </c>
      <c r="B125" s="116">
        <v>297.10000000000002</v>
      </c>
      <c r="C125" s="116">
        <v>274.75</v>
      </c>
      <c r="D125" s="116">
        <v>273.55</v>
      </c>
      <c r="E125" s="116">
        <v>297.10000000000002</v>
      </c>
      <c r="F125" s="116">
        <v>274.75</v>
      </c>
      <c r="G125">
        <v>29412</v>
      </c>
      <c r="H125" s="116"/>
      <c r="I125" s="116"/>
      <c r="L125" s="170">
        <v>43874</v>
      </c>
      <c r="M125" s="116">
        <v>275.10000000000002</v>
      </c>
      <c r="N125" s="116">
        <v>294</v>
      </c>
      <c r="O125" s="116">
        <v>273</v>
      </c>
      <c r="P125" s="116">
        <v>282</v>
      </c>
      <c r="Q125" s="116">
        <v>275.10000000000002</v>
      </c>
      <c r="R125">
        <v>238983</v>
      </c>
    </row>
    <row r="126" spans="1:18" x14ac:dyDescent="0.25">
      <c r="A126" s="170">
        <v>43875</v>
      </c>
      <c r="B126" s="116">
        <v>285.8</v>
      </c>
      <c r="C126" s="116">
        <v>275</v>
      </c>
      <c r="D126" s="116">
        <v>272.55</v>
      </c>
      <c r="E126" s="116">
        <v>278.10000000000002</v>
      </c>
      <c r="F126" s="116">
        <v>275</v>
      </c>
      <c r="G126">
        <v>14449</v>
      </c>
      <c r="H126" s="116"/>
      <c r="I126" s="116"/>
      <c r="L126" s="170">
        <v>43875</v>
      </c>
      <c r="M126" s="116">
        <v>274.75</v>
      </c>
      <c r="N126" s="116">
        <v>284.89999999999998</v>
      </c>
      <c r="O126" s="116">
        <v>273</v>
      </c>
      <c r="P126" s="116">
        <v>275</v>
      </c>
      <c r="Q126" s="116">
        <v>274.75</v>
      </c>
      <c r="R126">
        <v>106425</v>
      </c>
    </row>
    <row r="127" spans="1:18" x14ac:dyDescent="0.25">
      <c r="A127" s="170">
        <v>43878</v>
      </c>
      <c r="B127" s="116">
        <v>276.95</v>
      </c>
      <c r="C127" s="116">
        <v>255.35</v>
      </c>
      <c r="D127" s="116">
        <v>254.1</v>
      </c>
      <c r="E127" s="116">
        <v>275</v>
      </c>
      <c r="F127" s="116">
        <v>255.35</v>
      </c>
      <c r="G127">
        <v>12393</v>
      </c>
      <c r="H127" s="116"/>
      <c r="I127" s="116"/>
      <c r="L127" s="170">
        <v>43878</v>
      </c>
      <c r="M127" s="116">
        <v>255.5</v>
      </c>
      <c r="N127" s="116">
        <v>277.14999999999998</v>
      </c>
      <c r="O127" s="116">
        <v>254.2</v>
      </c>
      <c r="P127" s="116">
        <v>274</v>
      </c>
      <c r="Q127" s="116">
        <v>255.5</v>
      </c>
      <c r="R127">
        <v>147195</v>
      </c>
    </row>
    <row r="128" spans="1:18" x14ac:dyDescent="0.25">
      <c r="A128" s="170">
        <v>43879</v>
      </c>
      <c r="B128" s="116">
        <v>261.64999999999998</v>
      </c>
      <c r="C128" s="116">
        <v>249.6</v>
      </c>
      <c r="D128" s="116">
        <v>249</v>
      </c>
      <c r="E128" s="116">
        <v>259</v>
      </c>
      <c r="F128" s="116">
        <v>249.6</v>
      </c>
      <c r="G128">
        <v>6766</v>
      </c>
      <c r="H128" s="116"/>
      <c r="I128" s="116"/>
      <c r="L128" s="170">
        <v>43879</v>
      </c>
      <c r="M128" s="116">
        <v>249.9</v>
      </c>
      <c r="N128" s="116">
        <v>261.85000000000002</v>
      </c>
      <c r="O128" s="116">
        <v>249</v>
      </c>
      <c r="P128" s="116">
        <v>259</v>
      </c>
      <c r="Q128" s="116">
        <v>249.9</v>
      </c>
      <c r="R128">
        <v>245176</v>
      </c>
    </row>
    <row r="129" spans="1:18" x14ac:dyDescent="0.25">
      <c r="A129" s="170">
        <v>43880</v>
      </c>
      <c r="B129" s="116">
        <v>254.35</v>
      </c>
      <c r="C129" s="116">
        <v>238.05</v>
      </c>
      <c r="D129" s="116">
        <v>234.5</v>
      </c>
      <c r="E129" s="116">
        <v>252</v>
      </c>
      <c r="F129" s="116">
        <v>238.05</v>
      </c>
      <c r="G129">
        <v>28482</v>
      </c>
      <c r="H129" s="116"/>
      <c r="I129" s="116"/>
      <c r="L129" s="170">
        <v>43880</v>
      </c>
      <c r="M129" s="116">
        <v>236.4</v>
      </c>
      <c r="N129" s="116">
        <v>254.05</v>
      </c>
      <c r="O129" s="116">
        <v>234</v>
      </c>
      <c r="P129" s="116">
        <v>253</v>
      </c>
      <c r="Q129" s="116">
        <v>236.4</v>
      </c>
      <c r="R129">
        <v>231861</v>
      </c>
    </row>
    <row r="130" spans="1:18" x14ac:dyDescent="0.25">
      <c r="A130" s="170">
        <v>43881</v>
      </c>
      <c r="B130" s="116">
        <v>242</v>
      </c>
      <c r="C130" s="116">
        <v>227.2</v>
      </c>
      <c r="D130" s="116">
        <v>224.4</v>
      </c>
      <c r="E130" s="116">
        <v>238.05</v>
      </c>
      <c r="F130" s="116">
        <v>227.2</v>
      </c>
      <c r="G130">
        <v>36431</v>
      </c>
      <c r="H130" s="116"/>
      <c r="I130" s="116"/>
      <c r="L130" s="170">
        <v>43881</v>
      </c>
      <c r="M130" s="116">
        <v>226.95</v>
      </c>
      <c r="N130" s="116">
        <v>242</v>
      </c>
      <c r="O130" s="116">
        <v>224</v>
      </c>
      <c r="P130" s="116">
        <v>236</v>
      </c>
      <c r="Q130" s="116">
        <v>226.95</v>
      </c>
      <c r="R130">
        <v>420200</v>
      </c>
    </row>
    <row r="131" spans="1:18" x14ac:dyDescent="0.25">
      <c r="A131" s="170">
        <v>43885</v>
      </c>
      <c r="B131" s="116">
        <v>222</v>
      </c>
      <c r="C131" s="116">
        <v>183.9</v>
      </c>
      <c r="D131" s="116">
        <v>180</v>
      </c>
      <c r="E131" s="116">
        <v>221.9</v>
      </c>
      <c r="F131" s="116">
        <v>183.9</v>
      </c>
      <c r="G131">
        <v>215625</v>
      </c>
      <c r="H131" s="116"/>
      <c r="I131" s="116"/>
      <c r="L131" s="170">
        <v>43885</v>
      </c>
      <c r="M131" s="116">
        <v>184.8</v>
      </c>
      <c r="N131" s="116">
        <v>220.8</v>
      </c>
      <c r="O131" s="116">
        <v>180</v>
      </c>
      <c r="P131" s="116">
        <v>220</v>
      </c>
      <c r="Q131" s="116">
        <v>184.8</v>
      </c>
      <c r="R131">
        <v>920305</v>
      </c>
    </row>
    <row r="132" spans="1:18" x14ac:dyDescent="0.25">
      <c r="A132" s="170">
        <v>43886</v>
      </c>
      <c r="B132" s="116">
        <v>202.25</v>
      </c>
      <c r="C132" s="116">
        <v>191.25</v>
      </c>
      <c r="D132" s="116">
        <v>185</v>
      </c>
      <c r="E132" s="116">
        <v>186</v>
      </c>
      <c r="F132" s="116">
        <v>191.25</v>
      </c>
      <c r="G132">
        <v>128152</v>
      </c>
      <c r="H132" s="116"/>
      <c r="I132" s="116"/>
      <c r="L132" s="170">
        <v>43886</v>
      </c>
      <c r="M132" s="116">
        <v>191.35</v>
      </c>
      <c r="N132" s="116">
        <v>202</v>
      </c>
      <c r="O132" s="116">
        <v>184.25</v>
      </c>
      <c r="P132" s="116">
        <v>184.25</v>
      </c>
      <c r="Q132" s="116">
        <v>191.35</v>
      </c>
      <c r="R132">
        <v>1499018</v>
      </c>
    </row>
    <row r="133" spans="1:18" x14ac:dyDescent="0.25">
      <c r="A133" s="170">
        <v>43887</v>
      </c>
      <c r="B133" s="116">
        <v>192</v>
      </c>
      <c r="C133" s="116">
        <v>186.95</v>
      </c>
      <c r="D133" s="116">
        <v>185</v>
      </c>
      <c r="E133" s="116">
        <v>191</v>
      </c>
      <c r="F133" s="116">
        <v>186.95</v>
      </c>
      <c r="G133">
        <v>15822</v>
      </c>
      <c r="H133" s="116"/>
      <c r="I133" s="116"/>
      <c r="L133" s="170">
        <v>43887</v>
      </c>
      <c r="M133" s="116">
        <v>186.75</v>
      </c>
      <c r="N133" s="116">
        <v>191.95</v>
      </c>
      <c r="O133" s="116">
        <v>185.05</v>
      </c>
      <c r="P133" s="116">
        <v>189.65</v>
      </c>
      <c r="Q133" s="116">
        <v>186.75</v>
      </c>
      <c r="R133">
        <v>307190</v>
      </c>
    </row>
    <row r="134" spans="1:18" x14ac:dyDescent="0.25">
      <c r="A134" s="170">
        <v>43888</v>
      </c>
      <c r="B134" s="116">
        <v>187.75</v>
      </c>
      <c r="C134" s="116">
        <v>178.55</v>
      </c>
      <c r="D134" s="116">
        <v>178.05</v>
      </c>
      <c r="E134" s="116">
        <v>187.75</v>
      </c>
      <c r="F134" s="116">
        <v>178.55</v>
      </c>
      <c r="G134">
        <v>128351</v>
      </c>
      <c r="H134" s="116"/>
      <c r="I134" s="116"/>
      <c r="L134" s="170">
        <v>43888</v>
      </c>
      <c r="M134" s="116">
        <v>179.9</v>
      </c>
      <c r="N134" s="116">
        <v>191</v>
      </c>
      <c r="O134" s="116">
        <v>178</v>
      </c>
      <c r="P134" s="116">
        <v>191</v>
      </c>
      <c r="Q134" s="116">
        <v>179.9</v>
      </c>
      <c r="R134">
        <v>201628</v>
      </c>
    </row>
    <row r="135" spans="1:18" x14ac:dyDescent="0.25">
      <c r="A135" s="170">
        <v>43889</v>
      </c>
      <c r="B135" s="116">
        <v>175.2</v>
      </c>
      <c r="C135" s="116">
        <v>166.4</v>
      </c>
      <c r="D135" s="116">
        <v>165.1</v>
      </c>
      <c r="E135" s="116">
        <v>175.2</v>
      </c>
      <c r="F135" s="116">
        <v>166.4</v>
      </c>
      <c r="G135">
        <v>21256</v>
      </c>
      <c r="H135" s="116"/>
      <c r="I135" s="116"/>
      <c r="L135" s="170">
        <v>43889</v>
      </c>
      <c r="M135" s="116">
        <v>166.4</v>
      </c>
      <c r="N135" s="116">
        <v>175</v>
      </c>
      <c r="O135" s="116">
        <v>165</v>
      </c>
      <c r="P135" s="116">
        <v>174</v>
      </c>
      <c r="Q135" s="116">
        <v>166.4</v>
      </c>
      <c r="R135">
        <v>261869</v>
      </c>
    </row>
    <row r="136" spans="1:18" x14ac:dyDescent="0.25">
      <c r="A136" s="170">
        <v>43892</v>
      </c>
      <c r="B136" s="116">
        <v>179</v>
      </c>
      <c r="C136" s="116">
        <v>157.1</v>
      </c>
      <c r="D136" s="116">
        <v>153</v>
      </c>
      <c r="E136" s="116">
        <v>170</v>
      </c>
      <c r="F136" s="116">
        <v>157.1</v>
      </c>
      <c r="G136">
        <v>10115</v>
      </c>
      <c r="H136" s="116"/>
      <c r="I136" s="116"/>
      <c r="L136" s="170">
        <v>43892</v>
      </c>
      <c r="M136" s="116">
        <v>157.35</v>
      </c>
      <c r="N136" s="116">
        <v>177</v>
      </c>
      <c r="O136" s="116">
        <v>153</v>
      </c>
      <c r="P136" s="116">
        <v>175.95</v>
      </c>
      <c r="Q136" s="116">
        <v>157.35</v>
      </c>
      <c r="R136">
        <v>135111</v>
      </c>
    </row>
    <row r="137" spans="1:18" x14ac:dyDescent="0.25">
      <c r="A137" s="170">
        <v>43893</v>
      </c>
      <c r="B137" s="116">
        <v>164.9</v>
      </c>
      <c r="C137" s="116">
        <v>150.19999999999999</v>
      </c>
      <c r="D137" s="116">
        <v>145.4</v>
      </c>
      <c r="E137" s="116">
        <v>161.9</v>
      </c>
      <c r="F137" s="116">
        <v>150.19999999999999</v>
      </c>
      <c r="G137">
        <v>24543</v>
      </c>
      <c r="H137" s="116"/>
      <c r="I137" s="116"/>
      <c r="L137" s="170">
        <v>43893</v>
      </c>
      <c r="M137" s="116">
        <v>150.1</v>
      </c>
      <c r="N137" s="116">
        <v>164.4</v>
      </c>
      <c r="O137" s="116">
        <v>145.25</v>
      </c>
      <c r="P137" s="116">
        <v>160.94999999999999</v>
      </c>
      <c r="Q137" s="116">
        <v>150.1</v>
      </c>
      <c r="R137">
        <v>318667</v>
      </c>
    </row>
    <row r="138" spans="1:18" x14ac:dyDescent="0.25">
      <c r="A138" s="170">
        <v>43894</v>
      </c>
      <c r="B138" s="116">
        <v>151</v>
      </c>
      <c r="C138" s="116">
        <v>143.65</v>
      </c>
      <c r="D138" s="116">
        <v>142.69999999999999</v>
      </c>
      <c r="E138" s="116">
        <v>151</v>
      </c>
      <c r="F138" s="116">
        <v>143.65</v>
      </c>
      <c r="G138">
        <v>11007</v>
      </c>
      <c r="H138" s="116"/>
      <c r="I138" s="116"/>
      <c r="L138" s="170">
        <v>43894</v>
      </c>
      <c r="M138" s="116">
        <v>144.05000000000001</v>
      </c>
      <c r="N138" s="116">
        <v>151</v>
      </c>
      <c r="O138" s="116">
        <v>142.80000000000001</v>
      </c>
      <c r="P138" s="116">
        <v>150</v>
      </c>
      <c r="Q138" s="116">
        <v>144.05000000000001</v>
      </c>
      <c r="R138">
        <v>129033</v>
      </c>
    </row>
    <row r="139" spans="1:18" x14ac:dyDescent="0.25">
      <c r="A139" s="170">
        <v>43895</v>
      </c>
      <c r="B139" s="116">
        <v>148.4</v>
      </c>
      <c r="C139" s="116">
        <v>146.5</v>
      </c>
      <c r="D139" s="116">
        <v>140.4</v>
      </c>
      <c r="E139" s="116">
        <v>144.44999999999999</v>
      </c>
      <c r="F139" s="116">
        <v>146.5</v>
      </c>
      <c r="G139">
        <v>17563</v>
      </c>
      <c r="H139" s="116"/>
      <c r="I139" s="116"/>
      <c r="L139" s="170">
        <v>43895</v>
      </c>
      <c r="M139" s="116">
        <v>146.05000000000001</v>
      </c>
      <c r="N139" s="116">
        <v>148.5</v>
      </c>
      <c r="O139" s="116">
        <v>140.35</v>
      </c>
      <c r="P139" s="116">
        <v>146.94999999999999</v>
      </c>
      <c r="Q139" s="116">
        <v>146.05000000000001</v>
      </c>
      <c r="R139">
        <v>302356</v>
      </c>
    </row>
    <row r="140" spans="1:18" x14ac:dyDescent="0.25">
      <c r="A140" s="170">
        <v>43896</v>
      </c>
      <c r="B140" s="116">
        <v>146</v>
      </c>
      <c r="C140" s="116">
        <v>142.69999999999999</v>
      </c>
      <c r="D140" s="116">
        <v>139.19999999999999</v>
      </c>
      <c r="E140" s="116">
        <v>140</v>
      </c>
      <c r="F140" s="116">
        <v>142.69999999999999</v>
      </c>
      <c r="G140">
        <v>7558</v>
      </c>
      <c r="H140" s="116"/>
      <c r="I140" s="116"/>
      <c r="L140" s="170">
        <v>43896</v>
      </c>
      <c r="M140" s="116">
        <v>143.25</v>
      </c>
      <c r="N140" s="116">
        <v>146.1</v>
      </c>
      <c r="O140" s="116">
        <v>138.75</v>
      </c>
      <c r="P140" s="116">
        <v>138.75</v>
      </c>
      <c r="Q140" s="116">
        <v>143.25</v>
      </c>
      <c r="R140">
        <v>137801</v>
      </c>
    </row>
    <row r="141" spans="1:18" x14ac:dyDescent="0.25">
      <c r="A141" s="170">
        <v>43899</v>
      </c>
      <c r="B141" s="116">
        <v>141.19999999999999</v>
      </c>
      <c r="C141" s="116">
        <v>136.05000000000001</v>
      </c>
      <c r="D141" s="116">
        <v>135.6</v>
      </c>
      <c r="E141" s="116">
        <v>141.19999999999999</v>
      </c>
      <c r="F141" s="116">
        <v>136.05000000000001</v>
      </c>
      <c r="G141">
        <v>10810</v>
      </c>
      <c r="H141" s="116"/>
      <c r="I141" s="116"/>
      <c r="L141" s="170">
        <v>43899</v>
      </c>
      <c r="M141" s="116">
        <v>136.1</v>
      </c>
      <c r="N141" s="116">
        <v>142</v>
      </c>
      <c r="O141" s="116">
        <v>136.1</v>
      </c>
      <c r="P141" s="116">
        <v>139</v>
      </c>
      <c r="Q141" s="116">
        <v>136.1</v>
      </c>
      <c r="R141">
        <v>189746</v>
      </c>
    </row>
    <row r="142" spans="1:18" x14ac:dyDescent="0.25">
      <c r="A142" s="170">
        <v>43901</v>
      </c>
      <c r="B142" s="116">
        <v>136</v>
      </c>
      <c r="C142" s="116">
        <v>129.25</v>
      </c>
      <c r="D142" s="116">
        <v>129.25</v>
      </c>
      <c r="E142" s="116">
        <v>136</v>
      </c>
      <c r="F142" s="116">
        <v>129.25</v>
      </c>
      <c r="G142">
        <v>6673</v>
      </c>
      <c r="H142" s="116"/>
      <c r="I142" s="116"/>
      <c r="L142" s="170">
        <v>43901</v>
      </c>
      <c r="M142" s="116">
        <v>129.30000000000001</v>
      </c>
      <c r="N142" s="116">
        <v>136</v>
      </c>
      <c r="O142" s="116">
        <v>129.30000000000001</v>
      </c>
      <c r="P142" s="116">
        <v>135</v>
      </c>
      <c r="Q142" s="116">
        <v>129.30000000000001</v>
      </c>
      <c r="R142">
        <v>72217</v>
      </c>
    </row>
    <row r="143" spans="1:18" x14ac:dyDescent="0.25">
      <c r="A143" s="170">
        <v>43902</v>
      </c>
      <c r="B143" s="116">
        <v>122.8</v>
      </c>
      <c r="C143" s="116">
        <v>122.8</v>
      </c>
      <c r="D143" s="116">
        <v>122.8</v>
      </c>
      <c r="E143" s="116">
        <v>122.8</v>
      </c>
      <c r="F143" s="116">
        <v>122.8</v>
      </c>
      <c r="G143">
        <v>2339</v>
      </c>
      <c r="H143" s="116"/>
      <c r="I143" s="116"/>
      <c r="L143" s="170">
        <v>43902</v>
      </c>
      <c r="M143" s="116">
        <v>122.85</v>
      </c>
      <c r="N143" s="116">
        <v>122.85</v>
      </c>
      <c r="O143" s="116">
        <v>122.85</v>
      </c>
      <c r="P143" s="116">
        <v>122.85</v>
      </c>
      <c r="Q143" s="116">
        <v>122.85</v>
      </c>
      <c r="R143">
        <v>7853</v>
      </c>
    </row>
    <row r="144" spans="1:18" x14ac:dyDescent="0.25">
      <c r="A144" s="170">
        <v>43903</v>
      </c>
      <c r="B144" s="116">
        <v>116.7</v>
      </c>
      <c r="C144" s="116">
        <v>116.7</v>
      </c>
      <c r="D144" s="116">
        <v>116.7</v>
      </c>
      <c r="E144" s="116">
        <v>116.7</v>
      </c>
      <c r="F144" s="116">
        <v>116.7</v>
      </c>
      <c r="G144">
        <v>14298</v>
      </c>
      <c r="H144" s="116"/>
      <c r="I144" s="116"/>
      <c r="L144" s="170">
        <v>43903</v>
      </c>
      <c r="M144" s="116">
        <v>116.75</v>
      </c>
      <c r="N144" s="116">
        <v>116.75</v>
      </c>
      <c r="O144" s="116">
        <v>116.75</v>
      </c>
      <c r="P144" s="116">
        <v>116.75</v>
      </c>
      <c r="Q144" s="116">
        <v>116.75</v>
      </c>
      <c r="R144">
        <v>16133</v>
      </c>
    </row>
    <row r="145" spans="1:18" x14ac:dyDescent="0.25">
      <c r="A145" s="170">
        <v>43906</v>
      </c>
      <c r="B145" s="116">
        <v>120</v>
      </c>
      <c r="C145" s="116">
        <v>114.7</v>
      </c>
      <c r="D145" s="116">
        <v>110.9</v>
      </c>
      <c r="E145" s="116">
        <v>110.9</v>
      </c>
      <c r="F145" s="116">
        <v>114.7</v>
      </c>
      <c r="G145">
        <v>16212</v>
      </c>
      <c r="H145" s="116"/>
      <c r="I145" s="116"/>
      <c r="L145" s="170">
        <v>43906</v>
      </c>
      <c r="M145" s="116">
        <v>114.9</v>
      </c>
      <c r="N145" s="116">
        <v>119.5</v>
      </c>
      <c r="O145" s="116">
        <v>110.95</v>
      </c>
      <c r="P145" s="116">
        <v>110.95</v>
      </c>
      <c r="Q145" s="116">
        <v>114.9</v>
      </c>
      <c r="R145">
        <v>293901</v>
      </c>
    </row>
    <row r="146" spans="1:18" x14ac:dyDescent="0.25">
      <c r="A146" s="170">
        <v>43907</v>
      </c>
      <c r="B146" s="116">
        <v>118.95</v>
      </c>
      <c r="C146" s="116">
        <v>115.15</v>
      </c>
      <c r="D146" s="116">
        <v>109.05</v>
      </c>
      <c r="E146" s="116">
        <v>116.5</v>
      </c>
      <c r="F146" s="116">
        <v>115.15</v>
      </c>
      <c r="G146">
        <v>5874</v>
      </c>
      <c r="H146" s="116"/>
      <c r="I146" s="116"/>
      <c r="L146" s="170">
        <v>43907</v>
      </c>
      <c r="M146" s="116">
        <v>115.1</v>
      </c>
      <c r="N146" s="116">
        <v>118.5</v>
      </c>
      <c r="O146" s="116">
        <v>111.3</v>
      </c>
      <c r="P146" s="116">
        <v>111.3</v>
      </c>
      <c r="Q146" s="116">
        <v>115.1</v>
      </c>
      <c r="R146">
        <v>142362</v>
      </c>
    </row>
    <row r="147" spans="1:18" x14ac:dyDescent="0.25">
      <c r="A147" s="170">
        <v>43908</v>
      </c>
      <c r="B147" s="116">
        <v>120</v>
      </c>
      <c r="C147" s="116">
        <v>109.65</v>
      </c>
      <c r="D147" s="116">
        <v>109.4</v>
      </c>
      <c r="E147" s="116">
        <v>120</v>
      </c>
      <c r="F147" s="116">
        <v>109.65</v>
      </c>
      <c r="G147">
        <v>14306</v>
      </c>
      <c r="H147" s="116"/>
      <c r="I147" s="116"/>
      <c r="L147" s="170">
        <v>43908</v>
      </c>
      <c r="M147" s="116">
        <v>109.5</v>
      </c>
      <c r="N147" s="116">
        <v>120.85</v>
      </c>
      <c r="O147" s="116">
        <v>109.35</v>
      </c>
      <c r="P147" s="116">
        <v>120.85</v>
      </c>
      <c r="Q147" s="116">
        <v>109.5</v>
      </c>
      <c r="R147">
        <v>97998</v>
      </c>
    </row>
    <row r="148" spans="1:18" x14ac:dyDescent="0.25">
      <c r="A148" s="170">
        <v>43909</v>
      </c>
      <c r="B148" s="116">
        <v>105</v>
      </c>
      <c r="C148" s="116">
        <v>104.2</v>
      </c>
      <c r="D148" s="116">
        <v>104.2</v>
      </c>
      <c r="E148" s="116">
        <v>105</v>
      </c>
      <c r="F148" s="116">
        <v>104.2</v>
      </c>
      <c r="G148">
        <v>1843</v>
      </c>
      <c r="H148" s="116"/>
      <c r="I148" s="116"/>
      <c r="L148" s="170">
        <v>43909</v>
      </c>
      <c r="M148" s="116">
        <v>104.05</v>
      </c>
      <c r="N148" s="116">
        <v>105.4</v>
      </c>
      <c r="O148" s="116">
        <v>104.05</v>
      </c>
      <c r="P148" s="116">
        <v>105</v>
      </c>
      <c r="Q148" s="116">
        <v>104.05</v>
      </c>
      <c r="R148">
        <v>84346</v>
      </c>
    </row>
    <row r="149" spans="1:18" x14ac:dyDescent="0.25">
      <c r="A149" s="170">
        <v>43910</v>
      </c>
      <c r="B149" s="116">
        <v>106.9</v>
      </c>
      <c r="C149" s="116">
        <v>99.7</v>
      </c>
      <c r="D149" s="116">
        <v>99</v>
      </c>
      <c r="E149" s="116">
        <v>99.2</v>
      </c>
      <c r="F149" s="116">
        <v>99.7</v>
      </c>
      <c r="G149">
        <v>118504</v>
      </c>
      <c r="H149" s="116"/>
      <c r="I149" s="116"/>
      <c r="L149" s="170">
        <v>43910</v>
      </c>
      <c r="M149" s="116">
        <v>99.65</v>
      </c>
      <c r="N149" s="116">
        <v>102.65</v>
      </c>
      <c r="O149" s="116">
        <v>98.85</v>
      </c>
      <c r="P149" s="116">
        <v>98.85</v>
      </c>
      <c r="Q149" s="116">
        <v>99.65</v>
      </c>
      <c r="R149">
        <v>401895</v>
      </c>
    </row>
    <row r="150" spans="1:18" x14ac:dyDescent="0.25">
      <c r="A150" s="170">
        <v>43913</v>
      </c>
      <c r="B150" s="116">
        <v>99.65</v>
      </c>
      <c r="C150" s="116">
        <v>94.75</v>
      </c>
      <c r="D150" s="116">
        <v>94.75</v>
      </c>
      <c r="E150" s="116">
        <v>99.65</v>
      </c>
      <c r="F150" s="116">
        <v>94.75</v>
      </c>
      <c r="G150">
        <v>1710</v>
      </c>
      <c r="H150" s="116"/>
      <c r="I150" s="116"/>
      <c r="L150" s="170">
        <v>43913</v>
      </c>
      <c r="M150" s="116">
        <v>94.7</v>
      </c>
      <c r="N150" s="116">
        <v>94.95</v>
      </c>
      <c r="O150" s="116">
        <v>94.7</v>
      </c>
      <c r="P150" s="116">
        <v>94.7</v>
      </c>
      <c r="Q150" s="116">
        <v>94.7</v>
      </c>
      <c r="R150">
        <v>55427</v>
      </c>
    </row>
    <row r="151" spans="1:18" x14ac:dyDescent="0.25">
      <c r="A151" s="170">
        <v>43914</v>
      </c>
      <c r="B151" s="116">
        <v>92.1</v>
      </c>
      <c r="C151" s="116">
        <v>90.05</v>
      </c>
      <c r="D151" s="116">
        <v>90.05</v>
      </c>
      <c r="E151" s="116">
        <v>92.1</v>
      </c>
      <c r="F151" s="116">
        <v>90.05</v>
      </c>
      <c r="G151">
        <v>1098</v>
      </c>
      <c r="H151" s="116"/>
      <c r="I151" s="116"/>
      <c r="L151" s="170">
        <v>43914</v>
      </c>
      <c r="M151" s="116">
        <v>90</v>
      </c>
      <c r="N151" s="116">
        <v>94.7</v>
      </c>
      <c r="O151" s="116">
        <v>90</v>
      </c>
      <c r="P151" s="116">
        <v>94.7</v>
      </c>
      <c r="Q151" s="116">
        <v>90</v>
      </c>
      <c r="R151">
        <v>46110</v>
      </c>
    </row>
    <row r="152" spans="1:18" x14ac:dyDescent="0.25">
      <c r="A152" s="170">
        <v>43915</v>
      </c>
      <c r="B152" s="116">
        <v>85.55</v>
      </c>
      <c r="C152" s="116">
        <v>85.55</v>
      </c>
      <c r="D152" s="116">
        <v>85.55</v>
      </c>
      <c r="E152" s="116">
        <v>85.55</v>
      </c>
      <c r="F152" s="116">
        <v>85.55</v>
      </c>
      <c r="G152">
        <v>927</v>
      </c>
      <c r="H152" s="116"/>
      <c r="I152" s="116"/>
      <c r="L152" s="170">
        <v>43915</v>
      </c>
      <c r="M152" s="116">
        <v>85.5</v>
      </c>
      <c r="N152" s="116">
        <v>85.5</v>
      </c>
      <c r="O152" s="116">
        <v>85.5</v>
      </c>
      <c r="P152" s="116">
        <v>85.5</v>
      </c>
      <c r="Q152" s="116">
        <v>85.5</v>
      </c>
      <c r="R152">
        <v>36225</v>
      </c>
    </row>
    <row r="153" spans="1:18" x14ac:dyDescent="0.25">
      <c r="A153" s="170">
        <v>43916</v>
      </c>
      <c r="B153" s="116">
        <v>81.3</v>
      </c>
      <c r="C153" s="116">
        <v>81.3</v>
      </c>
      <c r="D153" s="116">
        <v>81.3</v>
      </c>
      <c r="E153" s="116">
        <v>81.3</v>
      </c>
      <c r="F153" s="116">
        <v>81.3</v>
      </c>
      <c r="G153">
        <v>2162</v>
      </c>
      <c r="H153" s="116"/>
      <c r="I153" s="116"/>
      <c r="L153" s="170">
        <v>43916</v>
      </c>
      <c r="M153" s="116">
        <v>81.25</v>
      </c>
      <c r="N153" s="116">
        <v>81.25</v>
      </c>
      <c r="O153" s="116">
        <v>81.25</v>
      </c>
      <c r="P153" s="116">
        <v>81.25</v>
      </c>
      <c r="Q153" s="116">
        <v>81.25</v>
      </c>
      <c r="R153">
        <v>60242</v>
      </c>
    </row>
    <row r="154" spans="1:18" x14ac:dyDescent="0.25">
      <c r="A154" s="170">
        <v>43917</v>
      </c>
      <c r="B154" s="116">
        <v>79</v>
      </c>
      <c r="C154" s="116">
        <v>77.25</v>
      </c>
      <c r="D154" s="116">
        <v>77.25</v>
      </c>
      <c r="E154" s="116">
        <v>79</v>
      </c>
      <c r="F154" s="116">
        <v>77.25</v>
      </c>
      <c r="G154">
        <v>2052</v>
      </c>
      <c r="H154" s="116"/>
      <c r="I154" s="116"/>
      <c r="L154" s="170">
        <v>43917</v>
      </c>
      <c r="M154" s="116">
        <v>77.2</v>
      </c>
      <c r="N154" s="116">
        <v>77.2</v>
      </c>
      <c r="O154" s="116">
        <v>77.2</v>
      </c>
      <c r="P154" s="116">
        <v>77.2</v>
      </c>
      <c r="Q154" s="116">
        <v>77.2</v>
      </c>
      <c r="R154">
        <v>67516</v>
      </c>
    </row>
    <row r="155" spans="1:18" x14ac:dyDescent="0.25">
      <c r="A155" s="170">
        <v>43920</v>
      </c>
      <c r="B155" s="116">
        <v>75</v>
      </c>
      <c r="C155" s="116">
        <v>73.400000000000006</v>
      </c>
      <c r="D155" s="116">
        <v>73.400000000000006</v>
      </c>
      <c r="E155" s="116">
        <v>75</v>
      </c>
      <c r="F155" s="116">
        <v>73.400000000000006</v>
      </c>
      <c r="G155">
        <v>3177</v>
      </c>
      <c r="H155" s="116"/>
      <c r="I155" s="116"/>
      <c r="L155" s="170">
        <v>43920</v>
      </c>
      <c r="M155" s="116">
        <v>73.349999999999994</v>
      </c>
      <c r="N155" s="116">
        <v>73.349999999999994</v>
      </c>
      <c r="O155" s="116">
        <v>73.349999999999994</v>
      </c>
      <c r="P155" s="116">
        <v>73.349999999999994</v>
      </c>
      <c r="Q155" s="116">
        <v>73.349999999999994</v>
      </c>
      <c r="R155">
        <v>22279</v>
      </c>
    </row>
    <row r="156" spans="1:18" x14ac:dyDescent="0.25">
      <c r="A156" s="170">
        <v>43921</v>
      </c>
      <c r="B156" s="116">
        <v>77.05</v>
      </c>
      <c r="C156" s="116">
        <v>76.900000000000006</v>
      </c>
      <c r="D156" s="116">
        <v>69.75</v>
      </c>
      <c r="E156" s="116">
        <v>69.75</v>
      </c>
      <c r="F156" s="116">
        <v>76.900000000000006</v>
      </c>
      <c r="G156">
        <v>648088</v>
      </c>
      <c r="H156" s="116"/>
      <c r="I156" s="116"/>
      <c r="L156" s="170">
        <v>43921</v>
      </c>
      <c r="M156" s="116">
        <v>77</v>
      </c>
      <c r="N156" s="116">
        <v>77</v>
      </c>
      <c r="O156" s="116">
        <v>69.7</v>
      </c>
      <c r="P156" s="116">
        <v>69.7</v>
      </c>
      <c r="Q156" s="116">
        <v>77</v>
      </c>
      <c r="R156">
        <v>3230875</v>
      </c>
    </row>
    <row r="157" spans="1:18" x14ac:dyDescent="0.25">
      <c r="A157" s="170">
        <v>43922</v>
      </c>
      <c r="B157" s="116">
        <v>80.7</v>
      </c>
      <c r="C157" s="116">
        <v>80</v>
      </c>
      <c r="D157" s="116">
        <v>73.099999999999994</v>
      </c>
      <c r="E157" s="116">
        <v>80.7</v>
      </c>
      <c r="F157" s="116">
        <v>80</v>
      </c>
      <c r="G157">
        <v>140842</v>
      </c>
      <c r="H157" s="116"/>
      <c r="I157" s="116"/>
      <c r="L157" s="170">
        <v>43922</v>
      </c>
      <c r="M157" s="116">
        <v>80</v>
      </c>
      <c r="N157" s="116">
        <v>80.849999999999994</v>
      </c>
      <c r="O157" s="116">
        <v>73.150000000000006</v>
      </c>
      <c r="P157" s="116">
        <v>80.849999999999994</v>
      </c>
      <c r="Q157" s="116">
        <v>80</v>
      </c>
      <c r="R157">
        <v>1625827</v>
      </c>
    </row>
    <row r="158" spans="1:18" x14ac:dyDescent="0.25">
      <c r="A158" s="170">
        <v>43924</v>
      </c>
      <c r="B158" s="116">
        <v>84</v>
      </c>
      <c r="C158" s="116">
        <v>84</v>
      </c>
      <c r="D158" s="116">
        <v>81.2</v>
      </c>
      <c r="E158" s="116">
        <v>84</v>
      </c>
      <c r="F158" s="116">
        <v>84</v>
      </c>
      <c r="G158">
        <v>23236</v>
      </c>
      <c r="H158" s="116"/>
      <c r="I158" s="116"/>
      <c r="L158" s="170">
        <v>43924</v>
      </c>
      <c r="M158" s="116">
        <v>84</v>
      </c>
      <c r="N158" s="116">
        <v>84</v>
      </c>
      <c r="O158" s="116">
        <v>80.55</v>
      </c>
      <c r="P158" s="116">
        <v>83.8</v>
      </c>
      <c r="Q158" s="116">
        <v>84</v>
      </c>
      <c r="R158">
        <v>271215</v>
      </c>
    </row>
    <row r="159" spans="1:18" x14ac:dyDescent="0.25">
      <c r="A159" s="170">
        <v>43928</v>
      </c>
      <c r="B159" s="116">
        <v>88.2</v>
      </c>
      <c r="C159" s="116">
        <v>88.2</v>
      </c>
      <c r="D159" s="116">
        <v>85.95</v>
      </c>
      <c r="E159" s="116">
        <v>88.2</v>
      </c>
      <c r="F159" s="116">
        <v>88.2</v>
      </c>
      <c r="G159">
        <v>62692</v>
      </c>
      <c r="H159" s="116"/>
      <c r="I159" s="116"/>
      <c r="L159" s="170">
        <v>43928</v>
      </c>
      <c r="M159" s="116">
        <v>88.2</v>
      </c>
      <c r="N159" s="116">
        <v>88.2</v>
      </c>
      <c r="O159" s="116">
        <v>85</v>
      </c>
      <c r="P159" s="116">
        <v>88.2</v>
      </c>
      <c r="Q159" s="116">
        <v>88.2</v>
      </c>
      <c r="R159">
        <v>696915</v>
      </c>
    </row>
    <row r="160" spans="1:18" x14ac:dyDescent="0.25">
      <c r="A160" s="170">
        <v>43929</v>
      </c>
      <c r="B160" s="116">
        <v>92.6</v>
      </c>
      <c r="C160" s="116">
        <v>92.6</v>
      </c>
      <c r="D160" s="116">
        <v>91.7</v>
      </c>
      <c r="E160" s="116">
        <v>92</v>
      </c>
      <c r="F160" s="116">
        <v>92.6</v>
      </c>
      <c r="G160">
        <v>111596</v>
      </c>
      <c r="H160" s="116"/>
      <c r="I160" s="116"/>
      <c r="L160" s="170">
        <v>43929</v>
      </c>
      <c r="M160" s="116">
        <v>92.6</v>
      </c>
      <c r="N160" s="116">
        <v>92.6</v>
      </c>
      <c r="O160" s="116">
        <v>91.5</v>
      </c>
      <c r="P160" s="116">
        <v>92.6</v>
      </c>
      <c r="Q160" s="116">
        <v>92.6</v>
      </c>
      <c r="R160">
        <v>767043</v>
      </c>
    </row>
    <row r="161" spans="1:18" x14ac:dyDescent="0.25">
      <c r="A161" s="170">
        <v>43930</v>
      </c>
      <c r="B161" s="116">
        <v>97.2</v>
      </c>
      <c r="C161" s="116">
        <v>97.2</v>
      </c>
      <c r="D161" s="116">
        <v>96.9</v>
      </c>
      <c r="E161" s="116">
        <v>97.2</v>
      </c>
      <c r="F161" s="116">
        <v>97.2</v>
      </c>
      <c r="G161">
        <v>15413</v>
      </c>
      <c r="H161" s="116"/>
      <c r="I161" s="116"/>
      <c r="L161" s="170">
        <v>43930</v>
      </c>
      <c r="M161" s="116">
        <v>97.2</v>
      </c>
      <c r="N161" s="116">
        <v>97.2</v>
      </c>
      <c r="O161" s="116">
        <v>97</v>
      </c>
      <c r="P161" s="116">
        <v>97.2</v>
      </c>
      <c r="Q161" s="116">
        <v>97.2</v>
      </c>
      <c r="R161">
        <v>622958</v>
      </c>
    </row>
    <row r="162" spans="1:18" x14ac:dyDescent="0.25">
      <c r="A162" s="170">
        <v>43934</v>
      </c>
      <c r="B162" s="116">
        <v>102.05</v>
      </c>
      <c r="C162" s="116">
        <v>102.05</v>
      </c>
      <c r="D162" s="116">
        <v>97.5</v>
      </c>
      <c r="E162" s="116">
        <v>102.05</v>
      </c>
      <c r="F162" s="116">
        <v>102.05</v>
      </c>
      <c r="G162">
        <v>38477</v>
      </c>
      <c r="H162" s="116"/>
      <c r="I162" s="116"/>
      <c r="L162" s="170">
        <v>43934</v>
      </c>
      <c r="M162" s="116">
        <v>102.05</v>
      </c>
      <c r="N162" s="116">
        <v>102.05</v>
      </c>
      <c r="O162" s="116">
        <v>97.3</v>
      </c>
      <c r="P162" s="116">
        <v>102</v>
      </c>
      <c r="Q162" s="116">
        <v>102.05</v>
      </c>
      <c r="R162">
        <v>959247</v>
      </c>
    </row>
    <row r="163" spans="1:18" x14ac:dyDescent="0.25">
      <c r="A163" s="170">
        <v>43936</v>
      </c>
      <c r="B163" s="116">
        <v>107.15</v>
      </c>
      <c r="C163" s="116">
        <v>107.15</v>
      </c>
      <c r="D163" s="116">
        <v>107.15</v>
      </c>
      <c r="E163" s="116">
        <v>107.15</v>
      </c>
      <c r="F163" s="116">
        <v>107.15</v>
      </c>
      <c r="G163">
        <v>1991</v>
      </c>
      <c r="H163" s="116"/>
      <c r="I163" s="116"/>
      <c r="L163" s="170">
        <v>43936</v>
      </c>
      <c r="M163" s="116">
        <v>107.15</v>
      </c>
      <c r="N163" s="116">
        <v>107.15</v>
      </c>
      <c r="O163" s="116">
        <v>107.15</v>
      </c>
      <c r="P163" s="116">
        <v>107.15</v>
      </c>
      <c r="Q163" s="116">
        <v>107.15</v>
      </c>
      <c r="R163">
        <v>56475</v>
      </c>
    </row>
    <row r="164" spans="1:18" x14ac:dyDescent="0.25">
      <c r="A164" s="170">
        <v>43937</v>
      </c>
      <c r="B164" s="116">
        <v>112.5</v>
      </c>
      <c r="C164" s="116">
        <v>112.5</v>
      </c>
      <c r="D164" s="116">
        <v>112.5</v>
      </c>
      <c r="E164" s="116">
        <v>112.5</v>
      </c>
      <c r="F164" s="116">
        <v>112.5</v>
      </c>
      <c r="G164">
        <v>189</v>
      </c>
      <c r="H164" s="116"/>
      <c r="I164" s="116"/>
      <c r="L164" s="170">
        <v>43937</v>
      </c>
      <c r="M164" s="116">
        <v>112.5</v>
      </c>
      <c r="N164" s="116">
        <v>112.5</v>
      </c>
      <c r="O164" s="116">
        <v>112.5</v>
      </c>
      <c r="P164" s="116">
        <v>112.5</v>
      </c>
      <c r="Q164" s="116">
        <v>112.5</v>
      </c>
      <c r="R164">
        <v>40289</v>
      </c>
    </row>
    <row r="165" spans="1:18" x14ac:dyDescent="0.25">
      <c r="A165" s="170">
        <v>43938</v>
      </c>
      <c r="B165" s="116">
        <v>118.1</v>
      </c>
      <c r="C165" s="116">
        <v>118.1</v>
      </c>
      <c r="D165" s="116">
        <v>118.1</v>
      </c>
      <c r="E165" s="116">
        <v>118.1</v>
      </c>
      <c r="F165" s="116">
        <v>118.1</v>
      </c>
      <c r="G165">
        <v>319</v>
      </c>
      <c r="H165" s="116"/>
      <c r="I165" s="116"/>
      <c r="L165" s="170">
        <v>43938</v>
      </c>
      <c r="M165" s="116">
        <v>118.1</v>
      </c>
      <c r="N165" s="116">
        <v>118.1</v>
      </c>
      <c r="O165" s="116">
        <v>118.1</v>
      </c>
      <c r="P165" s="116">
        <v>118.1</v>
      </c>
      <c r="Q165" s="116">
        <v>118.1</v>
      </c>
      <c r="R165">
        <v>43097</v>
      </c>
    </row>
    <row r="166" spans="1:18" x14ac:dyDescent="0.25">
      <c r="A166" s="170">
        <v>43941</v>
      </c>
      <c r="B166" s="116">
        <v>124</v>
      </c>
      <c r="C166" s="116">
        <v>124</v>
      </c>
      <c r="D166" s="116">
        <v>124</v>
      </c>
      <c r="E166" s="116">
        <v>124</v>
      </c>
      <c r="F166" s="116">
        <v>124</v>
      </c>
      <c r="G166">
        <v>1845</v>
      </c>
      <c r="H166" s="116"/>
      <c r="I166" s="116"/>
      <c r="L166" s="170">
        <v>43941</v>
      </c>
      <c r="M166" s="116">
        <v>124</v>
      </c>
      <c r="N166" s="116">
        <v>124</v>
      </c>
      <c r="O166" s="116">
        <v>124</v>
      </c>
      <c r="P166" s="116">
        <v>124</v>
      </c>
      <c r="Q166" s="116">
        <v>124</v>
      </c>
      <c r="R166">
        <v>49101</v>
      </c>
    </row>
    <row r="167" spans="1:18" x14ac:dyDescent="0.25">
      <c r="A167" s="170">
        <v>43942</v>
      </c>
      <c r="B167" s="116">
        <v>130.19999999999999</v>
      </c>
      <c r="C167" s="116">
        <v>130.19999999999999</v>
      </c>
      <c r="D167" s="116">
        <v>118.1</v>
      </c>
      <c r="E167" s="116">
        <v>130.19999999999999</v>
      </c>
      <c r="F167" s="116">
        <v>130.19999999999999</v>
      </c>
      <c r="G167">
        <v>127825</v>
      </c>
      <c r="H167" s="116"/>
      <c r="I167" s="116"/>
      <c r="L167" s="170">
        <v>43942</v>
      </c>
      <c r="M167" s="116">
        <v>130.19999999999999</v>
      </c>
      <c r="N167" s="116">
        <v>130.19999999999999</v>
      </c>
      <c r="O167" s="116">
        <v>117.8</v>
      </c>
      <c r="P167" s="116">
        <v>130.19999999999999</v>
      </c>
      <c r="Q167" s="116">
        <v>130.19999999999999</v>
      </c>
      <c r="R167">
        <v>1912737</v>
      </c>
    </row>
    <row r="168" spans="1:18" x14ac:dyDescent="0.25">
      <c r="A168" s="170">
        <v>43943</v>
      </c>
      <c r="B168" s="116">
        <v>136.69999999999999</v>
      </c>
      <c r="C168" s="116">
        <v>136.69999999999999</v>
      </c>
      <c r="D168" s="116">
        <v>136.69999999999999</v>
      </c>
      <c r="E168" s="116">
        <v>136.69999999999999</v>
      </c>
      <c r="F168" s="116">
        <v>136.69999999999999</v>
      </c>
      <c r="G168">
        <v>8738</v>
      </c>
      <c r="H168" s="116"/>
      <c r="I168" s="116"/>
      <c r="L168" s="170">
        <v>43943</v>
      </c>
      <c r="M168" s="116">
        <v>136.69999999999999</v>
      </c>
      <c r="N168" s="116">
        <v>136.69999999999999</v>
      </c>
      <c r="O168" s="116">
        <v>136.69999999999999</v>
      </c>
      <c r="P168" s="116">
        <v>136.69999999999999</v>
      </c>
      <c r="Q168" s="116">
        <v>136.69999999999999</v>
      </c>
      <c r="R168">
        <v>122985</v>
      </c>
    </row>
    <row r="169" spans="1:18" x14ac:dyDescent="0.25">
      <c r="A169" s="170">
        <v>43944</v>
      </c>
      <c r="B169" s="116">
        <v>143.5</v>
      </c>
      <c r="C169" s="116">
        <v>143.5</v>
      </c>
      <c r="D169" s="116">
        <v>143.5</v>
      </c>
      <c r="E169" s="116">
        <v>143.5</v>
      </c>
      <c r="F169" s="116">
        <v>143.5</v>
      </c>
      <c r="G169">
        <v>454</v>
      </c>
      <c r="H169" s="116"/>
      <c r="I169" s="116"/>
      <c r="L169" s="170">
        <v>43944</v>
      </c>
      <c r="M169" s="116">
        <v>143.5</v>
      </c>
      <c r="N169" s="116">
        <v>143.5</v>
      </c>
      <c r="O169" s="116">
        <v>143.5</v>
      </c>
      <c r="P169" s="116">
        <v>143.5</v>
      </c>
      <c r="Q169" s="116">
        <v>143.5</v>
      </c>
      <c r="R169">
        <v>38458</v>
      </c>
    </row>
    <row r="170" spans="1:18" x14ac:dyDescent="0.25">
      <c r="A170" s="170">
        <v>43945</v>
      </c>
      <c r="B170" s="116">
        <v>150.65</v>
      </c>
      <c r="C170" s="116">
        <v>150.65</v>
      </c>
      <c r="D170" s="116">
        <v>145</v>
      </c>
      <c r="E170" s="116">
        <v>150.65</v>
      </c>
      <c r="F170" s="116">
        <v>150.65</v>
      </c>
      <c r="G170">
        <v>74584</v>
      </c>
      <c r="H170" s="116"/>
      <c r="I170" s="116"/>
      <c r="L170" s="170">
        <v>43945</v>
      </c>
      <c r="M170" s="116">
        <v>150.65</v>
      </c>
      <c r="N170" s="116">
        <v>150.65</v>
      </c>
      <c r="O170" s="116">
        <v>144</v>
      </c>
      <c r="P170" s="116">
        <v>150.65</v>
      </c>
      <c r="Q170" s="116">
        <v>150.65</v>
      </c>
      <c r="R170">
        <v>726622</v>
      </c>
    </row>
    <row r="171" spans="1:18" x14ac:dyDescent="0.25">
      <c r="A171" s="170">
        <v>43948</v>
      </c>
      <c r="B171" s="116">
        <v>158.15</v>
      </c>
      <c r="C171" s="116">
        <v>158.15</v>
      </c>
      <c r="D171" s="116">
        <v>155.1</v>
      </c>
      <c r="E171" s="116">
        <v>158.15</v>
      </c>
      <c r="F171" s="116">
        <v>158.15</v>
      </c>
      <c r="G171">
        <v>51167</v>
      </c>
      <c r="H171" s="116"/>
      <c r="I171" s="116"/>
      <c r="L171" s="170">
        <v>43948</v>
      </c>
      <c r="M171" s="116">
        <v>158.15</v>
      </c>
      <c r="N171" s="116">
        <v>158.15</v>
      </c>
      <c r="O171" s="116">
        <v>155</v>
      </c>
      <c r="P171" s="116">
        <v>158.15</v>
      </c>
      <c r="Q171" s="116">
        <v>158.15</v>
      </c>
      <c r="R171">
        <v>313275</v>
      </c>
    </row>
    <row r="172" spans="1:18" x14ac:dyDescent="0.25">
      <c r="A172" s="170">
        <v>43949</v>
      </c>
      <c r="B172" s="116">
        <v>166.05</v>
      </c>
      <c r="C172" s="116">
        <v>166.05</v>
      </c>
      <c r="D172" s="116">
        <v>166.05</v>
      </c>
      <c r="E172" s="116">
        <v>166.05</v>
      </c>
      <c r="F172" s="116">
        <v>166.05</v>
      </c>
      <c r="G172">
        <v>8496</v>
      </c>
      <c r="H172" s="116"/>
      <c r="I172" s="116"/>
      <c r="L172" s="170">
        <v>43949</v>
      </c>
      <c r="M172" s="116">
        <v>166.05</v>
      </c>
      <c r="N172" s="116">
        <v>166.05</v>
      </c>
      <c r="O172" s="116">
        <v>166.05</v>
      </c>
      <c r="P172" s="116">
        <v>166.05</v>
      </c>
      <c r="Q172" s="116">
        <v>166.05</v>
      </c>
      <c r="R172">
        <v>182219</v>
      </c>
    </row>
    <row r="173" spans="1:18" x14ac:dyDescent="0.25">
      <c r="A173" s="170">
        <v>43950</v>
      </c>
      <c r="B173" s="116">
        <v>174.35</v>
      </c>
      <c r="C173" s="116">
        <v>174.35</v>
      </c>
      <c r="D173" s="116">
        <v>174.35</v>
      </c>
      <c r="E173" s="116">
        <v>174.35</v>
      </c>
      <c r="F173" s="116">
        <v>174.35</v>
      </c>
      <c r="G173">
        <v>8034</v>
      </c>
      <c r="H173" s="116"/>
      <c r="I173" s="116"/>
      <c r="L173" s="170">
        <v>43950</v>
      </c>
      <c r="M173" s="116">
        <v>174.35</v>
      </c>
      <c r="N173" s="116">
        <v>174.35</v>
      </c>
      <c r="O173" s="116">
        <v>174.35</v>
      </c>
      <c r="P173" s="116">
        <v>174.35</v>
      </c>
      <c r="Q173" s="116">
        <v>174.35</v>
      </c>
      <c r="R173">
        <v>58932</v>
      </c>
    </row>
    <row r="174" spans="1:18" x14ac:dyDescent="0.25">
      <c r="A174" s="170">
        <v>43951</v>
      </c>
      <c r="B174" s="116">
        <v>183.05</v>
      </c>
      <c r="C174" s="116">
        <v>165.65</v>
      </c>
      <c r="D174" s="116">
        <v>165.65</v>
      </c>
      <c r="E174" s="116">
        <v>183.05</v>
      </c>
      <c r="F174" s="116">
        <v>165.65</v>
      </c>
      <c r="G174">
        <v>113370</v>
      </c>
      <c r="H174" s="116"/>
      <c r="I174" s="116"/>
      <c r="L174" s="170">
        <v>43951</v>
      </c>
      <c r="M174" s="116">
        <v>165.65</v>
      </c>
      <c r="N174" s="116">
        <v>183.05</v>
      </c>
      <c r="O174" s="116">
        <v>165.65</v>
      </c>
      <c r="P174" s="116">
        <v>183.05</v>
      </c>
      <c r="Q174" s="116">
        <v>165.65</v>
      </c>
      <c r="R174">
        <v>1047446</v>
      </c>
    </row>
    <row r="175" spans="1:18" x14ac:dyDescent="0.25">
      <c r="A175" s="170">
        <v>43955</v>
      </c>
      <c r="B175" s="116">
        <v>157.4</v>
      </c>
      <c r="C175" s="116">
        <v>157.4</v>
      </c>
      <c r="D175" s="116">
        <v>157.4</v>
      </c>
      <c r="E175" s="116">
        <v>157.4</v>
      </c>
      <c r="F175" s="116">
        <v>157.4</v>
      </c>
      <c r="G175">
        <v>2052</v>
      </c>
      <c r="H175" s="116"/>
      <c r="I175" s="116"/>
      <c r="L175" s="170">
        <v>43955</v>
      </c>
      <c r="M175" s="116">
        <v>157.4</v>
      </c>
      <c r="N175" s="116">
        <v>157.4</v>
      </c>
      <c r="O175" s="116">
        <v>157.4</v>
      </c>
      <c r="P175" s="116">
        <v>157.4</v>
      </c>
      <c r="Q175" s="116">
        <v>157.4</v>
      </c>
      <c r="R175">
        <v>15580</v>
      </c>
    </row>
    <row r="176" spans="1:18" x14ac:dyDescent="0.25">
      <c r="A176" s="170">
        <v>43956</v>
      </c>
      <c r="B176" s="116">
        <v>149.55000000000001</v>
      </c>
      <c r="C176" s="116">
        <v>149.55000000000001</v>
      </c>
      <c r="D176" s="116">
        <v>149.55000000000001</v>
      </c>
      <c r="E176" s="116">
        <v>149.55000000000001</v>
      </c>
      <c r="F176" s="116">
        <v>149.55000000000001</v>
      </c>
      <c r="G176">
        <v>1913</v>
      </c>
      <c r="H176" s="116"/>
      <c r="I176" s="116"/>
      <c r="L176" s="170">
        <v>43956</v>
      </c>
      <c r="M176" s="116">
        <v>149.55000000000001</v>
      </c>
      <c r="N176" s="116">
        <v>149.55000000000001</v>
      </c>
      <c r="O176" s="116">
        <v>149.55000000000001</v>
      </c>
      <c r="P176" s="116">
        <v>149.55000000000001</v>
      </c>
      <c r="Q176" s="116">
        <v>149.55000000000001</v>
      </c>
      <c r="R176">
        <v>7412</v>
      </c>
    </row>
    <row r="177" spans="1:18" x14ac:dyDescent="0.25">
      <c r="A177" s="170">
        <v>43957</v>
      </c>
      <c r="B177" s="116">
        <v>142.1</v>
      </c>
      <c r="C177" s="116">
        <v>142.1</v>
      </c>
      <c r="D177" s="116">
        <v>142.1</v>
      </c>
      <c r="E177" s="116">
        <v>142.1</v>
      </c>
      <c r="F177" s="116">
        <v>142.1</v>
      </c>
      <c r="G177">
        <v>488</v>
      </c>
      <c r="H177" s="116"/>
      <c r="I177" s="116"/>
      <c r="L177" s="170">
        <v>43957</v>
      </c>
      <c r="M177" s="116">
        <v>142.1</v>
      </c>
      <c r="N177" s="116">
        <v>142.1</v>
      </c>
      <c r="O177" s="116">
        <v>142.1</v>
      </c>
      <c r="P177" s="116">
        <v>142.1</v>
      </c>
      <c r="Q177" s="116">
        <v>142.1</v>
      </c>
      <c r="R177">
        <v>6116</v>
      </c>
    </row>
    <row r="178" spans="1:18" x14ac:dyDescent="0.25">
      <c r="A178" s="170">
        <v>43958</v>
      </c>
      <c r="B178" s="116">
        <v>135</v>
      </c>
      <c r="C178" s="116">
        <v>135</v>
      </c>
      <c r="D178" s="116">
        <v>135</v>
      </c>
      <c r="E178" s="116">
        <v>135</v>
      </c>
      <c r="F178" s="116">
        <v>135</v>
      </c>
      <c r="G178">
        <v>450</v>
      </c>
      <c r="H178" s="116"/>
      <c r="I178" s="116"/>
      <c r="L178" s="170">
        <v>43958</v>
      </c>
      <c r="M178" s="116">
        <v>135</v>
      </c>
      <c r="N178" s="116">
        <v>135</v>
      </c>
      <c r="O178" s="116">
        <v>135</v>
      </c>
      <c r="P178" s="116">
        <v>135</v>
      </c>
      <c r="Q178" s="116">
        <v>135</v>
      </c>
      <c r="R178">
        <v>36970</v>
      </c>
    </row>
    <row r="179" spans="1:18" x14ac:dyDescent="0.25">
      <c r="A179" s="170">
        <v>43959</v>
      </c>
      <c r="B179" s="116">
        <v>141.75</v>
      </c>
      <c r="C179" s="116">
        <v>128.25</v>
      </c>
      <c r="D179" s="116">
        <v>128.25</v>
      </c>
      <c r="E179" s="116">
        <v>128.25</v>
      </c>
      <c r="F179" s="116">
        <v>128.25</v>
      </c>
      <c r="G179">
        <v>205682</v>
      </c>
      <c r="H179" s="116"/>
      <c r="I179" s="116"/>
      <c r="L179" s="170">
        <v>43959</v>
      </c>
      <c r="M179" s="116">
        <v>128.25</v>
      </c>
      <c r="N179" s="116">
        <v>141.75</v>
      </c>
      <c r="O179" s="116">
        <v>128.25</v>
      </c>
      <c r="P179" s="116">
        <v>128.25</v>
      </c>
      <c r="Q179" s="116">
        <v>128.25</v>
      </c>
      <c r="R179">
        <v>2331699</v>
      </c>
    </row>
    <row r="180" spans="1:18" x14ac:dyDescent="0.25">
      <c r="A180" s="170">
        <v>43962</v>
      </c>
      <c r="B180" s="116">
        <v>131.80000000000001</v>
      </c>
      <c r="C180" s="116">
        <v>125.15</v>
      </c>
      <c r="D180" s="116">
        <v>122.15</v>
      </c>
      <c r="E180" s="116">
        <v>128.5</v>
      </c>
      <c r="F180" s="116">
        <v>125.15</v>
      </c>
      <c r="G180">
        <v>22073</v>
      </c>
      <c r="H180" s="116"/>
      <c r="I180" s="116"/>
      <c r="L180" s="170">
        <v>43962</v>
      </c>
      <c r="M180" s="116">
        <v>124.25</v>
      </c>
      <c r="N180" s="116">
        <v>132.4</v>
      </c>
      <c r="O180" s="116">
        <v>122.15</v>
      </c>
      <c r="P180" s="116">
        <v>132.4</v>
      </c>
      <c r="Q180" s="116">
        <v>124.25</v>
      </c>
      <c r="R180">
        <v>509906</v>
      </c>
    </row>
    <row r="181" spans="1:18" x14ac:dyDescent="0.25">
      <c r="A181" s="170">
        <v>43963</v>
      </c>
      <c r="B181" s="116">
        <v>125.3</v>
      </c>
      <c r="C181" s="116">
        <v>119.2</v>
      </c>
      <c r="D181" s="116">
        <v>118.9</v>
      </c>
      <c r="E181" s="116">
        <v>118.9</v>
      </c>
      <c r="F181" s="116">
        <v>119.2</v>
      </c>
      <c r="G181">
        <v>18604</v>
      </c>
      <c r="H181" s="116"/>
      <c r="I181" s="116"/>
      <c r="L181" s="170">
        <v>43963</v>
      </c>
      <c r="M181" s="116">
        <v>119.9</v>
      </c>
      <c r="N181" s="116">
        <v>124</v>
      </c>
      <c r="O181" s="116">
        <v>118.05</v>
      </c>
      <c r="P181" s="116">
        <v>121</v>
      </c>
      <c r="Q181" s="116">
        <v>119.9</v>
      </c>
      <c r="R181">
        <v>534629</v>
      </c>
    </row>
    <row r="182" spans="1:18" x14ac:dyDescent="0.25">
      <c r="A182" s="170">
        <v>43964</v>
      </c>
      <c r="B182" s="116">
        <v>125.15</v>
      </c>
      <c r="C182" s="116">
        <v>116.65</v>
      </c>
      <c r="D182" s="116">
        <v>114.65</v>
      </c>
      <c r="E182" s="116">
        <v>125.15</v>
      </c>
      <c r="F182" s="116">
        <v>116.65</v>
      </c>
      <c r="G182">
        <v>21195</v>
      </c>
      <c r="H182" s="116"/>
      <c r="I182" s="116"/>
      <c r="L182" s="170">
        <v>43964</v>
      </c>
      <c r="M182" s="116">
        <v>116.95</v>
      </c>
      <c r="N182" s="116">
        <v>125</v>
      </c>
      <c r="O182" s="116">
        <v>114.5</v>
      </c>
      <c r="P182" s="116">
        <v>125</v>
      </c>
      <c r="Q182" s="116">
        <v>116.95</v>
      </c>
      <c r="R182">
        <v>288825</v>
      </c>
    </row>
    <row r="183" spans="1:18" x14ac:dyDescent="0.25">
      <c r="A183" s="170">
        <v>43965</v>
      </c>
      <c r="B183" s="116">
        <v>115</v>
      </c>
      <c r="C183" s="116">
        <v>111.8</v>
      </c>
      <c r="D183" s="116">
        <v>111.6</v>
      </c>
      <c r="E183" s="116">
        <v>114.1</v>
      </c>
      <c r="F183" s="116">
        <v>111.8</v>
      </c>
      <c r="G183">
        <v>9417</v>
      </c>
      <c r="H183" s="116"/>
      <c r="I183" s="116"/>
      <c r="L183" s="170">
        <v>43965</v>
      </c>
      <c r="M183" s="116">
        <v>111.8</v>
      </c>
      <c r="N183" s="116">
        <v>115</v>
      </c>
      <c r="O183" s="116">
        <v>111.25</v>
      </c>
      <c r="P183" s="116">
        <v>115</v>
      </c>
      <c r="Q183" s="116">
        <v>111.8</v>
      </c>
      <c r="R183">
        <v>259936</v>
      </c>
    </row>
    <row r="184" spans="1:18" x14ac:dyDescent="0.25">
      <c r="A184" s="170">
        <v>43966</v>
      </c>
      <c r="B184" s="116">
        <v>117.35</v>
      </c>
      <c r="C184" s="116">
        <v>117.35</v>
      </c>
      <c r="D184" s="116">
        <v>106.5</v>
      </c>
      <c r="E184" s="116">
        <v>111.2</v>
      </c>
      <c r="F184" s="116">
        <v>117.35</v>
      </c>
      <c r="G184">
        <v>16532</v>
      </c>
      <c r="H184" s="116"/>
      <c r="I184" s="116"/>
      <c r="L184" s="170">
        <v>43966</v>
      </c>
      <c r="M184" s="116">
        <v>117.35</v>
      </c>
      <c r="N184" s="116">
        <v>117.35</v>
      </c>
      <c r="O184" s="116">
        <v>106.5</v>
      </c>
      <c r="P184" s="116">
        <v>111.25</v>
      </c>
      <c r="Q184" s="116">
        <v>117.35</v>
      </c>
      <c r="R184">
        <v>351944</v>
      </c>
    </row>
    <row r="185" spans="1:18" x14ac:dyDescent="0.25">
      <c r="A185" s="170">
        <v>43969</v>
      </c>
      <c r="B185" s="116">
        <v>123.2</v>
      </c>
      <c r="C185" s="116">
        <v>123.2</v>
      </c>
      <c r="D185" s="116">
        <v>123.2</v>
      </c>
      <c r="E185" s="116">
        <v>123.2</v>
      </c>
      <c r="F185" s="116">
        <v>123.2</v>
      </c>
      <c r="G185">
        <v>31350</v>
      </c>
      <c r="H185" s="116"/>
      <c r="I185" s="116"/>
      <c r="L185" s="170">
        <v>43969</v>
      </c>
      <c r="M185" s="116">
        <v>123.2</v>
      </c>
      <c r="N185" s="116">
        <v>123.2</v>
      </c>
      <c r="O185" s="116">
        <v>123.2</v>
      </c>
      <c r="P185" s="116">
        <v>123.2</v>
      </c>
      <c r="Q185" s="116">
        <v>123.2</v>
      </c>
      <c r="R185">
        <v>790579</v>
      </c>
    </row>
    <row r="186" spans="1:18" x14ac:dyDescent="0.25">
      <c r="A186" s="170">
        <v>43970</v>
      </c>
      <c r="B186" s="116">
        <v>129.35</v>
      </c>
      <c r="C186" s="116">
        <v>129.35</v>
      </c>
      <c r="D186" s="116">
        <v>129.35</v>
      </c>
      <c r="E186" s="116">
        <v>129.35</v>
      </c>
      <c r="F186" s="116">
        <v>129.35</v>
      </c>
      <c r="G186">
        <v>1480</v>
      </c>
      <c r="H186" s="116"/>
      <c r="I186" s="116"/>
      <c r="L186" s="170">
        <v>43970</v>
      </c>
      <c r="M186" s="116">
        <v>129.35</v>
      </c>
      <c r="N186" s="116">
        <v>129.35</v>
      </c>
      <c r="O186" s="116">
        <v>129.35</v>
      </c>
      <c r="P186" s="116">
        <v>129.35</v>
      </c>
      <c r="Q186" s="116">
        <v>129.35</v>
      </c>
      <c r="R186">
        <v>14845</v>
      </c>
    </row>
    <row r="187" spans="1:18" x14ac:dyDescent="0.25">
      <c r="A187" s="170">
        <v>43971</v>
      </c>
      <c r="B187" s="116">
        <v>135.80000000000001</v>
      </c>
      <c r="C187" s="116">
        <v>135.80000000000001</v>
      </c>
      <c r="D187" s="116">
        <v>135.80000000000001</v>
      </c>
      <c r="E187" s="116">
        <v>135.80000000000001</v>
      </c>
      <c r="F187" s="116">
        <v>135.80000000000001</v>
      </c>
      <c r="G187">
        <v>1110</v>
      </c>
      <c r="H187" s="116"/>
      <c r="I187" s="116"/>
      <c r="L187" s="170">
        <v>43971</v>
      </c>
      <c r="M187" s="116">
        <v>135.80000000000001</v>
      </c>
      <c r="N187" s="116">
        <v>135.80000000000001</v>
      </c>
      <c r="O187" s="116">
        <v>135.80000000000001</v>
      </c>
      <c r="P187" s="116">
        <v>135.80000000000001</v>
      </c>
      <c r="Q187" s="116">
        <v>135.80000000000001</v>
      </c>
      <c r="R187">
        <v>39941</v>
      </c>
    </row>
    <row r="188" spans="1:18" x14ac:dyDescent="0.25">
      <c r="A188" s="170">
        <v>43972</v>
      </c>
      <c r="B188" s="116">
        <v>142.55000000000001</v>
      </c>
      <c r="C188" s="116">
        <v>142.55000000000001</v>
      </c>
      <c r="D188" s="116">
        <v>139.35</v>
      </c>
      <c r="E188" s="116">
        <v>141.4</v>
      </c>
      <c r="F188" s="116">
        <v>142.55000000000001</v>
      </c>
      <c r="G188">
        <v>35813</v>
      </c>
      <c r="H188" s="116"/>
      <c r="I188" s="116"/>
      <c r="L188" s="170">
        <v>43972</v>
      </c>
      <c r="M188" s="116">
        <v>142.55000000000001</v>
      </c>
      <c r="N188" s="116">
        <v>142.55000000000001</v>
      </c>
      <c r="O188" s="116">
        <v>137</v>
      </c>
      <c r="P188" s="116">
        <v>142.55000000000001</v>
      </c>
      <c r="Q188" s="116">
        <v>142.55000000000001</v>
      </c>
      <c r="R188">
        <v>267120</v>
      </c>
    </row>
    <row r="189" spans="1:18" x14ac:dyDescent="0.25">
      <c r="A189" s="170">
        <v>43973</v>
      </c>
      <c r="B189" s="116">
        <v>149.65</v>
      </c>
      <c r="C189" s="116">
        <v>147.19999999999999</v>
      </c>
      <c r="D189" s="116">
        <v>138.30000000000001</v>
      </c>
      <c r="E189" s="116">
        <v>147</v>
      </c>
      <c r="F189" s="116">
        <v>147.19999999999999</v>
      </c>
      <c r="G189">
        <v>83494</v>
      </c>
      <c r="H189" s="116"/>
      <c r="I189" s="116"/>
      <c r="L189" s="170">
        <v>43973</v>
      </c>
      <c r="M189" s="116">
        <v>147.9</v>
      </c>
      <c r="N189" s="116">
        <v>149.65</v>
      </c>
      <c r="O189" s="116">
        <v>137.6</v>
      </c>
      <c r="P189" s="116">
        <v>149.65</v>
      </c>
      <c r="Q189" s="116">
        <v>147.9</v>
      </c>
      <c r="R189">
        <v>913093</v>
      </c>
    </row>
    <row r="190" spans="1:18" x14ac:dyDescent="0.25">
      <c r="A190" s="170">
        <v>43977</v>
      </c>
      <c r="B190" s="116">
        <v>154.55000000000001</v>
      </c>
      <c r="C190" s="116">
        <v>154.4</v>
      </c>
      <c r="D190" s="116">
        <v>147.94999999999999</v>
      </c>
      <c r="E190" s="116">
        <v>152.44999999999999</v>
      </c>
      <c r="F190" s="116">
        <v>154.4</v>
      </c>
      <c r="G190">
        <v>35070</v>
      </c>
      <c r="H190" s="116"/>
      <c r="I190" s="116"/>
      <c r="L190" s="170">
        <v>43977</v>
      </c>
      <c r="M190" s="116">
        <v>154.6</v>
      </c>
      <c r="N190" s="116">
        <v>155.25</v>
      </c>
      <c r="O190" s="116">
        <v>147</v>
      </c>
      <c r="P190" s="116">
        <v>152.69999999999999</v>
      </c>
      <c r="Q190" s="116">
        <v>154.6</v>
      </c>
      <c r="R190">
        <v>445439</v>
      </c>
    </row>
    <row r="191" spans="1:18" x14ac:dyDescent="0.25">
      <c r="A191" s="170">
        <v>43978</v>
      </c>
      <c r="B191" s="116">
        <v>155.1</v>
      </c>
      <c r="C191" s="116">
        <v>153.69999999999999</v>
      </c>
      <c r="D191" s="116">
        <v>147</v>
      </c>
      <c r="E191" s="116">
        <v>154.65</v>
      </c>
      <c r="F191" s="116">
        <v>153.69999999999999</v>
      </c>
      <c r="G191">
        <v>39853</v>
      </c>
      <c r="H191" s="116"/>
      <c r="I191" s="116"/>
      <c r="L191" s="170">
        <v>43978</v>
      </c>
      <c r="M191" s="116">
        <v>153.75</v>
      </c>
      <c r="N191" s="116">
        <v>155.9</v>
      </c>
      <c r="O191" s="116">
        <v>147.19999999999999</v>
      </c>
      <c r="P191" s="116">
        <v>155.9</v>
      </c>
      <c r="Q191" s="116">
        <v>153.75</v>
      </c>
      <c r="R191">
        <v>328277</v>
      </c>
    </row>
    <row r="192" spans="1:18" x14ac:dyDescent="0.25">
      <c r="A192" s="170">
        <v>43979</v>
      </c>
      <c r="B192" s="116">
        <v>157</v>
      </c>
      <c r="C192" s="116">
        <v>150.30000000000001</v>
      </c>
      <c r="D192" s="116">
        <v>148</v>
      </c>
      <c r="E192" s="116">
        <v>157</v>
      </c>
      <c r="F192" s="116">
        <v>150.30000000000001</v>
      </c>
      <c r="G192">
        <v>12832</v>
      </c>
      <c r="H192" s="116"/>
      <c r="I192" s="116"/>
      <c r="L192" s="170">
        <v>43979</v>
      </c>
      <c r="M192" s="116">
        <v>150.05000000000001</v>
      </c>
      <c r="N192" s="116">
        <v>154.9</v>
      </c>
      <c r="O192" s="116">
        <v>147</v>
      </c>
      <c r="P192" s="116">
        <v>150</v>
      </c>
      <c r="Q192" s="116">
        <v>150.05000000000001</v>
      </c>
      <c r="R192">
        <v>196317</v>
      </c>
    </row>
    <row r="193" spans="1:18" x14ac:dyDescent="0.25">
      <c r="A193" s="170">
        <v>43980</v>
      </c>
      <c r="B193" s="116">
        <v>152.35</v>
      </c>
      <c r="C193" s="116">
        <v>145.6</v>
      </c>
      <c r="D193" s="116">
        <v>142.80000000000001</v>
      </c>
      <c r="E193" s="116">
        <v>150.30000000000001</v>
      </c>
      <c r="F193" s="116">
        <v>145.6</v>
      </c>
      <c r="G193">
        <v>17221</v>
      </c>
      <c r="H193" s="116"/>
      <c r="I193" s="116"/>
      <c r="L193" s="170">
        <v>43980</v>
      </c>
      <c r="M193" s="116">
        <v>144.30000000000001</v>
      </c>
      <c r="N193" s="116">
        <v>153</v>
      </c>
      <c r="O193" s="116">
        <v>142.55000000000001</v>
      </c>
      <c r="P193" s="116">
        <v>148</v>
      </c>
      <c r="Q193" s="116">
        <v>144.30000000000001</v>
      </c>
      <c r="R193">
        <v>564670</v>
      </c>
    </row>
    <row r="194" spans="1:18" x14ac:dyDescent="0.25">
      <c r="A194" s="170">
        <v>43983</v>
      </c>
      <c r="B194" s="116">
        <v>150</v>
      </c>
      <c r="C194" s="116">
        <v>145.69999999999999</v>
      </c>
      <c r="D194" s="116">
        <v>138.35</v>
      </c>
      <c r="E194" s="116">
        <v>138.35</v>
      </c>
      <c r="F194" s="116">
        <v>145.69999999999999</v>
      </c>
      <c r="G194">
        <v>17092</v>
      </c>
      <c r="H194" s="116"/>
      <c r="I194" s="116"/>
      <c r="L194" s="170">
        <v>43983</v>
      </c>
      <c r="M194" s="116">
        <v>145.35</v>
      </c>
      <c r="N194" s="116">
        <v>149</v>
      </c>
      <c r="O194" s="116">
        <v>141.44999999999999</v>
      </c>
      <c r="P194" s="116">
        <v>141.44999999999999</v>
      </c>
      <c r="Q194" s="116">
        <v>145.35</v>
      </c>
      <c r="R194">
        <v>251195</v>
      </c>
    </row>
    <row r="195" spans="1:18" x14ac:dyDescent="0.25">
      <c r="A195" s="170">
        <v>43984</v>
      </c>
      <c r="B195" s="116">
        <v>152.94999999999999</v>
      </c>
      <c r="C195" s="116">
        <v>152.94999999999999</v>
      </c>
      <c r="D195" s="116">
        <v>146.85</v>
      </c>
      <c r="E195" s="116">
        <v>148.15</v>
      </c>
      <c r="F195" s="116">
        <v>152.94999999999999</v>
      </c>
      <c r="G195">
        <v>70087</v>
      </c>
      <c r="H195" s="116"/>
      <c r="I195" s="116"/>
      <c r="L195" s="170">
        <v>43984</v>
      </c>
      <c r="M195" s="116">
        <v>152.6</v>
      </c>
      <c r="N195" s="116">
        <v>152.6</v>
      </c>
      <c r="O195" s="116">
        <v>145</v>
      </c>
      <c r="P195" s="116">
        <v>145.35</v>
      </c>
      <c r="Q195" s="116">
        <v>152.6</v>
      </c>
      <c r="R195">
        <v>269201</v>
      </c>
    </row>
    <row r="196" spans="1:18" x14ac:dyDescent="0.25">
      <c r="A196" s="170">
        <v>43985</v>
      </c>
      <c r="B196" s="116">
        <v>160.55000000000001</v>
      </c>
      <c r="C196" s="116">
        <v>158</v>
      </c>
      <c r="D196" s="116">
        <v>156</v>
      </c>
      <c r="E196" s="116">
        <v>159</v>
      </c>
      <c r="F196" s="116">
        <v>158</v>
      </c>
      <c r="G196">
        <v>139963</v>
      </c>
      <c r="H196" s="116"/>
      <c r="I196" s="116"/>
      <c r="L196" s="170">
        <v>43985</v>
      </c>
      <c r="M196" s="116">
        <v>158.30000000000001</v>
      </c>
      <c r="N196" s="116">
        <v>160.19999999999999</v>
      </c>
      <c r="O196" s="116">
        <v>155.6</v>
      </c>
      <c r="P196" s="116">
        <v>160.19999999999999</v>
      </c>
      <c r="Q196" s="116">
        <v>158.30000000000001</v>
      </c>
      <c r="R196">
        <v>748991</v>
      </c>
    </row>
    <row r="197" spans="1:18" x14ac:dyDescent="0.25">
      <c r="A197" s="170">
        <v>43986</v>
      </c>
      <c r="B197" s="116">
        <v>164.25</v>
      </c>
      <c r="C197" s="116">
        <v>156.80000000000001</v>
      </c>
      <c r="D197" s="116">
        <v>153.55000000000001</v>
      </c>
      <c r="E197" s="116">
        <v>164.25</v>
      </c>
      <c r="F197" s="116">
        <v>156.80000000000001</v>
      </c>
      <c r="G197">
        <v>16471</v>
      </c>
      <c r="H197" s="116"/>
      <c r="I197" s="116"/>
      <c r="L197" s="170">
        <v>43986</v>
      </c>
      <c r="M197" s="116">
        <v>156.9</v>
      </c>
      <c r="N197" s="116">
        <v>163</v>
      </c>
      <c r="O197" s="116">
        <v>153.4</v>
      </c>
      <c r="P197" s="116">
        <v>155</v>
      </c>
      <c r="Q197" s="116">
        <v>156.9</v>
      </c>
      <c r="R197">
        <v>158295</v>
      </c>
    </row>
    <row r="198" spans="1:18" x14ac:dyDescent="0.25">
      <c r="A198" s="170">
        <v>43987</v>
      </c>
      <c r="B198" s="116">
        <v>160</v>
      </c>
      <c r="C198" s="116">
        <v>154.25</v>
      </c>
      <c r="D198" s="116">
        <v>152.30000000000001</v>
      </c>
      <c r="E198" s="116">
        <v>160</v>
      </c>
      <c r="F198" s="116">
        <v>154.25</v>
      </c>
      <c r="G198">
        <v>42599</v>
      </c>
      <c r="H198" s="116"/>
      <c r="I198" s="116"/>
      <c r="L198" s="170">
        <v>43987</v>
      </c>
      <c r="M198" s="116">
        <v>155.75</v>
      </c>
      <c r="N198" s="116">
        <v>160</v>
      </c>
      <c r="O198" s="116">
        <v>152</v>
      </c>
      <c r="P198" s="116">
        <v>156</v>
      </c>
      <c r="Q198" s="116">
        <v>155.75</v>
      </c>
      <c r="R198">
        <v>297300</v>
      </c>
    </row>
    <row r="199" spans="1:18" x14ac:dyDescent="0.25">
      <c r="A199" s="170">
        <v>43990</v>
      </c>
      <c r="B199" s="116">
        <v>161.94999999999999</v>
      </c>
      <c r="C199" s="116">
        <v>158.15</v>
      </c>
      <c r="D199" s="116">
        <v>155.75</v>
      </c>
      <c r="E199" s="116">
        <v>159.9</v>
      </c>
      <c r="F199" s="116">
        <v>158.15</v>
      </c>
      <c r="G199">
        <v>62967</v>
      </c>
      <c r="H199" s="116"/>
      <c r="I199" s="116"/>
      <c r="L199" s="170">
        <v>43990</v>
      </c>
      <c r="M199" s="116">
        <v>157.75</v>
      </c>
      <c r="N199" s="116">
        <v>162.05000000000001</v>
      </c>
      <c r="O199" s="116">
        <v>155</v>
      </c>
      <c r="P199" s="116">
        <v>162</v>
      </c>
      <c r="Q199" s="116">
        <v>157.75</v>
      </c>
      <c r="R199">
        <v>349275</v>
      </c>
    </row>
    <row r="200" spans="1:18" x14ac:dyDescent="0.25">
      <c r="A200" s="170">
        <v>43991</v>
      </c>
      <c r="B200" s="116">
        <v>166.05</v>
      </c>
      <c r="C200" s="116">
        <v>162.44999999999999</v>
      </c>
      <c r="D200" s="116">
        <v>153</v>
      </c>
      <c r="E200" s="116">
        <v>157.94999999999999</v>
      </c>
      <c r="F200" s="116">
        <v>162.44999999999999</v>
      </c>
      <c r="G200">
        <v>159163</v>
      </c>
      <c r="H200" s="116"/>
      <c r="I200" s="116"/>
      <c r="L200" s="170">
        <v>43991</v>
      </c>
      <c r="M200" s="116">
        <v>161.65</v>
      </c>
      <c r="N200" s="116">
        <v>165.6</v>
      </c>
      <c r="O200" s="116">
        <v>156.55000000000001</v>
      </c>
      <c r="P200" s="116">
        <v>161</v>
      </c>
      <c r="Q200" s="116">
        <v>161.65</v>
      </c>
      <c r="R200">
        <v>868222</v>
      </c>
    </row>
    <row r="201" spans="1:18" x14ac:dyDescent="0.25">
      <c r="A201" s="170">
        <v>43992</v>
      </c>
      <c r="B201" s="116">
        <v>166</v>
      </c>
      <c r="C201" s="116">
        <v>160.1</v>
      </c>
      <c r="D201" s="116">
        <v>158.1</v>
      </c>
      <c r="E201" s="116">
        <v>163.65</v>
      </c>
      <c r="F201" s="116">
        <v>160.1</v>
      </c>
      <c r="G201">
        <v>14720</v>
      </c>
      <c r="H201" s="116"/>
      <c r="I201" s="116"/>
      <c r="L201" s="170">
        <v>43992</v>
      </c>
      <c r="M201" s="116">
        <v>160</v>
      </c>
      <c r="N201" s="116">
        <v>164.5</v>
      </c>
      <c r="O201" s="116">
        <v>158.4</v>
      </c>
      <c r="P201" s="116">
        <v>162.6</v>
      </c>
      <c r="Q201" s="116">
        <v>160</v>
      </c>
      <c r="R201">
        <v>236002</v>
      </c>
    </row>
    <row r="202" spans="1:18" x14ac:dyDescent="0.25">
      <c r="A202" s="170">
        <v>43993</v>
      </c>
      <c r="B202" s="116">
        <v>167</v>
      </c>
      <c r="C202" s="116">
        <v>159.44999999999999</v>
      </c>
      <c r="D202" s="116">
        <v>159</v>
      </c>
      <c r="E202" s="116">
        <v>161</v>
      </c>
      <c r="F202" s="116">
        <v>159.44999999999999</v>
      </c>
      <c r="G202">
        <v>13323</v>
      </c>
      <c r="H202" s="116"/>
      <c r="I202" s="116"/>
      <c r="L202" s="170">
        <v>43993</v>
      </c>
      <c r="M202" s="116">
        <v>159.5</v>
      </c>
      <c r="N202" s="116">
        <v>161.80000000000001</v>
      </c>
      <c r="O202" s="116">
        <v>159.1</v>
      </c>
      <c r="P202" s="116">
        <v>160</v>
      </c>
      <c r="Q202" s="116">
        <v>159.5</v>
      </c>
      <c r="R202">
        <v>198690</v>
      </c>
    </row>
    <row r="203" spans="1:18" x14ac:dyDescent="0.25">
      <c r="A203" s="170">
        <v>43994</v>
      </c>
      <c r="B203" s="116">
        <v>161</v>
      </c>
      <c r="C203" s="116">
        <v>158.6</v>
      </c>
      <c r="D203" s="116">
        <v>151.5</v>
      </c>
      <c r="E203" s="116">
        <v>158.5</v>
      </c>
      <c r="F203" s="116">
        <v>158.6</v>
      </c>
      <c r="G203">
        <v>17080</v>
      </c>
      <c r="H203" s="116"/>
      <c r="I203" s="116"/>
      <c r="L203" s="170">
        <v>43994</v>
      </c>
      <c r="M203" s="116">
        <v>159.5</v>
      </c>
      <c r="N203" s="116">
        <v>161</v>
      </c>
      <c r="O203" s="116">
        <v>151.55000000000001</v>
      </c>
      <c r="P203" s="116">
        <v>151.55000000000001</v>
      </c>
      <c r="Q203" s="116">
        <v>159.5</v>
      </c>
      <c r="R203">
        <v>193807</v>
      </c>
    </row>
    <row r="204" spans="1:18" x14ac:dyDescent="0.25">
      <c r="A204" s="170">
        <v>43997</v>
      </c>
      <c r="B204" s="116">
        <v>164.7</v>
      </c>
      <c r="C204" s="116">
        <v>158.1</v>
      </c>
      <c r="D204" s="116">
        <v>155</v>
      </c>
      <c r="E204" s="116">
        <v>163.5</v>
      </c>
      <c r="F204" s="116">
        <v>158.1</v>
      </c>
      <c r="G204">
        <v>19721</v>
      </c>
      <c r="H204" s="116"/>
      <c r="I204" s="116"/>
      <c r="L204" s="170">
        <v>43997</v>
      </c>
      <c r="M204" s="116">
        <v>158.94999999999999</v>
      </c>
      <c r="N204" s="116">
        <v>161.80000000000001</v>
      </c>
      <c r="O204" s="116">
        <v>155</v>
      </c>
      <c r="P204" s="116">
        <v>161.80000000000001</v>
      </c>
      <c r="Q204" s="116">
        <v>158.94999999999999</v>
      </c>
      <c r="R204">
        <v>232476</v>
      </c>
    </row>
    <row r="205" spans="1:18" x14ac:dyDescent="0.25">
      <c r="A205" s="170">
        <v>43998</v>
      </c>
      <c r="B205" s="116">
        <v>162.85</v>
      </c>
      <c r="C205" s="116">
        <v>158.25</v>
      </c>
      <c r="D205" s="116">
        <v>155.1</v>
      </c>
      <c r="E205" s="116">
        <v>159</v>
      </c>
      <c r="F205" s="116">
        <v>158.25</v>
      </c>
      <c r="G205">
        <v>20174</v>
      </c>
      <c r="H205" s="116"/>
      <c r="I205" s="116"/>
      <c r="L205" s="170">
        <v>43998</v>
      </c>
      <c r="M205" s="116">
        <v>158.55000000000001</v>
      </c>
      <c r="N205" s="116">
        <v>163.85</v>
      </c>
      <c r="O205" s="116">
        <v>155</v>
      </c>
      <c r="P205" s="116">
        <v>161.6</v>
      </c>
      <c r="Q205" s="116">
        <v>158.55000000000001</v>
      </c>
      <c r="R205">
        <v>259265</v>
      </c>
    </row>
    <row r="206" spans="1:18" x14ac:dyDescent="0.25">
      <c r="A206" s="170">
        <v>43999</v>
      </c>
      <c r="B206" s="116">
        <v>166.15</v>
      </c>
      <c r="C206" s="116">
        <v>160.94999999999999</v>
      </c>
      <c r="D206" s="116">
        <v>156.9</v>
      </c>
      <c r="E206" s="116">
        <v>158</v>
      </c>
      <c r="F206" s="116">
        <v>160.94999999999999</v>
      </c>
      <c r="G206">
        <v>63279</v>
      </c>
      <c r="H206" s="116"/>
      <c r="I206" s="116"/>
      <c r="L206" s="170">
        <v>43999</v>
      </c>
      <c r="M206" s="116">
        <v>160.85</v>
      </c>
      <c r="N206" s="116">
        <v>166.45</v>
      </c>
      <c r="O206" s="116">
        <v>156.44999999999999</v>
      </c>
      <c r="P206" s="116">
        <v>158</v>
      </c>
      <c r="Q206" s="116">
        <v>160.85</v>
      </c>
      <c r="R206">
        <v>716107</v>
      </c>
    </row>
    <row r="207" spans="1:18" x14ac:dyDescent="0.25">
      <c r="A207" s="170">
        <v>44000</v>
      </c>
      <c r="B207" s="116">
        <v>163</v>
      </c>
      <c r="C207" s="116">
        <v>161.19999999999999</v>
      </c>
      <c r="D207" s="116">
        <v>157</v>
      </c>
      <c r="E207" s="116">
        <v>161</v>
      </c>
      <c r="F207" s="116">
        <v>161.19999999999999</v>
      </c>
      <c r="G207">
        <v>34825</v>
      </c>
      <c r="H207" s="116"/>
      <c r="I207" s="116"/>
      <c r="L207" s="170">
        <v>44000</v>
      </c>
      <c r="M207" s="116">
        <v>161.19999999999999</v>
      </c>
      <c r="N207" s="116">
        <v>164.9</v>
      </c>
      <c r="O207" s="116">
        <v>157</v>
      </c>
      <c r="P207" s="116">
        <v>161.05000000000001</v>
      </c>
      <c r="Q207" s="116">
        <v>161.19999999999999</v>
      </c>
      <c r="R207">
        <v>490407</v>
      </c>
    </row>
    <row r="208" spans="1:18" x14ac:dyDescent="0.25">
      <c r="A208" s="170">
        <v>44001</v>
      </c>
      <c r="B208" s="116">
        <v>164</v>
      </c>
      <c r="C208" s="116">
        <v>160.19999999999999</v>
      </c>
      <c r="D208" s="116">
        <v>159</v>
      </c>
      <c r="E208" s="116">
        <v>160</v>
      </c>
      <c r="F208" s="116">
        <v>160.19999999999999</v>
      </c>
      <c r="G208">
        <v>21593</v>
      </c>
      <c r="H208" s="116"/>
      <c r="I208" s="116"/>
      <c r="L208" s="170">
        <v>44001</v>
      </c>
      <c r="M208" s="116">
        <v>159.9</v>
      </c>
      <c r="N208" s="116">
        <v>164</v>
      </c>
      <c r="O208" s="116">
        <v>157.05000000000001</v>
      </c>
      <c r="P208" s="116">
        <v>161.69999999999999</v>
      </c>
      <c r="Q208" s="116">
        <v>159.9</v>
      </c>
      <c r="R208">
        <v>208643</v>
      </c>
    </row>
    <row r="209" spans="1:18" x14ac:dyDescent="0.25">
      <c r="A209" s="170">
        <v>44004</v>
      </c>
      <c r="B209" s="116">
        <v>168.2</v>
      </c>
      <c r="C209" s="116">
        <v>166.6</v>
      </c>
      <c r="D209" s="116">
        <v>161</v>
      </c>
      <c r="E209" s="116">
        <v>161</v>
      </c>
      <c r="F209" s="116">
        <v>166.6</v>
      </c>
      <c r="G209">
        <v>138028</v>
      </c>
      <c r="H209" s="116"/>
      <c r="I209" s="116"/>
      <c r="L209" s="170">
        <v>44004</v>
      </c>
      <c r="M209" s="116">
        <v>166.65</v>
      </c>
      <c r="N209" s="116">
        <v>167.85</v>
      </c>
      <c r="O209" s="116">
        <v>161.1</v>
      </c>
      <c r="P209" s="116">
        <v>162.80000000000001</v>
      </c>
      <c r="Q209" s="116">
        <v>166.65</v>
      </c>
      <c r="R209">
        <v>770393</v>
      </c>
    </row>
    <row r="210" spans="1:18" x14ac:dyDescent="0.25">
      <c r="A210" s="170">
        <v>44005</v>
      </c>
      <c r="B210" s="116">
        <v>174.9</v>
      </c>
      <c r="C210" s="116">
        <v>172.2</v>
      </c>
      <c r="D210" s="116">
        <v>166.25</v>
      </c>
      <c r="E210" s="116">
        <v>166.6</v>
      </c>
      <c r="F210" s="116">
        <v>172.2</v>
      </c>
      <c r="G210">
        <v>55541</v>
      </c>
      <c r="H210" s="116"/>
      <c r="I210" s="116"/>
      <c r="L210" s="170">
        <v>44005</v>
      </c>
      <c r="M210" s="116">
        <v>172.2</v>
      </c>
      <c r="N210" s="116">
        <v>174.95</v>
      </c>
      <c r="O210" s="116">
        <v>166</v>
      </c>
      <c r="P210" s="116">
        <v>170</v>
      </c>
      <c r="Q210" s="116">
        <v>172.2</v>
      </c>
      <c r="R210">
        <v>842347</v>
      </c>
    </row>
    <row r="211" spans="1:18" x14ac:dyDescent="0.25">
      <c r="A211" s="170">
        <v>44006</v>
      </c>
      <c r="B211" s="116">
        <v>180.8</v>
      </c>
      <c r="C211" s="116">
        <v>180.8</v>
      </c>
      <c r="D211" s="116">
        <v>180.8</v>
      </c>
      <c r="E211" s="116">
        <v>180.8</v>
      </c>
      <c r="F211" s="116">
        <v>180.8</v>
      </c>
      <c r="G211">
        <v>82653</v>
      </c>
      <c r="H211" s="116"/>
      <c r="I211" s="116"/>
      <c r="L211" s="170">
        <v>44006</v>
      </c>
      <c r="M211" s="116">
        <v>180.8</v>
      </c>
      <c r="N211" s="116">
        <v>180.8</v>
      </c>
      <c r="O211" s="116">
        <v>180.8</v>
      </c>
      <c r="P211" s="116">
        <v>180.8</v>
      </c>
      <c r="Q211" s="116">
        <v>180.8</v>
      </c>
      <c r="R211">
        <v>103255</v>
      </c>
    </row>
    <row r="212" spans="1:18" x14ac:dyDescent="0.25">
      <c r="A212" s="170">
        <v>44007</v>
      </c>
      <c r="B212" s="116">
        <v>189.8</v>
      </c>
      <c r="C212" s="116">
        <v>189.8</v>
      </c>
      <c r="D212" s="116">
        <v>189.8</v>
      </c>
      <c r="E212" s="116">
        <v>189.8</v>
      </c>
      <c r="F212" s="116">
        <v>189.8</v>
      </c>
      <c r="G212">
        <v>8527</v>
      </c>
      <c r="H212" s="116"/>
      <c r="I212" s="116"/>
      <c r="L212" s="170">
        <v>44007</v>
      </c>
      <c r="M212" s="116">
        <v>189.8</v>
      </c>
      <c r="N212" s="116">
        <v>189.8</v>
      </c>
      <c r="O212" s="116">
        <v>189.8</v>
      </c>
      <c r="P212" s="116">
        <v>189.8</v>
      </c>
      <c r="Q212" s="116">
        <v>189.8</v>
      </c>
      <c r="R212">
        <v>50396</v>
      </c>
    </row>
    <row r="213" spans="1:18" x14ac:dyDescent="0.25">
      <c r="A213" s="170">
        <v>44008</v>
      </c>
      <c r="B213" s="116">
        <v>199.25</v>
      </c>
      <c r="C213" s="116">
        <v>199.25</v>
      </c>
      <c r="D213" s="116">
        <v>191.9</v>
      </c>
      <c r="E213" s="116">
        <v>199.25</v>
      </c>
      <c r="F213" s="116">
        <v>199.25</v>
      </c>
      <c r="G213">
        <v>202315</v>
      </c>
      <c r="H213" s="116"/>
      <c r="I213" s="116"/>
      <c r="L213" s="170">
        <v>44008</v>
      </c>
      <c r="M213" s="116">
        <v>199.25</v>
      </c>
      <c r="N213" s="116">
        <v>199.25</v>
      </c>
      <c r="O213" s="116">
        <v>192.1</v>
      </c>
      <c r="P213" s="116">
        <v>199.25</v>
      </c>
      <c r="Q213" s="116">
        <v>199.25</v>
      </c>
      <c r="R213">
        <v>1068253</v>
      </c>
    </row>
    <row r="214" spans="1:18" x14ac:dyDescent="0.25">
      <c r="A214" s="170">
        <v>44011</v>
      </c>
      <c r="B214" s="116">
        <v>209.2</v>
      </c>
      <c r="C214" s="116">
        <v>209.2</v>
      </c>
      <c r="D214" s="116">
        <v>209.2</v>
      </c>
      <c r="E214" s="116">
        <v>209.2</v>
      </c>
      <c r="F214" s="116">
        <v>209.2</v>
      </c>
      <c r="G214">
        <v>6424</v>
      </c>
      <c r="H214" s="116"/>
      <c r="I214" s="116"/>
      <c r="L214" s="170">
        <v>44011</v>
      </c>
      <c r="M214" s="116">
        <v>209.2</v>
      </c>
      <c r="N214" s="116">
        <v>209.2</v>
      </c>
      <c r="O214" s="116">
        <v>209.2</v>
      </c>
      <c r="P214" s="116">
        <v>209.2</v>
      </c>
      <c r="Q214" s="116">
        <v>209.2</v>
      </c>
      <c r="R214">
        <v>101364</v>
      </c>
    </row>
    <row r="215" spans="1:18" x14ac:dyDescent="0.25">
      <c r="A215" s="170">
        <v>44012</v>
      </c>
      <c r="B215" s="116">
        <v>219.65</v>
      </c>
      <c r="C215" s="116">
        <v>219.65</v>
      </c>
      <c r="D215" s="116">
        <v>219.65</v>
      </c>
      <c r="E215" s="116">
        <v>219.65</v>
      </c>
      <c r="F215" s="116">
        <v>219.65</v>
      </c>
      <c r="G215">
        <v>4416</v>
      </c>
      <c r="H215" s="116"/>
      <c r="I215" s="116"/>
      <c r="L215" s="170">
        <v>44012</v>
      </c>
      <c r="M215" s="116">
        <v>219.65</v>
      </c>
      <c r="N215" s="116">
        <v>219.65</v>
      </c>
      <c r="O215" s="116">
        <v>219.65</v>
      </c>
      <c r="P215" s="116">
        <v>219.65</v>
      </c>
      <c r="Q215" s="116">
        <v>219.65</v>
      </c>
      <c r="R215">
        <v>102793</v>
      </c>
    </row>
    <row r="216" spans="1:18" x14ac:dyDescent="0.25">
      <c r="A216" s="170">
        <v>44013</v>
      </c>
      <c r="B216" s="116">
        <v>230.6</v>
      </c>
      <c r="C216" s="116">
        <v>230.05</v>
      </c>
      <c r="D216" s="116">
        <v>211</v>
      </c>
      <c r="E216" s="116">
        <v>230.6</v>
      </c>
      <c r="F216" s="116">
        <v>230.05</v>
      </c>
      <c r="G216">
        <v>133891</v>
      </c>
      <c r="H216" s="116"/>
      <c r="I216" s="116"/>
      <c r="L216" s="170">
        <v>44013</v>
      </c>
      <c r="M216" s="116">
        <v>229.75</v>
      </c>
      <c r="N216" s="116">
        <v>230.6</v>
      </c>
      <c r="O216" s="116">
        <v>215</v>
      </c>
      <c r="P216" s="116">
        <v>230.6</v>
      </c>
      <c r="Q216" s="116">
        <v>229.75</v>
      </c>
      <c r="R216">
        <v>725584</v>
      </c>
    </row>
    <row r="217" spans="1:18" x14ac:dyDescent="0.25">
      <c r="A217" s="170">
        <v>44014</v>
      </c>
      <c r="B217" s="116">
        <v>238.8</v>
      </c>
      <c r="C217" s="116">
        <v>218.85</v>
      </c>
      <c r="D217" s="116">
        <v>218.55</v>
      </c>
      <c r="E217" s="116">
        <v>236.4</v>
      </c>
      <c r="F217" s="116">
        <v>218.85</v>
      </c>
      <c r="G217">
        <v>265219</v>
      </c>
      <c r="H217" s="116"/>
      <c r="I217" s="116"/>
      <c r="L217" s="170">
        <v>44014</v>
      </c>
      <c r="M217" s="116">
        <v>219.15</v>
      </c>
      <c r="N217" s="116">
        <v>240</v>
      </c>
      <c r="O217" s="116">
        <v>218.3</v>
      </c>
      <c r="P217" s="116">
        <v>240</v>
      </c>
      <c r="Q217" s="116">
        <v>219.15</v>
      </c>
      <c r="R217">
        <v>1614247</v>
      </c>
    </row>
    <row r="218" spans="1:18" x14ac:dyDescent="0.25">
      <c r="A218" s="170">
        <v>44015</v>
      </c>
      <c r="B218" s="116">
        <v>226</v>
      </c>
      <c r="C218" s="116">
        <v>222.65</v>
      </c>
      <c r="D218" s="116">
        <v>210.1</v>
      </c>
      <c r="E218" s="116">
        <v>213</v>
      </c>
      <c r="F218" s="116">
        <v>222.65</v>
      </c>
      <c r="G218">
        <v>55691</v>
      </c>
      <c r="H218" s="116"/>
      <c r="I218" s="116"/>
      <c r="L218" s="170">
        <v>44015</v>
      </c>
      <c r="M218" s="116">
        <v>222.6</v>
      </c>
      <c r="N218" s="116">
        <v>226.55</v>
      </c>
      <c r="O218" s="116">
        <v>210</v>
      </c>
      <c r="P218" s="116">
        <v>211</v>
      </c>
      <c r="Q218" s="116">
        <v>222.6</v>
      </c>
      <c r="R218">
        <v>726707</v>
      </c>
    </row>
    <row r="219" spans="1:18" x14ac:dyDescent="0.25">
      <c r="A219" s="170">
        <v>44018</v>
      </c>
      <c r="B219" s="116">
        <v>233.75</v>
      </c>
      <c r="C219" s="116">
        <v>233.75</v>
      </c>
      <c r="D219" s="116">
        <v>219.65</v>
      </c>
      <c r="E219" s="116">
        <v>225</v>
      </c>
      <c r="F219" s="116">
        <v>233.75</v>
      </c>
      <c r="G219">
        <v>122400</v>
      </c>
      <c r="H219" s="116"/>
      <c r="I219" s="116"/>
      <c r="L219" s="170">
        <v>44018</v>
      </c>
      <c r="M219" s="116">
        <v>233.7</v>
      </c>
      <c r="N219" s="116">
        <v>233.7</v>
      </c>
      <c r="O219" s="116">
        <v>219</v>
      </c>
      <c r="P219" s="116">
        <v>227.4</v>
      </c>
      <c r="Q219" s="116">
        <v>233.7</v>
      </c>
      <c r="R219">
        <v>496439</v>
      </c>
    </row>
    <row r="220" spans="1:18" x14ac:dyDescent="0.25">
      <c r="A220" s="170">
        <v>44019</v>
      </c>
      <c r="B220" s="116">
        <v>245.4</v>
      </c>
      <c r="C220" s="116">
        <v>245.4</v>
      </c>
      <c r="D220" s="116">
        <v>235.6</v>
      </c>
      <c r="E220" s="116">
        <v>241.8</v>
      </c>
      <c r="F220" s="116">
        <v>245.4</v>
      </c>
      <c r="G220">
        <v>176097</v>
      </c>
      <c r="H220" s="116"/>
      <c r="I220" s="116"/>
      <c r="L220" s="170">
        <v>44019</v>
      </c>
      <c r="M220" s="116">
        <v>245.35</v>
      </c>
      <c r="N220" s="116">
        <v>245.35</v>
      </c>
      <c r="O220" s="116">
        <v>235</v>
      </c>
      <c r="P220" s="116">
        <v>242.4</v>
      </c>
      <c r="Q220" s="116">
        <v>245.35</v>
      </c>
      <c r="R220">
        <v>844735</v>
      </c>
    </row>
    <row r="221" spans="1:18" x14ac:dyDescent="0.25">
      <c r="A221" s="170">
        <v>44020</v>
      </c>
      <c r="B221" s="116">
        <v>257.64999999999998</v>
      </c>
      <c r="C221" s="116">
        <v>257.64999999999998</v>
      </c>
      <c r="D221" s="116">
        <v>240.3</v>
      </c>
      <c r="E221" s="116">
        <v>254</v>
      </c>
      <c r="F221" s="116">
        <v>257.64999999999998</v>
      </c>
      <c r="G221">
        <v>86506</v>
      </c>
      <c r="H221" s="116"/>
      <c r="I221" s="116"/>
      <c r="L221" s="170">
        <v>44020</v>
      </c>
      <c r="M221" s="116">
        <v>257.60000000000002</v>
      </c>
      <c r="N221" s="116">
        <v>257.60000000000002</v>
      </c>
      <c r="O221" s="116">
        <v>250.25</v>
      </c>
      <c r="P221" s="116">
        <v>254.4</v>
      </c>
      <c r="Q221" s="116">
        <v>257.60000000000002</v>
      </c>
      <c r="R221">
        <v>237987</v>
      </c>
    </row>
    <row r="222" spans="1:18" x14ac:dyDescent="0.25">
      <c r="A222" s="170">
        <v>44021</v>
      </c>
      <c r="B222" s="116">
        <v>255</v>
      </c>
      <c r="C222" s="116">
        <v>244.8</v>
      </c>
      <c r="D222" s="116">
        <v>244.8</v>
      </c>
      <c r="E222" s="116">
        <v>255</v>
      </c>
      <c r="F222" s="116">
        <v>244.8</v>
      </c>
      <c r="G222">
        <v>20253</v>
      </c>
      <c r="H222" s="116"/>
      <c r="I222" s="116"/>
      <c r="L222" s="170">
        <v>44021</v>
      </c>
      <c r="M222" s="116">
        <v>244.75</v>
      </c>
      <c r="N222" s="116">
        <v>254</v>
      </c>
      <c r="O222" s="116">
        <v>244.75</v>
      </c>
      <c r="P222" s="116">
        <v>254</v>
      </c>
      <c r="Q222" s="116">
        <v>244.75</v>
      </c>
      <c r="R222">
        <v>137720</v>
      </c>
    </row>
    <row r="223" spans="1:18" x14ac:dyDescent="0.25">
      <c r="A223" s="170">
        <v>44022</v>
      </c>
      <c r="B223" s="116">
        <v>232.6</v>
      </c>
      <c r="C223" s="116">
        <v>232.6</v>
      </c>
      <c r="D223" s="116">
        <v>232.6</v>
      </c>
      <c r="E223" s="116">
        <v>232.6</v>
      </c>
      <c r="F223" s="116">
        <v>232.6</v>
      </c>
      <c r="G223">
        <v>6856</v>
      </c>
      <c r="H223" s="116"/>
      <c r="I223" s="116"/>
      <c r="L223" s="170">
        <v>44022</v>
      </c>
      <c r="M223" s="116">
        <v>232.55</v>
      </c>
      <c r="N223" s="116">
        <v>232.55</v>
      </c>
      <c r="O223" s="116">
        <v>232.55</v>
      </c>
      <c r="P223" s="116">
        <v>232.55</v>
      </c>
      <c r="Q223" s="116">
        <v>232.55</v>
      </c>
      <c r="R223">
        <v>38960</v>
      </c>
    </row>
    <row r="224" spans="1:18" x14ac:dyDescent="0.25">
      <c r="A224" s="170">
        <v>44025</v>
      </c>
      <c r="B224" s="116">
        <v>238.6</v>
      </c>
      <c r="C224" s="116">
        <v>225.8</v>
      </c>
      <c r="D224" s="116">
        <v>221</v>
      </c>
      <c r="E224" s="116">
        <v>221</v>
      </c>
      <c r="F224" s="116">
        <v>225.8</v>
      </c>
      <c r="G224">
        <v>155131</v>
      </c>
      <c r="H224" s="116"/>
      <c r="I224" s="116"/>
      <c r="L224" s="170">
        <v>44025</v>
      </c>
      <c r="M224" s="116">
        <v>225.35</v>
      </c>
      <c r="N224" s="116">
        <v>237.4</v>
      </c>
      <c r="O224" s="116">
        <v>220.95</v>
      </c>
      <c r="P224" s="116">
        <v>220.95</v>
      </c>
      <c r="Q224" s="116">
        <v>225.35</v>
      </c>
      <c r="R224">
        <v>937798</v>
      </c>
    </row>
    <row r="225" spans="1:18" x14ac:dyDescent="0.25">
      <c r="A225" s="170">
        <v>44026</v>
      </c>
      <c r="B225" s="116">
        <v>225</v>
      </c>
      <c r="C225" s="116">
        <v>218.3</v>
      </c>
      <c r="D225" s="116">
        <v>214.55</v>
      </c>
      <c r="E225" s="116">
        <v>225</v>
      </c>
      <c r="F225" s="116">
        <v>218.3</v>
      </c>
      <c r="G225">
        <v>52178</v>
      </c>
      <c r="H225" s="116"/>
      <c r="I225" s="116"/>
      <c r="L225" s="170">
        <v>44026</v>
      </c>
      <c r="M225" s="116">
        <v>218.35</v>
      </c>
      <c r="N225" s="116">
        <v>225</v>
      </c>
      <c r="O225" s="116">
        <v>214.1</v>
      </c>
      <c r="P225" s="116">
        <v>218</v>
      </c>
      <c r="Q225" s="116">
        <v>218.35</v>
      </c>
      <c r="R225">
        <v>474877</v>
      </c>
    </row>
    <row r="226" spans="1:18" x14ac:dyDescent="0.25">
      <c r="A226" s="170">
        <v>44027</v>
      </c>
      <c r="B226" s="116">
        <v>229.2</v>
      </c>
      <c r="C226" s="116">
        <v>229.2</v>
      </c>
      <c r="D226" s="116">
        <v>222.9</v>
      </c>
      <c r="E226" s="116">
        <v>222.9</v>
      </c>
      <c r="F226" s="116">
        <v>229.2</v>
      </c>
      <c r="G226">
        <v>9675</v>
      </c>
      <c r="H226" s="116"/>
      <c r="I226" s="116"/>
      <c r="L226" s="170">
        <v>44027</v>
      </c>
      <c r="M226" s="116">
        <v>229.25</v>
      </c>
      <c r="N226" s="116">
        <v>229.25</v>
      </c>
      <c r="O226" s="116">
        <v>222.95</v>
      </c>
      <c r="P226" s="116">
        <v>224.9</v>
      </c>
      <c r="Q226" s="116">
        <v>229.25</v>
      </c>
      <c r="R226">
        <v>120168</v>
      </c>
    </row>
    <row r="227" spans="1:18" x14ac:dyDescent="0.25">
      <c r="A227" s="170">
        <v>44028</v>
      </c>
      <c r="B227" s="116">
        <v>240.65</v>
      </c>
      <c r="C227" s="116">
        <v>238.95</v>
      </c>
      <c r="D227" s="116">
        <v>220</v>
      </c>
      <c r="E227" s="116">
        <v>236.5</v>
      </c>
      <c r="F227" s="116">
        <v>238.95</v>
      </c>
      <c r="G227">
        <v>69311</v>
      </c>
      <c r="H227" s="116"/>
      <c r="I227" s="116"/>
      <c r="L227" s="170">
        <v>44028</v>
      </c>
      <c r="M227" s="116">
        <v>239.45</v>
      </c>
      <c r="N227" s="116">
        <v>240.7</v>
      </c>
      <c r="O227" s="116">
        <v>220.25</v>
      </c>
      <c r="P227" s="116">
        <v>234.4</v>
      </c>
      <c r="Q227" s="116">
        <v>239.45</v>
      </c>
      <c r="R227">
        <v>559122</v>
      </c>
    </row>
    <row r="228" spans="1:18" x14ac:dyDescent="0.25">
      <c r="A228" s="170">
        <v>44029</v>
      </c>
      <c r="B228" s="116">
        <v>250.85</v>
      </c>
      <c r="C228" s="116">
        <v>244.6</v>
      </c>
      <c r="D228" s="116">
        <v>233</v>
      </c>
      <c r="E228" s="116">
        <v>238.95</v>
      </c>
      <c r="F228" s="116">
        <v>244.6</v>
      </c>
      <c r="G228">
        <v>62738</v>
      </c>
      <c r="H228" s="116"/>
      <c r="I228" s="116"/>
      <c r="L228" s="170">
        <v>44029</v>
      </c>
      <c r="M228" s="116">
        <v>244.95</v>
      </c>
      <c r="N228" s="116">
        <v>250.95</v>
      </c>
      <c r="O228" s="116">
        <v>232.3</v>
      </c>
      <c r="P228" s="116">
        <v>235</v>
      </c>
      <c r="Q228" s="116">
        <v>244.95</v>
      </c>
      <c r="R228">
        <v>344515</v>
      </c>
    </row>
    <row r="229" spans="1:18" x14ac:dyDescent="0.25">
      <c r="A229" s="170">
        <v>44032</v>
      </c>
      <c r="B229" s="116">
        <v>249.95</v>
      </c>
      <c r="C229" s="116">
        <v>241.5</v>
      </c>
      <c r="D229" s="116">
        <v>239</v>
      </c>
      <c r="E229" s="116">
        <v>245</v>
      </c>
      <c r="F229" s="116">
        <v>241.5</v>
      </c>
      <c r="G229">
        <v>19901</v>
      </c>
      <c r="H229" s="116"/>
      <c r="I229" s="116"/>
      <c r="L229" s="170">
        <v>44032</v>
      </c>
      <c r="M229" s="116">
        <v>241.25</v>
      </c>
      <c r="N229" s="116">
        <v>250.05</v>
      </c>
      <c r="O229" s="116">
        <v>239</v>
      </c>
      <c r="P229" s="116">
        <v>249.7</v>
      </c>
      <c r="Q229" s="116">
        <v>241.25</v>
      </c>
      <c r="R229">
        <v>140557</v>
      </c>
    </row>
    <row r="230" spans="1:18" x14ac:dyDescent="0.25">
      <c r="A230" s="170">
        <v>44033</v>
      </c>
      <c r="B230" s="116">
        <v>244.45</v>
      </c>
      <c r="C230" s="116">
        <v>235.45</v>
      </c>
      <c r="D230" s="116">
        <v>233.15</v>
      </c>
      <c r="E230" s="116">
        <v>241.95</v>
      </c>
      <c r="F230" s="116">
        <v>235.45</v>
      </c>
      <c r="G230">
        <v>23282</v>
      </c>
      <c r="H230" s="116"/>
      <c r="I230" s="116"/>
      <c r="L230" s="170">
        <v>44033</v>
      </c>
      <c r="M230" s="116">
        <v>236</v>
      </c>
      <c r="N230" s="116">
        <v>244.8</v>
      </c>
      <c r="O230" s="116">
        <v>235</v>
      </c>
      <c r="P230" s="116">
        <v>244</v>
      </c>
      <c r="Q230" s="116">
        <v>236</v>
      </c>
      <c r="R230">
        <v>134750</v>
      </c>
    </row>
    <row r="231" spans="1:18" x14ac:dyDescent="0.25">
      <c r="A231" s="170">
        <v>44034</v>
      </c>
      <c r="B231" s="116">
        <v>241.35</v>
      </c>
      <c r="C231" s="116">
        <v>233.1</v>
      </c>
      <c r="D231" s="116">
        <v>231.05</v>
      </c>
      <c r="E231" s="116">
        <v>232.1</v>
      </c>
      <c r="F231" s="116">
        <v>233.1</v>
      </c>
      <c r="G231">
        <v>25565</v>
      </c>
      <c r="H231" s="116"/>
      <c r="I231" s="116"/>
      <c r="L231" s="170">
        <v>44034</v>
      </c>
      <c r="M231" s="116">
        <v>233.45</v>
      </c>
      <c r="N231" s="116">
        <v>241.1</v>
      </c>
      <c r="O231" s="116">
        <v>230.5</v>
      </c>
      <c r="P231" s="116">
        <v>236.15</v>
      </c>
      <c r="Q231" s="116">
        <v>233.45</v>
      </c>
      <c r="R231">
        <v>150583</v>
      </c>
    </row>
    <row r="232" spans="1:18" x14ac:dyDescent="0.25">
      <c r="A232" s="170">
        <v>44035</v>
      </c>
      <c r="B232" s="116">
        <v>235</v>
      </c>
      <c r="C232" s="116">
        <v>229.35</v>
      </c>
      <c r="D232" s="116">
        <v>227.25</v>
      </c>
      <c r="E232" s="116">
        <v>232.9</v>
      </c>
      <c r="F232" s="116">
        <v>229.35</v>
      </c>
      <c r="G232">
        <v>12781</v>
      </c>
      <c r="H232" s="116"/>
      <c r="I232" s="116"/>
      <c r="L232" s="170">
        <v>44035</v>
      </c>
      <c r="M232" s="116">
        <v>229.5</v>
      </c>
      <c r="N232" s="116">
        <v>234</v>
      </c>
      <c r="O232" s="116">
        <v>227.3</v>
      </c>
      <c r="P232" s="116">
        <v>233</v>
      </c>
      <c r="Q232" s="116">
        <v>229.5</v>
      </c>
      <c r="R232">
        <v>185203</v>
      </c>
    </row>
    <row r="233" spans="1:18" x14ac:dyDescent="0.25">
      <c r="A233" s="170">
        <v>44036</v>
      </c>
      <c r="B233" s="116">
        <v>227</v>
      </c>
      <c r="C233" s="116">
        <v>225.1</v>
      </c>
      <c r="D233" s="116">
        <v>222.6</v>
      </c>
      <c r="E233" s="116">
        <v>226.1</v>
      </c>
      <c r="F233" s="116">
        <v>225.1</v>
      </c>
      <c r="G233">
        <v>15759</v>
      </c>
      <c r="H233" s="116"/>
      <c r="I233" s="116"/>
      <c r="L233" s="170">
        <v>44036</v>
      </c>
      <c r="M233" s="116">
        <v>224.6</v>
      </c>
      <c r="N233" s="116">
        <v>227</v>
      </c>
      <c r="O233" s="116">
        <v>222</v>
      </c>
      <c r="P233" s="116">
        <v>226.5</v>
      </c>
      <c r="Q233" s="116">
        <v>224.6</v>
      </c>
      <c r="R233">
        <v>116642</v>
      </c>
    </row>
    <row r="234" spans="1:18" x14ac:dyDescent="0.25">
      <c r="A234" s="170">
        <v>44039</v>
      </c>
      <c r="B234" s="116">
        <v>236.35</v>
      </c>
      <c r="C234" s="116">
        <v>236.35</v>
      </c>
      <c r="D234" s="116">
        <v>221</v>
      </c>
      <c r="E234" s="116">
        <v>221</v>
      </c>
      <c r="F234" s="116">
        <v>236.35</v>
      </c>
      <c r="G234">
        <v>44181</v>
      </c>
      <c r="H234" s="116"/>
      <c r="I234" s="116"/>
      <c r="L234" s="170">
        <v>44039</v>
      </c>
      <c r="M234" s="116">
        <v>235.8</v>
      </c>
      <c r="N234" s="116">
        <v>235.8</v>
      </c>
      <c r="O234" s="116">
        <v>226</v>
      </c>
      <c r="P234" s="116">
        <v>230</v>
      </c>
      <c r="Q234" s="116">
        <v>235.8</v>
      </c>
      <c r="R234">
        <v>302625</v>
      </c>
    </row>
    <row r="235" spans="1:18" x14ac:dyDescent="0.25">
      <c r="A235" s="170">
        <v>44040</v>
      </c>
      <c r="B235" s="116">
        <v>243.5</v>
      </c>
      <c r="C235" s="116">
        <v>234.8</v>
      </c>
      <c r="D235" s="116">
        <v>230.6</v>
      </c>
      <c r="E235" s="116">
        <v>241.9</v>
      </c>
      <c r="F235" s="116">
        <v>234.8</v>
      </c>
      <c r="G235">
        <v>46746</v>
      </c>
      <c r="H235" s="116"/>
      <c r="I235" s="116"/>
      <c r="L235" s="170">
        <v>44040</v>
      </c>
      <c r="M235" s="116">
        <v>234.9</v>
      </c>
      <c r="N235" s="116">
        <v>244.6</v>
      </c>
      <c r="O235" s="116">
        <v>230.75</v>
      </c>
      <c r="P235" s="116">
        <v>237.9</v>
      </c>
      <c r="Q235" s="116">
        <v>234.9</v>
      </c>
      <c r="R235">
        <v>199170</v>
      </c>
    </row>
    <row r="236" spans="1:18" x14ac:dyDescent="0.25">
      <c r="A236" s="170">
        <v>44041</v>
      </c>
      <c r="B236" s="116">
        <v>235.5</v>
      </c>
      <c r="C236" s="116">
        <v>233.45</v>
      </c>
      <c r="D236" s="116">
        <v>230.5</v>
      </c>
      <c r="E236" s="116">
        <v>234.1</v>
      </c>
      <c r="F236" s="116">
        <v>233.45</v>
      </c>
      <c r="G236">
        <v>10668</v>
      </c>
      <c r="H236" s="116"/>
      <c r="I236" s="116"/>
      <c r="L236" s="170">
        <v>44041</v>
      </c>
      <c r="M236" s="116">
        <v>233.85</v>
      </c>
      <c r="N236" s="116">
        <v>235.95</v>
      </c>
      <c r="O236" s="116">
        <v>229.3</v>
      </c>
      <c r="P236" s="116">
        <v>235.2</v>
      </c>
      <c r="Q236" s="116">
        <v>233.85</v>
      </c>
      <c r="R236">
        <v>111026</v>
      </c>
    </row>
    <row r="237" spans="1:18" x14ac:dyDescent="0.25">
      <c r="A237" s="170">
        <v>44042</v>
      </c>
      <c r="B237" s="116">
        <v>238.25</v>
      </c>
      <c r="C237" s="116">
        <v>226.8</v>
      </c>
      <c r="D237" s="116">
        <v>225</v>
      </c>
      <c r="E237" s="116">
        <v>235.1</v>
      </c>
      <c r="F237" s="116">
        <v>226.8</v>
      </c>
      <c r="G237">
        <v>8717</v>
      </c>
      <c r="H237" s="116"/>
      <c r="I237" s="116"/>
      <c r="L237" s="170">
        <v>44042</v>
      </c>
      <c r="M237" s="116">
        <v>226.45</v>
      </c>
      <c r="N237" s="116">
        <v>238.4</v>
      </c>
      <c r="O237" s="116">
        <v>225</v>
      </c>
      <c r="P237" s="116">
        <v>235</v>
      </c>
      <c r="Q237" s="116">
        <v>226.45</v>
      </c>
      <c r="R237">
        <v>126798</v>
      </c>
    </row>
    <row r="238" spans="1:18" x14ac:dyDescent="0.25">
      <c r="A238" s="170">
        <v>44043</v>
      </c>
      <c r="B238" s="116">
        <v>226.2</v>
      </c>
      <c r="C238" s="116">
        <v>223.8</v>
      </c>
      <c r="D238" s="116">
        <v>219</v>
      </c>
      <c r="E238" s="116">
        <v>224.3</v>
      </c>
      <c r="F238" s="116">
        <v>223.8</v>
      </c>
      <c r="G238">
        <v>16545</v>
      </c>
      <c r="H238" s="116"/>
      <c r="I238" s="116"/>
      <c r="L238" s="170">
        <v>44043</v>
      </c>
      <c r="M238" s="116">
        <v>223.75</v>
      </c>
      <c r="N238" s="116">
        <v>226.4</v>
      </c>
      <c r="O238" s="116">
        <v>218.55</v>
      </c>
      <c r="P238" s="116">
        <v>224</v>
      </c>
      <c r="Q238" s="116">
        <v>223.75</v>
      </c>
      <c r="R238">
        <v>138040</v>
      </c>
    </row>
    <row r="239" spans="1:18" x14ac:dyDescent="0.25">
      <c r="A239" s="170">
        <v>44046</v>
      </c>
      <c r="B239" s="116">
        <v>223.8</v>
      </c>
      <c r="C239" s="116">
        <v>215.95</v>
      </c>
      <c r="D239" s="116">
        <v>215</v>
      </c>
      <c r="E239" s="116">
        <v>223.8</v>
      </c>
      <c r="F239" s="116">
        <v>215.95</v>
      </c>
      <c r="G239">
        <v>29426</v>
      </c>
      <c r="H239" s="116"/>
      <c r="I239" s="116"/>
      <c r="L239" s="170">
        <v>44046</v>
      </c>
      <c r="M239" s="116">
        <v>215.9</v>
      </c>
      <c r="N239" s="116">
        <v>224.95</v>
      </c>
      <c r="O239" s="116">
        <v>215</v>
      </c>
      <c r="P239" s="116">
        <v>223.5</v>
      </c>
      <c r="Q239" s="116">
        <v>215.9</v>
      </c>
      <c r="R239">
        <v>153313</v>
      </c>
    </row>
    <row r="240" spans="1:18" x14ac:dyDescent="0.25">
      <c r="A240" s="170">
        <v>44047</v>
      </c>
      <c r="B240" s="116">
        <v>226.7</v>
      </c>
      <c r="C240" s="116">
        <v>226.7</v>
      </c>
      <c r="D240" s="116">
        <v>215.2</v>
      </c>
      <c r="E240" s="116">
        <v>217</v>
      </c>
      <c r="F240" s="116">
        <v>226.7</v>
      </c>
      <c r="G240">
        <v>73726</v>
      </c>
      <c r="H240" s="116"/>
      <c r="I240" s="116"/>
      <c r="L240" s="170">
        <v>44047</v>
      </c>
      <c r="M240" s="116">
        <v>226.65</v>
      </c>
      <c r="N240" s="116">
        <v>226.65</v>
      </c>
      <c r="O240" s="116">
        <v>215.35</v>
      </c>
      <c r="P240" s="116">
        <v>215.9</v>
      </c>
      <c r="Q240" s="116">
        <v>226.65</v>
      </c>
      <c r="R240">
        <v>158791</v>
      </c>
    </row>
    <row r="241" spans="1:18" x14ac:dyDescent="0.25">
      <c r="A241" s="170">
        <v>44048</v>
      </c>
      <c r="B241" s="116">
        <v>234.8</v>
      </c>
      <c r="C241" s="116">
        <v>230.55</v>
      </c>
      <c r="D241" s="116">
        <v>225</v>
      </c>
      <c r="E241" s="116">
        <v>228.25</v>
      </c>
      <c r="F241" s="116">
        <v>230.55</v>
      </c>
      <c r="G241">
        <v>38182</v>
      </c>
      <c r="H241" s="116"/>
      <c r="I241" s="116"/>
      <c r="L241" s="170">
        <v>44048</v>
      </c>
      <c r="M241" s="116">
        <v>230.75</v>
      </c>
      <c r="N241" s="116">
        <v>233.5</v>
      </c>
      <c r="O241" s="116">
        <v>224.75</v>
      </c>
      <c r="P241" s="116">
        <v>229</v>
      </c>
      <c r="Q241" s="116">
        <v>230.75</v>
      </c>
      <c r="R241">
        <v>222618</v>
      </c>
    </row>
    <row r="242" spans="1:18" x14ac:dyDescent="0.25">
      <c r="A242" s="170">
        <v>44049</v>
      </c>
      <c r="B242" s="116">
        <v>242.05</v>
      </c>
      <c r="C242" s="116">
        <v>238.15</v>
      </c>
      <c r="D242" s="116">
        <v>228</v>
      </c>
      <c r="E242" s="116">
        <v>229</v>
      </c>
      <c r="F242" s="116">
        <v>238.15</v>
      </c>
      <c r="G242">
        <v>71179</v>
      </c>
      <c r="H242" s="116"/>
      <c r="I242" s="116"/>
      <c r="L242" s="170">
        <v>44049</v>
      </c>
      <c r="M242" s="116">
        <v>238.25</v>
      </c>
      <c r="N242" s="116">
        <v>242.25</v>
      </c>
      <c r="O242" s="116">
        <v>227.65</v>
      </c>
      <c r="P242" s="116">
        <v>233</v>
      </c>
      <c r="Q242" s="116">
        <v>238.25</v>
      </c>
      <c r="R242">
        <v>701214</v>
      </c>
    </row>
    <row r="243" spans="1:18" x14ac:dyDescent="0.25">
      <c r="A243" s="170">
        <v>44050</v>
      </c>
      <c r="B243" s="116">
        <v>247.5</v>
      </c>
      <c r="C243" s="116">
        <v>236.3</v>
      </c>
      <c r="D243" s="116">
        <v>234.35</v>
      </c>
      <c r="E243" s="116">
        <v>242.1</v>
      </c>
      <c r="F243" s="116">
        <v>236.3</v>
      </c>
      <c r="G243">
        <v>29195</v>
      </c>
      <c r="H243" s="116"/>
      <c r="I243" s="116"/>
      <c r="L243" s="170">
        <v>44050</v>
      </c>
      <c r="M243" s="116">
        <v>236.1</v>
      </c>
      <c r="N243" s="116">
        <v>247.25</v>
      </c>
      <c r="O243" s="116">
        <v>234.2</v>
      </c>
      <c r="P243" s="116">
        <v>241.7</v>
      </c>
      <c r="Q243" s="116">
        <v>236.1</v>
      </c>
      <c r="R243">
        <v>452180</v>
      </c>
    </row>
    <row r="244" spans="1:18" x14ac:dyDescent="0.25">
      <c r="A244" s="170">
        <v>44053</v>
      </c>
      <c r="B244" s="116">
        <v>268</v>
      </c>
      <c r="C244" s="116">
        <v>256.60000000000002</v>
      </c>
      <c r="D244" s="116">
        <v>239.75</v>
      </c>
      <c r="E244" s="116">
        <v>239.75</v>
      </c>
      <c r="F244" s="116">
        <v>256.60000000000002</v>
      </c>
      <c r="G244">
        <v>89827</v>
      </c>
      <c r="H244" s="116"/>
      <c r="I244" s="116"/>
      <c r="L244" s="170">
        <v>44053</v>
      </c>
      <c r="M244" s="116">
        <v>256.7</v>
      </c>
      <c r="N244" s="116">
        <v>268.2</v>
      </c>
      <c r="O244" s="116">
        <v>237.35</v>
      </c>
      <c r="P244" s="116">
        <v>237.35</v>
      </c>
      <c r="Q244" s="116">
        <v>256.7</v>
      </c>
      <c r="R244">
        <v>642730</v>
      </c>
    </row>
    <row r="245" spans="1:18" x14ac:dyDescent="0.25">
      <c r="A245" s="170">
        <v>44054</v>
      </c>
      <c r="B245" s="116">
        <v>263.95</v>
      </c>
      <c r="C245" s="116">
        <v>253.9</v>
      </c>
      <c r="D245" s="116">
        <v>249.2</v>
      </c>
      <c r="E245" s="116">
        <v>257.2</v>
      </c>
      <c r="F245" s="116">
        <v>253.9</v>
      </c>
      <c r="G245">
        <v>20503</v>
      </c>
      <c r="H245" s="116"/>
      <c r="I245" s="116"/>
      <c r="L245" s="170">
        <v>44054</v>
      </c>
      <c r="M245" s="116">
        <v>254.25</v>
      </c>
      <c r="N245" s="116">
        <v>264</v>
      </c>
      <c r="O245" s="116">
        <v>249.2</v>
      </c>
      <c r="P245" s="116">
        <v>259</v>
      </c>
      <c r="Q245" s="116">
        <v>254.25</v>
      </c>
      <c r="R245">
        <v>604621</v>
      </c>
    </row>
    <row r="246" spans="1:18" x14ac:dyDescent="0.25">
      <c r="A246" s="170">
        <v>44055</v>
      </c>
      <c r="B246" s="116">
        <v>255.3</v>
      </c>
      <c r="C246" s="116">
        <v>251.2</v>
      </c>
      <c r="D246" s="116">
        <v>245</v>
      </c>
      <c r="E246" s="116">
        <v>254</v>
      </c>
      <c r="F246" s="116">
        <v>251.2</v>
      </c>
      <c r="G246">
        <v>21381</v>
      </c>
      <c r="H246" s="116"/>
      <c r="I246" s="116"/>
      <c r="L246" s="170">
        <v>44055</v>
      </c>
      <c r="M246" s="116">
        <v>251.3</v>
      </c>
      <c r="N246" s="116">
        <v>256</v>
      </c>
      <c r="O246" s="116">
        <v>244.6</v>
      </c>
      <c r="P246" s="116">
        <v>253.25</v>
      </c>
      <c r="Q246" s="116">
        <v>251.3</v>
      </c>
      <c r="R246">
        <v>209002</v>
      </c>
    </row>
    <row r="247" spans="1:18" x14ac:dyDescent="0.25">
      <c r="A247" s="170">
        <v>44056</v>
      </c>
      <c r="B247" s="116">
        <v>261.14999999999998</v>
      </c>
      <c r="C247" s="116">
        <v>256.05</v>
      </c>
      <c r="D247" s="116">
        <v>251</v>
      </c>
      <c r="E247" s="116">
        <v>253</v>
      </c>
      <c r="F247" s="116">
        <v>256.05</v>
      </c>
      <c r="G247">
        <v>28996</v>
      </c>
      <c r="H247" s="116"/>
      <c r="I247" s="116"/>
      <c r="L247" s="170">
        <v>44056</v>
      </c>
      <c r="M247" s="116">
        <v>256.3</v>
      </c>
      <c r="N247" s="116">
        <v>261.25</v>
      </c>
      <c r="O247" s="116">
        <v>250.25</v>
      </c>
      <c r="P247" s="116">
        <v>253.8</v>
      </c>
      <c r="Q247" s="116">
        <v>256.3</v>
      </c>
      <c r="R247">
        <v>273618</v>
      </c>
    </row>
    <row r="248" spans="1:18" x14ac:dyDescent="0.25">
      <c r="A248" s="170">
        <v>44057</v>
      </c>
      <c r="B248" s="116">
        <v>261</v>
      </c>
      <c r="C248" s="116">
        <v>249.9</v>
      </c>
      <c r="D248" s="116">
        <v>247.1</v>
      </c>
      <c r="E248" s="116">
        <v>258.95</v>
      </c>
      <c r="F248" s="116">
        <v>249.9</v>
      </c>
      <c r="G248">
        <v>20297</v>
      </c>
      <c r="H248" s="116"/>
      <c r="I248" s="116"/>
      <c r="L248" s="170">
        <v>44057</v>
      </c>
      <c r="M248" s="116">
        <v>250.05</v>
      </c>
      <c r="N248" s="116">
        <v>261</v>
      </c>
      <c r="O248" s="116">
        <v>247.05</v>
      </c>
      <c r="P248" s="116">
        <v>257</v>
      </c>
      <c r="Q248" s="116">
        <v>250.05</v>
      </c>
      <c r="R248">
        <v>189372</v>
      </c>
    </row>
    <row r="249" spans="1:18" x14ac:dyDescent="0.25">
      <c r="A249" s="170">
        <v>44060</v>
      </c>
      <c r="B249" s="116">
        <v>254.55</v>
      </c>
      <c r="C249" s="116">
        <v>249.3</v>
      </c>
      <c r="D249" s="116">
        <v>245</v>
      </c>
      <c r="E249" s="116">
        <v>254.15</v>
      </c>
      <c r="F249" s="116">
        <v>249.3</v>
      </c>
      <c r="G249">
        <v>12196</v>
      </c>
      <c r="H249" s="116"/>
      <c r="I249" s="116"/>
      <c r="L249" s="170">
        <v>44060</v>
      </c>
      <c r="M249" s="116">
        <v>249.35</v>
      </c>
      <c r="N249" s="116">
        <v>255.8</v>
      </c>
      <c r="O249" s="116">
        <v>244.95</v>
      </c>
      <c r="P249" s="116">
        <v>253.4</v>
      </c>
      <c r="Q249" s="116">
        <v>249.35</v>
      </c>
      <c r="R249">
        <v>144424</v>
      </c>
    </row>
    <row r="250" spans="1:18" x14ac:dyDescent="0.25">
      <c r="A250" s="170">
        <v>44061</v>
      </c>
      <c r="B250" s="116">
        <v>253</v>
      </c>
      <c r="C250" s="116">
        <v>250.3</v>
      </c>
      <c r="D250" s="116">
        <v>246.3</v>
      </c>
      <c r="E250" s="116">
        <v>249.9</v>
      </c>
      <c r="F250" s="116">
        <v>250.3</v>
      </c>
      <c r="G250">
        <v>11363</v>
      </c>
      <c r="H250" s="116"/>
      <c r="I250" s="116"/>
      <c r="L250" s="170">
        <v>44061</v>
      </c>
      <c r="M250" s="116">
        <v>249.05</v>
      </c>
      <c r="N250" s="116">
        <v>253.45</v>
      </c>
      <c r="O250" s="116">
        <v>246</v>
      </c>
      <c r="P250" s="116">
        <v>252</v>
      </c>
      <c r="Q250" s="116">
        <v>249.05</v>
      </c>
      <c r="R250">
        <v>137059</v>
      </c>
    </row>
    <row r="251" spans="1:18" x14ac:dyDescent="0.25">
      <c r="A251" s="170">
        <v>44062</v>
      </c>
      <c r="B251" s="116">
        <v>258</v>
      </c>
      <c r="C251" s="116">
        <v>248.1</v>
      </c>
      <c r="D251" s="116">
        <v>247.2</v>
      </c>
      <c r="E251" s="116">
        <v>258</v>
      </c>
      <c r="F251" s="116">
        <v>248.1</v>
      </c>
      <c r="G251">
        <v>13913</v>
      </c>
      <c r="H251" s="116"/>
      <c r="I251" s="116"/>
      <c r="L251" s="170">
        <v>44062</v>
      </c>
      <c r="M251" s="116">
        <v>247.9</v>
      </c>
      <c r="N251" s="116">
        <v>252.85</v>
      </c>
      <c r="O251" s="116">
        <v>247</v>
      </c>
      <c r="P251" s="116">
        <v>252.85</v>
      </c>
      <c r="Q251" s="116">
        <v>247.9</v>
      </c>
      <c r="R251">
        <v>117598</v>
      </c>
    </row>
    <row r="252" spans="1:18" x14ac:dyDescent="0.25">
      <c r="A252" s="170">
        <v>44063</v>
      </c>
      <c r="B252" s="116">
        <v>252</v>
      </c>
      <c r="C252" s="116">
        <v>250.15</v>
      </c>
      <c r="D252" s="116">
        <v>248</v>
      </c>
      <c r="E252" s="116">
        <v>250.15</v>
      </c>
      <c r="F252" s="116">
        <v>250.15</v>
      </c>
      <c r="G252">
        <v>11937</v>
      </c>
      <c r="H252" s="116"/>
      <c r="I252" s="116"/>
      <c r="L252" s="170">
        <v>44063</v>
      </c>
      <c r="M252" s="116">
        <v>249.95</v>
      </c>
      <c r="N252" s="116">
        <v>252</v>
      </c>
      <c r="O252" s="116">
        <v>246.1</v>
      </c>
      <c r="P252" s="116">
        <v>249.5</v>
      </c>
      <c r="Q252" s="116">
        <v>249.95</v>
      </c>
      <c r="R252">
        <v>177463</v>
      </c>
    </row>
    <row r="253" spans="1:18" x14ac:dyDescent="0.25">
      <c r="A253" s="170">
        <v>44064</v>
      </c>
      <c r="B253" s="116">
        <v>286.5</v>
      </c>
      <c r="C253" s="116">
        <v>275.95</v>
      </c>
      <c r="D253" s="116">
        <v>247</v>
      </c>
      <c r="E253" s="116">
        <v>247</v>
      </c>
      <c r="F253" s="116">
        <v>275.95</v>
      </c>
      <c r="G253">
        <v>198116</v>
      </c>
      <c r="H253" s="116"/>
      <c r="I253" s="116"/>
      <c r="L253" s="170">
        <v>44064</v>
      </c>
      <c r="M253" s="116">
        <v>277.39999999999998</v>
      </c>
      <c r="N253" s="116">
        <v>286.5</v>
      </c>
      <c r="O253" s="116">
        <v>253.05</v>
      </c>
      <c r="P253" s="116">
        <v>254.8</v>
      </c>
      <c r="Q253" s="116">
        <v>277.39999999999998</v>
      </c>
      <c r="R253">
        <v>1320387</v>
      </c>
    </row>
    <row r="254" spans="1:18" x14ac:dyDescent="0.25">
      <c r="A254" s="170">
        <v>44067</v>
      </c>
      <c r="B254" s="116">
        <v>289.45</v>
      </c>
      <c r="C254" s="116">
        <v>271.8</v>
      </c>
      <c r="D254" s="116">
        <v>270.14999999999998</v>
      </c>
      <c r="E254" s="116">
        <v>284.8</v>
      </c>
      <c r="F254" s="116">
        <v>271.8</v>
      </c>
      <c r="G254">
        <v>37114</v>
      </c>
      <c r="H254" s="116"/>
      <c r="I254" s="116"/>
      <c r="L254" s="170">
        <v>44067</v>
      </c>
      <c r="M254" s="116">
        <v>271.8</v>
      </c>
      <c r="N254" s="116">
        <v>289</v>
      </c>
      <c r="O254" s="116">
        <v>270</v>
      </c>
      <c r="P254" s="116">
        <v>283</v>
      </c>
      <c r="Q254" s="116">
        <v>271.8</v>
      </c>
      <c r="R254">
        <v>453575</v>
      </c>
    </row>
    <row r="255" spans="1:18" x14ac:dyDescent="0.25">
      <c r="A255" s="170">
        <v>44068</v>
      </c>
      <c r="B255" s="116">
        <v>276.8</v>
      </c>
      <c r="C255" s="116">
        <v>264.05</v>
      </c>
      <c r="D255" s="116">
        <v>259.45</v>
      </c>
      <c r="E255" s="116">
        <v>274.64999999999998</v>
      </c>
      <c r="F255" s="116">
        <v>264.05</v>
      </c>
      <c r="G255">
        <v>27808</v>
      </c>
      <c r="H255" s="116"/>
      <c r="I255" s="116"/>
      <c r="L255" s="170">
        <v>44068</v>
      </c>
      <c r="M255" s="116">
        <v>263.95</v>
      </c>
      <c r="N255" s="116">
        <v>277</v>
      </c>
      <c r="O255" s="116">
        <v>259.35000000000002</v>
      </c>
      <c r="P255" s="116">
        <v>274</v>
      </c>
      <c r="Q255" s="116">
        <v>263.95</v>
      </c>
      <c r="R255">
        <v>289822</v>
      </c>
    </row>
    <row r="256" spans="1:18" x14ac:dyDescent="0.25">
      <c r="A256" s="170">
        <v>44069</v>
      </c>
      <c r="B256" s="116">
        <v>279.3</v>
      </c>
      <c r="C256" s="116">
        <v>277.5</v>
      </c>
      <c r="D256" s="116">
        <v>261</v>
      </c>
      <c r="E256" s="116">
        <v>267</v>
      </c>
      <c r="F256" s="116">
        <v>277.5</v>
      </c>
      <c r="G256">
        <v>49824</v>
      </c>
      <c r="H256" s="116"/>
      <c r="I256" s="116"/>
      <c r="L256" s="170">
        <v>44069</v>
      </c>
      <c r="M256" s="116">
        <v>277.39999999999998</v>
      </c>
      <c r="N256" s="116">
        <v>279.60000000000002</v>
      </c>
      <c r="O256" s="116">
        <v>260.60000000000002</v>
      </c>
      <c r="P256" s="116">
        <v>264.05</v>
      </c>
      <c r="Q256" s="116">
        <v>277.39999999999998</v>
      </c>
      <c r="R256">
        <v>403551</v>
      </c>
    </row>
    <row r="257" spans="1:18" x14ac:dyDescent="0.25">
      <c r="A257" s="170">
        <v>44070</v>
      </c>
      <c r="B257" s="116">
        <v>279.2</v>
      </c>
      <c r="C257" s="116">
        <v>272.8</v>
      </c>
      <c r="D257" s="116">
        <v>271</v>
      </c>
      <c r="E257" s="116">
        <v>278</v>
      </c>
      <c r="F257" s="116">
        <v>272.8</v>
      </c>
      <c r="G257">
        <v>26627</v>
      </c>
      <c r="H257" s="116"/>
      <c r="I257" s="116"/>
      <c r="L257" s="170">
        <v>44070</v>
      </c>
      <c r="M257" s="116">
        <v>273.10000000000002</v>
      </c>
      <c r="N257" s="116">
        <v>279.25</v>
      </c>
      <c r="O257" s="116">
        <v>270.64999999999998</v>
      </c>
      <c r="P257" s="116">
        <v>278.8</v>
      </c>
      <c r="Q257" s="116">
        <v>273.10000000000002</v>
      </c>
      <c r="R257">
        <v>216601</v>
      </c>
    </row>
    <row r="258" spans="1:18" x14ac:dyDescent="0.25">
      <c r="A258" s="170">
        <v>44071</v>
      </c>
      <c r="B258" s="116">
        <v>278.95</v>
      </c>
      <c r="C258" s="116">
        <v>267.7</v>
      </c>
      <c r="D258" s="116">
        <v>265.89999999999998</v>
      </c>
      <c r="E258" s="116">
        <v>278.95</v>
      </c>
      <c r="F258" s="116">
        <v>267.7</v>
      </c>
      <c r="G258">
        <v>15856</v>
      </c>
      <c r="H258" s="116"/>
      <c r="I258" s="116"/>
      <c r="L258" s="170">
        <v>44071</v>
      </c>
      <c r="M258" s="116">
        <v>267.89999999999998</v>
      </c>
      <c r="N258" s="116">
        <v>277.55</v>
      </c>
      <c r="O258" s="116">
        <v>265</v>
      </c>
      <c r="P258" s="116">
        <v>273.10000000000002</v>
      </c>
      <c r="Q258" s="116">
        <v>267.89999999999998</v>
      </c>
      <c r="R258">
        <v>208602</v>
      </c>
    </row>
    <row r="259" spans="1:18" x14ac:dyDescent="0.25">
      <c r="A259" s="170">
        <v>44074</v>
      </c>
      <c r="B259" s="116">
        <v>270.14999999999998</v>
      </c>
      <c r="C259" s="116">
        <v>251.8</v>
      </c>
      <c r="D259" s="116">
        <v>244.9</v>
      </c>
      <c r="E259" s="116">
        <v>269</v>
      </c>
      <c r="F259" s="116">
        <v>251.8</v>
      </c>
      <c r="G259">
        <v>22042</v>
      </c>
      <c r="H259" s="116"/>
      <c r="I259" s="116"/>
      <c r="L259" s="170">
        <v>44074</v>
      </c>
      <c r="M259" s="116">
        <v>252.75</v>
      </c>
      <c r="N259" s="116">
        <v>269.89999999999998</v>
      </c>
      <c r="O259" s="116">
        <v>244.25</v>
      </c>
      <c r="P259" s="116">
        <v>269.89999999999998</v>
      </c>
      <c r="Q259" s="116">
        <v>252.75</v>
      </c>
      <c r="R259">
        <v>306067</v>
      </c>
    </row>
    <row r="260" spans="1:18" x14ac:dyDescent="0.25">
      <c r="A260" s="170">
        <v>44075</v>
      </c>
      <c r="B260" s="116">
        <v>270</v>
      </c>
      <c r="C260" s="116">
        <v>253.7</v>
      </c>
      <c r="D260" s="116">
        <v>249</v>
      </c>
      <c r="E260" s="116">
        <v>253.3</v>
      </c>
      <c r="F260" s="116">
        <v>253.7</v>
      </c>
      <c r="G260">
        <v>15965</v>
      </c>
      <c r="H260" s="116"/>
      <c r="I260" s="116"/>
      <c r="L260" s="170">
        <v>44075</v>
      </c>
      <c r="M260" s="116">
        <v>253.45</v>
      </c>
      <c r="N260" s="116">
        <v>260.8</v>
      </c>
      <c r="O260" s="116">
        <v>248.75</v>
      </c>
      <c r="P260" s="116">
        <v>253</v>
      </c>
      <c r="Q260" s="116">
        <v>253.45</v>
      </c>
      <c r="R260">
        <v>123151</v>
      </c>
    </row>
    <row r="261" spans="1:18" x14ac:dyDescent="0.25">
      <c r="A261" s="170">
        <v>44076</v>
      </c>
      <c r="B261" s="116">
        <v>260</v>
      </c>
      <c r="C261" s="116">
        <v>255.75</v>
      </c>
      <c r="D261" s="116">
        <v>252.9</v>
      </c>
      <c r="E261" s="116">
        <v>253.75</v>
      </c>
      <c r="F261" s="116">
        <v>255.75</v>
      </c>
      <c r="G261">
        <v>14012</v>
      </c>
      <c r="H261" s="116"/>
      <c r="I261" s="116"/>
      <c r="L261" s="170">
        <v>44076</v>
      </c>
      <c r="M261" s="116">
        <v>255.7</v>
      </c>
      <c r="N261" s="116">
        <v>259.8</v>
      </c>
      <c r="O261" s="116">
        <v>252</v>
      </c>
      <c r="P261" s="116">
        <v>256.5</v>
      </c>
      <c r="Q261" s="116">
        <v>255.7</v>
      </c>
      <c r="R261">
        <v>117718</v>
      </c>
    </row>
    <row r="262" spans="1:18" x14ac:dyDescent="0.25">
      <c r="A262" s="170">
        <v>44077</v>
      </c>
      <c r="B262" s="116">
        <v>260.14999999999998</v>
      </c>
      <c r="C262" s="116">
        <v>257.05</v>
      </c>
      <c r="D262" s="116">
        <v>254.75</v>
      </c>
      <c r="E262" s="116">
        <v>255.75</v>
      </c>
      <c r="F262" s="116">
        <v>257.05</v>
      </c>
      <c r="G262">
        <v>16372</v>
      </c>
      <c r="H262" s="116"/>
      <c r="I262" s="116"/>
      <c r="L262" s="170">
        <v>44077</v>
      </c>
      <c r="M262" s="116">
        <v>257.14999999999998</v>
      </c>
      <c r="N262" s="116">
        <v>261</v>
      </c>
      <c r="O262" s="116">
        <v>255.1</v>
      </c>
      <c r="P262" s="116">
        <v>258.39999999999998</v>
      </c>
      <c r="Q262" s="116">
        <v>257.14999999999998</v>
      </c>
      <c r="R262">
        <v>63495</v>
      </c>
    </row>
    <row r="263" spans="1:18" x14ac:dyDescent="0.25">
      <c r="A263" s="170">
        <v>44078</v>
      </c>
      <c r="B263" s="116">
        <v>284.95</v>
      </c>
      <c r="C263" s="116">
        <v>268.8</v>
      </c>
      <c r="D263" s="116">
        <v>244</v>
      </c>
      <c r="E263" s="116">
        <v>244</v>
      </c>
      <c r="F263" s="116">
        <v>268.8</v>
      </c>
      <c r="G263">
        <v>73246</v>
      </c>
      <c r="H263" s="116"/>
      <c r="I263" s="116"/>
      <c r="L263" s="170">
        <v>44078</v>
      </c>
      <c r="M263" s="116">
        <v>268.8</v>
      </c>
      <c r="N263" s="116">
        <v>285.5</v>
      </c>
      <c r="O263" s="116">
        <v>250.6</v>
      </c>
      <c r="P263" s="116">
        <v>251</v>
      </c>
      <c r="Q263" s="116">
        <v>268.8</v>
      </c>
      <c r="R263">
        <v>682138</v>
      </c>
    </row>
    <row r="264" spans="1:18" x14ac:dyDescent="0.25">
      <c r="A264" s="170">
        <v>44081</v>
      </c>
      <c r="B264" s="116">
        <v>284.95</v>
      </c>
      <c r="C264" s="116">
        <v>273.95</v>
      </c>
      <c r="D264" s="116">
        <v>272.25</v>
      </c>
      <c r="E264" s="116">
        <v>279.8</v>
      </c>
      <c r="F264" s="116">
        <v>273.95</v>
      </c>
      <c r="G264">
        <v>31089</v>
      </c>
      <c r="H264" s="116"/>
      <c r="I264" s="116"/>
      <c r="L264" s="170">
        <v>44081</v>
      </c>
      <c r="M264" s="116">
        <v>274.10000000000002</v>
      </c>
      <c r="N264" s="116">
        <v>285</v>
      </c>
      <c r="O264" s="116">
        <v>272.10000000000002</v>
      </c>
      <c r="P264" s="116">
        <v>281.2</v>
      </c>
      <c r="Q264" s="116">
        <v>274.10000000000002</v>
      </c>
      <c r="R264">
        <v>551522</v>
      </c>
    </row>
    <row r="265" spans="1:18" x14ac:dyDescent="0.25">
      <c r="A265" s="170">
        <v>44082</v>
      </c>
      <c r="B265" s="116">
        <v>284.35000000000002</v>
      </c>
      <c r="C265" s="116">
        <v>274</v>
      </c>
      <c r="D265" s="116">
        <v>271.10000000000002</v>
      </c>
      <c r="E265" s="116">
        <v>275.85000000000002</v>
      </c>
      <c r="F265" s="116">
        <v>274</v>
      </c>
      <c r="G265">
        <v>30135</v>
      </c>
      <c r="H265" s="116"/>
      <c r="I265" s="116"/>
      <c r="L265" s="170">
        <v>44082</v>
      </c>
      <c r="M265" s="116">
        <v>274</v>
      </c>
      <c r="N265" s="116">
        <v>284.5</v>
      </c>
      <c r="O265" s="116">
        <v>270.75</v>
      </c>
      <c r="P265" s="116">
        <v>277.89999999999998</v>
      </c>
      <c r="Q265" s="116">
        <v>274</v>
      </c>
      <c r="R265">
        <v>471060</v>
      </c>
    </row>
    <row r="266" spans="1:18" x14ac:dyDescent="0.25">
      <c r="A266" s="170">
        <v>44083</v>
      </c>
      <c r="B266" s="116">
        <v>280</v>
      </c>
      <c r="C266" s="116">
        <v>267.8</v>
      </c>
      <c r="D266" s="116">
        <v>264.39999999999998</v>
      </c>
      <c r="E266" s="116">
        <v>274</v>
      </c>
      <c r="F266" s="116">
        <v>267.8</v>
      </c>
      <c r="G266">
        <v>13736</v>
      </c>
      <c r="H266" s="116"/>
      <c r="I266" s="116"/>
      <c r="L266" s="170">
        <v>44083</v>
      </c>
      <c r="M266" s="116">
        <v>267.85000000000002</v>
      </c>
      <c r="N266" s="116">
        <v>274.14999999999998</v>
      </c>
      <c r="O266" s="116">
        <v>263.75</v>
      </c>
      <c r="P266" s="116">
        <v>270</v>
      </c>
      <c r="Q266" s="116">
        <v>267.85000000000002</v>
      </c>
      <c r="R266">
        <v>203164</v>
      </c>
    </row>
    <row r="267" spans="1:18" x14ac:dyDescent="0.25">
      <c r="A267" s="170">
        <v>44084</v>
      </c>
      <c r="B267" s="116">
        <v>278</v>
      </c>
      <c r="C267" s="116">
        <v>272.45</v>
      </c>
      <c r="D267" s="116">
        <v>270.89999999999998</v>
      </c>
      <c r="E267" s="116">
        <v>272.64999999999998</v>
      </c>
      <c r="F267" s="116">
        <v>272.45</v>
      </c>
      <c r="G267">
        <v>18810</v>
      </c>
      <c r="H267" s="116"/>
      <c r="I267" s="116"/>
      <c r="L267" s="170">
        <v>44084</v>
      </c>
      <c r="M267" s="116">
        <v>272.5</v>
      </c>
      <c r="N267" s="116">
        <v>278.64999999999998</v>
      </c>
      <c r="O267" s="116">
        <v>269.25</v>
      </c>
      <c r="P267" s="116">
        <v>269.25</v>
      </c>
      <c r="Q267" s="116">
        <v>272.5</v>
      </c>
      <c r="R267">
        <v>225620</v>
      </c>
    </row>
    <row r="268" spans="1:18" x14ac:dyDescent="0.25">
      <c r="A268" s="170">
        <v>44085</v>
      </c>
      <c r="B268" s="116">
        <v>278.5</v>
      </c>
      <c r="C268" s="116">
        <v>269.14999999999998</v>
      </c>
      <c r="D268" s="116">
        <v>267</v>
      </c>
      <c r="E268" s="116">
        <v>273.95</v>
      </c>
      <c r="F268" s="116">
        <v>269.14999999999998</v>
      </c>
      <c r="G268">
        <v>17494</v>
      </c>
      <c r="H268" s="116"/>
      <c r="I268" s="116"/>
      <c r="L268" s="170">
        <v>44085</v>
      </c>
      <c r="M268" s="116">
        <v>268.8</v>
      </c>
      <c r="N268" s="116">
        <v>278.7</v>
      </c>
      <c r="O268" s="116">
        <v>267</v>
      </c>
      <c r="P268" s="116">
        <v>274.7</v>
      </c>
      <c r="Q268" s="116">
        <v>268.8</v>
      </c>
      <c r="R268">
        <v>305759</v>
      </c>
    </row>
    <row r="269" spans="1:18" x14ac:dyDescent="0.25">
      <c r="A269" s="170">
        <v>44088</v>
      </c>
      <c r="B269" s="116">
        <v>278.5</v>
      </c>
      <c r="C269" s="116">
        <v>256.5</v>
      </c>
      <c r="D269" s="116">
        <v>251.1</v>
      </c>
      <c r="E269" s="116">
        <v>271</v>
      </c>
      <c r="F269" s="116">
        <v>256.5</v>
      </c>
      <c r="G269">
        <v>72399</v>
      </c>
      <c r="H269" s="116"/>
      <c r="I269" s="116"/>
      <c r="L269" s="170">
        <v>44088</v>
      </c>
      <c r="M269" s="116">
        <v>256.60000000000002</v>
      </c>
      <c r="N269" s="116">
        <v>279</v>
      </c>
      <c r="O269" s="116">
        <v>253</v>
      </c>
      <c r="P269" s="116">
        <v>270</v>
      </c>
      <c r="Q269" s="116">
        <v>256.60000000000002</v>
      </c>
      <c r="R269">
        <v>576069</v>
      </c>
    </row>
    <row r="270" spans="1:18" x14ac:dyDescent="0.25">
      <c r="A270" s="170">
        <v>44089</v>
      </c>
      <c r="B270" s="116">
        <v>261.95</v>
      </c>
      <c r="C270" s="116">
        <v>235.05</v>
      </c>
      <c r="D270" s="116">
        <v>231</v>
      </c>
      <c r="E270" s="116">
        <v>261.95</v>
      </c>
      <c r="F270" s="116">
        <v>235.05</v>
      </c>
      <c r="G270">
        <v>60694</v>
      </c>
      <c r="H270" s="116"/>
      <c r="I270" s="116"/>
      <c r="L270" s="170">
        <v>44089</v>
      </c>
      <c r="M270" s="116">
        <v>235.35</v>
      </c>
      <c r="N270" s="116">
        <v>259.39999999999998</v>
      </c>
      <c r="O270" s="116">
        <v>231.2</v>
      </c>
      <c r="P270" s="116">
        <v>259</v>
      </c>
      <c r="Q270" s="116">
        <v>235.35</v>
      </c>
      <c r="R270">
        <v>795384</v>
      </c>
    </row>
    <row r="271" spans="1:18" x14ac:dyDescent="0.25">
      <c r="A271" s="170">
        <v>44090</v>
      </c>
      <c r="B271" s="116">
        <v>244.35</v>
      </c>
      <c r="C271" s="116">
        <v>236</v>
      </c>
      <c r="D271" s="116">
        <v>218</v>
      </c>
      <c r="E271" s="116">
        <v>232</v>
      </c>
      <c r="F271" s="116">
        <v>236</v>
      </c>
      <c r="G271">
        <v>45857</v>
      </c>
      <c r="H271" s="116"/>
      <c r="I271" s="116"/>
      <c r="L271" s="170">
        <v>44090</v>
      </c>
      <c r="M271" s="116">
        <v>236</v>
      </c>
      <c r="N271" s="116">
        <v>244.65</v>
      </c>
      <c r="O271" s="116">
        <v>216.6</v>
      </c>
      <c r="P271" s="116">
        <v>225.2</v>
      </c>
      <c r="Q271" s="116">
        <v>236</v>
      </c>
      <c r="R271">
        <v>883675</v>
      </c>
    </row>
    <row r="272" spans="1:18" x14ac:dyDescent="0.25">
      <c r="A272" s="170">
        <v>44091</v>
      </c>
      <c r="B272" s="116">
        <v>237.9</v>
      </c>
      <c r="C272" s="116">
        <v>223.75</v>
      </c>
      <c r="D272" s="116">
        <v>222.6</v>
      </c>
      <c r="E272" s="116">
        <v>232</v>
      </c>
      <c r="F272" s="116">
        <v>223.75</v>
      </c>
      <c r="G272">
        <v>29783</v>
      </c>
      <c r="H272" s="116"/>
      <c r="I272" s="116"/>
      <c r="L272" s="170">
        <v>44091</v>
      </c>
      <c r="M272" s="116">
        <v>223.55</v>
      </c>
      <c r="N272" s="116">
        <v>238.2</v>
      </c>
      <c r="O272" s="116">
        <v>222.2</v>
      </c>
      <c r="P272" s="116">
        <v>230</v>
      </c>
      <c r="Q272" s="116">
        <v>223.55</v>
      </c>
      <c r="R272">
        <v>527335</v>
      </c>
    </row>
    <row r="273" spans="1:18" x14ac:dyDescent="0.25">
      <c r="A273" s="170">
        <v>44092</v>
      </c>
      <c r="B273" s="116">
        <v>239</v>
      </c>
      <c r="C273" s="116">
        <v>219.65</v>
      </c>
      <c r="D273" s="116">
        <v>217.1</v>
      </c>
      <c r="E273" s="116">
        <v>235</v>
      </c>
      <c r="F273" s="116">
        <v>219.65</v>
      </c>
      <c r="G273">
        <v>86959</v>
      </c>
      <c r="H273" s="116"/>
      <c r="I273" s="116"/>
      <c r="L273" s="170">
        <v>44092</v>
      </c>
      <c r="M273" s="116">
        <v>219.9</v>
      </c>
      <c r="N273" s="116">
        <v>239</v>
      </c>
      <c r="O273" s="116">
        <v>216.95</v>
      </c>
      <c r="P273" s="116">
        <v>236</v>
      </c>
      <c r="Q273" s="116">
        <v>219.9</v>
      </c>
      <c r="R273">
        <v>1195102</v>
      </c>
    </row>
    <row r="274" spans="1:18" x14ac:dyDescent="0.25">
      <c r="A274" s="170">
        <v>44095</v>
      </c>
      <c r="B274" s="116">
        <v>224.35</v>
      </c>
      <c r="C274" s="116">
        <v>208.35</v>
      </c>
      <c r="D274" s="116">
        <v>205.1</v>
      </c>
      <c r="E274" s="116">
        <v>223</v>
      </c>
      <c r="F274" s="116">
        <v>208.35</v>
      </c>
      <c r="G274">
        <v>25052</v>
      </c>
      <c r="H274" s="116"/>
      <c r="I274" s="116"/>
      <c r="L274" s="170">
        <v>44095</v>
      </c>
      <c r="M274" s="116">
        <v>208.05</v>
      </c>
      <c r="N274" s="116">
        <v>223</v>
      </c>
      <c r="O274" s="116">
        <v>205.1</v>
      </c>
      <c r="P274" s="116">
        <v>221</v>
      </c>
      <c r="Q274" s="116">
        <v>208.05</v>
      </c>
      <c r="R274">
        <v>499708</v>
      </c>
    </row>
    <row r="275" spans="1:18" x14ac:dyDescent="0.25">
      <c r="A275" s="170">
        <v>44096</v>
      </c>
      <c r="B275" s="116">
        <v>209.9</v>
      </c>
      <c r="C275" s="116">
        <v>196.6</v>
      </c>
      <c r="D275" s="116">
        <v>187.25</v>
      </c>
      <c r="E275" s="116">
        <v>197</v>
      </c>
      <c r="F275" s="116">
        <v>196.6</v>
      </c>
      <c r="G275">
        <v>78586</v>
      </c>
      <c r="H275" s="116"/>
      <c r="I275" s="116"/>
      <c r="L275" s="170">
        <v>44096</v>
      </c>
      <c r="M275" s="116">
        <v>196.45</v>
      </c>
      <c r="N275" s="116">
        <v>208</v>
      </c>
      <c r="O275" s="116">
        <v>188.6</v>
      </c>
      <c r="P275" s="116">
        <v>208</v>
      </c>
      <c r="Q275" s="116">
        <v>196.45</v>
      </c>
      <c r="R275">
        <v>726899</v>
      </c>
    </row>
    <row r="276" spans="1:18" x14ac:dyDescent="0.25">
      <c r="A276" s="170">
        <v>44097</v>
      </c>
      <c r="B276" s="116">
        <v>235.9</v>
      </c>
      <c r="C276" s="116">
        <v>235.9</v>
      </c>
      <c r="D276" s="116">
        <v>222.9</v>
      </c>
      <c r="E276" s="116">
        <v>222.9</v>
      </c>
      <c r="F276" s="116">
        <v>235.9</v>
      </c>
      <c r="G276">
        <v>359149</v>
      </c>
      <c r="H276" s="116"/>
      <c r="I276" s="116"/>
      <c r="L276" s="170">
        <v>44097</v>
      </c>
      <c r="M276" s="116">
        <v>235.7</v>
      </c>
      <c r="N276" s="116">
        <v>235.7</v>
      </c>
      <c r="O276" s="116">
        <v>225.5</v>
      </c>
      <c r="P276" s="116">
        <v>227.2</v>
      </c>
      <c r="Q276" s="116">
        <v>235.7</v>
      </c>
      <c r="R276">
        <v>2128017</v>
      </c>
    </row>
    <row r="277" spans="1:18" x14ac:dyDescent="0.25">
      <c r="A277" s="170">
        <v>44098</v>
      </c>
      <c r="B277" s="116">
        <v>257.89999999999998</v>
      </c>
      <c r="C277" s="116">
        <v>233.5</v>
      </c>
      <c r="D277" s="116">
        <v>221.85</v>
      </c>
      <c r="E277" s="116">
        <v>226.95</v>
      </c>
      <c r="F277" s="116">
        <v>233.5</v>
      </c>
      <c r="G277">
        <v>198631</v>
      </c>
      <c r="H277" s="116"/>
      <c r="I277" s="116"/>
      <c r="L277" s="170">
        <v>44098</v>
      </c>
      <c r="M277" s="116">
        <v>233.35</v>
      </c>
      <c r="N277" s="116">
        <v>257.7</v>
      </c>
      <c r="O277" s="116">
        <v>222</v>
      </c>
      <c r="P277" s="116">
        <v>227.55</v>
      </c>
      <c r="Q277" s="116">
        <v>233.35</v>
      </c>
      <c r="R277">
        <v>1823465</v>
      </c>
    </row>
    <row r="278" spans="1:18" x14ac:dyDescent="0.25">
      <c r="A278" s="170">
        <v>44099</v>
      </c>
      <c r="B278" s="116">
        <v>242.9</v>
      </c>
      <c r="C278" s="116">
        <v>236.35</v>
      </c>
      <c r="D278" s="116">
        <v>231.05</v>
      </c>
      <c r="E278" s="116">
        <v>236</v>
      </c>
      <c r="F278" s="116">
        <v>236.35</v>
      </c>
      <c r="G278">
        <v>58726</v>
      </c>
      <c r="H278" s="116"/>
      <c r="I278" s="116"/>
      <c r="L278" s="170">
        <v>44099</v>
      </c>
      <c r="M278" s="116">
        <v>236.5</v>
      </c>
      <c r="N278" s="116">
        <v>243.8</v>
      </c>
      <c r="O278" s="116">
        <v>230.45</v>
      </c>
      <c r="P278" s="116">
        <v>236.9</v>
      </c>
      <c r="Q278" s="116">
        <v>236.5</v>
      </c>
      <c r="R278">
        <v>424761</v>
      </c>
    </row>
    <row r="279" spans="1:18" x14ac:dyDescent="0.25">
      <c r="A279" s="170">
        <v>44102</v>
      </c>
      <c r="B279" s="116">
        <v>243</v>
      </c>
      <c r="C279" s="116">
        <v>239.1</v>
      </c>
      <c r="D279" s="116">
        <v>236.85</v>
      </c>
      <c r="E279" s="116">
        <v>243</v>
      </c>
      <c r="F279" s="116">
        <v>239.1</v>
      </c>
      <c r="G279">
        <v>22614</v>
      </c>
      <c r="H279" s="116"/>
      <c r="I279" s="116"/>
      <c r="L279" s="170">
        <v>44102</v>
      </c>
      <c r="M279" s="116">
        <v>239.1</v>
      </c>
      <c r="N279" s="116">
        <v>244</v>
      </c>
      <c r="O279" s="116">
        <v>237</v>
      </c>
      <c r="P279" s="116">
        <v>242</v>
      </c>
      <c r="Q279" s="116">
        <v>239.1</v>
      </c>
      <c r="R279">
        <v>243829</v>
      </c>
    </row>
    <row r="280" spans="1:18" x14ac:dyDescent="0.25">
      <c r="A280" s="170">
        <v>44103</v>
      </c>
      <c r="B280" s="116">
        <v>242.85</v>
      </c>
      <c r="C280" s="116">
        <v>230.5</v>
      </c>
      <c r="D280" s="116">
        <v>227.05</v>
      </c>
      <c r="E280" s="116">
        <v>240</v>
      </c>
      <c r="F280" s="116">
        <v>230.5</v>
      </c>
      <c r="G280">
        <v>26583</v>
      </c>
      <c r="H280" s="116"/>
      <c r="I280" s="116"/>
      <c r="L280" s="170">
        <v>44103</v>
      </c>
      <c r="M280" s="116">
        <v>230.1</v>
      </c>
      <c r="N280" s="116">
        <v>242.8</v>
      </c>
      <c r="O280" s="116">
        <v>226.1</v>
      </c>
      <c r="P280" s="116">
        <v>241</v>
      </c>
      <c r="Q280" s="116">
        <v>230.1</v>
      </c>
      <c r="R280">
        <v>335319</v>
      </c>
    </row>
    <row r="281" spans="1:18" x14ac:dyDescent="0.25">
      <c r="A281" s="170">
        <v>44104</v>
      </c>
      <c r="B281" s="116">
        <v>232.65</v>
      </c>
      <c r="C281" s="116">
        <v>225.3</v>
      </c>
      <c r="D281" s="116">
        <v>224</v>
      </c>
      <c r="E281" s="116">
        <v>230.1</v>
      </c>
      <c r="F281" s="116">
        <v>225.3</v>
      </c>
      <c r="G281">
        <v>23314</v>
      </c>
      <c r="H281" s="116"/>
      <c r="I281" s="116"/>
      <c r="L281" s="170">
        <v>44104</v>
      </c>
      <c r="M281" s="116">
        <v>225.7</v>
      </c>
      <c r="N281" s="116">
        <v>232.95</v>
      </c>
      <c r="O281" s="116">
        <v>224.05</v>
      </c>
      <c r="P281" s="116">
        <v>230.5</v>
      </c>
      <c r="Q281" s="116">
        <v>225.7</v>
      </c>
      <c r="R281">
        <v>152876</v>
      </c>
    </row>
    <row r="282" spans="1:18" x14ac:dyDescent="0.25">
      <c r="A282" s="170">
        <v>44105</v>
      </c>
      <c r="B282" s="116">
        <v>228.95</v>
      </c>
      <c r="C282" s="116">
        <v>221.45</v>
      </c>
      <c r="D282" s="116">
        <v>215.8</v>
      </c>
      <c r="E282" s="116">
        <v>228</v>
      </c>
      <c r="F282" s="116">
        <v>221.45</v>
      </c>
      <c r="G282">
        <v>19506</v>
      </c>
      <c r="H282" s="116"/>
      <c r="I282" s="116"/>
      <c r="L282" s="170">
        <v>44105</v>
      </c>
      <c r="M282" s="116">
        <v>221.35</v>
      </c>
      <c r="N282" s="116">
        <v>229.95</v>
      </c>
      <c r="O282" s="116">
        <v>216</v>
      </c>
      <c r="P282" s="116">
        <v>229.3</v>
      </c>
      <c r="Q282" s="116">
        <v>221.35</v>
      </c>
      <c r="R282">
        <v>234990</v>
      </c>
    </row>
    <row r="283" spans="1:18" x14ac:dyDescent="0.25">
      <c r="A283" s="170">
        <v>44109</v>
      </c>
      <c r="B283" s="116">
        <v>226.95</v>
      </c>
      <c r="C283" s="116">
        <v>219.9</v>
      </c>
      <c r="D283" s="116">
        <v>218</v>
      </c>
      <c r="E283" s="116">
        <v>222</v>
      </c>
      <c r="F283" s="116">
        <v>219.9</v>
      </c>
      <c r="G283">
        <v>19641</v>
      </c>
      <c r="H283" s="116"/>
      <c r="I283" s="116"/>
      <c r="L283" s="170">
        <v>44109</v>
      </c>
      <c r="M283" s="116">
        <v>220</v>
      </c>
      <c r="N283" s="116">
        <v>227</v>
      </c>
      <c r="O283" s="116">
        <v>218</v>
      </c>
      <c r="P283" s="116">
        <v>224.45</v>
      </c>
      <c r="Q283" s="116">
        <v>220</v>
      </c>
      <c r="R283">
        <v>176587</v>
      </c>
    </row>
    <row r="284" spans="1:18" x14ac:dyDescent="0.25">
      <c r="A284" s="170">
        <v>44110</v>
      </c>
      <c r="B284" s="116">
        <v>234.85</v>
      </c>
      <c r="C284" s="116">
        <v>222.7</v>
      </c>
      <c r="D284" s="116">
        <v>217.3</v>
      </c>
      <c r="E284" s="116">
        <v>222.1</v>
      </c>
      <c r="F284" s="116">
        <v>222.7</v>
      </c>
      <c r="G284">
        <v>23633</v>
      </c>
      <c r="H284" s="116"/>
      <c r="I284" s="116"/>
      <c r="L284" s="170">
        <v>44110</v>
      </c>
      <c r="M284" s="116">
        <v>222.45</v>
      </c>
      <c r="N284" s="116">
        <v>234.8</v>
      </c>
      <c r="O284" s="116">
        <v>217.25</v>
      </c>
      <c r="P284" s="116">
        <v>222.7</v>
      </c>
      <c r="Q284" s="116">
        <v>222.45</v>
      </c>
      <c r="R284">
        <v>567333</v>
      </c>
    </row>
    <row r="285" spans="1:18" x14ac:dyDescent="0.25">
      <c r="A285" s="170">
        <v>44111</v>
      </c>
      <c r="B285" s="116">
        <v>225.75</v>
      </c>
      <c r="C285" s="116">
        <v>219.45</v>
      </c>
      <c r="D285" s="116">
        <v>218.7</v>
      </c>
      <c r="E285" s="116">
        <v>224</v>
      </c>
      <c r="F285" s="116">
        <v>219.45</v>
      </c>
      <c r="G285">
        <v>19620</v>
      </c>
      <c r="H285" s="116"/>
      <c r="I285" s="116"/>
      <c r="L285" s="170">
        <v>44111</v>
      </c>
      <c r="M285" s="116">
        <v>219.75</v>
      </c>
      <c r="N285" s="116">
        <v>225.8</v>
      </c>
      <c r="O285" s="116">
        <v>218.3</v>
      </c>
      <c r="P285" s="116">
        <v>223.5</v>
      </c>
      <c r="Q285" s="116">
        <v>219.75</v>
      </c>
      <c r="R285">
        <v>150355</v>
      </c>
    </row>
    <row r="286" spans="1:18" x14ac:dyDescent="0.25">
      <c r="A286" s="170">
        <v>44112</v>
      </c>
      <c r="B286" s="116">
        <v>222.5</v>
      </c>
      <c r="C286" s="116">
        <v>217.25</v>
      </c>
      <c r="D286" s="116">
        <v>216.2</v>
      </c>
      <c r="E286" s="116">
        <v>218.05</v>
      </c>
      <c r="F286" s="116">
        <v>217.25</v>
      </c>
      <c r="G286">
        <v>8469</v>
      </c>
      <c r="H286" s="116"/>
      <c r="I286" s="116"/>
      <c r="L286" s="170">
        <v>44112</v>
      </c>
      <c r="M286" s="116">
        <v>217.2</v>
      </c>
      <c r="N286" s="116">
        <v>222.8</v>
      </c>
      <c r="O286" s="116">
        <v>216.1</v>
      </c>
      <c r="P286" s="116">
        <v>221.85</v>
      </c>
      <c r="Q286" s="116">
        <v>217.2</v>
      </c>
      <c r="R286">
        <v>115967</v>
      </c>
    </row>
    <row r="287" spans="1:18" x14ac:dyDescent="0.25">
      <c r="A287" s="170">
        <v>44113</v>
      </c>
      <c r="B287" s="116">
        <v>221.75</v>
      </c>
      <c r="C287" s="116">
        <v>219</v>
      </c>
      <c r="D287" s="116">
        <v>214.1</v>
      </c>
      <c r="E287" s="116">
        <v>220.2</v>
      </c>
      <c r="F287" s="116">
        <v>219</v>
      </c>
      <c r="G287">
        <v>14925</v>
      </c>
      <c r="H287" s="116"/>
      <c r="I287" s="116"/>
      <c r="L287" s="170">
        <v>44113</v>
      </c>
      <c r="M287" s="116">
        <v>219</v>
      </c>
      <c r="N287" s="116">
        <v>222</v>
      </c>
      <c r="O287" s="116">
        <v>214.15</v>
      </c>
      <c r="P287" s="116">
        <v>219.3</v>
      </c>
      <c r="Q287" s="116">
        <v>219</v>
      </c>
      <c r="R287">
        <v>187361</v>
      </c>
    </row>
    <row r="288" spans="1:18" x14ac:dyDescent="0.25">
      <c r="A288" s="170">
        <v>44116</v>
      </c>
      <c r="B288" s="116">
        <v>222.6</v>
      </c>
      <c r="C288" s="116">
        <v>213.7</v>
      </c>
      <c r="D288" s="116">
        <v>212.45</v>
      </c>
      <c r="E288" s="116">
        <v>221.8</v>
      </c>
      <c r="F288" s="116">
        <v>213.7</v>
      </c>
      <c r="G288">
        <v>16930</v>
      </c>
      <c r="H288" s="116"/>
      <c r="I288" s="116"/>
      <c r="L288" s="170">
        <v>44116</v>
      </c>
      <c r="M288" s="116">
        <v>213.5</v>
      </c>
      <c r="N288" s="116">
        <v>221.7</v>
      </c>
      <c r="O288" s="116">
        <v>212.1</v>
      </c>
      <c r="P288" s="116">
        <v>221.05</v>
      </c>
      <c r="Q288" s="116">
        <v>213.5</v>
      </c>
      <c r="R288">
        <v>104154</v>
      </c>
    </row>
    <row r="289" spans="1:18" x14ac:dyDescent="0.25">
      <c r="A289" s="170">
        <v>44117</v>
      </c>
      <c r="B289" s="116">
        <v>218.25</v>
      </c>
      <c r="C289" s="116">
        <v>211.6</v>
      </c>
      <c r="D289" s="116">
        <v>210.55</v>
      </c>
      <c r="E289" s="116">
        <v>215</v>
      </c>
      <c r="F289" s="116">
        <v>211.6</v>
      </c>
      <c r="G289">
        <v>12465</v>
      </c>
      <c r="H289" s="116"/>
      <c r="I289" s="116"/>
      <c r="L289" s="170">
        <v>44117</v>
      </c>
      <c r="M289" s="116">
        <v>211.7</v>
      </c>
      <c r="N289" s="116">
        <v>218.75</v>
      </c>
      <c r="O289" s="116">
        <v>210.7</v>
      </c>
      <c r="P289" s="116">
        <v>213.5</v>
      </c>
      <c r="Q289" s="116">
        <v>211.7</v>
      </c>
      <c r="R289">
        <v>183357</v>
      </c>
    </row>
    <row r="290" spans="1:18" x14ac:dyDescent="0.25">
      <c r="A290" s="170">
        <v>44118</v>
      </c>
      <c r="B290" s="116">
        <v>212.55</v>
      </c>
      <c r="C290" s="116">
        <v>207</v>
      </c>
      <c r="D290" s="116">
        <v>202.35</v>
      </c>
      <c r="E290" s="116">
        <v>212.15</v>
      </c>
      <c r="F290" s="116">
        <v>207</v>
      </c>
      <c r="G290">
        <v>13887</v>
      </c>
      <c r="H290" s="116"/>
      <c r="I290" s="116"/>
      <c r="L290" s="170">
        <v>44118</v>
      </c>
      <c r="M290" s="116">
        <v>206.95</v>
      </c>
      <c r="N290" s="116">
        <v>213.65</v>
      </c>
      <c r="O290" s="116">
        <v>202.1</v>
      </c>
      <c r="P290" s="116">
        <v>210.1</v>
      </c>
      <c r="Q290" s="116">
        <v>206.95</v>
      </c>
      <c r="R290">
        <v>179807</v>
      </c>
    </row>
    <row r="291" spans="1:18" x14ac:dyDescent="0.25">
      <c r="A291" s="170">
        <v>44119</v>
      </c>
      <c r="B291" s="116">
        <v>210.6</v>
      </c>
      <c r="C291" s="116">
        <v>204.3</v>
      </c>
      <c r="D291" s="116">
        <v>202.5</v>
      </c>
      <c r="E291" s="116">
        <v>208</v>
      </c>
      <c r="F291" s="116">
        <v>204.3</v>
      </c>
      <c r="G291">
        <v>11992</v>
      </c>
      <c r="H291" s="116"/>
      <c r="I291" s="116"/>
      <c r="L291" s="170">
        <v>44119</v>
      </c>
      <c r="M291" s="116">
        <v>203.8</v>
      </c>
      <c r="N291" s="116">
        <v>210.7</v>
      </c>
      <c r="O291" s="116">
        <v>202</v>
      </c>
      <c r="P291" s="116">
        <v>210.7</v>
      </c>
      <c r="Q291" s="116">
        <v>203.8</v>
      </c>
      <c r="R291">
        <v>118146</v>
      </c>
    </row>
    <row r="292" spans="1:18" x14ac:dyDescent="0.25">
      <c r="A292" s="170">
        <v>44120</v>
      </c>
      <c r="B292" s="116">
        <v>209.2</v>
      </c>
      <c r="C292" s="116">
        <v>206.8</v>
      </c>
      <c r="D292" s="116">
        <v>202.95</v>
      </c>
      <c r="E292" s="116">
        <v>203.55</v>
      </c>
      <c r="F292" s="116">
        <v>206.8</v>
      </c>
      <c r="G292">
        <v>7729</v>
      </c>
      <c r="H292" s="116"/>
      <c r="I292" s="116"/>
      <c r="L292" s="170">
        <v>44120</v>
      </c>
      <c r="M292" s="116">
        <v>206.45</v>
      </c>
      <c r="N292" s="116">
        <v>209</v>
      </c>
      <c r="O292" s="116">
        <v>203.2</v>
      </c>
      <c r="P292" s="116">
        <v>208</v>
      </c>
      <c r="Q292" s="116">
        <v>206.45</v>
      </c>
      <c r="R292">
        <v>73951</v>
      </c>
    </row>
    <row r="293" spans="1:18" x14ac:dyDescent="0.25">
      <c r="A293" s="170">
        <v>44123</v>
      </c>
      <c r="B293" s="116">
        <v>214.8</v>
      </c>
      <c r="C293" s="116">
        <v>212.95</v>
      </c>
      <c r="D293" s="116">
        <v>205.5</v>
      </c>
      <c r="E293" s="116">
        <v>207.85</v>
      </c>
      <c r="F293" s="116">
        <v>212.95</v>
      </c>
      <c r="G293">
        <v>29475</v>
      </c>
      <c r="H293" s="116"/>
      <c r="I293" s="116"/>
      <c r="L293" s="170">
        <v>44123</v>
      </c>
      <c r="M293" s="116">
        <v>212.85</v>
      </c>
      <c r="N293" s="116">
        <v>214.8</v>
      </c>
      <c r="O293" s="116">
        <v>205.5</v>
      </c>
      <c r="P293" s="116">
        <v>208</v>
      </c>
      <c r="Q293" s="116">
        <v>212.85</v>
      </c>
      <c r="R293">
        <v>193793</v>
      </c>
    </row>
    <row r="294" spans="1:18" x14ac:dyDescent="0.25">
      <c r="A294" s="170">
        <v>44124</v>
      </c>
      <c r="B294" s="116">
        <v>214.9</v>
      </c>
      <c r="C294" s="116">
        <v>209.8</v>
      </c>
      <c r="D294" s="116">
        <v>208.4</v>
      </c>
      <c r="E294" s="116">
        <v>213</v>
      </c>
      <c r="F294" s="116">
        <v>209.8</v>
      </c>
      <c r="G294">
        <v>12994</v>
      </c>
      <c r="H294" s="116"/>
      <c r="I294" s="116"/>
      <c r="L294" s="170">
        <v>44124</v>
      </c>
      <c r="M294" s="116">
        <v>210</v>
      </c>
      <c r="N294" s="116">
        <v>214.8</v>
      </c>
      <c r="O294" s="116">
        <v>208.25</v>
      </c>
      <c r="P294" s="116">
        <v>213.6</v>
      </c>
      <c r="Q294" s="116">
        <v>210</v>
      </c>
      <c r="R294">
        <v>92513</v>
      </c>
    </row>
    <row r="295" spans="1:18" x14ac:dyDescent="0.25">
      <c r="A295" s="170">
        <v>44125</v>
      </c>
      <c r="B295" s="116">
        <v>218.95</v>
      </c>
      <c r="C295" s="116">
        <v>212.75</v>
      </c>
      <c r="D295" s="116">
        <v>208.55</v>
      </c>
      <c r="E295" s="116">
        <v>211.25</v>
      </c>
      <c r="F295" s="116">
        <v>212.75</v>
      </c>
      <c r="G295">
        <v>16485</v>
      </c>
      <c r="H295" s="116"/>
      <c r="I295" s="116"/>
      <c r="L295" s="170">
        <v>44125</v>
      </c>
      <c r="M295" s="116">
        <v>213.15</v>
      </c>
      <c r="N295" s="116">
        <v>218.5</v>
      </c>
      <c r="O295" s="116">
        <v>208.15</v>
      </c>
      <c r="P295" s="116">
        <v>211</v>
      </c>
      <c r="Q295" s="116">
        <v>213.15</v>
      </c>
      <c r="R295">
        <v>212707</v>
      </c>
    </row>
    <row r="296" spans="1:18" x14ac:dyDescent="0.25">
      <c r="A296" s="170">
        <v>44126</v>
      </c>
      <c r="B296" s="116">
        <v>226.1</v>
      </c>
      <c r="C296" s="116">
        <v>223.7</v>
      </c>
      <c r="D296" s="116">
        <v>212</v>
      </c>
      <c r="E296" s="116">
        <v>213</v>
      </c>
      <c r="F296" s="116">
        <v>223.7</v>
      </c>
      <c r="G296">
        <v>10376</v>
      </c>
      <c r="H296" s="116"/>
      <c r="I296" s="116"/>
      <c r="L296" s="170">
        <v>44126</v>
      </c>
      <c r="M296" s="116">
        <v>223.5</v>
      </c>
      <c r="N296" s="116">
        <v>226</v>
      </c>
      <c r="O296" s="116">
        <v>211.55</v>
      </c>
      <c r="P296" s="116">
        <v>213</v>
      </c>
      <c r="Q296" s="116">
        <v>223.5</v>
      </c>
      <c r="R296">
        <v>293680</v>
      </c>
    </row>
    <row r="297" spans="1:18" x14ac:dyDescent="0.25">
      <c r="A297" s="170">
        <v>44127</v>
      </c>
      <c r="B297" s="116">
        <v>235</v>
      </c>
      <c r="C297" s="116">
        <v>230.75</v>
      </c>
      <c r="D297" s="116">
        <v>224.5</v>
      </c>
      <c r="E297" s="116">
        <v>224.65</v>
      </c>
      <c r="F297" s="116">
        <v>230.75</v>
      </c>
      <c r="G297">
        <v>33476</v>
      </c>
      <c r="H297" s="116"/>
      <c r="I297" s="116"/>
      <c r="L297" s="170">
        <v>44127</v>
      </c>
      <c r="M297" s="116">
        <v>230.9</v>
      </c>
      <c r="N297" s="116">
        <v>234.8</v>
      </c>
      <c r="O297" s="116">
        <v>224.55</v>
      </c>
      <c r="P297" s="116">
        <v>226.4</v>
      </c>
      <c r="Q297" s="116">
        <v>230.9</v>
      </c>
      <c r="R297">
        <v>442390</v>
      </c>
    </row>
    <row r="298" spans="1:18" x14ac:dyDescent="0.25">
      <c r="A298" s="170">
        <v>44130</v>
      </c>
      <c r="B298" s="116">
        <v>235.2</v>
      </c>
      <c r="C298" s="116">
        <v>224.35</v>
      </c>
      <c r="D298" s="116">
        <v>222.15</v>
      </c>
      <c r="E298" s="116">
        <v>231.5</v>
      </c>
      <c r="F298" s="116">
        <v>224.35</v>
      </c>
      <c r="G298">
        <v>27468</v>
      </c>
      <c r="H298" s="116"/>
      <c r="I298" s="116"/>
      <c r="L298" s="170">
        <v>44130</v>
      </c>
      <c r="M298" s="116">
        <v>223.95</v>
      </c>
      <c r="N298" s="116">
        <v>235</v>
      </c>
      <c r="O298" s="116">
        <v>221.75</v>
      </c>
      <c r="P298" s="116">
        <v>229.15</v>
      </c>
      <c r="Q298" s="116">
        <v>223.95</v>
      </c>
      <c r="R298">
        <v>265846</v>
      </c>
    </row>
    <row r="299" spans="1:18" x14ac:dyDescent="0.25">
      <c r="A299" s="170">
        <v>44131</v>
      </c>
      <c r="B299" s="116">
        <v>230.05</v>
      </c>
      <c r="C299" s="116">
        <v>227.15</v>
      </c>
      <c r="D299" s="116">
        <v>220.05</v>
      </c>
      <c r="E299" s="116">
        <v>224</v>
      </c>
      <c r="F299" s="116">
        <v>227.15</v>
      </c>
      <c r="G299">
        <v>18700</v>
      </c>
      <c r="H299" s="116"/>
      <c r="I299" s="116"/>
      <c r="L299" s="170">
        <v>44131</v>
      </c>
      <c r="M299" s="116">
        <v>227.05</v>
      </c>
      <c r="N299" s="116">
        <v>230</v>
      </c>
      <c r="O299" s="116">
        <v>220.25</v>
      </c>
      <c r="P299" s="116">
        <v>225.1</v>
      </c>
      <c r="Q299" s="116">
        <v>227.05</v>
      </c>
      <c r="R299">
        <v>202886</v>
      </c>
    </row>
    <row r="300" spans="1:18" x14ac:dyDescent="0.25">
      <c r="A300" s="170">
        <v>44132</v>
      </c>
      <c r="B300" s="116">
        <v>228.95</v>
      </c>
      <c r="C300" s="116">
        <v>223.1</v>
      </c>
      <c r="D300" s="116">
        <v>220.6</v>
      </c>
      <c r="E300" s="116">
        <v>227.1</v>
      </c>
      <c r="F300" s="116">
        <v>223.1</v>
      </c>
      <c r="G300">
        <v>7796</v>
      </c>
      <c r="H300" s="116"/>
      <c r="I300" s="116"/>
      <c r="L300" s="170">
        <v>44132</v>
      </c>
      <c r="M300" s="116">
        <v>223.3</v>
      </c>
      <c r="N300" s="116">
        <v>229</v>
      </c>
      <c r="O300" s="116">
        <v>221</v>
      </c>
      <c r="P300" s="116">
        <v>227.95</v>
      </c>
      <c r="Q300" s="116">
        <v>223.3</v>
      </c>
      <c r="R300">
        <v>60025</v>
      </c>
    </row>
    <row r="301" spans="1:18" x14ac:dyDescent="0.25">
      <c r="A301" s="170">
        <v>44133</v>
      </c>
      <c r="B301" s="116">
        <v>221.4</v>
      </c>
      <c r="C301" s="116">
        <v>217.6</v>
      </c>
      <c r="D301" s="116">
        <v>216.35</v>
      </c>
      <c r="E301" s="116">
        <v>220.75</v>
      </c>
      <c r="F301" s="116">
        <v>217.6</v>
      </c>
      <c r="G301">
        <v>5880</v>
      </c>
      <c r="H301" s="116"/>
      <c r="I301" s="116"/>
      <c r="L301" s="170">
        <v>44133</v>
      </c>
      <c r="M301" s="116">
        <v>217.6</v>
      </c>
      <c r="N301" s="116">
        <v>221.9</v>
      </c>
      <c r="O301" s="116">
        <v>216.6</v>
      </c>
      <c r="P301" s="116">
        <v>221.9</v>
      </c>
      <c r="Q301" s="116">
        <v>217.6</v>
      </c>
      <c r="R301">
        <v>94386</v>
      </c>
    </row>
    <row r="302" spans="1:18" x14ac:dyDescent="0.25">
      <c r="A302" s="170">
        <v>44134</v>
      </c>
      <c r="B302" s="116">
        <v>221.95</v>
      </c>
      <c r="C302" s="116">
        <v>217.4</v>
      </c>
      <c r="D302" s="116">
        <v>215</v>
      </c>
      <c r="E302" s="116">
        <v>220</v>
      </c>
      <c r="F302" s="116">
        <v>217.4</v>
      </c>
      <c r="G302">
        <v>6693</v>
      </c>
      <c r="H302" s="116"/>
      <c r="I302" s="116"/>
      <c r="L302" s="170">
        <v>44134</v>
      </c>
      <c r="M302" s="116">
        <v>216.85</v>
      </c>
      <c r="N302" s="116">
        <v>223</v>
      </c>
      <c r="O302" s="116">
        <v>214.8</v>
      </c>
      <c r="P302" s="116">
        <v>223</v>
      </c>
      <c r="Q302" s="116">
        <v>216.85</v>
      </c>
      <c r="R302">
        <v>72300</v>
      </c>
    </row>
    <row r="303" spans="1:18" x14ac:dyDescent="0.25">
      <c r="A303" s="170">
        <v>44137</v>
      </c>
      <c r="B303" s="116">
        <v>218.75</v>
      </c>
      <c r="C303" s="116">
        <v>217.25</v>
      </c>
      <c r="D303" s="116">
        <v>210</v>
      </c>
      <c r="E303" s="116">
        <v>210</v>
      </c>
      <c r="F303" s="116">
        <v>217.25</v>
      </c>
      <c r="G303">
        <v>8350</v>
      </c>
      <c r="H303" s="116"/>
      <c r="I303" s="116"/>
      <c r="L303" s="170">
        <v>44137</v>
      </c>
      <c r="M303" s="116">
        <v>216.85</v>
      </c>
      <c r="N303" s="116">
        <v>219</v>
      </c>
      <c r="O303" s="116">
        <v>213.4</v>
      </c>
      <c r="P303" s="116">
        <v>216.85</v>
      </c>
      <c r="Q303" s="116">
        <v>216.85</v>
      </c>
      <c r="R303">
        <v>62951</v>
      </c>
    </row>
    <row r="304" spans="1:18" x14ac:dyDescent="0.25">
      <c r="A304" s="170">
        <v>44138</v>
      </c>
      <c r="B304" s="116">
        <v>219</v>
      </c>
      <c r="C304" s="116">
        <v>214.1</v>
      </c>
      <c r="D304" s="116">
        <v>213.3</v>
      </c>
      <c r="E304" s="116">
        <v>218.9</v>
      </c>
      <c r="F304" s="116">
        <v>214.1</v>
      </c>
      <c r="G304">
        <v>5677</v>
      </c>
      <c r="H304" s="116"/>
      <c r="I304" s="116"/>
      <c r="L304" s="170">
        <v>44138</v>
      </c>
      <c r="M304" s="116">
        <v>214.5</v>
      </c>
      <c r="N304" s="116">
        <v>220</v>
      </c>
      <c r="O304" s="116">
        <v>213</v>
      </c>
      <c r="P304" s="116">
        <v>219.8</v>
      </c>
      <c r="Q304" s="116">
        <v>214.5</v>
      </c>
      <c r="R304">
        <v>73833</v>
      </c>
    </row>
    <row r="305" spans="1:18" x14ac:dyDescent="0.25">
      <c r="A305" s="170">
        <v>44139</v>
      </c>
      <c r="B305" s="116">
        <v>217</v>
      </c>
      <c r="C305" s="116">
        <v>212.4</v>
      </c>
      <c r="D305" s="116">
        <v>211.2</v>
      </c>
      <c r="E305" s="116">
        <v>214.85</v>
      </c>
      <c r="F305" s="116">
        <v>212.4</v>
      </c>
      <c r="G305">
        <v>3384</v>
      </c>
      <c r="H305" s="116"/>
      <c r="I305" s="116"/>
      <c r="L305" s="170">
        <v>44139</v>
      </c>
      <c r="M305" s="116">
        <v>212.1</v>
      </c>
      <c r="N305" s="116">
        <v>216.95</v>
      </c>
      <c r="O305" s="116">
        <v>211.25</v>
      </c>
      <c r="P305" s="116">
        <v>215.85</v>
      </c>
      <c r="Q305" s="116">
        <v>212.1</v>
      </c>
      <c r="R305">
        <v>58294</v>
      </c>
    </row>
    <row r="306" spans="1:18" x14ac:dyDescent="0.25">
      <c r="A306" s="170">
        <v>44140</v>
      </c>
      <c r="B306" s="116">
        <v>216</v>
      </c>
      <c r="C306" s="116">
        <v>213.9</v>
      </c>
      <c r="D306" s="116">
        <v>212.4</v>
      </c>
      <c r="E306" s="116">
        <v>214.15</v>
      </c>
      <c r="F306" s="116">
        <v>213.9</v>
      </c>
      <c r="G306">
        <v>8312</v>
      </c>
      <c r="H306" s="116"/>
      <c r="I306" s="116"/>
      <c r="L306" s="170">
        <v>44140</v>
      </c>
      <c r="M306" s="116">
        <v>213.7</v>
      </c>
      <c r="N306" s="116">
        <v>215.95</v>
      </c>
      <c r="O306" s="116">
        <v>212.15</v>
      </c>
      <c r="P306" s="116">
        <v>213.5</v>
      </c>
      <c r="Q306" s="116">
        <v>213.7</v>
      </c>
      <c r="R306">
        <v>45055</v>
      </c>
    </row>
    <row r="307" spans="1:18" x14ac:dyDescent="0.25">
      <c r="A307" s="170">
        <v>44141</v>
      </c>
      <c r="B307" s="116">
        <v>220.15</v>
      </c>
      <c r="C307" s="116">
        <v>218.35</v>
      </c>
      <c r="D307" s="116">
        <v>210</v>
      </c>
      <c r="E307" s="116">
        <v>214.1</v>
      </c>
      <c r="F307" s="116">
        <v>218.35</v>
      </c>
      <c r="G307">
        <v>9035</v>
      </c>
      <c r="H307" s="116"/>
      <c r="I307" s="116"/>
      <c r="L307" s="170">
        <v>44141</v>
      </c>
      <c r="M307" s="116">
        <v>218.65</v>
      </c>
      <c r="N307" s="116">
        <v>220</v>
      </c>
      <c r="O307" s="116">
        <v>212.6</v>
      </c>
      <c r="P307" s="116">
        <v>216.4</v>
      </c>
      <c r="Q307" s="116">
        <v>218.65</v>
      </c>
      <c r="R307">
        <v>107084</v>
      </c>
    </row>
    <row r="308" spans="1:18" x14ac:dyDescent="0.25">
      <c r="A308" s="170">
        <v>44144</v>
      </c>
      <c r="B308" s="116">
        <v>221.85</v>
      </c>
      <c r="C308" s="116">
        <v>218</v>
      </c>
      <c r="D308" s="116">
        <v>216.7</v>
      </c>
      <c r="E308" s="116">
        <v>221.1</v>
      </c>
      <c r="F308" s="116">
        <v>218</v>
      </c>
      <c r="G308">
        <v>4960</v>
      </c>
      <c r="H308" s="116"/>
      <c r="I308" s="116"/>
      <c r="L308" s="170">
        <v>44144</v>
      </c>
      <c r="M308" s="116">
        <v>217.8</v>
      </c>
      <c r="N308" s="116">
        <v>222.4</v>
      </c>
      <c r="O308" s="116">
        <v>216.9</v>
      </c>
      <c r="P308" s="116">
        <v>222.4</v>
      </c>
      <c r="Q308" s="116">
        <v>217.8</v>
      </c>
      <c r="R308">
        <v>64459</v>
      </c>
    </row>
    <row r="309" spans="1:18" x14ac:dyDescent="0.25">
      <c r="A309" s="170">
        <v>44145</v>
      </c>
      <c r="B309" s="116">
        <v>224.5</v>
      </c>
      <c r="C309" s="116">
        <v>221.75</v>
      </c>
      <c r="D309" s="116">
        <v>214.6</v>
      </c>
      <c r="E309" s="116">
        <v>214.6</v>
      </c>
      <c r="F309" s="116">
        <v>221.75</v>
      </c>
      <c r="G309">
        <v>8555</v>
      </c>
      <c r="H309" s="116"/>
      <c r="I309" s="116"/>
      <c r="L309" s="170">
        <v>44145</v>
      </c>
      <c r="M309" s="116">
        <v>221.4</v>
      </c>
      <c r="N309" s="116">
        <v>224.3</v>
      </c>
      <c r="O309" s="116">
        <v>215.3</v>
      </c>
      <c r="P309" s="116">
        <v>219.5</v>
      </c>
      <c r="Q309" s="116">
        <v>221.4</v>
      </c>
      <c r="R309">
        <v>95796</v>
      </c>
    </row>
    <row r="310" spans="1:18" x14ac:dyDescent="0.25">
      <c r="A310" s="170">
        <v>44146</v>
      </c>
      <c r="B310" s="116">
        <v>223</v>
      </c>
      <c r="C310" s="116">
        <v>221.15</v>
      </c>
      <c r="D310" s="116">
        <v>218.1</v>
      </c>
      <c r="E310" s="116">
        <v>220.55</v>
      </c>
      <c r="F310" s="116">
        <v>221.15</v>
      </c>
      <c r="G310">
        <v>7173</v>
      </c>
      <c r="H310" s="116"/>
      <c r="I310" s="116"/>
      <c r="L310" s="170">
        <v>44146</v>
      </c>
      <c r="M310" s="116">
        <v>221.45</v>
      </c>
      <c r="N310" s="116">
        <v>223.7</v>
      </c>
      <c r="O310" s="116">
        <v>217.3</v>
      </c>
      <c r="P310" s="116">
        <v>223.7</v>
      </c>
      <c r="Q310" s="116">
        <v>221.45</v>
      </c>
      <c r="R310">
        <v>72034</v>
      </c>
    </row>
    <row r="311" spans="1:18" x14ac:dyDescent="0.25">
      <c r="A311" s="170">
        <v>44147</v>
      </c>
      <c r="B311" s="116">
        <v>230</v>
      </c>
      <c r="C311" s="116">
        <v>226.3</v>
      </c>
      <c r="D311" s="116">
        <v>218.25</v>
      </c>
      <c r="E311" s="116">
        <v>218.25</v>
      </c>
      <c r="F311" s="116">
        <v>226.3</v>
      </c>
      <c r="G311">
        <v>17408</v>
      </c>
      <c r="H311" s="116"/>
      <c r="I311" s="116"/>
      <c r="L311" s="170">
        <v>44147</v>
      </c>
      <c r="M311" s="116">
        <v>226.45</v>
      </c>
      <c r="N311" s="116">
        <v>230.25</v>
      </c>
      <c r="O311" s="116">
        <v>220.5</v>
      </c>
      <c r="P311" s="116">
        <v>223.15</v>
      </c>
      <c r="Q311" s="116">
        <v>226.45</v>
      </c>
      <c r="R311">
        <v>174235</v>
      </c>
    </row>
    <row r="312" spans="1:18" x14ac:dyDescent="0.25">
      <c r="A312" s="170">
        <v>44148</v>
      </c>
      <c r="B312" s="116">
        <v>220</v>
      </c>
      <c r="C312" s="116">
        <v>217.75</v>
      </c>
      <c r="D312" s="116">
        <v>215.2</v>
      </c>
      <c r="E312" s="116">
        <v>220</v>
      </c>
      <c r="F312" s="116">
        <v>217.75</v>
      </c>
      <c r="G312">
        <v>18347</v>
      </c>
      <c r="H312" s="116"/>
      <c r="I312" s="116"/>
      <c r="L312" s="170">
        <v>44148</v>
      </c>
      <c r="M312" s="116">
        <v>217.65</v>
      </c>
      <c r="N312" s="116">
        <v>219.95</v>
      </c>
      <c r="O312" s="116">
        <v>215.4</v>
      </c>
      <c r="P312" s="116">
        <v>216.4</v>
      </c>
      <c r="Q312" s="116">
        <v>217.65</v>
      </c>
      <c r="R312">
        <v>224711</v>
      </c>
    </row>
    <row r="313" spans="1:18" x14ac:dyDescent="0.25">
      <c r="A313" s="170">
        <v>44149</v>
      </c>
      <c r="B313" s="116">
        <v>225</v>
      </c>
      <c r="C313" s="116">
        <v>219.55</v>
      </c>
      <c r="D313" s="116">
        <v>217</v>
      </c>
      <c r="E313" s="116">
        <v>225</v>
      </c>
      <c r="F313" s="116">
        <v>219.55</v>
      </c>
      <c r="G313">
        <v>4480</v>
      </c>
      <c r="H313" s="116"/>
      <c r="I313" s="116"/>
      <c r="L313" s="170">
        <v>44149</v>
      </c>
      <c r="M313" s="116">
        <v>219.35</v>
      </c>
      <c r="N313" s="116">
        <v>220.1</v>
      </c>
      <c r="O313" s="116">
        <v>217.45</v>
      </c>
      <c r="P313" s="116">
        <v>219.9</v>
      </c>
      <c r="Q313" s="116">
        <v>219.35</v>
      </c>
      <c r="R313">
        <v>35361</v>
      </c>
    </row>
    <row r="314" spans="1:18" x14ac:dyDescent="0.25">
      <c r="A314" s="170">
        <v>44152</v>
      </c>
      <c r="B314" s="116">
        <v>221.05</v>
      </c>
      <c r="C314" s="116">
        <v>215.9</v>
      </c>
      <c r="D314" s="116">
        <v>215.5</v>
      </c>
      <c r="E314" s="116">
        <v>220</v>
      </c>
      <c r="F314" s="116">
        <v>215.9</v>
      </c>
      <c r="G314">
        <v>20253</v>
      </c>
      <c r="H314" s="116"/>
      <c r="I314" s="116"/>
      <c r="L314" s="170">
        <v>44152</v>
      </c>
      <c r="M314" s="116">
        <v>216</v>
      </c>
      <c r="N314" s="116">
        <v>221.35</v>
      </c>
      <c r="O314" s="116">
        <v>215.1</v>
      </c>
      <c r="P314" s="116">
        <v>219.85</v>
      </c>
      <c r="Q314" s="116">
        <v>216</v>
      </c>
      <c r="R314">
        <v>170884</v>
      </c>
    </row>
    <row r="315" spans="1:18" x14ac:dyDescent="0.25">
      <c r="A315" s="170">
        <v>44153</v>
      </c>
      <c r="B315" s="116">
        <v>216.9</v>
      </c>
      <c r="C315" s="116">
        <v>215.2</v>
      </c>
      <c r="D315" s="116">
        <v>213.65</v>
      </c>
      <c r="E315" s="116">
        <v>215.9</v>
      </c>
      <c r="F315" s="116">
        <v>215.2</v>
      </c>
      <c r="G315">
        <v>16810</v>
      </c>
      <c r="H315" s="116"/>
      <c r="I315" s="116"/>
      <c r="L315" s="170">
        <v>44153</v>
      </c>
      <c r="M315" s="116">
        <v>215.2</v>
      </c>
      <c r="N315" s="116">
        <v>216.9</v>
      </c>
      <c r="O315" s="116">
        <v>213.4</v>
      </c>
      <c r="P315" s="116">
        <v>215</v>
      </c>
      <c r="Q315" s="116">
        <v>215.2</v>
      </c>
      <c r="R315">
        <v>184847</v>
      </c>
    </row>
    <row r="316" spans="1:18" x14ac:dyDescent="0.25">
      <c r="A316" s="170">
        <v>44154</v>
      </c>
      <c r="B316" s="116">
        <v>217</v>
      </c>
      <c r="C316" s="116">
        <v>215.5</v>
      </c>
      <c r="D316" s="116">
        <v>213.9</v>
      </c>
      <c r="E316" s="116">
        <v>213.9</v>
      </c>
      <c r="F316" s="116">
        <v>215.5</v>
      </c>
      <c r="G316">
        <v>13756</v>
      </c>
      <c r="H316" s="116"/>
      <c r="I316" s="116"/>
      <c r="L316" s="170">
        <v>44154</v>
      </c>
      <c r="M316" s="116">
        <v>215.45</v>
      </c>
      <c r="N316" s="116">
        <v>216.85</v>
      </c>
      <c r="O316" s="116">
        <v>214</v>
      </c>
      <c r="P316" s="116">
        <v>215</v>
      </c>
      <c r="Q316" s="116">
        <v>215.45</v>
      </c>
      <c r="R316">
        <v>141868</v>
      </c>
    </row>
    <row r="317" spans="1:18" x14ac:dyDescent="0.25">
      <c r="A317" s="170">
        <v>44155</v>
      </c>
      <c r="B317" s="116">
        <v>223.6</v>
      </c>
      <c r="C317" s="116">
        <v>220.25</v>
      </c>
      <c r="D317" s="116">
        <v>215</v>
      </c>
      <c r="E317" s="116">
        <v>215.5</v>
      </c>
      <c r="F317" s="116">
        <v>220.25</v>
      </c>
      <c r="G317">
        <v>27038</v>
      </c>
      <c r="H317" s="116"/>
      <c r="I317" s="116"/>
      <c r="L317" s="170">
        <v>44155</v>
      </c>
      <c r="M317" s="116">
        <v>220.15</v>
      </c>
      <c r="N317" s="116">
        <v>223.7</v>
      </c>
      <c r="O317" s="116">
        <v>215.95</v>
      </c>
      <c r="P317" s="116">
        <v>218.25</v>
      </c>
      <c r="Q317" s="116">
        <v>220.15</v>
      </c>
      <c r="R317">
        <v>259217</v>
      </c>
    </row>
    <row r="318" spans="1:18" x14ac:dyDescent="0.25">
      <c r="A318" s="170">
        <v>44158</v>
      </c>
      <c r="B318" s="116">
        <v>227.35</v>
      </c>
      <c r="C318" s="116">
        <v>224.25</v>
      </c>
      <c r="D318" s="116">
        <v>218.5</v>
      </c>
      <c r="E318" s="116">
        <v>221.65</v>
      </c>
      <c r="F318" s="116">
        <v>224.25</v>
      </c>
      <c r="G318">
        <v>38709</v>
      </c>
      <c r="H318" s="116"/>
      <c r="I318" s="116"/>
      <c r="L318" s="170">
        <v>44158</v>
      </c>
      <c r="M318" s="116">
        <v>224.4</v>
      </c>
      <c r="N318" s="116">
        <v>227.35</v>
      </c>
      <c r="O318" s="116">
        <v>218.05</v>
      </c>
      <c r="P318" s="116">
        <v>222.8</v>
      </c>
      <c r="Q318" s="116">
        <v>224.4</v>
      </c>
      <c r="R318">
        <v>282509</v>
      </c>
    </row>
    <row r="319" spans="1:18" x14ac:dyDescent="0.25">
      <c r="A319" s="170">
        <v>44159</v>
      </c>
      <c r="B319" s="116">
        <v>226.95</v>
      </c>
      <c r="C319" s="116">
        <v>223.5</v>
      </c>
      <c r="D319" s="116">
        <v>218</v>
      </c>
      <c r="E319" s="116">
        <v>225.55</v>
      </c>
      <c r="F319" s="116">
        <v>223.5</v>
      </c>
      <c r="G319">
        <v>13635</v>
      </c>
      <c r="H319" s="116"/>
      <c r="I319" s="116"/>
      <c r="L319" s="170">
        <v>44159</v>
      </c>
      <c r="M319" s="116">
        <v>224</v>
      </c>
      <c r="N319" s="116">
        <v>226.65</v>
      </c>
      <c r="O319" s="116">
        <v>221.25</v>
      </c>
      <c r="P319" s="116">
        <v>225.2</v>
      </c>
      <c r="Q319" s="116">
        <v>224</v>
      </c>
      <c r="R319">
        <v>478433</v>
      </c>
    </row>
    <row r="320" spans="1:18" x14ac:dyDescent="0.25">
      <c r="A320" s="170">
        <v>44160</v>
      </c>
      <c r="B320" s="116">
        <v>227</v>
      </c>
      <c r="C320" s="116">
        <v>220.2</v>
      </c>
      <c r="D320" s="116">
        <v>220.1</v>
      </c>
      <c r="E320" s="116">
        <v>227</v>
      </c>
      <c r="F320" s="116">
        <v>220.2</v>
      </c>
      <c r="G320">
        <v>3792</v>
      </c>
      <c r="H320" s="116"/>
      <c r="I320" s="116"/>
      <c r="L320" s="170">
        <v>44160</v>
      </c>
      <c r="M320" s="116">
        <v>220.8</v>
      </c>
      <c r="N320" s="116">
        <v>227.9</v>
      </c>
      <c r="O320" s="116">
        <v>220</v>
      </c>
      <c r="P320" s="116">
        <v>225.95</v>
      </c>
      <c r="Q320" s="116">
        <v>220.8</v>
      </c>
      <c r="R320">
        <v>199437</v>
      </c>
    </row>
    <row r="321" spans="1:18" x14ac:dyDescent="0.25">
      <c r="A321" s="170">
        <v>44161</v>
      </c>
      <c r="B321" s="116">
        <v>229</v>
      </c>
      <c r="C321" s="116">
        <v>222.3</v>
      </c>
      <c r="D321" s="116">
        <v>220.8</v>
      </c>
      <c r="E321" s="116">
        <v>221.85</v>
      </c>
      <c r="F321" s="116">
        <v>222.3</v>
      </c>
      <c r="G321">
        <v>9695</v>
      </c>
      <c r="H321" s="116"/>
      <c r="I321" s="116"/>
      <c r="L321" s="170">
        <v>44161</v>
      </c>
      <c r="M321" s="116">
        <v>222.9</v>
      </c>
      <c r="N321" s="116">
        <v>224.3</v>
      </c>
      <c r="O321" s="116">
        <v>220.55</v>
      </c>
      <c r="P321" s="116">
        <v>223.7</v>
      </c>
      <c r="Q321" s="116">
        <v>222.9</v>
      </c>
      <c r="R321">
        <v>163038</v>
      </c>
    </row>
    <row r="322" spans="1:18" x14ac:dyDescent="0.25">
      <c r="A322" s="170">
        <v>44162</v>
      </c>
      <c r="B322" s="116">
        <v>225.1</v>
      </c>
      <c r="C322" s="116">
        <v>222.5</v>
      </c>
      <c r="D322" s="116">
        <v>221.1</v>
      </c>
      <c r="E322" s="116">
        <v>223</v>
      </c>
      <c r="F322" s="116">
        <v>222.5</v>
      </c>
      <c r="G322">
        <v>6344</v>
      </c>
      <c r="H322" s="116"/>
      <c r="I322" s="116"/>
      <c r="L322" s="170">
        <v>44162</v>
      </c>
      <c r="M322" s="116">
        <v>222.45</v>
      </c>
      <c r="N322" s="116">
        <v>225.05</v>
      </c>
      <c r="O322" s="116">
        <v>221</v>
      </c>
      <c r="P322" s="116">
        <v>224</v>
      </c>
      <c r="Q322" s="116">
        <v>222.45</v>
      </c>
      <c r="R322">
        <v>155896</v>
      </c>
    </row>
    <row r="323" spans="1:18" x14ac:dyDescent="0.25">
      <c r="A323" s="170">
        <v>44166</v>
      </c>
      <c r="B323" s="116">
        <v>232</v>
      </c>
      <c r="C323" s="116">
        <v>226.5</v>
      </c>
      <c r="D323" s="116">
        <v>214</v>
      </c>
      <c r="E323" s="116">
        <v>214</v>
      </c>
      <c r="F323" s="116">
        <v>226.5</v>
      </c>
      <c r="G323">
        <v>30964</v>
      </c>
      <c r="H323" s="116"/>
      <c r="I323" s="116"/>
      <c r="L323" s="170">
        <v>44166</v>
      </c>
      <c r="M323" s="116">
        <v>227.25</v>
      </c>
      <c r="N323" s="116">
        <v>232</v>
      </c>
      <c r="O323" s="116">
        <v>219</v>
      </c>
      <c r="P323" s="116">
        <v>219</v>
      </c>
      <c r="Q323" s="116">
        <v>227.25</v>
      </c>
      <c r="R323">
        <v>447047</v>
      </c>
    </row>
    <row r="324" spans="1:18" x14ac:dyDescent="0.25">
      <c r="A324" s="170">
        <v>44167</v>
      </c>
      <c r="B324" s="116">
        <v>254.05</v>
      </c>
      <c r="C324" s="116">
        <v>247.05</v>
      </c>
      <c r="D324" s="116">
        <v>230</v>
      </c>
      <c r="E324" s="116">
        <v>230</v>
      </c>
      <c r="F324" s="116">
        <v>247.05</v>
      </c>
      <c r="G324">
        <v>97018</v>
      </c>
      <c r="H324" s="116"/>
      <c r="I324" s="116"/>
      <c r="L324" s="170">
        <v>44167</v>
      </c>
      <c r="M324" s="116">
        <v>246.25</v>
      </c>
      <c r="N324" s="116">
        <v>254</v>
      </c>
      <c r="O324" s="116">
        <v>230</v>
      </c>
      <c r="P324" s="116">
        <v>231</v>
      </c>
      <c r="Q324" s="116">
        <v>246.25</v>
      </c>
      <c r="R324">
        <v>1789669</v>
      </c>
    </row>
    <row r="325" spans="1:18" x14ac:dyDescent="0.25">
      <c r="A325" s="170">
        <v>44168</v>
      </c>
      <c r="B325" s="116">
        <v>252</v>
      </c>
      <c r="C325" s="116">
        <v>242.4</v>
      </c>
      <c r="D325" s="116">
        <v>237.9</v>
      </c>
      <c r="E325" s="116">
        <v>249.15</v>
      </c>
      <c r="F325" s="116">
        <v>242.4</v>
      </c>
      <c r="G325">
        <v>45510</v>
      </c>
      <c r="H325" s="116"/>
      <c r="I325" s="116"/>
      <c r="L325" s="170">
        <v>44168</v>
      </c>
      <c r="M325" s="116">
        <v>242.3</v>
      </c>
      <c r="N325" s="116">
        <v>252.9</v>
      </c>
      <c r="O325" s="116">
        <v>237.65</v>
      </c>
      <c r="P325" s="116">
        <v>249.2</v>
      </c>
      <c r="Q325" s="116">
        <v>242.3</v>
      </c>
      <c r="R325">
        <v>408966</v>
      </c>
    </row>
    <row r="326" spans="1:18" x14ac:dyDescent="0.25">
      <c r="A326" s="170">
        <v>44169</v>
      </c>
      <c r="B326" s="116">
        <v>251</v>
      </c>
      <c r="C326" s="116">
        <v>244.1</v>
      </c>
      <c r="D326" s="116">
        <v>235</v>
      </c>
      <c r="E326" s="116">
        <v>235</v>
      </c>
      <c r="F326" s="116">
        <v>244.1</v>
      </c>
      <c r="G326">
        <v>37426</v>
      </c>
      <c r="H326" s="116"/>
      <c r="I326" s="116"/>
      <c r="L326" s="170">
        <v>44169</v>
      </c>
      <c r="M326" s="116">
        <v>244.2</v>
      </c>
      <c r="N326" s="116">
        <v>251.15</v>
      </c>
      <c r="O326" s="116">
        <v>241.6</v>
      </c>
      <c r="P326" s="116">
        <v>244.6</v>
      </c>
      <c r="Q326" s="116">
        <v>244.2</v>
      </c>
      <c r="R326">
        <v>458794</v>
      </c>
    </row>
    <row r="327" spans="1:18" x14ac:dyDescent="0.25">
      <c r="A327" s="170">
        <v>44172</v>
      </c>
      <c r="B327" s="116">
        <v>289.55</v>
      </c>
      <c r="C327" s="116">
        <v>285.7</v>
      </c>
      <c r="D327" s="116">
        <v>241.4</v>
      </c>
      <c r="E327" s="116">
        <v>243.7</v>
      </c>
      <c r="F327" s="116">
        <v>285.7</v>
      </c>
      <c r="G327">
        <v>158364</v>
      </c>
      <c r="H327" s="116"/>
      <c r="I327" s="116"/>
      <c r="L327" s="170">
        <v>44172</v>
      </c>
      <c r="M327" s="116">
        <v>285.2</v>
      </c>
      <c r="N327" s="116">
        <v>290</v>
      </c>
      <c r="O327" s="116">
        <v>240.75</v>
      </c>
      <c r="P327" s="116">
        <v>245</v>
      </c>
      <c r="Q327" s="116">
        <v>285.2</v>
      </c>
      <c r="R327">
        <v>2415274</v>
      </c>
    </row>
    <row r="328" spans="1:18" x14ac:dyDescent="0.25">
      <c r="A328" s="170">
        <v>44173</v>
      </c>
      <c r="B328" s="116">
        <v>294.60000000000002</v>
      </c>
      <c r="C328" s="116">
        <v>274.75</v>
      </c>
      <c r="D328" s="116">
        <v>264.35000000000002</v>
      </c>
      <c r="E328" s="116">
        <v>290</v>
      </c>
      <c r="F328" s="116">
        <v>274.75</v>
      </c>
      <c r="G328">
        <v>88871</v>
      </c>
      <c r="H328" s="116"/>
      <c r="I328" s="116"/>
      <c r="L328" s="170">
        <v>44173</v>
      </c>
      <c r="M328" s="116">
        <v>274.85000000000002</v>
      </c>
      <c r="N328" s="116">
        <v>294.85000000000002</v>
      </c>
      <c r="O328" s="116">
        <v>264.45</v>
      </c>
      <c r="P328" s="116">
        <v>294.85000000000002</v>
      </c>
      <c r="Q328" s="116">
        <v>274.85000000000002</v>
      </c>
      <c r="R328">
        <v>1163801</v>
      </c>
    </row>
    <row r="329" spans="1:18" x14ac:dyDescent="0.25">
      <c r="A329" s="170">
        <v>44174</v>
      </c>
      <c r="B329" s="116">
        <v>274.45</v>
      </c>
      <c r="C329" s="116">
        <v>265.60000000000002</v>
      </c>
      <c r="D329" s="116">
        <v>260</v>
      </c>
      <c r="E329" s="116">
        <v>267</v>
      </c>
      <c r="F329" s="116">
        <v>265.60000000000002</v>
      </c>
      <c r="G329">
        <v>30072</v>
      </c>
      <c r="H329" s="116"/>
      <c r="I329" s="116"/>
      <c r="L329" s="170">
        <v>44174</v>
      </c>
      <c r="M329" s="116">
        <v>264.3</v>
      </c>
      <c r="N329" s="116">
        <v>283.25</v>
      </c>
      <c r="O329" s="116">
        <v>256</v>
      </c>
      <c r="P329" s="116">
        <v>256</v>
      </c>
      <c r="Q329" s="116">
        <v>264.3</v>
      </c>
      <c r="R329">
        <v>339582</v>
      </c>
    </row>
    <row r="330" spans="1:18" x14ac:dyDescent="0.25">
      <c r="A330" s="170">
        <v>44175</v>
      </c>
      <c r="B330" s="116">
        <v>272.89999999999998</v>
      </c>
      <c r="C330" s="116">
        <v>260.89999999999998</v>
      </c>
      <c r="D330" s="116">
        <v>258</v>
      </c>
      <c r="E330" s="116">
        <v>264.5</v>
      </c>
      <c r="F330" s="116">
        <v>260.89999999999998</v>
      </c>
      <c r="G330">
        <v>30777</v>
      </c>
      <c r="H330" s="116"/>
      <c r="I330" s="116"/>
      <c r="L330" s="170">
        <v>44175</v>
      </c>
      <c r="M330" s="116">
        <v>260.25</v>
      </c>
      <c r="N330" s="116">
        <v>272.3</v>
      </c>
      <c r="O330" s="116">
        <v>257.05</v>
      </c>
      <c r="P330" s="116">
        <v>265</v>
      </c>
      <c r="Q330" s="116">
        <v>260.25</v>
      </c>
      <c r="R330">
        <v>241531</v>
      </c>
    </row>
    <row r="331" spans="1:18" x14ac:dyDescent="0.25">
      <c r="A331" s="170">
        <v>44176</v>
      </c>
      <c r="B331" s="116">
        <v>265.95</v>
      </c>
      <c r="C331" s="116">
        <v>262.2</v>
      </c>
      <c r="D331" s="116">
        <v>256</v>
      </c>
      <c r="E331" s="116">
        <v>265</v>
      </c>
      <c r="F331" s="116">
        <v>262.2</v>
      </c>
      <c r="G331">
        <v>15786</v>
      </c>
      <c r="H331" s="116"/>
      <c r="I331" s="116"/>
      <c r="L331" s="170">
        <v>44176</v>
      </c>
      <c r="M331" s="116">
        <v>262.39999999999998</v>
      </c>
      <c r="N331" s="116">
        <v>266</v>
      </c>
      <c r="O331" s="116">
        <v>255.55</v>
      </c>
      <c r="P331" s="116">
        <v>260</v>
      </c>
      <c r="Q331" s="116">
        <v>262.39999999999998</v>
      </c>
      <c r="R331">
        <v>142128</v>
      </c>
    </row>
    <row r="332" spans="1:18" x14ac:dyDescent="0.25">
      <c r="A332" s="170">
        <v>44179</v>
      </c>
      <c r="B332" s="116">
        <v>266.45</v>
      </c>
      <c r="C332" s="116">
        <v>261.45</v>
      </c>
      <c r="D332" s="116">
        <v>258</v>
      </c>
      <c r="E332" s="116">
        <v>266.45</v>
      </c>
      <c r="F332" s="116">
        <v>261.45</v>
      </c>
      <c r="G332">
        <v>17284</v>
      </c>
      <c r="H332" s="116"/>
      <c r="I332" s="116"/>
      <c r="L332" s="170">
        <v>44179</v>
      </c>
      <c r="M332" s="116">
        <v>261.55</v>
      </c>
      <c r="N332" s="116">
        <v>268.05</v>
      </c>
      <c r="O332" s="116">
        <v>258.5</v>
      </c>
      <c r="P332" s="116">
        <v>267.7</v>
      </c>
      <c r="Q332" s="116">
        <v>261.55</v>
      </c>
      <c r="R332">
        <v>105578</v>
      </c>
    </row>
    <row r="333" spans="1:18" x14ac:dyDescent="0.25">
      <c r="A333" s="170">
        <v>44180</v>
      </c>
      <c r="B333" s="116">
        <v>262.3</v>
      </c>
      <c r="C333" s="116">
        <v>256.60000000000002</v>
      </c>
      <c r="D333" s="116">
        <v>255.55</v>
      </c>
      <c r="E333" s="116">
        <v>261.55</v>
      </c>
      <c r="F333" s="116">
        <v>256.60000000000002</v>
      </c>
      <c r="G333">
        <v>12038</v>
      </c>
      <c r="H333" s="116"/>
      <c r="I333" s="116"/>
      <c r="L333" s="170">
        <v>44180</v>
      </c>
      <c r="M333" s="116">
        <v>256.7</v>
      </c>
      <c r="N333" s="116">
        <v>264.95</v>
      </c>
      <c r="O333" s="116">
        <v>256</v>
      </c>
      <c r="P333" s="116">
        <v>262</v>
      </c>
      <c r="Q333" s="116">
        <v>256.7</v>
      </c>
      <c r="R333">
        <v>115618</v>
      </c>
    </row>
    <row r="334" spans="1:18" x14ac:dyDescent="0.25">
      <c r="A334" s="170">
        <v>44181</v>
      </c>
      <c r="B334" s="116">
        <v>279.14999999999998</v>
      </c>
      <c r="C334" s="116">
        <v>270.89999999999998</v>
      </c>
      <c r="D334" s="116">
        <v>256.3</v>
      </c>
      <c r="E334" s="116">
        <v>263.95</v>
      </c>
      <c r="F334" s="116">
        <v>270.89999999999998</v>
      </c>
      <c r="G334">
        <v>45010</v>
      </c>
      <c r="H334" s="116"/>
      <c r="I334" s="116"/>
      <c r="L334" s="170">
        <v>44181</v>
      </c>
      <c r="M334" s="116">
        <v>269.25</v>
      </c>
      <c r="N334" s="116">
        <v>279.25</v>
      </c>
      <c r="O334" s="116">
        <v>256.5</v>
      </c>
      <c r="P334" s="116">
        <v>258</v>
      </c>
      <c r="Q334" s="116">
        <v>269.25</v>
      </c>
      <c r="R334">
        <v>648418</v>
      </c>
    </row>
    <row r="335" spans="1:18" x14ac:dyDescent="0.25">
      <c r="A335" s="170">
        <v>44182</v>
      </c>
      <c r="B335" s="116">
        <v>270.5</v>
      </c>
      <c r="C335" s="116">
        <v>266.7</v>
      </c>
      <c r="D335" s="116">
        <v>265</v>
      </c>
      <c r="E335" s="116">
        <v>265.2</v>
      </c>
      <c r="F335" s="116">
        <v>266.7</v>
      </c>
      <c r="G335">
        <v>22340</v>
      </c>
      <c r="H335" s="116"/>
      <c r="I335" s="116"/>
      <c r="L335" s="170">
        <v>44182</v>
      </c>
      <c r="M335" s="116">
        <v>266.89999999999998</v>
      </c>
      <c r="N335" s="116">
        <v>270.5</v>
      </c>
      <c r="O335" s="116">
        <v>263.2</v>
      </c>
      <c r="P335" s="116">
        <v>268.5</v>
      </c>
      <c r="Q335" s="116">
        <v>266.89999999999998</v>
      </c>
      <c r="R335">
        <v>189818</v>
      </c>
    </row>
    <row r="336" spans="1:18" x14ac:dyDescent="0.25">
      <c r="A336" s="170">
        <v>44183</v>
      </c>
      <c r="B336" s="116">
        <v>267.55</v>
      </c>
      <c r="C336" s="116">
        <v>254.2</v>
      </c>
      <c r="D336" s="116">
        <v>251.6</v>
      </c>
      <c r="E336" s="116">
        <v>266.39999999999998</v>
      </c>
      <c r="F336" s="116">
        <v>254.2</v>
      </c>
      <c r="G336">
        <v>16704</v>
      </c>
      <c r="H336" s="116"/>
      <c r="I336" s="116"/>
      <c r="L336" s="170">
        <v>44183</v>
      </c>
      <c r="M336" s="116">
        <v>254.95</v>
      </c>
      <c r="N336" s="116">
        <v>268.3</v>
      </c>
      <c r="O336" s="116">
        <v>251.2</v>
      </c>
      <c r="P336" s="116">
        <v>266.89999999999998</v>
      </c>
      <c r="Q336" s="116">
        <v>254.95</v>
      </c>
      <c r="R336">
        <v>356757</v>
      </c>
    </row>
    <row r="337" spans="1:18" x14ac:dyDescent="0.25">
      <c r="A337" s="170">
        <v>44186</v>
      </c>
      <c r="B337" s="116">
        <v>258.85000000000002</v>
      </c>
      <c r="C337" s="116">
        <v>228.1</v>
      </c>
      <c r="D337" s="116">
        <v>225.4</v>
      </c>
      <c r="E337" s="116">
        <v>258.85000000000002</v>
      </c>
      <c r="F337" s="116">
        <v>228.1</v>
      </c>
      <c r="G337">
        <v>52482</v>
      </c>
      <c r="H337" s="116"/>
      <c r="I337" s="116"/>
      <c r="L337" s="170">
        <v>44186</v>
      </c>
      <c r="M337" s="116">
        <v>228</v>
      </c>
      <c r="N337" s="116">
        <v>257.85000000000002</v>
      </c>
      <c r="O337" s="116">
        <v>225.25</v>
      </c>
      <c r="P337" s="116">
        <v>256.89999999999998</v>
      </c>
      <c r="Q337" s="116">
        <v>228</v>
      </c>
      <c r="R337">
        <v>861728</v>
      </c>
    </row>
    <row r="338" spans="1:18" x14ac:dyDescent="0.25">
      <c r="A338" s="170">
        <v>44187</v>
      </c>
      <c r="B338" s="116">
        <v>235.9</v>
      </c>
      <c r="C338" s="116">
        <v>234</v>
      </c>
      <c r="D338" s="116">
        <v>221.8</v>
      </c>
      <c r="E338" s="116">
        <v>225.1</v>
      </c>
      <c r="F338" s="116">
        <v>234</v>
      </c>
      <c r="G338">
        <v>55787</v>
      </c>
      <c r="H338" s="116"/>
      <c r="I338" s="116"/>
      <c r="L338" s="170">
        <v>44187</v>
      </c>
      <c r="M338" s="116">
        <v>233.5</v>
      </c>
      <c r="N338" s="116">
        <v>235.5</v>
      </c>
      <c r="O338" s="116">
        <v>222</v>
      </c>
      <c r="P338" s="116">
        <v>228</v>
      </c>
      <c r="Q338" s="116">
        <v>233.5</v>
      </c>
      <c r="R338">
        <v>316446</v>
      </c>
    </row>
    <row r="339" spans="1:18" x14ac:dyDescent="0.25">
      <c r="A339" s="170">
        <v>44188</v>
      </c>
      <c r="B339" s="116">
        <v>238.25</v>
      </c>
      <c r="C339" s="116">
        <v>224.25</v>
      </c>
      <c r="D339" s="116">
        <v>221</v>
      </c>
      <c r="E339" s="116">
        <v>235</v>
      </c>
      <c r="F339" s="116">
        <v>224.25</v>
      </c>
      <c r="G339">
        <v>78967</v>
      </c>
      <c r="H339" s="116"/>
      <c r="I339" s="116"/>
      <c r="L339" s="170">
        <v>44188</v>
      </c>
      <c r="M339" s="116">
        <v>224.75</v>
      </c>
      <c r="N339" s="116">
        <v>238</v>
      </c>
      <c r="O339" s="116">
        <v>222.15</v>
      </c>
      <c r="P339" s="116">
        <v>234</v>
      </c>
      <c r="Q339" s="116">
        <v>224.75</v>
      </c>
      <c r="R339">
        <v>880528</v>
      </c>
    </row>
    <row r="340" spans="1:18" x14ac:dyDescent="0.25">
      <c r="A340" s="170">
        <v>44189</v>
      </c>
      <c r="B340" s="116">
        <v>231</v>
      </c>
      <c r="C340" s="116">
        <v>224.45</v>
      </c>
      <c r="D340" s="116">
        <v>220.1</v>
      </c>
      <c r="E340" s="116">
        <v>231</v>
      </c>
      <c r="F340" s="116">
        <v>224.45</v>
      </c>
      <c r="G340">
        <v>27967</v>
      </c>
      <c r="H340" s="116"/>
      <c r="I340" s="116"/>
      <c r="L340" s="170">
        <v>44189</v>
      </c>
      <c r="M340" s="116">
        <v>224.25</v>
      </c>
      <c r="N340" s="116">
        <v>228.9</v>
      </c>
      <c r="O340" s="116">
        <v>220</v>
      </c>
      <c r="P340" s="116">
        <v>227.35</v>
      </c>
      <c r="Q340" s="116">
        <v>224.25</v>
      </c>
      <c r="R340">
        <v>670039</v>
      </c>
    </row>
    <row r="341" spans="1:18" x14ac:dyDescent="0.25">
      <c r="A341" s="170">
        <v>44193</v>
      </c>
      <c r="B341" s="116">
        <v>226.3</v>
      </c>
      <c r="C341" s="116">
        <v>224.55</v>
      </c>
      <c r="D341" s="116">
        <v>222.2</v>
      </c>
      <c r="E341" s="116">
        <v>222.2</v>
      </c>
      <c r="F341" s="116">
        <v>224.55</v>
      </c>
      <c r="G341">
        <v>37483</v>
      </c>
      <c r="H341" s="116"/>
      <c r="I341" s="116"/>
      <c r="L341" s="170">
        <v>44193</v>
      </c>
      <c r="M341" s="116">
        <v>224.65</v>
      </c>
      <c r="N341" s="116">
        <v>227.85</v>
      </c>
      <c r="O341" s="116">
        <v>222.25</v>
      </c>
      <c r="P341" s="116">
        <v>227.75</v>
      </c>
      <c r="Q341" s="116">
        <v>224.65</v>
      </c>
      <c r="R341">
        <v>982235</v>
      </c>
    </row>
    <row r="342" spans="1:18" x14ac:dyDescent="0.25">
      <c r="A342" s="170">
        <v>44194</v>
      </c>
      <c r="B342" s="116">
        <v>226.85</v>
      </c>
      <c r="C342" s="116">
        <v>223.65</v>
      </c>
      <c r="D342" s="116">
        <v>222.5</v>
      </c>
      <c r="E342" s="116">
        <v>226.75</v>
      </c>
      <c r="F342" s="116">
        <v>223.65</v>
      </c>
      <c r="G342">
        <v>18332</v>
      </c>
      <c r="H342" s="116"/>
      <c r="I342" s="116"/>
      <c r="L342" s="170">
        <v>44194</v>
      </c>
      <c r="M342" s="116">
        <v>223.15</v>
      </c>
      <c r="N342" s="116">
        <v>227.35</v>
      </c>
      <c r="O342" s="116">
        <v>222.5</v>
      </c>
      <c r="P342" s="116">
        <v>225</v>
      </c>
      <c r="Q342" s="116">
        <v>223.15</v>
      </c>
      <c r="R342">
        <v>311077</v>
      </c>
    </row>
    <row r="343" spans="1:18" x14ac:dyDescent="0.25">
      <c r="A343" s="170">
        <v>44195</v>
      </c>
      <c r="B343" s="116">
        <v>245.05</v>
      </c>
      <c r="C343" s="116">
        <v>236.15</v>
      </c>
      <c r="D343" s="116">
        <v>218</v>
      </c>
      <c r="E343" s="116">
        <v>226</v>
      </c>
      <c r="F343" s="116">
        <v>236.15</v>
      </c>
      <c r="G343">
        <v>131960</v>
      </c>
      <c r="H343" s="116"/>
      <c r="I343" s="116"/>
      <c r="L343" s="170">
        <v>44195</v>
      </c>
      <c r="M343" s="116">
        <v>236.2</v>
      </c>
      <c r="N343" s="116">
        <v>245.5</v>
      </c>
      <c r="O343" s="116">
        <v>222.5</v>
      </c>
      <c r="P343" s="116">
        <v>223.05</v>
      </c>
      <c r="Q343" s="116">
        <v>236.2</v>
      </c>
      <c r="R343">
        <v>1482889</v>
      </c>
    </row>
    <row r="344" spans="1:18" x14ac:dyDescent="0.25">
      <c r="A344" s="170">
        <v>44196</v>
      </c>
      <c r="B344" s="116">
        <v>265.35000000000002</v>
      </c>
      <c r="C344" s="116">
        <v>259.39999999999998</v>
      </c>
      <c r="D344" s="116">
        <v>230.1</v>
      </c>
      <c r="E344" s="116">
        <v>238</v>
      </c>
      <c r="F344" s="116">
        <v>259.39999999999998</v>
      </c>
      <c r="G344">
        <v>4955209</v>
      </c>
      <c r="H344" s="116"/>
      <c r="I344" s="116"/>
      <c r="L344" s="170">
        <v>44196</v>
      </c>
      <c r="M344" s="116">
        <v>259.75</v>
      </c>
      <c r="N344" s="116">
        <v>264.95</v>
      </c>
      <c r="O344" s="116">
        <v>230.6</v>
      </c>
      <c r="P344" s="116">
        <v>237.8</v>
      </c>
      <c r="Q344" s="116">
        <v>259.75</v>
      </c>
      <c r="R344">
        <v>6904800</v>
      </c>
    </row>
    <row r="345" spans="1:18" x14ac:dyDescent="0.25">
      <c r="A345" s="170">
        <v>44197</v>
      </c>
      <c r="B345" s="116">
        <v>274.85000000000002</v>
      </c>
      <c r="C345" s="116">
        <v>261</v>
      </c>
      <c r="D345" s="116">
        <v>255</v>
      </c>
      <c r="E345" s="116">
        <v>263.3</v>
      </c>
      <c r="F345" s="116">
        <v>261</v>
      </c>
      <c r="G345">
        <v>207816</v>
      </c>
      <c r="H345" s="116"/>
      <c r="I345" s="116"/>
      <c r="L345" s="170">
        <v>44197</v>
      </c>
      <c r="M345" s="116">
        <v>260.85000000000002</v>
      </c>
      <c r="N345" s="116">
        <v>274.75</v>
      </c>
      <c r="O345" s="116">
        <v>254.75</v>
      </c>
      <c r="P345" s="116">
        <v>263</v>
      </c>
      <c r="Q345" s="116">
        <v>260.85000000000002</v>
      </c>
      <c r="R345">
        <v>2557009</v>
      </c>
    </row>
    <row r="346" spans="1:18" x14ac:dyDescent="0.25">
      <c r="A346" s="170">
        <v>44200</v>
      </c>
      <c r="B346" s="116">
        <v>279.5</v>
      </c>
      <c r="C346" s="116">
        <v>274.89999999999998</v>
      </c>
      <c r="D346" s="116">
        <v>256.89999999999998</v>
      </c>
      <c r="E346" s="116">
        <v>264.10000000000002</v>
      </c>
      <c r="F346" s="116">
        <v>274.89999999999998</v>
      </c>
      <c r="G346">
        <v>218722</v>
      </c>
      <c r="H346" s="116"/>
      <c r="I346" s="116"/>
      <c r="L346" s="170">
        <v>44200</v>
      </c>
      <c r="M346" s="116">
        <v>274.55</v>
      </c>
      <c r="N346" s="116">
        <v>279.75</v>
      </c>
      <c r="O346" s="116">
        <v>257.25</v>
      </c>
      <c r="P346" s="116">
        <v>264.39999999999998</v>
      </c>
      <c r="Q346" s="116">
        <v>274.55</v>
      </c>
      <c r="R346">
        <v>2066623</v>
      </c>
    </row>
    <row r="347" spans="1:18" x14ac:dyDescent="0.25">
      <c r="A347" s="170">
        <v>44201</v>
      </c>
      <c r="B347" s="116">
        <v>283.45</v>
      </c>
      <c r="C347" s="116">
        <v>275.39999999999998</v>
      </c>
      <c r="D347" s="116">
        <v>267.75</v>
      </c>
      <c r="E347" s="116">
        <v>271.8</v>
      </c>
      <c r="F347" s="116">
        <v>275.39999999999998</v>
      </c>
      <c r="G347">
        <v>136527</v>
      </c>
      <c r="H347" s="116"/>
      <c r="I347" s="116"/>
      <c r="L347" s="170">
        <v>44201</v>
      </c>
      <c r="M347" s="116">
        <v>275.25</v>
      </c>
      <c r="N347" s="116">
        <v>283.55</v>
      </c>
      <c r="O347" s="116">
        <v>267</v>
      </c>
      <c r="P347" s="116">
        <v>272</v>
      </c>
      <c r="Q347" s="116">
        <v>275.25</v>
      </c>
      <c r="R347">
        <v>1288448</v>
      </c>
    </row>
    <row r="348" spans="1:18" x14ac:dyDescent="0.25">
      <c r="A348" s="170">
        <v>44202</v>
      </c>
      <c r="B348" s="116">
        <v>279.39999999999998</v>
      </c>
      <c r="C348" s="116">
        <v>268.39999999999998</v>
      </c>
      <c r="D348" s="116">
        <v>258.55</v>
      </c>
      <c r="E348" s="116">
        <v>279.39999999999998</v>
      </c>
      <c r="F348" s="116">
        <v>268.39999999999998</v>
      </c>
      <c r="G348">
        <v>106130</v>
      </c>
      <c r="H348" s="116"/>
      <c r="I348" s="116"/>
      <c r="L348" s="170">
        <v>44202</v>
      </c>
      <c r="M348" s="116">
        <v>268.05</v>
      </c>
      <c r="N348" s="116">
        <v>278.7</v>
      </c>
      <c r="O348" s="116">
        <v>258.85000000000002</v>
      </c>
      <c r="P348" s="116">
        <v>276.75</v>
      </c>
      <c r="Q348" s="116">
        <v>268.05</v>
      </c>
      <c r="R348">
        <v>1203369</v>
      </c>
    </row>
    <row r="349" spans="1:18" x14ac:dyDescent="0.25">
      <c r="A349" s="170">
        <v>44203</v>
      </c>
      <c r="B349" s="116">
        <v>281</v>
      </c>
      <c r="C349" s="116">
        <v>267.5</v>
      </c>
      <c r="D349" s="116">
        <v>264.2</v>
      </c>
      <c r="E349" s="116">
        <v>270.3</v>
      </c>
      <c r="F349" s="116">
        <v>267.5</v>
      </c>
      <c r="G349">
        <v>95921</v>
      </c>
      <c r="H349" s="116"/>
      <c r="I349" s="116"/>
      <c r="L349" s="170">
        <v>44203</v>
      </c>
      <c r="M349" s="116">
        <v>268.55</v>
      </c>
      <c r="N349" s="116">
        <v>281</v>
      </c>
      <c r="O349" s="116">
        <v>264.10000000000002</v>
      </c>
      <c r="P349" s="116">
        <v>271</v>
      </c>
      <c r="Q349" s="116">
        <v>268.55</v>
      </c>
      <c r="R349">
        <v>992287</v>
      </c>
    </row>
    <row r="350" spans="1:18" x14ac:dyDescent="0.25">
      <c r="A350" s="170">
        <v>44204</v>
      </c>
      <c r="B350" s="116">
        <v>276.5</v>
      </c>
      <c r="C350" s="116">
        <v>269.3</v>
      </c>
      <c r="D350" s="116">
        <v>268</v>
      </c>
      <c r="E350" s="116">
        <v>268</v>
      </c>
      <c r="F350" s="116">
        <v>269.3</v>
      </c>
      <c r="G350">
        <v>36466</v>
      </c>
      <c r="H350" s="116"/>
      <c r="I350" s="116"/>
      <c r="L350" s="170">
        <v>44204</v>
      </c>
      <c r="M350" s="116">
        <v>269.35000000000002</v>
      </c>
      <c r="N350" s="116">
        <v>276.75</v>
      </c>
      <c r="O350" s="116">
        <v>268.10000000000002</v>
      </c>
      <c r="P350" s="116">
        <v>271</v>
      </c>
      <c r="Q350" s="116">
        <v>269.35000000000002</v>
      </c>
      <c r="R350">
        <v>565618</v>
      </c>
    </row>
    <row r="351" spans="1:18" x14ac:dyDescent="0.25">
      <c r="A351" s="170">
        <v>44207</v>
      </c>
      <c r="B351" s="116">
        <v>272</v>
      </c>
      <c r="C351" s="116">
        <v>258.05</v>
      </c>
      <c r="D351" s="116">
        <v>254.25</v>
      </c>
      <c r="E351" s="116">
        <v>269.2</v>
      </c>
      <c r="F351" s="116">
        <v>258.05</v>
      </c>
      <c r="G351">
        <v>51847</v>
      </c>
      <c r="H351" s="116"/>
      <c r="I351" s="116"/>
      <c r="L351" s="170">
        <v>44207</v>
      </c>
      <c r="M351" s="116">
        <v>258.3</v>
      </c>
      <c r="N351" s="116">
        <v>271.89999999999998</v>
      </c>
      <c r="O351" s="116">
        <v>254.2</v>
      </c>
      <c r="P351" s="116">
        <v>271.45</v>
      </c>
      <c r="Q351" s="116">
        <v>258.3</v>
      </c>
      <c r="R351">
        <v>638189</v>
      </c>
    </row>
    <row r="352" spans="1:18" x14ac:dyDescent="0.25">
      <c r="A352" s="170">
        <v>44208</v>
      </c>
      <c r="B352" s="116">
        <v>273.85000000000002</v>
      </c>
      <c r="C352" s="116">
        <v>272</v>
      </c>
      <c r="D352" s="116">
        <v>256.7</v>
      </c>
      <c r="E352" s="116">
        <v>261</v>
      </c>
      <c r="F352" s="116">
        <v>272</v>
      </c>
      <c r="G352">
        <v>108504</v>
      </c>
      <c r="H352" s="116"/>
      <c r="I352" s="116"/>
      <c r="L352" s="170">
        <v>44208</v>
      </c>
      <c r="M352" s="116">
        <v>272.14999999999998</v>
      </c>
      <c r="N352" s="116">
        <v>274</v>
      </c>
      <c r="O352" s="116">
        <v>256.5</v>
      </c>
      <c r="P352" s="116">
        <v>258</v>
      </c>
      <c r="Q352" s="116">
        <v>272.14999999999998</v>
      </c>
      <c r="R352">
        <v>1050143</v>
      </c>
    </row>
    <row r="353" spans="1:18" x14ac:dyDescent="0.25">
      <c r="A353" s="170">
        <v>44209</v>
      </c>
      <c r="B353" s="116">
        <v>279.89999999999998</v>
      </c>
      <c r="C353" s="116">
        <v>267.85000000000002</v>
      </c>
      <c r="D353" s="116">
        <v>264.3</v>
      </c>
      <c r="E353" s="116">
        <v>273.55</v>
      </c>
      <c r="F353" s="116">
        <v>267.85000000000002</v>
      </c>
      <c r="G353">
        <v>93891</v>
      </c>
      <c r="H353" s="116"/>
      <c r="I353" s="116"/>
      <c r="L353" s="170">
        <v>44209</v>
      </c>
      <c r="M353" s="116">
        <v>267.8</v>
      </c>
      <c r="N353" s="116">
        <v>279.89999999999998</v>
      </c>
      <c r="O353" s="116">
        <v>264.25</v>
      </c>
      <c r="P353" s="116">
        <v>272</v>
      </c>
      <c r="Q353" s="116">
        <v>267.8</v>
      </c>
      <c r="R353">
        <v>1002837</v>
      </c>
    </row>
    <row r="354" spans="1:18" x14ac:dyDescent="0.25">
      <c r="A354" s="170">
        <v>44210</v>
      </c>
      <c r="B354" s="116">
        <v>273.75</v>
      </c>
      <c r="C354" s="116">
        <v>270.5</v>
      </c>
      <c r="D354" s="116">
        <v>266.5</v>
      </c>
      <c r="E354" s="116">
        <v>270.25</v>
      </c>
      <c r="F354" s="116">
        <v>270.5</v>
      </c>
      <c r="G354">
        <v>35751</v>
      </c>
      <c r="H354" s="116"/>
      <c r="I354" s="116"/>
      <c r="L354" s="170">
        <v>44210</v>
      </c>
      <c r="M354" s="116">
        <v>270.55</v>
      </c>
      <c r="N354" s="116">
        <v>274</v>
      </c>
      <c r="O354" s="116">
        <v>266.64999999999998</v>
      </c>
      <c r="P354" s="116">
        <v>269.8</v>
      </c>
      <c r="Q354" s="116">
        <v>270.55</v>
      </c>
      <c r="R354">
        <v>272918</v>
      </c>
    </row>
    <row r="355" spans="1:18" x14ac:dyDescent="0.25">
      <c r="A355" s="170">
        <v>44211</v>
      </c>
      <c r="B355" s="116">
        <v>270.25</v>
      </c>
      <c r="C355" s="116">
        <v>262.60000000000002</v>
      </c>
      <c r="D355" s="116">
        <v>258.64999999999998</v>
      </c>
      <c r="E355" s="116">
        <v>269.39999999999998</v>
      </c>
      <c r="F355" s="116">
        <v>262.60000000000002</v>
      </c>
      <c r="G355">
        <v>41614</v>
      </c>
      <c r="H355" s="116"/>
      <c r="I355" s="116"/>
      <c r="L355" s="170">
        <v>44211</v>
      </c>
      <c r="M355" s="116">
        <v>262.25</v>
      </c>
      <c r="N355" s="116">
        <v>270.55</v>
      </c>
      <c r="O355" s="116">
        <v>258.10000000000002</v>
      </c>
      <c r="P355" s="116">
        <v>270.55</v>
      </c>
      <c r="Q355" s="116">
        <v>262.25</v>
      </c>
      <c r="R355">
        <v>368942</v>
      </c>
    </row>
    <row r="356" spans="1:18" x14ac:dyDescent="0.25">
      <c r="A356" s="170">
        <v>44214</v>
      </c>
      <c r="B356" s="116">
        <v>263.2</v>
      </c>
      <c r="C356" s="116">
        <v>253.1</v>
      </c>
      <c r="D356" s="116">
        <v>251.2</v>
      </c>
      <c r="E356" s="116">
        <v>262.7</v>
      </c>
      <c r="F356" s="116">
        <v>253.1</v>
      </c>
      <c r="G356">
        <v>50656</v>
      </c>
      <c r="H356" s="116"/>
      <c r="I356" s="116"/>
      <c r="L356" s="170">
        <v>44214</v>
      </c>
      <c r="M356" s="116">
        <v>252.8</v>
      </c>
      <c r="N356" s="116">
        <v>263.25</v>
      </c>
      <c r="O356" s="116">
        <v>251</v>
      </c>
      <c r="P356" s="116">
        <v>262.05</v>
      </c>
      <c r="Q356" s="116">
        <v>252.8</v>
      </c>
      <c r="R356">
        <v>313555</v>
      </c>
    </row>
    <row r="357" spans="1:18" x14ac:dyDescent="0.25">
      <c r="A357" s="170">
        <v>44215</v>
      </c>
      <c r="B357" s="116">
        <v>264.5</v>
      </c>
      <c r="C357" s="116">
        <v>259</v>
      </c>
      <c r="D357" s="116">
        <v>253.5</v>
      </c>
      <c r="E357" s="116">
        <v>253.5</v>
      </c>
      <c r="F357" s="116">
        <v>259</v>
      </c>
      <c r="G357">
        <v>45805</v>
      </c>
      <c r="H357" s="116"/>
      <c r="I357" s="116"/>
      <c r="L357" s="170">
        <v>44215</v>
      </c>
      <c r="M357" s="116">
        <v>258.64999999999998</v>
      </c>
      <c r="N357" s="116">
        <v>264.64999999999998</v>
      </c>
      <c r="O357" s="116">
        <v>255.7</v>
      </c>
      <c r="P357" s="116">
        <v>255.7</v>
      </c>
      <c r="Q357" s="116">
        <v>258.64999999999998</v>
      </c>
      <c r="R357">
        <v>260826</v>
      </c>
    </row>
    <row r="358" spans="1:18" x14ac:dyDescent="0.25">
      <c r="A358" s="170">
        <v>44216</v>
      </c>
      <c r="B358" s="116">
        <v>267.85000000000002</v>
      </c>
      <c r="C358" s="116">
        <v>261.55</v>
      </c>
      <c r="D358" s="116">
        <v>258.14999999999998</v>
      </c>
      <c r="E358" s="116">
        <v>260.8</v>
      </c>
      <c r="F358" s="116">
        <v>261.55</v>
      </c>
      <c r="G358">
        <v>314546</v>
      </c>
      <c r="H358" s="116"/>
      <c r="I358" s="116"/>
      <c r="L358" s="170">
        <v>44216</v>
      </c>
      <c r="M358" s="116">
        <v>261.39999999999998</v>
      </c>
      <c r="N358" s="116">
        <v>268</v>
      </c>
      <c r="O358" s="116">
        <v>258.05</v>
      </c>
      <c r="P358" s="116">
        <v>259</v>
      </c>
      <c r="Q358" s="116">
        <v>261.39999999999998</v>
      </c>
      <c r="R358">
        <v>521560</v>
      </c>
    </row>
    <row r="359" spans="1:18" x14ac:dyDescent="0.25">
      <c r="A359" s="170">
        <v>44217</v>
      </c>
      <c r="B359" s="116">
        <v>266.5</v>
      </c>
      <c r="C359" s="116">
        <v>246.65</v>
      </c>
      <c r="D359" s="116">
        <v>244.05</v>
      </c>
      <c r="E359" s="116">
        <v>264</v>
      </c>
      <c r="F359" s="116">
        <v>246.65</v>
      </c>
      <c r="G359">
        <v>252728</v>
      </c>
      <c r="H359" s="116"/>
      <c r="I359" s="116"/>
      <c r="L359" s="170">
        <v>44217</v>
      </c>
      <c r="M359" s="116">
        <v>246.15</v>
      </c>
      <c r="N359" s="116">
        <v>266.75</v>
      </c>
      <c r="O359" s="116">
        <v>244</v>
      </c>
      <c r="P359" s="116">
        <v>264</v>
      </c>
      <c r="Q359" s="116">
        <v>246.15</v>
      </c>
      <c r="R359">
        <v>739654</v>
      </c>
    </row>
    <row r="360" spans="1:18" x14ac:dyDescent="0.25">
      <c r="A360" s="170">
        <v>44218</v>
      </c>
      <c r="B360" s="116">
        <v>249.75</v>
      </c>
      <c r="C360" s="116">
        <v>240.4</v>
      </c>
      <c r="D360" s="116">
        <v>236.2</v>
      </c>
      <c r="E360" s="116">
        <v>244.65</v>
      </c>
      <c r="F360" s="116">
        <v>240.4</v>
      </c>
      <c r="G360">
        <v>171969</v>
      </c>
      <c r="H360" s="116"/>
      <c r="I360" s="116"/>
      <c r="L360" s="170">
        <v>44218</v>
      </c>
      <c r="M360" s="116">
        <v>240.7</v>
      </c>
      <c r="N360" s="116">
        <v>249.5</v>
      </c>
      <c r="O360" s="116">
        <v>236.05</v>
      </c>
      <c r="P360" s="116">
        <v>247.7</v>
      </c>
      <c r="Q360" s="116">
        <v>240.7</v>
      </c>
      <c r="R360">
        <v>518325</v>
      </c>
    </row>
    <row r="361" spans="1:18" x14ac:dyDescent="0.25">
      <c r="A361" s="170">
        <v>44221</v>
      </c>
      <c r="B361" s="116">
        <v>244.05</v>
      </c>
      <c r="C361" s="116">
        <v>236.95</v>
      </c>
      <c r="D361" s="116">
        <v>234.2</v>
      </c>
      <c r="E361" s="116">
        <v>241.7</v>
      </c>
      <c r="F361" s="116">
        <v>236.95</v>
      </c>
      <c r="G361">
        <v>243515</v>
      </c>
      <c r="H361" s="116"/>
      <c r="I361" s="116"/>
      <c r="L361" s="170">
        <v>44221</v>
      </c>
      <c r="M361" s="116">
        <v>236.75</v>
      </c>
      <c r="N361" s="116">
        <v>244.7</v>
      </c>
      <c r="O361" s="116">
        <v>234.05</v>
      </c>
      <c r="P361" s="116">
        <v>241.2</v>
      </c>
      <c r="Q361" s="116">
        <v>236.75</v>
      </c>
      <c r="R361">
        <v>355445</v>
      </c>
    </row>
    <row r="362" spans="1:18" x14ac:dyDescent="0.25">
      <c r="A362" s="170">
        <v>44223</v>
      </c>
      <c r="B362" s="116">
        <v>247.65</v>
      </c>
      <c r="C362" s="116">
        <v>240.15</v>
      </c>
      <c r="D362" s="116">
        <v>231.1</v>
      </c>
      <c r="E362" s="116">
        <v>235.5</v>
      </c>
      <c r="F362" s="116">
        <v>240.15</v>
      </c>
      <c r="G362">
        <v>311706</v>
      </c>
      <c r="H362" s="116"/>
      <c r="I362" s="116"/>
      <c r="L362" s="170">
        <v>44223</v>
      </c>
      <c r="M362" s="116">
        <v>239.95</v>
      </c>
      <c r="N362" s="116">
        <v>248</v>
      </c>
      <c r="O362" s="116">
        <v>231.2</v>
      </c>
      <c r="P362" s="116">
        <v>238</v>
      </c>
      <c r="Q362" s="116">
        <v>239.95</v>
      </c>
      <c r="R362">
        <v>494588</v>
      </c>
    </row>
    <row r="363" spans="1:18" x14ac:dyDescent="0.25">
      <c r="A363" s="170">
        <v>44224</v>
      </c>
      <c r="B363" s="116">
        <v>243</v>
      </c>
      <c r="C363" s="116">
        <v>239.15</v>
      </c>
      <c r="D363" s="116">
        <v>236.65</v>
      </c>
      <c r="E363" s="116">
        <v>238.05</v>
      </c>
      <c r="F363" s="116">
        <v>239.15</v>
      </c>
      <c r="G363">
        <v>271071</v>
      </c>
      <c r="H363" s="116"/>
      <c r="I363" s="116"/>
      <c r="L363" s="170">
        <v>44224</v>
      </c>
      <c r="M363" s="116">
        <v>239.15</v>
      </c>
      <c r="N363" s="116">
        <v>243</v>
      </c>
      <c r="O363" s="116">
        <v>236.45</v>
      </c>
      <c r="P363" s="116">
        <v>239.5</v>
      </c>
      <c r="Q363" s="116">
        <v>239.15</v>
      </c>
      <c r="R363">
        <v>266317</v>
      </c>
    </row>
    <row r="364" spans="1:18" x14ac:dyDescent="0.25">
      <c r="A364" s="170">
        <v>44225</v>
      </c>
      <c r="B364" s="116">
        <v>245.95</v>
      </c>
      <c r="C364" s="116">
        <v>233.15</v>
      </c>
      <c r="D364" s="116">
        <v>232.1</v>
      </c>
      <c r="E364" s="116">
        <v>241.35</v>
      </c>
      <c r="F364" s="116">
        <v>233.15</v>
      </c>
      <c r="G364">
        <v>343004</v>
      </c>
      <c r="H364" s="116"/>
      <c r="I364" s="116"/>
      <c r="L364" s="170">
        <v>44225</v>
      </c>
      <c r="M364" s="116">
        <v>233.3</v>
      </c>
      <c r="N364" s="116">
        <v>245.95</v>
      </c>
      <c r="O364" s="116">
        <v>232.25</v>
      </c>
      <c r="P364" s="116">
        <v>242.5</v>
      </c>
      <c r="Q364" s="116">
        <v>233.3</v>
      </c>
      <c r="R364">
        <v>568793</v>
      </c>
    </row>
    <row r="365" spans="1:18" x14ac:dyDescent="0.25">
      <c r="A365" s="170">
        <v>44228</v>
      </c>
      <c r="B365" s="116">
        <v>243</v>
      </c>
      <c r="C365" s="116">
        <v>240.05</v>
      </c>
      <c r="D365" s="116">
        <v>234.6</v>
      </c>
      <c r="E365" s="116">
        <v>237.85</v>
      </c>
      <c r="F365" s="116">
        <v>240.05</v>
      </c>
      <c r="G365">
        <v>187700</v>
      </c>
      <c r="H365" s="116"/>
      <c r="I365" s="116"/>
      <c r="L365" s="170">
        <v>44228</v>
      </c>
      <c r="M365" s="116">
        <v>240.45</v>
      </c>
      <c r="N365" s="116">
        <v>243.05</v>
      </c>
      <c r="O365" s="116">
        <v>234.25</v>
      </c>
      <c r="P365" s="116">
        <v>236</v>
      </c>
      <c r="Q365" s="116">
        <v>240.45</v>
      </c>
      <c r="R365">
        <v>405354</v>
      </c>
    </row>
    <row r="366" spans="1:18" x14ac:dyDescent="0.25">
      <c r="A366" s="170">
        <v>44229</v>
      </c>
      <c r="B366" s="116">
        <v>249.4</v>
      </c>
      <c r="C366" s="116">
        <v>245.25</v>
      </c>
      <c r="D366" s="116">
        <v>242.85</v>
      </c>
      <c r="E366" s="116">
        <v>244.15</v>
      </c>
      <c r="F366" s="116">
        <v>245.25</v>
      </c>
      <c r="G366">
        <v>236897</v>
      </c>
      <c r="H366" s="116"/>
      <c r="I366" s="116"/>
      <c r="L366" s="170">
        <v>44229</v>
      </c>
      <c r="M366" s="116">
        <v>245.6</v>
      </c>
      <c r="N366" s="116">
        <v>249.45</v>
      </c>
      <c r="O366" s="116">
        <v>242.55</v>
      </c>
      <c r="P366" s="116">
        <v>243.1</v>
      </c>
      <c r="Q366" s="116">
        <v>245.6</v>
      </c>
      <c r="R366">
        <v>427030</v>
      </c>
    </row>
    <row r="367" spans="1:18" x14ac:dyDescent="0.25">
      <c r="A367" s="170">
        <v>44230</v>
      </c>
      <c r="B367" s="116">
        <v>258.85000000000002</v>
      </c>
      <c r="C367" s="116">
        <v>252.55</v>
      </c>
      <c r="D367" s="116">
        <v>244.1</v>
      </c>
      <c r="E367" s="116">
        <v>247.55</v>
      </c>
      <c r="F367" s="116">
        <v>252.55</v>
      </c>
      <c r="G367">
        <v>218905</v>
      </c>
      <c r="H367" s="116"/>
      <c r="I367" s="116"/>
      <c r="L367" s="170">
        <v>44230</v>
      </c>
      <c r="M367" s="116">
        <v>251.6</v>
      </c>
      <c r="N367" s="116">
        <v>259</v>
      </c>
      <c r="O367" s="116">
        <v>244</v>
      </c>
      <c r="P367" s="116">
        <v>247.6</v>
      </c>
      <c r="Q367" s="116">
        <v>251.6</v>
      </c>
      <c r="R367">
        <v>567814</v>
      </c>
    </row>
    <row r="368" spans="1:18" x14ac:dyDescent="0.25">
      <c r="A368" s="170">
        <v>44231</v>
      </c>
      <c r="B368" s="116">
        <v>257</v>
      </c>
      <c r="C368" s="116">
        <v>250.55</v>
      </c>
      <c r="D368" s="116">
        <v>248.6</v>
      </c>
      <c r="E368" s="116">
        <v>251</v>
      </c>
      <c r="F368" s="116">
        <v>250.55</v>
      </c>
      <c r="G368">
        <v>365682</v>
      </c>
      <c r="H368" s="116"/>
      <c r="I368" s="116"/>
      <c r="L368" s="170">
        <v>44231</v>
      </c>
      <c r="M368" s="116">
        <v>250.6</v>
      </c>
      <c r="N368" s="116">
        <v>257</v>
      </c>
      <c r="O368" s="116">
        <v>248.05</v>
      </c>
      <c r="P368" s="116">
        <v>252.85</v>
      </c>
      <c r="Q368" s="116">
        <v>250.6</v>
      </c>
      <c r="R368">
        <v>286164</v>
      </c>
    </row>
    <row r="369" spans="1:18" x14ac:dyDescent="0.25">
      <c r="A369" s="170">
        <v>44232</v>
      </c>
      <c r="B369" s="116">
        <v>254.7</v>
      </c>
      <c r="C369" s="116">
        <v>244.2</v>
      </c>
      <c r="D369" s="116">
        <v>242.3</v>
      </c>
      <c r="E369" s="116">
        <v>252.6</v>
      </c>
      <c r="F369" s="116">
        <v>244.2</v>
      </c>
      <c r="G369">
        <v>237588</v>
      </c>
      <c r="H369" s="116"/>
      <c r="I369" s="116"/>
      <c r="L369" s="170">
        <v>44232</v>
      </c>
      <c r="M369" s="116">
        <v>243.85</v>
      </c>
      <c r="N369" s="116">
        <v>254.9</v>
      </c>
      <c r="O369" s="116">
        <v>242.75</v>
      </c>
      <c r="P369" s="116">
        <v>251.8</v>
      </c>
      <c r="Q369" s="116">
        <v>243.85</v>
      </c>
      <c r="R369">
        <v>339603</v>
      </c>
    </row>
    <row r="370" spans="1:18" x14ac:dyDescent="0.25">
      <c r="A370" s="170">
        <v>44235</v>
      </c>
      <c r="B370" s="116">
        <v>249.25</v>
      </c>
      <c r="C370" s="116">
        <v>242.3</v>
      </c>
      <c r="D370" s="116">
        <v>239.7</v>
      </c>
      <c r="E370" s="116">
        <v>247</v>
      </c>
      <c r="F370" s="116">
        <v>242.3</v>
      </c>
      <c r="G370">
        <v>227787</v>
      </c>
      <c r="H370" s="116"/>
      <c r="I370" s="116"/>
      <c r="L370" s="170">
        <v>44235</v>
      </c>
      <c r="M370" s="116">
        <v>242</v>
      </c>
      <c r="N370" s="116">
        <v>249.3</v>
      </c>
      <c r="O370" s="116">
        <v>240</v>
      </c>
      <c r="P370" s="116">
        <v>245.1</v>
      </c>
      <c r="Q370" s="116">
        <v>242</v>
      </c>
      <c r="R370">
        <v>291603</v>
      </c>
    </row>
    <row r="371" spans="1:18" x14ac:dyDescent="0.25">
      <c r="A371" s="170">
        <v>44236</v>
      </c>
      <c r="B371" s="116">
        <v>243.75</v>
      </c>
      <c r="C371" s="116">
        <v>235.9</v>
      </c>
      <c r="D371" s="116">
        <v>235.15</v>
      </c>
      <c r="E371" s="116">
        <v>242</v>
      </c>
      <c r="F371" s="116">
        <v>235.9</v>
      </c>
      <c r="G371">
        <v>99336</v>
      </c>
      <c r="H371" s="116"/>
      <c r="I371" s="116"/>
      <c r="L371" s="170">
        <v>44236</v>
      </c>
      <c r="M371" s="116">
        <v>235.75</v>
      </c>
      <c r="N371" s="116">
        <v>244.4</v>
      </c>
      <c r="O371" s="116">
        <v>235</v>
      </c>
      <c r="P371" s="116">
        <v>243.95</v>
      </c>
      <c r="Q371" s="116">
        <v>235.75</v>
      </c>
      <c r="R371">
        <v>297029</v>
      </c>
    </row>
    <row r="372" spans="1:18" x14ac:dyDescent="0.25">
      <c r="A372" s="170">
        <v>44237</v>
      </c>
      <c r="B372" s="116">
        <v>245.1</v>
      </c>
      <c r="C372" s="116">
        <v>239.65</v>
      </c>
      <c r="D372" s="116">
        <v>236.25</v>
      </c>
      <c r="E372" s="116">
        <v>237.9</v>
      </c>
      <c r="F372" s="116">
        <v>239.65</v>
      </c>
      <c r="G372">
        <v>220379</v>
      </c>
      <c r="H372" s="116"/>
      <c r="I372" s="116"/>
      <c r="L372" s="170">
        <v>44237</v>
      </c>
      <c r="M372" s="116">
        <v>239.8</v>
      </c>
      <c r="N372" s="116">
        <v>245.1</v>
      </c>
      <c r="O372" s="116">
        <v>236.1</v>
      </c>
      <c r="P372" s="116">
        <v>236.45</v>
      </c>
      <c r="Q372" s="116">
        <v>239.8</v>
      </c>
      <c r="R372">
        <v>311090</v>
      </c>
    </row>
    <row r="373" spans="1:18" x14ac:dyDescent="0.25">
      <c r="A373" s="170">
        <v>44238</v>
      </c>
      <c r="B373" s="116">
        <v>243.75</v>
      </c>
      <c r="C373" s="116">
        <v>239.6</v>
      </c>
      <c r="D373" s="116">
        <v>237.8</v>
      </c>
      <c r="E373" s="116">
        <v>239.65</v>
      </c>
      <c r="F373" s="116">
        <v>239.6</v>
      </c>
      <c r="G373">
        <v>43594</v>
      </c>
      <c r="H373" s="116"/>
      <c r="I373" s="116"/>
      <c r="L373" s="170">
        <v>44238</v>
      </c>
      <c r="M373" s="116">
        <v>239.15</v>
      </c>
      <c r="N373" s="116">
        <v>244</v>
      </c>
      <c r="O373" s="116">
        <v>238</v>
      </c>
      <c r="P373" s="116">
        <v>239.9</v>
      </c>
      <c r="Q373" s="116">
        <v>239.15</v>
      </c>
      <c r="R373">
        <v>242371</v>
      </c>
    </row>
    <row r="374" spans="1:18" x14ac:dyDescent="0.25">
      <c r="A374" s="170">
        <v>44239</v>
      </c>
      <c r="B374" s="116">
        <v>256</v>
      </c>
      <c r="C374" s="116">
        <v>254.3</v>
      </c>
      <c r="D374" s="116">
        <v>239.6</v>
      </c>
      <c r="E374" s="116">
        <v>239.6</v>
      </c>
      <c r="F374" s="116">
        <v>254.3</v>
      </c>
      <c r="G374">
        <v>151789</v>
      </c>
      <c r="H374" s="116"/>
      <c r="I374" s="116"/>
      <c r="L374" s="170">
        <v>44239</v>
      </c>
      <c r="M374" s="116">
        <v>253.9</v>
      </c>
      <c r="N374" s="116">
        <v>256</v>
      </c>
      <c r="O374" s="116">
        <v>240.4</v>
      </c>
      <c r="P374" s="116">
        <v>240.4</v>
      </c>
      <c r="Q374" s="116">
        <v>253.9</v>
      </c>
      <c r="R374">
        <v>1320670</v>
      </c>
    </row>
    <row r="375" spans="1:18" x14ac:dyDescent="0.25">
      <c r="A375" s="170">
        <v>44242</v>
      </c>
      <c r="B375" s="116">
        <v>245.95</v>
      </c>
      <c r="C375" s="116">
        <v>236.35</v>
      </c>
      <c r="D375" s="116">
        <v>230</v>
      </c>
      <c r="E375" s="116">
        <v>235</v>
      </c>
      <c r="F375" s="116">
        <v>236.35</v>
      </c>
      <c r="G375">
        <v>167141</v>
      </c>
      <c r="H375" s="116"/>
      <c r="I375" s="116"/>
      <c r="L375" s="170">
        <v>44242</v>
      </c>
      <c r="M375" s="116">
        <v>236</v>
      </c>
      <c r="N375" s="116">
        <v>245.9</v>
      </c>
      <c r="O375" s="116">
        <v>229.15</v>
      </c>
      <c r="P375" s="116">
        <v>230</v>
      </c>
      <c r="Q375" s="116">
        <v>236</v>
      </c>
      <c r="R375">
        <v>1083283</v>
      </c>
    </row>
    <row r="376" spans="1:18" x14ac:dyDescent="0.25">
      <c r="A376" s="170">
        <v>44243</v>
      </c>
      <c r="B376" s="116">
        <v>239.95</v>
      </c>
      <c r="C376" s="116">
        <v>229.85</v>
      </c>
      <c r="D376" s="116">
        <v>228.5</v>
      </c>
      <c r="E376" s="116">
        <v>237.2</v>
      </c>
      <c r="F376" s="116">
        <v>229.85</v>
      </c>
      <c r="G376">
        <v>74814</v>
      </c>
      <c r="H376" s="116"/>
      <c r="I376" s="116"/>
      <c r="L376" s="170">
        <v>44243</v>
      </c>
      <c r="M376" s="116">
        <v>229.7</v>
      </c>
      <c r="N376" s="116">
        <v>240.8</v>
      </c>
      <c r="O376" s="116">
        <v>228.15</v>
      </c>
      <c r="P376" s="116">
        <v>239.35</v>
      </c>
      <c r="Q376" s="116">
        <v>229.7</v>
      </c>
      <c r="R376">
        <v>572959</v>
      </c>
    </row>
    <row r="377" spans="1:18" x14ac:dyDescent="0.25">
      <c r="A377" s="170">
        <v>44244</v>
      </c>
      <c r="B377" s="116">
        <v>235.3</v>
      </c>
      <c r="C377" s="116">
        <v>231.75</v>
      </c>
      <c r="D377" s="116">
        <v>230.5</v>
      </c>
      <c r="E377" s="116">
        <v>232.35</v>
      </c>
      <c r="F377" s="116">
        <v>231.75</v>
      </c>
      <c r="G377">
        <v>72836</v>
      </c>
      <c r="H377" s="116"/>
      <c r="I377" s="116"/>
      <c r="L377" s="170">
        <v>44244</v>
      </c>
      <c r="M377" s="116">
        <v>231.95</v>
      </c>
      <c r="N377" s="116">
        <v>235.2</v>
      </c>
      <c r="O377" s="116">
        <v>230</v>
      </c>
      <c r="P377" s="116">
        <v>230</v>
      </c>
      <c r="Q377" s="116">
        <v>231.95</v>
      </c>
      <c r="R377">
        <v>360997</v>
      </c>
    </row>
    <row r="378" spans="1:18" x14ac:dyDescent="0.25">
      <c r="A378" s="170">
        <v>44245</v>
      </c>
      <c r="B378" s="116">
        <v>236</v>
      </c>
      <c r="C378" s="116">
        <v>227.85</v>
      </c>
      <c r="D378" s="116">
        <v>226.25</v>
      </c>
      <c r="E378" s="116">
        <v>236</v>
      </c>
      <c r="F378" s="116">
        <v>227.85</v>
      </c>
      <c r="G378">
        <v>43166</v>
      </c>
      <c r="H378" s="116"/>
      <c r="I378" s="116"/>
      <c r="L378" s="170">
        <v>44245</v>
      </c>
      <c r="M378" s="116">
        <v>227.7</v>
      </c>
      <c r="N378" s="116">
        <v>234.7</v>
      </c>
      <c r="O378" s="116">
        <v>226.35</v>
      </c>
      <c r="P378" s="116">
        <v>234.7</v>
      </c>
      <c r="Q378" s="116">
        <v>227.7</v>
      </c>
      <c r="R378">
        <v>462165</v>
      </c>
    </row>
    <row r="379" spans="1:18" x14ac:dyDescent="0.25">
      <c r="A379" s="170">
        <v>44246</v>
      </c>
      <c r="B379" s="116">
        <v>232</v>
      </c>
      <c r="C379" s="116">
        <v>227.9</v>
      </c>
      <c r="D379" s="116">
        <v>227</v>
      </c>
      <c r="E379" s="116">
        <v>229.4</v>
      </c>
      <c r="F379" s="116">
        <v>227.9</v>
      </c>
      <c r="G379">
        <v>45461</v>
      </c>
      <c r="H379" s="116"/>
      <c r="I379" s="116"/>
      <c r="L379" s="170">
        <v>44246</v>
      </c>
      <c r="M379" s="116">
        <v>227.65</v>
      </c>
      <c r="N379" s="116">
        <v>232</v>
      </c>
      <c r="O379" s="116">
        <v>227</v>
      </c>
      <c r="P379" s="116">
        <v>228.05</v>
      </c>
      <c r="Q379" s="116">
        <v>227.65</v>
      </c>
      <c r="R379">
        <v>269227</v>
      </c>
    </row>
    <row r="380" spans="1:18" x14ac:dyDescent="0.25">
      <c r="A380" s="170">
        <v>44249</v>
      </c>
      <c r="B380" s="116">
        <v>233.9</v>
      </c>
      <c r="C380" s="116">
        <v>227.95</v>
      </c>
      <c r="D380" s="116">
        <v>227</v>
      </c>
      <c r="E380" s="116">
        <v>229.8</v>
      </c>
      <c r="F380" s="116">
        <v>227.95</v>
      </c>
      <c r="G380">
        <v>81821</v>
      </c>
      <c r="H380" s="116"/>
      <c r="I380" s="116"/>
      <c r="L380" s="170">
        <v>44249</v>
      </c>
      <c r="M380" s="116">
        <v>227.85</v>
      </c>
      <c r="N380" s="116">
        <v>234</v>
      </c>
      <c r="O380" s="116">
        <v>227</v>
      </c>
      <c r="P380" s="116">
        <v>229</v>
      </c>
      <c r="Q380" s="116">
        <v>227.85</v>
      </c>
      <c r="R380">
        <v>186660</v>
      </c>
    </row>
    <row r="381" spans="1:18" x14ac:dyDescent="0.25">
      <c r="A381" s="170">
        <v>44250</v>
      </c>
      <c r="B381" s="116">
        <v>233</v>
      </c>
      <c r="C381" s="116">
        <v>228.95</v>
      </c>
      <c r="D381" s="116">
        <v>226.8</v>
      </c>
      <c r="E381" s="116">
        <v>226.8</v>
      </c>
      <c r="F381" s="116">
        <v>228.95</v>
      </c>
      <c r="G381">
        <v>51072</v>
      </c>
      <c r="H381" s="116"/>
      <c r="I381" s="116"/>
      <c r="L381" s="170">
        <v>44250</v>
      </c>
      <c r="M381" s="116">
        <v>229</v>
      </c>
      <c r="N381" s="116">
        <v>233.45</v>
      </c>
      <c r="O381" s="116">
        <v>227.85</v>
      </c>
      <c r="P381" s="116">
        <v>229.8</v>
      </c>
      <c r="Q381" s="116">
        <v>229</v>
      </c>
      <c r="R381">
        <v>262317</v>
      </c>
    </row>
    <row r="382" spans="1:18" x14ac:dyDescent="0.25">
      <c r="A382" s="170">
        <v>44251</v>
      </c>
      <c r="B382" s="116">
        <v>232.05</v>
      </c>
      <c r="C382" s="116">
        <v>230.25</v>
      </c>
      <c r="D382" s="116">
        <v>227</v>
      </c>
      <c r="E382" s="116">
        <v>230.2</v>
      </c>
      <c r="F382" s="116">
        <v>230.25</v>
      </c>
      <c r="G382">
        <v>27258</v>
      </c>
      <c r="H382" s="116"/>
      <c r="I382" s="116"/>
      <c r="L382" s="170">
        <v>44251</v>
      </c>
      <c r="M382" s="116">
        <v>229.55</v>
      </c>
      <c r="N382" s="116">
        <v>232.35</v>
      </c>
      <c r="O382" s="116">
        <v>183.5</v>
      </c>
      <c r="P382" s="116">
        <v>230.15</v>
      </c>
      <c r="Q382" s="116">
        <v>229.55</v>
      </c>
      <c r="R382">
        <v>98943</v>
      </c>
    </row>
    <row r="383" spans="1:18" x14ac:dyDescent="0.25">
      <c r="A383" s="170">
        <v>44252</v>
      </c>
      <c r="B383" s="116">
        <v>237.4</v>
      </c>
      <c r="C383" s="116">
        <v>235.8</v>
      </c>
      <c r="D383" s="116">
        <v>226.9</v>
      </c>
      <c r="E383" s="116">
        <v>231</v>
      </c>
      <c r="F383" s="116">
        <v>235.8</v>
      </c>
      <c r="G383">
        <v>52259</v>
      </c>
      <c r="H383" s="116"/>
      <c r="I383" s="116"/>
      <c r="L383" s="170">
        <v>44252</v>
      </c>
      <c r="M383" s="116">
        <v>236.05</v>
      </c>
      <c r="N383" s="116">
        <v>237.5</v>
      </c>
      <c r="O383" s="116">
        <v>226.8</v>
      </c>
      <c r="P383" s="116">
        <v>231.8</v>
      </c>
      <c r="Q383" s="116">
        <v>236.05</v>
      </c>
      <c r="R383">
        <v>405730</v>
      </c>
    </row>
    <row r="384" spans="1:18" x14ac:dyDescent="0.25">
      <c r="A384" s="170">
        <v>44253</v>
      </c>
      <c r="B384" s="116">
        <v>234.9</v>
      </c>
      <c r="C384" s="116">
        <v>227.35</v>
      </c>
      <c r="D384" s="116">
        <v>225.5</v>
      </c>
      <c r="E384" s="116">
        <v>234.9</v>
      </c>
      <c r="F384" s="116">
        <v>227.35</v>
      </c>
      <c r="G384">
        <v>29916</v>
      </c>
      <c r="H384" s="116"/>
      <c r="I384" s="116"/>
      <c r="L384" s="170">
        <v>44253</v>
      </c>
      <c r="M384" s="116">
        <v>227.85</v>
      </c>
      <c r="N384" s="116">
        <v>234.2</v>
      </c>
      <c r="O384" s="116">
        <v>225.1</v>
      </c>
      <c r="P384" s="116">
        <v>232.05</v>
      </c>
      <c r="Q384" s="116">
        <v>227.85</v>
      </c>
      <c r="R384">
        <v>294578</v>
      </c>
    </row>
    <row r="385" spans="1:18" x14ac:dyDescent="0.25">
      <c r="A385" s="170">
        <v>44256</v>
      </c>
      <c r="B385" s="116">
        <v>244.05</v>
      </c>
      <c r="C385" s="116">
        <v>240.8</v>
      </c>
      <c r="D385" s="116">
        <v>227.5</v>
      </c>
      <c r="E385" s="116">
        <v>232.5</v>
      </c>
      <c r="F385" s="116">
        <v>240.8</v>
      </c>
      <c r="G385">
        <v>51508</v>
      </c>
      <c r="H385" s="116"/>
      <c r="I385" s="116"/>
      <c r="L385" s="170">
        <v>44256</v>
      </c>
      <c r="M385" s="116">
        <v>241.05</v>
      </c>
      <c r="N385" s="116">
        <v>243.8</v>
      </c>
      <c r="O385" s="116">
        <v>227.25</v>
      </c>
      <c r="P385" s="116">
        <v>230.9</v>
      </c>
      <c r="Q385" s="116">
        <v>241.05</v>
      </c>
      <c r="R385">
        <v>865828</v>
      </c>
    </row>
    <row r="386" spans="1:18" x14ac:dyDescent="0.25">
      <c r="A386" s="170">
        <v>44257</v>
      </c>
      <c r="B386" s="116">
        <v>254</v>
      </c>
      <c r="C386" s="116">
        <v>244.8</v>
      </c>
      <c r="D386" s="116">
        <v>241</v>
      </c>
      <c r="E386" s="116">
        <v>241</v>
      </c>
      <c r="F386" s="116">
        <v>244.8</v>
      </c>
      <c r="G386">
        <v>50907</v>
      </c>
      <c r="H386" s="116"/>
      <c r="I386" s="116"/>
      <c r="L386" s="170">
        <v>44257</v>
      </c>
      <c r="M386" s="116">
        <v>245.3</v>
      </c>
      <c r="N386" s="116">
        <v>254.3</v>
      </c>
      <c r="O386" s="116">
        <v>242.4</v>
      </c>
      <c r="P386" s="116">
        <v>244.9</v>
      </c>
      <c r="Q386" s="116">
        <v>245.3</v>
      </c>
      <c r="R386">
        <v>776529</v>
      </c>
    </row>
    <row r="387" spans="1:18" x14ac:dyDescent="0.25">
      <c r="A387" s="170">
        <v>44258</v>
      </c>
      <c r="B387" s="116">
        <v>253.9</v>
      </c>
      <c r="C387" s="116">
        <v>239.3</v>
      </c>
      <c r="D387" s="116">
        <v>238.05</v>
      </c>
      <c r="E387" s="116">
        <v>248.5</v>
      </c>
      <c r="F387" s="116">
        <v>239.3</v>
      </c>
      <c r="G387">
        <v>45889</v>
      </c>
      <c r="H387" s="116"/>
      <c r="I387" s="116"/>
      <c r="L387" s="170">
        <v>44258</v>
      </c>
      <c r="M387" s="116">
        <v>239.15</v>
      </c>
      <c r="N387" s="116">
        <v>253.75</v>
      </c>
      <c r="O387" s="116">
        <v>237.05</v>
      </c>
      <c r="P387" s="116">
        <v>250</v>
      </c>
      <c r="Q387" s="116">
        <v>239.15</v>
      </c>
      <c r="R387">
        <v>409765</v>
      </c>
    </row>
    <row r="388" spans="1:18" x14ac:dyDescent="0.25">
      <c r="A388" s="170">
        <v>44259</v>
      </c>
      <c r="B388" s="116">
        <v>247.35</v>
      </c>
      <c r="C388" s="116">
        <v>241.7</v>
      </c>
      <c r="D388" s="116">
        <v>235.8</v>
      </c>
      <c r="E388" s="116">
        <v>242</v>
      </c>
      <c r="F388" s="116">
        <v>241.7</v>
      </c>
      <c r="G388">
        <v>58002</v>
      </c>
      <c r="H388" s="116"/>
      <c r="I388" s="116"/>
      <c r="L388" s="170">
        <v>44259</v>
      </c>
      <c r="M388" s="116">
        <v>242.35</v>
      </c>
      <c r="N388" s="116">
        <v>247.5</v>
      </c>
      <c r="O388" s="116">
        <v>236.7</v>
      </c>
      <c r="P388" s="116">
        <v>237.2</v>
      </c>
      <c r="Q388" s="116">
        <v>242.35</v>
      </c>
      <c r="R388">
        <v>357732</v>
      </c>
    </row>
    <row r="389" spans="1:18" x14ac:dyDescent="0.25">
      <c r="A389" s="170">
        <v>44260</v>
      </c>
      <c r="B389" s="116">
        <v>247.95</v>
      </c>
      <c r="C389" s="116">
        <v>244.75</v>
      </c>
      <c r="D389" s="116">
        <v>239.15</v>
      </c>
      <c r="E389" s="116">
        <v>242</v>
      </c>
      <c r="F389" s="116">
        <v>244.75</v>
      </c>
      <c r="G389">
        <v>35087</v>
      </c>
      <c r="H389" s="116"/>
      <c r="I389" s="116"/>
      <c r="L389" s="170">
        <v>44260</v>
      </c>
      <c r="M389" s="116">
        <v>244.9</v>
      </c>
      <c r="N389" s="116">
        <v>247.8</v>
      </c>
      <c r="O389" s="116">
        <v>239.2</v>
      </c>
      <c r="P389" s="116">
        <v>240.6</v>
      </c>
      <c r="Q389" s="116">
        <v>244.9</v>
      </c>
      <c r="R389">
        <v>461811</v>
      </c>
    </row>
    <row r="390" spans="1:18" x14ac:dyDescent="0.25">
      <c r="A390" s="170">
        <v>44263</v>
      </c>
      <c r="B390" s="116">
        <v>253.9</v>
      </c>
      <c r="C390" s="116">
        <v>243.7</v>
      </c>
      <c r="D390" s="116">
        <v>241.9</v>
      </c>
      <c r="E390" s="116">
        <v>247.1</v>
      </c>
      <c r="F390" s="116">
        <v>243.7</v>
      </c>
      <c r="G390">
        <v>17639</v>
      </c>
      <c r="H390" s="116"/>
      <c r="I390" s="116"/>
      <c r="L390" s="170">
        <v>44263</v>
      </c>
      <c r="M390" s="116">
        <v>243.6</v>
      </c>
      <c r="N390" s="116">
        <v>253.75</v>
      </c>
      <c r="O390" s="116">
        <v>241.35</v>
      </c>
      <c r="P390" s="116">
        <v>245</v>
      </c>
      <c r="Q390" s="116">
        <v>243.6</v>
      </c>
      <c r="R390">
        <v>323952</v>
      </c>
    </row>
    <row r="391" spans="1:18" x14ac:dyDescent="0.25">
      <c r="A391" s="170">
        <v>44264</v>
      </c>
      <c r="B391" s="116">
        <v>247.95</v>
      </c>
      <c r="C391" s="116">
        <v>235.3</v>
      </c>
      <c r="D391" s="116">
        <v>234</v>
      </c>
      <c r="E391" s="116">
        <v>241</v>
      </c>
      <c r="F391" s="116">
        <v>235.3</v>
      </c>
      <c r="G391">
        <v>34559</v>
      </c>
      <c r="H391" s="116"/>
      <c r="I391" s="116"/>
      <c r="L391" s="170">
        <v>44264</v>
      </c>
      <c r="M391" s="116">
        <v>235.65</v>
      </c>
      <c r="N391" s="116">
        <v>249.5</v>
      </c>
      <c r="O391" s="116">
        <v>233.4</v>
      </c>
      <c r="P391" s="116">
        <v>246.4</v>
      </c>
      <c r="Q391" s="116">
        <v>235.65</v>
      </c>
      <c r="R391">
        <v>260059</v>
      </c>
    </row>
    <row r="392" spans="1:18" x14ac:dyDescent="0.25">
      <c r="A392" s="170">
        <v>44265</v>
      </c>
      <c r="B392" s="116">
        <v>273.39999999999998</v>
      </c>
      <c r="C392" s="116">
        <v>268.3</v>
      </c>
      <c r="D392" s="116">
        <v>236.45</v>
      </c>
      <c r="E392" s="116">
        <v>239.5</v>
      </c>
      <c r="F392" s="116">
        <v>268.3</v>
      </c>
      <c r="G392">
        <v>249146</v>
      </c>
      <c r="H392" s="116"/>
      <c r="I392" s="116"/>
      <c r="L392" s="170">
        <v>44265</v>
      </c>
      <c r="M392" s="116">
        <v>268.60000000000002</v>
      </c>
      <c r="N392" s="116">
        <v>273.85000000000002</v>
      </c>
      <c r="O392" s="116">
        <v>236.2</v>
      </c>
      <c r="P392" s="116">
        <v>238.7</v>
      </c>
      <c r="Q392" s="116">
        <v>268.60000000000002</v>
      </c>
      <c r="R392">
        <v>3437580</v>
      </c>
    </row>
    <row r="393" spans="1:18" x14ac:dyDescent="0.25">
      <c r="A393" s="170">
        <v>44267</v>
      </c>
      <c r="B393" s="116">
        <v>275.7</v>
      </c>
      <c r="C393" s="116">
        <v>253.5</v>
      </c>
      <c r="D393" s="116">
        <v>249.3</v>
      </c>
      <c r="E393" s="116">
        <v>269</v>
      </c>
      <c r="F393" s="116">
        <v>253.5</v>
      </c>
      <c r="G393">
        <v>105145</v>
      </c>
      <c r="H393" s="116"/>
      <c r="I393" s="116"/>
      <c r="L393" s="170">
        <v>44267</v>
      </c>
      <c r="M393" s="116">
        <v>253.4</v>
      </c>
      <c r="N393" s="116">
        <v>275.95</v>
      </c>
      <c r="O393" s="116">
        <v>249</v>
      </c>
      <c r="P393" s="116">
        <v>271.39999999999998</v>
      </c>
      <c r="Q393" s="116">
        <v>253.4</v>
      </c>
      <c r="R393">
        <v>1230170</v>
      </c>
    </row>
    <row r="394" spans="1:18" x14ac:dyDescent="0.25">
      <c r="A394" s="170">
        <v>44270</v>
      </c>
      <c r="B394" s="116">
        <v>282.75</v>
      </c>
      <c r="C394" s="116">
        <v>277.25</v>
      </c>
      <c r="D394" s="116">
        <v>247.15</v>
      </c>
      <c r="E394" s="116">
        <v>255</v>
      </c>
      <c r="F394" s="116">
        <v>277.25</v>
      </c>
      <c r="G394">
        <v>324562</v>
      </c>
      <c r="H394" s="116"/>
      <c r="I394" s="116"/>
      <c r="L394" s="170">
        <v>44270</v>
      </c>
      <c r="M394" s="116">
        <v>277.2</v>
      </c>
      <c r="N394" s="116">
        <v>282.8</v>
      </c>
      <c r="O394" s="116">
        <v>247.25</v>
      </c>
      <c r="P394" s="116">
        <v>253.9</v>
      </c>
      <c r="Q394" s="116">
        <v>277.2</v>
      </c>
      <c r="R394">
        <v>2617260</v>
      </c>
    </row>
    <row r="395" spans="1:18" x14ac:dyDescent="0.25">
      <c r="A395" s="170">
        <v>44271</v>
      </c>
      <c r="B395" s="116">
        <v>296.95</v>
      </c>
      <c r="C395" s="116">
        <v>282.55</v>
      </c>
      <c r="D395" s="116">
        <v>272.45</v>
      </c>
      <c r="E395" s="116">
        <v>279.95</v>
      </c>
      <c r="F395" s="116">
        <v>282.55</v>
      </c>
      <c r="G395">
        <v>284290</v>
      </c>
      <c r="H395" s="116"/>
      <c r="I395" s="116"/>
      <c r="L395" s="170">
        <v>44271</v>
      </c>
      <c r="M395" s="116">
        <v>282.60000000000002</v>
      </c>
      <c r="N395" s="116">
        <v>296.95</v>
      </c>
      <c r="O395" s="116">
        <v>273</v>
      </c>
      <c r="P395" s="116">
        <v>278.45</v>
      </c>
      <c r="Q395" s="116">
        <v>282.60000000000002</v>
      </c>
      <c r="R395">
        <v>2891196</v>
      </c>
    </row>
    <row r="396" spans="1:18" x14ac:dyDescent="0.25">
      <c r="A396" s="170">
        <v>44272</v>
      </c>
      <c r="B396" s="116">
        <v>288.10000000000002</v>
      </c>
      <c r="C396" s="116">
        <v>264.35000000000002</v>
      </c>
      <c r="D396" s="116">
        <v>262.2</v>
      </c>
      <c r="E396" s="116">
        <v>286</v>
      </c>
      <c r="F396" s="116">
        <v>264.35000000000002</v>
      </c>
      <c r="G396">
        <v>57924</v>
      </c>
      <c r="H396" s="116"/>
      <c r="I396" s="116"/>
      <c r="L396" s="170">
        <v>44272</v>
      </c>
      <c r="M396" s="116">
        <v>263.89999999999998</v>
      </c>
      <c r="N396" s="116">
        <v>288.39999999999998</v>
      </c>
      <c r="O396" s="116">
        <v>262</v>
      </c>
      <c r="P396" s="116">
        <v>282.5</v>
      </c>
      <c r="Q396" s="116">
        <v>263.89999999999998</v>
      </c>
      <c r="R396">
        <v>805131</v>
      </c>
    </row>
    <row r="397" spans="1:18" x14ac:dyDescent="0.25">
      <c r="A397" s="170">
        <v>44273</v>
      </c>
      <c r="B397" s="116">
        <v>271.95</v>
      </c>
      <c r="C397" s="116">
        <v>253</v>
      </c>
      <c r="D397" s="116">
        <v>249</v>
      </c>
      <c r="E397" s="116">
        <v>271</v>
      </c>
      <c r="F397" s="116">
        <v>253</v>
      </c>
      <c r="G397">
        <v>76734</v>
      </c>
      <c r="H397" s="116"/>
      <c r="I397" s="116"/>
      <c r="L397" s="170">
        <v>44273</v>
      </c>
      <c r="M397" s="116">
        <v>252.85</v>
      </c>
      <c r="N397" s="116">
        <v>272.2</v>
      </c>
      <c r="O397" s="116">
        <v>248.95</v>
      </c>
      <c r="P397" s="116">
        <v>266.39999999999998</v>
      </c>
      <c r="Q397" s="116">
        <v>252.85</v>
      </c>
      <c r="R397">
        <v>476703</v>
      </c>
    </row>
    <row r="398" spans="1:18" x14ac:dyDescent="0.25">
      <c r="A398" s="170">
        <v>44274</v>
      </c>
      <c r="B398" s="116">
        <v>266.55</v>
      </c>
      <c r="C398" s="116">
        <v>262.85000000000002</v>
      </c>
      <c r="D398" s="116">
        <v>244.45</v>
      </c>
      <c r="E398" s="116">
        <v>257</v>
      </c>
      <c r="F398" s="116">
        <v>262.85000000000002</v>
      </c>
      <c r="G398">
        <v>98582</v>
      </c>
      <c r="H398" s="116"/>
      <c r="I398" s="116"/>
      <c r="L398" s="170">
        <v>44274</v>
      </c>
      <c r="M398" s="116">
        <v>262.25</v>
      </c>
      <c r="N398" s="116">
        <v>266.39999999999998</v>
      </c>
      <c r="O398" s="116">
        <v>244.3</v>
      </c>
      <c r="P398" s="116">
        <v>248.5</v>
      </c>
      <c r="Q398" s="116">
        <v>262.25</v>
      </c>
      <c r="R398">
        <v>618813</v>
      </c>
    </row>
    <row r="399" spans="1:18" x14ac:dyDescent="0.25">
      <c r="A399" s="170">
        <v>44277</v>
      </c>
      <c r="B399" s="116">
        <v>273.7</v>
      </c>
      <c r="C399" s="116">
        <v>264.7</v>
      </c>
      <c r="D399" s="116">
        <v>259.95</v>
      </c>
      <c r="E399" s="116">
        <v>263</v>
      </c>
      <c r="F399" s="116">
        <v>264.7</v>
      </c>
      <c r="G399">
        <v>100284</v>
      </c>
      <c r="H399" s="116"/>
      <c r="I399" s="116"/>
      <c r="L399" s="170">
        <v>44277</v>
      </c>
      <c r="M399" s="116">
        <v>264.95</v>
      </c>
      <c r="N399" s="116">
        <v>273.8</v>
      </c>
      <c r="O399" s="116">
        <v>259.3</v>
      </c>
      <c r="P399" s="116">
        <v>265.55</v>
      </c>
      <c r="Q399" s="116">
        <v>264.95</v>
      </c>
      <c r="R399">
        <v>525929</v>
      </c>
    </row>
    <row r="400" spans="1:18" x14ac:dyDescent="0.25">
      <c r="A400" s="170">
        <v>44278</v>
      </c>
      <c r="B400" s="116">
        <v>317.60000000000002</v>
      </c>
      <c r="C400" s="116">
        <v>315.2</v>
      </c>
      <c r="D400" s="116">
        <v>266.25</v>
      </c>
      <c r="E400" s="116">
        <v>266.25</v>
      </c>
      <c r="F400" s="116">
        <v>315.2</v>
      </c>
      <c r="G400">
        <v>390326</v>
      </c>
      <c r="H400" s="116"/>
      <c r="I400" s="116"/>
      <c r="L400" s="170">
        <v>44278</v>
      </c>
      <c r="M400" s="116">
        <v>315.14999999999998</v>
      </c>
      <c r="N400" s="116">
        <v>317.89999999999998</v>
      </c>
      <c r="O400" s="116">
        <v>265.55</v>
      </c>
      <c r="P400" s="116">
        <v>265.55</v>
      </c>
      <c r="Q400" s="116">
        <v>315.14999999999998</v>
      </c>
      <c r="R400">
        <v>5142698</v>
      </c>
    </row>
    <row r="401" spans="1:18" x14ac:dyDescent="0.25">
      <c r="A401" s="170">
        <v>44279</v>
      </c>
      <c r="B401" s="116">
        <v>327</v>
      </c>
      <c r="C401" s="116">
        <v>300.75</v>
      </c>
      <c r="D401" s="116">
        <v>293.25</v>
      </c>
      <c r="E401" s="116">
        <v>323</v>
      </c>
      <c r="F401" s="116">
        <v>300.75</v>
      </c>
      <c r="G401">
        <v>377582</v>
      </c>
      <c r="H401" s="116"/>
      <c r="I401" s="116"/>
      <c r="L401" s="170">
        <v>44279</v>
      </c>
      <c r="M401" s="116">
        <v>300.64999999999998</v>
      </c>
      <c r="N401" s="116">
        <v>326.8</v>
      </c>
      <c r="O401" s="116">
        <v>293</v>
      </c>
      <c r="P401" s="116">
        <v>322.89999999999998</v>
      </c>
      <c r="Q401" s="116">
        <v>300.64999999999998</v>
      </c>
      <c r="R401">
        <v>4467593</v>
      </c>
    </row>
    <row r="402" spans="1:18" x14ac:dyDescent="0.25">
      <c r="A402" s="170">
        <v>44280</v>
      </c>
      <c r="B402" s="116">
        <v>304.05</v>
      </c>
      <c r="C402" s="116">
        <v>272.39999999999998</v>
      </c>
      <c r="D402" s="116">
        <v>269.05</v>
      </c>
      <c r="E402" s="116">
        <v>302.89999999999998</v>
      </c>
      <c r="F402" s="116">
        <v>272.39999999999998</v>
      </c>
      <c r="G402">
        <v>203950</v>
      </c>
      <c r="H402" s="116"/>
      <c r="I402" s="116"/>
      <c r="L402" s="170">
        <v>44280</v>
      </c>
      <c r="M402" s="116">
        <v>272.25</v>
      </c>
      <c r="N402" s="116">
        <v>303.60000000000002</v>
      </c>
      <c r="O402" s="116">
        <v>269.14999999999998</v>
      </c>
      <c r="P402" s="116">
        <v>301</v>
      </c>
      <c r="Q402" s="116">
        <v>272.25</v>
      </c>
      <c r="R402">
        <v>2356892</v>
      </c>
    </row>
    <row r="403" spans="1:18" x14ac:dyDescent="0.25">
      <c r="A403" s="170">
        <v>44281</v>
      </c>
      <c r="B403" s="116">
        <v>294</v>
      </c>
      <c r="C403" s="116">
        <v>249.15</v>
      </c>
      <c r="D403" s="116">
        <v>242</v>
      </c>
      <c r="E403" s="116">
        <v>276.89999999999998</v>
      </c>
      <c r="F403" s="116">
        <v>249.15</v>
      </c>
      <c r="G403">
        <v>622532</v>
      </c>
      <c r="H403" s="116"/>
      <c r="I403" s="116"/>
      <c r="L403" s="170">
        <v>44281</v>
      </c>
      <c r="M403" s="116">
        <v>249.45</v>
      </c>
      <c r="N403" s="116">
        <v>294.45</v>
      </c>
      <c r="O403" s="116">
        <v>241.8</v>
      </c>
      <c r="P403" s="116">
        <v>276.64999999999998</v>
      </c>
      <c r="Q403" s="116">
        <v>249.45</v>
      </c>
      <c r="R403">
        <v>7338158</v>
      </c>
    </row>
    <row r="404" spans="1:18" x14ac:dyDescent="0.25">
      <c r="A404" s="170">
        <v>44285</v>
      </c>
      <c r="B404" s="116">
        <v>262.3</v>
      </c>
      <c r="C404" s="116">
        <v>252.25</v>
      </c>
      <c r="D404" s="116">
        <v>250.05</v>
      </c>
      <c r="E404" s="116">
        <v>253.9</v>
      </c>
      <c r="F404" s="116">
        <v>252.25</v>
      </c>
      <c r="G404">
        <v>172517</v>
      </c>
      <c r="H404" s="116"/>
      <c r="I404" s="116"/>
      <c r="L404" s="170">
        <v>44285</v>
      </c>
      <c r="M404" s="116">
        <v>251.75</v>
      </c>
      <c r="N404" s="116">
        <v>262.3</v>
      </c>
      <c r="O404" s="116">
        <v>250</v>
      </c>
      <c r="P404" s="116">
        <v>254.5</v>
      </c>
      <c r="Q404" s="116">
        <v>251.75</v>
      </c>
      <c r="R404">
        <v>1737178</v>
      </c>
    </row>
    <row r="405" spans="1:18" x14ac:dyDescent="0.25">
      <c r="A405" s="170">
        <v>44286</v>
      </c>
      <c r="B405" s="116">
        <v>264.8</v>
      </c>
      <c r="C405" s="116">
        <v>257.60000000000002</v>
      </c>
      <c r="D405" s="116">
        <v>249</v>
      </c>
      <c r="E405" s="116">
        <v>256</v>
      </c>
      <c r="F405" s="116">
        <v>257.60000000000002</v>
      </c>
      <c r="G405">
        <v>4462743</v>
      </c>
      <c r="H405" s="116"/>
      <c r="I405" s="116"/>
      <c r="L405" s="170">
        <v>44286</v>
      </c>
      <c r="M405" s="116">
        <v>258.45</v>
      </c>
      <c r="N405" s="116">
        <v>264.95</v>
      </c>
      <c r="O405" s="116">
        <v>250</v>
      </c>
      <c r="P405" s="116">
        <v>256.60000000000002</v>
      </c>
      <c r="Q405" s="116">
        <v>258.45</v>
      </c>
      <c r="R405">
        <v>10539471</v>
      </c>
    </row>
    <row r="406" spans="1:18" x14ac:dyDescent="0.25">
      <c r="A406" s="170">
        <v>44287</v>
      </c>
      <c r="B406" s="116">
        <v>282.2</v>
      </c>
      <c r="C406" s="116">
        <v>279.2</v>
      </c>
      <c r="D406" s="116">
        <v>262.8</v>
      </c>
      <c r="E406" s="116">
        <v>263.05</v>
      </c>
      <c r="F406" s="116">
        <v>279.2</v>
      </c>
      <c r="G406">
        <v>195256</v>
      </c>
      <c r="H406" s="116"/>
      <c r="I406" s="116"/>
      <c r="L406" s="170">
        <v>44287</v>
      </c>
      <c r="M406" s="116">
        <v>279.35000000000002</v>
      </c>
      <c r="N406" s="116">
        <v>283</v>
      </c>
      <c r="O406" s="116">
        <v>262.3</v>
      </c>
      <c r="P406" s="116">
        <v>263.7</v>
      </c>
      <c r="Q406" s="116">
        <v>279.35000000000002</v>
      </c>
      <c r="R406">
        <v>3452178</v>
      </c>
    </row>
    <row r="407" spans="1:18" x14ac:dyDescent="0.25">
      <c r="A407" s="170">
        <v>44291</v>
      </c>
      <c r="B407" s="116">
        <v>287</v>
      </c>
      <c r="C407" s="116">
        <v>282.35000000000002</v>
      </c>
      <c r="D407" s="116">
        <v>270.60000000000002</v>
      </c>
      <c r="E407" s="116">
        <v>274</v>
      </c>
      <c r="F407" s="116">
        <v>282.35000000000002</v>
      </c>
      <c r="G407">
        <v>153410</v>
      </c>
      <c r="H407" s="116"/>
      <c r="I407" s="116"/>
      <c r="L407" s="170">
        <v>44291</v>
      </c>
      <c r="M407" s="116">
        <v>282.10000000000002</v>
      </c>
      <c r="N407" s="116">
        <v>287.05</v>
      </c>
      <c r="O407" s="116">
        <v>270.60000000000002</v>
      </c>
      <c r="P407" s="116">
        <v>274.25</v>
      </c>
      <c r="Q407" s="116">
        <v>282.10000000000002</v>
      </c>
      <c r="R407">
        <v>2341394</v>
      </c>
    </row>
    <row r="408" spans="1:18" x14ac:dyDescent="0.25">
      <c r="A408" s="170">
        <v>44292</v>
      </c>
      <c r="B408" s="116">
        <v>286.85000000000002</v>
      </c>
      <c r="C408" s="116">
        <v>277.35000000000002</v>
      </c>
      <c r="D408" s="116">
        <v>273.5</v>
      </c>
      <c r="E408" s="116">
        <v>281.60000000000002</v>
      </c>
      <c r="F408" s="116">
        <v>277.35000000000002</v>
      </c>
      <c r="G408">
        <v>111420</v>
      </c>
      <c r="H408" s="116"/>
      <c r="I408" s="116"/>
      <c r="L408" s="170">
        <v>44292</v>
      </c>
      <c r="M408" s="116">
        <v>277.2</v>
      </c>
      <c r="N408" s="116">
        <v>286.89999999999998</v>
      </c>
      <c r="O408" s="116">
        <v>273.2</v>
      </c>
      <c r="P408" s="116">
        <v>282.95</v>
      </c>
      <c r="Q408" s="116">
        <v>277.2</v>
      </c>
      <c r="R408">
        <v>1437456</v>
      </c>
    </row>
    <row r="409" spans="1:18" x14ac:dyDescent="0.25">
      <c r="A409" s="170">
        <v>44293</v>
      </c>
      <c r="B409" s="116">
        <v>289.8</v>
      </c>
      <c r="C409" s="116">
        <v>286.3</v>
      </c>
      <c r="D409" s="116">
        <v>267.8</v>
      </c>
      <c r="E409" s="116">
        <v>278</v>
      </c>
      <c r="F409" s="116">
        <v>286.3</v>
      </c>
      <c r="G409">
        <v>149604</v>
      </c>
      <c r="H409" s="116"/>
      <c r="I409" s="116"/>
      <c r="L409" s="170">
        <v>44293</v>
      </c>
      <c r="M409" s="116">
        <v>286.10000000000002</v>
      </c>
      <c r="N409" s="116">
        <v>289.89999999999998</v>
      </c>
      <c r="O409" s="116">
        <v>276.95</v>
      </c>
      <c r="P409" s="116">
        <v>278.2</v>
      </c>
      <c r="Q409" s="116">
        <v>286.10000000000002</v>
      </c>
      <c r="R409">
        <v>1449918</v>
      </c>
    </row>
    <row r="410" spans="1:18" x14ac:dyDescent="0.25">
      <c r="A410" s="170">
        <v>44294</v>
      </c>
      <c r="B410" s="116">
        <v>317.95</v>
      </c>
      <c r="C410" s="116">
        <v>310</v>
      </c>
      <c r="D410" s="116">
        <v>280.05</v>
      </c>
      <c r="E410" s="116">
        <v>287.8</v>
      </c>
      <c r="F410" s="116">
        <v>310</v>
      </c>
      <c r="G410">
        <v>500089</v>
      </c>
      <c r="H410" s="116"/>
      <c r="I410" s="116"/>
      <c r="L410" s="170">
        <v>44294</v>
      </c>
      <c r="M410" s="116">
        <v>310.25</v>
      </c>
      <c r="N410" s="116">
        <v>317.85000000000002</v>
      </c>
      <c r="O410" s="116">
        <v>280.25</v>
      </c>
      <c r="P410" s="116">
        <v>287.89999999999998</v>
      </c>
      <c r="Q410" s="116">
        <v>310.25</v>
      </c>
      <c r="R410">
        <v>6232873</v>
      </c>
    </row>
    <row r="411" spans="1:18" x14ac:dyDescent="0.25">
      <c r="A411" s="170">
        <v>44295</v>
      </c>
      <c r="B411" s="116">
        <v>343.5</v>
      </c>
      <c r="C411" s="116">
        <v>325.8</v>
      </c>
      <c r="D411" s="116">
        <v>304.5</v>
      </c>
      <c r="E411" s="116">
        <v>313.2</v>
      </c>
      <c r="F411" s="116">
        <v>325.8</v>
      </c>
      <c r="G411">
        <v>457105</v>
      </c>
      <c r="H411" s="116"/>
      <c r="I411" s="116"/>
      <c r="L411" s="170">
        <v>44295</v>
      </c>
      <c r="M411" s="116">
        <v>326.10000000000002</v>
      </c>
      <c r="N411" s="116">
        <v>343.8</v>
      </c>
      <c r="O411" s="116">
        <v>304</v>
      </c>
      <c r="P411" s="116">
        <v>312</v>
      </c>
      <c r="Q411" s="116">
        <v>326.10000000000002</v>
      </c>
      <c r="R411">
        <v>6793880</v>
      </c>
    </row>
    <row r="412" spans="1:18" x14ac:dyDescent="0.25">
      <c r="A412" s="170">
        <v>44298</v>
      </c>
      <c r="B412" s="116">
        <v>325.7</v>
      </c>
      <c r="C412" s="116">
        <v>302</v>
      </c>
      <c r="D412" s="116">
        <v>292</v>
      </c>
      <c r="E412" s="116">
        <v>325.7</v>
      </c>
      <c r="F412" s="116">
        <v>302</v>
      </c>
      <c r="G412">
        <v>209669</v>
      </c>
      <c r="H412" s="116"/>
      <c r="I412" s="116"/>
      <c r="L412" s="170">
        <v>44298</v>
      </c>
      <c r="M412" s="116">
        <v>302.55</v>
      </c>
      <c r="N412" s="116">
        <v>318</v>
      </c>
      <c r="O412" s="116">
        <v>291.55</v>
      </c>
      <c r="P412" s="116">
        <v>318</v>
      </c>
      <c r="Q412" s="116">
        <v>302.55</v>
      </c>
      <c r="R412">
        <v>2789321</v>
      </c>
    </row>
    <row r="413" spans="1:18" x14ac:dyDescent="0.25">
      <c r="A413" s="170">
        <v>44299</v>
      </c>
      <c r="B413" s="116">
        <v>317</v>
      </c>
      <c r="C413" s="116">
        <v>310.95</v>
      </c>
      <c r="D413" s="116">
        <v>302</v>
      </c>
      <c r="E413" s="116">
        <v>303</v>
      </c>
      <c r="F413" s="116">
        <v>310.95</v>
      </c>
      <c r="G413">
        <v>117555</v>
      </c>
      <c r="H413" s="116"/>
      <c r="I413" s="116"/>
      <c r="L413" s="170">
        <v>44299</v>
      </c>
      <c r="M413" s="116">
        <v>311.05</v>
      </c>
      <c r="N413" s="116">
        <v>317</v>
      </c>
      <c r="O413" s="116">
        <v>301.5</v>
      </c>
      <c r="P413" s="116">
        <v>305</v>
      </c>
      <c r="Q413" s="116">
        <v>311.05</v>
      </c>
      <c r="R413">
        <v>1170627</v>
      </c>
    </row>
    <row r="414" spans="1:18" x14ac:dyDescent="0.25">
      <c r="A414" s="170">
        <v>44301</v>
      </c>
      <c r="B414" s="116">
        <v>314.3</v>
      </c>
      <c r="C414" s="116">
        <v>305.75</v>
      </c>
      <c r="D414" s="116">
        <v>294.45</v>
      </c>
      <c r="E414" s="116">
        <v>313.8</v>
      </c>
      <c r="F414" s="116">
        <v>305.75</v>
      </c>
      <c r="G414">
        <v>176157</v>
      </c>
      <c r="H414" s="116"/>
      <c r="I414" s="116"/>
      <c r="L414" s="170">
        <v>44301</v>
      </c>
      <c r="M414" s="116">
        <v>305.89999999999998</v>
      </c>
      <c r="N414" s="116">
        <v>313.85000000000002</v>
      </c>
      <c r="O414" s="116">
        <v>293.7</v>
      </c>
      <c r="P414" s="116">
        <v>311</v>
      </c>
      <c r="Q414" s="116">
        <v>305.89999999999998</v>
      </c>
      <c r="R414">
        <v>859530</v>
      </c>
    </row>
    <row r="415" spans="1:18" x14ac:dyDescent="0.25">
      <c r="A415" s="170">
        <v>44302</v>
      </c>
      <c r="B415" s="116">
        <v>335.95</v>
      </c>
      <c r="C415" s="116">
        <v>310.05</v>
      </c>
      <c r="D415" s="116">
        <v>306</v>
      </c>
      <c r="E415" s="116">
        <v>306</v>
      </c>
      <c r="F415" s="116">
        <v>310.05</v>
      </c>
      <c r="G415">
        <v>170766</v>
      </c>
      <c r="H415" s="116"/>
      <c r="I415" s="116"/>
      <c r="L415" s="170">
        <v>44302</v>
      </c>
      <c r="M415" s="116">
        <v>309.64999999999998</v>
      </c>
      <c r="N415" s="116">
        <v>336</v>
      </c>
      <c r="O415" s="116">
        <v>305.89999999999998</v>
      </c>
      <c r="P415" s="116">
        <v>306</v>
      </c>
      <c r="Q415" s="116">
        <v>309.64999999999998</v>
      </c>
      <c r="R415">
        <v>3108465</v>
      </c>
    </row>
    <row r="416" spans="1:18" x14ac:dyDescent="0.25">
      <c r="A416" s="170">
        <v>44305</v>
      </c>
      <c r="B416" s="116">
        <v>309.60000000000002</v>
      </c>
      <c r="C416" s="116">
        <v>303.39999999999998</v>
      </c>
      <c r="D416" s="116">
        <v>287</v>
      </c>
      <c r="E416" s="116">
        <v>305</v>
      </c>
      <c r="F416" s="116">
        <v>303.39999999999998</v>
      </c>
      <c r="G416">
        <v>159048</v>
      </c>
      <c r="H416" s="116"/>
      <c r="I416" s="116"/>
      <c r="L416" s="170">
        <v>44305</v>
      </c>
      <c r="M416" s="116">
        <v>303.10000000000002</v>
      </c>
      <c r="N416" s="116">
        <v>309.8</v>
      </c>
      <c r="O416" s="116">
        <v>293</v>
      </c>
      <c r="P416" s="116">
        <v>302</v>
      </c>
      <c r="Q416" s="116">
        <v>303.10000000000002</v>
      </c>
      <c r="R416">
        <v>1106187</v>
      </c>
    </row>
    <row r="417" spans="1:18" x14ac:dyDescent="0.25">
      <c r="A417" s="170">
        <v>44306</v>
      </c>
      <c r="B417" s="116">
        <v>324</v>
      </c>
      <c r="C417" s="116">
        <v>315.3</v>
      </c>
      <c r="D417" s="116">
        <v>306.45</v>
      </c>
      <c r="E417" s="116">
        <v>308.89999999999998</v>
      </c>
      <c r="F417" s="116">
        <v>315.3</v>
      </c>
      <c r="G417">
        <v>248689</v>
      </c>
      <c r="H417" s="116"/>
      <c r="I417" s="116"/>
      <c r="L417" s="170">
        <v>44306</v>
      </c>
      <c r="M417" s="116">
        <v>315.60000000000002</v>
      </c>
      <c r="N417" s="116">
        <v>323.75</v>
      </c>
      <c r="O417" s="116">
        <v>306.3</v>
      </c>
      <c r="P417" s="116">
        <v>308</v>
      </c>
      <c r="Q417" s="116">
        <v>315.60000000000002</v>
      </c>
      <c r="R417">
        <v>1707047</v>
      </c>
    </row>
    <row r="418" spans="1:18" x14ac:dyDescent="0.25">
      <c r="A418" s="170">
        <v>44308</v>
      </c>
      <c r="B418" s="116">
        <v>328.3</v>
      </c>
      <c r="C418" s="116">
        <v>319.35000000000002</v>
      </c>
      <c r="D418" s="116">
        <v>310</v>
      </c>
      <c r="E418" s="116">
        <v>316</v>
      </c>
      <c r="F418" s="116">
        <v>319.35000000000002</v>
      </c>
      <c r="G418">
        <v>114444</v>
      </c>
      <c r="H418" s="116"/>
      <c r="I418" s="116"/>
      <c r="L418" s="170">
        <v>44308</v>
      </c>
      <c r="M418" s="116">
        <v>319</v>
      </c>
      <c r="N418" s="116">
        <v>328.4</v>
      </c>
      <c r="O418" s="116">
        <v>308.60000000000002</v>
      </c>
      <c r="P418" s="116">
        <v>315.60000000000002</v>
      </c>
      <c r="Q418" s="116">
        <v>319</v>
      </c>
      <c r="R418">
        <v>1113380</v>
      </c>
    </row>
    <row r="419" spans="1:18" x14ac:dyDescent="0.25">
      <c r="A419" s="170">
        <v>44309</v>
      </c>
      <c r="B419" s="116">
        <v>332.4</v>
      </c>
      <c r="C419" s="116">
        <v>326.89999999999998</v>
      </c>
      <c r="D419" s="116">
        <v>313.35000000000002</v>
      </c>
      <c r="E419" s="116">
        <v>320.10000000000002</v>
      </c>
      <c r="F419" s="116">
        <v>326.89999999999998</v>
      </c>
      <c r="G419">
        <v>164090</v>
      </c>
      <c r="H419" s="116"/>
      <c r="I419" s="116"/>
      <c r="L419" s="170">
        <v>44309</v>
      </c>
      <c r="M419" s="116">
        <v>327.10000000000002</v>
      </c>
      <c r="N419" s="116">
        <v>332.9</v>
      </c>
      <c r="O419" s="116">
        <v>318.39999999999998</v>
      </c>
      <c r="P419" s="116">
        <v>321.05</v>
      </c>
      <c r="Q419" s="116">
        <v>327.10000000000002</v>
      </c>
      <c r="R419">
        <v>1491095</v>
      </c>
    </row>
    <row r="420" spans="1:18" x14ac:dyDescent="0.25">
      <c r="A420" s="170">
        <v>44312</v>
      </c>
      <c r="B420" s="116">
        <v>333.2</v>
      </c>
      <c r="C420" s="116">
        <v>323.2</v>
      </c>
      <c r="D420" s="116">
        <v>320</v>
      </c>
      <c r="E420" s="116">
        <v>328.15</v>
      </c>
      <c r="F420" s="116">
        <v>323.2</v>
      </c>
      <c r="G420">
        <v>77902</v>
      </c>
      <c r="H420" s="116"/>
      <c r="I420" s="116"/>
      <c r="L420" s="170">
        <v>44312</v>
      </c>
      <c r="M420" s="116">
        <v>323.35000000000002</v>
      </c>
      <c r="N420" s="116">
        <v>333</v>
      </c>
      <c r="O420" s="116">
        <v>319.3</v>
      </c>
      <c r="P420" s="116">
        <v>329.9</v>
      </c>
      <c r="Q420" s="116">
        <v>323.35000000000002</v>
      </c>
      <c r="R420">
        <v>855599</v>
      </c>
    </row>
    <row r="421" spans="1:18" x14ac:dyDescent="0.25">
      <c r="A421" s="170">
        <v>44313</v>
      </c>
      <c r="B421" s="116">
        <v>330.05</v>
      </c>
      <c r="C421" s="116">
        <v>312.85000000000002</v>
      </c>
      <c r="D421" s="116">
        <v>310.25</v>
      </c>
      <c r="E421" s="116">
        <v>324.2</v>
      </c>
      <c r="F421" s="116">
        <v>312.85000000000002</v>
      </c>
      <c r="G421">
        <v>86477</v>
      </c>
      <c r="H421" s="116"/>
      <c r="I421" s="116"/>
      <c r="L421" s="170">
        <v>44313</v>
      </c>
      <c r="M421" s="116">
        <v>313.39999999999998</v>
      </c>
      <c r="N421" s="116">
        <v>329.75</v>
      </c>
      <c r="O421" s="116">
        <v>310</v>
      </c>
      <c r="P421" s="116">
        <v>324.85000000000002</v>
      </c>
      <c r="Q421" s="116">
        <v>313.39999999999998</v>
      </c>
      <c r="R421">
        <v>989149</v>
      </c>
    </row>
    <row r="422" spans="1:18" x14ac:dyDescent="0.25">
      <c r="A422" s="170">
        <v>44314</v>
      </c>
      <c r="B422" s="116">
        <v>325.89999999999998</v>
      </c>
      <c r="C422" s="116">
        <v>311.10000000000002</v>
      </c>
      <c r="D422" s="116">
        <v>309.14999999999998</v>
      </c>
      <c r="E422" s="116">
        <v>323</v>
      </c>
      <c r="F422" s="116">
        <v>311.10000000000002</v>
      </c>
      <c r="G422">
        <v>133515</v>
      </c>
      <c r="H422" s="116"/>
      <c r="I422" s="116"/>
      <c r="L422" s="170">
        <v>44314</v>
      </c>
      <c r="M422" s="116">
        <v>310.85000000000002</v>
      </c>
      <c r="N422" s="116">
        <v>325.60000000000002</v>
      </c>
      <c r="O422" s="116">
        <v>309</v>
      </c>
      <c r="P422" s="116">
        <v>323</v>
      </c>
      <c r="Q422" s="116">
        <v>310.85000000000002</v>
      </c>
      <c r="R422">
        <v>1443693</v>
      </c>
    </row>
    <row r="423" spans="1:18" x14ac:dyDescent="0.25">
      <c r="A423" s="170">
        <v>44315</v>
      </c>
      <c r="B423" s="116">
        <v>316.5</v>
      </c>
      <c r="C423" s="116">
        <v>304.60000000000002</v>
      </c>
      <c r="D423" s="116">
        <v>303.05</v>
      </c>
      <c r="E423" s="116">
        <v>312</v>
      </c>
      <c r="F423" s="116">
        <v>304.60000000000002</v>
      </c>
      <c r="G423">
        <v>91896</v>
      </c>
      <c r="H423" s="116"/>
      <c r="I423" s="116"/>
      <c r="L423" s="170">
        <v>44315</v>
      </c>
      <c r="M423" s="116">
        <v>304.60000000000002</v>
      </c>
      <c r="N423" s="116">
        <v>316.64999999999998</v>
      </c>
      <c r="O423" s="116">
        <v>302.8</v>
      </c>
      <c r="P423" s="116">
        <v>314</v>
      </c>
      <c r="Q423" s="116">
        <v>304.60000000000002</v>
      </c>
      <c r="R423">
        <v>789434</v>
      </c>
    </row>
    <row r="424" spans="1:18" x14ac:dyDescent="0.25">
      <c r="A424" s="170">
        <v>44316</v>
      </c>
      <c r="B424" s="116">
        <v>314.45</v>
      </c>
      <c r="C424" s="116">
        <v>301.2</v>
      </c>
      <c r="D424" s="116">
        <v>299.10000000000002</v>
      </c>
      <c r="E424" s="116">
        <v>303.95</v>
      </c>
      <c r="F424" s="116">
        <v>301.2</v>
      </c>
      <c r="G424">
        <v>62603</v>
      </c>
      <c r="H424" s="116"/>
      <c r="I424" s="116"/>
      <c r="L424" s="170">
        <v>44316</v>
      </c>
      <c r="M424" s="116">
        <v>301</v>
      </c>
      <c r="N424" s="116">
        <v>314.89999999999998</v>
      </c>
      <c r="O424" s="116">
        <v>299.5</v>
      </c>
      <c r="P424" s="116">
        <v>303</v>
      </c>
      <c r="Q424" s="116">
        <v>301</v>
      </c>
      <c r="R424">
        <v>710785</v>
      </c>
    </row>
    <row r="425" spans="1:18" x14ac:dyDescent="0.25">
      <c r="A425" s="170">
        <v>44319</v>
      </c>
      <c r="B425" s="116">
        <v>309.55</v>
      </c>
      <c r="C425" s="116">
        <v>307.89999999999998</v>
      </c>
      <c r="D425" s="116">
        <v>297.55</v>
      </c>
      <c r="E425" s="116">
        <v>301.10000000000002</v>
      </c>
      <c r="F425" s="116">
        <v>307.89999999999998</v>
      </c>
      <c r="G425">
        <v>90097</v>
      </c>
      <c r="H425" s="116"/>
      <c r="I425" s="116"/>
      <c r="L425" s="170">
        <v>44319</v>
      </c>
      <c r="M425" s="116">
        <v>307.95</v>
      </c>
      <c r="N425" s="116">
        <v>310</v>
      </c>
      <c r="O425" s="116">
        <v>297</v>
      </c>
      <c r="P425" s="116">
        <v>301</v>
      </c>
      <c r="Q425" s="116">
        <v>307.95</v>
      </c>
      <c r="R425">
        <v>563113</v>
      </c>
    </row>
    <row r="426" spans="1:18" x14ac:dyDescent="0.25">
      <c r="A426" s="170">
        <v>44320</v>
      </c>
      <c r="B426" s="116">
        <v>319.89999999999998</v>
      </c>
      <c r="C426" s="116">
        <v>310.05</v>
      </c>
      <c r="D426" s="116">
        <v>305.85000000000002</v>
      </c>
      <c r="E426" s="116">
        <v>308.2</v>
      </c>
      <c r="F426" s="116">
        <v>310.05</v>
      </c>
      <c r="G426">
        <v>89023</v>
      </c>
      <c r="H426" s="116"/>
      <c r="I426" s="116"/>
      <c r="L426" s="170">
        <v>44320</v>
      </c>
      <c r="M426" s="116">
        <v>310.14999999999998</v>
      </c>
      <c r="N426" s="116">
        <v>320</v>
      </c>
      <c r="O426" s="116">
        <v>305</v>
      </c>
      <c r="P426" s="116">
        <v>309.95</v>
      </c>
      <c r="Q426" s="116">
        <v>310.14999999999998</v>
      </c>
      <c r="R426">
        <v>922832</v>
      </c>
    </row>
    <row r="427" spans="1:18" x14ac:dyDescent="0.25">
      <c r="A427" s="170">
        <v>44321</v>
      </c>
      <c r="B427" s="116">
        <v>314.45</v>
      </c>
      <c r="C427" s="116">
        <v>307.75</v>
      </c>
      <c r="D427" s="116">
        <v>302.2</v>
      </c>
      <c r="E427" s="116">
        <v>313.3</v>
      </c>
      <c r="F427" s="116">
        <v>307.75</v>
      </c>
      <c r="G427">
        <v>71432</v>
      </c>
      <c r="H427" s="116"/>
      <c r="I427" s="116"/>
      <c r="L427" s="170">
        <v>44321</v>
      </c>
      <c r="M427" s="116">
        <v>310.2</v>
      </c>
      <c r="N427" s="116">
        <v>314.89999999999998</v>
      </c>
      <c r="O427" s="116">
        <v>307.25</v>
      </c>
      <c r="P427" s="116">
        <v>312.25</v>
      </c>
      <c r="Q427" s="116">
        <v>310.2</v>
      </c>
      <c r="R427">
        <v>356070</v>
      </c>
    </row>
    <row r="428" spans="1:18" x14ac:dyDescent="0.25">
      <c r="A428" s="170">
        <v>44322</v>
      </c>
      <c r="B428" s="116">
        <v>312.05</v>
      </c>
      <c r="C428" s="116">
        <v>307.3</v>
      </c>
      <c r="D428" s="116">
        <v>303.60000000000002</v>
      </c>
      <c r="E428" s="116">
        <v>311.45</v>
      </c>
      <c r="F428" s="116">
        <v>307.3</v>
      </c>
      <c r="G428">
        <v>58349</v>
      </c>
      <c r="H428" s="116"/>
      <c r="I428" s="116"/>
      <c r="L428" s="170">
        <v>44322</v>
      </c>
      <c r="M428" s="116">
        <v>307.7</v>
      </c>
      <c r="N428" s="116">
        <v>313</v>
      </c>
      <c r="O428" s="116">
        <v>303.25</v>
      </c>
      <c r="P428" s="116">
        <v>312.5</v>
      </c>
      <c r="Q428" s="116">
        <v>307.7</v>
      </c>
      <c r="R428">
        <v>390628</v>
      </c>
    </row>
    <row r="429" spans="1:18" x14ac:dyDescent="0.25">
      <c r="A429" s="170">
        <v>44323</v>
      </c>
      <c r="B429" s="116">
        <v>318.14999999999998</v>
      </c>
      <c r="C429" s="116">
        <v>307.75</v>
      </c>
      <c r="D429" s="116">
        <v>306.05</v>
      </c>
      <c r="E429" s="116">
        <v>310</v>
      </c>
      <c r="F429" s="116">
        <v>307.75</v>
      </c>
      <c r="G429">
        <v>70443</v>
      </c>
      <c r="H429" s="116"/>
      <c r="I429" s="116"/>
      <c r="L429" s="170">
        <v>44323</v>
      </c>
      <c r="M429" s="116">
        <v>307.14999999999998</v>
      </c>
      <c r="N429" s="116">
        <v>317.95</v>
      </c>
      <c r="O429" s="116">
        <v>305.60000000000002</v>
      </c>
      <c r="P429" s="116">
        <v>308</v>
      </c>
      <c r="Q429" s="116">
        <v>307.14999999999998</v>
      </c>
      <c r="R429">
        <v>909755</v>
      </c>
    </row>
    <row r="430" spans="1:18" x14ac:dyDescent="0.25">
      <c r="A430" s="170">
        <v>44326</v>
      </c>
      <c r="B430" s="116">
        <v>311.95</v>
      </c>
      <c r="C430" s="116">
        <v>304.75</v>
      </c>
      <c r="D430" s="116">
        <v>303.2</v>
      </c>
      <c r="E430" s="116">
        <v>311.95</v>
      </c>
      <c r="F430" s="116">
        <v>304.75</v>
      </c>
      <c r="G430">
        <v>75732</v>
      </c>
      <c r="H430" s="116"/>
      <c r="I430" s="116"/>
      <c r="L430" s="170">
        <v>44326</v>
      </c>
      <c r="M430" s="116">
        <v>304.64999999999998</v>
      </c>
      <c r="N430" s="116">
        <v>310.8</v>
      </c>
      <c r="O430" s="116">
        <v>303.3</v>
      </c>
      <c r="P430" s="116">
        <v>310.39999999999998</v>
      </c>
      <c r="Q430" s="116">
        <v>304.64999999999998</v>
      </c>
      <c r="R430">
        <v>405434</v>
      </c>
    </row>
    <row r="431" spans="1:18" x14ac:dyDescent="0.25">
      <c r="A431" s="170">
        <v>44327</v>
      </c>
      <c r="B431" s="116">
        <v>307.89999999999998</v>
      </c>
      <c r="C431" s="116">
        <v>297.55</v>
      </c>
      <c r="D431" s="116">
        <v>295.35000000000002</v>
      </c>
      <c r="E431" s="116">
        <v>303.39999999999998</v>
      </c>
      <c r="F431" s="116">
        <v>297.55</v>
      </c>
      <c r="G431">
        <v>89232</v>
      </c>
      <c r="H431" s="116"/>
      <c r="I431" s="116"/>
      <c r="L431" s="170">
        <v>44327</v>
      </c>
      <c r="M431" s="116">
        <v>297.25</v>
      </c>
      <c r="N431" s="116">
        <v>308</v>
      </c>
      <c r="O431" s="116">
        <v>295</v>
      </c>
      <c r="P431" s="116">
        <v>303</v>
      </c>
      <c r="Q431" s="116">
        <v>297.25</v>
      </c>
      <c r="R431">
        <v>798016</v>
      </c>
    </row>
    <row r="432" spans="1:18" x14ac:dyDescent="0.25">
      <c r="A432" s="170">
        <v>44328</v>
      </c>
      <c r="B432" s="116">
        <v>301</v>
      </c>
      <c r="C432" s="116">
        <v>283.05</v>
      </c>
      <c r="D432" s="116">
        <v>280.3</v>
      </c>
      <c r="E432" s="116">
        <v>297.60000000000002</v>
      </c>
      <c r="F432" s="116">
        <v>283.05</v>
      </c>
      <c r="G432">
        <v>157905</v>
      </c>
      <c r="H432" s="116"/>
      <c r="I432" s="116"/>
      <c r="L432" s="170">
        <v>44328</v>
      </c>
      <c r="M432" s="116">
        <v>283.14999999999998</v>
      </c>
      <c r="N432" s="116">
        <v>300.8</v>
      </c>
      <c r="O432" s="116">
        <v>280.5</v>
      </c>
      <c r="P432" s="116">
        <v>299.39999999999998</v>
      </c>
      <c r="Q432" s="116">
        <v>283.14999999999998</v>
      </c>
      <c r="R432">
        <v>996426</v>
      </c>
    </row>
    <row r="433" spans="1:18" x14ac:dyDescent="0.25">
      <c r="A433" s="170">
        <v>44330</v>
      </c>
      <c r="B433" s="116">
        <v>289</v>
      </c>
      <c r="C433" s="116">
        <v>269.85000000000002</v>
      </c>
      <c r="D433" s="116">
        <v>268.60000000000002</v>
      </c>
      <c r="E433" s="116">
        <v>285.2</v>
      </c>
      <c r="F433" s="116">
        <v>269.85000000000002</v>
      </c>
      <c r="G433">
        <v>104768</v>
      </c>
      <c r="H433" s="116"/>
      <c r="I433" s="116"/>
      <c r="L433" s="170">
        <v>44330</v>
      </c>
      <c r="M433" s="116">
        <v>269.75</v>
      </c>
      <c r="N433" s="116">
        <v>289.39999999999998</v>
      </c>
      <c r="O433" s="116">
        <v>268.5</v>
      </c>
      <c r="P433" s="116">
        <v>285.95</v>
      </c>
      <c r="Q433" s="116">
        <v>269.75</v>
      </c>
      <c r="R433">
        <v>1182217</v>
      </c>
    </row>
    <row r="434" spans="1:18" x14ac:dyDescent="0.25">
      <c r="A434" s="170">
        <v>44333</v>
      </c>
      <c r="B434" s="116">
        <v>264.39999999999998</v>
      </c>
      <c r="C434" s="116">
        <v>243.6</v>
      </c>
      <c r="D434" s="116">
        <v>236.5</v>
      </c>
      <c r="E434" s="116">
        <v>264.39999999999998</v>
      </c>
      <c r="F434" s="116">
        <v>243.6</v>
      </c>
      <c r="G434">
        <v>388388</v>
      </c>
      <c r="H434" s="116"/>
      <c r="I434" s="116"/>
      <c r="L434" s="170">
        <v>44333</v>
      </c>
      <c r="M434" s="116">
        <v>241.45</v>
      </c>
      <c r="N434" s="116">
        <v>262.7</v>
      </c>
      <c r="O434" s="116">
        <v>238.05</v>
      </c>
      <c r="P434" s="116">
        <v>262.7</v>
      </c>
      <c r="Q434" s="116">
        <v>241.45</v>
      </c>
      <c r="R434">
        <v>7294112</v>
      </c>
    </row>
    <row r="435" spans="1:18" x14ac:dyDescent="0.25">
      <c r="A435" s="170">
        <v>44334</v>
      </c>
      <c r="B435" s="116">
        <v>259.8</v>
      </c>
      <c r="C435" s="116">
        <v>249.65</v>
      </c>
      <c r="D435" s="116">
        <v>241.65</v>
      </c>
      <c r="E435" s="116">
        <v>253.8</v>
      </c>
      <c r="F435" s="116">
        <v>249.65</v>
      </c>
      <c r="G435">
        <v>409769</v>
      </c>
      <c r="H435" s="116"/>
      <c r="I435" s="116"/>
      <c r="L435" s="170">
        <v>44334</v>
      </c>
      <c r="M435" s="116">
        <v>249.55</v>
      </c>
      <c r="N435" s="116">
        <v>259.89999999999998</v>
      </c>
      <c r="O435" s="116">
        <v>241.75</v>
      </c>
      <c r="P435" s="116">
        <v>256.89999999999998</v>
      </c>
      <c r="Q435" s="116">
        <v>249.55</v>
      </c>
      <c r="R435">
        <v>5906563</v>
      </c>
    </row>
    <row r="436" spans="1:18" x14ac:dyDescent="0.25">
      <c r="A436" s="170">
        <v>44335</v>
      </c>
      <c r="B436" s="116">
        <v>255</v>
      </c>
      <c r="C436" s="116">
        <v>251.4</v>
      </c>
      <c r="D436" s="116">
        <v>247.7</v>
      </c>
      <c r="E436" s="116">
        <v>249.95</v>
      </c>
      <c r="F436" s="116">
        <v>251.4</v>
      </c>
      <c r="G436">
        <v>190882</v>
      </c>
      <c r="H436" s="116"/>
      <c r="I436" s="116"/>
      <c r="L436" s="170">
        <v>44335</v>
      </c>
      <c r="M436" s="116">
        <v>251.2</v>
      </c>
      <c r="N436" s="116">
        <v>255</v>
      </c>
      <c r="O436" s="116">
        <v>247.7</v>
      </c>
      <c r="P436" s="116">
        <v>249</v>
      </c>
      <c r="Q436" s="116">
        <v>251.2</v>
      </c>
      <c r="R436">
        <v>1341983</v>
      </c>
    </row>
    <row r="437" spans="1:18" x14ac:dyDescent="0.25">
      <c r="A437" s="170">
        <v>44336</v>
      </c>
      <c r="B437" s="116">
        <v>253.55</v>
      </c>
      <c r="C437" s="116">
        <v>242.75</v>
      </c>
      <c r="D437" s="116">
        <v>240.05</v>
      </c>
      <c r="E437" s="116">
        <v>251.3</v>
      </c>
      <c r="F437" s="116">
        <v>242.75</v>
      </c>
      <c r="G437">
        <v>117070</v>
      </c>
      <c r="H437" s="116"/>
      <c r="I437" s="116"/>
      <c r="L437" s="170">
        <v>44336</v>
      </c>
      <c r="M437" s="116">
        <v>242.2</v>
      </c>
      <c r="N437" s="116">
        <v>254.1</v>
      </c>
      <c r="O437" s="116">
        <v>239.85</v>
      </c>
      <c r="P437" s="116">
        <v>252.7</v>
      </c>
      <c r="Q437" s="116">
        <v>242.2</v>
      </c>
      <c r="R437">
        <v>1236409</v>
      </c>
    </row>
    <row r="438" spans="1:18" x14ac:dyDescent="0.25">
      <c r="A438" s="170">
        <v>44337</v>
      </c>
      <c r="B438" s="116">
        <v>245.45</v>
      </c>
      <c r="C438" s="116">
        <v>242.15</v>
      </c>
      <c r="D438" s="116">
        <v>229.3</v>
      </c>
      <c r="E438" s="116">
        <v>242.5</v>
      </c>
      <c r="F438" s="116">
        <v>242.15</v>
      </c>
      <c r="G438">
        <v>332230</v>
      </c>
      <c r="H438" s="116"/>
      <c r="I438" s="116"/>
      <c r="L438" s="170">
        <v>44337</v>
      </c>
      <c r="M438" s="116">
        <v>242.15</v>
      </c>
      <c r="N438" s="116">
        <v>245.55</v>
      </c>
      <c r="O438" s="116">
        <v>229</v>
      </c>
      <c r="P438" s="116">
        <v>240.1</v>
      </c>
      <c r="Q438" s="116">
        <v>242.15</v>
      </c>
      <c r="R438">
        <v>3198367</v>
      </c>
    </row>
    <row r="439" spans="1:18" x14ac:dyDescent="0.25">
      <c r="A439" s="170">
        <v>44340</v>
      </c>
      <c r="B439" s="116">
        <v>245.85</v>
      </c>
      <c r="C439" s="116">
        <v>235.45</v>
      </c>
      <c r="D439" s="116">
        <v>234.9</v>
      </c>
      <c r="E439" s="116">
        <v>244.9</v>
      </c>
      <c r="F439" s="116">
        <v>235.45</v>
      </c>
      <c r="G439">
        <v>101233</v>
      </c>
      <c r="H439" s="116"/>
      <c r="I439" s="116"/>
      <c r="L439" s="170">
        <v>44340</v>
      </c>
      <c r="M439" s="116">
        <v>235.45</v>
      </c>
      <c r="N439" s="116">
        <v>246.35</v>
      </c>
      <c r="O439" s="116">
        <v>235</v>
      </c>
      <c r="P439" s="116">
        <v>245</v>
      </c>
      <c r="Q439" s="116">
        <v>235.45</v>
      </c>
      <c r="R439">
        <v>1295273</v>
      </c>
    </row>
    <row r="440" spans="1:18" x14ac:dyDescent="0.25">
      <c r="A440" s="170">
        <v>44341</v>
      </c>
      <c r="B440" s="116">
        <v>240.55</v>
      </c>
      <c r="C440" s="116">
        <v>232.65</v>
      </c>
      <c r="D440" s="116">
        <v>231.9</v>
      </c>
      <c r="E440" s="116">
        <v>237.55</v>
      </c>
      <c r="F440" s="116">
        <v>232.65</v>
      </c>
      <c r="G440">
        <v>84877</v>
      </c>
      <c r="H440" s="116"/>
      <c r="I440" s="116"/>
      <c r="L440" s="170">
        <v>44341</v>
      </c>
      <c r="M440" s="116">
        <v>232.6</v>
      </c>
      <c r="N440" s="116">
        <v>240.5</v>
      </c>
      <c r="O440" s="116">
        <v>231.75</v>
      </c>
      <c r="P440" s="116">
        <v>237.4</v>
      </c>
      <c r="Q440" s="116">
        <v>232.6</v>
      </c>
      <c r="R440">
        <v>1334219</v>
      </c>
    </row>
    <row r="441" spans="1:18" x14ac:dyDescent="0.25">
      <c r="A441" s="170">
        <v>44342</v>
      </c>
      <c r="B441" s="116">
        <v>242.1</v>
      </c>
      <c r="C441" s="116">
        <v>234.25</v>
      </c>
      <c r="D441" s="116">
        <v>228.6</v>
      </c>
      <c r="E441" s="116">
        <v>236</v>
      </c>
      <c r="F441" s="116">
        <v>234.25</v>
      </c>
      <c r="G441">
        <v>264722</v>
      </c>
      <c r="H441" s="116"/>
      <c r="I441" s="116"/>
      <c r="L441" s="170">
        <v>44342</v>
      </c>
      <c r="M441" s="116">
        <v>233.95</v>
      </c>
      <c r="N441" s="116">
        <v>242.4</v>
      </c>
      <c r="O441" s="116">
        <v>228.55</v>
      </c>
      <c r="P441" s="116">
        <v>234.75</v>
      </c>
      <c r="Q441" s="116">
        <v>233.95</v>
      </c>
      <c r="R441">
        <v>2103417</v>
      </c>
    </row>
    <row r="442" spans="1:18" x14ac:dyDescent="0.25">
      <c r="A442" s="170">
        <v>44343</v>
      </c>
      <c r="B442" s="116">
        <v>236.1</v>
      </c>
      <c r="C442" s="116">
        <v>231.5</v>
      </c>
      <c r="D442" s="116">
        <v>230.45</v>
      </c>
      <c r="E442" s="116">
        <v>234.5</v>
      </c>
      <c r="F442" s="116">
        <v>231.5</v>
      </c>
      <c r="G442">
        <v>133374</v>
      </c>
      <c r="H442" s="116"/>
      <c r="I442" s="116"/>
      <c r="L442" s="170">
        <v>44343</v>
      </c>
      <c r="M442" s="116">
        <v>231.35</v>
      </c>
      <c r="N442" s="116">
        <v>236.25</v>
      </c>
      <c r="O442" s="116">
        <v>230.1</v>
      </c>
      <c r="P442" s="116">
        <v>235</v>
      </c>
      <c r="Q442" s="116">
        <v>231.35</v>
      </c>
      <c r="R442">
        <v>804678</v>
      </c>
    </row>
    <row r="443" spans="1:18" x14ac:dyDescent="0.25">
      <c r="A443" s="170">
        <v>44344</v>
      </c>
      <c r="B443" s="116">
        <v>236.05</v>
      </c>
      <c r="C443" s="116">
        <v>229.1</v>
      </c>
      <c r="D443" s="116">
        <v>228</v>
      </c>
      <c r="E443" s="116">
        <v>234.55</v>
      </c>
      <c r="F443" s="116">
        <v>229.1</v>
      </c>
      <c r="G443">
        <v>138346</v>
      </c>
      <c r="H443" s="116"/>
      <c r="I443" s="116"/>
      <c r="L443" s="170">
        <v>44344</v>
      </c>
      <c r="M443" s="116">
        <v>229.65</v>
      </c>
      <c r="N443" s="116">
        <v>236.2</v>
      </c>
      <c r="O443" s="116">
        <v>228.05</v>
      </c>
      <c r="P443" s="116">
        <v>232.2</v>
      </c>
      <c r="Q443" s="116">
        <v>229.65</v>
      </c>
      <c r="R443">
        <v>969944</v>
      </c>
    </row>
    <row r="444" spans="1:18" x14ac:dyDescent="0.25">
      <c r="A444" s="170">
        <v>44347</v>
      </c>
      <c r="B444" s="116">
        <v>231.65</v>
      </c>
      <c r="C444" s="116">
        <v>226.8</v>
      </c>
      <c r="D444" s="116">
        <v>225.8</v>
      </c>
      <c r="E444" s="116">
        <v>230</v>
      </c>
      <c r="F444" s="116">
        <v>226.8</v>
      </c>
      <c r="G444">
        <v>53570</v>
      </c>
      <c r="H444" s="116"/>
      <c r="I444" s="116"/>
      <c r="L444" s="170">
        <v>44347</v>
      </c>
      <c r="M444" s="116">
        <v>226.5</v>
      </c>
      <c r="N444" s="116">
        <v>231.65</v>
      </c>
      <c r="O444" s="116">
        <v>225.4</v>
      </c>
      <c r="P444" s="116">
        <v>230.5</v>
      </c>
      <c r="Q444" s="116">
        <v>226.5</v>
      </c>
      <c r="R444">
        <v>831368</v>
      </c>
    </row>
    <row r="445" spans="1:18" x14ac:dyDescent="0.25">
      <c r="A445" s="170">
        <v>44348</v>
      </c>
      <c r="B445" s="116">
        <v>228.1</v>
      </c>
      <c r="C445" s="116">
        <v>221</v>
      </c>
      <c r="D445" s="116">
        <v>220.3</v>
      </c>
      <c r="E445" s="116">
        <v>225.15</v>
      </c>
      <c r="F445" s="116">
        <v>221</v>
      </c>
      <c r="G445">
        <v>161488</v>
      </c>
      <c r="H445" s="116"/>
      <c r="I445" s="116"/>
      <c r="L445" s="170">
        <v>44348</v>
      </c>
      <c r="M445" s="116">
        <v>220.9</v>
      </c>
      <c r="N445" s="116">
        <v>228.25</v>
      </c>
      <c r="O445" s="116">
        <v>220.05</v>
      </c>
      <c r="P445" s="116">
        <v>226</v>
      </c>
      <c r="Q445" s="116">
        <v>220.9</v>
      </c>
      <c r="R445">
        <v>1118139</v>
      </c>
    </row>
    <row r="446" spans="1:18" x14ac:dyDescent="0.25">
      <c r="A446" s="170">
        <v>44349</v>
      </c>
      <c r="B446" s="116">
        <v>239</v>
      </c>
      <c r="C446" s="116">
        <v>234.05</v>
      </c>
      <c r="D446" s="116">
        <v>219</v>
      </c>
      <c r="E446" s="116">
        <v>224.9</v>
      </c>
      <c r="F446" s="116">
        <v>234.05</v>
      </c>
      <c r="G446">
        <v>485075</v>
      </c>
      <c r="H446" s="116"/>
      <c r="I446" s="116"/>
      <c r="L446" s="170">
        <v>44349</v>
      </c>
      <c r="M446" s="116">
        <v>233.35</v>
      </c>
      <c r="N446" s="116">
        <v>239.2</v>
      </c>
      <c r="O446" s="116">
        <v>222</v>
      </c>
      <c r="P446" s="116">
        <v>222</v>
      </c>
      <c r="Q446" s="116">
        <v>233.35</v>
      </c>
      <c r="R446">
        <v>3802239</v>
      </c>
    </row>
    <row r="447" spans="1:18" x14ac:dyDescent="0.25">
      <c r="A447" s="170">
        <v>44350</v>
      </c>
      <c r="B447" s="116">
        <v>243.4</v>
      </c>
      <c r="C447" s="116">
        <v>240.45</v>
      </c>
      <c r="D447" s="116">
        <v>235.1</v>
      </c>
      <c r="E447" s="116">
        <v>235.6</v>
      </c>
      <c r="F447" s="116">
        <v>240.45</v>
      </c>
      <c r="G447">
        <v>310463</v>
      </c>
      <c r="H447" s="116"/>
      <c r="I447" s="116"/>
      <c r="L447" s="170">
        <v>44350</v>
      </c>
      <c r="M447" s="116">
        <v>240.4</v>
      </c>
      <c r="N447" s="116">
        <v>243.8</v>
      </c>
      <c r="O447" s="116">
        <v>235</v>
      </c>
      <c r="P447" s="116">
        <v>235.2</v>
      </c>
      <c r="Q447" s="116">
        <v>240.4</v>
      </c>
      <c r="R447">
        <v>1786329</v>
      </c>
    </row>
    <row r="448" spans="1:18" x14ac:dyDescent="0.25">
      <c r="A448" s="170">
        <v>44351</v>
      </c>
      <c r="B448" s="116">
        <v>244.65</v>
      </c>
      <c r="C448" s="116">
        <v>241.4</v>
      </c>
      <c r="D448" s="116">
        <v>238.85</v>
      </c>
      <c r="E448" s="116">
        <v>240.05</v>
      </c>
      <c r="F448" s="116">
        <v>241.4</v>
      </c>
      <c r="G448">
        <v>225094</v>
      </c>
      <c r="H448" s="116"/>
      <c r="I448" s="116"/>
      <c r="L448" s="170">
        <v>44351</v>
      </c>
      <c r="M448" s="116">
        <v>241.55</v>
      </c>
      <c r="N448" s="116">
        <v>244.9</v>
      </c>
      <c r="O448" s="116">
        <v>239</v>
      </c>
      <c r="P448" s="116">
        <v>241.85</v>
      </c>
      <c r="Q448" s="116">
        <v>241.55</v>
      </c>
      <c r="R448">
        <v>1012537</v>
      </c>
    </row>
    <row r="449" spans="1:18" x14ac:dyDescent="0.25">
      <c r="A449" s="170">
        <v>44354</v>
      </c>
      <c r="B449" s="116">
        <v>244.1</v>
      </c>
      <c r="C449" s="116">
        <v>237.85</v>
      </c>
      <c r="D449" s="116">
        <v>236.7</v>
      </c>
      <c r="E449" s="116">
        <v>242.05</v>
      </c>
      <c r="F449" s="116">
        <v>237.85</v>
      </c>
      <c r="G449">
        <v>103498</v>
      </c>
      <c r="H449" s="116"/>
      <c r="I449" s="116"/>
      <c r="L449" s="170">
        <v>44354</v>
      </c>
      <c r="M449" s="116">
        <v>237.35</v>
      </c>
      <c r="N449" s="116">
        <v>244.45</v>
      </c>
      <c r="O449" s="116">
        <v>236</v>
      </c>
      <c r="P449" s="116">
        <v>244</v>
      </c>
      <c r="Q449" s="116">
        <v>237.35</v>
      </c>
      <c r="R449">
        <v>870831</v>
      </c>
    </row>
    <row r="450" spans="1:18" x14ac:dyDescent="0.25">
      <c r="A450" s="170">
        <v>44355</v>
      </c>
      <c r="B450" s="116">
        <v>243.8</v>
      </c>
      <c r="C450" s="116">
        <v>238.4</v>
      </c>
      <c r="D450" s="116">
        <v>233.95</v>
      </c>
      <c r="E450" s="116">
        <v>238.95</v>
      </c>
      <c r="F450" s="116">
        <v>238.4</v>
      </c>
      <c r="G450">
        <v>220019</v>
      </c>
      <c r="H450" s="116"/>
      <c r="I450" s="116"/>
      <c r="L450" s="170">
        <v>44355</v>
      </c>
      <c r="M450" s="116">
        <v>238.3</v>
      </c>
      <c r="N450" s="116">
        <v>243.85</v>
      </c>
      <c r="O450" s="116">
        <v>234</v>
      </c>
      <c r="P450" s="116">
        <v>239.5</v>
      </c>
      <c r="Q450" s="116">
        <v>238.3</v>
      </c>
      <c r="R450">
        <v>717634</v>
      </c>
    </row>
    <row r="451" spans="1:18" x14ac:dyDescent="0.25">
      <c r="A451" s="170">
        <v>44356</v>
      </c>
      <c r="B451" s="116">
        <v>247.5</v>
      </c>
      <c r="C451" s="116">
        <v>238.3</v>
      </c>
      <c r="D451" s="116">
        <v>236.85</v>
      </c>
      <c r="E451" s="116">
        <v>240</v>
      </c>
      <c r="F451" s="116">
        <v>238.3</v>
      </c>
      <c r="G451">
        <v>258842</v>
      </c>
      <c r="H451" s="116"/>
      <c r="I451" s="116"/>
      <c r="L451" s="170">
        <v>44356</v>
      </c>
      <c r="M451" s="116">
        <v>238.05</v>
      </c>
      <c r="N451" s="116">
        <v>247.8</v>
      </c>
      <c r="O451" s="116">
        <v>236.6</v>
      </c>
      <c r="P451" s="116">
        <v>239</v>
      </c>
      <c r="Q451" s="116">
        <v>238.05</v>
      </c>
      <c r="R451">
        <v>1363880</v>
      </c>
    </row>
    <row r="452" spans="1:18" x14ac:dyDescent="0.25">
      <c r="A452" s="170">
        <v>44357</v>
      </c>
      <c r="B452" s="116">
        <v>241.45</v>
      </c>
      <c r="C452" s="116">
        <v>238.7</v>
      </c>
      <c r="D452" s="116">
        <v>237.5</v>
      </c>
      <c r="E452" s="116">
        <v>238.3</v>
      </c>
      <c r="F452" s="116">
        <v>238.7</v>
      </c>
      <c r="G452">
        <v>99153</v>
      </c>
      <c r="H452" s="116"/>
      <c r="I452" s="116"/>
      <c r="L452" s="170">
        <v>44357</v>
      </c>
      <c r="M452" s="116">
        <v>238.6</v>
      </c>
      <c r="N452" s="116">
        <v>241.6</v>
      </c>
      <c r="O452" s="116">
        <v>237.4</v>
      </c>
      <c r="P452" s="116">
        <v>239</v>
      </c>
      <c r="Q452" s="116">
        <v>238.6</v>
      </c>
      <c r="R452">
        <v>438702</v>
      </c>
    </row>
    <row r="453" spans="1:18" x14ac:dyDescent="0.25">
      <c r="A453" s="170">
        <v>44358</v>
      </c>
      <c r="B453" s="116">
        <v>249.9</v>
      </c>
      <c r="C453" s="116">
        <v>244.1</v>
      </c>
      <c r="D453" s="116">
        <v>239.05</v>
      </c>
      <c r="E453" s="116">
        <v>240</v>
      </c>
      <c r="F453" s="116">
        <v>244.1</v>
      </c>
      <c r="G453">
        <v>269970</v>
      </c>
      <c r="H453" s="116"/>
      <c r="I453" s="116"/>
      <c r="L453" s="170">
        <v>44358</v>
      </c>
      <c r="M453" s="116">
        <v>244.25</v>
      </c>
      <c r="N453" s="116">
        <v>250.75</v>
      </c>
      <c r="O453" s="116">
        <v>239.05</v>
      </c>
      <c r="P453" s="116">
        <v>240</v>
      </c>
      <c r="Q453" s="116">
        <v>244.25</v>
      </c>
      <c r="R453">
        <v>1980596</v>
      </c>
    </row>
    <row r="454" spans="1:18" x14ac:dyDescent="0.25">
      <c r="A454" s="170">
        <v>44361</v>
      </c>
      <c r="B454" s="116">
        <v>245.75</v>
      </c>
      <c r="C454" s="116">
        <v>240.05</v>
      </c>
      <c r="D454" s="116">
        <v>234.1</v>
      </c>
      <c r="E454" s="116">
        <v>245.75</v>
      </c>
      <c r="F454" s="116">
        <v>240.05</v>
      </c>
      <c r="G454">
        <v>61226</v>
      </c>
      <c r="H454" s="116"/>
      <c r="I454" s="116"/>
      <c r="L454" s="170">
        <v>44361</v>
      </c>
      <c r="M454" s="116">
        <v>240.05</v>
      </c>
      <c r="N454" s="116">
        <v>245.45</v>
      </c>
      <c r="O454" s="116">
        <v>234.1</v>
      </c>
      <c r="P454" s="116">
        <v>244.35</v>
      </c>
      <c r="Q454" s="116">
        <v>240.05</v>
      </c>
      <c r="R454">
        <v>587780</v>
      </c>
    </row>
    <row r="455" spans="1:18" x14ac:dyDescent="0.25">
      <c r="A455" s="170">
        <v>44362</v>
      </c>
      <c r="B455" s="116">
        <v>245.45</v>
      </c>
      <c r="C455" s="116">
        <v>239.8</v>
      </c>
      <c r="D455" s="116">
        <v>239.25</v>
      </c>
      <c r="E455" s="116">
        <v>242.25</v>
      </c>
      <c r="F455" s="116">
        <v>239.8</v>
      </c>
      <c r="G455">
        <v>87652</v>
      </c>
      <c r="H455" s="116"/>
      <c r="I455" s="116"/>
      <c r="L455" s="170">
        <v>44362</v>
      </c>
      <c r="M455" s="116">
        <v>239.65</v>
      </c>
      <c r="N455" s="116">
        <v>245.7</v>
      </c>
      <c r="O455" s="116">
        <v>239.1</v>
      </c>
      <c r="P455" s="116">
        <v>242</v>
      </c>
      <c r="Q455" s="116">
        <v>239.65</v>
      </c>
      <c r="R455">
        <v>525682</v>
      </c>
    </row>
    <row r="456" spans="1:18" x14ac:dyDescent="0.25">
      <c r="A456" s="170">
        <v>44363</v>
      </c>
      <c r="B456" s="116">
        <v>241.5</v>
      </c>
      <c r="C456" s="116">
        <v>236.3</v>
      </c>
      <c r="D456" s="116">
        <v>235.1</v>
      </c>
      <c r="E456" s="116">
        <v>238.2</v>
      </c>
      <c r="F456" s="116">
        <v>236.3</v>
      </c>
      <c r="G456">
        <v>76297</v>
      </c>
      <c r="H456" s="116"/>
      <c r="I456" s="116"/>
      <c r="L456" s="170">
        <v>44363</v>
      </c>
      <c r="M456" s="116">
        <v>236.35</v>
      </c>
      <c r="N456" s="116">
        <v>241.5</v>
      </c>
      <c r="O456" s="116">
        <v>235.55</v>
      </c>
      <c r="P456" s="116">
        <v>240</v>
      </c>
      <c r="Q456" s="116">
        <v>236.35</v>
      </c>
      <c r="R456">
        <v>376966</v>
      </c>
    </row>
    <row r="457" spans="1:18" x14ac:dyDescent="0.25">
      <c r="A457" s="170">
        <v>44364</v>
      </c>
      <c r="B457" s="116">
        <v>249.8</v>
      </c>
      <c r="C457" s="116">
        <v>243.05</v>
      </c>
      <c r="D457" s="116">
        <v>233.55</v>
      </c>
      <c r="E457" s="116">
        <v>236.3</v>
      </c>
      <c r="F457" s="116">
        <v>243.05</v>
      </c>
      <c r="G457">
        <v>126964</v>
      </c>
      <c r="H457" s="116"/>
      <c r="I457" s="116"/>
      <c r="L457" s="170">
        <v>44364</v>
      </c>
      <c r="M457" s="116">
        <v>243.05</v>
      </c>
      <c r="N457" s="116">
        <v>249.7</v>
      </c>
      <c r="O457" s="116">
        <v>232.35</v>
      </c>
      <c r="P457" s="116">
        <v>235</v>
      </c>
      <c r="Q457" s="116">
        <v>243.05</v>
      </c>
      <c r="R457">
        <v>1678542</v>
      </c>
    </row>
    <row r="458" spans="1:18" x14ac:dyDescent="0.25">
      <c r="A458" s="170">
        <v>44365</v>
      </c>
      <c r="B458" s="116">
        <v>247</v>
      </c>
      <c r="C458" s="116">
        <v>239.7</v>
      </c>
      <c r="D458" s="116">
        <v>233</v>
      </c>
      <c r="E458" s="116">
        <v>247</v>
      </c>
      <c r="F458" s="116">
        <v>239.7</v>
      </c>
      <c r="G458">
        <v>146772</v>
      </c>
      <c r="H458" s="116"/>
      <c r="I458" s="116"/>
      <c r="L458" s="170">
        <v>44365</v>
      </c>
      <c r="M458" s="116">
        <v>239.4</v>
      </c>
      <c r="N458" s="116">
        <v>247.95</v>
      </c>
      <c r="O458" s="116">
        <v>233</v>
      </c>
      <c r="P458" s="116">
        <v>244.95</v>
      </c>
      <c r="Q458" s="116">
        <v>239.4</v>
      </c>
      <c r="R458">
        <v>1033969</v>
      </c>
    </row>
    <row r="459" spans="1:18" x14ac:dyDescent="0.25">
      <c r="A459" s="170">
        <v>44368</v>
      </c>
      <c r="B459" s="116">
        <v>243.55</v>
      </c>
      <c r="C459" s="116">
        <v>236.4</v>
      </c>
      <c r="D459" s="116">
        <v>234.95</v>
      </c>
      <c r="E459" s="116">
        <v>235</v>
      </c>
      <c r="F459" s="116">
        <v>236.4</v>
      </c>
      <c r="G459">
        <v>127389</v>
      </c>
      <c r="H459" s="116"/>
      <c r="I459" s="116"/>
      <c r="L459" s="170">
        <v>44368</v>
      </c>
      <c r="M459" s="116">
        <v>236.4</v>
      </c>
      <c r="N459" s="116">
        <v>243.7</v>
      </c>
      <c r="O459" s="116">
        <v>234.15</v>
      </c>
      <c r="P459" s="116">
        <v>236</v>
      </c>
      <c r="Q459" s="116">
        <v>236.4</v>
      </c>
      <c r="R459">
        <v>639204</v>
      </c>
    </row>
    <row r="460" spans="1:18" x14ac:dyDescent="0.25">
      <c r="A460" s="170">
        <v>44369</v>
      </c>
      <c r="B460" s="116">
        <v>256</v>
      </c>
      <c r="C460" s="116">
        <v>251.05</v>
      </c>
      <c r="D460" s="116">
        <v>238.45</v>
      </c>
      <c r="E460" s="116">
        <v>239</v>
      </c>
      <c r="F460" s="116">
        <v>251.05</v>
      </c>
      <c r="G460">
        <v>470841</v>
      </c>
      <c r="H460" s="116"/>
      <c r="I460" s="116"/>
      <c r="L460" s="170">
        <v>44369</v>
      </c>
      <c r="M460" s="116">
        <v>251.15</v>
      </c>
      <c r="N460" s="116">
        <v>255.75</v>
      </c>
      <c r="O460" s="116">
        <v>238.5</v>
      </c>
      <c r="P460" s="116">
        <v>240</v>
      </c>
      <c r="Q460" s="116">
        <v>251.15</v>
      </c>
      <c r="R460">
        <v>3406726</v>
      </c>
    </row>
    <row r="461" spans="1:18" x14ac:dyDescent="0.25">
      <c r="A461" s="170">
        <v>44370</v>
      </c>
      <c r="B461" s="116">
        <v>259</v>
      </c>
      <c r="C461" s="116">
        <v>247.2</v>
      </c>
      <c r="D461" s="116">
        <v>245.45</v>
      </c>
      <c r="E461" s="116">
        <v>254.95</v>
      </c>
      <c r="F461" s="116">
        <v>247.2</v>
      </c>
      <c r="G461">
        <v>150700</v>
      </c>
      <c r="H461" s="116"/>
      <c r="I461" s="116"/>
      <c r="L461" s="170">
        <v>44370</v>
      </c>
      <c r="M461" s="116">
        <v>247.25</v>
      </c>
      <c r="N461" s="116">
        <v>259</v>
      </c>
      <c r="O461" s="116">
        <v>245.1</v>
      </c>
      <c r="P461" s="116">
        <v>255.25</v>
      </c>
      <c r="Q461" s="116">
        <v>247.25</v>
      </c>
      <c r="R461">
        <v>1863270</v>
      </c>
    </row>
    <row r="462" spans="1:18" x14ac:dyDescent="0.25">
      <c r="A462" s="170">
        <v>44371</v>
      </c>
      <c r="B462" s="116">
        <v>251</v>
      </c>
      <c r="C462" s="116">
        <v>244.45</v>
      </c>
      <c r="D462" s="116">
        <v>241.7</v>
      </c>
      <c r="E462" s="116">
        <v>248.8</v>
      </c>
      <c r="F462" s="116">
        <v>244.45</v>
      </c>
      <c r="G462">
        <v>63225</v>
      </c>
      <c r="H462" s="116"/>
      <c r="I462" s="116"/>
      <c r="L462" s="170">
        <v>44371</v>
      </c>
      <c r="M462" s="116">
        <v>244.5</v>
      </c>
      <c r="N462" s="116">
        <v>251.1</v>
      </c>
      <c r="O462" s="116">
        <v>242</v>
      </c>
      <c r="P462" s="116">
        <v>248.65</v>
      </c>
      <c r="Q462" s="116">
        <v>244.5</v>
      </c>
      <c r="R462">
        <v>482788</v>
      </c>
    </row>
    <row r="463" spans="1:18" x14ac:dyDescent="0.25">
      <c r="A463" s="170">
        <v>44372</v>
      </c>
      <c r="B463" s="116">
        <v>261.89999999999998</v>
      </c>
      <c r="C463" s="116">
        <v>253.95</v>
      </c>
      <c r="D463" s="116">
        <v>246</v>
      </c>
      <c r="E463" s="116">
        <v>247</v>
      </c>
      <c r="F463" s="116">
        <v>253.95</v>
      </c>
      <c r="G463">
        <v>355372</v>
      </c>
      <c r="H463" s="116"/>
      <c r="I463" s="116"/>
      <c r="L463" s="170">
        <v>44372</v>
      </c>
      <c r="M463" s="116">
        <v>253.7</v>
      </c>
      <c r="N463" s="116">
        <v>261.89999999999998</v>
      </c>
      <c r="O463" s="116">
        <v>245.7</v>
      </c>
      <c r="P463" s="116">
        <v>246.4</v>
      </c>
      <c r="Q463" s="116">
        <v>253.7</v>
      </c>
      <c r="R463">
        <v>4990909</v>
      </c>
    </row>
    <row r="464" spans="1:18" x14ac:dyDescent="0.25">
      <c r="A464" s="170">
        <v>44375</v>
      </c>
      <c r="B464" s="116">
        <v>275.5</v>
      </c>
      <c r="C464" s="116">
        <v>263.45</v>
      </c>
      <c r="D464" s="116">
        <v>259</v>
      </c>
      <c r="E464" s="116">
        <v>261.39999999999998</v>
      </c>
      <c r="F464" s="116">
        <v>263.45</v>
      </c>
      <c r="G464">
        <v>826268</v>
      </c>
      <c r="H464" s="116"/>
      <c r="I464" s="116"/>
      <c r="L464" s="170">
        <v>44375</v>
      </c>
      <c r="M464" s="116">
        <v>263.60000000000002</v>
      </c>
      <c r="N464" s="116">
        <v>275.7</v>
      </c>
      <c r="O464" s="116">
        <v>259</v>
      </c>
      <c r="P464" s="116">
        <v>261.5</v>
      </c>
      <c r="Q464" s="116">
        <v>263.60000000000002</v>
      </c>
      <c r="R464">
        <v>9389795</v>
      </c>
    </row>
    <row r="465" spans="1:18" x14ac:dyDescent="0.25">
      <c r="A465" s="170">
        <v>44376</v>
      </c>
      <c r="B465" s="116">
        <v>273.7</v>
      </c>
      <c r="C465" s="116">
        <v>262.39999999999998</v>
      </c>
      <c r="D465" s="116">
        <v>261.2</v>
      </c>
      <c r="E465" s="116">
        <v>267</v>
      </c>
      <c r="F465" s="116">
        <v>262.39999999999998</v>
      </c>
      <c r="G465">
        <v>369622</v>
      </c>
      <c r="H465" s="116"/>
      <c r="I465" s="116"/>
      <c r="L465" s="170">
        <v>44376</v>
      </c>
      <c r="M465" s="116">
        <v>262.45</v>
      </c>
      <c r="N465" s="116">
        <v>273.7</v>
      </c>
      <c r="O465" s="116">
        <v>261</v>
      </c>
      <c r="P465" s="116">
        <v>267</v>
      </c>
      <c r="Q465" s="116">
        <v>262.45</v>
      </c>
      <c r="R465">
        <v>4958538</v>
      </c>
    </row>
    <row r="466" spans="1:18" x14ac:dyDescent="0.25">
      <c r="A466" s="170">
        <v>44377</v>
      </c>
      <c r="B466" s="116">
        <v>276.95</v>
      </c>
      <c r="C466" s="116">
        <v>271.60000000000002</v>
      </c>
      <c r="D466" s="116">
        <v>249</v>
      </c>
      <c r="E466" s="116">
        <v>249</v>
      </c>
      <c r="F466" s="116">
        <v>271.60000000000002</v>
      </c>
      <c r="G466">
        <v>417498</v>
      </c>
      <c r="H466" s="116"/>
      <c r="I466" s="116"/>
      <c r="L466" s="170">
        <v>44377</v>
      </c>
      <c r="M466" s="116">
        <v>272.05</v>
      </c>
      <c r="N466" s="116">
        <v>276.75</v>
      </c>
      <c r="O466" s="116">
        <v>248.1</v>
      </c>
      <c r="P466" s="116">
        <v>248.1</v>
      </c>
      <c r="Q466" s="116">
        <v>272.05</v>
      </c>
      <c r="R466">
        <v>6653981</v>
      </c>
    </row>
    <row r="467" spans="1:18" x14ac:dyDescent="0.25">
      <c r="A467" s="170">
        <v>44378</v>
      </c>
      <c r="B467" s="116">
        <v>281.95</v>
      </c>
      <c r="C467" s="116">
        <v>267.45</v>
      </c>
      <c r="D467" s="116">
        <v>261.10000000000002</v>
      </c>
      <c r="E467" s="116">
        <v>278</v>
      </c>
      <c r="F467" s="116">
        <v>267.45</v>
      </c>
      <c r="G467">
        <v>368032</v>
      </c>
      <c r="H467" s="116"/>
      <c r="I467" s="116"/>
      <c r="L467" s="170">
        <v>44378</v>
      </c>
      <c r="M467" s="116">
        <v>266.7</v>
      </c>
      <c r="N467" s="116">
        <v>281.8</v>
      </c>
      <c r="O467" s="116">
        <v>261.10000000000002</v>
      </c>
      <c r="P467" s="116">
        <v>280</v>
      </c>
      <c r="Q467" s="116">
        <v>266.7</v>
      </c>
      <c r="R467">
        <v>5282868</v>
      </c>
    </row>
    <row r="468" spans="1:18" x14ac:dyDescent="0.25">
      <c r="A468" s="170">
        <v>44379</v>
      </c>
      <c r="B468" s="116">
        <v>289.89999999999998</v>
      </c>
      <c r="C468" s="116">
        <v>287</v>
      </c>
      <c r="D468" s="116">
        <v>264</v>
      </c>
      <c r="E468" s="116">
        <v>270</v>
      </c>
      <c r="F468" s="116">
        <v>287</v>
      </c>
      <c r="G468">
        <v>730729</v>
      </c>
      <c r="H468" s="116"/>
      <c r="I468" s="116"/>
      <c r="L468" s="170">
        <v>44379</v>
      </c>
      <c r="M468" s="116">
        <v>287.14999999999998</v>
      </c>
      <c r="N468" s="116">
        <v>289.95</v>
      </c>
      <c r="O468" s="116">
        <v>265.7</v>
      </c>
      <c r="P468" s="116">
        <v>269.14999999999998</v>
      </c>
      <c r="Q468" s="116">
        <v>287.14999999999998</v>
      </c>
      <c r="R468">
        <v>5906378</v>
      </c>
    </row>
    <row r="469" spans="1:18" x14ac:dyDescent="0.25">
      <c r="A469" s="170">
        <v>44382</v>
      </c>
      <c r="B469" s="116">
        <v>292.5</v>
      </c>
      <c r="C469" s="116">
        <v>283.85000000000002</v>
      </c>
      <c r="D469" s="116">
        <v>276.8</v>
      </c>
      <c r="E469" s="116">
        <v>288.85000000000002</v>
      </c>
      <c r="F469" s="116">
        <v>283.85000000000002</v>
      </c>
      <c r="G469">
        <v>281180</v>
      </c>
      <c r="H469" s="116"/>
      <c r="I469" s="116"/>
      <c r="L469" s="170">
        <v>44382</v>
      </c>
      <c r="M469" s="116">
        <v>283.25</v>
      </c>
      <c r="N469" s="116">
        <v>292.3</v>
      </c>
      <c r="O469" s="116">
        <v>276.35000000000002</v>
      </c>
      <c r="P469" s="116">
        <v>288.39999999999998</v>
      </c>
      <c r="Q469" s="116">
        <v>283.25</v>
      </c>
      <c r="R469">
        <v>2866398</v>
      </c>
    </row>
    <row r="470" spans="1:18" x14ac:dyDescent="0.25">
      <c r="A470" s="170">
        <v>44383</v>
      </c>
      <c r="B470" s="116">
        <v>285.64999999999998</v>
      </c>
      <c r="C470" s="116">
        <v>272.39999999999998</v>
      </c>
      <c r="D470" s="116">
        <v>269.45</v>
      </c>
      <c r="E470" s="116">
        <v>285.3</v>
      </c>
      <c r="F470" s="116">
        <v>272.39999999999998</v>
      </c>
      <c r="G470">
        <v>222023</v>
      </c>
      <c r="H470" s="116"/>
      <c r="I470" s="116"/>
      <c r="L470" s="170">
        <v>44383</v>
      </c>
      <c r="M470" s="116">
        <v>272.45</v>
      </c>
      <c r="N470" s="116">
        <v>285.39999999999998</v>
      </c>
      <c r="O470" s="116">
        <v>269</v>
      </c>
      <c r="P470" s="116">
        <v>285.39999999999998</v>
      </c>
      <c r="Q470" s="116">
        <v>272.45</v>
      </c>
      <c r="R470">
        <v>1447394</v>
      </c>
    </row>
    <row r="471" spans="1:18" x14ac:dyDescent="0.25">
      <c r="A471" s="170">
        <v>44384</v>
      </c>
      <c r="B471" s="116">
        <v>279.64999999999998</v>
      </c>
      <c r="C471" s="116">
        <v>273.64999999999998</v>
      </c>
      <c r="D471" s="116">
        <v>268.75</v>
      </c>
      <c r="E471" s="116">
        <v>276</v>
      </c>
      <c r="F471" s="116">
        <v>273.64999999999998</v>
      </c>
      <c r="G471">
        <v>115972</v>
      </c>
      <c r="H471" s="116"/>
      <c r="I471" s="116"/>
      <c r="L471" s="170">
        <v>44384</v>
      </c>
      <c r="M471" s="116">
        <v>273.55</v>
      </c>
      <c r="N471" s="116">
        <v>279.8</v>
      </c>
      <c r="O471" s="116">
        <v>268.45</v>
      </c>
      <c r="P471" s="116">
        <v>272.45</v>
      </c>
      <c r="Q471" s="116">
        <v>273.55</v>
      </c>
      <c r="R471">
        <v>1178075</v>
      </c>
    </row>
    <row r="472" spans="1:18" x14ac:dyDescent="0.25">
      <c r="A472" s="170">
        <v>44385</v>
      </c>
      <c r="B472" s="116">
        <v>276.89999999999998</v>
      </c>
      <c r="C472" s="116">
        <v>271.85000000000002</v>
      </c>
      <c r="D472" s="116">
        <v>267.05</v>
      </c>
      <c r="E472" s="116">
        <v>274.25</v>
      </c>
      <c r="F472" s="116">
        <v>271.85000000000002</v>
      </c>
      <c r="G472">
        <v>116978</v>
      </c>
      <c r="H472" s="116"/>
      <c r="I472" s="116"/>
      <c r="L472" s="170">
        <v>44385</v>
      </c>
      <c r="M472" s="116">
        <v>272</v>
      </c>
      <c r="N472" s="116">
        <v>277</v>
      </c>
      <c r="O472" s="116">
        <v>267</v>
      </c>
      <c r="P472" s="116">
        <v>275</v>
      </c>
      <c r="Q472" s="116">
        <v>272</v>
      </c>
      <c r="R472">
        <v>695312</v>
      </c>
    </row>
    <row r="473" spans="1:18" x14ac:dyDescent="0.25">
      <c r="A473" s="170">
        <v>44386</v>
      </c>
      <c r="B473" s="116">
        <v>276.89999999999998</v>
      </c>
      <c r="C473" s="116">
        <v>270.14999999999998</v>
      </c>
      <c r="D473" s="116">
        <v>269</v>
      </c>
      <c r="E473" s="116">
        <v>276.89999999999998</v>
      </c>
      <c r="F473" s="116">
        <v>270.14999999999998</v>
      </c>
      <c r="G473">
        <v>140414</v>
      </c>
      <c r="H473" s="116"/>
      <c r="I473" s="116"/>
      <c r="L473" s="170">
        <v>44386</v>
      </c>
      <c r="M473" s="116">
        <v>270.25</v>
      </c>
      <c r="N473" s="116">
        <v>276</v>
      </c>
      <c r="O473" s="116">
        <v>269</v>
      </c>
      <c r="P473" s="116">
        <v>272</v>
      </c>
      <c r="Q473" s="116">
        <v>270.25</v>
      </c>
      <c r="R473">
        <v>699204</v>
      </c>
    </row>
    <row r="474" spans="1:18" x14ac:dyDescent="0.25">
      <c r="A474" s="170">
        <v>44389</v>
      </c>
      <c r="B474" s="116">
        <v>274.8</v>
      </c>
      <c r="C474" s="116">
        <v>271.64999999999998</v>
      </c>
      <c r="D474" s="116">
        <v>270.3</v>
      </c>
      <c r="E474" s="116">
        <v>274.8</v>
      </c>
      <c r="F474" s="116">
        <v>271.64999999999998</v>
      </c>
      <c r="G474">
        <v>75954</v>
      </c>
      <c r="H474" s="116"/>
      <c r="I474" s="116"/>
      <c r="L474" s="170">
        <v>44389</v>
      </c>
      <c r="M474" s="116">
        <v>271.3</v>
      </c>
      <c r="N474" s="116">
        <v>274.89999999999998</v>
      </c>
      <c r="O474" s="116">
        <v>270</v>
      </c>
      <c r="P474" s="116">
        <v>272.39999999999998</v>
      </c>
      <c r="Q474" s="116">
        <v>271.3</v>
      </c>
      <c r="R474">
        <v>794948</v>
      </c>
    </row>
    <row r="475" spans="1:18" x14ac:dyDescent="0.25">
      <c r="A475" s="170">
        <v>44390</v>
      </c>
      <c r="B475" s="116">
        <v>274.89999999999998</v>
      </c>
      <c r="C475" s="116">
        <v>272.3</v>
      </c>
      <c r="D475" s="116">
        <v>268.2</v>
      </c>
      <c r="E475" s="116">
        <v>274.89999999999998</v>
      </c>
      <c r="F475" s="116">
        <v>272.3</v>
      </c>
      <c r="G475">
        <v>152570</v>
      </c>
      <c r="H475" s="116"/>
      <c r="I475" s="116"/>
      <c r="L475" s="170">
        <v>44390</v>
      </c>
      <c r="M475" s="116">
        <v>272.2</v>
      </c>
      <c r="N475" s="116">
        <v>274.5</v>
      </c>
      <c r="O475" s="116">
        <v>268.3</v>
      </c>
      <c r="P475" s="116">
        <v>273.5</v>
      </c>
      <c r="Q475" s="116">
        <v>272.2</v>
      </c>
      <c r="R475">
        <v>756158</v>
      </c>
    </row>
    <row r="476" spans="1:18" x14ac:dyDescent="0.25">
      <c r="A476" s="170">
        <v>44391</v>
      </c>
      <c r="B476" s="116">
        <v>290.39999999999998</v>
      </c>
      <c r="C476" s="116">
        <v>284</v>
      </c>
      <c r="D476" s="116">
        <v>270.55</v>
      </c>
      <c r="E476" s="116">
        <v>272.39999999999998</v>
      </c>
      <c r="F476" s="116">
        <v>284</v>
      </c>
      <c r="G476">
        <v>438475</v>
      </c>
      <c r="H476" s="116"/>
      <c r="I476" s="116"/>
      <c r="L476" s="170">
        <v>44391</v>
      </c>
      <c r="M476" s="116">
        <v>284.05</v>
      </c>
      <c r="N476" s="116">
        <v>290.7</v>
      </c>
      <c r="O476" s="116">
        <v>270.45</v>
      </c>
      <c r="P476" s="116">
        <v>273.95</v>
      </c>
      <c r="Q476" s="116">
        <v>284.05</v>
      </c>
      <c r="R476">
        <v>3453475</v>
      </c>
    </row>
    <row r="477" spans="1:18" x14ac:dyDescent="0.25">
      <c r="A477" s="170">
        <v>44392</v>
      </c>
      <c r="B477" s="116">
        <v>288.3</v>
      </c>
      <c r="C477" s="116">
        <v>279.64999999999998</v>
      </c>
      <c r="D477" s="116">
        <v>277.25</v>
      </c>
      <c r="E477" s="116">
        <v>285</v>
      </c>
      <c r="F477" s="116">
        <v>279.64999999999998</v>
      </c>
      <c r="G477">
        <v>181341</v>
      </c>
      <c r="H477" s="116"/>
      <c r="I477" s="116"/>
      <c r="L477" s="170">
        <v>44392</v>
      </c>
      <c r="M477" s="116">
        <v>280</v>
      </c>
      <c r="N477" s="116">
        <v>288.3</v>
      </c>
      <c r="O477" s="116">
        <v>277</v>
      </c>
      <c r="P477" s="116">
        <v>286.5</v>
      </c>
      <c r="Q477" s="116">
        <v>280</v>
      </c>
      <c r="R477">
        <v>1804119</v>
      </c>
    </row>
    <row r="478" spans="1:18" x14ac:dyDescent="0.25">
      <c r="A478" s="170">
        <v>44393</v>
      </c>
      <c r="B478" s="116">
        <v>287</v>
      </c>
      <c r="C478" s="116">
        <v>281.55</v>
      </c>
      <c r="D478" s="116">
        <v>274.45</v>
      </c>
      <c r="E478" s="116">
        <v>282.95</v>
      </c>
      <c r="F478" s="116">
        <v>281.55</v>
      </c>
      <c r="G478">
        <v>162757</v>
      </c>
      <c r="H478" s="116"/>
      <c r="I478" s="116"/>
      <c r="L478" s="170">
        <v>44393</v>
      </c>
      <c r="M478" s="116">
        <v>282.25</v>
      </c>
      <c r="N478" s="116">
        <v>287</v>
      </c>
      <c r="O478" s="116">
        <v>274.35000000000002</v>
      </c>
      <c r="P478" s="116">
        <v>280</v>
      </c>
      <c r="Q478" s="116">
        <v>282.25</v>
      </c>
      <c r="R478">
        <v>1418539</v>
      </c>
    </row>
    <row r="479" spans="1:18" x14ac:dyDescent="0.25">
      <c r="A479" s="170">
        <v>44396</v>
      </c>
      <c r="B479" s="116">
        <v>282.5</v>
      </c>
      <c r="C479" s="116">
        <v>275.3</v>
      </c>
      <c r="D479" s="116">
        <v>273.5</v>
      </c>
      <c r="E479" s="116">
        <v>273.5</v>
      </c>
      <c r="F479" s="116">
        <v>275.3</v>
      </c>
      <c r="G479">
        <v>97143</v>
      </c>
      <c r="H479" s="116"/>
      <c r="I479" s="116"/>
      <c r="L479" s="170">
        <v>44396</v>
      </c>
      <c r="M479" s="116">
        <v>275.3</v>
      </c>
      <c r="N479" s="116">
        <v>282.95</v>
      </c>
      <c r="O479" s="116">
        <v>274.10000000000002</v>
      </c>
      <c r="P479" s="116">
        <v>279</v>
      </c>
      <c r="Q479" s="116">
        <v>275.3</v>
      </c>
      <c r="R479">
        <v>841942</v>
      </c>
    </row>
    <row r="480" spans="1:18" x14ac:dyDescent="0.25">
      <c r="A480" s="170">
        <v>44397</v>
      </c>
      <c r="B480" s="116">
        <v>276.95</v>
      </c>
      <c r="C480" s="116">
        <v>265.14999999999998</v>
      </c>
      <c r="D480" s="116">
        <v>263.10000000000002</v>
      </c>
      <c r="E480" s="116">
        <v>274.89999999999998</v>
      </c>
      <c r="F480" s="116">
        <v>265.14999999999998</v>
      </c>
      <c r="G480">
        <v>106037</v>
      </c>
      <c r="H480" s="116"/>
      <c r="I480" s="116"/>
      <c r="L480" s="170">
        <v>44397</v>
      </c>
      <c r="M480" s="116">
        <v>265.2</v>
      </c>
      <c r="N480" s="116">
        <v>277.2</v>
      </c>
      <c r="O480" s="116">
        <v>262.95</v>
      </c>
      <c r="P480" s="116">
        <v>273.35000000000002</v>
      </c>
      <c r="Q480" s="116">
        <v>265.2</v>
      </c>
      <c r="R480">
        <v>864189</v>
      </c>
    </row>
    <row r="481" spans="1:18" x14ac:dyDescent="0.25">
      <c r="A481" s="170">
        <v>44399</v>
      </c>
      <c r="B481" s="116">
        <v>285</v>
      </c>
      <c r="C481" s="116">
        <v>282.95</v>
      </c>
      <c r="D481" s="116">
        <v>267.75</v>
      </c>
      <c r="E481" s="116">
        <v>269.25</v>
      </c>
      <c r="F481" s="116">
        <v>282.95</v>
      </c>
      <c r="G481">
        <v>208539</v>
      </c>
      <c r="H481" s="116"/>
      <c r="I481" s="116"/>
      <c r="L481" s="170">
        <v>44399</v>
      </c>
      <c r="M481" s="116">
        <v>282.60000000000002</v>
      </c>
      <c r="N481" s="116">
        <v>284.64999999999998</v>
      </c>
      <c r="O481" s="116">
        <v>267.55</v>
      </c>
      <c r="P481" s="116">
        <v>269.60000000000002</v>
      </c>
      <c r="Q481" s="116">
        <v>282.60000000000002</v>
      </c>
      <c r="R481">
        <v>1862033</v>
      </c>
    </row>
    <row r="482" spans="1:18" x14ac:dyDescent="0.25">
      <c r="A482" s="170">
        <v>44400</v>
      </c>
      <c r="B482" s="116">
        <v>284.95</v>
      </c>
      <c r="C482" s="116">
        <v>278.45</v>
      </c>
      <c r="D482" s="116">
        <v>277</v>
      </c>
      <c r="E482" s="116">
        <v>284</v>
      </c>
      <c r="F482" s="116">
        <v>278.45</v>
      </c>
      <c r="G482">
        <v>312526</v>
      </c>
      <c r="H482" s="116"/>
      <c r="I482" s="116"/>
      <c r="L482" s="170">
        <v>44400</v>
      </c>
      <c r="M482" s="116">
        <v>278.3</v>
      </c>
      <c r="N482" s="116">
        <v>285.35000000000002</v>
      </c>
      <c r="O482" s="116">
        <v>277.25</v>
      </c>
      <c r="P482" s="116">
        <v>285</v>
      </c>
      <c r="Q482" s="116">
        <v>278.3</v>
      </c>
      <c r="R482">
        <v>963741</v>
      </c>
    </row>
    <row r="483" spans="1:18" x14ac:dyDescent="0.25">
      <c r="A483" s="170">
        <v>44403</v>
      </c>
      <c r="B483" s="116">
        <v>283.2</v>
      </c>
      <c r="C483" s="116">
        <v>275.3</v>
      </c>
      <c r="D483" s="116">
        <v>274.10000000000002</v>
      </c>
      <c r="E483" s="116">
        <v>274.60000000000002</v>
      </c>
      <c r="F483" s="116">
        <v>275.3</v>
      </c>
      <c r="G483">
        <v>210788</v>
      </c>
      <c r="H483" s="116"/>
      <c r="I483" s="116"/>
      <c r="L483" s="170">
        <v>44403</v>
      </c>
      <c r="M483" s="116">
        <v>275.5</v>
      </c>
      <c r="N483" s="116">
        <v>283.2</v>
      </c>
      <c r="O483" s="116">
        <v>274.05</v>
      </c>
      <c r="P483" s="116">
        <v>278.89999999999998</v>
      </c>
      <c r="Q483" s="116">
        <v>275.5</v>
      </c>
      <c r="R483">
        <v>814929</v>
      </c>
    </row>
    <row r="484" spans="1:18" x14ac:dyDescent="0.25">
      <c r="A484" s="170">
        <v>44404</v>
      </c>
      <c r="B484" s="116">
        <v>293.89999999999998</v>
      </c>
      <c r="C484" s="116">
        <v>290.60000000000002</v>
      </c>
      <c r="D484" s="116">
        <v>274.8</v>
      </c>
      <c r="E484" s="116">
        <v>274.8</v>
      </c>
      <c r="F484" s="116">
        <v>290.60000000000002</v>
      </c>
      <c r="G484">
        <v>252296</v>
      </c>
      <c r="H484" s="116"/>
      <c r="I484" s="116"/>
      <c r="L484" s="170">
        <v>44404</v>
      </c>
      <c r="M484" s="116">
        <v>290.7</v>
      </c>
      <c r="N484" s="116">
        <v>293.95</v>
      </c>
      <c r="O484" s="116">
        <v>275.60000000000002</v>
      </c>
      <c r="P484" s="116">
        <v>277</v>
      </c>
      <c r="Q484" s="116">
        <v>290.7</v>
      </c>
      <c r="R484">
        <v>4391731</v>
      </c>
    </row>
    <row r="485" spans="1:18" x14ac:dyDescent="0.25">
      <c r="A485" s="170">
        <v>44405</v>
      </c>
      <c r="B485" s="116">
        <v>293.2</v>
      </c>
      <c r="C485" s="116">
        <v>281.7</v>
      </c>
      <c r="D485" s="116">
        <v>277.85000000000002</v>
      </c>
      <c r="E485" s="116">
        <v>291</v>
      </c>
      <c r="F485" s="116">
        <v>281.7</v>
      </c>
      <c r="G485">
        <v>141500</v>
      </c>
      <c r="H485" s="116"/>
      <c r="I485" s="116"/>
      <c r="L485" s="170">
        <v>44405</v>
      </c>
      <c r="M485" s="116">
        <v>281.75</v>
      </c>
      <c r="N485" s="116">
        <v>292.85000000000002</v>
      </c>
      <c r="O485" s="116">
        <v>277.8</v>
      </c>
      <c r="P485" s="116">
        <v>292</v>
      </c>
      <c r="Q485" s="116">
        <v>281.75</v>
      </c>
      <c r="R485">
        <v>1632149</v>
      </c>
    </row>
    <row r="486" spans="1:18" x14ac:dyDescent="0.25">
      <c r="A486" s="170">
        <v>44406</v>
      </c>
      <c r="B486" s="116">
        <v>297</v>
      </c>
      <c r="C486" s="116">
        <v>293.39999999999998</v>
      </c>
      <c r="D486" s="116">
        <v>280</v>
      </c>
      <c r="E486" s="116">
        <v>283.7</v>
      </c>
      <c r="F486" s="116">
        <v>293.39999999999998</v>
      </c>
      <c r="G486">
        <v>193230</v>
      </c>
      <c r="H486" s="116"/>
      <c r="I486" s="116"/>
      <c r="L486" s="170">
        <v>44406</v>
      </c>
      <c r="M486" s="116">
        <v>293.14999999999998</v>
      </c>
      <c r="N486" s="116">
        <v>297.3</v>
      </c>
      <c r="O486" s="116">
        <v>280.5</v>
      </c>
      <c r="P486" s="116">
        <v>283.5</v>
      </c>
      <c r="Q486" s="116">
        <v>293.14999999999998</v>
      </c>
      <c r="R486">
        <v>2488810</v>
      </c>
    </row>
    <row r="487" spans="1:18" x14ac:dyDescent="0.25">
      <c r="A487" s="170">
        <v>44407</v>
      </c>
      <c r="B487" s="116">
        <v>294.7</v>
      </c>
      <c r="C487" s="116">
        <v>285.14999999999998</v>
      </c>
      <c r="D487" s="116">
        <v>284</v>
      </c>
      <c r="E487" s="116">
        <v>292</v>
      </c>
      <c r="F487" s="116">
        <v>285.14999999999998</v>
      </c>
      <c r="G487">
        <v>162165</v>
      </c>
      <c r="H487" s="116"/>
      <c r="I487" s="116"/>
      <c r="L487" s="170">
        <v>44407</v>
      </c>
      <c r="M487" s="116">
        <v>285.39999999999998</v>
      </c>
      <c r="N487" s="116">
        <v>294.89999999999998</v>
      </c>
      <c r="O487" s="116">
        <v>284</v>
      </c>
      <c r="P487" s="116">
        <v>291.60000000000002</v>
      </c>
      <c r="Q487" s="116">
        <v>285.39999999999998</v>
      </c>
      <c r="R487">
        <v>1145881</v>
      </c>
    </row>
    <row r="488" spans="1:18" x14ac:dyDescent="0.25">
      <c r="A488" s="170">
        <v>44410</v>
      </c>
      <c r="B488" s="116">
        <v>293.2</v>
      </c>
      <c r="C488" s="116">
        <v>288.75</v>
      </c>
      <c r="D488" s="116">
        <v>285.75</v>
      </c>
      <c r="E488" s="116">
        <v>289.35000000000002</v>
      </c>
      <c r="F488" s="116">
        <v>288.75</v>
      </c>
      <c r="G488">
        <v>119354</v>
      </c>
      <c r="H488" s="116"/>
      <c r="I488" s="116"/>
      <c r="L488" s="170">
        <v>44410</v>
      </c>
      <c r="M488" s="116">
        <v>288.55</v>
      </c>
      <c r="N488" s="116">
        <v>293.2</v>
      </c>
      <c r="O488" s="116">
        <v>285.8</v>
      </c>
      <c r="P488" s="116">
        <v>287.2</v>
      </c>
      <c r="Q488" s="116">
        <v>288.55</v>
      </c>
      <c r="R488">
        <v>1053631</v>
      </c>
    </row>
    <row r="489" spans="1:18" x14ac:dyDescent="0.25">
      <c r="A489" s="170">
        <v>44411</v>
      </c>
      <c r="B489" s="116">
        <v>308.5</v>
      </c>
      <c r="C489" s="116">
        <v>300.10000000000002</v>
      </c>
      <c r="D489" s="116">
        <v>285.3</v>
      </c>
      <c r="E489" s="116">
        <v>289.85000000000002</v>
      </c>
      <c r="F489" s="116">
        <v>300.10000000000002</v>
      </c>
      <c r="G489">
        <v>554978</v>
      </c>
      <c r="H489" s="116"/>
      <c r="I489" s="116"/>
      <c r="L489" s="170">
        <v>44411</v>
      </c>
      <c r="M489" s="116">
        <v>300.2</v>
      </c>
      <c r="N489" s="116">
        <v>308.60000000000002</v>
      </c>
      <c r="O489" s="116">
        <v>285.2</v>
      </c>
      <c r="P489" s="116">
        <v>289.39999999999998</v>
      </c>
      <c r="Q489" s="116">
        <v>300.2</v>
      </c>
      <c r="R489">
        <v>5325258</v>
      </c>
    </row>
    <row r="490" spans="1:18" x14ac:dyDescent="0.25">
      <c r="A490" s="170">
        <v>44412</v>
      </c>
      <c r="B490" s="116">
        <v>303.05</v>
      </c>
      <c r="C490" s="116">
        <v>291.25</v>
      </c>
      <c r="D490" s="116">
        <v>286.95</v>
      </c>
      <c r="E490" s="116">
        <v>301</v>
      </c>
      <c r="F490" s="116">
        <v>291.25</v>
      </c>
      <c r="G490">
        <v>192834</v>
      </c>
      <c r="H490" s="116"/>
      <c r="I490" s="116"/>
      <c r="L490" s="170">
        <v>44412</v>
      </c>
      <c r="M490" s="116">
        <v>291.39999999999998</v>
      </c>
      <c r="N490" s="116">
        <v>303.39999999999998</v>
      </c>
      <c r="O490" s="116">
        <v>286.55</v>
      </c>
      <c r="P490" s="116">
        <v>301.5</v>
      </c>
      <c r="Q490" s="116">
        <v>291.39999999999998</v>
      </c>
      <c r="R490">
        <v>1430570</v>
      </c>
    </row>
    <row r="491" spans="1:18" x14ac:dyDescent="0.25">
      <c r="A491" s="170">
        <v>44413</v>
      </c>
      <c r="B491" s="116">
        <v>293</v>
      </c>
      <c r="C491" s="116">
        <v>284.95</v>
      </c>
      <c r="D491" s="116">
        <v>279.2</v>
      </c>
      <c r="E491" s="116">
        <v>292.7</v>
      </c>
      <c r="F491" s="116">
        <v>284.95</v>
      </c>
      <c r="G491">
        <v>254597</v>
      </c>
      <c r="H491" s="116"/>
      <c r="I491" s="116"/>
      <c r="L491" s="170">
        <v>44413</v>
      </c>
      <c r="M491" s="116">
        <v>284.95</v>
      </c>
      <c r="N491" s="116">
        <v>293.35000000000002</v>
      </c>
      <c r="O491" s="116">
        <v>279.05</v>
      </c>
      <c r="P491" s="116">
        <v>292</v>
      </c>
      <c r="Q491" s="116">
        <v>284.95</v>
      </c>
      <c r="R491">
        <v>1480000</v>
      </c>
    </row>
    <row r="492" spans="1:18" x14ac:dyDescent="0.25">
      <c r="A492" s="170">
        <v>44414</v>
      </c>
      <c r="B492" s="116">
        <v>295.64999999999998</v>
      </c>
      <c r="C492" s="116">
        <v>284.89999999999998</v>
      </c>
      <c r="D492" s="116">
        <v>282.05</v>
      </c>
      <c r="E492" s="116">
        <v>289</v>
      </c>
      <c r="F492" s="116">
        <v>284.89999999999998</v>
      </c>
      <c r="G492">
        <v>200719</v>
      </c>
      <c r="H492" s="116"/>
      <c r="I492" s="116"/>
      <c r="L492" s="170">
        <v>44414</v>
      </c>
      <c r="M492" s="116">
        <v>284.89999999999998</v>
      </c>
      <c r="N492" s="116">
        <v>295.89999999999998</v>
      </c>
      <c r="O492" s="116">
        <v>283.05</v>
      </c>
      <c r="P492" s="116">
        <v>286.5</v>
      </c>
      <c r="Q492" s="116">
        <v>284.89999999999998</v>
      </c>
      <c r="R492">
        <v>1035581</v>
      </c>
    </row>
    <row r="493" spans="1:18" x14ac:dyDescent="0.25">
      <c r="A493" s="170">
        <v>44417</v>
      </c>
      <c r="B493" s="116">
        <v>289.55</v>
      </c>
      <c r="C493" s="116">
        <v>281.05</v>
      </c>
      <c r="D493" s="116">
        <v>278.2</v>
      </c>
      <c r="E493" s="116">
        <v>286</v>
      </c>
      <c r="F493" s="116">
        <v>281.05</v>
      </c>
      <c r="G493">
        <v>95774</v>
      </c>
      <c r="H493" s="116"/>
      <c r="I493" s="116"/>
      <c r="L493" s="170">
        <v>44417</v>
      </c>
      <c r="M493" s="116">
        <v>280.95</v>
      </c>
      <c r="N493" s="116">
        <v>289.7</v>
      </c>
      <c r="O493" s="116">
        <v>278</v>
      </c>
      <c r="P493" s="116">
        <v>286</v>
      </c>
      <c r="Q493" s="116">
        <v>280.95</v>
      </c>
      <c r="R493">
        <v>650698</v>
      </c>
    </row>
    <row r="494" spans="1:18" x14ac:dyDescent="0.25">
      <c r="A494" s="170">
        <v>44418</v>
      </c>
      <c r="B494" s="116">
        <v>283.89999999999998</v>
      </c>
      <c r="C494" s="116">
        <v>267.3</v>
      </c>
      <c r="D494" s="116">
        <v>256.05</v>
      </c>
      <c r="E494" s="116">
        <v>279.14999999999998</v>
      </c>
      <c r="F494" s="116">
        <v>267.3</v>
      </c>
      <c r="G494">
        <v>164446</v>
      </c>
      <c r="H494" s="116"/>
      <c r="I494" s="116"/>
      <c r="L494" s="170">
        <v>44418</v>
      </c>
      <c r="M494" s="116">
        <v>267.45</v>
      </c>
      <c r="N494" s="116">
        <v>283.14999999999998</v>
      </c>
      <c r="O494" s="116">
        <v>256.25</v>
      </c>
      <c r="P494" s="116">
        <v>281.05</v>
      </c>
      <c r="Q494" s="116">
        <v>267.45</v>
      </c>
      <c r="R494">
        <v>1110774</v>
      </c>
    </row>
    <row r="495" spans="1:18" x14ac:dyDescent="0.25">
      <c r="A495" s="170">
        <v>44419</v>
      </c>
      <c r="B495" s="116">
        <v>274</v>
      </c>
      <c r="C495" s="116">
        <v>267.5</v>
      </c>
      <c r="D495" s="116">
        <v>256</v>
      </c>
      <c r="E495" s="116">
        <v>274</v>
      </c>
      <c r="F495" s="116">
        <v>267.5</v>
      </c>
      <c r="G495">
        <v>139853</v>
      </c>
      <c r="H495" s="116"/>
      <c r="I495" s="116"/>
      <c r="L495" s="170">
        <v>44419</v>
      </c>
      <c r="M495" s="116">
        <v>267.85000000000002</v>
      </c>
      <c r="N495" s="116">
        <v>271.64999999999998</v>
      </c>
      <c r="O495" s="116">
        <v>256.25</v>
      </c>
      <c r="P495" s="116">
        <v>269</v>
      </c>
      <c r="Q495" s="116">
        <v>267.85000000000002</v>
      </c>
      <c r="R495">
        <v>1003065</v>
      </c>
    </row>
    <row r="496" spans="1:18" x14ac:dyDescent="0.25">
      <c r="A496" s="170">
        <v>44420</v>
      </c>
      <c r="B496" s="116">
        <v>280</v>
      </c>
      <c r="C496" s="116">
        <v>278.5</v>
      </c>
      <c r="D496" s="116">
        <v>269</v>
      </c>
      <c r="E496" s="116">
        <v>272</v>
      </c>
      <c r="F496" s="116">
        <v>278.5</v>
      </c>
      <c r="G496">
        <v>150512</v>
      </c>
      <c r="H496" s="116"/>
      <c r="I496" s="116"/>
      <c r="L496" s="170">
        <v>44420</v>
      </c>
      <c r="M496" s="116">
        <v>278.2</v>
      </c>
      <c r="N496" s="116">
        <v>280</v>
      </c>
      <c r="O496" s="116">
        <v>269.05</v>
      </c>
      <c r="P496" s="116">
        <v>269.05</v>
      </c>
      <c r="Q496" s="116">
        <v>278.2</v>
      </c>
      <c r="R496">
        <v>1102735</v>
      </c>
    </row>
    <row r="497" spans="1:18" x14ac:dyDescent="0.25">
      <c r="A497" s="170">
        <v>44421</v>
      </c>
      <c r="B497" s="116">
        <v>281.95</v>
      </c>
      <c r="C497" s="116">
        <v>270.75</v>
      </c>
      <c r="D497" s="116">
        <v>269.14999999999998</v>
      </c>
      <c r="E497" s="116">
        <v>281.95</v>
      </c>
      <c r="F497" s="116">
        <v>270.75</v>
      </c>
      <c r="G497">
        <v>153310</v>
      </c>
      <c r="H497" s="116"/>
      <c r="I497" s="116"/>
      <c r="L497" s="170">
        <v>44421</v>
      </c>
      <c r="M497" s="116">
        <v>270.55</v>
      </c>
      <c r="N497" s="116">
        <v>280.10000000000002</v>
      </c>
      <c r="O497" s="116">
        <v>269.05</v>
      </c>
      <c r="P497" s="116">
        <v>279.45</v>
      </c>
      <c r="Q497" s="116">
        <v>270.55</v>
      </c>
      <c r="R497">
        <v>576102</v>
      </c>
    </row>
    <row r="498" spans="1:18" x14ac:dyDescent="0.25">
      <c r="A498" s="170">
        <v>44424</v>
      </c>
      <c r="B498" s="116">
        <v>271.5</v>
      </c>
      <c r="C498" s="116">
        <v>265.64999999999998</v>
      </c>
      <c r="D498" s="116">
        <v>264.10000000000002</v>
      </c>
      <c r="E498" s="116">
        <v>264.75</v>
      </c>
      <c r="F498" s="116">
        <v>265.64999999999998</v>
      </c>
      <c r="G498">
        <v>122201</v>
      </c>
      <c r="H498" s="116"/>
      <c r="I498" s="116"/>
      <c r="L498" s="170">
        <v>44424</v>
      </c>
      <c r="M498" s="116">
        <v>265.35000000000002</v>
      </c>
      <c r="N498" s="116">
        <v>271.7</v>
      </c>
      <c r="O498" s="116">
        <v>264.10000000000002</v>
      </c>
      <c r="P498" s="116">
        <v>265.25</v>
      </c>
      <c r="Q498" s="116">
        <v>265.35000000000002</v>
      </c>
      <c r="R498">
        <v>822119</v>
      </c>
    </row>
    <row r="499" spans="1:18" x14ac:dyDescent="0.25">
      <c r="A499" s="170">
        <v>44425</v>
      </c>
      <c r="B499" s="116">
        <v>275.60000000000002</v>
      </c>
      <c r="C499" s="116">
        <v>263.64999999999998</v>
      </c>
      <c r="D499" s="116">
        <v>261.35000000000002</v>
      </c>
      <c r="E499" s="116">
        <v>266</v>
      </c>
      <c r="F499" s="116">
        <v>263.64999999999998</v>
      </c>
      <c r="G499">
        <v>352940</v>
      </c>
      <c r="H499" s="116"/>
      <c r="I499" s="116"/>
      <c r="L499" s="170">
        <v>44425</v>
      </c>
      <c r="M499" s="116">
        <v>263.5</v>
      </c>
      <c r="N499" s="116">
        <v>275.89999999999998</v>
      </c>
      <c r="O499" s="116">
        <v>261.2</v>
      </c>
      <c r="P499" s="116">
        <v>265.89999999999998</v>
      </c>
      <c r="Q499" s="116">
        <v>263.5</v>
      </c>
      <c r="R499">
        <v>1026577</v>
      </c>
    </row>
    <row r="500" spans="1:18" x14ac:dyDescent="0.25">
      <c r="A500" s="170">
        <v>44426</v>
      </c>
      <c r="B500" s="116">
        <v>282.25</v>
      </c>
      <c r="C500" s="116">
        <v>276.25</v>
      </c>
      <c r="D500" s="116">
        <v>264.3</v>
      </c>
      <c r="E500" s="116">
        <v>266.89999999999998</v>
      </c>
      <c r="F500" s="116">
        <v>276.25</v>
      </c>
      <c r="G500">
        <v>181789</v>
      </c>
      <c r="H500" s="116"/>
      <c r="I500" s="116"/>
      <c r="L500" s="170">
        <v>44426</v>
      </c>
      <c r="M500" s="116">
        <v>276.45</v>
      </c>
      <c r="N500" s="116">
        <v>282.3</v>
      </c>
      <c r="O500" s="116">
        <v>263.60000000000002</v>
      </c>
      <c r="P500" s="116">
        <v>265.60000000000002</v>
      </c>
      <c r="Q500" s="116">
        <v>276.45</v>
      </c>
      <c r="R500">
        <v>1938545</v>
      </c>
    </row>
    <row r="501" spans="1:18" x14ac:dyDescent="0.25">
      <c r="A501" s="170">
        <v>44428</v>
      </c>
      <c r="B501" s="116">
        <v>282.05</v>
      </c>
      <c r="C501" s="116">
        <v>266.75</v>
      </c>
      <c r="D501" s="116">
        <v>264</v>
      </c>
      <c r="E501" s="116">
        <v>273</v>
      </c>
      <c r="F501" s="116">
        <v>266.75</v>
      </c>
      <c r="G501">
        <v>180497</v>
      </c>
      <c r="H501" s="116"/>
      <c r="I501" s="116"/>
      <c r="L501" s="170">
        <v>44428</v>
      </c>
      <c r="M501" s="116">
        <v>266.64999999999998</v>
      </c>
      <c r="N501" s="116">
        <v>282</v>
      </c>
      <c r="O501" s="116">
        <v>264.05</v>
      </c>
      <c r="P501" s="116">
        <v>273.55</v>
      </c>
      <c r="Q501" s="116">
        <v>266.64999999999998</v>
      </c>
      <c r="R501">
        <v>1201193</v>
      </c>
    </row>
    <row r="502" spans="1:18" x14ac:dyDescent="0.25">
      <c r="A502" s="170">
        <v>44431</v>
      </c>
      <c r="B502" s="116">
        <v>271.05</v>
      </c>
      <c r="C502" s="116">
        <v>259.95</v>
      </c>
      <c r="D502" s="116">
        <v>248.35</v>
      </c>
      <c r="E502" s="116">
        <v>270.3</v>
      </c>
      <c r="F502" s="116">
        <v>259.95</v>
      </c>
      <c r="G502">
        <v>164300</v>
      </c>
      <c r="H502" s="116"/>
      <c r="I502" s="116"/>
      <c r="L502" s="170">
        <v>44431</v>
      </c>
      <c r="M502" s="116">
        <v>259.75</v>
      </c>
      <c r="N502" s="116">
        <v>271.45</v>
      </c>
      <c r="O502" s="116">
        <v>248.5</v>
      </c>
      <c r="P502" s="116">
        <v>270.5</v>
      </c>
      <c r="Q502" s="116">
        <v>259.75</v>
      </c>
      <c r="R502">
        <v>990271</v>
      </c>
    </row>
    <row r="503" spans="1:18" x14ac:dyDescent="0.25">
      <c r="A503" s="170">
        <v>44432</v>
      </c>
      <c r="B503" s="116">
        <v>276.89999999999998</v>
      </c>
      <c r="C503" s="116">
        <v>275.95</v>
      </c>
      <c r="D503" s="116">
        <v>256.10000000000002</v>
      </c>
      <c r="E503" s="116">
        <v>256.10000000000002</v>
      </c>
      <c r="F503" s="116">
        <v>275.95</v>
      </c>
      <c r="G503">
        <v>136257</v>
      </c>
      <c r="H503" s="116"/>
      <c r="I503" s="116"/>
      <c r="L503" s="170">
        <v>44432</v>
      </c>
      <c r="M503" s="116">
        <v>275.85000000000002</v>
      </c>
      <c r="N503" s="116">
        <v>277.8</v>
      </c>
      <c r="O503" s="116">
        <v>258.05</v>
      </c>
      <c r="P503" s="116">
        <v>260.3</v>
      </c>
      <c r="Q503" s="116">
        <v>275.85000000000002</v>
      </c>
      <c r="R503">
        <v>985835</v>
      </c>
    </row>
    <row r="504" spans="1:18" x14ac:dyDescent="0.25">
      <c r="A504" s="170">
        <v>44433</v>
      </c>
      <c r="B504" s="116">
        <v>290.85000000000002</v>
      </c>
      <c r="C504" s="116">
        <v>284.10000000000002</v>
      </c>
      <c r="D504" s="116">
        <v>273.05</v>
      </c>
      <c r="E504" s="116">
        <v>275</v>
      </c>
      <c r="F504" s="116">
        <v>284.10000000000002</v>
      </c>
      <c r="G504">
        <v>237032</v>
      </c>
      <c r="H504" s="116"/>
      <c r="I504" s="116"/>
      <c r="L504" s="170">
        <v>44433</v>
      </c>
      <c r="M504" s="116">
        <v>284.05</v>
      </c>
      <c r="N504" s="116">
        <v>291.25</v>
      </c>
      <c r="O504" s="116">
        <v>272.75</v>
      </c>
      <c r="P504" s="116">
        <v>274.60000000000002</v>
      </c>
      <c r="Q504" s="116">
        <v>284.05</v>
      </c>
      <c r="R504">
        <v>1990173</v>
      </c>
    </row>
    <row r="505" spans="1:18" x14ac:dyDescent="0.25">
      <c r="A505" s="170">
        <v>44434</v>
      </c>
      <c r="B505" s="116">
        <v>314.8</v>
      </c>
      <c r="C505" s="116">
        <v>311.2</v>
      </c>
      <c r="D505" s="116">
        <v>279</v>
      </c>
      <c r="E505" s="116">
        <v>282</v>
      </c>
      <c r="F505" s="116">
        <v>311.2</v>
      </c>
      <c r="G505">
        <v>692002</v>
      </c>
      <c r="H505" s="116"/>
      <c r="I505" s="116"/>
      <c r="L505" s="170">
        <v>44434</v>
      </c>
      <c r="M505" s="116">
        <v>311.45</v>
      </c>
      <c r="N505" s="116">
        <v>314.89999999999998</v>
      </c>
      <c r="O505" s="116">
        <v>282.35000000000002</v>
      </c>
      <c r="P505" s="116">
        <v>285</v>
      </c>
      <c r="Q505" s="116">
        <v>311.45</v>
      </c>
      <c r="R505">
        <v>6918286</v>
      </c>
    </row>
    <row r="506" spans="1:18" x14ac:dyDescent="0.25">
      <c r="A506" s="170">
        <v>44435</v>
      </c>
      <c r="B506" s="116">
        <v>318.75</v>
      </c>
      <c r="C506" s="116">
        <v>314.75</v>
      </c>
      <c r="D506" s="116">
        <v>303.39999999999998</v>
      </c>
      <c r="E506" s="116">
        <v>311</v>
      </c>
      <c r="F506" s="116">
        <v>314.75</v>
      </c>
      <c r="G506">
        <v>312330</v>
      </c>
      <c r="H506" s="116"/>
      <c r="I506" s="116"/>
      <c r="L506" s="170">
        <v>44435</v>
      </c>
      <c r="M506" s="116">
        <v>314.89999999999998</v>
      </c>
      <c r="N506" s="116">
        <v>318.8</v>
      </c>
      <c r="O506" s="116">
        <v>303.2</v>
      </c>
      <c r="P506" s="116">
        <v>311.89999999999998</v>
      </c>
      <c r="Q506" s="116">
        <v>314.89999999999998</v>
      </c>
      <c r="R506">
        <v>3365185</v>
      </c>
    </row>
    <row r="507" spans="1:18" x14ac:dyDescent="0.25">
      <c r="A507" s="170">
        <v>44438</v>
      </c>
      <c r="B507" s="116">
        <v>324.05</v>
      </c>
      <c r="C507" s="116">
        <v>321.8</v>
      </c>
      <c r="D507" s="116">
        <v>306.7</v>
      </c>
      <c r="E507" s="116">
        <v>315.60000000000002</v>
      </c>
      <c r="F507" s="116">
        <v>321.8</v>
      </c>
      <c r="G507">
        <v>291668</v>
      </c>
      <c r="H507" s="116"/>
      <c r="I507" s="116"/>
      <c r="L507" s="170">
        <v>44438</v>
      </c>
      <c r="M507" s="116">
        <v>321.60000000000002</v>
      </c>
      <c r="N507" s="116">
        <v>324.39999999999998</v>
      </c>
      <c r="O507" s="116">
        <v>306.35000000000002</v>
      </c>
      <c r="P507" s="116">
        <v>314.5</v>
      </c>
      <c r="Q507" s="116">
        <v>321.60000000000002</v>
      </c>
      <c r="R507">
        <v>2375338</v>
      </c>
    </row>
    <row r="508" spans="1:18" x14ac:dyDescent="0.25">
      <c r="A508" s="170">
        <v>44439</v>
      </c>
      <c r="B508" s="116">
        <v>320.7</v>
      </c>
      <c r="C508" s="116">
        <v>312.05</v>
      </c>
      <c r="D508" s="116">
        <v>308</v>
      </c>
      <c r="E508" s="116">
        <v>319.60000000000002</v>
      </c>
      <c r="F508" s="116">
        <v>312.05</v>
      </c>
      <c r="G508">
        <v>136547</v>
      </c>
      <c r="H508" s="116"/>
      <c r="I508" s="116"/>
      <c r="L508" s="170">
        <v>44439</v>
      </c>
      <c r="M508" s="116">
        <v>311.75</v>
      </c>
      <c r="N508" s="116">
        <v>321.5</v>
      </c>
      <c r="O508" s="116">
        <v>307.75</v>
      </c>
      <c r="P508" s="116">
        <v>321.5</v>
      </c>
      <c r="Q508" s="116">
        <v>311.75</v>
      </c>
      <c r="R508">
        <v>1191032</v>
      </c>
    </row>
    <row r="509" spans="1:18" x14ac:dyDescent="0.25">
      <c r="A509" s="170">
        <v>44440</v>
      </c>
      <c r="B509" s="116">
        <v>323.8</v>
      </c>
      <c r="C509" s="116">
        <v>314.75</v>
      </c>
      <c r="D509" s="116">
        <v>308.35000000000002</v>
      </c>
      <c r="E509" s="116">
        <v>313</v>
      </c>
      <c r="F509" s="116">
        <v>314.75</v>
      </c>
      <c r="G509">
        <v>236230</v>
      </c>
      <c r="H509" s="116"/>
      <c r="I509" s="116"/>
      <c r="L509" s="170">
        <v>44440</v>
      </c>
      <c r="M509" s="116">
        <v>314.60000000000002</v>
      </c>
      <c r="N509" s="116">
        <v>323.8</v>
      </c>
      <c r="O509" s="116">
        <v>308.05</v>
      </c>
      <c r="P509" s="116">
        <v>314.85000000000002</v>
      </c>
      <c r="Q509" s="116">
        <v>314.60000000000002</v>
      </c>
      <c r="R509">
        <v>1746477</v>
      </c>
    </row>
    <row r="510" spans="1:18" x14ac:dyDescent="0.25">
      <c r="A510" s="170">
        <v>44441</v>
      </c>
      <c r="B510" s="116">
        <v>346.85</v>
      </c>
      <c r="C510" s="116">
        <v>331.45</v>
      </c>
      <c r="D510" s="116">
        <v>314.89999999999998</v>
      </c>
      <c r="E510" s="116">
        <v>315.25</v>
      </c>
      <c r="F510" s="116">
        <v>331.45</v>
      </c>
      <c r="G510">
        <v>557476</v>
      </c>
      <c r="H510" s="116"/>
      <c r="I510" s="116"/>
      <c r="L510" s="170">
        <v>44441</v>
      </c>
      <c r="M510" s="116">
        <v>331.55</v>
      </c>
      <c r="N510" s="116">
        <v>346.9</v>
      </c>
      <c r="O510" s="116">
        <v>314.85000000000002</v>
      </c>
      <c r="P510" s="116">
        <v>317.39999999999998</v>
      </c>
      <c r="Q510" s="116">
        <v>331.55</v>
      </c>
      <c r="R510">
        <v>5001734</v>
      </c>
    </row>
    <row r="511" spans="1:18" x14ac:dyDescent="0.25">
      <c r="A511" s="170">
        <v>44442</v>
      </c>
      <c r="B511" s="116">
        <v>335.05</v>
      </c>
      <c r="C511" s="116">
        <v>324.64999999999998</v>
      </c>
      <c r="D511" s="116">
        <v>318.60000000000002</v>
      </c>
      <c r="E511" s="116">
        <v>333</v>
      </c>
      <c r="F511" s="116">
        <v>324.64999999999998</v>
      </c>
      <c r="G511">
        <v>163450</v>
      </c>
      <c r="H511" s="116"/>
      <c r="I511" s="116"/>
      <c r="L511" s="170">
        <v>44442</v>
      </c>
      <c r="M511" s="116">
        <v>325.14999999999998</v>
      </c>
      <c r="N511" s="116">
        <v>335.1</v>
      </c>
      <c r="O511" s="116">
        <v>318.45</v>
      </c>
      <c r="P511" s="116">
        <v>332</v>
      </c>
      <c r="Q511" s="116">
        <v>325.14999999999998</v>
      </c>
      <c r="R511">
        <v>1632904</v>
      </c>
    </row>
    <row r="512" spans="1:18" x14ac:dyDescent="0.25">
      <c r="A512" s="170">
        <v>44445</v>
      </c>
      <c r="B512" s="116">
        <v>330.4</v>
      </c>
      <c r="C512" s="116">
        <v>326.89999999999998</v>
      </c>
      <c r="D512" s="116">
        <v>319.39999999999998</v>
      </c>
      <c r="E512" s="116">
        <v>327.5</v>
      </c>
      <c r="F512" s="116">
        <v>326.89999999999998</v>
      </c>
      <c r="G512">
        <v>169785</v>
      </c>
      <c r="H512" s="116"/>
      <c r="I512" s="116"/>
      <c r="L512" s="170">
        <v>44445</v>
      </c>
      <c r="M512" s="116">
        <v>326.55</v>
      </c>
      <c r="N512" s="116">
        <v>330.65</v>
      </c>
      <c r="O512" s="116">
        <v>319.14999999999998</v>
      </c>
      <c r="P512" s="116">
        <v>326.7</v>
      </c>
      <c r="Q512" s="116">
        <v>326.55</v>
      </c>
      <c r="R512">
        <v>1377180</v>
      </c>
    </row>
    <row r="513" spans="1:18" x14ac:dyDescent="0.25">
      <c r="A513" s="170">
        <v>44446</v>
      </c>
      <c r="B513" s="116">
        <v>366.95</v>
      </c>
      <c r="C513" s="116">
        <v>348.05</v>
      </c>
      <c r="D513" s="116">
        <v>316.60000000000002</v>
      </c>
      <c r="E513" s="116">
        <v>328.5</v>
      </c>
      <c r="F513" s="116">
        <v>348.05</v>
      </c>
      <c r="G513">
        <v>667595</v>
      </c>
      <c r="H513" s="116"/>
      <c r="I513" s="116"/>
      <c r="L513" s="170">
        <v>44446</v>
      </c>
      <c r="M513" s="116">
        <v>348.25</v>
      </c>
      <c r="N513" s="116">
        <v>366.95</v>
      </c>
      <c r="O513" s="116">
        <v>316.60000000000002</v>
      </c>
      <c r="P513" s="116">
        <v>327.9</v>
      </c>
      <c r="Q513" s="116">
        <v>348.25</v>
      </c>
      <c r="R513">
        <v>9324312</v>
      </c>
    </row>
    <row r="514" spans="1:18" x14ac:dyDescent="0.25">
      <c r="A514" s="170">
        <v>44447</v>
      </c>
      <c r="B514" s="116">
        <v>364.3</v>
      </c>
      <c r="C514" s="116">
        <v>349</v>
      </c>
      <c r="D514" s="116">
        <v>342</v>
      </c>
      <c r="E514" s="116">
        <v>355</v>
      </c>
      <c r="F514" s="116">
        <v>349</v>
      </c>
      <c r="G514">
        <v>304389</v>
      </c>
      <c r="H514" s="116"/>
      <c r="I514" s="116"/>
      <c r="L514" s="170">
        <v>44447</v>
      </c>
      <c r="M514" s="116">
        <v>348.65</v>
      </c>
      <c r="N514" s="116">
        <v>364.4</v>
      </c>
      <c r="O514" s="116">
        <v>341.6</v>
      </c>
      <c r="P514" s="116">
        <v>355.7</v>
      </c>
      <c r="Q514" s="116">
        <v>348.65</v>
      </c>
      <c r="R514">
        <v>4322819</v>
      </c>
    </row>
    <row r="515" spans="1:18" x14ac:dyDescent="0.25">
      <c r="A515" s="170">
        <v>44448</v>
      </c>
      <c r="B515" s="116">
        <v>357.25</v>
      </c>
      <c r="C515" s="116">
        <v>350.45</v>
      </c>
      <c r="D515" s="116">
        <v>343.55</v>
      </c>
      <c r="E515" s="116">
        <v>343.55</v>
      </c>
      <c r="F515" s="116">
        <v>350.45</v>
      </c>
      <c r="G515">
        <v>185708</v>
      </c>
      <c r="H515" s="116"/>
      <c r="I515" s="116"/>
      <c r="L515" s="170">
        <v>44448</v>
      </c>
      <c r="M515" s="116">
        <v>350.3</v>
      </c>
      <c r="N515" s="116">
        <v>357.6</v>
      </c>
      <c r="O515" s="116">
        <v>344.6</v>
      </c>
      <c r="P515" s="116">
        <v>345.1</v>
      </c>
      <c r="Q515" s="116">
        <v>350.3</v>
      </c>
      <c r="R515">
        <v>1547586</v>
      </c>
    </row>
    <row r="516" spans="1:18" x14ac:dyDescent="0.25">
      <c r="A516" s="170">
        <v>44452</v>
      </c>
      <c r="B516" s="116">
        <v>383.6</v>
      </c>
      <c r="C516" s="116">
        <v>359.35</v>
      </c>
      <c r="D516" s="116">
        <v>351</v>
      </c>
      <c r="E516" s="116">
        <v>351.3</v>
      </c>
      <c r="F516" s="116">
        <v>359.35</v>
      </c>
      <c r="G516">
        <v>611100</v>
      </c>
      <c r="H516" s="116"/>
      <c r="I516" s="116"/>
      <c r="L516" s="170">
        <v>44452</v>
      </c>
      <c r="M516" s="116">
        <v>358.95</v>
      </c>
      <c r="N516" s="116">
        <v>383.8</v>
      </c>
      <c r="O516" s="116">
        <v>350.75</v>
      </c>
      <c r="P516" s="116">
        <v>352.8</v>
      </c>
      <c r="Q516" s="116">
        <v>358.95</v>
      </c>
      <c r="R516">
        <v>6563314</v>
      </c>
    </row>
    <row r="517" spans="1:18" x14ac:dyDescent="0.25">
      <c r="A517" s="170">
        <v>44453</v>
      </c>
      <c r="B517" s="116">
        <v>368.9</v>
      </c>
      <c r="C517" s="116">
        <v>361.3</v>
      </c>
      <c r="D517" s="116">
        <v>353.5</v>
      </c>
      <c r="E517" s="116">
        <v>361.05</v>
      </c>
      <c r="F517" s="116">
        <v>361.3</v>
      </c>
      <c r="G517">
        <v>242162</v>
      </c>
      <c r="H517" s="116"/>
      <c r="I517" s="116"/>
      <c r="L517" s="170">
        <v>44453</v>
      </c>
      <c r="M517" s="116">
        <v>361.3</v>
      </c>
      <c r="N517" s="116">
        <v>369</v>
      </c>
      <c r="O517" s="116">
        <v>353.55</v>
      </c>
      <c r="P517" s="116">
        <v>360</v>
      </c>
      <c r="Q517" s="116">
        <v>361.3</v>
      </c>
      <c r="R517">
        <v>1876940</v>
      </c>
    </row>
    <row r="518" spans="1:18" x14ac:dyDescent="0.25">
      <c r="A518" s="170">
        <v>44454</v>
      </c>
      <c r="B518" s="116">
        <v>368.35</v>
      </c>
      <c r="C518" s="116">
        <v>360.5</v>
      </c>
      <c r="D518" s="116">
        <v>356.5</v>
      </c>
      <c r="E518" s="116">
        <v>363.5</v>
      </c>
      <c r="F518" s="116">
        <v>360.5</v>
      </c>
      <c r="G518">
        <v>135359</v>
      </c>
      <c r="H518" s="116"/>
      <c r="I518" s="116"/>
      <c r="L518" s="170">
        <v>44454</v>
      </c>
      <c r="M518" s="116">
        <v>360.75</v>
      </c>
      <c r="N518" s="116">
        <v>368.5</v>
      </c>
      <c r="O518" s="116">
        <v>356.2</v>
      </c>
      <c r="P518" s="116">
        <v>363.95</v>
      </c>
      <c r="Q518" s="116">
        <v>360.75</v>
      </c>
      <c r="R518">
        <v>1032920</v>
      </c>
    </row>
    <row r="519" spans="1:18" x14ac:dyDescent="0.25">
      <c r="A519" s="170">
        <v>44455</v>
      </c>
      <c r="B519" s="116">
        <v>366.8</v>
      </c>
      <c r="C519" s="116">
        <v>351.3</v>
      </c>
      <c r="D519" s="116">
        <v>350.25</v>
      </c>
      <c r="E519" s="116">
        <v>364.9</v>
      </c>
      <c r="F519" s="116">
        <v>351.3</v>
      </c>
      <c r="G519">
        <v>103129</v>
      </c>
      <c r="H519" s="116"/>
      <c r="I519" s="116"/>
      <c r="L519" s="170">
        <v>44455</v>
      </c>
      <c r="M519" s="116">
        <v>351.45</v>
      </c>
      <c r="N519" s="116">
        <v>366.7</v>
      </c>
      <c r="O519" s="116">
        <v>350.15</v>
      </c>
      <c r="P519" s="116">
        <v>363</v>
      </c>
      <c r="Q519" s="116">
        <v>351.45</v>
      </c>
      <c r="R519">
        <v>1170640</v>
      </c>
    </row>
    <row r="520" spans="1:18" x14ac:dyDescent="0.25">
      <c r="A520" s="170">
        <v>44456</v>
      </c>
      <c r="B520" s="116">
        <v>369.25</v>
      </c>
      <c r="C520" s="116">
        <v>362.95</v>
      </c>
      <c r="D520" s="116">
        <v>347.15</v>
      </c>
      <c r="E520" s="116">
        <v>354.05</v>
      </c>
      <c r="F520" s="116">
        <v>362.95</v>
      </c>
      <c r="G520">
        <v>244216</v>
      </c>
      <c r="H520" s="116"/>
      <c r="I520" s="116"/>
      <c r="L520" s="170">
        <v>44456</v>
      </c>
      <c r="M520" s="116">
        <v>363.55</v>
      </c>
      <c r="N520" s="116">
        <v>369.5</v>
      </c>
      <c r="O520" s="116">
        <v>345.5</v>
      </c>
      <c r="P520" s="116">
        <v>353.9</v>
      </c>
      <c r="Q520" s="116">
        <v>363.55</v>
      </c>
      <c r="R520">
        <v>3515034</v>
      </c>
    </row>
    <row r="521" spans="1:18" x14ac:dyDescent="0.25">
      <c r="A521" s="170">
        <v>44459</v>
      </c>
      <c r="B521" s="116">
        <v>374.8</v>
      </c>
      <c r="C521" s="116">
        <v>356.65</v>
      </c>
      <c r="D521" s="116">
        <v>353.15</v>
      </c>
      <c r="E521" s="116">
        <v>363</v>
      </c>
      <c r="F521" s="116">
        <v>356.65</v>
      </c>
      <c r="G521">
        <v>146360</v>
      </c>
      <c r="H521" s="116"/>
      <c r="I521" s="116"/>
      <c r="L521" s="170">
        <v>44459</v>
      </c>
      <c r="M521" s="116">
        <v>356.5</v>
      </c>
      <c r="N521" s="116">
        <v>375.4</v>
      </c>
      <c r="O521" s="116">
        <v>352.25</v>
      </c>
      <c r="P521" s="116">
        <v>367</v>
      </c>
      <c r="Q521" s="116">
        <v>356.5</v>
      </c>
      <c r="R521">
        <v>2278713</v>
      </c>
    </row>
    <row r="522" spans="1:18" x14ac:dyDescent="0.25">
      <c r="A522" s="170">
        <v>44460</v>
      </c>
      <c r="B522" s="116">
        <v>364.95</v>
      </c>
      <c r="C522" s="116">
        <v>362.75</v>
      </c>
      <c r="D522" s="116">
        <v>352.1</v>
      </c>
      <c r="E522" s="116">
        <v>361</v>
      </c>
      <c r="F522" s="116">
        <v>362.75</v>
      </c>
      <c r="G522">
        <v>148736</v>
      </c>
      <c r="H522" s="116"/>
      <c r="I522" s="116"/>
      <c r="L522" s="170">
        <v>44460</v>
      </c>
      <c r="M522" s="116">
        <v>362.7</v>
      </c>
      <c r="N522" s="116">
        <v>365.1</v>
      </c>
      <c r="O522" s="116">
        <v>352.55</v>
      </c>
      <c r="P522" s="116">
        <v>359.55</v>
      </c>
      <c r="Q522" s="116">
        <v>362.7</v>
      </c>
      <c r="R522">
        <v>1155019</v>
      </c>
    </row>
    <row r="523" spans="1:18" x14ac:dyDescent="0.25">
      <c r="A523" s="170">
        <v>44461</v>
      </c>
      <c r="B523" s="116">
        <v>374.95</v>
      </c>
      <c r="C523" s="116">
        <v>370.8</v>
      </c>
      <c r="D523" s="116">
        <v>361.4</v>
      </c>
      <c r="E523" s="116">
        <v>363</v>
      </c>
      <c r="F523" s="116">
        <v>370.8</v>
      </c>
      <c r="G523">
        <v>188532</v>
      </c>
      <c r="H523" s="116"/>
      <c r="I523" s="116"/>
      <c r="L523" s="170">
        <v>44461</v>
      </c>
      <c r="M523" s="116">
        <v>370.55</v>
      </c>
      <c r="N523" s="116">
        <v>375</v>
      </c>
      <c r="O523" s="116">
        <v>361.05</v>
      </c>
      <c r="P523" s="116">
        <v>364.05</v>
      </c>
      <c r="Q523" s="116">
        <v>370.55</v>
      </c>
      <c r="R523">
        <v>1848145</v>
      </c>
    </row>
    <row r="524" spans="1:18" x14ac:dyDescent="0.25">
      <c r="A524" s="170">
        <v>44462</v>
      </c>
      <c r="B524" s="116">
        <v>376.75</v>
      </c>
      <c r="C524" s="116">
        <v>367.65</v>
      </c>
      <c r="D524" s="116">
        <v>365.25</v>
      </c>
      <c r="E524" s="116">
        <v>375</v>
      </c>
      <c r="F524" s="116">
        <v>367.65</v>
      </c>
      <c r="G524">
        <v>164268</v>
      </c>
      <c r="H524" s="116"/>
      <c r="I524" s="116"/>
      <c r="L524" s="170">
        <v>44462</v>
      </c>
      <c r="M524" s="116">
        <v>368.1</v>
      </c>
      <c r="N524" s="116">
        <v>376.7</v>
      </c>
      <c r="O524" s="116">
        <v>365.1</v>
      </c>
      <c r="P524" s="116">
        <v>374</v>
      </c>
      <c r="Q524" s="116">
        <v>368.1</v>
      </c>
      <c r="R524">
        <v>1229857</v>
      </c>
    </row>
    <row r="525" spans="1:18" x14ac:dyDescent="0.25">
      <c r="A525" s="170">
        <v>44463</v>
      </c>
      <c r="B525" s="116">
        <v>371.35</v>
      </c>
      <c r="C525" s="116">
        <v>354.95</v>
      </c>
      <c r="D525" s="116">
        <v>353.3</v>
      </c>
      <c r="E525" s="116">
        <v>369</v>
      </c>
      <c r="F525" s="116">
        <v>354.95</v>
      </c>
      <c r="G525">
        <v>90178</v>
      </c>
      <c r="H525" s="116"/>
      <c r="I525" s="116"/>
      <c r="L525" s="170">
        <v>44463</v>
      </c>
      <c r="M525" s="116">
        <v>355.25</v>
      </c>
      <c r="N525" s="116">
        <v>371.7</v>
      </c>
      <c r="O525" s="116">
        <v>353.55</v>
      </c>
      <c r="P525" s="116">
        <v>368.05</v>
      </c>
      <c r="Q525" s="116">
        <v>355.25</v>
      </c>
      <c r="R525">
        <v>1134395</v>
      </c>
    </row>
    <row r="526" spans="1:18" x14ac:dyDescent="0.25">
      <c r="A526" s="170">
        <v>44466</v>
      </c>
      <c r="B526" s="116">
        <v>397</v>
      </c>
      <c r="C526" s="116">
        <v>387.2</v>
      </c>
      <c r="D526" s="116">
        <v>356.45</v>
      </c>
      <c r="E526" s="116">
        <v>359</v>
      </c>
      <c r="F526" s="116">
        <v>387.2</v>
      </c>
      <c r="G526">
        <v>317277</v>
      </c>
      <c r="H526" s="116"/>
      <c r="I526" s="116"/>
      <c r="L526" s="170">
        <v>44466</v>
      </c>
      <c r="M526" s="116">
        <v>387.35</v>
      </c>
      <c r="N526" s="116">
        <v>397.15</v>
      </c>
      <c r="O526" s="116">
        <v>356.05</v>
      </c>
      <c r="P526" s="116">
        <v>357.95</v>
      </c>
      <c r="Q526" s="116">
        <v>387.35</v>
      </c>
      <c r="R526">
        <v>6576508</v>
      </c>
    </row>
    <row r="527" spans="1:18" x14ac:dyDescent="0.25">
      <c r="A527" s="170">
        <v>44467</v>
      </c>
      <c r="B527" s="116">
        <v>397.8</v>
      </c>
      <c r="C527" s="116">
        <v>387.7</v>
      </c>
      <c r="D527" s="116">
        <v>382.1</v>
      </c>
      <c r="E527" s="116">
        <v>389.85</v>
      </c>
      <c r="F527" s="116">
        <v>387.7</v>
      </c>
      <c r="G527">
        <v>159970</v>
      </c>
      <c r="H527" s="116"/>
      <c r="I527" s="116"/>
      <c r="L527" s="170">
        <v>44467</v>
      </c>
      <c r="M527" s="116">
        <v>387.4</v>
      </c>
      <c r="N527" s="116">
        <v>397.8</v>
      </c>
      <c r="O527" s="116">
        <v>382</v>
      </c>
      <c r="P527" s="116">
        <v>389.5</v>
      </c>
      <c r="Q527" s="116">
        <v>387.4</v>
      </c>
      <c r="R527">
        <v>2833045</v>
      </c>
    </row>
    <row r="528" spans="1:18" x14ac:dyDescent="0.25">
      <c r="A528" s="170">
        <v>44468</v>
      </c>
      <c r="B528" s="116">
        <v>426.35</v>
      </c>
      <c r="C528" s="116">
        <v>414.75</v>
      </c>
      <c r="D528" s="116">
        <v>381.5</v>
      </c>
      <c r="E528" s="116">
        <v>385.4</v>
      </c>
      <c r="F528" s="116">
        <v>414.75</v>
      </c>
      <c r="G528">
        <v>703069</v>
      </c>
      <c r="H528" s="116"/>
      <c r="I528" s="116"/>
      <c r="L528" s="170">
        <v>44468</v>
      </c>
      <c r="M528" s="116">
        <v>414.35</v>
      </c>
      <c r="N528" s="116">
        <v>426.3</v>
      </c>
      <c r="O528" s="116">
        <v>381.05</v>
      </c>
      <c r="P528" s="116">
        <v>384</v>
      </c>
      <c r="Q528" s="116">
        <v>414.35</v>
      </c>
      <c r="R528">
        <v>8123628</v>
      </c>
    </row>
    <row r="529" spans="1:18" x14ac:dyDescent="0.25">
      <c r="A529" s="170">
        <v>44469</v>
      </c>
      <c r="B529" s="116">
        <v>427.5</v>
      </c>
      <c r="C529" s="116">
        <v>399.4</v>
      </c>
      <c r="D529" s="116">
        <v>394.3</v>
      </c>
      <c r="E529" s="116">
        <v>425</v>
      </c>
      <c r="F529" s="116">
        <v>399.4</v>
      </c>
      <c r="G529">
        <v>486867</v>
      </c>
      <c r="H529" s="116"/>
      <c r="I529" s="116"/>
      <c r="L529" s="170">
        <v>44469</v>
      </c>
      <c r="M529" s="116">
        <v>400</v>
      </c>
      <c r="N529" s="116">
        <v>426.95</v>
      </c>
      <c r="O529" s="116">
        <v>394.05</v>
      </c>
      <c r="P529" s="116">
        <v>424.8</v>
      </c>
      <c r="Q529" s="116">
        <v>400</v>
      </c>
      <c r="R529">
        <v>6845675</v>
      </c>
    </row>
    <row r="530" spans="1:18" x14ac:dyDescent="0.25">
      <c r="A530" s="170">
        <v>44470</v>
      </c>
      <c r="B530" s="116">
        <v>442.5</v>
      </c>
      <c r="C530" s="116">
        <v>404.4</v>
      </c>
      <c r="D530" s="116">
        <v>396</v>
      </c>
      <c r="E530" s="116">
        <v>398</v>
      </c>
      <c r="F530" s="116">
        <v>404.4</v>
      </c>
      <c r="G530">
        <v>748925</v>
      </c>
      <c r="H530" s="116"/>
      <c r="I530" s="116"/>
      <c r="L530" s="170">
        <v>44470</v>
      </c>
      <c r="M530" s="116">
        <v>403.95</v>
      </c>
      <c r="N530" s="116">
        <v>442.3</v>
      </c>
      <c r="O530" s="116">
        <v>395.75</v>
      </c>
      <c r="P530" s="116">
        <v>397.1</v>
      </c>
      <c r="Q530" s="116">
        <v>403.95</v>
      </c>
      <c r="R530">
        <v>11964577</v>
      </c>
    </row>
    <row r="531" spans="1:18" x14ac:dyDescent="0.25">
      <c r="A531" s="170">
        <v>44473</v>
      </c>
      <c r="B531" s="116">
        <v>410</v>
      </c>
      <c r="C531" s="116">
        <v>402.55</v>
      </c>
      <c r="D531" s="116">
        <v>397.95</v>
      </c>
      <c r="E531" s="116">
        <v>408.95</v>
      </c>
      <c r="F531" s="116">
        <v>402.55</v>
      </c>
      <c r="G531">
        <v>287347</v>
      </c>
      <c r="H531" s="116"/>
      <c r="I531" s="116"/>
      <c r="L531" s="170">
        <v>44473</v>
      </c>
      <c r="M531" s="116">
        <v>402.95</v>
      </c>
      <c r="N531" s="116">
        <v>409.7</v>
      </c>
      <c r="O531" s="116">
        <v>397.3</v>
      </c>
      <c r="P531" s="116">
        <v>408</v>
      </c>
      <c r="Q531" s="116">
        <v>402.95</v>
      </c>
      <c r="R531">
        <v>2138893</v>
      </c>
    </row>
    <row r="532" spans="1:18" x14ac:dyDescent="0.25">
      <c r="A532" s="170">
        <v>44474</v>
      </c>
      <c r="B532" s="116">
        <v>416.4</v>
      </c>
      <c r="C532" s="116">
        <v>411.05</v>
      </c>
      <c r="D532" s="116">
        <v>400.1</v>
      </c>
      <c r="E532" s="116">
        <v>406.9</v>
      </c>
      <c r="F532" s="116">
        <v>411.05</v>
      </c>
      <c r="G532">
        <v>152272</v>
      </c>
      <c r="H532" s="116"/>
      <c r="I532" s="116"/>
      <c r="L532" s="170">
        <v>44474</v>
      </c>
      <c r="M532" s="116">
        <v>411.25</v>
      </c>
      <c r="N532" s="116">
        <v>416.55</v>
      </c>
      <c r="O532" s="116">
        <v>400</v>
      </c>
      <c r="P532" s="116">
        <v>404.8</v>
      </c>
      <c r="Q532" s="116">
        <v>411.25</v>
      </c>
      <c r="R532">
        <v>2193878</v>
      </c>
    </row>
    <row r="533" spans="1:18" x14ac:dyDescent="0.25">
      <c r="A533" s="170">
        <v>44475</v>
      </c>
      <c r="B533" s="116">
        <v>415.75</v>
      </c>
      <c r="C533" s="116">
        <v>390.8</v>
      </c>
      <c r="D533" s="116">
        <v>388.05</v>
      </c>
      <c r="E533" s="116">
        <v>415.75</v>
      </c>
      <c r="F533" s="116">
        <v>390.8</v>
      </c>
      <c r="G533">
        <v>152267</v>
      </c>
      <c r="H533" s="116"/>
      <c r="I533" s="116"/>
      <c r="L533" s="170">
        <v>44475</v>
      </c>
      <c r="M533" s="116">
        <v>391.15</v>
      </c>
      <c r="N533" s="116">
        <v>413.85</v>
      </c>
      <c r="O533" s="116">
        <v>387.9</v>
      </c>
      <c r="P533" s="116">
        <v>413.85</v>
      </c>
      <c r="Q533" s="116">
        <v>391.15</v>
      </c>
      <c r="R533">
        <v>1788525</v>
      </c>
    </row>
    <row r="534" spans="1:18" x14ac:dyDescent="0.25">
      <c r="A534" s="170">
        <v>44476</v>
      </c>
      <c r="B534" s="116">
        <v>419.7</v>
      </c>
      <c r="C534" s="116">
        <v>405.1</v>
      </c>
      <c r="D534" s="116">
        <v>398</v>
      </c>
      <c r="E534" s="116">
        <v>398</v>
      </c>
      <c r="F534" s="116">
        <v>405.1</v>
      </c>
      <c r="G534">
        <v>182178</v>
      </c>
      <c r="H534" s="116"/>
      <c r="I534" s="116"/>
      <c r="L534" s="170">
        <v>44476</v>
      </c>
      <c r="M534" s="116">
        <v>404.85</v>
      </c>
      <c r="N534" s="116">
        <v>419.9</v>
      </c>
      <c r="O534" s="116">
        <v>397.45</v>
      </c>
      <c r="P534" s="116">
        <v>399</v>
      </c>
      <c r="Q534" s="116">
        <v>404.85</v>
      </c>
      <c r="R534">
        <v>2972838</v>
      </c>
    </row>
    <row r="535" spans="1:18" x14ac:dyDescent="0.25">
      <c r="A535" s="170">
        <v>44477</v>
      </c>
      <c r="B535" s="116">
        <v>444</v>
      </c>
      <c r="C535" s="116">
        <v>434.8</v>
      </c>
      <c r="D535" s="116">
        <v>405.75</v>
      </c>
      <c r="E535" s="116">
        <v>408.5</v>
      </c>
      <c r="F535" s="116">
        <v>434.8</v>
      </c>
      <c r="G535">
        <v>522414</v>
      </c>
      <c r="H535" s="116"/>
      <c r="I535" s="116"/>
      <c r="L535" s="170">
        <v>44477</v>
      </c>
      <c r="M535" s="116">
        <v>435.05</v>
      </c>
      <c r="N535" s="116">
        <v>444.25</v>
      </c>
      <c r="O535" s="116">
        <v>405.2</v>
      </c>
      <c r="P535" s="116">
        <v>408</v>
      </c>
      <c r="Q535" s="116">
        <v>435.05</v>
      </c>
      <c r="R535">
        <v>5678632</v>
      </c>
    </row>
    <row r="536" spans="1:18" x14ac:dyDescent="0.25">
      <c r="A536" s="170">
        <v>44480</v>
      </c>
      <c r="B536" s="116">
        <v>509</v>
      </c>
      <c r="C536" s="116">
        <v>459.65</v>
      </c>
      <c r="D536" s="116">
        <v>445.8</v>
      </c>
      <c r="E536" s="116">
        <v>485</v>
      </c>
      <c r="F536" s="116">
        <v>459.65</v>
      </c>
      <c r="G536">
        <v>1291465</v>
      </c>
      <c r="H536" s="116"/>
      <c r="I536" s="116"/>
      <c r="L536" s="170">
        <v>44480</v>
      </c>
      <c r="M536" s="116">
        <v>459.9</v>
      </c>
      <c r="N536" s="116">
        <v>509.1</v>
      </c>
      <c r="O536" s="116">
        <v>444</v>
      </c>
      <c r="P536" s="116">
        <v>445</v>
      </c>
      <c r="Q536" s="116">
        <v>459.9</v>
      </c>
      <c r="R536">
        <v>18571379</v>
      </c>
    </row>
    <row r="537" spans="1:18" x14ac:dyDescent="0.25">
      <c r="A537" s="170">
        <v>44481</v>
      </c>
      <c r="B537" s="116">
        <v>478.7</v>
      </c>
      <c r="C537" s="116">
        <v>469.4</v>
      </c>
      <c r="D537" s="116">
        <v>462</v>
      </c>
      <c r="E537" s="116">
        <v>464</v>
      </c>
      <c r="F537" s="116">
        <v>469.4</v>
      </c>
      <c r="G537">
        <v>906855</v>
      </c>
      <c r="H537" s="116"/>
      <c r="I537" s="116"/>
      <c r="L537" s="170">
        <v>44481</v>
      </c>
      <c r="M537" s="116">
        <v>469.5</v>
      </c>
      <c r="N537" s="116">
        <v>478.8</v>
      </c>
      <c r="O537" s="116">
        <v>461.65</v>
      </c>
      <c r="P537" s="116">
        <v>463</v>
      </c>
      <c r="Q537" s="116">
        <v>469.5</v>
      </c>
      <c r="R537">
        <v>4584220</v>
      </c>
    </row>
    <row r="538" spans="1:18" x14ac:dyDescent="0.25">
      <c r="A538" s="170">
        <v>44482</v>
      </c>
      <c r="B538" s="116">
        <v>474.75</v>
      </c>
      <c r="C538" s="116">
        <v>460.55</v>
      </c>
      <c r="D538" s="116">
        <v>454.15</v>
      </c>
      <c r="E538" s="116">
        <v>474.75</v>
      </c>
      <c r="F538" s="116">
        <v>460.55</v>
      </c>
      <c r="G538">
        <v>170551</v>
      </c>
      <c r="H538" s="116"/>
      <c r="I538" s="116"/>
      <c r="L538" s="170">
        <v>44482</v>
      </c>
      <c r="M538" s="116">
        <v>461.4</v>
      </c>
      <c r="N538" s="116">
        <v>473.7</v>
      </c>
      <c r="O538" s="116">
        <v>454</v>
      </c>
      <c r="P538" s="116">
        <v>473.7</v>
      </c>
      <c r="Q538" s="116">
        <v>461.4</v>
      </c>
      <c r="R538">
        <v>2382807</v>
      </c>
    </row>
    <row r="539" spans="1:18" x14ac:dyDescent="0.25">
      <c r="A539" s="170">
        <v>44483</v>
      </c>
      <c r="B539" s="116">
        <v>466.95</v>
      </c>
      <c r="C539" s="116">
        <v>438.6</v>
      </c>
      <c r="D539" s="116">
        <v>435.35</v>
      </c>
      <c r="E539" s="116">
        <v>466.95</v>
      </c>
      <c r="F539" s="116">
        <v>438.6</v>
      </c>
      <c r="G539">
        <v>160596</v>
      </c>
      <c r="H539" s="116"/>
      <c r="I539" s="116"/>
      <c r="L539" s="170">
        <v>44483</v>
      </c>
      <c r="M539" s="116">
        <v>438.55</v>
      </c>
      <c r="N539" s="116">
        <v>464.6</v>
      </c>
      <c r="O539" s="116">
        <v>435.1</v>
      </c>
      <c r="P539" s="116">
        <v>462</v>
      </c>
      <c r="Q539" s="116">
        <v>438.55</v>
      </c>
      <c r="R539">
        <v>2584026</v>
      </c>
    </row>
    <row r="540" spans="1:18" x14ac:dyDescent="0.25">
      <c r="A540" s="170">
        <v>44487</v>
      </c>
      <c r="B540" s="116">
        <v>454.35</v>
      </c>
      <c r="C540" s="116">
        <v>444.35</v>
      </c>
      <c r="D540" s="116">
        <v>428.7</v>
      </c>
      <c r="E540" s="116">
        <v>445.55</v>
      </c>
      <c r="F540" s="116">
        <v>444.35</v>
      </c>
      <c r="G540">
        <v>394335</v>
      </c>
      <c r="H540" s="116"/>
      <c r="I540" s="116"/>
      <c r="L540" s="170">
        <v>44487</v>
      </c>
      <c r="M540" s="116">
        <v>444.9</v>
      </c>
      <c r="N540" s="116">
        <v>454.55</v>
      </c>
      <c r="O540" s="116">
        <v>428.65</v>
      </c>
      <c r="P540" s="116">
        <v>443.85</v>
      </c>
      <c r="Q540" s="116">
        <v>444.9</v>
      </c>
      <c r="R540">
        <v>2872064</v>
      </c>
    </row>
    <row r="541" spans="1:18" x14ac:dyDescent="0.25">
      <c r="A541" s="170">
        <v>44488</v>
      </c>
      <c r="B541" s="116">
        <v>448</v>
      </c>
      <c r="C541" s="116">
        <v>429.1</v>
      </c>
      <c r="D541" s="116">
        <v>423.3</v>
      </c>
      <c r="E541" s="116">
        <v>445</v>
      </c>
      <c r="F541" s="116">
        <v>429.1</v>
      </c>
      <c r="G541">
        <v>143679</v>
      </c>
      <c r="H541" s="116"/>
      <c r="I541" s="116"/>
      <c r="L541" s="170">
        <v>44488</v>
      </c>
      <c r="M541" s="116">
        <v>428.05</v>
      </c>
      <c r="N541" s="116">
        <v>447.6</v>
      </c>
      <c r="O541" s="116">
        <v>422</v>
      </c>
      <c r="P541" s="116">
        <v>445.05</v>
      </c>
      <c r="Q541" s="116">
        <v>428.05</v>
      </c>
      <c r="R541">
        <v>1419825</v>
      </c>
    </row>
    <row r="542" spans="1:18" x14ac:dyDescent="0.25">
      <c r="A542" s="170">
        <v>44489</v>
      </c>
      <c r="B542" s="116">
        <v>434.05</v>
      </c>
      <c r="C542" s="116">
        <v>417.55</v>
      </c>
      <c r="D542" s="116">
        <v>412.15</v>
      </c>
      <c r="E542" s="116">
        <v>429.9</v>
      </c>
      <c r="F542" s="116">
        <v>417.55</v>
      </c>
      <c r="G542">
        <v>255036</v>
      </c>
      <c r="H542" s="116"/>
      <c r="I542" s="116"/>
      <c r="L542" s="170">
        <v>44489</v>
      </c>
      <c r="M542" s="116">
        <v>418</v>
      </c>
      <c r="N542" s="116">
        <v>434.15</v>
      </c>
      <c r="O542" s="116">
        <v>411.15</v>
      </c>
      <c r="P542" s="116">
        <v>428.7</v>
      </c>
      <c r="Q542" s="116">
        <v>418</v>
      </c>
      <c r="R542">
        <v>1223914</v>
      </c>
    </row>
    <row r="543" spans="1:18" x14ac:dyDescent="0.25">
      <c r="A543" s="170">
        <v>44490</v>
      </c>
      <c r="B543" s="116">
        <v>430.5</v>
      </c>
      <c r="C543" s="116">
        <v>406.25</v>
      </c>
      <c r="D543" s="116">
        <v>402.1</v>
      </c>
      <c r="E543" s="116">
        <v>421</v>
      </c>
      <c r="F543" s="116">
        <v>406.25</v>
      </c>
      <c r="G543">
        <v>121069</v>
      </c>
      <c r="H543" s="116"/>
      <c r="I543" s="116"/>
      <c r="L543" s="170">
        <v>44490</v>
      </c>
      <c r="M543" s="116">
        <v>405.35</v>
      </c>
      <c r="N543" s="116">
        <v>430.75</v>
      </c>
      <c r="O543" s="116">
        <v>402.05</v>
      </c>
      <c r="P543" s="116">
        <v>420</v>
      </c>
      <c r="Q543" s="116">
        <v>405.35</v>
      </c>
      <c r="R543">
        <v>1453614</v>
      </c>
    </row>
    <row r="544" spans="1:18" x14ac:dyDescent="0.25">
      <c r="A544" s="170">
        <v>44491</v>
      </c>
      <c r="B544" s="116">
        <v>417.85</v>
      </c>
      <c r="C544" s="116">
        <v>405.4</v>
      </c>
      <c r="D544" s="116">
        <v>401.1</v>
      </c>
      <c r="E544" s="116">
        <v>405.55</v>
      </c>
      <c r="F544" s="116">
        <v>405.4</v>
      </c>
      <c r="G544">
        <v>152763</v>
      </c>
      <c r="H544" s="116"/>
      <c r="I544" s="116"/>
      <c r="L544" s="170">
        <v>44491</v>
      </c>
      <c r="M544" s="116">
        <v>405.35</v>
      </c>
      <c r="N544" s="116">
        <v>418</v>
      </c>
      <c r="O544" s="116">
        <v>401.1</v>
      </c>
      <c r="P544" s="116">
        <v>408.8</v>
      </c>
      <c r="Q544" s="116">
        <v>405.35</v>
      </c>
      <c r="R544">
        <v>1062150</v>
      </c>
    </row>
    <row r="545" spans="1:18" x14ac:dyDescent="0.25">
      <c r="A545" s="170">
        <v>44494</v>
      </c>
      <c r="B545" s="116">
        <v>410.4</v>
      </c>
      <c r="C545" s="116">
        <v>400</v>
      </c>
      <c r="D545" s="116">
        <v>391.65</v>
      </c>
      <c r="E545" s="116">
        <v>406.1</v>
      </c>
      <c r="F545" s="116">
        <v>400</v>
      </c>
      <c r="G545">
        <v>118285</v>
      </c>
      <c r="H545" s="116"/>
      <c r="I545" s="116"/>
      <c r="L545" s="170">
        <v>44494</v>
      </c>
      <c r="M545" s="116">
        <v>400.15</v>
      </c>
      <c r="N545" s="116">
        <v>410.65</v>
      </c>
      <c r="O545" s="116">
        <v>392.1</v>
      </c>
      <c r="P545" s="116">
        <v>408.75</v>
      </c>
      <c r="Q545" s="116">
        <v>400.15</v>
      </c>
      <c r="R545">
        <v>861452</v>
      </c>
    </row>
    <row r="546" spans="1:18" x14ac:dyDescent="0.25">
      <c r="A546" s="170">
        <v>44495</v>
      </c>
      <c r="B546" s="116">
        <v>429</v>
      </c>
      <c r="C546" s="116">
        <v>421.6</v>
      </c>
      <c r="D546" s="116">
        <v>403.95</v>
      </c>
      <c r="E546" s="116">
        <v>405</v>
      </c>
      <c r="F546" s="116">
        <v>421.6</v>
      </c>
      <c r="G546">
        <v>136041</v>
      </c>
      <c r="H546" s="116"/>
      <c r="I546" s="116"/>
      <c r="L546" s="170">
        <v>44495</v>
      </c>
      <c r="M546" s="116">
        <v>420.95</v>
      </c>
      <c r="N546" s="116">
        <v>429</v>
      </c>
      <c r="O546" s="116">
        <v>403.4</v>
      </c>
      <c r="P546" s="116">
        <v>404</v>
      </c>
      <c r="Q546" s="116">
        <v>420.95</v>
      </c>
      <c r="R546">
        <v>1834302</v>
      </c>
    </row>
    <row r="547" spans="1:18" x14ac:dyDescent="0.25">
      <c r="A547" s="170">
        <v>44496</v>
      </c>
      <c r="B547" s="116">
        <v>428.35</v>
      </c>
      <c r="C547" s="116">
        <v>409.65</v>
      </c>
      <c r="D547" s="116">
        <v>404.1</v>
      </c>
      <c r="E547" s="116">
        <v>427</v>
      </c>
      <c r="F547" s="116">
        <v>409.65</v>
      </c>
      <c r="G547">
        <v>186479</v>
      </c>
      <c r="H547" s="116"/>
      <c r="I547" s="116"/>
      <c r="L547" s="170">
        <v>44496</v>
      </c>
      <c r="M547" s="116">
        <v>409.2</v>
      </c>
      <c r="N547" s="116">
        <v>428.5</v>
      </c>
      <c r="O547" s="116">
        <v>404.2</v>
      </c>
      <c r="P547" s="116">
        <v>422.4</v>
      </c>
      <c r="Q547" s="116">
        <v>409.2</v>
      </c>
      <c r="R547">
        <v>1441040</v>
      </c>
    </row>
    <row r="548" spans="1:18" x14ac:dyDescent="0.25">
      <c r="A548" s="170">
        <v>44497</v>
      </c>
      <c r="B548" s="116">
        <v>419.45</v>
      </c>
      <c r="C548" s="116">
        <v>415.35</v>
      </c>
      <c r="D548" s="116">
        <v>406.85</v>
      </c>
      <c r="E548" s="116">
        <v>412.8</v>
      </c>
      <c r="F548" s="116">
        <v>415.35</v>
      </c>
      <c r="G548">
        <v>136797</v>
      </c>
      <c r="H548" s="116"/>
      <c r="I548" s="116"/>
      <c r="L548" s="170">
        <v>44497</v>
      </c>
      <c r="M548" s="116">
        <v>415.55</v>
      </c>
      <c r="N548" s="116">
        <v>419.9</v>
      </c>
      <c r="O548" s="116">
        <v>406.9</v>
      </c>
      <c r="P548" s="116">
        <v>413</v>
      </c>
      <c r="Q548" s="116">
        <v>415.55</v>
      </c>
      <c r="R548">
        <v>1102247</v>
      </c>
    </row>
    <row r="549" spans="1:18" x14ac:dyDescent="0.25">
      <c r="A549" s="170">
        <v>44498</v>
      </c>
      <c r="B549" s="116">
        <v>440.75</v>
      </c>
      <c r="C549" s="116">
        <v>434.4</v>
      </c>
      <c r="D549" s="116">
        <v>406.05</v>
      </c>
      <c r="E549" s="116">
        <v>418</v>
      </c>
      <c r="F549" s="116">
        <v>434.4</v>
      </c>
      <c r="G549">
        <v>177068</v>
      </c>
      <c r="H549" s="116"/>
      <c r="I549" s="116"/>
      <c r="L549" s="170">
        <v>44498</v>
      </c>
      <c r="M549" s="116">
        <v>434.45</v>
      </c>
      <c r="N549" s="116">
        <v>440.9</v>
      </c>
      <c r="O549" s="116">
        <v>405.55</v>
      </c>
      <c r="P549" s="116">
        <v>417</v>
      </c>
      <c r="Q549" s="116">
        <v>434.45</v>
      </c>
      <c r="R549">
        <v>2317864</v>
      </c>
    </row>
    <row r="550" spans="1:18" x14ac:dyDescent="0.25">
      <c r="A550" s="170">
        <v>44501</v>
      </c>
      <c r="B550" s="116">
        <v>451.4</v>
      </c>
      <c r="C550" s="116">
        <v>443.75</v>
      </c>
      <c r="D550" s="116">
        <v>435.55</v>
      </c>
      <c r="E550" s="116">
        <v>435.55</v>
      </c>
      <c r="F550" s="116">
        <v>443.75</v>
      </c>
      <c r="G550">
        <v>98310</v>
      </c>
      <c r="H550" s="116"/>
      <c r="I550" s="116"/>
      <c r="L550" s="170">
        <v>44501</v>
      </c>
      <c r="M550" s="116">
        <v>443.8</v>
      </c>
      <c r="N550" s="116">
        <v>451.75</v>
      </c>
      <c r="O550" s="116">
        <v>436.7</v>
      </c>
      <c r="P550" s="116">
        <v>439.7</v>
      </c>
      <c r="Q550" s="116">
        <v>443.8</v>
      </c>
      <c r="R550">
        <v>1488837</v>
      </c>
    </row>
    <row r="551" spans="1:18" x14ac:dyDescent="0.25">
      <c r="A551" s="170">
        <v>44502</v>
      </c>
      <c r="B551" s="116">
        <v>451</v>
      </c>
      <c r="C551" s="116">
        <v>443.95</v>
      </c>
      <c r="D551" s="116">
        <v>440.2</v>
      </c>
      <c r="E551" s="116">
        <v>446.9</v>
      </c>
      <c r="F551" s="116">
        <v>443.95</v>
      </c>
      <c r="G551">
        <v>119876</v>
      </c>
      <c r="H551" s="116"/>
      <c r="I551" s="116"/>
      <c r="L551" s="170">
        <v>44502</v>
      </c>
      <c r="M551" s="116">
        <v>444.35</v>
      </c>
      <c r="N551" s="116">
        <v>451.7</v>
      </c>
      <c r="O551" s="116">
        <v>440.1</v>
      </c>
      <c r="P551" s="116">
        <v>446.9</v>
      </c>
      <c r="Q551" s="116">
        <v>444.35</v>
      </c>
      <c r="R551">
        <v>886486</v>
      </c>
    </row>
    <row r="552" spans="1:18" x14ac:dyDescent="0.25">
      <c r="A552" s="170">
        <v>44503</v>
      </c>
      <c r="B552" s="116">
        <v>448.25</v>
      </c>
      <c r="C552" s="116">
        <v>437.95</v>
      </c>
      <c r="D552" s="116">
        <v>432.85</v>
      </c>
      <c r="E552" s="116">
        <v>447</v>
      </c>
      <c r="F552" s="116">
        <v>437.95</v>
      </c>
      <c r="G552">
        <v>59787</v>
      </c>
      <c r="H552" s="116"/>
      <c r="I552" s="116"/>
      <c r="L552" s="170">
        <v>44503</v>
      </c>
      <c r="M552" s="116">
        <v>438.15</v>
      </c>
      <c r="N552" s="116">
        <v>447.9</v>
      </c>
      <c r="O552" s="116">
        <v>432.55</v>
      </c>
      <c r="P552" s="116">
        <v>447</v>
      </c>
      <c r="Q552" s="116">
        <v>438.15</v>
      </c>
      <c r="R552">
        <v>617304</v>
      </c>
    </row>
    <row r="553" spans="1:18" x14ac:dyDescent="0.25">
      <c r="A553" s="170">
        <v>44504</v>
      </c>
      <c r="B553" s="116">
        <v>452.5</v>
      </c>
      <c r="C553" s="116">
        <v>448.8</v>
      </c>
      <c r="D553" s="116">
        <v>443.85</v>
      </c>
      <c r="E553" s="116">
        <v>444.4</v>
      </c>
      <c r="F553" s="116">
        <v>448.8</v>
      </c>
      <c r="G553">
        <v>44166</v>
      </c>
      <c r="H553" s="116"/>
      <c r="I553" s="116"/>
      <c r="L553" s="170">
        <v>44504</v>
      </c>
      <c r="M553" s="116">
        <v>448.95</v>
      </c>
      <c r="N553" s="116">
        <v>453</v>
      </c>
      <c r="O553" s="116">
        <v>442.15</v>
      </c>
      <c r="P553" s="116">
        <v>443.85</v>
      </c>
      <c r="Q553" s="116">
        <v>448.95</v>
      </c>
      <c r="R553">
        <v>791535</v>
      </c>
    </row>
    <row r="554" spans="1:18" x14ac:dyDescent="0.25">
      <c r="A554" s="170">
        <v>44508</v>
      </c>
      <c r="B554" s="116">
        <v>458.95</v>
      </c>
      <c r="C554" s="116">
        <v>454</v>
      </c>
      <c r="D554" s="116">
        <v>445.25</v>
      </c>
      <c r="E554" s="116">
        <v>452</v>
      </c>
      <c r="F554" s="116">
        <v>454</v>
      </c>
      <c r="G554">
        <v>72373</v>
      </c>
      <c r="H554" s="116"/>
      <c r="I554" s="116"/>
      <c r="L554" s="170">
        <v>44508</v>
      </c>
      <c r="M554" s="116">
        <v>453.7</v>
      </c>
      <c r="N554" s="116">
        <v>458.7</v>
      </c>
      <c r="O554" s="116">
        <v>444.9</v>
      </c>
      <c r="P554" s="116">
        <v>453.15</v>
      </c>
      <c r="Q554" s="116">
        <v>453.7</v>
      </c>
      <c r="R554">
        <v>953069</v>
      </c>
    </row>
    <row r="555" spans="1:18" x14ac:dyDescent="0.25">
      <c r="A555" s="170">
        <v>44509</v>
      </c>
      <c r="B555" s="116">
        <v>457.6</v>
      </c>
      <c r="C555" s="116">
        <v>443.35</v>
      </c>
      <c r="D555" s="116">
        <v>439.6</v>
      </c>
      <c r="E555" s="116">
        <v>457.6</v>
      </c>
      <c r="F555" s="116">
        <v>443.35</v>
      </c>
      <c r="G555">
        <v>110809</v>
      </c>
      <c r="H555" s="116"/>
      <c r="I555" s="116"/>
      <c r="L555" s="170">
        <v>44509</v>
      </c>
      <c r="M555" s="116">
        <v>443.2</v>
      </c>
      <c r="N555" s="116">
        <v>455.95</v>
      </c>
      <c r="O555" s="116">
        <v>439.5</v>
      </c>
      <c r="P555" s="116">
        <v>453.5</v>
      </c>
      <c r="Q555" s="116">
        <v>443.2</v>
      </c>
      <c r="R555">
        <v>801685</v>
      </c>
    </row>
    <row r="556" spans="1:18" x14ac:dyDescent="0.25">
      <c r="A556" s="170">
        <v>44510</v>
      </c>
      <c r="B556" s="116">
        <v>449.2</v>
      </c>
      <c r="C556" s="116">
        <v>438.65</v>
      </c>
      <c r="D556" s="116">
        <v>436.45</v>
      </c>
      <c r="E556" s="116">
        <v>443</v>
      </c>
      <c r="F556" s="116">
        <v>438.65</v>
      </c>
      <c r="G556">
        <v>94024</v>
      </c>
      <c r="H556" s="116"/>
      <c r="I556" s="116"/>
      <c r="L556" s="170">
        <v>44510</v>
      </c>
      <c r="M556" s="116">
        <v>438.7</v>
      </c>
      <c r="N556" s="116">
        <v>449.2</v>
      </c>
      <c r="O556" s="116">
        <v>436.55</v>
      </c>
      <c r="P556" s="116">
        <v>443</v>
      </c>
      <c r="Q556" s="116">
        <v>438.7</v>
      </c>
      <c r="R556">
        <v>519597</v>
      </c>
    </row>
    <row r="557" spans="1:18" x14ac:dyDescent="0.25">
      <c r="A557" s="170">
        <v>44511</v>
      </c>
      <c r="B557" s="116">
        <v>443</v>
      </c>
      <c r="C557" s="116">
        <v>437.55</v>
      </c>
      <c r="D557" s="116">
        <v>429.25</v>
      </c>
      <c r="E557" s="116">
        <v>442</v>
      </c>
      <c r="F557" s="116">
        <v>437.55</v>
      </c>
      <c r="G557">
        <v>55391</v>
      </c>
      <c r="H557" s="116"/>
      <c r="I557" s="116"/>
      <c r="L557" s="170">
        <v>44511</v>
      </c>
      <c r="M557" s="116">
        <v>437.85</v>
      </c>
      <c r="N557" s="116">
        <v>443.6</v>
      </c>
      <c r="O557" s="116">
        <v>429</v>
      </c>
      <c r="P557" s="116">
        <v>439.6</v>
      </c>
      <c r="Q557" s="116">
        <v>437.85</v>
      </c>
      <c r="R557">
        <v>580204</v>
      </c>
    </row>
    <row r="558" spans="1:18" x14ac:dyDescent="0.25">
      <c r="A558" s="170">
        <v>44512</v>
      </c>
      <c r="B558" s="116">
        <v>443</v>
      </c>
      <c r="C558" s="116">
        <v>433.35</v>
      </c>
      <c r="D558" s="116">
        <v>428.55</v>
      </c>
      <c r="E558" s="116">
        <v>440.55</v>
      </c>
      <c r="F558" s="116">
        <v>433.35</v>
      </c>
      <c r="G558">
        <v>48999</v>
      </c>
      <c r="H558" s="116"/>
      <c r="I558" s="116"/>
      <c r="L558" s="170">
        <v>44512</v>
      </c>
      <c r="M558" s="116">
        <v>433.45</v>
      </c>
      <c r="N558" s="116">
        <v>442.25</v>
      </c>
      <c r="O558" s="116">
        <v>428</v>
      </c>
      <c r="P558" s="116">
        <v>440</v>
      </c>
      <c r="Q558" s="116">
        <v>433.45</v>
      </c>
      <c r="R558">
        <v>512039</v>
      </c>
    </row>
    <row r="559" spans="1:18" x14ac:dyDescent="0.25">
      <c r="A559" s="170">
        <v>44515</v>
      </c>
      <c r="B559" s="116">
        <v>428.8</v>
      </c>
      <c r="C559" s="116">
        <v>414.5</v>
      </c>
      <c r="D559" s="116">
        <v>412.5</v>
      </c>
      <c r="E559" s="116">
        <v>420</v>
      </c>
      <c r="F559" s="116">
        <v>414.5</v>
      </c>
      <c r="G559">
        <v>80204</v>
      </c>
      <c r="H559" s="116"/>
      <c r="I559" s="116"/>
      <c r="L559" s="170">
        <v>44515</v>
      </c>
      <c r="M559" s="116">
        <v>414.35</v>
      </c>
      <c r="N559" s="116">
        <v>428.75</v>
      </c>
      <c r="O559" s="116">
        <v>413</v>
      </c>
      <c r="P559" s="116">
        <v>420</v>
      </c>
      <c r="Q559" s="116">
        <v>414.35</v>
      </c>
      <c r="R559">
        <v>1196050</v>
      </c>
    </row>
    <row r="560" spans="1:18" x14ac:dyDescent="0.25">
      <c r="A560" s="170">
        <v>44516</v>
      </c>
      <c r="B560" s="116">
        <v>424.6</v>
      </c>
      <c r="C560" s="116">
        <v>409.7</v>
      </c>
      <c r="D560" s="116">
        <v>408.8</v>
      </c>
      <c r="E560" s="116">
        <v>420</v>
      </c>
      <c r="F560" s="116">
        <v>409.7</v>
      </c>
      <c r="G560">
        <v>125989</v>
      </c>
      <c r="H560" s="116"/>
      <c r="I560" s="116"/>
      <c r="L560" s="170">
        <v>44516</v>
      </c>
      <c r="M560" s="116">
        <v>409.7</v>
      </c>
      <c r="N560" s="116">
        <v>424.7</v>
      </c>
      <c r="O560" s="116">
        <v>408.5</v>
      </c>
      <c r="P560" s="116">
        <v>418</v>
      </c>
      <c r="Q560" s="116">
        <v>409.7</v>
      </c>
      <c r="R560">
        <v>778247</v>
      </c>
    </row>
    <row r="561" spans="1:18" x14ac:dyDescent="0.25">
      <c r="A561" s="170">
        <v>44517</v>
      </c>
      <c r="B561" s="116">
        <v>417.55</v>
      </c>
      <c r="C561" s="116">
        <v>410.55</v>
      </c>
      <c r="D561" s="116">
        <v>409.25</v>
      </c>
      <c r="E561" s="116">
        <v>413.4</v>
      </c>
      <c r="F561" s="116">
        <v>410.55</v>
      </c>
      <c r="G561">
        <v>91776</v>
      </c>
      <c r="H561" s="116"/>
      <c r="I561" s="116"/>
      <c r="L561" s="170">
        <v>44517</v>
      </c>
      <c r="M561" s="116">
        <v>410.8</v>
      </c>
      <c r="N561" s="116">
        <v>418</v>
      </c>
      <c r="O561" s="116">
        <v>408.95</v>
      </c>
      <c r="P561" s="116">
        <v>411</v>
      </c>
      <c r="Q561" s="116">
        <v>410.8</v>
      </c>
      <c r="R561">
        <v>560645</v>
      </c>
    </row>
    <row r="562" spans="1:18" x14ac:dyDescent="0.25">
      <c r="A562" s="170">
        <v>44518</v>
      </c>
      <c r="B562" s="116">
        <v>415</v>
      </c>
      <c r="C562" s="116">
        <v>399.1</v>
      </c>
      <c r="D562" s="116">
        <v>397.8</v>
      </c>
      <c r="E562" s="116">
        <v>415</v>
      </c>
      <c r="F562" s="116">
        <v>399.1</v>
      </c>
      <c r="G562">
        <v>78830</v>
      </c>
      <c r="H562" s="116"/>
      <c r="I562" s="116"/>
      <c r="L562" s="170">
        <v>44518</v>
      </c>
      <c r="M562" s="116">
        <v>399.05</v>
      </c>
      <c r="N562" s="116">
        <v>414.95</v>
      </c>
      <c r="O562" s="116">
        <v>398</v>
      </c>
      <c r="P562" s="116">
        <v>412.95</v>
      </c>
      <c r="Q562" s="116">
        <v>399.05</v>
      </c>
      <c r="R562">
        <v>976778</v>
      </c>
    </row>
    <row r="563" spans="1:18" x14ac:dyDescent="0.25">
      <c r="A563" s="170">
        <v>44522</v>
      </c>
      <c r="B563" s="116">
        <v>409.5</v>
      </c>
      <c r="C563" s="116">
        <v>401</v>
      </c>
      <c r="D563" s="116">
        <v>393.9</v>
      </c>
      <c r="E563" s="116">
        <v>402</v>
      </c>
      <c r="F563" s="116">
        <v>401</v>
      </c>
      <c r="G563">
        <v>153086</v>
      </c>
      <c r="H563" s="116"/>
      <c r="I563" s="116"/>
      <c r="L563" s="170">
        <v>44522</v>
      </c>
      <c r="M563" s="116">
        <v>401.05</v>
      </c>
      <c r="N563" s="116">
        <v>409.5</v>
      </c>
      <c r="O563" s="116">
        <v>394</v>
      </c>
      <c r="P563" s="116">
        <v>402.65</v>
      </c>
      <c r="Q563" s="116">
        <v>401.05</v>
      </c>
      <c r="R563">
        <v>759983</v>
      </c>
    </row>
    <row r="564" spans="1:18" x14ac:dyDescent="0.25">
      <c r="A564" s="170">
        <v>44523</v>
      </c>
      <c r="B564" s="116">
        <v>416.75</v>
      </c>
      <c r="C564" s="116">
        <v>412.5</v>
      </c>
      <c r="D564" s="116">
        <v>399</v>
      </c>
      <c r="E564" s="116">
        <v>403.9</v>
      </c>
      <c r="F564" s="116">
        <v>412.5</v>
      </c>
      <c r="G564">
        <v>62950</v>
      </c>
      <c r="H564" s="116"/>
      <c r="I564" s="116"/>
      <c r="L564" s="170">
        <v>44523</v>
      </c>
      <c r="M564" s="116">
        <v>412.45</v>
      </c>
      <c r="N564" s="116">
        <v>417</v>
      </c>
      <c r="O564" s="116">
        <v>398.2</v>
      </c>
      <c r="P564" s="116">
        <v>401.75</v>
      </c>
      <c r="Q564" s="116">
        <v>412.45</v>
      </c>
      <c r="R564">
        <v>704316</v>
      </c>
    </row>
    <row r="565" spans="1:18" x14ac:dyDescent="0.25">
      <c r="A565" s="170">
        <v>44524</v>
      </c>
      <c r="B565" s="116">
        <v>417.3</v>
      </c>
      <c r="C565" s="116">
        <v>403.75</v>
      </c>
      <c r="D565" s="116">
        <v>398.5</v>
      </c>
      <c r="E565" s="116">
        <v>412.85</v>
      </c>
      <c r="F565" s="116">
        <v>403.75</v>
      </c>
      <c r="G565">
        <v>77365</v>
      </c>
      <c r="H565" s="116"/>
      <c r="I565" s="116"/>
      <c r="L565" s="170">
        <v>44524</v>
      </c>
      <c r="M565" s="116">
        <v>403.3</v>
      </c>
      <c r="N565" s="116">
        <v>417.3</v>
      </c>
      <c r="O565" s="116">
        <v>402.25</v>
      </c>
      <c r="P565" s="116">
        <v>415.6</v>
      </c>
      <c r="Q565" s="116">
        <v>403.3</v>
      </c>
      <c r="R565">
        <v>552612</v>
      </c>
    </row>
    <row r="566" spans="1:18" x14ac:dyDescent="0.25">
      <c r="A566" s="170">
        <v>44525</v>
      </c>
      <c r="B566" s="116">
        <v>409.9</v>
      </c>
      <c r="C566" s="116">
        <v>400.6</v>
      </c>
      <c r="D566" s="116">
        <v>398.75</v>
      </c>
      <c r="E566" s="116">
        <v>405</v>
      </c>
      <c r="F566" s="116">
        <v>400.6</v>
      </c>
      <c r="G566">
        <v>71391</v>
      </c>
      <c r="H566" s="116"/>
      <c r="I566" s="116"/>
      <c r="L566" s="170">
        <v>44525</v>
      </c>
      <c r="M566" s="116">
        <v>400.55</v>
      </c>
      <c r="N566" s="116">
        <v>409.85</v>
      </c>
      <c r="O566" s="116">
        <v>398.2</v>
      </c>
      <c r="P566" s="116">
        <v>406</v>
      </c>
      <c r="Q566" s="116">
        <v>400.55</v>
      </c>
      <c r="R566">
        <v>718619</v>
      </c>
    </row>
    <row r="567" spans="1:18" x14ac:dyDescent="0.25">
      <c r="A567" s="170">
        <v>44526</v>
      </c>
      <c r="B567" s="116">
        <v>416.75</v>
      </c>
      <c r="C567" s="116">
        <v>401.8</v>
      </c>
      <c r="D567" s="116">
        <v>395.65</v>
      </c>
      <c r="E567" s="116">
        <v>398</v>
      </c>
      <c r="F567" s="116">
        <v>401.8</v>
      </c>
      <c r="G567">
        <v>189331</v>
      </c>
      <c r="H567" s="116"/>
      <c r="I567" s="116"/>
      <c r="L567" s="170">
        <v>44526</v>
      </c>
      <c r="M567" s="116">
        <v>401.65</v>
      </c>
      <c r="N567" s="116">
        <v>416.7</v>
      </c>
      <c r="O567" s="116">
        <v>395.35</v>
      </c>
      <c r="P567" s="116">
        <v>397.8</v>
      </c>
      <c r="Q567" s="116">
        <v>401.65</v>
      </c>
      <c r="R567">
        <v>1237586</v>
      </c>
    </row>
    <row r="568" spans="1:18" x14ac:dyDescent="0.25">
      <c r="A568" s="170">
        <v>44529</v>
      </c>
      <c r="B568" s="116">
        <v>402</v>
      </c>
      <c r="C568" s="116">
        <v>382.25</v>
      </c>
      <c r="D568" s="116">
        <v>379.75</v>
      </c>
      <c r="E568" s="116">
        <v>396.1</v>
      </c>
      <c r="F568" s="116">
        <v>382.25</v>
      </c>
      <c r="G568">
        <v>168533</v>
      </c>
      <c r="H568" s="116"/>
      <c r="I568" s="116"/>
      <c r="L568" s="170">
        <v>44529</v>
      </c>
      <c r="M568" s="116">
        <v>382.6</v>
      </c>
      <c r="N568" s="116">
        <v>404</v>
      </c>
      <c r="O568" s="116">
        <v>380</v>
      </c>
      <c r="P568" s="116">
        <v>403</v>
      </c>
      <c r="Q568" s="116">
        <v>382.6</v>
      </c>
      <c r="R568">
        <v>1083060</v>
      </c>
    </row>
    <row r="569" spans="1:18" x14ac:dyDescent="0.25">
      <c r="A569" s="170">
        <v>44530</v>
      </c>
      <c r="B569" s="116">
        <v>409.5</v>
      </c>
      <c r="C569" s="116">
        <v>399.75</v>
      </c>
      <c r="D569" s="116">
        <v>380</v>
      </c>
      <c r="E569" s="116">
        <v>382</v>
      </c>
      <c r="F569" s="116">
        <v>399.75</v>
      </c>
      <c r="G569">
        <v>109540</v>
      </c>
      <c r="H569" s="116"/>
      <c r="I569" s="116"/>
      <c r="L569" s="170">
        <v>44530</v>
      </c>
      <c r="M569" s="116">
        <v>399.7</v>
      </c>
      <c r="N569" s="116">
        <v>409.8</v>
      </c>
      <c r="O569" s="116">
        <v>383</v>
      </c>
      <c r="P569" s="116">
        <v>383</v>
      </c>
      <c r="Q569" s="116">
        <v>399.7</v>
      </c>
      <c r="R569">
        <v>2166355</v>
      </c>
    </row>
    <row r="570" spans="1:18" x14ac:dyDescent="0.25">
      <c r="A570" s="170">
        <v>44531</v>
      </c>
      <c r="B570" s="116">
        <v>406.9</v>
      </c>
      <c r="C570" s="116">
        <v>396.4</v>
      </c>
      <c r="D570" s="116">
        <v>394.85</v>
      </c>
      <c r="E570" s="116">
        <v>402.05</v>
      </c>
      <c r="F570" s="116">
        <v>396.4</v>
      </c>
      <c r="G570">
        <v>83685</v>
      </c>
      <c r="H570" s="116"/>
      <c r="I570" s="116"/>
      <c r="L570" s="170">
        <v>44531</v>
      </c>
      <c r="M570" s="116">
        <v>396.6</v>
      </c>
      <c r="N570" s="116">
        <v>407.9</v>
      </c>
      <c r="O570" s="116">
        <v>394.65</v>
      </c>
      <c r="P570" s="116">
        <v>404.5</v>
      </c>
      <c r="Q570" s="116">
        <v>396.6</v>
      </c>
      <c r="R570">
        <v>444260</v>
      </c>
    </row>
    <row r="571" spans="1:18" x14ac:dyDescent="0.25">
      <c r="A571" s="170">
        <v>44532</v>
      </c>
      <c r="B571" s="116">
        <v>401.25</v>
      </c>
      <c r="C571" s="116">
        <v>396.2</v>
      </c>
      <c r="D571" s="116">
        <v>393.5</v>
      </c>
      <c r="E571" s="116">
        <v>397</v>
      </c>
      <c r="F571" s="116">
        <v>396.2</v>
      </c>
      <c r="G571">
        <v>57898</v>
      </c>
      <c r="H571" s="116"/>
      <c r="I571" s="116"/>
      <c r="L571" s="170">
        <v>44532</v>
      </c>
      <c r="M571" s="116">
        <v>396.35</v>
      </c>
      <c r="N571" s="116">
        <v>401.9</v>
      </c>
      <c r="O571" s="116">
        <v>393.1</v>
      </c>
      <c r="P571" s="116">
        <v>398.55</v>
      </c>
      <c r="Q571" s="116">
        <v>396.35</v>
      </c>
      <c r="R571">
        <v>541751</v>
      </c>
    </row>
    <row r="572" spans="1:18" x14ac:dyDescent="0.25">
      <c r="A572" s="170">
        <v>44533</v>
      </c>
      <c r="B572" s="116">
        <v>407.1</v>
      </c>
      <c r="C572" s="116">
        <v>396.85</v>
      </c>
      <c r="D572" s="116">
        <v>395.2</v>
      </c>
      <c r="E572" s="116">
        <v>395.6</v>
      </c>
      <c r="F572" s="116">
        <v>396.85</v>
      </c>
      <c r="G572">
        <v>78391</v>
      </c>
      <c r="H572" s="116"/>
      <c r="I572" s="116"/>
      <c r="L572" s="170">
        <v>44533</v>
      </c>
      <c r="M572" s="116">
        <v>396.95</v>
      </c>
      <c r="N572" s="116">
        <v>407.45</v>
      </c>
      <c r="O572" s="116">
        <v>395.1</v>
      </c>
      <c r="P572" s="116">
        <v>398.7</v>
      </c>
      <c r="Q572" s="116">
        <v>396.95</v>
      </c>
      <c r="R572">
        <v>716070</v>
      </c>
    </row>
    <row r="573" spans="1:18" x14ac:dyDescent="0.25">
      <c r="A573" s="170">
        <v>44536</v>
      </c>
      <c r="B573" s="116">
        <v>401.9</v>
      </c>
      <c r="C573" s="116">
        <v>391.7</v>
      </c>
      <c r="D573" s="116">
        <v>389.35</v>
      </c>
      <c r="E573" s="116">
        <v>401.9</v>
      </c>
      <c r="F573" s="116">
        <v>391.7</v>
      </c>
      <c r="G573">
        <v>44573</v>
      </c>
      <c r="H573" s="116"/>
      <c r="I573" s="116"/>
      <c r="L573" s="170">
        <v>44536</v>
      </c>
      <c r="M573" s="116">
        <v>391.55</v>
      </c>
      <c r="N573" s="116">
        <v>402.15</v>
      </c>
      <c r="O573" s="116">
        <v>389.45</v>
      </c>
      <c r="P573" s="116">
        <v>399.5</v>
      </c>
      <c r="Q573" s="116">
        <v>391.55</v>
      </c>
      <c r="R573">
        <v>462816</v>
      </c>
    </row>
    <row r="574" spans="1:18" x14ac:dyDescent="0.25">
      <c r="A574" s="170">
        <v>44537</v>
      </c>
      <c r="B574" s="116">
        <v>396.25</v>
      </c>
      <c r="C574" s="116">
        <v>386.7</v>
      </c>
      <c r="D574" s="116">
        <v>385.5</v>
      </c>
      <c r="E574" s="116">
        <v>391.7</v>
      </c>
      <c r="F574" s="116">
        <v>386.7</v>
      </c>
      <c r="G574">
        <v>67075</v>
      </c>
      <c r="H574" s="116"/>
      <c r="I574" s="116"/>
      <c r="L574" s="170">
        <v>44537</v>
      </c>
      <c r="M574" s="116">
        <v>386.65</v>
      </c>
      <c r="N574" s="116">
        <v>396.4</v>
      </c>
      <c r="O574" s="116">
        <v>385.5</v>
      </c>
      <c r="P574" s="116">
        <v>394.75</v>
      </c>
      <c r="Q574" s="116">
        <v>386.65</v>
      </c>
      <c r="R574">
        <v>466751</v>
      </c>
    </row>
    <row r="575" spans="1:18" x14ac:dyDescent="0.25">
      <c r="A575" s="170">
        <v>44538</v>
      </c>
      <c r="B575" s="116">
        <v>393.55</v>
      </c>
      <c r="C575" s="116">
        <v>388.05</v>
      </c>
      <c r="D575" s="116">
        <v>386.6</v>
      </c>
      <c r="E575" s="116">
        <v>391.9</v>
      </c>
      <c r="F575" s="116">
        <v>388.05</v>
      </c>
      <c r="G575">
        <v>57371</v>
      </c>
      <c r="H575" s="116"/>
      <c r="I575" s="116"/>
      <c r="L575" s="170">
        <v>44538</v>
      </c>
      <c r="M575" s="116">
        <v>388.05</v>
      </c>
      <c r="N575" s="116">
        <v>393.5</v>
      </c>
      <c r="O575" s="116">
        <v>386.55</v>
      </c>
      <c r="P575" s="116">
        <v>391</v>
      </c>
      <c r="Q575" s="116">
        <v>388.05</v>
      </c>
      <c r="R575">
        <v>371901</v>
      </c>
    </row>
    <row r="576" spans="1:18" x14ac:dyDescent="0.25">
      <c r="A576" s="170">
        <v>44539</v>
      </c>
      <c r="B576" s="116">
        <v>406.35</v>
      </c>
      <c r="C576" s="116">
        <v>398.4</v>
      </c>
      <c r="D576" s="116">
        <v>390</v>
      </c>
      <c r="E576" s="116">
        <v>391.7</v>
      </c>
      <c r="F576" s="116">
        <v>398.4</v>
      </c>
      <c r="G576">
        <v>117673</v>
      </c>
      <c r="H576" s="116"/>
      <c r="I576" s="116"/>
      <c r="L576" s="170">
        <v>44539</v>
      </c>
      <c r="M576" s="116">
        <v>398.55</v>
      </c>
      <c r="N576" s="116">
        <v>406.95</v>
      </c>
      <c r="O576" s="116">
        <v>389.65</v>
      </c>
      <c r="P576" s="116">
        <v>391</v>
      </c>
      <c r="Q576" s="116">
        <v>398.55</v>
      </c>
      <c r="R576">
        <v>914041</v>
      </c>
    </row>
    <row r="577" spans="1:18" x14ac:dyDescent="0.25">
      <c r="A577" s="170">
        <v>44540</v>
      </c>
      <c r="B577" s="116">
        <v>400.65</v>
      </c>
      <c r="C577" s="116">
        <v>391.9</v>
      </c>
      <c r="D577" s="116">
        <v>388.3</v>
      </c>
      <c r="E577" s="116">
        <v>396.5</v>
      </c>
      <c r="F577" s="116">
        <v>391.9</v>
      </c>
      <c r="G577">
        <v>46254</v>
      </c>
      <c r="H577" s="116"/>
      <c r="I577" s="116"/>
      <c r="L577" s="170">
        <v>44540</v>
      </c>
      <c r="M577" s="116">
        <v>391.85</v>
      </c>
      <c r="N577" s="116">
        <v>401.05</v>
      </c>
      <c r="O577" s="116">
        <v>388.35</v>
      </c>
      <c r="P577" s="116">
        <v>398</v>
      </c>
      <c r="Q577" s="116">
        <v>391.85</v>
      </c>
      <c r="R577">
        <v>685016</v>
      </c>
    </row>
    <row r="578" spans="1:18" x14ac:dyDescent="0.25">
      <c r="A578" s="170">
        <v>44543</v>
      </c>
      <c r="B578" s="116">
        <v>401.95</v>
      </c>
      <c r="C578" s="116">
        <v>389.45</v>
      </c>
      <c r="D578" s="116">
        <v>386.6</v>
      </c>
      <c r="E578" s="116">
        <v>391.9</v>
      </c>
      <c r="F578" s="116">
        <v>389.45</v>
      </c>
      <c r="G578">
        <v>89755</v>
      </c>
      <c r="H578" s="116"/>
      <c r="I578" s="116"/>
      <c r="L578" s="170">
        <v>44543</v>
      </c>
      <c r="M578" s="116">
        <v>389.45</v>
      </c>
      <c r="N578" s="116">
        <v>401.9</v>
      </c>
      <c r="O578" s="116">
        <v>386.7</v>
      </c>
      <c r="P578" s="116">
        <v>393.55</v>
      </c>
      <c r="Q578" s="116">
        <v>389.45</v>
      </c>
      <c r="R578">
        <v>1051783</v>
      </c>
    </row>
    <row r="579" spans="1:18" x14ac:dyDescent="0.25">
      <c r="A579" s="170">
        <v>44544</v>
      </c>
      <c r="B579" s="116">
        <v>393.15</v>
      </c>
      <c r="C579" s="116">
        <v>384.55</v>
      </c>
      <c r="D579" s="116">
        <v>383.45</v>
      </c>
      <c r="E579" s="116">
        <v>388.7</v>
      </c>
      <c r="F579" s="116">
        <v>384.55</v>
      </c>
      <c r="G579">
        <v>90279</v>
      </c>
      <c r="H579" s="116"/>
      <c r="I579" s="116"/>
      <c r="L579" s="170">
        <v>44544</v>
      </c>
      <c r="M579" s="116">
        <v>384.45</v>
      </c>
      <c r="N579" s="116">
        <v>393</v>
      </c>
      <c r="O579" s="116">
        <v>383.35</v>
      </c>
      <c r="P579" s="116">
        <v>386.7</v>
      </c>
      <c r="Q579" s="116">
        <v>384.45</v>
      </c>
      <c r="R579">
        <v>666603</v>
      </c>
    </row>
    <row r="580" spans="1:18" x14ac:dyDescent="0.25">
      <c r="A580" s="170">
        <v>44545</v>
      </c>
      <c r="B580" s="116">
        <v>396.5</v>
      </c>
      <c r="C580" s="116">
        <v>386.9</v>
      </c>
      <c r="D580" s="116">
        <v>383</v>
      </c>
      <c r="E580" s="116">
        <v>383</v>
      </c>
      <c r="F580" s="116">
        <v>386.9</v>
      </c>
      <c r="G580">
        <v>129498</v>
      </c>
      <c r="H580" s="116"/>
      <c r="I580" s="116"/>
      <c r="L580" s="170">
        <v>44545</v>
      </c>
      <c r="M580" s="116">
        <v>386.95</v>
      </c>
      <c r="N580" s="116">
        <v>397</v>
      </c>
      <c r="O580" s="116">
        <v>385.25</v>
      </c>
      <c r="P580" s="116">
        <v>385.95</v>
      </c>
      <c r="Q580" s="116">
        <v>386.95</v>
      </c>
      <c r="R580">
        <v>740571</v>
      </c>
    </row>
    <row r="581" spans="1:18" x14ac:dyDescent="0.25">
      <c r="A581" s="170">
        <v>44546</v>
      </c>
      <c r="B581" s="116">
        <v>398.95</v>
      </c>
      <c r="C581" s="116">
        <v>389.2</v>
      </c>
      <c r="D581" s="116">
        <v>387.25</v>
      </c>
      <c r="E581" s="116">
        <v>396</v>
      </c>
      <c r="F581" s="116">
        <v>389.2</v>
      </c>
      <c r="G581">
        <v>70315</v>
      </c>
      <c r="H581" s="116"/>
      <c r="I581" s="116"/>
      <c r="L581" s="170">
        <v>44546</v>
      </c>
      <c r="M581" s="116">
        <v>389.45</v>
      </c>
      <c r="N581" s="116">
        <v>399</v>
      </c>
      <c r="O581" s="116">
        <v>387.05</v>
      </c>
      <c r="P581" s="116">
        <v>395</v>
      </c>
      <c r="Q581" s="116">
        <v>389.45</v>
      </c>
      <c r="R581">
        <v>697408</v>
      </c>
    </row>
    <row r="582" spans="1:18" x14ac:dyDescent="0.25">
      <c r="A582" s="170">
        <v>44547</v>
      </c>
      <c r="B582" s="116">
        <v>392</v>
      </c>
      <c r="C582" s="116">
        <v>384.85</v>
      </c>
      <c r="D582" s="116">
        <v>380.1</v>
      </c>
      <c r="E582" s="116">
        <v>392</v>
      </c>
      <c r="F582" s="116">
        <v>384.85</v>
      </c>
      <c r="G582">
        <v>71987</v>
      </c>
      <c r="H582" s="116"/>
      <c r="I582" s="116"/>
      <c r="L582" s="170">
        <v>44547</v>
      </c>
      <c r="M582" s="116">
        <v>384.9</v>
      </c>
      <c r="N582" s="116">
        <v>391.8</v>
      </c>
      <c r="O582" s="116">
        <v>380.15</v>
      </c>
      <c r="P582" s="116">
        <v>390</v>
      </c>
      <c r="Q582" s="116">
        <v>384.9</v>
      </c>
      <c r="R582">
        <v>792589</v>
      </c>
    </row>
    <row r="583" spans="1:18" x14ac:dyDescent="0.25">
      <c r="A583" s="170">
        <v>44550</v>
      </c>
      <c r="B583" s="116">
        <v>383.8</v>
      </c>
      <c r="C583" s="116">
        <v>377.3</v>
      </c>
      <c r="D583" s="116">
        <v>372.05</v>
      </c>
      <c r="E583" s="116">
        <v>383.8</v>
      </c>
      <c r="F583" s="116">
        <v>377.3</v>
      </c>
      <c r="G583">
        <v>70350</v>
      </c>
      <c r="H583" s="116"/>
      <c r="I583" s="116"/>
      <c r="L583" s="170">
        <v>44550</v>
      </c>
      <c r="M583" s="116">
        <v>377.05</v>
      </c>
      <c r="N583" s="116">
        <v>382.9</v>
      </c>
      <c r="O583" s="116">
        <v>371.8</v>
      </c>
      <c r="P583" s="116">
        <v>380</v>
      </c>
      <c r="Q583" s="116">
        <v>377.05</v>
      </c>
      <c r="R583">
        <v>776218</v>
      </c>
    </row>
    <row r="584" spans="1:18" x14ac:dyDescent="0.25">
      <c r="A584" s="170">
        <v>44551</v>
      </c>
      <c r="B584" s="116">
        <v>386.75</v>
      </c>
      <c r="C584" s="116">
        <v>378.15</v>
      </c>
      <c r="D584" s="116">
        <v>376.05</v>
      </c>
      <c r="E584" s="116">
        <v>380.85</v>
      </c>
      <c r="F584" s="116">
        <v>378.15</v>
      </c>
      <c r="G584">
        <v>81102</v>
      </c>
      <c r="H584" s="116"/>
      <c r="I584" s="116"/>
      <c r="L584" s="170">
        <v>44551</v>
      </c>
      <c r="M584" s="116">
        <v>378</v>
      </c>
      <c r="N584" s="116">
        <v>386.8</v>
      </c>
      <c r="O584" s="116">
        <v>376</v>
      </c>
      <c r="P584" s="116">
        <v>379.8</v>
      </c>
      <c r="Q584" s="116">
        <v>378</v>
      </c>
      <c r="R584">
        <v>432812</v>
      </c>
    </row>
    <row r="585" spans="1:18" x14ac:dyDescent="0.25">
      <c r="A585" s="170">
        <v>44552</v>
      </c>
      <c r="B585" s="116">
        <v>383.55</v>
      </c>
      <c r="C585" s="116">
        <v>379.75</v>
      </c>
      <c r="D585" s="116">
        <v>377.65</v>
      </c>
      <c r="E585" s="116">
        <v>379</v>
      </c>
      <c r="F585" s="116">
        <v>379.75</v>
      </c>
      <c r="G585">
        <v>44249</v>
      </c>
      <c r="H585" s="116"/>
      <c r="I585" s="116"/>
      <c r="L585" s="170">
        <v>44552</v>
      </c>
      <c r="M585" s="116">
        <v>379.95</v>
      </c>
      <c r="N585" s="116">
        <v>383.45</v>
      </c>
      <c r="O585" s="116">
        <v>377.8</v>
      </c>
      <c r="P585" s="116">
        <v>381</v>
      </c>
      <c r="Q585" s="116">
        <v>379.95</v>
      </c>
      <c r="R585">
        <v>213088</v>
      </c>
    </row>
    <row r="586" spans="1:18" x14ac:dyDescent="0.25">
      <c r="A586" s="170">
        <v>44553</v>
      </c>
      <c r="B586" s="116">
        <v>384.3</v>
      </c>
      <c r="C586" s="116">
        <v>378.05</v>
      </c>
      <c r="D586" s="116">
        <v>377.15</v>
      </c>
      <c r="E586" s="116">
        <v>383.6</v>
      </c>
      <c r="F586" s="116">
        <v>378.05</v>
      </c>
      <c r="G586">
        <v>35261</v>
      </c>
      <c r="H586" s="116"/>
      <c r="I586" s="116"/>
      <c r="L586" s="170">
        <v>44553</v>
      </c>
      <c r="M586" s="116">
        <v>378.05</v>
      </c>
      <c r="N586" s="116">
        <v>384.3</v>
      </c>
      <c r="O586" s="116">
        <v>377</v>
      </c>
      <c r="P586" s="116">
        <v>382.45</v>
      </c>
      <c r="Q586" s="116">
        <v>378.05</v>
      </c>
      <c r="R586">
        <v>316807</v>
      </c>
    </row>
    <row r="587" spans="1:18" x14ac:dyDescent="0.25">
      <c r="A587" s="170">
        <v>44554</v>
      </c>
      <c r="B587" s="116">
        <v>387.25</v>
      </c>
      <c r="C587" s="116">
        <v>381.1</v>
      </c>
      <c r="D587" s="116">
        <v>376.55</v>
      </c>
      <c r="E587" s="116">
        <v>383.8</v>
      </c>
      <c r="F587" s="116">
        <v>381.1</v>
      </c>
      <c r="G587">
        <v>66657</v>
      </c>
      <c r="H587" s="116"/>
      <c r="I587" s="116"/>
      <c r="L587" s="170">
        <v>44554</v>
      </c>
      <c r="M587" s="116">
        <v>381.3</v>
      </c>
      <c r="N587" s="116">
        <v>387.7</v>
      </c>
      <c r="O587" s="116">
        <v>376.5</v>
      </c>
      <c r="P587" s="116">
        <v>380.85</v>
      </c>
      <c r="Q587" s="116">
        <v>381.3</v>
      </c>
      <c r="R587">
        <v>482484</v>
      </c>
    </row>
    <row r="588" spans="1:18" x14ac:dyDescent="0.25">
      <c r="A588" s="170">
        <v>44557</v>
      </c>
      <c r="B588" s="116">
        <v>383.6</v>
      </c>
      <c r="C588" s="116">
        <v>379.7</v>
      </c>
      <c r="D588" s="116">
        <v>377</v>
      </c>
      <c r="E588" s="116">
        <v>378.25</v>
      </c>
      <c r="F588" s="116">
        <v>379.7</v>
      </c>
      <c r="G588">
        <v>23393</v>
      </c>
      <c r="H588" s="116"/>
      <c r="I588" s="116"/>
      <c r="L588" s="170">
        <v>44557</v>
      </c>
      <c r="M588" s="116">
        <v>379.6</v>
      </c>
      <c r="N588" s="116">
        <v>383.7</v>
      </c>
      <c r="O588" s="116">
        <v>377</v>
      </c>
      <c r="P588" s="116">
        <v>382.5</v>
      </c>
      <c r="Q588" s="116">
        <v>379.6</v>
      </c>
      <c r="R588">
        <v>216466</v>
      </c>
    </row>
    <row r="589" spans="1:18" x14ac:dyDescent="0.25">
      <c r="A589" s="170">
        <v>44558</v>
      </c>
      <c r="B589" s="116">
        <v>385.65</v>
      </c>
      <c r="C589" s="116">
        <v>380.65</v>
      </c>
      <c r="D589" s="116">
        <v>380</v>
      </c>
      <c r="E589" s="116">
        <v>380</v>
      </c>
      <c r="F589" s="116">
        <v>380.65</v>
      </c>
      <c r="G589">
        <v>52286</v>
      </c>
      <c r="H589" s="116"/>
      <c r="I589" s="116"/>
      <c r="L589" s="170">
        <v>44558</v>
      </c>
      <c r="M589" s="116">
        <v>380.65</v>
      </c>
      <c r="N589" s="116">
        <v>385.9</v>
      </c>
      <c r="O589" s="116">
        <v>380</v>
      </c>
      <c r="P589" s="116">
        <v>380</v>
      </c>
      <c r="Q589" s="116">
        <v>380.65</v>
      </c>
      <c r="R589">
        <v>294950</v>
      </c>
    </row>
    <row r="590" spans="1:18" x14ac:dyDescent="0.25">
      <c r="A590" s="170">
        <v>44559</v>
      </c>
      <c r="B590" s="116">
        <v>384.7</v>
      </c>
      <c r="C590" s="116">
        <v>378.95</v>
      </c>
      <c r="D590" s="116">
        <v>378</v>
      </c>
      <c r="E590" s="116">
        <v>380</v>
      </c>
      <c r="F590" s="116">
        <v>378.95</v>
      </c>
      <c r="G590">
        <v>38080</v>
      </c>
      <c r="H590" s="116"/>
      <c r="I590" s="116"/>
      <c r="L590" s="170">
        <v>44559</v>
      </c>
      <c r="M590" s="116">
        <v>378.9</v>
      </c>
      <c r="N590" s="116">
        <v>384.8</v>
      </c>
      <c r="O590" s="116">
        <v>378.05</v>
      </c>
      <c r="P590" s="116">
        <v>380</v>
      </c>
      <c r="Q590" s="116">
        <v>378.9</v>
      </c>
      <c r="R590">
        <v>335898</v>
      </c>
    </row>
    <row r="591" spans="1:18" x14ac:dyDescent="0.25">
      <c r="A591" s="170">
        <v>44560</v>
      </c>
      <c r="B591" s="116">
        <v>387</v>
      </c>
      <c r="C591" s="116">
        <v>381.85</v>
      </c>
      <c r="D591" s="116">
        <v>378.05</v>
      </c>
      <c r="E591" s="116">
        <v>380</v>
      </c>
      <c r="F591" s="116">
        <v>381.85</v>
      </c>
      <c r="G591">
        <v>49098</v>
      </c>
      <c r="H591" s="116"/>
      <c r="I591" s="116"/>
      <c r="L591" s="170">
        <v>44560</v>
      </c>
      <c r="M591" s="116">
        <v>382.7</v>
      </c>
      <c r="N591" s="116">
        <v>385.8</v>
      </c>
      <c r="O591" s="116">
        <v>378.05</v>
      </c>
      <c r="P591" s="116">
        <v>379</v>
      </c>
      <c r="Q591" s="116">
        <v>382.7</v>
      </c>
      <c r="R591">
        <v>471498</v>
      </c>
    </row>
    <row r="592" spans="1:18" x14ac:dyDescent="0.25">
      <c r="A592" s="170">
        <v>44561</v>
      </c>
      <c r="B592" s="116">
        <v>393</v>
      </c>
      <c r="C592" s="116">
        <v>382.25</v>
      </c>
      <c r="D592" s="116">
        <v>378.55</v>
      </c>
      <c r="E592" s="116">
        <v>390</v>
      </c>
      <c r="F592" s="116">
        <v>382.25</v>
      </c>
      <c r="G592">
        <v>108074</v>
      </c>
      <c r="H592" s="116"/>
      <c r="I592" s="116"/>
      <c r="L592" s="170">
        <v>44561</v>
      </c>
      <c r="M592" s="116">
        <v>382.4</v>
      </c>
      <c r="N592" s="116">
        <v>393</v>
      </c>
      <c r="O592" s="116">
        <v>378.6</v>
      </c>
      <c r="P592" s="116">
        <v>389</v>
      </c>
      <c r="Q592" s="116">
        <v>382.4</v>
      </c>
      <c r="R592">
        <v>1108337</v>
      </c>
    </row>
    <row r="593" spans="1:18" x14ac:dyDescent="0.25">
      <c r="A593" s="170">
        <v>44564</v>
      </c>
      <c r="B593" s="116">
        <v>398.65</v>
      </c>
      <c r="C593" s="116">
        <v>385.95</v>
      </c>
      <c r="D593" s="116">
        <v>382.3</v>
      </c>
      <c r="E593" s="116">
        <v>384.9</v>
      </c>
      <c r="F593" s="116">
        <v>385.95</v>
      </c>
      <c r="G593">
        <v>130613</v>
      </c>
      <c r="H593" s="116"/>
      <c r="I593" s="116"/>
      <c r="L593" s="170">
        <v>44564</v>
      </c>
      <c r="M593" s="116">
        <v>386</v>
      </c>
      <c r="N593" s="116">
        <v>398.3</v>
      </c>
      <c r="O593" s="116">
        <v>382.7</v>
      </c>
      <c r="P593" s="116">
        <v>383</v>
      </c>
      <c r="Q593" s="116">
        <v>386</v>
      </c>
      <c r="R593">
        <v>1214692</v>
      </c>
    </row>
    <row r="594" spans="1:18" x14ac:dyDescent="0.25">
      <c r="A594" s="170">
        <v>44565</v>
      </c>
      <c r="B594" s="116">
        <v>395.25</v>
      </c>
      <c r="C594" s="116">
        <v>383.45</v>
      </c>
      <c r="D594" s="116">
        <v>382.3</v>
      </c>
      <c r="E594" s="116">
        <v>395</v>
      </c>
      <c r="F594" s="116">
        <v>383.45</v>
      </c>
      <c r="G594">
        <v>61266</v>
      </c>
      <c r="H594" s="116"/>
      <c r="I594" s="116"/>
      <c r="L594" s="170">
        <v>44565</v>
      </c>
      <c r="M594" s="116">
        <v>383.5</v>
      </c>
      <c r="N594" s="116">
        <v>394</v>
      </c>
      <c r="O594" s="116">
        <v>382.25</v>
      </c>
      <c r="P594" s="116">
        <v>392.2</v>
      </c>
      <c r="Q594" s="116">
        <v>383.5</v>
      </c>
      <c r="R594">
        <v>696856</v>
      </c>
    </row>
    <row r="595" spans="1:18" x14ac:dyDescent="0.25">
      <c r="A595" s="170">
        <v>44566</v>
      </c>
      <c r="B595" s="116">
        <v>386</v>
      </c>
      <c r="C595" s="116">
        <v>381.95</v>
      </c>
      <c r="D595" s="116">
        <v>380</v>
      </c>
      <c r="E595" s="116">
        <v>384.9</v>
      </c>
      <c r="F595" s="116">
        <v>381.95</v>
      </c>
      <c r="G595">
        <v>44588</v>
      </c>
      <c r="H595" s="116"/>
      <c r="I595" s="116"/>
      <c r="L595" s="170">
        <v>44566</v>
      </c>
      <c r="M595" s="116">
        <v>382.25</v>
      </c>
      <c r="N595" s="116">
        <v>386.8</v>
      </c>
      <c r="O595" s="116">
        <v>381.2</v>
      </c>
      <c r="P595" s="116">
        <v>383.45</v>
      </c>
      <c r="Q595" s="116">
        <v>382.25</v>
      </c>
      <c r="R595">
        <v>596023</v>
      </c>
    </row>
    <row r="596" spans="1:18" x14ac:dyDescent="0.25">
      <c r="A596" s="170">
        <v>44567</v>
      </c>
      <c r="B596" s="116">
        <v>381.95</v>
      </c>
      <c r="C596" s="116">
        <v>377.45</v>
      </c>
      <c r="D596" s="116">
        <v>377</v>
      </c>
      <c r="E596" s="116">
        <v>381.95</v>
      </c>
      <c r="F596" s="116">
        <v>377.45</v>
      </c>
      <c r="G596">
        <v>38643</v>
      </c>
      <c r="H596" s="116"/>
      <c r="I596" s="116"/>
      <c r="L596" s="170">
        <v>44567</v>
      </c>
      <c r="M596" s="116">
        <v>377.5</v>
      </c>
      <c r="N596" s="116">
        <v>380.65</v>
      </c>
      <c r="O596" s="116">
        <v>377.1</v>
      </c>
      <c r="P596" s="116">
        <v>379.95</v>
      </c>
      <c r="Q596" s="116">
        <v>377.5</v>
      </c>
      <c r="R596">
        <v>447630</v>
      </c>
    </row>
    <row r="597" spans="1:18" x14ac:dyDescent="0.25">
      <c r="A597" s="170">
        <v>44568</v>
      </c>
      <c r="B597" s="116">
        <v>386.35</v>
      </c>
      <c r="C597" s="116">
        <v>377.5</v>
      </c>
      <c r="D597" s="116">
        <v>376</v>
      </c>
      <c r="E597" s="116">
        <v>379.95</v>
      </c>
      <c r="F597" s="116">
        <v>377.5</v>
      </c>
      <c r="G597">
        <v>85163</v>
      </c>
      <c r="H597" s="116"/>
      <c r="I597" s="116"/>
      <c r="L597" s="170">
        <v>44568</v>
      </c>
      <c r="M597" s="116">
        <v>377.2</v>
      </c>
      <c r="N597" s="116">
        <v>386.4</v>
      </c>
      <c r="O597" s="116">
        <v>376.15</v>
      </c>
      <c r="P597" s="116">
        <v>380</v>
      </c>
      <c r="Q597" s="116">
        <v>377.2</v>
      </c>
      <c r="R597">
        <v>1036899</v>
      </c>
    </row>
    <row r="598" spans="1:18" x14ac:dyDescent="0.25">
      <c r="A598" s="170">
        <v>44571</v>
      </c>
      <c r="B598" s="116">
        <v>381.95</v>
      </c>
      <c r="C598" s="116">
        <v>378.1</v>
      </c>
      <c r="D598" s="116">
        <v>377</v>
      </c>
      <c r="E598" s="116">
        <v>381.95</v>
      </c>
      <c r="F598" s="116">
        <v>378.1</v>
      </c>
      <c r="G598">
        <v>102218</v>
      </c>
      <c r="H598" s="116"/>
      <c r="I598" s="116"/>
      <c r="L598" s="170">
        <v>44571</v>
      </c>
      <c r="M598" s="116">
        <v>378.1</v>
      </c>
      <c r="N598" s="116">
        <v>381.7</v>
      </c>
      <c r="O598" s="116">
        <v>377</v>
      </c>
      <c r="P598" s="116">
        <v>380.5</v>
      </c>
      <c r="Q598" s="116">
        <v>378.1</v>
      </c>
      <c r="R598">
        <v>631678</v>
      </c>
    </row>
    <row r="599" spans="1:18" x14ac:dyDescent="0.25">
      <c r="A599" s="170">
        <v>44572</v>
      </c>
      <c r="B599" s="116">
        <v>383.25</v>
      </c>
      <c r="C599" s="116">
        <v>376.2</v>
      </c>
      <c r="D599" s="116">
        <v>375.05</v>
      </c>
      <c r="E599" s="116">
        <v>377.5</v>
      </c>
      <c r="F599" s="116">
        <v>376.2</v>
      </c>
      <c r="G599">
        <v>107635</v>
      </c>
      <c r="H599" s="116"/>
      <c r="I599" s="116"/>
      <c r="L599" s="170">
        <v>44572</v>
      </c>
      <c r="M599" s="116">
        <v>376.2</v>
      </c>
      <c r="N599" s="116">
        <v>383.5</v>
      </c>
      <c r="O599" s="116">
        <v>375.05</v>
      </c>
      <c r="P599" s="116">
        <v>378.8</v>
      </c>
      <c r="Q599" s="116">
        <v>376.2</v>
      </c>
      <c r="R599">
        <v>701052</v>
      </c>
    </row>
    <row r="600" spans="1:18" x14ac:dyDescent="0.25">
      <c r="A600" s="170">
        <v>44573</v>
      </c>
      <c r="B600" s="116">
        <v>378.3</v>
      </c>
      <c r="C600" s="116">
        <v>373.85</v>
      </c>
      <c r="D600" s="116">
        <v>372.9</v>
      </c>
      <c r="E600" s="116">
        <v>378.05</v>
      </c>
      <c r="F600" s="116">
        <v>373.85</v>
      </c>
      <c r="G600">
        <v>79505</v>
      </c>
      <c r="H600" s="116"/>
      <c r="I600" s="116"/>
      <c r="L600" s="170">
        <v>44573</v>
      </c>
      <c r="M600" s="116">
        <v>374</v>
      </c>
      <c r="N600" s="116">
        <v>379</v>
      </c>
      <c r="O600" s="116">
        <v>372.35</v>
      </c>
      <c r="P600" s="116">
        <v>379</v>
      </c>
      <c r="Q600" s="116">
        <v>374</v>
      </c>
      <c r="R600">
        <v>539808</v>
      </c>
    </row>
    <row r="601" spans="1:18" x14ac:dyDescent="0.25">
      <c r="A601" s="170">
        <v>44574</v>
      </c>
      <c r="B601" s="116">
        <v>394.4</v>
      </c>
      <c r="C601" s="116">
        <v>392.2</v>
      </c>
      <c r="D601" s="116">
        <v>373</v>
      </c>
      <c r="E601" s="116">
        <v>374.3</v>
      </c>
      <c r="F601" s="116">
        <v>392.2</v>
      </c>
      <c r="G601">
        <v>153786</v>
      </c>
      <c r="H601" s="116"/>
      <c r="I601" s="116"/>
      <c r="L601" s="170">
        <v>44574</v>
      </c>
      <c r="M601" s="116">
        <v>391.9</v>
      </c>
      <c r="N601" s="116">
        <v>394.3</v>
      </c>
      <c r="O601" s="116">
        <v>373</v>
      </c>
      <c r="P601" s="116">
        <v>376</v>
      </c>
      <c r="Q601" s="116">
        <v>391.9</v>
      </c>
      <c r="R601">
        <v>1969047</v>
      </c>
    </row>
    <row r="602" spans="1:18" x14ac:dyDescent="0.25">
      <c r="A602" s="170">
        <v>44575</v>
      </c>
      <c r="B602" s="116">
        <v>419.5</v>
      </c>
      <c r="C602" s="116">
        <v>409.65</v>
      </c>
      <c r="D602" s="116">
        <v>388.7</v>
      </c>
      <c r="E602" s="116">
        <v>392.2</v>
      </c>
      <c r="F602" s="116">
        <v>409.65</v>
      </c>
      <c r="G602">
        <v>523220</v>
      </c>
      <c r="H602" s="116"/>
      <c r="I602" s="116"/>
      <c r="L602" s="170">
        <v>44575</v>
      </c>
      <c r="M602" s="116">
        <v>409.65</v>
      </c>
      <c r="N602" s="116">
        <v>419.4</v>
      </c>
      <c r="O602" s="116">
        <v>388.85</v>
      </c>
      <c r="P602" s="116">
        <v>391.5</v>
      </c>
      <c r="Q602" s="116">
        <v>409.65</v>
      </c>
      <c r="R602">
        <v>4249713</v>
      </c>
    </row>
    <row r="603" spans="1:18" x14ac:dyDescent="0.25">
      <c r="A603" s="170">
        <v>44578</v>
      </c>
      <c r="B603" s="116">
        <v>423.15</v>
      </c>
      <c r="C603" s="116">
        <v>417.6</v>
      </c>
      <c r="D603" s="116">
        <v>412.8</v>
      </c>
      <c r="E603" s="116">
        <v>413.95</v>
      </c>
      <c r="F603" s="116">
        <v>417.6</v>
      </c>
      <c r="G603">
        <v>191382</v>
      </c>
      <c r="H603" s="116"/>
      <c r="I603" s="116"/>
      <c r="L603" s="170">
        <v>44578</v>
      </c>
      <c r="M603" s="116">
        <v>417.75</v>
      </c>
      <c r="N603" s="116">
        <v>423.45</v>
      </c>
      <c r="O603" s="116">
        <v>412.2</v>
      </c>
      <c r="P603" s="116">
        <v>413</v>
      </c>
      <c r="Q603" s="116">
        <v>417.75</v>
      </c>
      <c r="R603">
        <v>1330165</v>
      </c>
    </row>
    <row r="604" spans="1:18" x14ac:dyDescent="0.25">
      <c r="A604" s="170">
        <v>44579</v>
      </c>
      <c r="B604" s="116">
        <v>420.15</v>
      </c>
      <c r="C604" s="116">
        <v>395.5</v>
      </c>
      <c r="D604" s="116">
        <v>392</v>
      </c>
      <c r="E604" s="116">
        <v>420</v>
      </c>
      <c r="F604" s="116">
        <v>395.5</v>
      </c>
      <c r="G604">
        <v>101409</v>
      </c>
      <c r="H604" s="116"/>
      <c r="I604" s="116"/>
      <c r="L604" s="170">
        <v>44579</v>
      </c>
      <c r="M604" s="116">
        <v>395.3</v>
      </c>
      <c r="N604" s="116">
        <v>420</v>
      </c>
      <c r="O604" s="116">
        <v>391.5</v>
      </c>
      <c r="P604" s="116">
        <v>419</v>
      </c>
      <c r="Q604" s="116">
        <v>395.3</v>
      </c>
      <c r="R604">
        <v>1063570</v>
      </c>
    </row>
    <row r="605" spans="1:18" x14ac:dyDescent="0.25">
      <c r="A605" s="170">
        <v>44580</v>
      </c>
      <c r="B605" s="116">
        <v>407</v>
      </c>
      <c r="C605" s="116">
        <v>403.8</v>
      </c>
      <c r="D605" s="116">
        <v>389.15</v>
      </c>
      <c r="E605" s="116">
        <v>395.95</v>
      </c>
      <c r="F605" s="116">
        <v>403.8</v>
      </c>
      <c r="G605">
        <v>129816</v>
      </c>
      <c r="H605" s="116"/>
      <c r="I605" s="116"/>
      <c r="L605" s="170">
        <v>44580</v>
      </c>
      <c r="M605" s="116">
        <v>404.2</v>
      </c>
      <c r="N605" s="116">
        <v>407.15</v>
      </c>
      <c r="O605" s="116">
        <v>389</v>
      </c>
      <c r="P605" s="116">
        <v>395.9</v>
      </c>
      <c r="Q605" s="116">
        <v>404.2</v>
      </c>
      <c r="R605">
        <v>763149</v>
      </c>
    </row>
    <row r="606" spans="1:18" x14ac:dyDescent="0.25">
      <c r="A606" s="170">
        <v>44581</v>
      </c>
      <c r="B606" s="116">
        <v>409.6</v>
      </c>
      <c r="C606" s="116">
        <v>405.6</v>
      </c>
      <c r="D606" s="116">
        <v>401.55</v>
      </c>
      <c r="E606" s="116">
        <v>407</v>
      </c>
      <c r="F606" s="116">
        <v>405.6</v>
      </c>
      <c r="G606">
        <v>109955</v>
      </c>
      <c r="H606" s="116"/>
      <c r="I606" s="116"/>
      <c r="L606" s="170">
        <v>44581</v>
      </c>
      <c r="M606" s="116">
        <v>405.75</v>
      </c>
      <c r="N606" s="116">
        <v>409.45</v>
      </c>
      <c r="O606" s="116">
        <v>401.05</v>
      </c>
      <c r="P606" s="116">
        <v>407.3</v>
      </c>
      <c r="Q606" s="116">
        <v>405.75</v>
      </c>
      <c r="R606">
        <v>897391</v>
      </c>
    </row>
    <row r="607" spans="1:18" x14ac:dyDescent="0.25">
      <c r="A607" s="170">
        <v>44582</v>
      </c>
      <c r="B607" s="116">
        <v>408.9</v>
      </c>
      <c r="C607" s="116">
        <v>396.05</v>
      </c>
      <c r="D607" s="116">
        <v>389.7</v>
      </c>
      <c r="E607" s="116">
        <v>405.95</v>
      </c>
      <c r="F607" s="116">
        <v>396.05</v>
      </c>
      <c r="G607">
        <v>89903</v>
      </c>
      <c r="H607" s="116"/>
      <c r="I607" s="116"/>
      <c r="L607" s="170">
        <v>44582</v>
      </c>
      <c r="M607" s="116">
        <v>396.65</v>
      </c>
      <c r="N607" s="116">
        <v>408.9</v>
      </c>
      <c r="O607" s="116">
        <v>389.25</v>
      </c>
      <c r="P607" s="116">
        <v>404</v>
      </c>
      <c r="Q607" s="116">
        <v>396.65</v>
      </c>
      <c r="R607">
        <v>773178</v>
      </c>
    </row>
    <row r="608" spans="1:18" x14ac:dyDescent="0.25">
      <c r="A608" s="170">
        <v>44585</v>
      </c>
      <c r="B608" s="116">
        <v>399.2</v>
      </c>
      <c r="C608" s="116">
        <v>378.1</v>
      </c>
      <c r="D608" s="116">
        <v>375</v>
      </c>
      <c r="E608" s="116">
        <v>397</v>
      </c>
      <c r="F608" s="116">
        <v>378.1</v>
      </c>
      <c r="G608">
        <v>83761</v>
      </c>
      <c r="H608" s="116"/>
      <c r="I608" s="116"/>
      <c r="L608" s="170">
        <v>44585</v>
      </c>
      <c r="M608" s="116">
        <v>377.75</v>
      </c>
      <c r="N608" s="116">
        <v>399.6</v>
      </c>
      <c r="O608" s="116">
        <v>375.05</v>
      </c>
      <c r="P608" s="116">
        <v>398</v>
      </c>
      <c r="Q608" s="116">
        <v>377.75</v>
      </c>
      <c r="R608">
        <v>758393</v>
      </c>
    </row>
    <row r="609" spans="1:18" x14ac:dyDescent="0.25">
      <c r="A609" s="170">
        <v>44586</v>
      </c>
      <c r="B609" s="116">
        <v>388.75</v>
      </c>
      <c r="C609" s="116">
        <v>383.15</v>
      </c>
      <c r="D609" s="116">
        <v>370.15</v>
      </c>
      <c r="E609" s="116">
        <v>373.05</v>
      </c>
      <c r="F609" s="116">
        <v>383.15</v>
      </c>
      <c r="G609">
        <v>98758</v>
      </c>
      <c r="H609" s="116"/>
      <c r="I609" s="116"/>
      <c r="L609" s="170">
        <v>44586</v>
      </c>
      <c r="M609" s="116">
        <v>383.25</v>
      </c>
      <c r="N609" s="116">
        <v>388.5</v>
      </c>
      <c r="O609" s="116">
        <v>370.45</v>
      </c>
      <c r="P609" s="116">
        <v>375.9</v>
      </c>
      <c r="Q609" s="116">
        <v>383.25</v>
      </c>
      <c r="R609">
        <v>437831</v>
      </c>
    </row>
    <row r="610" spans="1:18" x14ac:dyDescent="0.25">
      <c r="A610" s="170">
        <v>44588</v>
      </c>
      <c r="B610" s="116">
        <v>399.9</v>
      </c>
      <c r="C610" s="116">
        <v>387.45</v>
      </c>
      <c r="D610" s="116">
        <v>378.25</v>
      </c>
      <c r="E610" s="116">
        <v>389.9</v>
      </c>
      <c r="F610" s="116">
        <v>387.45</v>
      </c>
      <c r="G610">
        <v>123668</v>
      </c>
      <c r="H610" s="116"/>
      <c r="I610" s="116"/>
      <c r="L610" s="170">
        <v>44588</v>
      </c>
      <c r="M610" s="116">
        <v>389.7</v>
      </c>
      <c r="N610" s="116">
        <v>399.9</v>
      </c>
      <c r="O610" s="116">
        <v>377.95</v>
      </c>
      <c r="P610" s="116">
        <v>380</v>
      </c>
      <c r="Q610" s="116">
        <v>389.7</v>
      </c>
      <c r="R610">
        <v>682100</v>
      </c>
    </row>
    <row r="611" spans="1:18" x14ac:dyDescent="0.25">
      <c r="A611" s="170">
        <v>44589</v>
      </c>
      <c r="B611" s="116">
        <v>397.7</v>
      </c>
      <c r="C611" s="116">
        <v>385.65</v>
      </c>
      <c r="D611" s="116">
        <v>383.05</v>
      </c>
      <c r="E611" s="116">
        <v>393.7</v>
      </c>
      <c r="F611" s="116">
        <v>385.65</v>
      </c>
      <c r="G611">
        <v>48590</v>
      </c>
      <c r="H611" s="116"/>
      <c r="I611" s="116"/>
      <c r="L611" s="170">
        <v>44589</v>
      </c>
      <c r="M611" s="116">
        <v>385.35</v>
      </c>
      <c r="N611" s="116">
        <v>397.8</v>
      </c>
      <c r="O611" s="116">
        <v>383.1</v>
      </c>
      <c r="P611" s="116">
        <v>395</v>
      </c>
      <c r="Q611" s="116">
        <v>385.35</v>
      </c>
      <c r="R611">
        <v>354948</v>
      </c>
    </row>
    <row r="612" spans="1:18" x14ac:dyDescent="0.25">
      <c r="A612" s="170">
        <v>44592</v>
      </c>
      <c r="B612" s="116">
        <v>398.15</v>
      </c>
      <c r="C612" s="116">
        <v>394.5</v>
      </c>
      <c r="D612" s="116">
        <v>388.05</v>
      </c>
      <c r="E612" s="116">
        <v>395</v>
      </c>
      <c r="F612" s="116">
        <v>394.5</v>
      </c>
      <c r="G612">
        <v>70875</v>
      </c>
      <c r="H612" s="116"/>
      <c r="I612" s="116"/>
      <c r="L612" s="170">
        <v>44592</v>
      </c>
      <c r="M612" s="116">
        <v>394.35</v>
      </c>
      <c r="N612" s="116">
        <v>398.3</v>
      </c>
      <c r="O612" s="116">
        <v>388</v>
      </c>
      <c r="P612" s="116">
        <v>393.8</v>
      </c>
      <c r="Q612" s="116">
        <v>394.35</v>
      </c>
      <c r="R612">
        <v>464011</v>
      </c>
    </row>
    <row r="613" spans="1:18" x14ac:dyDescent="0.25">
      <c r="A613" s="170">
        <v>44593</v>
      </c>
      <c r="B613" s="116">
        <v>412.45</v>
      </c>
      <c r="C613" s="116">
        <v>398.15</v>
      </c>
      <c r="D613" s="116">
        <v>393</v>
      </c>
      <c r="E613" s="116">
        <v>396.1</v>
      </c>
      <c r="F613" s="116">
        <v>398.15</v>
      </c>
      <c r="G613">
        <v>207882</v>
      </c>
      <c r="H613" s="116"/>
      <c r="I613" s="116"/>
      <c r="L613" s="170">
        <v>44593</v>
      </c>
      <c r="M613" s="116">
        <v>398.1</v>
      </c>
      <c r="N613" s="116">
        <v>412.75</v>
      </c>
      <c r="O613" s="116">
        <v>392.95</v>
      </c>
      <c r="P613" s="116">
        <v>395.1</v>
      </c>
      <c r="Q613" s="116">
        <v>398.1</v>
      </c>
      <c r="R613">
        <v>1462440</v>
      </c>
    </row>
    <row r="614" spans="1:18" x14ac:dyDescent="0.25">
      <c r="A614" s="170">
        <v>44594</v>
      </c>
      <c r="B614" s="116">
        <v>406.4</v>
      </c>
      <c r="C614" s="116">
        <v>400.55</v>
      </c>
      <c r="D614" s="116">
        <v>398.9</v>
      </c>
      <c r="E614" s="116">
        <v>402</v>
      </c>
      <c r="F614" s="116">
        <v>400.55</v>
      </c>
      <c r="G614">
        <v>76882</v>
      </c>
      <c r="H614" s="116"/>
      <c r="I614" s="116"/>
      <c r="L614" s="170">
        <v>44594</v>
      </c>
      <c r="M614" s="116">
        <v>400.6</v>
      </c>
      <c r="N614" s="116">
        <v>406.5</v>
      </c>
      <c r="O614" s="116">
        <v>398.75</v>
      </c>
      <c r="P614" s="116">
        <v>402.15</v>
      </c>
      <c r="Q614" s="116">
        <v>400.6</v>
      </c>
      <c r="R614">
        <v>533162</v>
      </c>
    </row>
    <row r="615" spans="1:18" x14ac:dyDescent="0.25">
      <c r="A615" s="170">
        <v>44595</v>
      </c>
      <c r="B615" s="116">
        <v>403.95</v>
      </c>
      <c r="C615" s="116">
        <v>395.25</v>
      </c>
      <c r="D615" s="116">
        <v>394.3</v>
      </c>
      <c r="E615" s="116">
        <v>403.95</v>
      </c>
      <c r="F615" s="116">
        <v>395.25</v>
      </c>
      <c r="G615">
        <v>37258</v>
      </c>
      <c r="H615" s="116"/>
      <c r="I615" s="116"/>
      <c r="L615" s="170">
        <v>44595</v>
      </c>
      <c r="M615" s="116">
        <v>395.15</v>
      </c>
      <c r="N615" s="116">
        <v>402.9</v>
      </c>
      <c r="O615" s="116">
        <v>394.2</v>
      </c>
      <c r="P615" s="116">
        <v>401</v>
      </c>
      <c r="Q615" s="116">
        <v>395.15</v>
      </c>
      <c r="R615">
        <v>315564</v>
      </c>
    </row>
    <row r="616" spans="1:18" x14ac:dyDescent="0.25">
      <c r="A616" s="170">
        <v>44596</v>
      </c>
      <c r="B616" s="116">
        <v>395.3</v>
      </c>
      <c r="C616" s="116">
        <v>387.75</v>
      </c>
      <c r="D616" s="116">
        <v>386.5</v>
      </c>
      <c r="E616" s="116">
        <v>395</v>
      </c>
      <c r="F616" s="116">
        <v>387.75</v>
      </c>
      <c r="G616">
        <v>63873</v>
      </c>
      <c r="H616" s="116"/>
      <c r="I616" s="116"/>
      <c r="L616" s="170">
        <v>44596</v>
      </c>
      <c r="M616" s="116">
        <v>387.6</v>
      </c>
      <c r="N616" s="116">
        <v>395.5</v>
      </c>
      <c r="O616" s="116">
        <v>386.25</v>
      </c>
      <c r="P616" s="116">
        <v>395.15</v>
      </c>
      <c r="Q616" s="116">
        <v>387.6</v>
      </c>
      <c r="R616">
        <v>309478</v>
      </c>
    </row>
    <row r="617" spans="1:18" x14ac:dyDescent="0.25">
      <c r="A617" s="170">
        <v>44599</v>
      </c>
      <c r="B617" s="116">
        <v>390.3</v>
      </c>
      <c r="C617" s="116">
        <v>378</v>
      </c>
      <c r="D617" s="116">
        <v>375.05</v>
      </c>
      <c r="E617" s="116">
        <v>385</v>
      </c>
      <c r="F617" s="116">
        <v>378</v>
      </c>
      <c r="G617">
        <v>95920</v>
      </c>
      <c r="H617" s="116"/>
      <c r="I617" s="116"/>
      <c r="L617" s="170">
        <v>44599</v>
      </c>
      <c r="M617" s="116">
        <v>377.9</v>
      </c>
      <c r="N617" s="116">
        <v>389.85</v>
      </c>
      <c r="O617" s="116">
        <v>375</v>
      </c>
      <c r="P617" s="116">
        <v>388</v>
      </c>
      <c r="Q617" s="116">
        <v>377.9</v>
      </c>
      <c r="R617">
        <v>487724</v>
      </c>
    </row>
    <row r="618" spans="1:18" x14ac:dyDescent="0.25">
      <c r="A618" s="170">
        <v>44600</v>
      </c>
      <c r="B618" s="116">
        <v>382.8</v>
      </c>
      <c r="C618" s="116">
        <v>374.4</v>
      </c>
      <c r="D618" s="116">
        <v>371.6</v>
      </c>
      <c r="E618" s="116">
        <v>382.8</v>
      </c>
      <c r="F618" s="116">
        <v>374.4</v>
      </c>
      <c r="G618">
        <v>64749</v>
      </c>
      <c r="H618" s="116"/>
      <c r="I618" s="116"/>
      <c r="L618" s="170">
        <v>44600</v>
      </c>
      <c r="M618" s="116">
        <v>374.65</v>
      </c>
      <c r="N618" s="116">
        <v>381.9</v>
      </c>
      <c r="O618" s="116">
        <v>371.35</v>
      </c>
      <c r="P618" s="116">
        <v>380.25</v>
      </c>
      <c r="Q618" s="116">
        <v>374.65</v>
      </c>
      <c r="R618">
        <v>402799</v>
      </c>
    </row>
    <row r="619" spans="1:18" x14ac:dyDescent="0.25">
      <c r="A619" s="170">
        <v>44601</v>
      </c>
      <c r="B619" s="116">
        <v>379.9</v>
      </c>
      <c r="C619" s="116">
        <v>374.65</v>
      </c>
      <c r="D619" s="116">
        <v>373.5</v>
      </c>
      <c r="E619" s="116">
        <v>379.9</v>
      </c>
      <c r="F619" s="116">
        <v>374.65</v>
      </c>
      <c r="G619">
        <v>23682</v>
      </c>
      <c r="H619" s="116"/>
      <c r="I619" s="116"/>
      <c r="L619" s="170">
        <v>44601</v>
      </c>
      <c r="M619" s="116">
        <v>374.5</v>
      </c>
      <c r="N619" s="116">
        <v>379.45</v>
      </c>
      <c r="O619" s="116">
        <v>373.1</v>
      </c>
      <c r="P619" s="116">
        <v>377</v>
      </c>
      <c r="Q619" s="116">
        <v>374.5</v>
      </c>
      <c r="R619">
        <v>274833</v>
      </c>
    </row>
    <row r="620" spans="1:18" x14ac:dyDescent="0.25">
      <c r="A620" s="170">
        <v>44602</v>
      </c>
      <c r="B620" s="116">
        <v>385.5</v>
      </c>
      <c r="C620" s="116">
        <v>371.85</v>
      </c>
      <c r="D620" s="116">
        <v>368.75</v>
      </c>
      <c r="E620" s="116">
        <v>377</v>
      </c>
      <c r="F620" s="116">
        <v>371.85</v>
      </c>
      <c r="G620">
        <v>131412</v>
      </c>
      <c r="H620" s="116"/>
      <c r="I620" s="116"/>
      <c r="L620" s="170">
        <v>44602</v>
      </c>
      <c r="M620" s="116">
        <v>372.05</v>
      </c>
      <c r="N620" s="116">
        <v>385.7</v>
      </c>
      <c r="O620" s="116">
        <v>368.5</v>
      </c>
      <c r="P620" s="116">
        <v>380</v>
      </c>
      <c r="Q620" s="116">
        <v>372.05</v>
      </c>
      <c r="R620">
        <v>1008547</v>
      </c>
    </row>
    <row r="621" spans="1:18" x14ac:dyDescent="0.25">
      <c r="A621" s="170">
        <v>44603</v>
      </c>
      <c r="B621" s="116">
        <v>378</v>
      </c>
      <c r="C621" s="116">
        <v>371.15</v>
      </c>
      <c r="D621" s="116">
        <v>370</v>
      </c>
      <c r="E621" s="116">
        <v>372.9</v>
      </c>
      <c r="F621" s="116">
        <v>371.15</v>
      </c>
      <c r="G621">
        <v>52022</v>
      </c>
      <c r="H621" s="116"/>
      <c r="I621" s="116"/>
      <c r="L621" s="170">
        <v>44603</v>
      </c>
      <c r="M621" s="116">
        <v>371.25</v>
      </c>
      <c r="N621" s="116">
        <v>377.95</v>
      </c>
      <c r="O621" s="116">
        <v>369.4</v>
      </c>
      <c r="P621" s="116">
        <v>371</v>
      </c>
      <c r="Q621" s="116">
        <v>371.25</v>
      </c>
      <c r="R621">
        <v>458491</v>
      </c>
    </row>
    <row r="622" spans="1:18" x14ac:dyDescent="0.25">
      <c r="A622" s="170">
        <v>44606</v>
      </c>
      <c r="B622" s="116">
        <v>370</v>
      </c>
      <c r="C622" s="116">
        <v>356.45</v>
      </c>
      <c r="D622" s="116">
        <v>351.55</v>
      </c>
      <c r="E622" s="116">
        <v>370</v>
      </c>
      <c r="F622" s="116">
        <v>356.45</v>
      </c>
      <c r="G622">
        <v>68570</v>
      </c>
      <c r="H622" s="116"/>
      <c r="I622" s="116"/>
      <c r="L622" s="170">
        <v>44606</v>
      </c>
      <c r="M622" s="116">
        <v>355.7</v>
      </c>
      <c r="N622" s="116">
        <v>369.25</v>
      </c>
      <c r="O622" s="116">
        <v>351</v>
      </c>
      <c r="P622" s="116">
        <v>364</v>
      </c>
      <c r="Q622" s="116">
        <v>355.7</v>
      </c>
      <c r="R622">
        <v>481626</v>
      </c>
    </row>
    <row r="623" spans="1:18" x14ac:dyDescent="0.25">
      <c r="A623" s="170">
        <v>44607</v>
      </c>
      <c r="B623" s="116">
        <v>364.55</v>
      </c>
      <c r="C623" s="116">
        <v>363.3</v>
      </c>
      <c r="D623" s="116">
        <v>337</v>
      </c>
      <c r="E623" s="116">
        <v>345.8</v>
      </c>
      <c r="F623" s="116">
        <v>363.3</v>
      </c>
      <c r="G623">
        <v>149117</v>
      </c>
      <c r="H623" s="116"/>
      <c r="I623" s="116"/>
      <c r="L623" s="170">
        <v>44607</v>
      </c>
      <c r="M623" s="116">
        <v>363.25</v>
      </c>
      <c r="N623" s="116">
        <v>364.8</v>
      </c>
      <c r="O623" s="116">
        <v>337</v>
      </c>
      <c r="P623" s="116">
        <v>343</v>
      </c>
      <c r="Q623" s="116">
        <v>363.25</v>
      </c>
      <c r="R623">
        <v>782997</v>
      </c>
    </row>
    <row r="624" spans="1:18" x14ac:dyDescent="0.25">
      <c r="A624" s="170">
        <v>44608</v>
      </c>
      <c r="B624" s="116">
        <v>368</v>
      </c>
      <c r="C624" s="116">
        <v>359.9</v>
      </c>
      <c r="D624" s="116">
        <v>357</v>
      </c>
      <c r="E624" s="116">
        <v>366</v>
      </c>
      <c r="F624" s="116">
        <v>359.9</v>
      </c>
      <c r="G624">
        <v>54127</v>
      </c>
      <c r="H624" s="116"/>
      <c r="I624" s="116"/>
      <c r="L624" s="170">
        <v>44608</v>
      </c>
      <c r="M624" s="116">
        <v>359.8</v>
      </c>
      <c r="N624" s="116">
        <v>368.3</v>
      </c>
      <c r="O624" s="116">
        <v>355.4</v>
      </c>
      <c r="P624" s="116">
        <v>366</v>
      </c>
      <c r="Q624" s="116">
        <v>359.8</v>
      </c>
      <c r="R624">
        <v>260278</v>
      </c>
    </row>
    <row r="625" spans="1:18" x14ac:dyDescent="0.25">
      <c r="A625" s="170">
        <v>44609</v>
      </c>
      <c r="B625" s="116">
        <v>365.9</v>
      </c>
      <c r="C625" s="116">
        <v>354.1</v>
      </c>
      <c r="D625" s="116">
        <v>353.05</v>
      </c>
      <c r="E625" s="116">
        <v>365.9</v>
      </c>
      <c r="F625" s="116">
        <v>354.1</v>
      </c>
      <c r="G625">
        <v>33997</v>
      </c>
      <c r="H625" s="116"/>
      <c r="I625" s="116"/>
      <c r="L625" s="170">
        <v>44609</v>
      </c>
      <c r="M625" s="116">
        <v>353.95</v>
      </c>
      <c r="N625" s="116">
        <v>364.25</v>
      </c>
      <c r="O625" s="116">
        <v>352.15</v>
      </c>
      <c r="P625" s="116">
        <v>363</v>
      </c>
      <c r="Q625" s="116">
        <v>353.95</v>
      </c>
      <c r="R625">
        <v>201517</v>
      </c>
    </row>
    <row r="626" spans="1:18" x14ac:dyDescent="0.25">
      <c r="A626" s="170">
        <v>44610</v>
      </c>
      <c r="B626" s="116">
        <v>357.5</v>
      </c>
      <c r="C626" s="116">
        <v>347.3</v>
      </c>
      <c r="D626" s="116">
        <v>345.4</v>
      </c>
      <c r="E626" s="116">
        <v>351</v>
      </c>
      <c r="F626" s="116">
        <v>347.3</v>
      </c>
      <c r="G626">
        <v>35383</v>
      </c>
      <c r="H626" s="116"/>
      <c r="I626" s="116"/>
      <c r="L626" s="170">
        <v>44610</v>
      </c>
      <c r="M626" s="116">
        <v>347.45</v>
      </c>
      <c r="N626" s="116">
        <v>357.75</v>
      </c>
      <c r="O626" s="116">
        <v>345.1</v>
      </c>
      <c r="P626" s="116">
        <v>354</v>
      </c>
      <c r="Q626" s="116">
        <v>347.45</v>
      </c>
      <c r="R626">
        <v>193671</v>
      </c>
    </row>
    <row r="627" spans="1:18" x14ac:dyDescent="0.25">
      <c r="A627" s="170">
        <v>44613</v>
      </c>
      <c r="B627" s="116">
        <v>347</v>
      </c>
      <c r="C627" s="116">
        <v>331.15</v>
      </c>
      <c r="D627" s="116">
        <v>330</v>
      </c>
      <c r="E627" s="116">
        <v>347</v>
      </c>
      <c r="F627" s="116">
        <v>331.15</v>
      </c>
      <c r="G627">
        <v>80121</v>
      </c>
      <c r="H627" s="116"/>
      <c r="I627" s="116"/>
      <c r="L627" s="170">
        <v>44613</v>
      </c>
      <c r="M627" s="116">
        <v>331.15</v>
      </c>
      <c r="N627" s="116">
        <v>347</v>
      </c>
      <c r="O627" s="116">
        <v>330</v>
      </c>
      <c r="P627" s="116">
        <v>347</v>
      </c>
      <c r="Q627" s="116">
        <v>331.15</v>
      </c>
      <c r="R627">
        <v>379917</v>
      </c>
    </row>
    <row r="628" spans="1:18" x14ac:dyDescent="0.25">
      <c r="A628" s="170">
        <v>44614</v>
      </c>
      <c r="B628" s="116">
        <v>333</v>
      </c>
      <c r="C628" s="116">
        <v>328.1</v>
      </c>
      <c r="D628" s="116">
        <v>316.3</v>
      </c>
      <c r="E628" s="116">
        <v>316.3</v>
      </c>
      <c r="F628" s="116">
        <v>328.1</v>
      </c>
      <c r="G628">
        <v>81677</v>
      </c>
      <c r="H628" s="116"/>
      <c r="I628" s="116"/>
      <c r="L628" s="170">
        <v>44614</v>
      </c>
      <c r="M628" s="116">
        <v>328.3</v>
      </c>
      <c r="N628" s="116">
        <v>333.05</v>
      </c>
      <c r="O628" s="116">
        <v>318</v>
      </c>
      <c r="P628" s="116">
        <v>323</v>
      </c>
      <c r="Q628" s="116">
        <v>328.3</v>
      </c>
      <c r="R628">
        <v>496020</v>
      </c>
    </row>
    <row r="629" spans="1:18" x14ac:dyDescent="0.25">
      <c r="A629" s="170">
        <v>44615</v>
      </c>
      <c r="B629" s="116">
        <v>337.6</v>
      </c>
      <c r="C629" s="116">
        <v>328</v>
      </c>
      <c r="D629" s="116">
        <v>322.2</v>
      </c>
      <c r="E629" s="116">
        <v>332.6</v>
      </c>
      <c r="F629" s="116">
        <v>328</v>
      </c>
      <c r="G629">
        <v>36387</v>
      </c>
      <c r="H629" s="116"/>
      <c r="I629" s="116"/>
      <c r="L629" s="170">
        <v>44615</v>
      </c>
      <c r="M629" s="116">
        <v>327.85</v>
      </c>
      <c r="N629" s="116">
        <v>337.85</v>
      </c>
      <c r="O629" s="116">
        <v>321.85000000000002</v>
      </c>
      <c r="P629" s="116">
        <v>332.3</v>
      </c>
      <c r="Q629" s="116">
        <v>327.85</v>
      </c>
      <c r="R629">
        <v>287537</v>
      </c>
    </row>
    <row r="630" spans="1:18" x14ac:dyDescent="0.25">
      <c r="A630" s="170">
        <v>44616</v>
      </c>
      <c r="B630" s="116">
        <v>321.05</v>
      </c>
      <c r="C630" s="116">
        <v>298.25</v>
      </c>
      <c r="D630" s="116">
        <v>295.60000000000002</v>
      </c>
      <c r="E630" s="116">
        <v>314</v>
      </c>
      <c r="F630" s="116">
        <v>298.25</v>
      </c>
      <c r="G630">
        <v>210441</v>
      </c>
      <c r="H630" s="116"/>
      <c r="I630" s="116"/>
      <c r="L630" s="170">
        <v>44616</v>
      </c>
      <c r="M630" s="116">
        <v>297.95</v>
      </c>
      <c r="N630" s="116">
        <v>320.85000000000002</v>
      </c>
      <c r="O630" s="116">
        <v>295.60000000000002</v>
      </c>
      <c r="P630" s="116">
        <v>317</v>
      </c>
      <c r="Q630" s="116">
        <v>297.95</v>
      </c>
      <c r="R630">
        <v>940396</v>
      </c>
    </row>
    <row r="631" spans="1:18" x14ac:dyDescent="0.25">
      <c r="A631" s="170">
        <v>44617</v>
      </c>
      <c r="B631" s="116">
        <v>322.55</v>
      </c>
      <c r="C631" s="116">
        <v>321.7</v>
      </c>
      <c r="D631" s="116">
        <v>307.95</v>
      </c>
      <c r="E631" s="116">
        <v>307.95</v>
      </c>
      <c r="F631" s="116">
        <v>321.7</v>
      </c>
      <c r="G631">
        <v>77655</v>
      </c>
      <c r="H631" s="116"/>
      <c r="I631" s="116"/>
      <c r="L631" s="170">
        <v>44617</v>
      </c>
      <c r="M631" s="116">
        <v>321.7</v>
      </c>
      <c r="N631" s="116">
        <v>322.3</v>
      </c>
      <c r="O631" s="116">
        <v>308.2</v>
      </c>
      <c r="P631" s="116">
        <v>311</v>
      </c>
      <c r="Q631" s="116">
        <v>321.7</v>
      </c>
      <c r="R631">
        <v>439995</v>
      </c>
    </row>
    <row r="632" spans="1:18" x14ac:dyDescent="0.25">
      <c r="A632" s="170">
        <v>44620</v>
      </c>
      <c r="B632" s="116">
        <v>322.25</v>
      </c>
      <c r="C632" s="116">
        <v>319.39999999999998</v>
      </c>
      <c r="D632" s="116">
        <v>311</v>
      </c>
      <c r="E632" s="116">
        <v>320</v>
      </c>
      <c r="F632" s="116">
        <v>319.39999999999998</v>
      </c>
      <c r="G632">
        <v>64260</v>
      </c>
      <c r="H632" s="116"/>
      <c r="I632" s="116"/>
      <c r="L632" s="170">
        <v>44620</v>
      </c>
      <c r="M632" s="116">
        <v>319.3</v>
      </c>
      <c r="N632" s="116">
        <v>322.3</v>
      </c>
      <c r="O632" s="116">
        <v>310.95</v>
      </c>
      <c r="P632" s="116">
        <v>318.5</v>
      </c>
      <c r="Q632" s="116">
        <v>319.3</v>
      </c>
      <c r="R632">
        <v>239285</v>
      </c>
    </row>
    <row r="633" spans="1:18" x14ac:dyDescent="0.25">
      <c r="A633" s="170">
        <v>44622</v>
      </c>
      <c r="B633" s="116">
        <v>328.7</v>
      </c>
      <c r="C633" s="116">
        <v>320.7</v>
      </c>
      <c r="D633" s="116">
        <v>316</v>
      </c>
      <c r="E633" s="116">
        <v>316</v>
      </c>
      <c r="F633" s="116">
        <v>320.7</v>
      </c>
      <c r="G633">
        <v>52591</v>
      </c>
      <c r="H633" s="116"/>
      <c r="I633" s="116"/>
      <c r="L633" s="170">
        <v>44622</v>
      </c>
      <c r="M633" s="116">
        <v>320</v>
      </c>
      <c r="N633" s="116">
        <v>329</v>
      </c>
      <c r="O633" s="116">
        <v>315</v>
      </c>
      <c r="P633" s="116">
        <v>318</v>
      </c>
      <c r="Q633" s="116">
        <v>320</v>
      </c>
      <c r="R633">
        <v>278421</v>
      </c>
    </row>
    <row r="634" spans="1:18" x14ac:dyDescent="0.25">
      <c r="A634" s="170">
        <v>44623</v>
      </c>
      <c r="B634" s="116">
        <v>328.8</v>
      </c>
      <c r="C634" s="116">
        <v>320.05</v>
      </c>
      <c r="D634" s="116">
        <v>318.85000000000002</v>
      </c>
      <c r="E634" s="116">
        <v>322.5</v>
      </c>
      <c r="F634" s="116">
        <v>320.05</v>
      </c>
      <c r="G634">
        <v>35493</v>
      </c>
      <c r="H634" s="116"/>
      <c r="I634" s="116"/>
      <c r="L634" s="170">
        <v>44623</v>
      </c>
      <c r="M634" s="116">
        <v>320</v>
      </c>
      <c r="N634" s="116">
        <v>328.9</v>
      </c>
      <c r="O634" s="116">
        <v>318.89999999999998</v>
      </c>
      <c r="P634" s="116">
        <v>323.95</v>
      </c>
      <c r="Q634" s="116">
        <v>320</v>
      </c>
      <c r="R634">
        <v>290541</v>
      </c>
    </row>
    <row r="635" spans="1:18" x14ac:dyDescent="0.25">
      <c r="A635" s="170">
        <v>44624</v>
      </c>
      <c r="B635" s="116">
        <v>319.39999999999998</v>
      </c>
      <c r="C635" s="116">
        <v>311.45</v>
      </c>
      <c r="D635" s="116">
        <v>310.35000000000002</v>
      </c>
      <c r="E635" s="116">
        <v>318</v>
      </c>
      <c r="F635" s="116">
        <v>311.45</v>
      </c>
      <c r="G635">
        <v>45072</v>
      </c>
      <c r="H635" s="116"/>
      <c r="I635" s="116"/>
      <c r="L635" s="170">
        <v>44624</v>
      </c>
      <c r="M635" s="116">
        <v>311.5</v>
      </c>
      <c r="N635" s="116">
        <v>319.45</v>
      </c>
      <c r="O635" s="116">
        <v>310.45</v>
      </c>
      <c r="P635" s="116">
        <v>318</v>
      </c>
      <c r="Q635" s="116">
        <v>311.5</v>
      </c>
      <c r="R635">
        <v>257340</v>
      </c>
    </row>
    <row r="636" spans="1:18" x14ac:dyDescent="0.25">
      <c r="A636" s="170">
        <v>44627</v>
      </c>
      <c r="B636" s="116">
        <v>314.95</v>
      </c>
      <c r="C636" s="116">
        <v>302.25</v>
      </c>
      <c r="D636" s="116">
        <v>299.14999999999998</v>
      </c>
      <c r="E636" s="116">
        <v>314.95</v>
      </c>
      <c r="F636" s="116">
        <v>302.25</v>
      </c>
      <c r="G636">
        <v>67926</v>
      </c>
      <c r="H636" s="116"/>
      <c r="I636" s="116"/>
      <c r="L636" s="170">
        <v>44627</v>
      </c>
      <c r="M636" s="116">
        <v>302.2</v>
      </c>
      <c r="N636" s="116">
        <v>310.55</v>
      </c>
      <c r="O636" s="116">
        <v>299</v>
      </c>
      <c r="P636" s="116">
        <v>305.85000000000002</v>
      </c>
      <c r="Q636" s="116">
        <v>302.2</v>
      </c>
      <c r="R636">
        <v>388198</v>
      </c>
    </row>
    <row r="637" spans="1:18" x14ac:dyDescent="0.25">
      <c r="A637" s="170">
        <v>44628</v>
      </c>
      <c r="B637" s="116">
        <v>314.5</v>
      </c>
      <c r="C637" s="116">
        <v>312.3</v>
      </c>
      <c r="D637" s="116">
        <v>302.75</v>
      </c>
      <c r="E637" s="116">
        <v>303</v>
      </c>
      <c r="F637" s="116">
        <v>312.3</v>
      </c>
      <c r="G637">
        <v>69868</v>
      </c>
      <c r="H637" s="116"/>
      <c r="I637" s="116"/>
      <c r="L637" s="170">
        <v>44628</v>
      </c>
      <c r="M637" s="116">
        <v>311.8</v>
      </c>
      <c r="N637" s="116">
        <v>313</v>
      </c>
      <c r="O637" s="116">
        <v>302.45</v>
      </c>
      <c r="P637" s="116">
        <v>304</v>
      </c>
      <c r="Q637" s="116">
        <v>311.8</v>
      </c>
      <c r="R637">
        <v>271025</v>
      </c>
    </row>
    <row r="638" spans="1:18" x14ac:dyDescent="0.25">
      <c r="A638" s="170">
        <v>44629</v>
      </c>
      <c r="B638" s="116">
        <v>328.75</v>
      </c>
      <c r="C638" s="116">
        <v>324.10000000000002</v>
      </c>
      <c r="D638" s="116">
        <v>315.3</v>
      </c>
      <c r="E638" s="116">
        <v>318.55</v>
      </c>
      <c r="F638" s="116">
        <v>324.10000000000002</v>
      </c>
      <c r="G638">
        <v>62588</v>
      </c>
      <c r="H638" s="116"/>
      <c r="I638" s="116"/>
      <c r="L638" s="170">
        <v>44629</v>
      </c>
      <c r="M638" s="116">
        <v>324.45</v>
      </c>
      <c r="N638" s="116">
        <v>329.9</v>
      </c>
      <c r="O638" s="116">
        <v>315</v>
      </c>
      <c r="P638" s="116">
        <v>317</v>
      </c>
      <c r="Q638" s="116">
        <v>324.45</v>
      </c>
      <c r="R638">
        <v>272792</v>
      </c>
    </row>
    <row r="639" spans="1:18" x14ac:dyDescent="0.25">
      <c r="A639" s="170">
        <v>44630</v>
      </c>
      <c r="B639" s="116">
        <v>339.05</v>
      </c>
      <c r="C639" s="116">
        <v>331.45</v>
      </c>
      <c r="D639" s="116">
        <v>330.85</v>
      </c>
      <c r="E639" s="116">
        <v>336.5</v>
      </c>
      <c r="F639" s="116">
        <v>331.45</v>
      </c>
      <c r="G639">
        <v>55181</v>
      </c>
      <c r="H639" s="116"/>
      <c r="I639" s="116"/>
      <c r="L639" s="170">
        <v>44630</v>
      </c>
      <c r="M639" s="116">
        <v>331.4</v>
      </c>
      <c r="N639" s="116">
        <v>339.5</v>
      </c>
      <c r="O639" s="116">
        <v>330.6</v>
      </c>
      <c r="P639" s="116">
        <v>336</v>
      </c>
      <c r="Q639" s="116">
        <v>331.4</v>
      </c>
      <c r="R639">
        <v>403748</v>
      </c>
    </row>
    <row r="640" spans="1:18" x14ac:dyDescent="0.25">
      <c r="A640" s="170">
        <v>44631</v>
      </c>
      <c r="B640" s="116">
        <v>337.2</v>
      </c>
      <c r="C640" s="116">
        <v>334.7</v>
      </c>
      <c r="D640" s="116">
        <v>330.05</v>
      </c>
      <c r="E640" s="116">
        <v>331.45</v>
      </c>
      <c r="F640" s="116">
        <v>334.7</v>
      </c>
      <c r="G640">
        <v>47199</v>
      </c>
      <c r="H640" s="116"/>
      <c r="I640" s="116"/>
      <c r="L640" s="170">
        <v>44631</v>
      </c>
      <c r="M640" s="116">
        <v>334.15</v>
      </c>
      <c r="N640" s="116">
        <v>337.3</v>
      </c>
      <c r="O640" s="116">
        <v>330.15</v>
      </c>
      <c r="P640" s="116">
        <v>333</v>
      </c>
      <c r="Q640" s="116">
        <v>334.15</v>
      </c>
      <c r="R640">
        <v>203363</v>
      </c>
    </row>
    <row r="641" spans="1:18" x14ac:dyDescent="0.25">
      <c r="A641" s="170">
        <v>44634</v>
      </c>
      <c r="B641" s="116">
        <v>337.5</v>
      </c>
      <c r="C641" s="116">
        <v>329.55</v>
      </c>
      <c r="D641" s="116">
        <v>327.05</v>
      </c>
      <c r="E641" s="116">
        <v>334</v>
      </c>
      <c r="F641" s="116">
        <v>329.55</v>
      </c>
      <c r="G641">
        <v>49071</v>
      </c>
      <c r="H641" s="116"/>
      <c r="I641" s="116"/>
      <c r="L641" s="170">
        <v>44634</v>
      </c>
      <c r="M641" s="116">
        <v>329.6</v>
      </c>
      <c r="N641" s="116">
        <v>337</v>
      </c>
      <c r="O641" s="116">
        <v>327.10000000000002</v>
      </c>
      <c r="P641" s="116">
        <v>334.15</v>
      </c>
      <c r="Q641" s="116">
        <v>329.6</v>
      </c>
      <c r="R641">
        <v>213833</v>
      </c>
    </row>
    <row r="642" spans="1:18" x14ac:dyDescent="0.25">
      <c r="A642" s="170">
        <v>44635</v>
      </c>
      <c r="B642" s="116">
        <v>336.75</v>
      </c>
      <c r="C642" s="116">
        <v>324.5</v>
      </c>
      <c r="D642" s="116">
        <v>322.25</v>
      </c>
      <c r="E642" s="116">
        <v>335</v>
      </c>
      <c r="F642" s="116">
        <v>324.5</v>
      </c>
      <c r="G642">
        <v>39875</v>
      </c>
      <c r="H642" s="116"/>
      <c r="I642" s="116"/>
      <c r="L642" s="170">
        <v>44635</v>
      </c>
      <c r="M642" s="116">
        <v>324.64999999999998</v>
      </c>
      <c r="N642" s="116">
        <v>336.9</v>
      </c>
      <c r="O642" s="116">
        <v>322</v>
      </c>
      <c r="P642" s="116">
        <v>335</v>
      </c>
      <c r="Q642" s="116">
        <v>324.64999999999998</v>
      </c>
      <c r="R642">
        <v>271888</v>
      </c>
    </row>
    <row r="643" spans="1:18" x14ac:dyDescent="0.25">
      <c r="A643" s="170">
        <v>44636</v>
      </c>
      <c r="B643" s="116">
        <v>329.8</v>
      </c>
      <c r="C643" s="116">
        <v>325.60000000000002</v>
      </c>
      <c r="D643" s="116">
        <v>323.75</v>
      </c>
      <c r="E643" s="116">
        <v>329.8</v>
      </c>
      <c r="F643" s="116">
        <v>325.60000000000002</v>
      </c>
      <c r="G643">
        <v>20339</v>
      </c>
      <c r="H643" s="116"/>
      <c r="I643" s="116"/>
      <c r="L643" s="170">
        <v>44636</v>
      </c>
      <c r="M643" s="116">
        <v>325.75</v>
      </c>
      <c r="N643" s="116">
        <v>329.8</v>
      </c>
      <c r="O643" s="116">
        <v>323.45</v>
      </c>
      <c r="P643" s="116">
        <v>328.6</v>
      </c>
      <c r="Q643" s="116">
        <v>325.75</v>
      </c>
      <c r="R643">
        <v>212653</v>
      </c>
    </row>
    <row r="644" spans="1:18" x14ac:dyDescent="0.25">
      <c r="A644" s="170">
        <v>44637</v>
      </c>
      <c r="B644" s="116">
        <v>330.25</v>
      </c>
      <c r="C644" s="116">
        <v>325.85000000000002</v>
      </c>
      <c r="D644" s="116">
        <v>324.5</v>
      </c>
      <c r="E644" s="116">
        <v>329.1</v>
      </c>
      <c r="F644" s="116">
        <v>325.85000000000002</v>
      </c>
      <c r="G644">
        <v>25836</v>
      </c>
      <c r="H644" s="116"/>
      <c r="I644" s="116"/>
      <c r="L644" s="170">
        <v>44637</v>
      </c>
      <c r="M644" s="116">
        <v>325.89999999999998</v>
      </c>
      <c r="N644" s="116">
        <v>330.5</v>
      </c>
      <c r="O644" s="116">
        <v>324.25</v>
      </c>
      <c r="P644" s="116">
        <v>329</v>
      </c>
      <c r="Q644" s="116">
        <v>325.89999999999998</v>
      </c>
      <c r="R644">
        <v>272503</v>
      </c>
    </row>
    <row r="645" spans="1:18" x14ac:dyDescent="0.25">
      <c r="A645" s="170">
        <v>44641</v>
      </c>
      <c r="B645" s="116">
        <v>328.9</v>
      </c>
      <c r="C645" s="116">
        <v>325</v>
      </c>
      <c r="D645" s="116">
        <v>321</v>
      </c>
      <c r="E645" s="116">
        <v>328.9</v>
      </c>
      <c r="F645" s="116">
        <v>325</v>
      </c>
      <c r="G645">
        <v>23429</v>
      </c>
      <c r="H645" s="116"/>
      <c r="I645" s="116"/>
      <c r="L645" s="170">
        <v>44641</v>
      </c>
      <c r="M645" s="116">
        <v>324.7</v>
      </c>
      <c r="N645" s="116">
        <v>328.55</v>
      </c>
      <c r="O645" s="116">
        <v>320.75</v>
      </c>
      <c r="P645" s="116">
        <v>328</v>
      </c>
      <c r="Q645" s="116">
        <v>324.7</v>
      </c>
      <c r="R645">
        <v>327552</v>
      </c>
    </row>
    <row r="646" spans="1:18" x14ac:dyDescent="0.25">
      <c r="A646" s="170">
        <v>44642</v>
      </c>
      <c r="B646" s="116">
        <v>324.3</v>
      </c>
      <c r="C646" s="116">
        <v>316.89999999999998</v>
      </c>
      <c r="D646" s="116">
        <v>313.2</v>
      </c>
      <c r="E646" s="116">
        <v>322.05</v>
      </c>
      <c r="F646" s="116">
        <v>316.89999999999998</v>
      </c>
      <c r="G646">
        <v>62441</v>
      </c>
      <c r="H646" s="116"/>
      <c r="I646" s="116"/>
      <c r="L646" s="170">
        <v>44642</v>
      </c>
      <c r="M646" s="116">
        <v>316.89999999999998</v>
      </c>
      <c r="N646" s="116">
        <v>324.7</v>
      </c>
      <c r="O646" s="116">
        <v>313.10000000000002</v>
      </c>
      <c r="P646" s="116">
        <v>324.7</v>
      </c>
      <c r="Q646" s="116">
        <v>316.89999999999998</v>
      </c>
      <c r="R646">
        <v>300838</v>
      </c>
    </row>
    <row r="647" spans="1:18" x14ac:dyDescent="0.25">
      <c r="A647" s="170">
        <v>44643</v>
      </c>
      <c r="B647" s="116">
        <v>323.2</v>
      </c>
      <c r="C647" s="116">
        <v>313</v>
      </c>
      <c r="D647" s="116">
        <v>312</v>
      </c>
      <c r="E647" s="116">
        <v>323.2</v>
      </c>
      <c r="F647" s="116">
        <v>313</v>
      </c>
      <c r="G647">
        <v>57346</v>
      </c>
      <c r="H647" s="116"/>
      <c r="I647" s="116"/>
      <c r="L647" s="170">
        <v>44643</v>
      </c>
      <c r="M647" s="116">
        <v>312.64999999999998</v>
      </c>
      <c r="N647" s="116">
        <v>320.64999999999998</v>
      </c>
      <c r="O647" s="116">
        <v>311.10000000000002</v>
      </c>
      <c r="P647" s="116">
        <v>319.89999999999998</v>
      </c>
      <c r="Q647" s="116">
        <v>312.64999999999998</v>
      </c>
      <c r="R647">
        <v>266629</v>
      </c>
    </row>
    <row r="648" spans="1:18" x14ac:dyDescent="0.25">
      <c r="A648" s="170">
        <v>44644</v>
      </c>
      <c r="B648" s="116">
        <v>323.2</v>
      </c>
      <c r="C648" s="116">
        <v>314.89999999999998</v>
      </c>
      <c r="D648" s="116">
        <v>311</v>
      </c>
      <c r="E648" s="116">
        <v>311</v>
      </c>
      <c r="F648" s="116">
        <v>314.89999999999998</v>
      </c>
      <c r="G648">
        <v>77389</v>
      </c>
      <c r="H648" s="116"/>
      <c r="I648" s="116"/>
      <c r="L648" s="170">
        <v>44644</v>
      </c>
      <c r="M648" s="116">
        <v>315.05</v>
      </c>
      <c r="N648" s="116">
        <v>323.45</v>
      </c>
      <c r="O648" s="116">
        <v>311.5</v>
      </c>
      <c r="P648" s="116">
        <v>311.5</v>
      </c>
      <c r="Q648" s="116">
        <v>315.05</v>
      </c>
      <c r="R648">
        <v>548130</v>
      </c>
    </row>
    <row r="649" spans="1:18" x14ac:dyDescent="0.25">
      <c r="A649" s="170">
        <v>44645</v>
      </c>
      <c r="B649" s="116">
        <v>317.14999999999998</v>
      </c>
      <c r="C649" s="116">
        <v>306.14999999999998</v>
      </c>
      <c r="D649" s="116">
        <v>304.3</v>
      </c>
      <c r="E649" s="116">
        <v>316.5</v>
      </c>
      <c r="F649" s="116">
        <v>306.14999999999998</v>
      </c>
      <c r="G649">
        <v>60757</v>
      </c>
      <c r="H649" s="116"/>
      <c r="I649" s="116"/>
      <c r="L649" s="170">
        <v>44645</v>
      </c>
      <c r="M649" s="116">
        <v>306.2</v>
      </c>
      <c r="N649" s="116">
        <v>317</v>
      </c>
      <c r="O649" s="116">
        <v>304.2</v>
      </c>
      <c r="P649" s="116">
        <v>317</v>
      </c>
      <c r="Q649" s="116">
        <v>306.2</v>
      </c>
      <c r="R649">
        <v>572196</v>
      </c>
    </row>
    <row r="650" spans="1:18" x14ac:dyDescent="0.25">
      <c r="A650" s="170">
        <v>44648</v>
      </c>
      <c r="B650" s="116">
        <v>309.25</v>
      </c>
      <c r="C650" s="116">
        <v>299.39999999999998</v>
      </c>
      <c r="D650" s="116">
        <v>295.25</v>
      </c>
      <c r="E650" s="116">
        <v>307</v>
      </c>
      <c r="F650" s="116">
        <v>299.39999999999998</v>
      </c>
      <c r="G650">
        <v>77665</v>
      </c>
      <c r="H650" s="116"/>
      <c r="I650" s="116"/>
      <c r="L650" s="170">
        <v>44648</v>
      </c>
      <c r="M650" s="116">
        <v>299.45</v>
      </c>
      <c r="N650" s="116">
        <v>308.95</v>
      </c>
      <c r="O650" s="116">
        <v>295</v>
      </c>
      <c r="P650" s="116">
        <v>308.95</v>
      </c>
      <c r="Q650" s="116">
        <v>299.45</v>
      </c>
      <c r="R650">
        <v>743408</v>
      </c>
    </row>
    <row r="651" spans="1:18" x14ac:dyDescent="0.25">
      <c r="A651" s="170">
        <v>44649</v>
      </c>
      <c r="B651" s="116">
        <v>320.8</v>
      </c>
      <c r="C651" s="116">
        <v>313.85000000000002</v>
      </c>
      <c r="D651" s="116">
        <v>300.3</v>
      </c>
      <c r="E651" s="116">
        <v>301</v>
      </c>
      <c r="F651" s="116">
        <v>313.85000000000002</v>
      </c>
      <c r="G651">
        <v>206457</v>
      </c>
      <c r="H651" s="116"/>
      <c r="I651" s="116"/>
      <c r="L651" s="170">
        <v>44649</v>
      </c>
      <c r="M651" s="116">
        <v>314.64999999999998</v>
      </c>
      <c r="N651" s="116">
        <v>320.85000000000002</v>
      </c>
      <c r="O651" s="116">
        <v>300</v>
      </c>
      <c r="P651" s="116">
        <v>300.89999999999998</v>
      </c>
      <c r="Q651" s="116">
        <v>314.64999999999998</v>
      </c>
      <c r="R651">
        <v>1805330</v>
      </c>
    </row>
    <row r="652" spans="1:18" x14ac:dyDescent="0.25">
      <c r="A652" s="170">
        <v>44650</v>
      </c>
      <c r="B652" s="116">
        <v>321.60000000000002</v>
      </c>
      <c r="C652" s="116">
        <v>319.7</v>
      </c>
      <c r="D652" s="116">
        <v>315.7</v>
      </c>
      <c r="E652" s="116">
        <v>318.39999999999998</v>
      </c>
      <c r="F652" s="116">
        <v>319.7</v>
      </c>
      <c r="G652">
        <v>63022</v>
      </c>
      <c r="H652" s="116"/>
      <c r="I652" s="116"/>
      <c r="L652" s="170">
        <v>44650</v>
      </c>
      <c r="M652" s="116">
        <v>319.60000000000002</v>
      </c>
      <c r="N652" s="116">
        <v>321.25</v>
      </c>
      <c r="O652" s="116">
        <v>315.60000000000002</v>
      </c>
      <c r="P652" s="116">
        <v>319.89999999999998</v>
      </c>
      <c r="Q652" s="116">
        <v>319.60000000000002</v>
      </c>
      <c r="R652">
        <v>605576</v>
      </c>
    </row>
    <row r="653" spans="1:18" x14ac:dyDescent="0.25">
      <c r="A653" s="170">
        <v>44651</v>
      </c>
      <c r="B653" s="116">
        <v>323.14999999999998</v>
      </c>
      <c r="C653" s="116">
        <v>317.39999999999998</v>
      </c>
      <c r="D653" s="116">
        <v>311.89999999999998</v>
      </c>
      <c r="E653" s="116">
        <v>322.8</v>
      </c>
      <c r="F653" s="116">
        <v>317.39999999999998</v>
      </c>
      <c r="G653">
        <v>139258</v>
      </c>
      <c r="H653" s="116"/>
      <c r="I653" s="116"/>
      <c r="L653" s="170">
        <v>44651</v>
      </c>
      <c r="M653" s="116">
        <v>318.05</v>
      </c>
      <c r="N653" s="116">
        <v>323.10000000000002</v>
      </c>
      <c r="O653" s="116">
        <v>315.25</v>
      </c>
      <c r="P653" s="116">
        <v>320</v>
      </c>
      <c r="Q653" s="116">
        <v>318.05</v>
      </c>
      <c r="R653">
        <v>639733</v>
      </c>
    </row>
    <row r="654" spans="1:18" x14ac:dyDescent="0.25">
      <c r="A654" s="170">
        <v>44652</v>
      </c>
      <c r="B654" s="116">
        <v>334.85</v>
      </c>
      <c r="C654" s="116">
        <v>332.1</v>
      </c>
      <c r="D654" s="116">
        <v>319.05</v>
      </c>
      <c r="E654" s="116">
        <v>319.25</v>
      </c>
      <c r="F654" s="116">
        <v>332.1</v>
      </c>
      <c r="G654">
        <v>129051</v>
      </c>
      <c r="H654" s="116"/>
      <c r="I654" s="116"/>
      <c r="L654" s="170">
        <v>44652</v>
      </c>
      <c r="M654" s="116">
        <v>332.25</v>
      </c>
      <c r="N654" s="116">
        <v>334.9</v>
      </c>
      <c r="O654" s="116">
        <v>319</v>
      </c>
      <c r="P654" s="116">
        <v>320</v>
      </c>
      <c r="Q654" s="116">
        <v>332.25</v>
      </c>
      <c r="R654">
        <v>998813</v>
      </c>
    </row>
    <row r="655" spans="1:18" x14ac:dyDescent="0.25">
      <c r="A655" s="170">
        <v>44655</v>
      </c>
      <c r="B655" s="116">
        <v>354.75</v>
      </c>
      <c r="C655" s="116">
        <v>346.6</v>
      </c>
      <c r="D655" s="116">
        <v>333.5</v>
      </c>
      <c r="E655" s="116">
        <v>334.7</v>
      </c>
      <c r="F655" s="116">
        <v>346.6</v>
      </c>
      <c r="G655">
        <v>159005</v>
      </c>
      <c r="H655" s="116"/>
      <c r="I655" s="116"/>
      <c r="L655" s="170">
        <v>44655</v>
      </c>
      <c r="M655" s="116">
        <v>346.65</v>
      </c>
      <c r="N655" s="116">
        <v>355</v>
      </c>
      <c r="O655" s="116">
        <v>333.25</v>
      </c>
      <c r="P655" s="116">
        <v>334.7</v>
      </c>
      <c r="Q655" s="116">
        <v>346.65</v>
      </c>
      <c r="R655">
        <v>1131394</v>
      </c>
    </row>
    <row r="656" spans="1:18" x14ac:dyDescent="0.25">
      <c r="A656" s="170">
        <v>44656</v>
      </c>
      <c r="B656" s="116">
        <v>364.9</v>
      </c>
      <c r="C656" s="116">
        <v>358.25</v>
      </c>
      <c r="D656" s="116">
        <v>344.05</v>
      </c>
      <c r="E656" s="116">
        <v>351</v>
      </c>
      <c r="F656" s="116">
        <v>358.25</v>
      </c>
      <c r="G656">
        <v>149093</v>
      </c>
      <c r="H656" s="116"/>
      <c r="I656" s="116"/>
      <c r="L656" s="170">
        <v>44656</v>
      </c>
      <c r="M656" s="116">
        <v>358.7</v>
      </c>
      <c r="N656" s="116">
        <v>365</v>
      </c>
      <c r="O656" s="116">
        <v>343.8</v>
      </c>
      <c r="P656" s="116">
        <v>349</v>
      </c>
      <c r="Q656" s="116">
        <v>358.7</v>
      </c>
      <c r="R656">
        <v>1426551</v>
      </c>
    </row>
    <row r="657" spans="1:18" x14ac:dyDescent="0.25">
      <c r="A657" s="170">
        <v>44657</v>
      </c>
      <c r="B657" s="116">
        <v>367</v>
      </c>
      <c r="C657" s="116">
        <v>356.95</v>
      </c>
      <c r="D657" s="116">
        <v>353.3</v>
      </c>
      <c r="E657" s="116">
        <v>361.45</v>
      </c>
      <c r="F657" s="116">
        <v>356.95</v>
      </c>
      <c r="G657">
        <v>63464</v>
      </c>
      <c r="H657" s="116"/>
      <c r="I657" s="116"/>
      <c r="L657" s="170">
        <v>44657</v>
      </c>
      <c r="M657" s="116">
        <v>357.6</v>
      </c>
      <c r="N657" s="116">
        <v>367.3</v>
      </c>
      <c r="O657" s="116">
        <v>355.2</v>
      </c>
      <c r="P657" s="116">
        <v>358.7</v>
      </c>
      <c r="Q657" s="116">
        <v>357.6</v>
      </c>
      <c r="R657">
        <v>676993</v>
      </c>
    </row>
    <row r="658" spans="1:18" x14ac:dyDescent="0.25">
      <c r="A658" s="170">
        <v>44658</v>
      </c>
      <c r="B658" s="116">
        <v>357.7</v>
      </c>
      <c r="C658" s="116">
        <v>344.75</v>
      </c>
      <c r="D658" s="116">
        <v>342.85</v>
      </c>
      <c r="E658" s="116">
        <v>357.05</v>
      </c>
      <c r="F658" s="116">
        <v>344.75</v>
      </c>
      <c r="G658">
        <v>94840</v>
      </c>
      <c r="H658" s="116"/>
      <c r="I658" s="116"/>
      <c r="L658" s="170">
        <v>44658</v>
      </c>
      <c r="M658" s="116">
        <v>344.75</v>
      </c>
      <c r="N658" s="116">
        <v>358</v>
      </c>
      <c r="O658" s="116">
        <v>342.55</v>
      </c>
      <c r="P658" s="116">
        <v>358</v>
      </c>
      <c r="Q658" s="116">
        <v>344.75</v>
      </c>
      <c r="R658">
        <v>841190</v>
      </c>
    </row>
    <row r="659" spans="1:18" x14ac:dyDescent="0.25">
      <c r="A659" s="170">
        <v>44659</v>
      </c>
      <c r="B659" s="116">
        <v>377.45</v>
      </c>
      <c r="C659" s="116">
        <v>367.4</v>
      </c>
      <c r="D659" s="116">
        <v>350.3</v>
      </c>
      <c r="E659" s="116">
        <v>355</v>
      </c>
      <c r="F659" s="116">
        <v>367.4</v>
      </c>
      <c r="G659">
        <v>365321</v>
      </c>
      <c r="H659" s="116"/>
      <c r="I659" s="116"/>
      <c r="L659" s="170">
        <v>44659</v>
      </c>
      <c r="M659" s="116">
        <v>367.35</v>
      </c>
      <c r="N659" s="116">
        <v>377.5</v>
      </c>
      <c r="O659" s="116">
        <v>350.25</v>
      </c>
      <c r="P659" s="116">
        <v>355</v>
      </c>
      <c r="Q659" s="116">
        <v>367.35</v>
      </c>
      <c r="R659">
        <v>3363423</v>
      </c>
    </row>
    <row r="660" spans="1:18" x14ac:dyDescent="0.25">
      <c r="A660" s="170">
        <v>44662</v>
      </c>
      <c r="B660" s="116">
        <v>371.45</v>
      </c>
      <c r="C660" s="116">
        <v>358.45</v>
      </c>
      <c r="D660" s="116">
        <v>356.1</v>
      </c>
      <c r="E660" s="116">
        <v>369.8</v>
      </c>
      <c r="F660" s="116">
        <v>358.45</v>
      </c>
      <c r="G660">
        <v>145465</v>
      </c>
      <c r="H660" s="116"/>
      <c r="I660" s="116"/>
      <c r="L660" s="170">
        <v>44662</v>
      </c>
      <c r="M660" s="116">
        <v>358.65</v>
      </c>
      <c r="N660" s="116">
        <v>371.4</v>
      </c>
      <c r="O660" s="116">
        <v>356</v>
      </c>
      <c r="P660" s="116">
        <v>369</v>
      </c>
      <c r="Q660" s="116">
        <v>358.65</v>
      </c>
      <c r="R660">
        <v>863880</v>
      </c>
    </row>
    <row r="661" spans="1:18" x14ac:dyDescent="0.25">
      <c r="A661" s="170">
        <v>44663</v>
      </c>
      <c r="B661" s="116">
        <v>358.5</v>
      </c>
      <c r="C661" s="116">
        <v>349.8</v>
      </c>
      <c r="D661" s="116">
        <v>345.3</v>
      </c>
      <c r="E661" s="116">
        <v>358.5</v>
      </c>
      <c r="F661" s="116">
        <v>349.8</v>
      </c>
      <c r="G661">
        <v>62049</v>
      </c>
      <c r="H661" s="116"/>
      <c r="I661" s="116"/>
      <c r="L661" s="170">
        <v>44663</v>
      </c>
      <c r="M661" s="116">
        <v>349.2</v>
      </c>
      <c r="N661" s="116">
        <v>358</v>
      </c>
      <c r="O661" s="116">
        <v>345</v>
      </c>
      <c r="P661" s="116">
        <v>358</v>
      </c>
      <c r="Q661" s="116">
        <v>349.2</v>
      </c>
      <c r="R661">
        <v>642712</v>
      </c>
    </row>
    <row r="662" spans="1:18" x14ac:dyDescent="0.25">
      <c r="A662" s="170">
        <v>44664</v>
      </c>
      <c r="B662" s="116">
        <v>369.15</v>
      </c>
      <c r="C662" s="116">
        <v>361.9</v>
      </c>
      <c r="D662" s="116">
        <v>350.3</v>
      </c>
      <c r="E662" s="116">
        <v>355</v>
      </c>
      <c r="F662" s="116">
        <v>361.9</v>
      </c>
      <c r="G662">
        <v>110783</v>
      </c>
      <c r="H662" s="116"/>
      <c r="I662" s="116"/>
      <c r="L662" s="170">
        <v>44664</v>
      </c>
      <c r="M662" s="116">
        <v>361.9</v>
      </c>
      <c r="N662" s="116">
        <v>369.6</v>
      </c>
      <c r="O662" s="116">
        <v>350.3</v>
      </c>
      <c r="P662" s="116">
        <v>353.2</v>
      </c>
      <c r="Q662" s="116">
        <v>361.9</v>
      </c>
      <c r="R662">
        <v>862156</v>
      </c>
    </row>
    <row r="663" spans="1:18" x14ac:dyDescent="0.25">
      <c r="A663" s="170">
        <v>44669</v>
      </c>
      <c r="B663" s="116">
        <v>380.85</v>
      </c>
      <c r="C663" s="116">
        <v>377.75</v>
      </c>
      <c r="D663" s="116">
        <v>358</v>
      </c>
      <c r="E663" s="116">
        <v>361.7</v>
      </c>
      <c r="F663" s="116">
        <v>377.75</v>
      </c>
      <c r="G663">
        <v>259449</v>
      </c>
      <c r="H663" s="116"/>
      <c r="I663" s="116"/>
      <c r="L663" s="170">
        <v>44669</v>
      </c>
      <c r="M663" s="116">
        <v>377.45</v>
      </c>
      <c r="N663" s="116">
        <v>381.1</v>
      </c>
      <c r="O663" s="116">
        <v>358.2</v>
      </c>
      <c r="P663" s="116">
        <v>361.9</v>
      </c>
      <c r="Q663" s="116">
        <v>377.45</v>
      </c>
      <c r="R663">
        <v>1941377</v>
      </c>
    </row>
    <row r="664" spans="1:18" x14ac:dyDescent="0.25">
      <c r="A664" s="170">
        <v>44670</v>
      </c>
      <c r="B664" s="116">
        <v>383.4</v>
      </c>
      <c r="C664" s="116">
        <v>359.75</v>
      </c>
      <c r="D664" s="116">
        <v>355.15</v>
      </c>
      <c r="E664" s="116">
        <v>381.9</v>
      </c>
      <c r="F664" s="116">
        <v>359.75</v>
      </c>
      <c r="G664">
        <v>138928</v>
      </c>
      <c r="H664" s="116"/>
      <c r="I664" s="116"/>
      <c r="L664" s="170">
        <v>44670</v>
      </c>
      <c r="M664" s="116">
        <v>359.85</v>
      </c>
      <c r="N664" s="116">
        <v>383.75</v>
      </c>
      <c r="O664" s="116">
        <v>355.25</v>
      </c>
      <c r="P664" s="116">
        <v>381.35</v>
      </c>
      <c r="Q664" s="116">
        <v>359.85</v>
      </c>
      <c r="R664">
        <v>953058</v>
      </c>
    </row>
    <row r="665" spans="1:18" x14ac:dyDescent="0.25">
      <c r="A665" s="170">
        <v>44671</v>
      </c>
      <c r="B665" s="116">
        <v>376.25</v>
      </c>
      <c r="C665" s="116">
        <v>373.8</v>
      </c>
      <c r="D665" s="116">
        <v>357.9</v>
      </c>
      <c r="E665" s="116">
        <v>365</v>
      </c>
      <c r="F665" s="116">
        <v>373.8</v>
      </c>
      <c r="G665">
        <v>95978</v>
      </c>
      <c r="H665" s="116"/>
      <c r="I665" s="116"/>
      <c r="L665" s="170">
        <v>44671</v>
      </c>
      <c r="M665" s="116">
        <v>373.55</v>
      </c>
      <c r="N665" s="116">
        <v>376.2</v>
      </c>
      <c r="O665" s="116">
        <v>357.75</v>
      </c>
      <c r="P665" s="116">
        <v>362.3</v>
      </c>
      <c r="Q665" s="116">
        <v>373.55</v>
      </c>
      <c r="R665">
        <v>1305055</v>
      </c>
    </row>
    <row r="666" spans="1:18" x14ac:dyDescent="0.25">
      <c r="A666" s="170">
        <v>44672</v>
      </c>
      <c r="B666" s="116">
        <v>382.75</v>
      </c>
      <c r="C666" s="116">
        <v>377</v>
      </c>
      <c r="D666" s="116">
        <v>374</v>
      </c>
      <c r="E666" s="116">
        <v>375</v>
      </c>
      <c r="F666" s="116">
        <v>377</v>
      </c>
      <c r="G666">
        <v>90175</v>
      </c>
      <c r="H666" s="116"/>
      <c r="I666" s="116"/>
      <c r="L666" s="170">
        <v>44672</v>
      </c>
      <c r="M666" s="116">
        <v>377.4</v>
      </c>
      <c r="N666" s="116">
        <v>383</v>
      </c>
      <c r="O666" s="116">
        <v>373.65</v>
      </c>
      <c r="P666" s="116">
        <v>376.4</v>
      </c>
      <c r="Q666" s="116">
        <v>377.4</v>
      </c>
      <c r="R666">
        <v>639441</v>
      </c>
    </row>
    <row r="667" spans="1:18" x14ac:dyDescent="0.25">
      <c r="A667" s="170">
        <v>44673</v>
      </c>
      <c r="B667" s="116">
        <v>385.95</v>
      </c>
      <c r="C667" s="116">
        <v>378.95</v>
      </c>
      <c r="D667" s="116">
        <v>373.95</v>
      </c>
      <c r="E667" s="116">
        <v>377</v>
      </c>
      <c r="F667" s="116">
        <v>378.95</v>
      </c>
      <c r="G667">
        <v>58840</v>
      </c>
      <c r="H667" s="116"/>
      <c r="I667" s="116"/>
      <c r="L667" s="170">
        <v>44673</v>
      </c>
      <c r="M667" s="116">
        <v>378.95</v>
      </c>
      <c r="N667" s="116">
        <v>385.85</v>
      </c>
      <c r="O667" s="116">
        <v>373.5</v>
      </c>
      <c r="P667" s="116">
        <v>377.35</v>
      </c>
      <c r="Q667" s="116">
        <v>378.95</v>
      </c>
      <c r="R667">
        <v>823118</v>
      </c>
    </row>
    <row r="668" spans="1:18" x14ac:dyDescent="0.25">
      <c r="A668" s="170">
        <v>44676</v>
      </c>
      <c r="B668" s="116">
        <v>376.95</v>
      </c>
      <c r="C668" s="116">
        <v>368.25</v>
      </c>
      <c r="D668" s="116">
        <v>366.5</v>
      </c>
      <c r="E668" s="116">
        <v>376.95</v>
      </c>
      <c r="F668" s="116">
        <v>368.25</v>
      </c>
      <c r="G668">
        <v>48685</v>
      </c>
      <c r="H668" s="116"/>
      <c r="I668" s="116"/>
      <c r="L668" s="170">
        <v>44676</v>
      </c>
      <c r="M668" s="116">
        <v>368.1</v>
      </c>
      <c r="N668" s="116">
        <v>376.4</v>
      </c>
      <c r="O668" s="116">
        <v>366.05</v>
      </c>
      <c r="P668" s="116">
        <v>373</v>
      </c>
      <c r="Q668" s="116">
        <v>368.1</v>
      </c>
      <c r="R668">
        <v>437746</v>
      </c>
    </row>
    <row r="669" spans="1:18" x14ac:dyDescent="0.25">
      <c r="A669" s="170">
        <v>44677</v>
      </c>
      <c r="B669" s="116">
        <v>374.35</v>
      </c>
      <c r="C669" s="116">
        <v>366.15</v>
      </c>
      <c r="D669" s="116">
        <v>364.05</v>
      </c>
      <c r="E669" s="116">
        <v>369.1</v>
      </c>
      <c r="F669" s="116">
        <v>366.15</v>
      </c>
      <c r="G669">
        <v>45114</v>
      </c>
      <c r="H669" s="116"/>
      <c r="I669" s="116"/>
      <c r="L669" s="170">
        <v>44677</v>
      </c>
      <c r="M669" s="116">
        <v>366.2</v>
      </c>
      <c r="N669" s="116">
        <v>374.95</v>
      </c>
      <c r="O669" s="116">
        <v>363.9</v>
      </c>
      <c r="P669" s="116">
        <v>371.2</v>
      </c>
      <c r="Q669" s="116">
        <v>366.2</v>
      </c>
      <c r="R669">
        <v>273711</v>
      </c>
    </row>
    <row r="670" spans="1:18" x14ac:dyDescent="0.25">
      <c r="A670" s="170">
        <v>44678</v>
      </c>
      <c r="B670" s="116">
        <v>381.4</v>
      </c>
      <c r="C670" s="116">
        <v>375.65</v>
      </c>
      <c r="D670" s="116">
        <v>362.85</v>
      </c>
      <c r="E670" s="116">
        <v>364.95</v>
      </c>
      <c r="F670" s="116">
        <v>375.65</v>
      </c>
      <c r="G670">
        <v>79581</v>
      </c>
      <c r="H670" s="116"/>
      <c r="I670" s="116"/>
      <c r="L670" s="170">
        <v>44678</v>
      </c>
      <c r="M670" s="116">
        <v>375.5</v>
      </c>
      <c r="N670" s="116">
        <v>381.75</v>
      </c>
      <c r="O670" s="116">
        <v>362</v>
      </c>
      <c r="P670" s="116">
        <v>362</v>
      </c>
      <c r="Q670" s="116">
        <v>375.5</v>
      </c>
      <c r="R670">
        <v>976489</v>
      </c>
    </row>
    <row r="671" spans="1:18" x14ac:dyDescent="0.25">
      <c r="A671" s="170">
        <v>44679</v>
      </c>
      <c r="B671" s="116">
        <v>400</v>
      </c>
      <c r="C671" s="116">
        <v>384.9</v>
      </c>
      <c r="D671" s="116">
        <v>375</v>
      </c>
      <c r="E671" s="116">
        <v>378.2</v>
      </c>
      <c r="F671" s="116">
        <v>384.9</v>
      </c>
      <c r="G671">
        <v>293151</v>
      </c>
      <c r="H671" s="116"/>
      <c r="I671" s="116"/>
      <c r="L671" s="170">
        <v>44679</v>
      </c>
      <c r="M671" s="116">
        <v>384.75</v>
      </c>
      <c r="N671" s="116">
        <v>400.45</v>
      </c>
      <c r="O671" s="116">
        <v>375.4</v>
      </c>
      <c r="P671" s="116">
        <v>379.7</v>
      </c>
      <c r="Q671" s="116">
        <v>384.75</v>
      </c>
      <c r="R671">
        <v>2815029</v>
      </c>
    </row>
    <row r="672" spans="1:18" x14ac:dyDescent="0.25">
      <c r="A672" s="170">
        <v>44680</v>
      </c>
      <c r="B672" s="116">
        <v>396.75</v>
      </c>
      <c r="C672" s="116">
        <v>380.75</v>
      </c>
      <c r="D672" s="116">
        <v>377.05</v>
      </c>
      <c r="E672" s="116">
        <v>389.9</v>
      </c>
      <c r="F672" s="116">
        <v>380.75</v>
      </c>
      <c r="G672">
        <v>135367</v>
      </c>
      <c r="H672" s="116"/>
      <c r="I672" s="116"/>
      <c r="L672" s="170">
        <v>44680</v>
      </c>
      <c r="M672" s="116">
        <v>381.55</v>
      </c>
      <c r="N672" s="116">
        <v>396.7</v>
      </c>
      <c r="O672" s="116">
        <v>377</v>
      </c>
      <c r="P672" s="116">
        <v>388</v>
      </c>
      <c r="Q672" s="116">
        <v>381.55</v>
      </c>
      <c r="R672">
        <v>1215093</v>
      </c>
    </row>
    <row r="673" spans="1:18" x14ac:dyDescent="0.25">
      <c r="A673" s="170">
        <v>44683</v>
      </c>
      <c r="B673" s="116">
        <v>386.7</v>
      </c>
      <c r="C673" s="116">
        <v>380.7</v>
      </c>
      <c r="D673" s="116">
        <v>373.85</v>
      </c>
      <c r="E673" s="116">
        <v>379</v>
      </c>
      <c r="F673" s="116">
        <v>380.7</v>
      </c>
      <c r="G673">
        <v>53662</v>
      </c>
      <c r="H673" s="116"/>
      <c r="I673" s="116"/>
      <c r="L673" s="170">
        <v>44683</v>
      </c>
      <c r="M673" s="116">
        <v>380.7</v>
      </c>
      <c r="N673" s="116">
        <v>387.55</v>
      </c>
      <c r="O673" s="116">
        <v>374</v>
      </c>
      <c r="P673" s="116">
        <v>376.5</v>
      </c>
      <c r="Q673" s="116">
        <v>380.7</v>
      </c>
      <c r="R673">
        <v>738362</v>
      </c>
    </row>
    <row r="674" spans="1:18" x14ac:dyDescent="0.25">
      <c r="A674" s="170">
        <v>44685</v>
      </c>
      <c r="B674" s="116">
        <v>386</v>
      </c>
      <c r="C674" s="116">
        <v>368.6</v>
      </c>
      <c r="D674" s="116">
        <v>367</v>
      </c>
      <c r="E674" s="116">
        <v>380.7</v>
      </c>
      <c r="F674" s="116">
        <v>368.6</v>
      </c>
      <c r="G674">
        <v>34919</v>
      </c>
      <c r="H674" s="116"/>
      <c r="I674" s="116"/>
      <c r="L674" s="170">
        <v>44685</v>
      </c>
      <c r="M674" s="116">
        <v>369.7</v>
      </c>
      <c r="N674" s="116">
        <v>386.4</v>
      </c>
      <c r="O674" s="116">
        <v>367</v>
      </c>
      <c r="P674" s="116">
        <v>380</v>
      </c>
      <c r="Q674" s="116">
        <v>369.7</v>
      </c>
      <c r="R674">
        <v>476804</v>
      </c>
    </row>
    <row r="675" spans="1:18" x14ac:dyDescent="0.25">
      <c r="A675" s="170">
        <v>44686</v>
      </c>
      <c r="B675" s="116">
        <v>378.35</v>
      </c>
      <c r="C675" s="116">
        <v>364</v>
      </c>
      <c r="D675" s="116">
        <v>361.3</v>
      </c>
      <c r="E675" s="116">
        <v>377</v>
      </c>
      <c r="F675" s="116">
        <v>364</v>
      </c>
      <c r="G675">
        <v>21356</v>
      </c>
      <c r="H675" s="116"/>
      <c r="I675" s="116"/>
      <c r="L675" s="170">
        <v>44686</v>
      </c>
      <c r="M675" s="116">
        <v>363</v>
      </c>
      <c r="N675" s="116">
        <v>378.8</v>
      </c>
      <c r="O675" s="116">
        <v>360.2</v>
      </c>
      <c r="P675" s="116">
        <v>373.4</v>
      </c>
      <c r="Q675" s="116">
        <v>363</v>
      </c>
      <c r="R675">
        <v>375922</v>
      </c>
    </row>
    <row r="676" spans="1:18" x14ac:dyDescent="0.25">
      <c r="A676" s="170">
        <v>44687</v>
      </c>
      <c r="B676" s="116">
        <v>359.7</v>
      </c>
      <c r="C676" s="116">
        <v>353.5</v>
      </c>
      <c r="D676" s="116">
        <v>350.1</v>
      </c>
      <c r="E676" s="116">
        <v>359.7</v>
      </c>
      <c r="F676" s="116">
        <v>353.5</v>
      </c>
      <c r="G676">
        <v>59556</v>
      </c>
      <c r="H676" s="116"/>
      <c r="I676" s="116"/>
      <c r="L676" s="170">
        <v>44687</v>
      </c>
      <c r="M676" s="116">
        <v>353.5</v>
      </c>
      <c r="N676" s="116">
        <v>358.4</v>
      </c>
      <c r="O676" s="116">
        <v>350.1</v>
      </c>
      <c r="P676" s="116">
        <v>355.9</v>
      </c>
      <c r="Q676" s="116">
        <v>353.5</v>
      </c>
      <c r="R676">
        <v>328097</v>
      </c>
    </row>
    <row r="677" spans="1:18" x14ac:dyDescent="0.25">
      <c r="A677" s="170">
        <v>44690</v>
      </c>
      <c r="B677" s="116">
        <v>354.9</v>
      </c>
      <c r="C677" s="116">
        <v>342.9</v>
      </c>
      <c r="D677" s="116">
        <v>341</v>
      </c>
      <c r="E677" s="116">
        <v>353.5</v>
      </c>
      <c r="F677" s="116">
        <v>342.9</v>
      </c>
      <c r="G677">
        <v>41005</v>
      </c>
      <c r="H677" s="116"/>
      <c r="I677" s="116"/>
      <c r="L677" s="170">
        <v>44690</v>
      </c>
      <c r="M677" s="116">
        <v>343.05</v>
      </c>
      <c r="N677" s="116">
        <v>355.25</v>
      </c>
      <c r="O677" s="116">
        <v>341.55</v>
      </c>
      <c r="P677" s="116">
        <v>353</v>
      </c>
      <c r="Q677" s="116">
        <v>343.05</v>
      </c>
      <c r="R677">
        <v>280874</v>
      </c>
    </row>
    <row r="678" spans="1:18" x14ac:dyDescent="0.25">
      <c r="A678" s="170">
        <v>44691</v>
      </c>
      <c r="B678" s="116">
        <v>349</v>
      </c>
      <c r="C678" s="116">
        <v>333.7</v>
      </c>
      <c r="D678" s="116">
        <v>330.35</v>
      </c>
      <c r="E678" s="116">
        <v>342.9</v>
      </c>
      <c r="F678" s="116">
        <v>333.7</v>
      </c>
      <c r="G678">
        <v>20740</v>
      </c>
      <c r="H678" s="116"/>
      <c r="I678" s="116"/>
      <c r="L678" s="170">
        <v>44691</v>
      </c>
      <c r="M678" s="116">
        <v>334.5</v>
      </c>
      <c r="N678" s="116">
        <v>348.9</v>
      </c>
      <c r="O678" s="116">
        <v>330.25</v>
      </c>
      <c r="P678" s="116">
        <v>344</v>
      </c>
      <c r="Q678" s="116">
        <v>334.5</v>
      </c>
      <c r="R678">
        <v>237513</v>
      </c>
    </row>
    <row r="679" spans="1:18" x14ac:dyDescent="0.25">
      <c r="A679" s="170">
        <v>44692</v>
      </c>
      <c r="B679" s="116">
        <v>340.4</v>
      </c>
      <c r="C679" s="116">
        <v>320.45</v>
      </c>
      <c r="D679" s="116">
        <v>314.7</v>
      </c>
      <c r="E679" s="116">
        <v>340.4</v>
      </c>
      <c r="F679" s="116">
        <v>320.45</v>
      </c>
      <c r="G679">
        <v>25841</v>
      </c>
      <c r="H679" s="116"/>
      <c r="I679" s="116"/>
      <c r="L679" s="170">
        <v>44692</v>
      </c>
      <c r="M679" s="116">
        <v>319.55</v>
      </c>
      <c r="N679" s="116">
        <v>339.9</v>
      </c>
      <c r="O679" s="116">
        <v>314.7</v>
      </c>
      <c r="P679" s="116">
        <v>335.85</v>
      </c>
      <c r="Q679" s="116">
        <v>319.55</v>
      </c>
      <c r="R679">
        <v>428996</v>
      </c>
    </row>
    <row r="680" spans="1:18" x14ac:dyDescent="0.25">
      <c r="A680" s="170">
        <v>44693</v>
      </c>
      <c r="B680" s="116">
        <v>326.3</v>
      </c>
      <c r="C680" s="116">
        <v>321.35000000000002</v>
      </c>
      <c r="D680" s="116">
        <v>313.55</v>
      </c>
      <c r="E680" s="116">
        <v>314</v>
      </c>
      <c r="F680" s="116">
        <v>321.35000000000002</v>
      </c>
      <c r="G680">
        <v>55240</v>
      </c>
      <c r="H680" s="116"/>
      <c r="I680" s="116"/>
      <c r="L680" s="170">
        <v>44693</v>
      </c>
      <c r="M680" s="116">
        <v>321.55</v>
      </c>
      <c r="N680" s="116">
        <v>325</v>
      </c>
      <c r="O680" s="116">
        <v>313.8</v>
      </c>
      <c r="P680" s="116">
        <v>316.64999999999998</v>
      </c>
      <c r="Q680" s="116">
        <v>321.55</v>
      </c>
      <c r="R680">
        <v>402700</v>
      </c>
    </row>
    <row r="681" spans="1:18" x14ac:dyDescent="0.25">
      <c r="A681" s="170">
        <v>44694</v>
      </c>
      <c r="B681" s="116">
        <v>334.55</v>
      </c>
      <c r="C681" s="116">
        <v>324.25</v>
      </c>
      <c r="D681" s="116">
        <v>321</v>
      </c>
      <c r="E681" s="116">
        <v>321.5</v>
      </c>
      <c r="F681" s="116">
        <v>324.25</v>
      </c>
      <c r="G681">
        <v>25180</v>
      </c>
      <c r="H681" s="116"/>
      <c r="I681" s="116"/>
      <c r="L681" s="170">
        <v>44694</v>
      </c>
      <c r="M681" s="116">
        <v>324.55</v>
      </c>
      <c r="N681" s="116">
        <v>334.55</v>
      </c>
      <c r="O681" s="116">
        <v>320.89999999999998</v>
      </c>
      <c r="P681" s="116">
        <v>326</v>
      </c>
      <c r="Q681" s="116">
        <v>324.55</v>
      </c>
      <c r="R681">
        <v>264235</v>
      </c>
    </row>
    <row r="682" spans="1:18" x14ac:dyDescent="0.25">
      <c r="A682" s="170">
        <v>44697</v>
      </c>
      <c r="B682" s="116">
        <v>335</v>
      </c>
      <c r="C682" s="116">
        <v>321.2</v>
      </c>
      <c r="D682" s="116">
        <v>319.05</v>
      </c>
      <c r="E682" s="116">
        <v>335</v>
      </c>
      <c r="F682" s="116">
        <v>321.2</v>
      </c>
      <c r="G682">
        <v>24355</v>
      </c>
      <c r="H682" s="116"/>
      <c r="I682" s="116"/>
      <c r="L682" s="170">
        <v>44697</v>
      </c>
      <c r="M682" s="116">
        <v>321.55</v>
      </c>
      <c r="N682" s="116">
        <v>332</v>
      </c>
      <c r="O682" s="116">
        <v>319</v>
      </c>
      <c r="P682" s="116">
        <v>329</v>
      </c>
      <c r="Q682" s="116">
        <v>321.55</v>
      </c>
      <c r="R682">
        <v>251021</v>
      </c>
    </row>
    <row r="683" spans="1:18" x14ac:dyDescent="0.25">
      <c r="A683" s="170">
        <v>44698</v>
      </c>
      <c r="B683" s="116">
        <v>335.1</v>
      </c>
      <c r="C683" s="116">
        <v>333.65</v>
      </c>
      <c r="D683" s="116">
        <v>326.45</v>
      </c>
      <c r="E683" s="116">
        <v>327.45</v>
      </c>
      <c r="F683" s="116">
        <v>333.65</v>
      </c>
      <c r="G683">
        <v>24641</v>
      </c>
      <c r="H683" s="116"/>
      <c r="I683" s="116"/>
      <c r="L683" s="170">
        <v>44698</v>
      </c>
      <c r="M683" s="116">
        <v>333.5</v>
      </c>
      <c r="N683" s="116">
        <v>335</v>
      </c>
      <c r="O683" s="116">
        <v>323</v>
      </c>
      <c r="P683" s="116">
        <v>323</v>
      </c>
      <c r="Q683" s="116">
        <v>333.5</v>
      </c>
      <c r="R683">
        <v>243451</v>
      </c>
    </row>
    <row r="684" spans="1:18" x14ac:dyDescent="0.25">
      <c r="A684" s="170">
        <v>44699</v>
      </c>
      <c r="B684" s="116">
        <v>342.85</v>
      </c>
      <c r="C684" s="116">
        <v>328.6</v>
      </c>
      <c r="D684" s="116">
        <v>324.35000000000002</v>
      </c>
      <c r="E684" s="116">
        <v>342.85</v>
      </c>
      <c r="F684" s="116">
        <v>328.6</v>
      </c>
      <c r="G684">
        <v>35706</v>
      </c>
      <c r="H684" s="116"/>
      <c r="I684" s="116"/>
      <c r="L684" s="170">
        <v>44699</v>
      </c>
      <c r="M684" s="116">
        <v>328.6</v>
      </c>
      <c r="N684" s="116">
        <v>339</v>
      </c>
      <c r="O684" s="116">
        <v>325</v>
      </c>
      <c r="P684" s="116">
        <v>336.8</v>
      </c>
      <c r="Q684" s="116">
        <v>328.6</v>
      </c>
      <c r="R684">
        <v>283535</v>
      </c>
    </row>
    <row r="685" spans="1:18" x14ac:dyDescent="0.25">
      <c r="A685" s="170">
        <v>44700</v>
      </c>
      <c r="B685" s="116">
        <v>323.45</v>
      </c>
      <c r="C685" s="116">
        <v>313.89999999999998</v>
      </c>
      <c r="D685" s="116">
        <v>312.10000000000002</v>
      </c>
      <c r="E685" s="116">
        <v>316.55</v>
      </c>
      <c r="F685" s="116">
        <v>313.89999999999998</v>
      </c>
      <c r="G685">
        <v>44025</v>
      </c>
      <c r="H685" s="116"/>
      <c r="I685" s="116"/>
      <c r="L685" s="170">
        <v>44700</v>
      </c>
      <c r="M685" s="116">
        <v>313.75</v>
      </c>
      <c r="N685" s="116">
        <v>323.8</v>
      </c>
      <c r="O685" s="116">
        <v>312</v>
      </c>
      <c r="P685" s="116">
        <v>322</v>
      </c>
      <c r="Q685" s="116">
        <v>313.75</v>
      </c>
      <c r="R685">
        <v>341928</v>
      </c>
    </row>
    <row r="686" spans="1:18" x14ac:dyDescent="0.25">
      <c r="A686" s="170">
        <v>44701</v>
      </c>
      <c r="B686" s="116">
        <v>326.7</v>
      </c>
      <c r="C686" s="116">
        <v>325.45</v>
      </c>
      <c r="D686" s="116">
        <v>318</v>
      </c>
      <c r="E686" s="116">
        <v>318</v>
      </c>
      <c r="F686" s="116">
        <v>325.45</v>
      </c>
      <c r="G686">
        <v>36198</v>
      </c>
      <c r="H686" s="116"/>
      <c r="I686" s="116"/>
      <c r="L686" s="170">
        <v>44701</v>
      </c>
      <c r="M686" s="116">
        <v>325.55</v>
      </c>
      <c r="N686" s="116">
        <v>326.55</v>
      </c>
      <c r="O686" s="116">
        <v>319.25</v>
      </c>
      <c r="P686" s="116">
        <v>319.75</v>
      </c>
      <c r="Q686" s="116">
        <v>325.55</v>
      </c>
      <c r="R686">
        <v>183516</v>
      </c>
    </row>
    <row r="687" spans="1:18" x14ac:dyDescent="0.25">
      <c r="A687" s="170">
        <v>44704</v>
      </c>
      <c r="B687" s="116">
        <v>331.6</v>
      </c>
      <c r="C687" s="116">
        <v>322.35000000000002</v>
      </c>
      <c r="D687" s="116">
        <v>319.5</v>
      </c>
      <c r="E687" s="116">
        <v>331.6</v>
      </c>
      <c r="F687" s="116">
        <v>322.35000000000002</v>
      </c>
      <c r="G687">
        <v>25230</v>
      </c>
      <c r="H687" s="116"/>
      <c r="I687" s="116"/>
      <c r="L687" s="170">
        <v>44704</v>
      </c>
      <c r="M687" s="116">
        <v>321.35000000000002</v>
      </c>
      <c r="N687" s="116">
        <v>330.65</v>
      </c>
      <c r="O687" s="116">
        <v>319.64999999999998</v>
      </c>
      <c r="P687" s="116">
        <v>326</v>
      </c>
      <c r="Q687" s="116">
        <v>321.35000000000002</v>
      </c>
      <c r="R687">
        <v>229405</v>
      </c>
    </row>
    <row r="688" spans="1:18" x14ac:dyDescent="0.25">
      <c r="A688" s="170">
        <v>44705</v>
      </c>
      <c r="B688" s="116">
        <v>328.1</v>
      </c>
      <c r="C688" s="116">
        <v>324.89999999999998</v>
      </c>
      <c r="D688" s="116">
        <v>317.7</v>
      </c>
      <c r="E688" s="116">
        <v>324</v>
      </c>
      <c r="F688" s="116">
        <v>324.89999999999998</v>
      </c>
      <c r="G688">
        <v>25263</v>
      </c>
      <c r="H688" s="116"/>
      <c r="I688" s="116"/>
      <c r="L688" s="170">
        <v>44705</v>
      </c>
      <c r="M688" s="116">
        <v>325.35000000000002</v>
      </c>
      <c r="N688" s="116">
        <v>329.95</v>
      </c>
      <c r="O688" s="116">
        <v>317</v>
      </c>
      <c r="P688" s="116">
        <v>324.39999999999998</v>
      </c>
      <c r="Q688" s="116">
        <v>325.35000000000002</v>
      </c>
      <c r="R688">
        <v>206054</v>
      </c>
    </row>
    <row r="689" spans="1:18" x14ac:dyDescent="0.25">
      <c r="A689" s="170">
        <v>44706</v>
      </c>
      <c r="B689" s="116">
        <v>328.5</v>
      </c>
      <c r="C689" s="116">
        <v>320.3</v>
      </c>
      <c r="D689" s="116">
        <v>314.7</v>
      </c>
      <c r="E689" s="116">
        <v>326.10000000000002</v>
      </c>
      <c r="F689" s="116">
        <v>320.3</v>
      </c>
      <c r="G689">
        <v>12291</v>
      </c>
      <c r="H689" s="116"/>
      <c r="I689" s="116"/>
      <c r="L689" s="170">
        <v>44706</v>
      </c>
      <c r="M689" s="116">
        <v>320.25</v>
      </c>
      <c r="N689" s="116">
        <v>329</v>
      </c>
      <c r="O689" s="116">
        <v>314.25</v>
      </c>
      <c r="P689" s="116">
        <v>328.1</v>
      </c>
      <c r="Q689" s="116">
        <v>320.25</v>
      </c>
      <c r="R689">
        <v>221598</v>
      </c>
    </row>
    <row r="690" spans="1:18" x14ac:dyDescent="0.25">
      <c r="A690" s="170">
        <v>44707</v>
      </c>
      <c r="B690" s="116">
        <v>322.55</v>
      </c>
      <c r="C690" s="116">
        <v>318.3</v>
      </c>
      <c r="D690" s="116">
        <v>306</v>
      </c>
      <c r="E690" s="116">
        <v>321.60000000000002</v>
      </c>
      <c r="F690" s="116">
        <v>318.3</v>
      </c>
      <c r="G690">
        <v>37265</v>
      </c>
      <c r="H690" s="116"/>
      <c r="I690" s="116"/>
      <c r="L690" s="170">
        <v>44707</v>
      </c>
      <c r="M690" s="116">
        <v>318.45</v>
      </c>
      <c r="N690" s="116">
        <v>322.75</v>
      </c>
      <c r="O690" s="116">
        <v>305.75</v>
      </c>
      <c r="P690" s="116">
        <v>320.25</v>
      </c>
      <c r="Q690" s="116">
        <v>318.45</v>
      </c>
      <c r="R690">
        <v>233418</v>
      </c>
    </row>
    <row r="691" spans="1:18" x14ac:dyDescent="0.25">
      <c r="A691" s="170">
        <v>44708</v>
      </c>
      <c r="B691" s="116">
        <v>324.60000000000002</v>
      </c>
      <c r="C691" s="116">
        <v>321.39999999999998</v>
      </c>
      <c r="D691" s="116">
        <v>319.3</v>
      </c>
      <c r="E691" s="116">
        <v>320</v>
      </c>
      <c r="F691" s="116">
        <v>321.39999999999998</v>
      </c>
      <c r="G691">
        <v>9863</v>
      </c>
      <c r="H691" s="116"/>
      <c r="I691" s="116"/>
      <c r="L691" s="170">
        <v>44708</v>
      </c>
      <c r="M691" s="116">
        <v>321.35000000000002</v>
      </c>
      <c r="N691" s="116">
        <v>324.89999999999998</v>
      </c>
      <c r="O691" s="116">
        <v>319</v>
      </c>
      <c r="P691" s="116">
        <v>321.95</v>
      </c>
      <c r="Q691" s="116">
        <v>321.35000000000002</v>
      </c>
      <c r="R691">
        <v>117558</v>
      </c>
    </row>
    <row r="692" spans="1:18" x14ac:dyDescent="0.25">
      <c r="A692" s="170">
        <v>44711</v>
      </c>
      <c r="B692" s="116">
        <v>331.45</v>
      </c>
      <c r="C692" s="116">
        <v>326.55</v>
      </c>
      <c r="D692" s="116">
        <v>324.14999999999998</v>
      </c>
      <c r="E692" s="116">
        <v>326.60000000000002</v>
      </c>
      <c r="F692" s="116">
        <v>326.55</v>
      </c>
      <c r="G692">
        <v>22016</v>
      </c>
      <c r="H692" s="116"/>
      <c r="I692" s="116"/>
      <c r="L692" s="170">
        <v>44711</v>
      </c>
      <c r="M692" s="116">
        <v>326.5</v>
      </c>
      <c r="N692" s="116">
        <v>331.3</v>
      </c>
      <c r="O692" s="116">
        <v>324.10000000000002</v>
      </c>
      <c r="P692" s="116">
        <v>325.64999999999998</v>
      </c>
      <c r="Q692" s="116">
        <v>326.5</v>
      </c>
      <c r="R692">
        <v>181931</v>
      </c>
    </row>
    <row r="693" spans="1:18" x14ac:dyDescent="0.25">
      <c r="A693" s="170">
        <v>44712</v>
      </c>
      <c r="B693" s="116">
        <v>333</v>
      </c>
      <c r="C693" s="116">
        <v>328.5</v>
      </c>
      <c r="D693" s="116">
        <v>324</v>
      </c>
      <c r="E693" s="116">
        <v>324</v>
      </c>
      <c r="F693" s="116">
        <v>328.5</v>
      </c>
      <c r="G693">
        <v>26621</v>
      </c>
      <c r="H693" s="116"/>
      <c r="I693" s="116"/>
      <c r="L693" s="170">
        <v>44712</v>
      </c>
      <c r="M693" s="116">
        <v>328.5</v>
      </c>
      <c r="N693" s="116">
        <v>333.5</v>
      </c>
      <c r="O693" s="116">
        <v>325</v>
      </c>
      <c r="P693" s="116">
        <v>326</v>
      </c>
      <c r="Q693" s="116">
        <v>328.5</v>
      </c>
      <c r="R693">
        <v>197417</v>
      </c>
    </row>
    <row r="694" spans="1:18" x14ac:dyDescent="0.25">
      <c r="A694" s="170">
        <v>44713</v>
      </c>
      <c r="B694" s="116">
        <v>334.55</v>
      </c>
      <c r="C694" s="116">
        <v>326.85000000000002</v>
      </c>
      <c r="D694" s="116">
        <v>323.05</v>
      </c>
      <c r="E694" s="116">
        <v>329</v>
      </c>
      <c r="F694" s="116">
        <v>326.85000000000002</v>
      </c>
      <c r="G694">
        <v>28308</v>
      </c>
      <c r="H694" s="116"/>
      <c r="I694" s="116"/>
      <c r="L694" s="170">
        <v>44713</v>
      </c>
      <c r="M694" s="116">
        <v>326.7</v>
      </c>
      <c r="N694" s="116">
        <v>334.5</v>
      </c>
      <c r="O694" s="116">
        <v>324.10000000000002</v>
      </c>
      <c r="P694" s="116">
        <v>330</v>
      </c>
      <c r="Q694" s="116">
        <v>326.7</v>
      </c>
      <c r="R694">
        <v>161659</v>
      </c>
    </row>
    <row r="695" spans="1:18" x14ac:dyDescent="0.25">
      <c r="A695" s="170">
        <v>44714</v>
      </c>
      <c r="B695" s="116">
        <v>339</v>
      </c>
      <c r="C695" s="116">
        <v>334.8</v>
      </c>
      <c r="D695" s="116">
        <v>324.8</v>
      </c>
      <c r="E695" s="116">
        <v>325.2</v>
      </c>
      <c r="F695" s="116">
        <v>334.8</v>
      </c>
      <c r="G695">
        <v>34285</v>
      </c>
      <c r="H695" s="116"/>
      <c r="I695" s="116"/>
      <c r="L695" s="170">
        <v>44714</v>
      </c>
      <c r="M695" s="116">
        <v>334.45</v>
      </c>
      <c r="N695" s="116">
        <v>339.05</v>
      </c>
      <c r="O695" s="116">
        <v>325.5</v>
      </c>
      <c r="P695" s="116">
        <v>326</v>
      </c>
      <c r="Q695" s="116">
        <v>334.45</v>
      </c>
      <c r="R695">
        <v>247137</v>
      </c>
    </row>
    <row r="696" spans="1:18" x14ac:dyDescent="0.25">
      <c r="A696" s="170">
        <v>44715</v>
      </c>
      <c r="B696" s="116">
        <v>338.75</v>
      </c>
      <c r="C696" s="116">
        <v>327.3</v>
      </c>
      <c r="D696" s="116">
        <v>326.45</v>
      </c>
      <c r="E696" s="116">
        <v>337</v>
      </c>
      <c r="F696" s="116">
        <v>327.3</v>
      </c>
      <c r="G696">
        <v>19016</v>
      </c>
      <c r="H696" s="116"/>
      <c r="I696" s="116"/>
      <c r="L696" s="170">
        <v>44715</v>
      </c>
      <c r="M696" s="116">
        <v>327.55</v>
      </c>
      <c r="N696" s="116">
        <v>339</v>
      </c>
      <c r="O696" s="116">
        <v>326</v>
      </c>
      <c r="P696" s="116">
        <v>337.25</v>
      </c>
      <c r="Q696" s="116">
        <v>327.55</v>
      </c>
      <c r="R696">
        <v>196538</v>
      </c>
    </row>
    <row r="697" spans="1:18" x14ac:dyDescent="0.25">
      <c r="A697" s="170">
        <v>44718</v>
      </c>
      <c r="B697" s="116">
        <v>343.8</v>
      </c>
      <c r="C697" s="116">
        <v>335.65</v>
      </c>
      <c r="D697" s="116">
        <v>317.89999999999998</v>
      </c>
      <c r="E697" s="116">
        <v>329</v>
      </c>
      <c r="F697" s="116">
        <v>335.65</v>
      </c>
      <c r="G697">
        <v>27049</v>
      </c>
      <c r="H697" s="116"/>
      <c r="I697" s="116"/>
      <c r="L697" s="170">
        <v>44718</v>
      </c>
      <c r="M697" s="116">
        <v>335.8</v>
      </c>
      <c r="N697" s="116">
        <v>344</v>
      </c>
      <c r="O697" s="116">
        <v>317.55</v>
      </c>
      <c r="P697" s="116">
        <v>325.5</v>
      </c>
      <c r="Q697" s="116">
        <v>335.8</v>
      </c>
      <c r="R697">
        <v>413037</v>
      </c>
    </row>
    <row r="698" spans="1:18" x14ac:dyDescent="0.25">
      <c r="A698" s="170">
        <v>44719</v>
      </c>
      <c r="B698" s="116">
        <v>335.8</v>
      </c>
      <c r="C698" s="116">
        <v>324.25</v>
      </c>
      <c r="D698" s="116">
        <v>321.2</v>
      </c>
      <c r="E698" s="116">
        <v>335.8</v>
      </c>
      <c r="F698" s="116">
        <v>324.25</v>
      </c>
      <c r="G698">
        <v>14972</v>
      </c>
      <c r="H698" s="116"/>
      <c r="I698" s="116"/>
      <c r="L698" s="170">
        <v>44719</v>
      </c>
      <c r="M698" s="116">
        <v>324.10000000000002</v>
      </c>
      <c r="N698" s="116">
        <v>334.2</v>
      </c>
      <c r="O698" s="116">
        <v>320.8</v>
      </c>
      <c r="P698" s="116">
        <v>333.8</v>
      </c>
      <c r="Q698" s="116">
        <v>324.10000000000002</v>
      </c>
      <c r="R698">
        <v>220440</v>
      </c>
    </row>
    <row r="699" spans="1:18" x14ac:dyDescent="0.25">
      <c r="A699" s="170">
        <v>44720</v>
      </c>
      <c r="B699" s="116">
        <v>327</v>
      </c>
      <c r="C699" s="116">
        <v>321.45</v>
      </c>
      <c r="D699" s="116">
        <v>320.75</v>
      </c>
      <c r="E699" s="116">
        <v>327</v>
      </c>
      <c r="F699" s="116">
        <v>321.45</v>
      </c>
      <c r="G699">
        <v>15297</v>
      </c>
      <c r="H699" s="116"/>
      <c r="I699" s="116"/>
      <c r="L699" s="170">
        <v>44720</v>
      </c>
      <c r="M699" s="116">
        <v>321.55</v>
      </c>
      <c r="N699" s="116">
        <v>327.25</v>
      </c>
      <c r="O699" s="116">
        <v>321</v>
      </c>
      <c r="P699" s="116">
        <v>327</v>
      </c>
      <c r="Q699" s="116">
        <v>321.55</v>
      </c>
      <c r="R699">
        <v>122620</v>
      </c>
    </row>
    <row r="700" spans="1:18" x14ac:dyDescent="0.25">
      <c r="A700" s="170">
        <v>44721</v>
      </c>
      <c r="B700" s="116">
        <v>331.9</v>
      </c>
      <c r="C700" s="116">
        <v>329.5</v>
      </c>
      <c r="D700" s="116">
        <v>321.45</v>
      </c>
      <c r="E700" s="116">
        <v>321.45</v>
      </c>
      <c r="F700" s="116">
        <v>329.5</v>
      </c>
      <c r="G700">
        <v>18131</v>
      </c>
      <c r="H700" s="116"/>
      <c r="I700" s="116"/>
      <c r="L700" s="170">
        <v>44721</v>
      </c>
      <c r="M700" s="116">
        <v>329.5</v>
      </c>
      <c r="N700" s="116">
        <v>332.4</v>
      </c>
      <c r="O700" s="116">
        <v>320.10000000000002</v>
      </c>
      <c r="P700" s="116">
        <v>322.8</v>
      </c>
      <c r="Q700" s="116">
        <v>329.5</v>
      </c>
      <c r="R700">
        <v>303164</v>
      </c>
    </row>
    <row r="701" spans="1:18" x14ac:dyDescent="0.25">
      <c r="A701" s="170">
        <v>44722</v>
      </c>
      <c r="B701" s="116">
        <v>327.25</v>
      </c>
      <c r="C701" s="116">
        <v>325.25</v>
      </c>
      <c r="D701" s="116">
        <v>323.3</v>
      </c>
      <c r="E701" s="116">
        <v>323.55</v>
      </c>
      <c r="F701" s="116">
        <v>325.25</v>
      </c>
      <c r="G701">
        <v>12319</v>
      </c>
      <c r="H701" s="116"/>
      <c r="I701" s="116"/>
      <c r="L701" s="170">
        <v>44722</v>
      </c>
      <c r="M701" s="116">
        <v>325.35000000000002</v>
      </c>
      <c r="N701" s="116">
        <v>327</v>
      </c>
      <c r="O701" s="116">
        <v>323.39999999999998</v>
      </c>
      <c r="P701" s="116">
        <v>324.95</v>
      </c>
      <c r="Q701" s="116">
        <v>325.35000000000002</v>
      </c>
      <c r="R701">
        <v>100840</v>
      </c>
    </row>
    <row r="702" spans="1:18" x14ac:dyDescent="0.25">
      <c r="A702" s="170">
        <v>44725</v>
      </c>
      <c r="B702" s="116">
        <v>322.5</v>
      </c>
      <c r="C702" s="116">
        <v>318.3</v>
      </c>
      <c r="D702" s="116">
        <v>316.2</v>
      </c>
      <c r="E702" s="116">
        <v>321.8</v>
      </c>
      <c r="F702" s="116">
        <v>318.3</v>
      </c>
      <c r="G702">
        <v>12687</v>
      </c>
      <c r="H702" s="116"/>
      <c r="I702" s="116"/>
      <c r="L702" s="170">
        <v>44725</v>
      </c>
      <c r="M702" s="116">
        <v>318.2</v>
      </c>
      <c r="N702" s="116">
        <v>323</v>
      </c>
      <c r="O702" s="116">
        <v>316</v>
      </c>
      <c r="P702" s="116">
        <v>316.55</v>
      </c>
      <c r="Q702" s="116">
        <v>318.2</v>
      </c>
      <c r="R702">
        <v>163147</v>
      </c>
    </row>
    <row r="703" spans="1:18" x14ac:dyDescent="0.25">
      <c r="A703" s="170">
        <v>44726</v>
      </c>
      <c r="B703" s="116">
        <v>321.8</v>
      </c>
      <c r="C703" s="116">
        <v>311.85000000000002</v>
      </c>
      <c r="D703" s="116">
        <v>311</v>
      </c>
      <c r="E703" s="116">
        <v>312.39999999999998</v>
      </c>
      <c r="F703" s="116">
        <v>311.85000000000002</v>
      </c>
      <c r="G703">
        <v>21834</v>
      </c>
      <c r="H703" s="116"/>
      <c r="I703" s="116"/>
      <c r="L703" s="170">
        <v>44726</v>
      </c>
      <c r="M703" s="116">
        <v>311.64999999999998</v>
      </c>
      <c r="N703" s="116">
        <v>322.25</v>
      </c>
      <c r="O703" s="116">
        <v>309.10000000000002</v>
      </c>
      <c r="P703" s="116">
        <v>316.3</v>
      </c>
      <c r="Q703" s="116">
        <v>311.64999999999998</v>
      </c>
      <c r="R703">
        <v>152437</v>
      </c>
    </row>
    <row r="704" spans="1:18" x14ac:dyDescent="0.25">
      <c r="A704" s="170">
        <v>44727</v>
      </c>
      <c r="B704" s="116">
        <v>316.10000000000002</v>
      </c>
      <c r="C704" s="116">
        <v>311.75</v>
      </c>
      <c r="D704" s="116">
        <v>310.5</v>
      </c>
      <c r="E704" s="116">
        <v>314.95</v>
      </c>
      <c r="F704" s="116">
        <v>311.75</v>
      </c>
      <c r="G704">
        <v>22273</v>
      </c>
      <c r="H704" s="116"/>
      <c r="I704" s="116"/>
      <c r="L704" s="170">
        <v>44727</v>
      </c>
      <c r="M704" s="116">
        <v>311.2</v>
      </c>
      <c r="N704" s="116">
        <v>316.75</v>
      </c>
      <c r="O704" s="116">
        <v>310</v>
      </c>
      <c r="P704" s="116">
        <v>313.2</v>
      </c>
      <c r="Q704" s="116">
        <v>311.2</v>
      </c>
      <c r="R704">
        <v>79008</v>
      </c>
    </row>
    <row r="705" spans="1:18" x14ac:dyDescent="0.25">
      <c r="A705" s="170">
        <v>44728</v>
      </c>
      <c r="B705" s="116">
        <v>320.05</v>
      </c>
      <c r="C705" s="116">
        <v>298.8</v>
      </c>
      <c r="D705" s="116">
        <v>294.35000000000002</v>
      </c>
      <c r="E705" s="116">
        <v>319.39999999999998</v>
      </c>
      <c r="F705" s="116">
        <v>298.8</v>
      </c>
      <c r="G705">
        <v>60566</v>
      </c>
      <c r="H705" s="116"/>
      <c r="I705" s="116"/>
      <c r="L705" s="170">
        <v>44728</v>
      </c>
      <c r="M705" s="116">
        <v>298.64999999999998</v>
      </c>
      <c r="N705" s="116">
        <v>324.85000000000002</v>
      </c>
      <c r="O705" s="116">
        <v>294.2</v>
      </c>
      <c r="P705" s="116">
        <v>324.85000000000002</v>
      </c>
      <c r="Q705" s="116">
        <v>298.64999999999998</v>
      </c>
      <c r="R705">
        <v>247845</v>
      </c>
    </row>
    <row r="706" spans="1:18" x14ac:dyDescent="0.25">
      <c r="A706" s="170">
        <v>44729</v>
      </c>
      <c r="B706" s="116">
        <v>298.8</v>
      </c>
      <c r="C706" s="116">
        <v>289.64999999999998</v>
      </c>
      <c r="D706" s="116">
        <v>287.75</v>
      </c>
      <c r="E706" s="116">
        <v>291.10000000000002</v>
      </c>
      <c r="F706" s="116">
        <v>289.64999999999998</v>
      </c>
      <c r="G706">
        <v>38198</v>
      </c>
      <c r="H706" s="116"/>
      <c r="I706" s="116"/>
      <c r="L706" s="170">
        <v>44729</v>
      </c>
      <c r="M706" s="116">
        <v>289.45</v>
      </c>
      <c r="N706" s="116">
        <v>298.2</v>
      </c>
      <c r="O706" s="116">
        <v>287</v>
      </c>
      <c r="P706" s="116">
        <v>298</v>
      </c>
      <c r="Q706" s="116">
        <v>289.45</v>
      </c>
      <c r="R706">
        <v>229141</v>
      </c>
    </row>
    <row r="707" spans="1:18" x14ac:dyDescent="0.25">
      <c r="A707" s="170">
        <v>44732</v>
      </c>
      <c r="B707" s="116">
        <v>290</v>
      </c>
      <c r="C707" s="116">
        <v>281.75</v>
      </c>
      <c r="D707" s="116">
        <v>279.60000000000002</v>
      </c>
      <c r="E707" s="116">
        <v>285.10000000000002</v>
      </c>
      <c r="F707" s="116">
        <v>281.75</v>
      </c>
      <c r="G707">
        <v>32625</v>
      </c>
      <c r="H707" s="116"/>
      <c r="I707" s="116"/>
      <c r="L707" s="170">
        <v>44732</v>
      </c>
      <c r="M707" s="116">
        <v>282.14999999999998</v>
      </c>
      <c r="N707" s="116">
        <v>291.14999999999998</v>
      </c>
      <c r="O707" s="116">
        <v>279.5</v>
      </c>
      <c r="P707" s="116">
        <v>286</v>
      </c>
      <c r="Q707" s="116">
        <v>282.14999999999998</v>
      </c>
      <c r="R707">
        <v>175411</v>
      </c>
    </row>
    <row r="708" spans="1:18" x14ac:dyDescent="0.25">
      <c r="A708" s="170">
        <v>44733</v>
      </c>
      <c r="B708" s="116">
        <v>292.14999999999998</v>
      </c>
      <c r="C708" s="116">
        <v>289.85000000000002</v>
      </c>
      <c r="D708" s="116">
        <v>284.2</v>
      </c>
      <c r="E708" s="116">
        <v>287.89999999999998</v>
      </c>
      <c r="F708" s="116">
        <v>289.85000000000002</v>
      </c>
      <c r="G708">
        <v>8693</v>
      </c>
      <c r="H708" s="116"/>
      <c r="I708" s="116"/>
      <c r="L708" s="170">
        <v>44733</v>
      </c>
      <c r="M708" s="116">
        <v>289.25</v>
      </c>
      <c r="N708" s="116">
        <v>292.75</v>
      </c>
      <c r="O708" s="116">
        <v>284</v>
      </c>
      <c r="P708" s="116">
        <v>284</v>
      </c>
      <c r="Q708" s="116">
        <v>289.25</v>
      </c>
      <c r="R708">
        <v>102985</v>
      </c>
    </row>
    <row r="709" spans="1:18" x14ac:dyDescent="0.25">
      <c r="A709" s="170">
        <v>44734</v>
      </c>
      <c r="B709" s="116">
        <v>289</v>
      </c>
      <c r="C709" s="116">
        <v>282.89999999999998</v>
      </c>
      <c r="D709" s="116">
        <v>282</v>
      </c>
      <c r="E709" s="116">
        <v>289</v>
      </c>
      <c r="F709" s="116">
        <v>282.89999999999998</v>
      </c>
      <c r="G709">
        <v>10312</v>
      </c>
      <c r="H709" s="116"/>
      <c r="I709" s="116"/>
      <c r="L709" s="170">
        <v>44734</v>
      </c>
      <c r="M709" s="116">
        <v>282.7</v>
      </c>
      <c r="N709" s="116">
        <v>289</v>
      </c>
      <c r="O709" s="116">
        <v>281.60000000000002</v>
      </c>
      <c r="P709" s="116">
        <v>289</v>
      </c>
      <c r="Q709" s="116">
        <v>282.7</v>
      </c>
      <c r="R709">
        <v>69591</v>
      </c>
    </row>
    <row r="710" spans="1:18" x14ac:dyDescent="0.25">
      <c r="A710" s="170">
        <v>44735</v>
      </c>
      <c r="B710" s="116">
        <v>288.60000000000002</v>
      </c>
      <c r="C710" s="116">
        <v>282.5</v>
      </c>
      <c r="D710" s="116">
        <v>278.35000000000002</v>
      </c>
      <c r="E710" s="116">
        <v>283.05</v>
      </c>
      <c r="F710" s="116">
        <v>282.5</v>
      </c>
      <c r="G710">
        <v>17946</v>
      </c>
      <c r="H710" s="116"/>
      <c r="I710" s="116"/>
      <c r="L710" s="170">
        <v>44735</v>
      </c>
      <c r="M710" s="116">
        <v>282.39999999999998</v>
      </c>
      <c r="N710" s="116">
        <v>288.8</v>
      </c>
      <c r="O710" s="116">
        <v>278.05</v>
      </c>
      <c r="P710" s="116">
        <v>284.75</v>
      </c>
      <c r="Q710" s="116">
        <v>282.39999999999998</v>
      </c>
      <c r="R710">
        <v>108390</v>
      </c>
    </row>
    <row r="711" spans="1:18" x14ac:dyDescent="0.25">
      <c r="A711" s="170">
        <v>44736</v>
      </c>
      <c r="B711" s="116">
        <v>295</v>
      </c>
      <c r="C711" s="116">
        <v>292.25</v>
      </c>
      <c r="D711" s="116">
        <v>283.2</v>
      </c>
      <c r="E711" s="116">
        <v>283.2</v>
      </c>
      <c r="F711" s="116">
        <v>292.25</v>
      </c>
      <c r="G711">
        <v>24362</v>
      </c>
      <c r="H711" s="116"/>
      <c r="I711" s="116"/>
      <c r="L711" s="170">
        <v>44736</v>
      </c>
      <c r="M711" s="116">
        <v>292.55</v>
      </c>
      <c r="N711" s="116">
        <v>295.5</v>
      </c>
      <c r="O711" s="116">
        <v>284.95</v>
      </c>
      <c r="P711" s="116">
        <v>285</v>
      </c>
      <c r="Q711" s="116">
        <v>292.55</v>
      </c>
      <c r="R711">
        <v>117004</v>
      </c>
    </row>
    <row r="712" spans="1:18" x14ac:dyDescent="0.25">
      <c r="A712" s="170">
        <v>44739</v>
      </c>
      <c r="B712" s="116">
        <v>305.14999999999998</v>
      </c>
      <c r="C712" s="116">
        <v>294.14999999999998</v>
      </c>
      <c r="D712" s="116">
        <v>292.05</v>
      </c>
      <c r="E712" s="116">
        <v>297</v>
      </c>
      <c r="F712" s="116">
        <v>294.14999999999998</v>
      </c>
      <c r="G712">
        <v>16791</v>
      </c>
      <c r="H712" s="116"/>
      <c r="I712" s="116"/>
      <c r="L712" s="170">
        <v>44739</v>
      </c>
      <c r="M712" s="116">
        <v>294.39999999999998</v>
      </c>
      <c r="N712" s="116">
        <v>304.39999999999998</v>
      </c>
      <c r="O712" s="116">
        <v>292</v>
      </c>
      <c r="P712" s="116">
        <v>300</v>
      </c>
      <c r="Q712" s="116">
        <v>294.39999999999998</v>
      </c>
      <c r="R712">
        <v>241608</v>
      </c>
    </row>
    <row r="713" spans="1:18" x14ac:dyDescent="0.25">
      <c r="A713" s="170">
        <v>44740</v>
      </c>
      <c r="B713" s="116">
        <v>300.60000000000002</v>
      </c>
      <c r="C713" s="116">
        <v>297.85000000000002</v>
      </c>
      <c r="D713" s="116">
        <v>291</v>
      </c>
      <c r="E713" s="116">
        <v>293</v>
      </c>
      <c r="F713" s="116">
        <v>297.85000000000002</v>
      </c>
      <c r="G713">
        <v>7806</v>
      </c>
      <c r="H713" s="116"/>
      <c r="I713" s="116"/>
      <c r="L713" s="170">
        <v>44740</v>
      </c>
      <c r="M713" s="116">
        <v>298</v>
      </c>
      <c r="N713" s="116">
        <v>300.95</v>
      </c>
      <c r="O713" s="116">
        <v>290</v>
      </c>
      <c r="P713" s="116">
        <v>290</v>
      </c>
      <c r="Q713" s="116">
        <v>298</v>
      </c>
      <c r="R713">
        <v>149359</v>
      </c>
    </row>
    <row r="714" spans="1:18" x14ac:dyDescent="0.25">
      <c r="A714" s="170">
        <v>44741</v>
      </c>
      <c r="B714" s="116">
        <v>313.5</v>
      </c>
      <c r="C714" s="116">
        <v>308.25</v>
      </c>
      <c r="D714" s="116">
        <v>292</v>
      </c>
      <c r="E714" s="116">
        <v>292.60000000000002</v>
      </c>
      <c r="F714" s="116">
        <v>308.25</v>
      </c>
      <c r="G714">
        <v>45561</v>
      </c>
      <c r="H714" s="116"/>
      <c r="I714" s="116"/>
      <c r="L714" s="170">
        <v>44741</v>
      </c>
      <c r="M714" s="116">
        <v>307.60000000000002</v>
      </c>
      <c r="N714" s="116">
        <v>313.64999999999998</v>
      </c>
      <c r="O714" s="116">
        <v>290.60000000000002</v>
      </c>
      <c r="P714" s="116">
        <v>293.05</v>
      </c>
      <c r="Q714" s="116">
        <v>307.60000000000002</v>
      </c>
      <c r="R714">
        <v>437576</v>
      </c>
    </row>
    <row r="715" spans="1:18" x14ac:dyDescent="0.25">
      <c r="A715" s="170">
        <v>44742</v>
      </c>
      <c r="B715" s="116">
        <v>309.14999999999998</v>
      </c>
      <c r="C715" s="116">
        <v>296.75</v>
      </c>
      <c r="D715" s="116">
        <v>295</v>
      </c>
      <c r="E715" s="116">
        <v>309.14999999999998</v>
      </c>
      <c r="F715" s="116">
        <v>296.75</v>
      </c>
      <c r="G715">
        <v>16957</v>
      </c>
      <c r="H715" s="116"/>
      <c r="I715" s="116"/>
      <c r="L715" s="170">
        <v>44742</v>
      </c>
      <c r="M715" s="116">
        <v>296.60000000000002</v>
      </c>
      <c r="N715" s="116">
        <v>307.5</v>
      </c>
      <c r="O715" s="116">
        <v>295</v>
      </c>
      <c r="P715" s="116">
        <v>306</v>
      </c>
      <c r="Q715" s="116">
        <v>296.60000000000002</v>
      </c>
      <c r="R715">
        <v>107763</v>
      </c>
    </row>
    <row r="716" spans="1:18" x14ac:dyDescent="0.25">
      <c r="A716" s="170">
        <v>44743</v>
      </c>
      <c r="B716" s="116">
        <v>299.60000000000002</v>
      </c>
      <c r="C716" s="116">
        <v>297.8</v>
      </c>
      <c r="D716" s="116">
        <v>290</v>
      </c>
      <c r="E716" s="116">
        <v>298</v>
      </c>
      <c r="F716" s="116">
        <v>297.8</v>
      </c>
      <c r="G716">
        <v>13829</v>
      </c>
      <c r="H716" s="116"/>
      <c r="I716" s="116"/>
      <c r="L716" s="170">
        <v>44743</v>
      </c>
      <c r="M716" s="116">
        <v>297.2</v>
      </c>
      <c r="N716" s="116">
        <v>300</v>
      </c>
      <c r="O716" s="116">
        <v>290.10000000000002</v>
      </c>
      <c r="P716" s="116">
        <v>294.8</v>
      </c>
      <c r="Q716" s="116">
        <v>297.2</v>
      </c>
      <c r="R716">
        <v>97483</v>
      </c>
    </row>
    <row r="717" spans="1:18" x14ac:dyDescent="0.25">
      <c r="A717" s="170">
        <v>44746</v>
      </c>
      <c r="B717" s="116">
        <v>303.89999999999998</v>
      </c>
      <c r="C717" s="116">
        <v>297.45</v>
      </c>
      <c r="D717" s="116">
        <v>295.8</v>
      </c>
      <c r="E717" s="116">
        <v>303.89999999999998</v>
      </c>
      <c r="F717" s="116">
        <v>297.45</v>
      </c>
      <c r="G717">
        <v>10528</v>
      </c>
      <c r="H717" s="116"/>
      <c r="I717" s="116"/>
      <c r="L717" s="170">
        <v>44746</v>
      </c>
      <c r="M717" s="116">
        <v>297.85000000000002</v>
      </c>
      <c r="N717" s="116">
        <v>302</v>
      </c>
      <c r="O717" s="116">
        <v>296</v>
      </c>
      <c r="P717" s="116">
        <v>299.89999999999998</v>
      </c>
      <c r="Q717" s="116">
        <v>297.85000000000002</v>
      </c>
      <c r="R717">
        <v>67695</v>
      </c>
    </row>
    <row r="718" spans="1:18" x14ac:dyDescent="0.25">
      <c r="A718" s="170">
        <v>44747</v>
      </c>
      <c r="B718" s="116">
        <v>306.60000000000002</v>
      </c>
      <c r="C718" s="116">
        <v>304.8</v>
      </c>
      <c r="D718" s="116">
        <v>299.95</v>
      </c>
      <c r="E718" s="116">
        <v>299.95</v>
      </c>
      <c r="F718" s="116">
        <v>304.8</v>
      </c>
      <c r="G718">
        <v>7632</v>
      </c>
      <c r="H718" s="116"/>
      <c r="I718" s="116"/>
      <c r="L718" s="170">
        <v>44747</v>
      </c>
      <c r="M718" s="116">
        <v>304.25</v>
      </c>
      <c r="N718" s="116">
        <v>306.55</v>
      </c>
      <c r="O718" s="116">
        <v>298</v>
      </c>
      <c r="P718" s="116">
        <v>298</v>
      </c>
      <c r="Q718" s="116">
        <v>304.25</v>
      </c>
      <c r="R718">
        <v>139706</v>
      </c>
    </row>
    <row r="719" spans="1:18" x14ac:dyDescent="0.25">
      <c r="A719" s="170">
        <v>44748</v>
      </c>
      <c r="B719" s="116">
        <v>312.35000000000002</v>
      </c>
      <c r="C719" s="116">
        <v>310.8</v>
      </c>
      <c r="D719" s="116">
        <v>304.60000000000002</v>
      </c>
      <c r="E719" s="116">
        <v>304.60000000000002</v>
      </c>
      <c r="F719" s="116">
        <v>310.8</v>
      </c>
      <c r="G719">
        <v>19390</v>
      </c>
      <c r="H719" s="116"/>
      <c r="I719" s="116"/>
      <c r="L719" s="170">
        <v>44748</v>
      </c>
      <c r="M719" s="116">
        <v>310.95</v>
      </c>
      <c r="N719" s="116">
        <v>312.5</v>
      </c>
      <c r="O719" s="116">
        <v>303.05</v>
      </c>
      <c r="P719" s="116">
        <v>303.05</v>
      </c>
      <c r="Q719" s="116">
        <v>310.95</v>
      </c>
      <c r="R719">
        <v>163768</v>
      </c>
    </row>
    <row r="720" spans="1:18" x14ac:dyDescent="0.25">
      <c r="A720" s="170">
        <v>44749</v>
      </c>
      <c r="B720" s="116">
        <v>312.7</v>
      </c>
      <c r="C720" s="116">
        <v>308.55</v>
      </c>
      <c r="D720" s="116">
        <v>307.5</v>
      </c>
      <c r="E720" s="116">
        <v>310.5</v>
      </c>
      <c r="F720" s="116">
        <v>308.55</v>
      </c>
      <c r="G720">
        <v>6954</v>
      </c>
      <c r="H720" s="116"/>
      <c r="I720" s="116"/>
      <c r="L720" s="170">
        <v>44749</v>
      </c>
      <c r="M720" s="116">
        <v>308.5</v>
      </c>
      <c r="N720" s="116">
        <v>312.5</v>
      </c>
      <c r="O720" s="116">
        <v>307</v>
      </c>
      <c r="P720" s="116">
        <v>311.2</v>
      </c>
      <c r="Q720" s="116">
        <v>308.5</v>
      </c>
      <c r="R720">
        <v>96950</v>
      </c>
    </row>
    <row r="721" spans="1:18" x14ac:dyDescent="0.25">
      <c r="A721" s="170">
        <v>44750</v>
      </c>
      <c r="B721" s="116">
        <v>315.5</v>
      </c>
      <c r="C721" s="116">
        <v>306.14999999999998</v>
      </c>
      <c r="D721" s="116">
        <v>305.5</v>
      </c>
      <c r="E721" s="116">
        <v>308.55</v>
      </c>
      <c r="F721" s="116">
        <v>306.14999999999998</v>
      </c>
      <c r="G721">
        <v>20899</v>
      </c>
      <c r="H721" s="116"/>
      <c r="I721" s="116"/>
      <c r="L721" s="170">
        <v>44750</v>
      </c>
      <c r="M721" s="116">
        <v>305.85000000000002</v>
      </c>
      <c r="N721" s="116">
        <v>315.8</v>
      </c>
      <c r="O721" s="116">
        <v>305.10000000000002</v>
      </c>
      <c r="P721" s="116">
        <v>310.7</v>
      </c>
      <c r="Q721" s="116">
        <v>305.85000000000002</v>
      </c>
      <c r="R721">
        <v>123685</v>
      </c>
    </row>
    <row r="722" spans="1:18" x14ac:dyDescent="0.25">
      <c r="A722" s="170">
        <v>44753</v>
      </c>
      <c r="B722" s="116">
        <v>310.64999999999998</v>
      </c>
      <c r="C722" s="116">
        <v>306.89999999999998</v>
      </c>
      <c r="D722" s="116">
        <v>302.14999999999998</v>
      </c>
      <c r="E722" s="116">
        <v>306.14999999999998</v>
      </c>
      <c r="F722" s="116">
        <v>306.89999999999998</v>
      </c>
      <c r="G722">
        <v>15630</v>
      </c>
      <c r="H722" s="116"/>
      <c r="I722" s="116"/>
      <c r="L722" s="170">
        <v>44753</v>
      </c>
      <c r="M722" s="116">
        <v>306.60000000000002</v>
      </c>
      <c r="N722" s="116">
        <v>310.8</v>
      </c>
      <c r="O722" s="116">
        <v>302</v>
      </c>
      <c r="P722" s="116">
        <v>303.89999999999998</v>
      </c>
      <c r="Q722" s="116">
        <v>306.60000000000002</v>
      </c>
      <c r="R722">
        <v>131295</v>
      </c>
    </row>
    <row r="723" spans="1:18" x14ac:dyDescent="0.25">
      <c r="A723" s="170">
        <v>44754</v>
      </c>
      <c r="B723" s="116">
        <v>313.3</v>
      </c>
      <c r="C723" s="116">
        <v>309.45</v>
      </c>
      <c r="D723" s="116">
        <v>302.10000000000002</v>
      </c>
      <c r="E723" s="116">
        <v>302.10000000000002</v>
      </c>
      <c r="F723" s="116">
        <v>309.45</v>
      </c>
      <c r="G723">
        <v>24224</v>
      </c>
      <c r="H723" s="116"/>
      <c r="I723" s="116"/>
      <c r="L723" s="170">
        <v>44754</v>
      </c>
      <c r="M723" s="116">
        <v>309.10000000000002</v>
      </c>
      <c r="N723" s="116">
        <v>313.39999999999998</v>
      </c>
      <c r="O723" s="116">
        <v>304.10000000000002</v>
      </c>
      <c r="P723" s="116">
        <v>304.10000000000002</v>
      </c>
      <c r="Q723" s="116">
        <v>309.10000000000002</v>
      </c>
      <c r="R723">
        <v>211342</v>
      </c>
    </row>
    <row r="724" spans="1:18" x14ac:dyDescent="0.25">
      <c r="A724" s="170">
        <v>44755</v>
      </c>
      <c r="B724" s="116">
        <v>295</v>
      </c>
      <c r="C724" s="116">
        <v>288.85000000000002</v>
      </c>
      <c r="D724" s="116">
        <v>283.55</v>
      </c>
      <c r="E724" s="116">
        <v>295</v>
      </c>
      <c r="F724" s="116">
        <v>288.85000000000002</v>
      </c>
      <c r="G724">
        <v>92548</v>
      </c>
      <c r="H724" s="116"/>
      <c r="I724" s="116"/>
      <c r="L724" s="170">
        <v>44755</v>
      </c>
      <c r="M724" s="116">
        <v>288.89999999999998</v>
      </c>
      <c r="N724" s="116">
        <v>294.5</v>
      </c>
      <c r="O724" s="116">
        <v>284.14999999999998</v>
      </c>
      <c r="P724" s="116">
        <v>294</v>
      </c>
      <c r="Q724" s="116">
        <v>288.89999999999998</v>
      </c>
      <c r="R724">
        <v>819492</v>
      </c>
    </row>
    <row r="725" spans="1:18" x14ac:dyDescent="0.25">
      <c r="A725" s="170">
        <v>44756</v>
      </c>
      <c r="B725" s="116">
        <v>294</v>
      </c>
      <c r="C725" s="116">
        <v>288.7</v>
      </c>
      <c r="D725" s="116">
        <v>287</v>
      </c>
      <c r="E725" s="116">
        <v>287.3</v>
      </c>
      <c r="F725" s="116">
        <v>288.7</v>
      </c>
      <c r="G725">
        <v>20188</v>
      </c>
      <c r="H725" s="116"/>
      <c r="I725" s="116"/>
      <c r="L725" s="170">
        <v>44756</v>
      </c>
      <c r="M725" s="116">
        <v>288.55</v>
      </c>
      <c r="N725" s="116">
        <v>294.2</v>
      </c>
      <c r="O725" s="116">
        <v>287</v>
      </c>
      <c r="P725" s="116">
        <v>290</v>
      </c>
      <c r="Q725" s="116">
        <v>288.55</v>
      </c>
      <c r="R725">
        <v>158744</v>
      </c>
    </row>
    <row r="726" spans="1:18" x14ac:dyDescent="0.25">
      <c r="A726" s="170">
        <v>44757</v>
      </c>
      <c r="B726" s="116">
        <v>291.45</v>
      </c>
      <c r="C726" s="116">
        <v>282.45</v>
      </c>
      <c r="D726" s="116">
        <v>281</v>
      </c>
      <c r="E726" s="116">
        <v>287.25</v>
      </c>
      <c r="F726" s="116">
        <v>282.45</v>
      </c>
      <c r="G726">
        <v>21224</v>
      </c>
      <c r="H726" s="116"/>
      <c r="I726" s="116"/>
      <c r="L726" s="170">
        <v>44757</v>
      </c>
      <c r="M726" s="116">
        <v>282.3</v>
      </c>
      <c r="N726" s="116">
        <v>291.5</v>
      </c>
      <c r="O726" s="116">
        <v>280.60000000000002</v>
      </c>
      <c r="P726" s="116">
        <v>288.64999999999998</v>
      </c>
      <c r="Q726" s="116">
        <v>282.3</v>
      </c>
      <c r="R726">
        <v>137974</v>
      </c>
    </row>
    <row r="727" spans="1:18" x14ac:dyDescent="0.25">
      <c r="A727" s="170">
        <v>44760</v>
      </c>
      <c r="B727" s="116">
        <v>293.35000000000002</v>
      </c>
      <c r="C727" s="116">
        <v>291.95</v>
      </c>
      <c r="D727" s="116">
        <v>283.55</v>
      </c>
      <c r="E727" s="116">
        <v>284.75</v>
      </c>
      <c r="F727" s="116">
        <v>291.95</v>
      </c>
      <c r="G727">
        <v>35776</v>
      </c>
      <c r="H727" s="116"/>
      <c r="I727" s="116"/>
      <c r="L727" s="170">
        <v>44760</v>
      </c>
      <c r="M727" s="116">
        <v>291.95</v>
      </c>
      <c r="N727" s="116">
        <v>293.64999999999998</v>
      </c>
      <c r="O727" s="116">
        <v>283.35000000000002</v>
      </c>
      <c r="P727" s="116">
        <v>286</v>
      </c>
      <c r="Q727" s="116">
        <v>291.95</v>
      </c>
      <c r="R727">
        <v>170156</v>
      </c>
    </row>
    <row r="728" spans="1:18" x14ac:dyDescent="0.25">
      <c r="A728" s="170">
        <v>44761</v>
      </c>
      <c r="B728" s="116">
        <v>294.7</v>
      </c>
      <c r="C728" s="116">
        <v>290.85000000000002</v>
      </c>
      <c r="D728" s="116">
        <v>289.3</v>
      </c>
      <c r="E728" s="116">
        <v>292</v>
      </c>
      <c r="F728" s="116">
        <v>290.85000000000002</v>
      </c>
      <c r="G728">
        <v>22659</v>
      </c>
      <c r="H728" s="116"/>
      <c r="I728" s="116"/>
      <c r="L728" s="170">
        <v>44761</v>
      </c>
      <c r="M728" s="116">
        <v>290.8</v>
      </c>
      <c r="N728" s="116">
        <v>293.89999999999998</v>
      </c>
      <c r="O728" s="116">
        <v>290</v>
      </c>
      <c r="P728" s="116">
        <v>291.95</v>
      </c>
      <c r="Q728" s="116">
        <v>290.8</v>
      </c>
      <c r="R728">
        <v>101028</v>
      </c>
    </row>
    <row r="729" spans="1:18" x14ac:dyDescent="0.25">
      <c r="A729" s="170">
        <v>44762</v>
      </c>
      <c r="B729" s="116">
        <v>293.95</v>
      </c>
      <c r="C729" s="116">
        <v>290.14999999999998</v>
      </c>
      <c r="D729" s="116">
        <v>288</v>
      </c>
      <c r="E729" s="116">
        <v>291.2</v>
      </c>
      <c r="F729" s="116">
        <v>290.14999999999998</v>
      </c>
      <c r="G729">
        <v>21334</v>
      </c>
      <c r="H729" s="116"/>
      <c r="I729" s="116"/>
      <c r="L729" s="170">
        <v>44762</v>
      </c>
      <c r="M729" s="116">
        <v>289.55</v>
      </c>
      <c r="N729" s="116">
        <v>294</v>
      </c>
      <c r="O729" s="116">
        <v>284.95</v>
      </c>
      <c r="P729" s="116">
        <v>293.8</v>
      </c>
      <c r="Q729" s="116">
        <v>289.55</v>
      </c>
      <c r="R729">
        <v>139636</v>
      </c>
    </row>
    <row r="730" spans="1:18" x14ac:dyDescent="0.25">
      <c r="A730" s="170">
        <v>44763</v>
      </c>
      <c r="B730" s="116">
        <v>292.39999999999998</v>
      </c>
      <c r="C730" s="116">
        <v>288.89999999999998</v>
      </c>
      <c r="D730" s="116">
        <v>288</v>
      </c>
      <c r="E730" s="116">
        <v>290.2</v>
      </c>
      <c r="F730" s="116">
        <v>288.89999999999998</v>
      </c>
      <c r="G730">
        <v>20151</v>
      </c>
      <c r="H730" s="116"/>
      <c r="I730" s="116"/>
      <c r="L730" s="170">
        <v>44763</v>
      </c>
      <c r="M730" s="116">
        <v>288.89999999999998</v>
      </c>
      <c r="N730" s="116">
        <v>292</v>
      </c>
      <c r="O730" s="116">
        <v>288</v>
      </c>
      <c r="P730" s="116">
        <v>291.85000000000002</v>
      </c>
      <c r="Q730" s="116">
        <v>288.89999999999998</v>
      </c>
      <c r="R730">
        <v>115311</v>
      </c>
    </row>
    <row r="731" spans="1:18" x14ac:dyDescent="0.25">
      <c r="A731" s="170">
        <v>44764</v>
      </c>
      <c r="B731" s="116">
        <v>292.85000000000002</v>
      </c>
      <c r="C731" s="116">
        <v>288.39999999999998</v>
      </c>
      <c r="D731" s="116">
        <v>287.55</v>
      </c>
      <c r="E731" s="116">
        <v>292</v>
      </c>
      <c r="F731" s="116">
        <v>288.39999999999998</v>
      </c>
      <c r="G731">
        <v>25591</v>
      </c>
      <c r="H731" s="116"/>
      <c r="I731" s="116"/>
      <c r="L731" s="170">
        <v>44764</v>
      </c>
      <c r="M731" s="116">
        <v>288.5</v>
      </c>
      <c r="N731" s="116">
        <v>293</v>
      </c>
      <c r="O731" s="116">
        <v>287.5</v>
      </c>
      <c r="P731" s="116">
        <v>289</v>
      </c>
      <c r="Q731" s="116">
        <v>288.5</v>
      </c>
      <c r="R731">
        <v>133886</v>
      </c>
    </row>
    <row r="732" spans="1:18" x14ac:dyDescent="0.25">
      <c r="A732" s="170">
        <v>44767</v>
      </c>
      <c r="B732" s="116">
        <v>289</v>
      </c>
      <c r="C732" s="116">
        <v>284.25</v>
      </c>
      <c r="D732" s="116">
        <v>283.25</v>
      </c>
      <c r="E732" s="116">
        <v>289</v>
      </c>
      <c r="F732" s="116">
        <v>284.25</v>
      </c>
      <c r="G732">
        <v>18007</v>
      </c>
      <c r="H732" s="116"/>
      <c r="I732" s="116"/>
      <c r="L732" s="170">
        <v>44767</v>
      </c>
      <c r="M732" s="116">
        <v>284.3</v>
      </c>
      <c r="N732" s="116">
        <v>289.75</v>
      </c>
      <c r="O732" s="116">
        <v>283.55</v>
      </c>
      <c r="P732" s="116">
        <v>288.5</v>
      </c>
      <c r="Q732" s="116">
        <v>284.3</v>
      </c>
      <c r="R732">
        <v>99678</v>
      </c>
    </row>
    <row r="733" spans="1:18" x14ac:dyDescent="0.25">
      <c r="A733" s="170">
        <v>44768</v>
      </c>
      <c r="B733" s="116">
        <v>286.5</v>
      </c>
      <c r="C733" s="116">
        <v>278.89999999999998</v>
      </c>
      <c r="D733" s="116">
        <v>278.3</v>
      </c>
      <c r="E733" s="116">
        <v>284</v>
      </c>
      <c r="F733" s="116">
        <v>278.89999999999998</v>
      </c>
      <c r="G733">
        <v>9523</v>
      </c>
      <c r="H733" s="116"/>
      <c r="I733" s="116"/>
      <c r="L733" s="170">
        <v>44768</v>
      </c>
      <c r="M733" s="116">
        <v>278.8</v>
      </c>
      <c r="N733" s="116">
        <v>286.95</v>
      </c>
      <c r="O733" s="116">
        <v>278.05</v>
      </c>
      <c r="P733" s="116">
        <v>285</v>
      </c>
      <c r="Q733" s="116">
        <v>278.8</v>
      </c>
      <c r="R733">
        <v>163451</v>
      </c>
    </row>
    <row r="734" spans="1:18" x14ac:dyDescent="0.25">
      <c r="A734" s="170">
        <v>44769</v>
      </c>
      <c r="B734" s="116">
        <v>280</v>
      </c>
      <c r="C734" s="116">
        <v>274.5</v>
      </c>
      <c r="D734" s="116">
        <v>273.35000000000002</v>
      </c>
      <c r="E734" s="116">
        <v>278</v>
      </c>
      <c r="F734" s="116">
        <v>274.5</v>
      </c>
      <c r="G734">
        <v>31447</v>
      </c>
      <c r="H734" s="116"/>
      <c r="I734" s="116"/>
      <c r="L734" s="170">
        <v>44769</v>
      </c>
      <c r="M734" s="116">
        <v>274.45</v>
      </c>
      <c r="N734" s="116">
        <v>280.3</v>
      </c>
      <c r="O734" s="116">
        <v>273.14999999999998</v>
      </c>
      <c r="P734" s="116">
        <v>275.55</v>
      </c>
      <c r="Q734" s="116">
        <v>274.45</v>
      </c>
      <c r="R734">
        <v>143204</v>
      </c>
    </row>
    <row r="735" spans="1:18" x14ac:dyDescent="0.25">
      <c r="A735" s="170">
        <v>44770</v>
      </c>
      <c r="B735" s="116">
        <v>286</v>
      </c>
      <c r="C735" s="116">
        <v>279</v>
      </c>
      <c r="D735" s="116">
        <v>276</v>
      </c>
      <c r="E735" s="116">
        <v>276</v>
      </c>
      <c r="F735" s="116">
        <v>279</v>
      </c>
      <c r="G735">
        <v>27418</v>
      </c>
      <c r="H735" s="116"/>
      <c r="I735" s="116"/>
      <c r="L735" s="170">
        <v>44770</v>
      </c>
      <c r="M735" s="116">
        <v>279.14999999999998</v>
      </c>
      <c r="N735" s="116">
        <v>286</v>
      </c>
      <c r="O735" s="116">
        <v>275.14999999999998</v>
      </c>
      <c r="P735" s="116">
        <v>275.14999999999998</v>
      </c>
      <c r="Q735" s="116">
        <v>279.14999999999998</v>
      </c>
      <c r="R735">
        <v>208629</v>
      </c>
    </row>
    <row r="736" spans="1:18" x14ac:dyDescent="0.25">
      <c r="A736" s="170">
        <v>44771</v>
      </c>
      <c r="B736" s="116">
        <v>286.45</v>
      </c>
      <c r="C736" s="116">
        <v>285.35000000000002</v>
      </c>
      <c r="D736" s="116">
        <v>280.75</v>
      </c>
      <c r="E736" s="116">
        <v>284.64999999999998</v>
      </c>
      <c r="F736" s="116">
        <v>285.35000000000002</v>
      </c>
      <c r="G736">
        <v>15494</v>
      </c>
      <c r="H736" s="116"/>
      <c r="I736" s="116"/>
      <c r="L736" s="170">
        <v>44771</v>
      </c>
      <c r="M736" s="116">
        <v>285.39999999999998</v>
      </c>
      <c r="N736" s="116">
        <v>286.89999999999998</v>
      </c>
      <c r="O736" s="116">
        <v>280.75</v>
      </c>
      <c r="P736" s="116">
        <v>281.5</v>
      </c>
      <c r="Q736" s="116">
        <v>285.39999999999998</v>
      </c>
      <c r="R736">
        <v>166794</v>
      </c>
    </row>
    <row r="737" spans="1:18" x14ac:dyDescent="0.25">
      <c r="A737" s="170">
        <v>44774</v>
      </c>
      <c r="B737" s="116">
        <v>294.10000000000002</v>
      </c>
      <c r="C737" s="116">
        <v>290.35000000000002</v>
      </c>
      <c r="D737" s="116">
        <v>287</v>
      </c>
      <c r="E737" s="116">
        <v>290</v>
      </c>
      <c r="F737" s="116">
        <v>290.35000000000002</v>
      </c>
      <c r="G737">
        <v>17675</v>
      </c>
      <c r="H737" s="116"/>
      <c r="I737" s="116"/>
      <c r="L737" s="170">
        <v>44774</v>
      </c>
      <c r="M737" s="116">
        <v>290.14999999999998</v>
      </c>
      <c r="N737" s="116">
        <v>294.25</v>
      </c>
      <c r="O737" s="116">
        <v>286.3</v>
      </c>
      <c r="P737" s="116">
        <v>287</v>
      </c>
      <c r="Q737" s="116">
        <v>290.14999999999998</v>
      </c>
      <c r="R737">
        <v>210568</v>
      </c>
    </row>
    <row r="738" spans="1:18" x14ac:dyDescent="0.25">
      <c r="A738" s="170">
        <v>44775</v>
      </c>
      <c r="B738" s="116">
        <v>305.60000000000002</v>
      </c>
      <c r="C738" s="116">
        <v>301.3</v>
      </c>
      <c r="D738" s="116">
        <v>287.75</v>
      </c>
      <c r="E738" s="116">
        <v>292</v>
      </c>
      <c r="F738" s="116">
        <v>301.3</v>
      </c>
      <c r="G738">
        <v>52292</v>
      </c>
      <c r="H738" s="116"/>
      <c r="I738" s="116"/>
      <c r="L738" s="170">
        <v>44775</v>
      </c>
      <c r="M738" s="116">
        <v>301.5</v>
      </c>
      <c r="N738" s="116">
        <v>305.5</v>
      </c>
      <c r="O738" s="116">
        <v>288.2</v>
      </c>
      <c r="P738" s="116">
        <v>290.89999999999998</v>
      </c>
      <c r="Q738" s="116">
        <v>301.5</v>
      </c>
      <c r="R738">
        <v>417396</v>
      </c>
    </row>
    <row r="739" spans="1:18" x14ac:dyDescent="0.25">
      <c r="A739" s="170">
        <v>44776</v>
      </c>
      <c r="B739" s="116">
        <v>302.7</v>
      </c>
      <c r="C739" s="116">
        <v>295.8</v>
      </c>
      <c r="D739" s="116">
        <v>293</v>
      </c>
      <c r="E739" s="116">
        <v>300.8</v>
      </c>
      <c r="F739" s="116">
        <v>295.8</v>
      </c>
      <c r="G739">
        <v>12573</v>
      </c>
      <c r="H739" s="116"/>
      <c r="I739" s="116"/>
      <c r="L739" s="170">
        <v>44776</v>
      </c>
      <c r="M739" s="116">
        <v>296.10000000000002</v>
      </c>
      <c r="N739" s="116">
        <v>302.55</v>
      </c>
      <c r="O739" s="116">
        <v>293</v>
      </c>
      <c r="P739" s="116">
        <v>302</v>
      </c>
      <c r="Q739" s="116">
        <v>296.10000000000002</v>
      </c>
      <c r="R739">
        <v>174393</v>
      </c>
    </row>
    <row r="740" spans="1:18" x14ac:dyDescent="0.25">
      <c r="A740" s="170">
        <v>44777</v>
      </c>
      <c r="B740" s="116">
        <v>301</v>
      </c>
      <c r="C740" s="116">
        <v>293.95</v>
      </c>
      <c r="D740" s="116">
        <v>291.25</v>
      </c>
      <c r="E740" s="116">
        <v>297.75</v>
      </c>
      <c r="F740" s="116">
        <v>293.95</v>
      </c>
      <c r="G740">
        <v>18522</v>
      </c>
      <c r="H740" s="116"/>
      <c r="I740" s="116"/>
      <c r="L740" s="170">
        <v>44777</v>
      </c>
      <c r="M740" s="116">
        <v>294.25</v>
      </c>
      <c r="N740" s="116">
        <v>301.14999999999998</v>
      </c>
      <c r="O740" s="116">
        <v>290.75</v>
      </c>
      <c r="P740" s="116">
        <v>296.85000000000002</v>
      </c>
      <c r="Q740" s="116">
        <v>294.25</v>
      </c>
      <c r="R740">
        <v>191729</v>
      </c>
    </row>
    <row r="741" spans="1:18" x14ac:dyDescent="0.25">
      <c r="A741" s="170">
        <v>44778</v>
      </c>
      <c r="B741" s="116">
        <v>299.45</v>
      </c>
      <c r="C741" s="116">
        <v>293.10000000000002</v>
      </c>
      <c r="D741" s="116">
        <v>292.2</v>
      </c>
      <c r="E741" s="116">
        <v>294.8</v>
      </c>
      <c r="F741" s="116">
        <v>293.10000000000002</v>
      </c>
      <c r="G741">
        <v>10959</v>
      </c>
      <c r="H741" s="116"/>
      <c r="I741" s="116"/>
      <c r="L741" s="170">
        <v>44778</v>
      </c>
      <c r="M741" s="116">
        <v>293.2</v>
      </c>
      <c r="N741" s="116">
        <v>299.5</v>
      </c>
      <c r="O741" s="116">
        <v>291.55</v>
      </c>
      <c r="P741" s="116">
        <v>295</v>
      </c>
      <c r="Q741" s="116">
        <v>293.2</v>
      </c>
      <c r="R741">
        <v>131604</v>
      </c>
    </row>
    <row r="742" spans="1:18" x14ac:dyDescent="0.25">
      <c r="A742" s="170">
        <v>44781</v>
      </c>
      <c r="B742" s="116">
        <v>295.8</v>
      </c>
      <c r="C742" s="116">
        <v>294.35000000000002</v>
      </c>
      <c r="D742" s="116">
        <v>292.10000000000002</v>
      </c>
      <c r="E742" s="116">
        <v>292.25</v>
      </c>
      <c r="F742" s="116">
        <v>294.35000000000002</v>
      </c>
      <c r="G742">
        <v>15274</v>
      </c>
      <c r="H742" s="116"/>
      <c r="I742" s="116"/>
      <c r="L742" s="170">
        <v>44781</v>
      </c>
      <c r="M742" s="116">
        <v>294</v>
      </c>
      <c r="N742" s="116">
        <v>295.89999999999998</v>
      </c>
      <c r="O742" s="116">
        <v>292</v>
      </c>
      <c r="P742" s="116">
        <v>292.64999999999998</v>
      </c>
      <c r="Q742" s="116">
        <v>294</v>
      </c>
      <c r="R742">
        <v>111483</v>
      </c>
    </row>
    <row r="743" spans="1:18" x14ac:dyDescent="0.25">
      <c r="A743" s="170">
        <v>44783</v>
      </c>
      <c r="B743" s="116">
        <v>303</v>
      </c>
      <c r="C743" s="116">
        <v>297.45</v>
      </c>
      <c r="D743" s="116">
        <v>291</v>
      </c>
      <c r="E743" s="116">
        <v>294.14999999999998</v>
      </c>
      <c r="F743" s="116">
        <v>297.45</v>
      </c>
      <c r="G743">
        <v>41167</v>
      </c>
      <c r="H743" s="116"/>
      <c r="I743" s="116"/>
      <c r="L743" s="170">
        <v>44783</v>
      </c>
      <c r="M743" s="116">
        <v>298.14999999999998</v>
      </c>
      <c r="N743" s="116">
        <v>303</v>
      </c>
      <c r="O743" s="116">
        <v>291</v>
      </c>
      <c r="P743" s="116">
        <v>294</v>
      </c>
      <c r="Q743" s="116">
        <v>298.14999999999998</v>
      </c>
      <c r="R743">
        <v>215650</v>
      </c>
    </row>
    <row r="744" spans="1:18" x14ac:dyDescent="0.25">
      <c r="A744" s="170">
        <v>44784</v>
      </c>
      <c r="B744" s="116">
        <v>304.3</v>
      </c>
      <c r="C744" s="116">
        <v>288.60000000000002</v>
      </c>
      <c r="D744" s="116">
        <v>283.5</v>
      </c>
      <c r="E744" s="116">
        <v>304.3</v>
      </c>
      <c r="F744" s="116">
        <v>288.60000000000002</v>
      </c>
      <c r="G744">
        <v>18723</v>
      </c>
      <c r="H744" s="116"/>
      <c r="I744" s="116"/>
      <c r="L744" s="170">
        <v>44784</v>
      </c>
      <c r="M744" s="116">
        <v>289</v>
      </c>
      <c r="N744" s="116">
        <v>302</v>
      </c>
      <c r="O744" s="116">
        <v>283.10000000000002</v>
      </c>
      <c r="P744" s="116">
        <v>300</v>
      </c>
      <c r="Q744" s="116">
        <v>289</v>
      </c>
      <c r="R744">
        <v>368758</v>
      </c>
    </row>
    <row r="745" spans="1:18" x14ac:dyDescent="0.25">
      <c r="A745" s="170">
        <v>44785</v>
      </c>
      <c r="B745" s="116">
        <v>283.2</v>
      </c>
      <c r="C745" s="116">
        <v>279.05</v>
      </c>
      <c r="D745" s="116">
        <v>276.5</v>
      </c>
      <c r="E745" s="116">
        <v>280</v>
      </c>
      <c r="F745" s="116">
        <v>279.05</v>
      </c>
      <c r="G745">
        <v>83726</v>
      </c>
      <c r="H745" s="116"/>
      <c r="I745" s="116"/>
      <c r="L745" s="170">
        <v>44785</v>
      </c>
      <c r="M745" s="116">
        <v>279.64999999999998</v>
      </c>
      <c r="N745" s="116">
        <v>283.39999999999998</v>
      </c>
      <c r="O745" s="116">
        <v>276.14999999999998</v>
      </c>
      <c r="P745" s="116">
        <v>281.3</v>
      </c>
      <c r="Q745" s="116">
        <v>279.64999999999998</v>
      </c>
      <c r="R745">
        <v>1405224</v>
      </c>
    </row>
    <row r="746" spans="1:18" x14ac:dyDescent="0.25">
      <c r="A746" s="170">
        <v>44789</v>
      </c>
      <c r="B746" s="116">
        <v>284</v>
      </c>
      <c r="C746" s="116">
        <v>281.39999999999998</v>
      </c>
      <c r="D746" s="116">
        <v>275.05</v>
      </c>
      <c r="E746" s="116">
        <v>278.45</v>
      </c>
      <c r="F746" s="116">
        <v>281.39999999999998</v>
      </c>
      <c r="G746">
        <v>30405</v>
      </c>
      <c r="H746" s="116"/>
      <c r="I746" s="116"/>
      <c r="L746" s="170">
        <v>44789</v>
      </c>
      <c r="M746" s="116">
        <v>281.85000000000002</v>
      </c>
      <c r="N746" s="116">
        <v>284</v>
      </c>
      <c r="O746" s="116">
        <v>275</v>
      </c>
      <c r="P746" s="116">
        <v>277</v>
      </c>
      <c r="Q746" s="116">
        <v>281.85000000000002</v>
      </c>
      <c r="R746">
        <v>578365</v>
      </c>
    </row>
    <row r="747" spans="1:18" x14ac:dyDescent="0.25">
      <c r="A747" s="170">
        <v>44790</v>
      </c>
      <c r="B747" s="116">
        <v>295.35000000000002</v>
      </c>
      <c r="C747" s="116">
        <v>292.85000000000002</v>
      </c>
      <c r="D747" s="116">
        <v>278.8</v>
      </c>
      <c r="E747" s="116">
        <v>280</v>
      </c>
      <c r="F747" s="116">
        <v>292.85000000000002</v>
      </c>
      <c r="G747">
        <v>54524</v>
      </c>
      <c r="H747" s="116"/>
      <c r="I747" s="116"/>
      <c r="L747" s="170">
        <v>44790</v>
      </c>
      <c r="M747" s="116">
        <v>292.85000000000002</v>
      </c>
      <c r="N747" s="116">
        <v>295.8</v>
      </c>
      <c r="O747" s="116">
        <v>278.5</v>
      </c>
      <c r="P747" s="116">
        <v>278.85000000000002</v>
      </c>
      <c r="Q747" s="116">
        <v>292.85000000000002</v>
      </c>
      <c r="R747">
        <v>1167956</v>
      </c>
    </row>
    <row r="748" spans="1:18" x14ac:dyDescent="0.25">
      <c r="A748" s="170">
        <v>44791</v>
      </c>
      <c r="B748" s="116">
        <v>292.64999999999998</v>
      </c>
      <c r="C748" s="116">
        <v>290.2</v>
      </c>
      <c r="D748" s="116">
        <v>285.2</v>
      </c>
      <c r="E748" s="116">
        <v>292.5</v>
      </c>
      <c r="F748" s="116">
        <v>290.2</v>
      </c>
      <c r="G748">
        <v>44690</v>
      </c>
      <c r="H748" s="116"/>
      <c r="I748" s="116"/>
      <c r="L748" s="170">
        <v>44791</v>
      </c>
      <c r="M748" s="116">
        <v>290.05</v>
      </c>
      <c r="N748" s="116">
        <v>292.64999999999998</v>
      </c>
      <c r="O748" s="116">
        <v>285</v>
      </c>
      <c r="P748" s="116">
        <v>290</v>
      </c>
      <c r="Q748" s="116">
        <v>290.05</v>
      </c>
      <c r="R748">
        <v>369964</v>
      </c>
    </row>
    <row r="749" spans="1:18" x14ac:dyDescent="0.25">
      <c r="A749" s="170">
        <v>44792</v>
      </c>
      <c r="B749" s="116">
        <v>291.89999999999998</v>
      </c>
      <c r="C749" s="116">
        <v>285.39999999999998</v>
      </c>
      <c r="D749" s="116">
        <v>283.39999999999998</v>
      </c>
      <c r="E749" s="116">
        <v>290</v>
      </c>
      <c r="F749" s="116">
        <v>285.39999999999998</v>
      </c>
      <c r="G749">
        <v>42212</v>
      </c>
      <c r="H749" s="116"/>
      <c r="I749" s="116"/>
      <c r="L749" s="170">
        <v>44792</v>
      </c>
      <c r="M749" s="116">
        <v>285.35000000000002</v>
      </c>
      <c r="N749" s="116">
        <v>291.89999999999998</v>
      </c>
      <c r="O749" s="116">
        <v>283.39999999999998</v>
      </c>
      <c r="P749" s="116">
        <v>290.05</v>
      </c>
      <c r="Q749" s="116">
        <v>285.35000000000002</v>
      </c>
      <c r="R749">
        <v>232272</v>
      </c>
    </row>
    <row r="750" spans="1:18" x14ac:dyDescent="0.25">
      <c r="A750" s="170">
        <v>44795</v>
      </c>
      <c r="B750" s="116">
        <v>287.85000000000002</v>
      </c>
      <c r="C750" s="116">
        <v>280.85000000000002</v>
      </c>
      <c r="D750" s="116">
        <v>280.10000000000002</v>
      </c>
      <c r="E750" s="116">
        <v>284.2</v>
      </c>
      <c r="F750" s="116">
        <v>280.85000000000002</v>
      </c>
      <c r="G750">
        <v>29822</v>
      </c>
      <c r="H750" s="116"/>
      <c r="I750" s="116"/>
      <c r="L750" s="170">
        <v>44795</v>
      </c>
      <c r="M750" s="116">
        <v>280.89999999999998</v>
      </c>
      <c r="N750" s="116">
        <v>287.7</v>
      </c>
      <c r="O750" s="116">
        <v>280.10000000000002</v>
      </c>
      <c r="P750" s="116">
        <v>285.5</v>
      </c>
      <c r="Q750" s="116">
        <v>280.89999999999998</v>
      </c>
      <c r="R750">
        <v>169964</v>
      </c>
    </row>
    <row r="751" spans="1:18" x14ac:dyDescent="0.25">
      <c r="A751" s="170">
        <v>44796</v>
      </c>
      <c r="B751" s="116">
        <v>297.45</v>
      </c>
      <c r="C751" s="116">
        <v>292.64999999999998</v>
      </c>
      <c r="D751" s="116">
        <v>286.10000000000002</v>
      </c>
      <c r="E751" s="116">
        <v>288</v>
      </c>
      <c r="F751" s="116">
        <v>292.64999999999998</v>
      </c>
      <c r="G751">
        <v>115819</v>
      </c>
      <c r="H751" s="116"/>
      <c r="I751" s="116"/>
      <c r="L751" s="170">
        <v>44796</v>
      </c>
      <c r="M751" s="116">
        <v>292.7</v>
      </c>
      <c r="N751" s="116">
        <v>297.5</v>
      </c>
      <c r="O751" s="116">
        <v>285.95</v>
      </c>
      <c r="P751" s="116">
        <v>286.89999999999998</v>
      </c>
      <c r="Q751" s="116">
        <v>292.7</v>
      </c>
      <c r="R751">
        <v>925425</v>
      </c>
    </row>
    <row r="752" spans="1:18" x14ac:dyDescent="0.25">
      <c r="A752" s="170">
        <v>44797</v>
      </c>
      <c r="B752" s="116">
        <v>302</v>
      </c>
      <c r="C752" s="116">
        <v>298.14999999999998</v>
      </c>
      <c r="D752" s="116">
        <v>292.8</v>
      </c>
      <c r="E752" s="116">
        <v>295</v>
      </c>
      <c r="F752" s="116">
        <v>298.14999999999998</v>
      </c>
      <c r="G752">
        <v>38998</v>
      </c>
      <c r="H752" s="116"/>
      <c r="I752" s="116"/>
      <c r="L752" s="170">
        <v>44797</v>
      </c>
      <c r="M752" s="116">
        <v>298.35000000000002</v>
      </c>
      <c r="N752" s="116">
        <v>302</v>
      </c>
      <c r="O752" s="116">
        <v>292.5</v>
      </c>
      <c r="P752" s="116">
        <v>294.89999999999998</v>
      </c>
      <c r="Q752" s="116">
        <v>298.35000000000002</v>
      </c>
      <c r="R752">
        <v>494738</v>
      </c>
    </row>
    <row r="753" spans="1:18" x14ac:dyDescent="0.25">
      <c r="A753" s="170">
        <v>44798</v>
      </c>
      <c r="B753" s="116">
        <v>303.2</v>
      </c>
      <c r="C753" s="116">
        <v>293.5</v>
      </c>
      <c r="D753" s="116">
        <v>292.5</v>
      </c>
      <c r="E753" s="116">
        <v>300.64999999999998</v>
      </c>
      <c r="F753" s="116">
        <v>293.5</v>
      </c>
      <c r="G753">
        <v>15922</v>
      </c>
      <c r="H753" s="116"/>
      <c r="I753" s="116"/>
      <c r="L753" s="170">
        <v>44798</v>
      </c>
      <c r="M753" s="116">
        <v>293.35000000000002</v>
      </c>
      <c r="N753" s="116">
        <v>303.5</v>
      </c>
      <c r="O753" s="116">
        <v>292.05</v>
      </c>
      <c r="P753" s="116">
        <v>300.89999999999998</v>
      </c>
      <c r="Q753" s="116">
        <v>293.35000000000002</v>
      </c>
      <c r="R753">
        <v>237197</v>
      </c>
    </row>
    <row r="754" spans="1:18" x14ac:dyDescent="0.25">
      <c r="A754" s="170">
        <v>44799</v>
      </c>
      <c r="B754" s="116">
        <v>296.2</v>
      </c>
      <c r="C754" s="116">
        <v>292.64999999999998</v>
      </c>
      <c r="D754" s="116">
        <v>289.25</v>
      </c>
      <c r="E754" s="116">
        <v>296.14999999999998</v>
      </c>
      <c r="F754" s="116">
        <v>292.64999999999998</v>
      </c>
      <c r="G754">
        <v>38171</v>
      </c>
      <c r="H754" s="116"/>
      <c r="I754" s="116"/>
      <c r="L754" s="170">
        <v>44799</v>
      </c>
      <c r="M754" s="116">
        <v>292.25</v>
      </c>
      <c r="N754" s="116">
        <v>296</v>
      </c>
      <c r="O754" s="116">
        <v>289</v>
      </c>
      <c r="P754" s="116">
        <v>295.10000000000002</v>
      </c>
      <c r="Q754" s="116">
        <v>292.25</v>
      </c>
      <c r="R754">
        <v>185037</v>
      </c>
    </row>
    <row r="755" spans="1:18" x14ac:dyDescent="0.25">
      <c r="A755" s="170">
        <v>44802</v>
      </c>
      <c r="B755" s="116">
        <v>309.8</v>
      </c>
      <c r="C755" s="116">
        <v>297.05</v>
      </c>
      <c r="D755" s="116">
        <v>284</v>
      </c>
      <c r="E755" s="116">
        <v>286</v>
      </c>
      <c r="F755" s="116">
        <v>297.05</v>
      </c>
      <c r="G755">
        <v>104062</v>
      </c>
      <c r="H755" s="116"/>
      <c r="I755" s="116"/>
      <c r="L755" s="170">
        <v>44802</v>
      </c>
      <c r="M755" s="116">
        <v>297.39999999999998</v>
      </c>
      <c r="N755" s="116">
        <v>309.8</v>
      </c>
      <c r="O755" s="116">
        <v>284.05</v>
      </c>
      <c r="P755" s="116">
        <v>285</v>
      </c>
      <c r="Q755" s="116">
        <v>297.39999999999998</v>
      </c>
      <c r="R755">
        <v>584478</v>
      </c>
    </row>
    <row r="756" spans="1:18" x14ac:dyDescent="0.25">
      <c r="A756" s="170">
        <v>44803</v>
      </c>
      <c r="B756" s="116">
        <v>302.60000000000002</v>
      </c>
      <c r="C756" s="116">
        <v>297.75</v>
      </c>
      <c r="D756" s="116">
        <v>294.8</v>
      </c>
      <c r="E756" s="116">
        <v>299</v>
      </c>
      <c r="F756" s="116">
        <v>297.75</v>
      </c>
      <c r="G756">
        <v>30642</v>
      </c>
      <c r="H756" s="116"/>
      <c r="I756" s="116"/>
      <c r="L756" s="170">
        <v>44803</v>
      </c>
      <c r="M756" s="116">
        <v>297.5</v>
      </c>
      <c r="N756" s="116">
        <v>304.60000000000002</v>
      </c>
      <c r="O756" s="116">
        <v>294.25</v>
      </c>
      <c r="P756" s="116">
        <v>299.3</v>
      </c>
      <c r="Q756" s="116">
        <v>297.5</v>
      </c>
      <c r="R756">
        <v>249750</v>
      </c>
    </row>
    <row r="757" spans="1:18" x14ac:dyDescent="0.25">
      <c r="A757" s="170">
        <v>44805</v>
      </c>
      <c r="B757" s="116">
        <v>303.14999999999998</v>
      </c>
      <c r="C757" s="116">
        <v>301.5</v>
      </c>
      <c r="D757" s="116">
        <v>295.25</v>
      </c>
      <c r="E757" s="116">
        <v>296</v>
      </c>
      <c r="F757" s="116">
        <v>301.5</v>
      </c>
      <c r="G757">
        <v>44752</v>
      </c>
      <c r="H757" s="116"/>
      <c r="I757" s="116"/>
      <c r="L757" s="170">
        <v>44805</v>
      </c>
      <c r="M757" s="116">
        <v>301.5</v>
      </c>
      <c r="N757" s="116">
        <v>303.2</v>
      </c>
      <c r="O757" s="116">
        <v>295.85000000000002</v>
      </c>
      <c r="P757" s="116">
        <v>295.89999999999998</v>
      </c>
      <c r="Q757" s="116">
        <v>301.5</v>
      </c>
      <c r="R757">
        <v>242420</v>
      </c>
    </row>
    <row r="758" spans="1:18" x14ac:dyDescent="0.25">
      <c r="A758" s="170">
        <v>44806</v>
      </c>
      <c r="B758" s="116">
        <v>313.60000000000002</v>
      </c>
      <c r="C758" s="116">
        <v>302.75</v>
      </c>
      <c r="D758" s="116">
        <v>300</v>
      </c>
      <c r="E758" s="116">
        <v>300</v>
      </c>
      <c r="F758" s="116">
        <v>302.75</v>
      </c>
      <c r="G758">
        <v>52078</v>
      </c>
      <c r="H758" s="116"/>
      <c r="I758" s="116"/>
      <c r="L758" s="170">
        <v>44806</v>
      </c>
      <c r="M758" s="116">
        <v>302.85000000000002</v>
      </c>
      <c r="N758" s="116">
        <v>313.39999999999998</v>
      </c>
      <c r="O758" s="116">
        <v>300.5</v>
      </c>
      <c r="P758" s="116">
        <v>301.5</v>
      </c>
      <c r="Q758" s="116">
        <v>302.85000000000002</v>
      </c>
      <c r="R758">
        <v>616617</v>
      </c>
    </row>
    <row r="759" spans="1:18" x14ac:dyDescent="0.25">
      <c r="A759" s="170">
        <v>44809</v>
      </c>
      <c r="B759" s="116">
        <v>304.5</v>
      </c>
      <c r="C759" s="116">
        <v>300.60000000000002</v>
      </c>
      <c r="D759" s="116">
        <v>297.35000000000002</v>
      </c>
      <c r="E759" s="116">
        <v>300.05</v>
      </c>
      <c r="F759" s="116">
        <v>300.60000000000002</v>
      </c>
      <c r="G759">
        <v>24281</v>
      </c>
      <c r="H759" s="116"/>
      <c r="I759" s="116"/>
      <c r="L759" s="170">
        <v>44809</v>
      </c>
      <c r="M759" s="116">
        <v>300.64999999999998</v>
      </c>
      <c r="N759" s="116">
        <v>304.8</v>
      </c>
      <c r="O759" s="116">
        <v>296.10000000000002</v>
      </c>
      <c r="P759" s="116">
        <v>298</v>
      </c>
      <c r="Q759" s="116">
        <v>300.64999999999998</v>
      </c>
      <c r="R759">
        <v>246602</v>
      </c>
    </row>
    <row r="760" spans="1:18" x14ac:dyDescent="0.25">
      <c r="A760" s="170">
        <v>44810</v>
      </c>
      <c r="B760" s="116">
        <v>312.75</v>
      </c>
      <c r="C760" s="116">
        <v>306.75</v>
      </c>
      <c r="D760" s="116">
        <v>301</v>
      </c>
      <c r="E760" s="116">
        <v>301</v>
      </c>
      <c r="F760" s="116">
        <v>306.75</v>
      </c>
      <c r="G760">
        <v>43305</v>
      </c>
      <c r="H760" s="116"/>
      <c r="I760" s="116"/>
      <c r="L760" s="170">
        <v>44810</v>
      </c>
      <c r="M760" s="116">
        <v>306.7</v>
      </c>
      <c r="N760" s="116">
        <v>312.3</v>
      </c>
      <c r="O760" s="116">
        <v>302.5</v>
      </c>
      <c r="P760" s="116">
        <v>304</v>
      </c>
      <c r="Q760" s="116">
        <v>306.7</v>
      </c>
      <c r="R760">
        <v>573400</v>
      </c>
    </row>
    <row r="761" spans="1:18" x14ac:dyDescent="0.25">
      <c r="A761" s="170">
        <v>44811</v>
      </c>
      <c r="B761" s="116">
        <v>309.25</v>
      </c>
      <c r="C761" s="116">
        <v>305.05</v>
      </c>
      <c r="D761" s="116">
        <v>302.39999999999998</v>
      </c>
      <c r="E761" s="116">
        <v>303</v>
      </c>
      <c r="F761" s="116">
        <v>305.05</v>
      </c>
      <c r="G761">
        <v>41997</v>
      </c>
      <c r="H761" s="116"/>
      <c r="I761" s="116"/>
      <c r="L761" s="170">
        <v>44811</v>
      </c>
      <c r="M761" s="116">
        <v>305.3</v>
      </c>
      <c r="N761" s="116">
        <v>309.25</v>
      </c>
      <c r="O761" s="116">
        <v>302.05</v>
      </c>
      <c r="P761" s="116">
        <v>305.89999999999998</v>
      </c>
      <c r="Q761" s="116">
        <v>305.3</v>
      </c>
      <c r="R761">
        <v>258127</v>
      </c>
    </row>
    <row r="762" spans="1:18" x14ac:dyDescent="0.25">
      <c r="A762" s="170">
        <v>44812</v>
      </c>
      <c r="B762" s="116">
        <v>312.5</v>
      </c>
      <c r="C762" s="116">
        <v>306.25</v>
      </c>
      <c r="D762" s="116">
        <v>305</v>
      </c>
      <c r="E762" s="116">
        <v>305</v>
      </c>
      <c r="F762" s="116">
        <v>306.25</v>
      </c>
      <c r="G762">
        <v>25526</v>
      </c>
      <c r="H762" s="116"/>
      <c r="I762" s="116"/>
      <c r="L762" s="170">
        <v>44812</v>
      </c>
      <c r="M762" s="116">
        <v>306.3</v>
      </c>
      <c r="N762" s="116">
        <v>312.3</v>
      </c>
      <c r="O762" s="116">
        <v>305.45</v>
      </c>
      <c r="P762" s="116">
        <v>307.45</v>
      </c>
      <c r="Q762" s="116">
        <v>306.3</v>
      </c>
      <c r="R762">
        <v>319346</v>
      </c>
    </row>
    <row r="763" spans="1:18" x14ac:dyDescent="0.25">
      <c r="A763" s="170">
        <v>44813</v>
      </c>
      <c r="B763" s="116">
        <v>308.45</v>
      </c>
      <c r="C763" s="116">
        <v>301.5</v>
      </c>
      <c r="D763" s="116">
        <v>300</v>
      </c>
      <c r="E763" s="116">
        <v>308.3</v>
      </c>
      <c r="F763" s="116">
        <v>301.5</v>
      </c>
      <c r="G763">
        <v>14561</v>
      </c>
      <c r="H763" s="116"/>
      <c r="I763" s="116"/>
      <c r="L763" s="170">
        <v>44813</v>
      </c>
      <c r="M763" s="116">
        <v>301.25</v>
      </c>
      <c r="N763" s="116">
        <v>308.75</v>
      </c>
      <c r="O763" s="116">
        <v>300</v>
      </c>
      <c r="P763" s="116">
        <v>308.75</v>
      </c>
      <c r="Q763" s="116">
        <v>301.25</v>
      </c>
      <c r="R763">
        <v>216294</v>
      </c>
    </row>
    <row r="764" spans="1:18" x14ac:dyDescent="0.25">
      <c r="A764" s="170">
        <v>44816</v>
      </c>
      <c r="B764" s="116">
        <v>306.39999999999998</v>
      </c>
      <c r="C764" s="116">
        <v>297.45</v>
      </c>
      <c r="D764" s="116">
        <v>296.5</v>
      </c>
      <c r="E764" s="116">
        <v>304</v>
      </c>
      <c r="F764" s="116">
        <v>297.45</v>
      </c>
      <c r="G764">
        <v>36606</v>
      </c>
      <c r="H764" s="116"/>
      <c r="I764" s="116"/>
      <c r="L764" s="170">
        <v>44816</v>
      </c>
      <c r="M764" s="116">
        <v>297.3</v>
      </c>
      <c r="N764" s="116">
        <v>305.55</v>
      </c>
      <c r="O764" s="116">
        <v>296.60000000000002</v>
      </c>
      <c r="P764" s="116">
        <v>302.8</v>
      </c>
      <c r="Q764" s="116">
        <v>297.3</v>
      </c>
      <c r="R764">
        <v>266178</v>
      </c>
    </row>
    <row r="765" spans="1:18" x14ac:dyDescent="0.25">
      <c r="A765" s="170">
        <v>44817</v>
      </c>
      <c r="B765" s="116">
        <v>303.60000000000002</v>
      </c>
      <c r="C765" s="116">
        <v>300.39999999999998</v>
      </c>
      <c r="D765" s="116">
        <v>296.5</v>
      </c>
      <c r="E765" s="116">
        <v>296.5</v>
      </c>
      <c r="F765" s="116">
        <v>300.39999999999998</v>
      </c>
      <c r="G765">
        <v>43374</v>
      </c>
      <c r="H765" s="116"/>
      <c r="I765" s="116"/>
      <c r="L765" s="170">
        <v>44817</v>
      </c>
      <c r="M765" s="116">
        <v>300.45</v>
      </c>
      <c r="N765" s="116">
        <v>303.7</v>
      </c>
      <c r="O765" s="116">
        <v>298</v>
      </c>
      <c r="P765" s="116">
        <v>299</v>
      </c>
      <c r="Q765" s="116">
        <v>300.45</v>
      </c>
      <c r="R765">
        <v>275762</v>
      </c>
    </row>
    <row r="766" spans="1:18" x14ac:dyDescent="0.25">
      <c r="A766" s="170">
        <v>44818</v>
      </c>
      <c r="B766" s="116">
        <v>299.2</v>
      </c>
      <c r="C766" s="116">
        <v>294.89999999999998</v>
      </c>
      <c r="D766" s="116">
        <v>288</v>
      </c>
      <c r="E766" s="116">
        <v>294</v>
      </c>
      <c r="F766" s="116">
        <v>294.89999999999998</v>
      </c>
      <c r="G766">
        <v>24435</v>
      </c>
      <c r="H766" s="116"/>
      <c r="I766" s="116"/>
      <c r="L766" s="170">
        <v>44818</v>
      </c>
      <c r="M766" s="116">
        <v>295.25</v>
      </c>
      <c r="N766" s="116">
        <v>299.05</v>
      </c>
      <c r="O766" s="116">
        <v>288.5</v>
      </c>
      <c r="P766" s="116">
        <v>288.60000000000002</v>
      </c>
      <c r="Q766" s="116">
        <v>295.25</v>
      </c>
      <c r="R766">
        <v>311743</v>
      </c>
    </row>
    <row r="767" spans="1:18" x14ac:dyDescent="0.25">
      <c r="A767" s="170">
        <v>44819</v>
      </c>
      <c r="B767" s="116">
        <v>304.2</v>
      </c>
      <c r="C767" s="116">
        <v>298.75</v>
      </c>
      <c r="D767" s="116">
        <v>290.2</v>
      </c>
      <c r="E767" s="116">
        <v>294.89999999999998</v>
      </c>
      <c r="F767" s="116">
        <v>298.75</v>
      </c>
      <c r="G767">
        <v>43603</v>
      </c>
      <c r="H767" s="116"/>
      <c r="I767" s="116"/>
      <c r="L767" s="170">
        <v>44819</v>
      </c>
      <c r="M767" s="116">
        <v>299</v>
      </c>
      <c r="N767" s="116">
        <v>304</v>
      </c>
      <c r="O767" s="116">
        <v>290.2</v>
      </c>
      <c r="P767" s="116">
        <v>295.3</v>
      </c>
      <c r="Q767" s="116">
        <v>299</v>
      </c>
      <c r="R767">
        <v>460165</v>
      </c>
    </row>
    <row r="768" spans="1:18" x14ac:dyDescent="0.25">
      <c r="A768" s="170">
        <v>44820</v>
      </c>
      <c r="B768" s="116">
        <v>301.10000000000002</v>
      </c>
      <c r="C768" s="116">
        <v>289.7</v>
      </c>
      <c r="D768" s="116">
        <v>288.60000000000002</v>
      </c>
      <c r="E768" s="116">
        <v>298.75</v>
      </c>
      <c r="F768" s="116">
        <v>289.7</v>
      </c>
      <c r="G768">
        <v>23870</v>
      </c>
      <c r="H768" s="116"/>
      <c r="I768" s="116"/>
      <c r="L768" s="170">
        <v>44820</v>
      </c>
      <c r="M768" s="116">
        <v>290</v>
      </c>
      <c r="N768" s="116">
        <v>300.95</v>
      </c>
      <c r="O768" s="116">
        <v>289</v>
      </c>
      <c r="P768" s="116">
        <v>299</v>
      </c>
      <c r="Q768" s="116">
        <v>290</v>
      </c>
      <c r="R768">
        <v>299069</v>
      </c>
    </row>
    <row r="769" spans="1:18" x14ac:dyDescent="0.25">
      <c r="A769" s="170">
        <v>44823</v>
      </c>
      <c r="B769" s="116">
        <v>292.7</v>
      </c>
      <c r="C769" s="116">
        <v>286.89999999999998</v>
      </c>
      <c r="D769" s="116">
        <v>286.5</v>
      </c>
      <c r="E769" s="116">
        <v>291</v>
      </c>
      <c r="F769" s="116">
        <v>286.89999999999998</v>
      </c>
      <c r="G769">
        <v>29156</v>
      </c>
      <c r="H769" s="116"/>
      <c r="I769" s="116"/>
      <c r="L769" s="170">
        <v>44823</v>
      </c>
      <c r="M769" s="116">
        <v>287.35000000000002</v>
      </c>
      <c r="N769" s="116">
        <v>293.14999999999998</v>
      </c>
      <c r="O769" s="116">
        <v>286.60000000000002</v>
      </c>
      <c r="P769" s="116">
        <v>290</v>
      </c>
      <c r="Q769" s="116">
        <v>287.35000000000002</v>
      </c>
      <c r="R769">
        <v>155018</v>
      </c>
    </row>
    <row r="770" spans="1:18" x14ac:dyDescent="0.25">
      <c r="A770" s="170">
        <v>44824</v>
      </c>
      <c r="B770" s="116">
        <v>308</v>
      </c>
      <c r="C770" s="116">
        <v>302.60000000000002</v>
      </c>
      <c r="D770" s="116">
        <v>287.05</v>
      </c>
      <c r="E770" s="116">
        <v>287.05</v>
      </c>
      <c r="F770" s="116">
        <v>302.60000000000002</v>
      </c>
      <c r="G770">
        <v>97733</v>
      </c>
      <c r="H770" s="116"/>
      <c r="I770" s="116"/>
      <c r="L770" s="170">
        <v>44824</v>
      </c>
      <c r="M770" s="116">
        <v>303.10000000000002</v>
      </c>
      <c r="N770" s="116">
        <v>308</v>
      </c>
      <c r="O770" s="116">
        <v>288.45</v>
      </c>
      <c r="P770" s="116">
        <v>288.45</v>
      </c>
      <c r="Q770" s="116">
        <v>303.10000000000002</v>
      </c>
      <c r="R770">
        <v>946872</v>
      </c>
    </row>
    <row r="771" spans="1:18" x14ac:dyDescent="0.25">
      <c r="A771" s="170">
        <v>44825</v>
      </c>
      <c r="B771" s="116">
        <v>326.3</v>
      </c>
      <c r="C771" s="116">
        <v>320.89999999999998</v>
      </c>
      <c r="D771" s="116">
        <v>302</v>
      </c>
      <c r="E771" s="116">
        <v>304.39999999999998</v>
      </c>
      <c r="F771" s="116">
        <v>320.89999999999998</v>
      </c>
      <c r="G771">
        <v>273850</v>
      </c>
      <c r="H771" s="116"/>
      <c r="I771" s="116"/>
      <c r="L771" s="170">
        <v>44825</v>
      </c>
      <c r="M771" s="116">
        <v>320.5</v>
      </c>
      <c r="N771" s="116">
        <v>326.3</v>
      </c>
      <c r="O771" s="116">
        <v>301.25</v>
      </c>
      <c r="P771" s="116">
        <v>303</v>
      </c>
      <c r="Q771" s="116">
        <v>320.5</v>
      </c>
      <c r="R771">
        <v>3513402</v>
      </c>
    </row>
    <row r="772" spans="1:18" x14ac:dyDescent="0.25">
      <c r="A772" s="170">
        <v>44826</v>
      </c>
      <c r="B772" s="116">
        <v>333.3</v>
      </c>
      <c r="C772" s="116">
        <v>329.2</v>
      </c>
      <c r="D772" s="116">
        <v>317.64999999999998</v>
      </c>
      <c r="E772" s="116">
        <v>321.85000000000002</v>
      </c>
      <c r="F772" s="116">
        <v>329.2</v>
      </c>
      <c r="G772">
        <v>237081</v>
      </c>
      <c r="H772" s="116"/>
      <c r="I772" s="116"/>
      <c r="L772" s="170">
        <v>44826</v>
      </c>
      <c r="M772" s="116">
        <v>329.15</v>
      </c>
      <c r="N772" s="116">
        <v>332.95</v>
      </c>
      <c r="O772" s="116">
        <v>318.5</v>
      </c>
      <c r="P772" s="116">
        <v>320</v>
      </c>
      <c r="Q772" s="116">
        <v>329.15</v>
      </c>
      <c r="R772">
        <v>2269339</v>
      </c>
    </row>
    <row r="773" spans="1:18" x14ac:dyDescent="0.25">
      <c r="A773" s="170">
        <v>44827</v>
      </c>
      <c r="B773" s="116">
        <v>362.1</v>
      </c>
      <c r="C773" s="116">
        <v>337.3</v>
      </c>
      <c r="D773" s="116">
        <v>326.55</v>
      </c>
      <c r="E773" s="116">
        <v>332.5</v>
      </c>
      <c r="F773" s="116">
        <v>337.3</v>
      </c>
      <c r="G773">
        <v>475662</v>
      </c>
      <c r="H773" s="116"/>
      <c r="I773" s="116"/>
      <c r="L773" s="170">
        <v>44827</v>
      </c>
      <c r="M773" s="116">
        <v>337.1</v>
      </c>
      <c r="N773" s="116">
        <v>362.05</v>
      </c>
      <c r="O773" s="116">
        <v>326.5</v>
      </c>
      <c r="P773" s="116">
        <v>332</v>
      </c>
      <c r="Q773" s="116">
        <v>337.1</v>
      </c>
      <c r="R773">
        <v>3948458</v>
      </c>
    </row>
    <row r="774" spans="1:18" x14ac:dyDescent="0.25">
      <c r="A774" s="170">
        <v>44830</v>
      </c>
      <c r="B774" s="116">
        <v>337.35</v>
      </c>
      <c r="C774" s="116">
        <v>312.55</v>
      </c>
      <c r="D774" s="116">
        <v>310.05</v>
      </c>
      <c r="E774" s="116">
        <v>337.35</v>
      </c>
      <c r="F774" s="116">
        <v>312.55</v>
      </c>
      <c r="G774">
        <v>167023</v>
      </c>
      <c r="H774" s="116"/>
      <c r="I774" s="116"/>
      <c r="L774" s="170">
        <v>44830</v>
      </c>
      <c r="M774" s="116">
        <v>313.10000000000002</v>
      </c>
      <c r="N774" s="116">
        <v>336.9</v>
      </c>
      <c r="O774" s="116">
        <v>310</v>
      </c>
      <c r="P774" s="116">
        <v>336.9</v>
      </c>
      <c r="Q774" s="116">
        <v>313.10000000000002</v>
      </c>
      <c r="R774">
        <v>773571</v>
      </c>
    </row>
    <row r="775" spans="1:18" x14ac:dyDescent="0.25">
      <c r="A775" s="170">
        <v>44831</v>
      </c>
      <c r="B775" s="116">
        <v>322</v>
      </c>
      <c r="C775" s="116">
        <v>317.64999999999998</v>
      </c>
      <c r="D775" s="116">
        <v>313.25</v>
      </c>
      <c r="E775" s="116">
        <v>317.95</v>
      </c>
      <c r="F775" s="116">
        <v>317.64999999999998</v>
      </c>
      <c r="G775">
        <v>42547</v>
      </c>
      <c r="H775" s="116"/>
      <c r="I775" s="116"/>
      <c r="L775" s="170">
        <v>44831</v>
      </c>
      <c r="M775" s="116">
        <v>317.60000000000002</v>
      </c>
      <c r="N775" s="116">
        <v>322</v>
      </c>
      <c r="O775" s="116">
        <v>313.5</v>
      </c>
      <c r="P775" s="116">
        <v>317</v>
      </c>
      <c r="Q775" s="116">
        <v>317.60000000000002</v>
      </c>
      <c r="R775">
        <v>516376</v>
      </c>
    </row>
    <row r="776" spans="1:18" x14ac:dyDescent="0.25">
      <c r="A776" s="170">
        <v>44832</v>
      </c>
      <c r="B776" s="116">
        <v>321.95</v>
      </c>
      <c r="C776" s="116">
        <v>312.75</v>
      </c>
      <c r="D776" s="116">
        <v>312</v>
      </c>
      <c r="E776" s="116">
        <v>317.85000000000002</v>
      </c>
      <c r="F776" s="116">
        <v>312.75</v>
      </c>
      <c r="G776">
        <v>66650</v>
      </c>
      <c r="H776" s="116"/>
      <c r="I776" s="116"/>
      <c r="L776" s="170">
        <v>44832</v>
      </c>
      <c r="M776" s="116">
        <v>313.05</v>
      </c>
      <c r="N776" s="116">
        <v>323</v>
      </c>
      <c r="O776" s="116">
        <v>312</v>
      </c>
      <c r="P776" s="116">
        <v>314.85000000000002</v>
      </c>
      <c r="Q776" s="116">
        <v>313.05</v>
      </c>
      <c r="R776">
        <v>311352</v>
      </c>
    </row>
    <row r="777" spans="1:18" x14ac:dyDescent="0.25">
      <c r="A777" s="170">
        <v>44833</v>
      </c>
      <c r="B777" s="116">
        <v>320.8</v>
      </c>
      <c r="C777" s="116">
        <v>309.25</v>
      </c>
      <c r="D777" s="116">
        <v>308.05</v>
      </c>
      <c r="E777" s="116">
        <v>312.55</v>
      </c>
      <c r="F777" s="116">
        <v>309.25</v>
      </c>
      <c r="G777">
        <v>22030</v>
      </c>
      <c r="H777" s="116"/>
      <c r="I777" s="116"/>
      <c r="L777" s="170">
        <v>44833</v>
      </c>
      <c r="M777" s="116">
        <v>309.45</v>
      </c>
      <c r="N777" s="116">
        <v>320.8</v>
      </c>
      <c r="O777" s="116">
        <v>307.64999999999998</v>
      </c>
      <c r="P777" s="116">
        <v>316.45</v>
      </c>
      <c r="Q777" s="116">
        <v>309.45</v>
      </c>
      <c r="R777">
        <v>263826</v>
      </c>
    </row>
    <row r="778" spans="1:18" x14ac:dyDescent="0.25">
      <c r="A778" s="170">
        <v>44834</v>
      </c>
      <c r="B778" s="116">
        <v>317.95</v>
      </c>
      <c r="C778" s="116">
        <v>310.05</v>
      </c>
      <c r="D778" s="116">
        <v>306.35000000000002</v>
      </c>
      <c r="E778" s="116">
        <v>317.95</v>
      </c>
      <c r="F778" s="116">
        <v>310.05</v>
      </c>
      <c r="G778">
        <v>20193</v>
      </c>
      <c r="H778" s="116"/>
      <c r="I778" s="116"/>
      <c r="L778" s="170">
        <v>44834</v>
      </c>
      <c r="M778" s="116">
        <v>309.7</v>
      </c>
      <c r="N778" s="116">
        <v>315.75</v>
      </c>
      <c r="O778" s="116">
        <v>306</v>
      </c>
      <c r="P778" s="116">
        <v>310.5</v>
      </c>
      <c r="Q778" s="116">
        <v>309.7</v>
      </c>
      <c r="R778">
        <v>298058</v>
      </c>
    </row>
    <row r="779" spans="1:18" x14ac:dyDescent="0.25">
      <c r="A779" s="170">
        <v>44837</v>
      </c>
      <c r="B779" s="116">
        <v>317.10000000000002</v>
      </c>
      <c r="C779" s="116">
        <v>304.55</v>
      </c>
      <c r="D779" s="116">
        <v>303</v>
      </c>
      <c r="E779" s="116">
        <v>314.60000000000002</v>
      </c>
      <c r="F779" s="116">
        <v>304.55</v>
      </c>
      <c r="G779">
        <v>44623</v>
      </c>
      <c r="H779" s="116"/>
      <c r="I779" s="116"/>
      <c r="L779" s="170">
        <v>44837</v>
      </c>
      <c r="M779" s="116">
        <v>304.89999999999998</v>
      </c>
      <c r="N779" s="116">
        <v>317.35000000000002</v>
      </c>
      <c r="O779" s="116">
        <v>303</v>
      </c>
      <c r="P779" s="116">
        <v>307.5</v>
      </c>
      <c r="Q779" s="116">
        <v>304.89999999999998</v>
      </c>
      <c r="R779">
        <v>247297</v>
      </c>
    </row>
    <row r="780" spans="1:18" x14ac:dyDescent="0.25">
      <c r="A780" s="170">
        <v>44838</v>
      </c>
      <c r="B780" s="116">
        <v>313.60000000000002</v>
      </c>
      <c r="C780" s="116">
        <v>308.25</v>
      </c>
      <c r="D780" s="116">
        <v>304.89999999999998</v>
      </c>
      <c r="E780" s="116">
        <v>310</v>
      </c>
      <c r="F780" s="116">
        <v>308.25</v>
      </c>
      <c r="G780">
        <v>19362</v>
      </c>
      <c r="H780" s="116"/>
      <c r="I780" s="116"/>
      <c r="L780" s="170">
        <v>44838</v>
      </c>
      <c r="M780" s="116">
        <v>308.55</v>
      </c>
      <c r="N780" s="116">
        <v>313.3</v>
      </c>
      <c r="O780" s="116">
        <v>305</v>
      </c>
      <c r="P780" s="116">
        <v>309</v>
      </c>
      <c r="Q780" s="116">
        <v>308.55</v>
      </c>
      <c r="R780">
        <v>223322</v>
      </c>
    </row>
    <row r="781" spans="1:18" x14ac:dyDescent="0.25">
      <c r="A781" s="170">
        <v>44840</v>
      </c>
      <c r="B781" s="116">
        <v>314.8</v>
      </c>
      <c r="C781" s="116">
        <v>308.60000000000002</v>
      </c>
      <c r="D781" s="116">
        <v>306.89999999999998</v>
      </c>
      <c r="E781" s="116">
        <v>310</v>
      </c>
      <c r="F781" s="116">
        <v>308.60000000000002</v>
      </c>
      <c r="G781">
        <v>25141</v>
      </c>
      <c r="H781" s="116"/>
      <c r="I781" s="116"/>
      <c r="L781" s="170">
        <v>44840</v>
      </c>
      <c r="M781" s="116">
        <v>309.64999999999998</v>
      </c>
      <c r="N781" s="116">
        <v>314.7</v>
      </c>
      <c r="O781" s="116">
        <v>308.7</v>
      </c>
      <c r="P781" s="116">
        <v>314.7</v>
      </c>
      <c r="Q781" s="116">
        <v>309.64999999999998</v>
      </c>
      <c r="R781">
        <v>183968</v>
      </c>
    </row>
    <row r="782" spans="1:18" x14ac:dyDescent="0.25">
      <c r="A782" s="170">
        <v>44841</v>
      </c>
      <c r="B782" s="116">
        <v>312</v>
      </c>
      <c r="C782" s="116">
        <v>309.3</v>
      </c>
      <c r="D782" s="116">
        <v>305.45</v>
      </c>
      <c r="E782" s="116">
        <v>305.45</v>
      </c>
      <c r="F782" s="116">
        <v>309.3</v>
      </c>
      <c r="G782">
        <v>16749</v>
      </c>
      <c r="H782" s="116"/>
      <c r="I782" s="116"/>
      <c r="L782" s="170">
        <v>44841</v>
      </c>
      <c r="M782" s="116">
        <v>309.2</v>
      </c>
      <c r="N782" s="116">
        <v>312.3</v>
      </c>
      <c r="O782" s="116">
        <v>307.2</v>
      </c>
      <c r="P782" s="116">
        <v>309.89999999999998</v>
      </c>
      <c r="Q782" s="116">
        <v>309.2</v>
      </c>
      <c r="R782">
        <v>182697</v>
      </c>
    </row>
    <row r="783" spans="1:18" x14ac:dyDescent="0.25">
      <c r="A783" s="170">
        <v>44844</v>
      </c>
      <c r="B783" s="116">
        <v>309.14999999999998</v>
      </c>
      <c r="C783" s="116">
        <v>305.39999999999998</v>
      </c>
      <c r="D783" s="116">
        <v>303.85000000000002</v>
      </c>
      <c r="E783" s="116">
        <v>305.55</v>
      </c>
      <c r="F783" s="116">
        <v>305.39999999999998</v>
      </c>
      <c r="G783">
        <v>20590</v>
      </c>
      <c r="H783" s="116"/>
      <c r="I783" s="116"/>
      <c r="L783" s="170">
        <v>44844</v>
      </c>
      <c r="M783" s="116">
        <v>305.7</v>
      </c>
      <c r="N783" s="116">
        <v>309</v>
      </c>
      <c r="O783" s="116">
        <v>303.95</v>
      </c>
      <c r="P783" s="116">
        <v>307.25</v>
      </c>
      <c r="Q783" s="116">
        <v>305.7</v>
      </c>
      <c r="R783">
        <v>168032</v>
      </c>
    </row>
    <row r="784" spans="1:18" x14ac:dyDescent="0.25">
      <c r="A784" s="170">
        <v>44845</v>
      </c>
      <c r="B784" s="116">
        <v>311.14999999999998</v>
      </c>
      <c r="C784" s="116">
        <v>296.39999999999998</v>
      </c>
      <c r="D784" s="116">
        <v>295.7</v>
      </c>
      <c r="E784" s="116">
        <v>307.85000000000002</v>
      </c>
      <c r="F784" s="116">
        <v>296.39999999999998</v>
      </c>
      <c r="G784">
        <v>66647</v>
      </c>
      <c r="H784" s="116"/>
      <c r="I784" s="116"/>
      <c r="L784" s="170">
        <v>44845</v>
      </c>
      <c r="M784" s="116">
        <v>296.39999999999998</v>
      </c>
      <c r="N784" s="116">
        <v>311.75</v>
      </c>
      <c r="O784" s="116">
        <v>295.8</v>
      </c>
      <c r="P784" s="116">
        <v>306.14999999999998</v>
      </c>
      <c r="Q784" s="116">
        <v>296.39999999999998</v>
      </c>
      <c r="R784">
        <v>449288</v>
      </c>
    </row>
    <row r="785" spans="1:18" x14ac:dyDescent="0.25">
      <c r="A785" s="170">
        <v>44846</v>
      </c>
      <c r="B785" s="116">
        <v>308.60000000000002</v>
      </c>
      <c r="C785" s="116">
        <v>302.95</v>
      </c>
      <c r="D785" s="116">
        <v>296.45</v>
      </c>
      <c r="E785" s="116">
        <v>296.45</v>
      </c>
      <c r="F785" s="116">
        <v>302.95</v>
      </c>
      <c r="G785">
        <v>44845</v>
      </c>
      <c r="H785" s="116"/>
      <c r="I785" s="116"/>
      <c r="L785" s="170">
        <v>44846</v>
      </c>
      <c r="M785" s="116">
        <v>303.05</v>
      </c>
      <c r="N785" s="116">
        <v>308.8</v>
      </c>
      <c r="O785" s="116">
        <v>298</v>
      </c>
      <c r="P785" s="116">
        <v>298</v>
      </c>
      <c r="Q785" s="116">
        <v>303.05</v>
      </c>
      <c r="R785">
        <v>415254</v>
      </c>
    </row>
    <row r="786" spans="1:18" x14ac:dyDescent="0.25">
      <c r="A786" s="170">
        <v>44847</v>
      </c>
      <c r="B786" s="116">
        <v>301.89999999999998</v>
      </c>
      <c r="C786" s="116">
        <v>292.3</v>
      </c>
      <c r="D786" s="116">
        <v>291.10000000000002</v>
      </c>
      <c r="E786" s="116">
        <v>299</v>
      </c>
      <c r="F786" s="116">
        <v>292.3</v>
      </c>
      <c r="G786">
        <v>43794</v>
      </c>
      <c r="H786" s="116"/>
      <c r="I786" s="116"/>
      <c r="L786" s="170">
        <v>44847</v>
      </c>
      <c r="M786" s="116">
        <v>292.2</v>
      </c>
      <c r="N786" s="116">
        <v>302</v>
      </c>
      <c r="O786" s="116">
        <v>290.7</v>
      </c>
      <c r="P786" s="116">
        <v>299</v>
      </c>
      <c r="Q786" s="116">
        <v>292.2</v>
      </c>
      <c r="R786">
        <v>637038</v>
      </c>
    </row>
    <row r="787" spans="1:18" x14ac:dyDescent="0.25">
      <c r="A787" s="170">
        <v>44848</v>
      </c>
      <c r="B787" s="116">
        <v>302.7</v>
      </c>
      <c r="C787" s="116">
        <v>296.14999999999998</v>
      </c>
      <c r="D787" s="116">
        <v>293</v>
      </c>
      <c r="E787" s="116">
        <v>298.85000000000002</v>
      </c>
      <c r="F787" s="116">
        <v>296.14999999999998</v>
      </c>
      <c r="G787">
        <v>54499</v>
      </c>
      <c r="H787" s="116"/>
      <c r="I787" s="116"/>
      <c r="L787" s="170">
        <v>44848</v>
      </c>
      <c r="M787" s="116">
        <v>295.8</v>
      </c>
      <c r="N787" s="116">
        <v>302.75</v>
      </c>
      <c r="O787" s="116">
        <v>293</v>
      </c>
      <c r="P787" s="116">
        <v>297.89999999999998</v>
      </c>
      <c r="Q787" s="116">
        <v>295.8</v>
      </c>
      <c r="R787">
        <v>532131</v>
      </c>
    </row>
    <row r="788" spans="1:18" x14ac:dyDescent="0.25">
      <c r="A788" s="170">
        <v>44851</v>
      </c>
      <c r="B788" s="116">
        <v>295.45</v>
      </c>
      <c r="C788" s="116">
        <v>290.05</v>
      </c>
      <c r="D788" s="116">
        <v>288.75</v>
      </c>
      <c r="E788" s="116">
        <v>292.05</v>
      </c>
      <c r="F788" s="116">
        <v>290.05</v>
      </c>
      <c r="G788">
        <v>39351</v>
      </c>
      <c r="H788" s="116"/>
      <c r="I788" s="116"/>
      <c r="L788" s="170">
        <v>44851</v>
      </c>
      <c r="M788" s="116">
        <v>290.64999999999998</v>
      </c>
      <c r="N788" s="116">
        <v>295.39999999999998</v>
      </c>
      <c r="O788" s="116">
        <v>289</v>
      </c>
      <c r="P788" s="116">
        <v>294.89999999999998</v>
      </c>
      <c r="Q788" s="116">
        <v>290.64999999999998</v>
      </c>
      <c r="R788">
        <v>191486</v>
      </c>
    </row>
    <row r="789" spans="1:18" x14ac:dyDescent="0.25">
      <c r="A789" s="170">
        <v>44852</v>
      </c>
      <c r="B789" s="116">
        <v>294.85000000000002</v>
      </c>
      <c r="C789" s="116">
        <v>291.3</v>
      </c>
      <c r="D789" s="116">
        <v>290.89999999999998</v>
      </c>
      <c r="E789" s="116">
        <v>294.10000000000002</v>
      </c>
      <c r="F789" s="116">
        <v>291.3</v>
      </c>
      <c r="G789">
        <v>10916</v>
      </c>
      <c r="H789" s="116"/>
      <c r="I789" s="116"/>
      <c r="L789" s="170">
        <v>44852</v>
      </c>
      <c r="M789" s="116">
        <v>291.60000000000002</v>
      </c>
      <c r="N789" s="116">
        <v>295</v>
      </c>
      <c r="O789" s="116">
        <v>290.85000000000002</v>
      </c>
      <c r="P789" s="116">
        <v>291.89999999999998</v>
      </c>
      <c r="Q789" s="116">
        <v>291.60000000000002</v>
      </c>
      <c r="R789">
        <v>128946</v>
      </c>
    </row>
    <row r="790" spans="1:18" x14ac:dyDescent="0.25">
      <c r="A790" s="170">
        <v>44853</v>
      </c>
      <c r="B790" s="116">
        <v>297.95</v>
      </c>
      <c r="C790" s="116">
        <v>294.89999999999998</v>
      </c>
      <c r="D790" s="116">
        <v>291</v>
      </c>
      <c r="E790" s="116">
        <v>291.3</v>
      </c>
      <c r="F790" s="116">
        <v>294.89999999999998</v>
      </c>
      <c r="G790">
        <v>14932</v>
      </c>
      <c r="H790" s="116"/>
      <c r="I790" s="116"/>
      <c r="L790" s="170">
        <v>44853</v>
      </c>
      <c r="M790" s="116">
        <v>295.3</v>
      </c>
      <c r="N790" s="116">
        <v>297.95</v>
      </c>
      <c r="O790" s="116">
        <v>290.55</v>
      </c>
      <c r="P790" s="116">
        <v>291.60000000000002</v>
      </c>
      <c r="Q790" s="116">
        <v>295.3</v>
      </c>
      <c r="R790">
        <v>173542</v>
      </c>
    </row>
    <row r="791" spans="1:18" x14ac:dyDescent="0.25">
      <c r="A791" s="170">
        <v>44854</v>
      </c>
      <c r="B791" s="116">
        <v>297.2</v>
      </c>
      <c r="C791" s="116">
        <v>295.64999999999998</v>
      </c>
      <c r="D791" s="116">
        <v>290.85000000000002</v>
      </c>
      <c r="E791" s="116">
        <v>290.85000000000002</v>
      </c>
      <c r="F791" s="116">
        <v>295.64999999999998</v>
      </c>
      <c r="G791">
        <v>6214</v>
      </c>
      <c r="H791" s="116"/>
      <c r="I791" s="116"/>
      <c r="L791" s="170">
        <v>44854</v>
      </c>
      <c r="M791" s="116">
        <v>295.75</v>
      </c>
      <c r="N791" s="116">
        <v>297.10000000000002</v>
      </c>
      <c r="O791" s="116">
        <v>293</v>
      </c>
      <c r="P791" s="116">
        <v>293.10000000000002</v>
      </c>
      <c r="Q791" s="116">
        <v>295.75</v>
      </c>
      <c r="R791">
        <v>107435</v>
      </c>
    </row>
    <row r="792" spans="1:18" x14ac:dyDescent="0.25">
      <c r="A792" s="170">
        <v>44855</v>
      </c>
      <c r="B792" s="116">
        <v>300.64999999999998</v>
      </c>
      <c r="C792" s="116">
        <v>295.55</v>
      </c>
      <c r="D792" s="116">
        <v>294</v>
      </c>
      <c r="E792" s="116">
        <v>296.85000000000002</v>
      </c>
      <c r="F792" s="116">
        <v>295.55</v>
      </c>
      <c r="G792">
        <v>9315</v>
      </c>
      <c r="H792" s="116"/>
      <c r="I792" s="116"/>
      <c r="L792" s="170">
        <v>44855</v>
      </c>
      <c r="M792" s="116">
        <v>295.2</v>
      </c>
      <c r="N792" s="116">
        <v>300.8</v>
      </c>
      <c r="O792" s="116">
        <v>294.2</v>
      </c>
      <c r="P792" s="116">
        <v>296.2</v>
      </c>
      <c r="Q792" s="116">
        <v>295.2</v>
      </c>
      <c r="R792">
        <v>177007</v>
      </c>
    </row>
    <row r="793" spans="1:18" x14ac:dyDescent="0.25">
      <c r="A793" s="170">
        <v>44858</v>
      </c>
      <c r="B793" s="116">
        <v>299.55</v>
      </c>
      <c r="C793" s="116">
        <v>297.60000000000002</v>
      </c>
      <c r="D793" s="116">
        <v>292.2</v>
      </c>
      <c r="E793" s="116">
        <v>299.55</v>
      </c>
      <c r="F793" s="116">
        <v>297.60000000000002</v>
      </c>
      <c r="G793">
        <v>12513</v>
      </c>
      <c r="H793" s="116"/>
      <c r="I793" s="116"/>
      <c r="L793" s="170">
        <v>44858</v>
      </c>
      <c r="M793" s="116">
        <v>297.14999999999998</v>
      </c>
      <c r="N793" s="116">
        <v>304.89999999999998</v>
      </c>
      <c r="O793" s="116">
        <v>292.55</v>
      </c>
      <c r="P793" s="116">
        <v>297.89999999999998</v>
      </c>
      <c r="Q793" s="116">
        <v>297.14999999999998</v>
      </c>
      <c r="R793">
        <v>78923</v>
      </c>
    </row>
    <row r="794" spans="1:18" x14ac:dyDescent="0.25">
      <c r="A794" s="170">
        <v>44859</v>
      </c>
      <c r="B794" s="116">
        <v>299.35000000000002</v>
      </c>
      <c r="C794" s="116">
        <v>296.85000000000002</v>
      </c>
      <c r="D794" s="116">
        <v>294.8</v>
      </c>
      <c r="E794" s="116">
        <v>295.89999999999998</v>
      </c>
      <c r="F794" s="116">
        <v>296.85000000000002</v>
      </c>
      <c r="G794">
        <v>21860</v>
      </c>
      <c r="H794" s="116"/>
      <c r="I794" s="116"/>
      <c r="L794" s="170">
        <v>44859</v>
      </c>
      <c r="M794" s="116">
        <v>296.8</v>
      </c>
      <c r="N794" s="116">
        <v>298.64999999999998</v>
      </c>
      <c r="O794" s="116">
        <v>294.85000000000002</v>
      </c>
      <c r="P794" s="116">
        <v>297.85000000000002</v>
      </c>
      <c r="Q794" s="116">
        <v>296.8</v>
      </c>
      <c r="R794">
        <v>93104</v>
      </c>
    </row>
    <row r="795" spans="1:18" x14ac:dyDescent="0.25">
      <c r="A795" s="170">
        <v>44861</v>
      </c>
      <c r="B795" s="116">
        <v>298.05</v>
      </c>
      <c r="C795" s="116">
        <v>294.10000000000002</v>
      </c>
      <c r="D795" s="116">
        <v>293.45</v>
      </c>
      <c r="E795" s="116">
        <v>297</v>
      </c>
      <c r="F795" s="116">
        <v>294.10000000000002</v>
      </c>
      <c r="G795">
        <v>17288</v>
      </c>
      <c r="H795" s="116"/>
      <c r="I795" s="116"/>
      <c r="L795" s="170">
        <v>44861</v>
      </c>
      <c r="M795" s="116">
        <v>294.3</v>
      </c>
      <c r="N795" s="116">
        <v>298.55</v>
      </c>
      <c r="O795" s="116">
        <v>293.55</v>
      </c>
      <c r="P795" s="116">
        <v>296.75</v>
      </c>
      <c r="Q795" s="116">
        <v>294.3</v>
      </c>
      <c r="R795">
        <v>73724</v>
      </c>
    </row>
    <row r="796" spans="1:18" x14ac:dyDescent="0.25">
      <c r="A796" s="170">
        <v>44862</v>
      </c>
      <c r="B796" s="116">
        <v>295.39999999999998</v>
      </c>
      <c r="C796" s="116">
        <v>289.95</v>
      </c>
      <c r="D796" s="116">
        <v>289</v>
      </c>
      <c r="E796" s="116">
        <v>293.5</v>
      </c>
      <c r="F796" s="116">
        <v>289.95</v>
      </c>
      <c r="G796">
        <v>10606</v>
      </c>
      <c r="H796" s="116"/>
      <c r="I796" s="116"/>
      <c r="L796" s="170">
        <v>44862</v>
      </c>
      <c r="M796" s="116">
        <v>290</v>
      </c>
      <c r="N796" s="116">
        <v>295.8</v>
      </c>
      <c r="O796" s="116">
        <v>288.75</v>
      </c>
      <c r="P796" s="116">
        <v>294.75</v>
      </c>
      <c r="Q796" s="116">
        <v>290</v>
      </c>
      <c r="R796">
        <v>197481</v>
      </c>
    </row>
    <row r="797" spans="1:18" x14ac:dyDescent="0.25">
      <c r="A797" s="170">
        <v>44865</v>
      </c>
      <c r="B797" s="116">
        <v>293.89999999999998</v>
      </c>
      <c r="C797" s="116">
        <v>288.25</v>
      </c>
      <c r="D797" s="116">
        <v>287</v>
      </c>
      <c r="E797" s="116">
        <v>293.89999999999998</v>
      </c>
      <c r="F797" s="116">
        <v>288.25</v>
      </c>
      <c r="G797">
        <v>10786</v>
      </c>
      <c r="H797" s="116"/>
      <c r="I797" s="116"/>
      <c r="L797" s="170">
        <v>44865</v>
      </c>
      <c r="M797" s="116">
        <v>288.14999999999998</v>
      </c>
      <c r="N797" s="116">
        <v>293.95</v>
      </c>
      <c r="O797" s="116">
        <v>286.95</v>
      </c>
      <c r="P797" s="116">
        <v>291.45</v>
      </c>
      <c r="Q797" s="116">
        <v>288.14999999999998</v>
      </c>
      <c r="R797">
        <v>126679</v>
      </c>
    </row>
    <row r="798" spans="1:18" x14ac:dyDescent="0.25">
      <c r="A798" s="170">
        <v>44866</v>
      </c>
      <c r="B798" s="116">
        <v>292</v>
      </c>
      <c r="C798" s="116">
        <v>288.75</v>
      </c>
      <c r="D798" s="116">
        <v>288</v>
      </c>
      <c r="E798" s="116">
        <v>291.89999999999998</v>
      </c>
      <c r="F798" s="116">
        <v>288.75</v>
      </c>
      <c r="G798">
        <v>18356</v>
      </c>
      <c r="H798" s="116"/>
      <c r="I798" s="116"/>
      <c r="L798" s="170">
        <v>44866</v>
      </c>
      <c r="M798" s="116">
        <v>288.7</v>
      </c>
      <c r="N798" s="116">
        <v>292</v>
      </c>
      <c r="O798" s="116">
        <v>288</v>
      </c>
      <c r="P798" s="116">
        <v>289.60000000000002</v>
      </c>
      <c r="Q798" s="116">
        <v>288.7</v>
      </c>
      <c r="R798">
        <v>89344</v>
      </c>
    </row>
    <row r="799" spans="1:18" x14ac:dyDescent="0.25">
      <c r="A799" s="170">
        <v>44867</v>
      </c>
      <c r="B799" s="116">
        <v>292.05</v>
      </c>
      <c r="C799" s="116">
        <v>287.7</v>
      </c>
      <c r="D799" s="116">
        <v>287</v>
      </c>
      <c r="E799" s="116">
        <v>289.95</v>
      </c>
      <c r="F799" s="116">
        <v>287.7</v>
      </c>
      <c r="G799">
        <v>16272</v>
      </c>
      <c r="H799" s="116"/>
      <c r="I799" s="116"/>
      <c r="L799" s="170">
        <v>44867</v>
      </c>
      <c r="M799" s="116">
        <v>287.55</v>
      </c>
      <c r="N799" s="116">
        <v>292.55</v>
      </c>
      <c r="O799" s="116">
        <v>287</v>
      </c>
      <c r="P799" s="116">
        <v>290.10000000000002</v>
      </c>
      <c r="Q799" s="116">
        <v>287.55</v>
      </c>
      <c r="R799">
        <v>95180</v>
      </c>
    </row>
    <row r="800" spans="1:18" x14ac:dyDescent="0.25">
      <c r="A800" s="170">
        <v>44868</v>
      </c>
      <c r="B800" s="116">
        <v>290.5</v>
      </c>
      <c r="C800" s="116">
        <v>287.5</v>
      </c>
      <c r="D800" s="116">
        <v>287</v>
      </c>
      <c r="E800" s="116">
        <v>288.60000000000002</v>
      </c>
      <c r="F800" s="116">
        <v>287.5</v>
      </c>
      <c r="G800">
        <v>17582</v>
      </c>
      <c r="H800" s="116"/>
      <c r="I800" s="116"/>
      <c r="L800" s="170">
        <v>44868</v>
      </c>
      <c r="M800" s="116">
        <v>287.64999999999998</v>
      </c>
      <c r="N800" s="116">
        <v>290.55</v>
      </c>
      <c r="O800" s="116">
        <v>287</v>
      </c>
      <c r="P800" s="116">
        <v>287.55</v>
      </c>
      <c r="Q800" s="116">
        <v>287.64999999999998</v>
      </c>
      <c r="R800">
        <v>84361</v>
      </c>
    </row>
    <row r="801" spans="1:18" x14ac:dyDescent="0.25">
      <c r="A801" s="170">
        <v>44869</v>
      </c>
      <c r="B801" s="116">
        <v>289.89999999999998</v>
      </c>
      <c r="C801" s="116">
        <v>288.25</v>
      </c>
      <c r="D801" s="116">
        <v>287</v>
      </c>
      <c r="E801" s="116">
        <v>287.75</v>
      </c>
      <c r="F801" s="116">
        <v>288.25</v>
      </c>
      <c r="G801">
        <v>6706</v>
      </c>
      <c r="H801" s="116"/>
      <c r="I801" s="116"/>
      <c r="L801" s="170">
        <v>44869</v>
      </c>
      <c r="M801" s="116">
        <v>288.10000000000002</v>
      </c>
      <c r="N801" s="116">
        <v>290</v>
      </c>
      <c r="O801" s="116">
        <v>286.95</v>
      </c>
      <c r="P801" s="116">
        <v>288.05</v>
      </c>
      <c r="Q801" s="116">
        <v>288.10000000000002</v>
      </c>
      <c r="R801">
        <v>89636</v>
      </c>
    </row>
    <row r="802" spans="1:18" x14ac:dyDescent="0.25">
      <c r="A802" s="170">
        <v>44872</v>
      </c>
      <c r="B802" s="116">
        <v>290.89999999999998</v>
      </c>
      <c r="C802" s="116">
        <v>287.55</v>
      </c>
      <c r="D802" s="116">
        <v>287</v>
      </c>
      <c r="E802" s="116">
        <v>289.45</v>
      </c>
      <c r="F802" s="116">
        <v>287.55</v>
      </c>
      <c r="G802">
        <v>25411</v>
      </c>
      <c r="H802" s="116"/>
      <c r="I802" s="116"/>
      <c r="L802" s="170">
        <v>44872</v>
      </c>
      <c r="M802" s="116">
        <v>287.39999999999998</v>
      </c>
      <c r="N802" s="116">
        <v>290.89999999999998</v>
      </c>
      <c r="O802" s="116">
        <v>286.55</v>
      </c>
      <c r="P802" s="116">
        <v>288.2</v>
      </c>
      <c r="Q802" s="116">
        <v>287.39999999999998</v>
      </c>
      <c r="R802">
        <v>112623</v>
      </c>
    </row>
    <row r="803" spans="1:18" x14ac:dyDescent="0.25">
      <c r="A803" s="170">
        <v>44874</v>
      </c>
      <c r="B803" s="116">
        <v>289.95</v>
      </c>
      <c r="C803" s="116">
        <v>286.55</v>
      </c>
      <c r="D803" s="116">
        <v>286</v>
      </c>
      <c r="E803" s="116">
        <v>288.2</v>
      </c>
      <c r="F803" s="116">
        <v>286.55</v>
      </c>
      <c r="G803">
        <v>15144</v>
      </c>
      <c r="H803" s="116"/>
      <c r="I803" s="116"/>
      <c r="L803" s="170">
        <v>44874</v>
      </c>
      <c r="M803" s="116">
        <v>286.25</v>
      </c>
      <c r="N803" s="116">
        <v>289.89999999999998</v>
      </c>
      <c r="O803" s="116">
        <v>286</v>
      </c>
      <c r="P803" s="116">
        <v>289.89999999999998</v>
      </c>
      <c r="Q803" s="116">
        <v>286.25</v>
      </c>
      <c r="R803">
        <v>102601</v>
      </c>
    </row>
    <row r="804" spans="1:18" x14ac:dyDescent="0.25">
      <c r="A804" s="170">
        <v>44875</v>
      </c>
      <c r="B804" s="116">
        <v>287.7</v>
      </c>
      <c r="C804" s="116">
        <v>279.55</v>
      </c>
      <c r="D804" s="116">
        <v>278.64999999999998</v>
      </c>
      <c r="E804" s="116">
        <v>286</v>
      </c>
      <c r="F804" s="116">
        <v>279.55</v>
      </c>
      <c r="G804">
        <v>21989</v>
      </c>
      <c r="H804" s="116"/>
      <c r="I804" s="116"/>
      <c r="L804" s="170">
        <v>44875</v>
      </c>
      <c r="M804" s="116">
        <v>279.64999999999998</v>
      </c>
      <c r="N804" s="116">
        <v>287.60000000000002</v>
      </c>
      <c r="O804" s="116">
        <v>278</v>
      </c>
      <c r="P804" s="116">
        <v>287.60000000000002</v>
      </c>
      <c r="Q804" s="116">
        <v>279.64999999999998</v>
      </c>
      <c r="R804">
        <v>122026</v>
      </c>
    </row>
    <row r="805" spans="1:18" x14ac:dyDescent="0.25">
      <c r="A805" s="170">
        <v>44876</v>
      </c>
      <c r="B805" s="116">
        <v>298.85000000000002</v>
      </c>
      <c r="C805" s="116">
        <v>293.2</v>
      </c>
      <c r="D805" s="116">
        <v>280</v>
      </c>
      <c r="E805" s="116">
        <v>280.85000000000002</v>
      </c>
      <c r="F805" s="116">
        <v>293.2</v>
      </c>
      <c r="G805">
        <v>18017</v>
      </c>
      <c r="H805" s="116"/>
      <c r="I805" s="116"/>
      <c r="L805" s="170">
        <v>44876</v>
      </c>
      <c r="M805" s="116">
        <v>294.14999999999998</v>
      </c>
      <c r="N805" s="116">
        <v>299</v>
      </c>
      <c r="O805" s="116">
        <v>280</v>
      </c>
      <c r="P805" s="116">
        <v>282.8</v>
      </c>
      <c r="Q805" s="116">
        <v>294.14999999999998</v>
      </c>
      <c r="R805">
        <v>361812</v>
      </c>
    </row>
    <row r="806" spans="1:18" x14ac:dyDescent="0.25">
      <c r="A806" s="170">
        <v>44879</v>
      </c>
      <c r="B806" s="116">
        <v>296.75</v>
      </c>
      <c r="C806" s="116">
        <v>286.95</v>
      </c>
      <c r="D806" s="116">
        <v>286.05</v>
      </c>
      <c r="E806" s="116">
        <v>296.75</v>
      </c>
      <c r="F806" s="116">
        <v>286.95</v>
      </c>
      <c r="G806">
        <v>9714</v>
      </c>
      <c r="H806" s="116"/>
      <c r="I806" s="116"/>
      <c r="L806" s="170">
        <v>44879</v>
      </c>
      <c r="M806" s="116">
        <v>287.14999999999998</v>
      </c>
      <c r="N806" s="116">
        <v>295</v>
      </c>
      <c r="O806" s="116">
        <v>285.95</v>
      </c>
      <c r="P806" s="116">
        <v>294.14999999999998</v>
      </c>
      <c r="Q806" s="116">
        <v>287.14999999999998</v>
      </c>
      <c r="R806">
        <v>153114</v>
      </c>
    </row>
    <row r="807" spans="1:18" x14ac:dyDescent="0.25">
      <c r="A807" s="170">
        <v>44880</v>
      </c>
      <c r="B807" s="116">
        <v>293.8</v>
      </c>
      <c r="C807" s="116">
        <v>284.8</v>
      </c>
      <c r="D807" s="116">
        <v>284.2</v>
      </c>
      <c r="E807" s="116">
        <v>286.95</v>
      </c>
      <c r="F807" s="116">
        <v>284.8</v>
      </c>
      <c r="G807">
        <v>17741</v>
      </c>
      <c r="H807" s="116"/>
      <c r="I807" s="116"/>
      <c r="L807" s="170">
        <v>44880</v>
      </c>
      <c r="M807" s="116">
        <v>284.75</v>
      </c>
      <c r="N807" s="116">
        <v>291.8</v>
      </c>
      <c r="O807" s="116">
        <v>284</v>
      </c>
      <c r="P807" s="116">
        <v>287.14999999999998</v>
      </c>
      <c r="Q807" s="116">
        <v>284.75</v>
      </c>
      <c r="R807">
        <v>142696</v>
      </c>
    </row>
    <row r="808" spans="1:18" x14ac:dyDescent="0.25">
      <c r="A808" s="170">
        <v>44881</v>
      </c>
      <c r="B808" s="116">
        <v>286.55</v>
      </c>
      <c r="C808" s="116">
        <v>281.85000000000002</v>
      </c>
      <c r="D808" s="116">
        <v>281</v>
      </c>
      <c r="E808" s="116">
        <v>284.5</v>
      </c>
      <c r="F808" s="116">
        <v>281.85000000000002</v>
      </c>
      <c r="G808">
        <v>24552</v>
      </c>
      <c r="H808" s="116"/>
      <c r="I808" s="116"/>
      <c r="L808" s="170">
        <v>44881</v>
      </c>
      <c r="M808" s="116">
        <v>282.35000000000002</v>
      </c>
      <c r="N808" s="116">
        <v>286.89999999999998</v>
      </c>
      <c r="O808" s="116">
        <v>281</v>
      </c>
      <c r="P808" s="116">
        <v>284.7</v>
      </c>
      <c r="Q808" s="116">
        <v>282.35000000000002</v>
      </c>
      <c r="R808">
        <v>111293</v>
      </c>
    </row>
    <row r="809" spans="1:18" x14ac:dyDescent="0.25">
      <c r="A809" s="170">
        <v>44882</v>
      </c>
      <c r="B809" s="116">
        <v>288</v>
      </c>
      <c r="C809" s="116">
        <v>285.05</v>
      </c>
      <c r="D809" s="116">
        <v>281</v>
      </c>
      <c r="E809" s="116">
        <v>281</v>
      </c>
      <c r="F809" s="116">
        <v>285.05</v>
      </c>
      <c r="G809">
        <v>9184</v>
      </c>
      <c r="H809" s="116"/>
      <c r="I809" s="116"/>
      <c r="L809" s="170">
        <v>44882</v>
      </c>
      <c r="M809" s="116">
        <v>285</v>
      </c>
      <c r="N809" s="116">
        <v>288</v>
      </c>
      <c r="O809" s="116">
        <v>282</v>
      </c>
      <c r="P809" s="116">
        <v>282.8</v>
      </c>
      <c r="Q809" s="116">
        <v>285</v>
      </c>
      <c r="R809">
        <v>103912</v>
      </c>
    </row>
    <row r="810" spans="1:18" x14ac:dyDescent="0.25">
      <c r="A810" s="170">
        <v>44883</v>
      </c>
      <c r="B810" s="116">
        <v>285.60000000000002</v>
      </c>
      <c r="C810" s="116">
        <v>277.3</v>
      </c>
      <c r="D810" s="116">
        <v>275.85000000000002</v>
      </c>
      <c r="E810" s="116">
        <v>285.60000000000002</v>
      </c>
      <c r="F810" s="116">
        <v>277.3</v>
      </c>
      <c r="G810">
        <v>25477</v>
      </c>
      <c r="H810" s="116"/>
      <c r="I810" s="116"/>
      <c r="L810" s="170">
        <v>44883</v>
      </c>
      <c r="M810" s="116">
        <v>277.35000000000002</v>
      </c>
      <c r="N810" s="116">
        <v>285.85000000000002</v>
      </c>
      <c r="O810" s="116">
        <v>276.3</v>
      </c>
      <c r="P810" s="116">
        <v>285</v>
      </c>
      <c r="Q810" s="116">
        <v>277.35000000000002</v>
      </c>
      <c r="R810">
        <v>176795</v>
      </c>
    </row>
    <row r="811" spans="1:18" x14ac:dyDescent="0.25">
      <c r="A811" s="170">
        <v>44886</v>
      </c>
      <c r="B811" s="116">
        <v>282.60000000000002</v>
      </c>
      <c r="C811" s="116">
        <v>276.60000000000002</v>
      </c>
      <c r="D811" s="116">
        <v>275.55</v>
      </c>
      <c r="E811" s="116">
        <v>277.3</v>
      </c>
      <c r="F811" s="116">
        <v>276.60000000000002</v>
      </c>
      <c r="G811">
        <v>7876</v>
      </c>
      <c r="H811" s="116"/>
      <c r="I811" s="116"/>
      <c r="L811" s="170">
        <v>44886</v>
      </c>
      <c r="M811" s="116">
        <v>276.64999999999998</v>
      </c>
      <c r="N811" s="116">
        <v>283</v>
      </c>
      <c r="O811" s="116">
        <v>275.05</v>
      </c>
      <c r="P811" s="116">
        <v>278</v>
      </c>
      <c r="Q811" s="116">
        <v>276.64999999999998</v>
      </c>
      <c r="R811">
        <v>155947</v>
      </c>
    </row>
    <row r="812" spans="1:18" x14ac:dyDescent="0.25">
      <c r="A812" s="170">
        <v>44887</v>
      </c>
      <c r="B812" s="116">
        <v>278.45</v>
      </c>
      <c r="C812" s="116">
        <v>275.45</v>
      </c>
      <c r="D812" s="116">
        <v>274</v>
      </c>
      <c r="E812" s="116">
        <v>275.7</v>
      </c>
      <c r="F812" s="116">
        <v>275.45</v>
      </c>
      <c r="G812">
        <v>9908</v>
      </c>
      <c r="H812" s="116"/>
      <c r="I812" s="116"/>
      <c r="L812" s="170">
        <v>44887</v>
      </c>
      <c r="M812" s="116">
        <v>275.3</v>
      </c>
      <c r="N812" s="116">
        <v>279.14999999999998</v>
      </c>
      <c r="O812" s="116">
        <v>273.5</v>
      </c>
      <c r="P812" s="116">
        <v>278.05</v>
      </c>
      <c r="Q812" s="116">
        <v>275.3</v>
      </c>
      <c r="R812">
        <v>116961</v>
      </c>
    </row>
    <row r="813" spans="1:18" x14ac:dyDescent="0.25">
      <c r="A813" s="170">
        <v>44888</v>
      </c>
      <c r="B813" s="116">
        <v>280.95</v>
      </c>
      <c r="C813" s="116">
        <v>275.35000000000002</v>
      </c>
      <c r="D813" s="116">
        <v>274.64999999999998</v>
      </c>
      <c r="E813" s="116">
        <v>279</v>
      </c>
      <c r="F813" s="116">
        <v>275.35000000000002</v>
      </c>
      <c r="G813">
        <v>19174</v>
      </c>
      <c r="H813" s="116"/>
      <c r="I813" s="116"/>
      <c r="L813" s="170">
        <v>44888</v>
      </c>
      <c r="M813" s="116">
        <v>276.10000000000002</v>
      </c>
      <c r="N813" s="116">
        <v>281.14999999999998</v>
      </c>
      <c r="O813" s="116">
        <v>275</v>
      </c>
      <c r="P813" s="116">
        <v>276.60000000000002</v>
      </c>
      <c r="Q813" s="116">
        <v>276.10000000000002</v>
      </c>
      <c r="R813">
        <v>101968</v>
      </c>
    </row>
    <row r="814" spans="1:18" x14ac:dyDescent="0.25">
      <c r="A814" s="170">
        <v>44889</v>
      </c>
      <c r="B814" s="116">
        <v>280.39999999999998</v>
      </c>
      <c r="C814" s="116">
        <v>275.8</v>
      </c>
      <c r="D814" s="116">
        <v>275.55</v>
      </c>
      <c r="E814" s="116">
        <v>278.3</v>
      </c>
      <c r="F814" s="116">
        <v>275.8</v>
      </c>
      <c r="G814">
        <v>6540</v>
      </c>
      <c r="H814" s="116"/>
      <c r="I814" s="116"/>
      <c r="L814" s="170">
        <v>44889</v>
      </c>
      <c r="M814" s="116">
        <v>276.10000000000002</v>
      </c>
      <c r="N814" s="116">
        <v>280.39999999999998</v>
      </c>
      <c r="O814" s="116">
        <v>275.60000000000002</v>
      </c>
      <c r="P814" s="116">
        <v>277.5</v>
      </c>
      <c r="Q814" s="116">
        <v>276.10000000000002</v>
      </c>
      <c r="R814">
        <v>88060</v>
      </c>
    </row>
    <row r="815" spans="1:18" x14ac:dyDescent="0.25">
      <c r="A815" s="170">
        <v>44890</v>
      </c>
      <c r="B815" s="116">
        <v>284.05</v>
      </c>
      <c r="C815" s="116">
        <v>280.75</v>
      </c>
      <c r="D815" s="116">
        <v>275.8</v>
      </c>
      <c r="E815" s="116">
        <v>275.8</v>
      </c>
      <c r="F815" s="116">
        <v>280.75</v>
      </c>
      <c r="G815">
        <v>10338</v>
      </c>
      <c r="H815" s="116"/>
      <c r="I815" s="116"/>
      <c r="L815" s="170">
        <v>44890</v>
      </c>
      <c r="M815" s="116">
        <v>280.7</v>
      </c>
      <c r="N815" s="116">
        <v>284.60000000000002</v>
      </c>
      <c r="O815" s="116">
        <v>277</v>
      </c>
      <c r="P815" s="116">
        <v>277.05</v>
      </c>
      <c r="Q815" s="116">
        <v>280.7</v>
      </c>
      <c r="R815">
        <v>164902</v>
      </c>
    </row>
    <row r="816" spans="1:18" x14ac:dyDescent="0.25">
      <c r="A816" s="170">
        <v>44893</v>
      </c>
      <c r="B816" s="116">
        <v>286.95</v>
      </c>
      <c r="C816" s="116">
        <v>283.89999999999998</v>
      </c>
      <c r="D816" s="116">
        <v>280.75</v>
      </c>
      <c r="E816" s="116">
        <v>280.75</v>
      </c>
      <c r="F816" s="116">
        <v>283.89999999999998</v>
      </c>
      <c r="G816">
        <v>18446</v>
      </c>
      <c r="H816" s="116"/>
      <c r="I816" s="116"/>
      <c r="L816" s="170">
        <v>44893</v>
      </c>
      <c r="M816" s="116">
        <v>284.3</v>
      </c>
      <c r="N816" s="116">
        <v>286.89999999999998</v>
      </c>
      <c r="O816" s="116">
        <v>280.7</v>
      </c>
      <c r="P816" s="116">
        <v>280.7</v>
      </c>
      <c r="Q816" s="116">
        <v>284.3</v>
      </c>
      <c r="R816">
        <v>149691</v>
      </c>
    </row>
    <row r="817" spans="1:18" x14ac:dyDescent="0.25">
      <c r="A817" s="170">
        <v>44894</v>
      </c>
      <c r="B817" s="116">
        <v>294</v>
      </c>
      <c r="C817" s="116">
        <v>290.3</v>
      </c>
      <c r="D817" s="116">
        <v>284.39999999999998</v>
      </c>
      <c r="E817" s="116">
        <v>292</v>
      </c>
      <c r="F817" s="116">
        <v>290.3</v>
      </c>
      <c r="G817">
        <v>17090</v>
      </c>
      <c r="H817" s="116"/>
      <c r="I817" s="116"/>
      <c r="L817" s="170">
        <v>44894</v>
      </c>
      <c r="M817" s="116">
        <v>289.89999999999998</v>
      </c>
      <c r="N817" s="116">
        <v>294</v>
      </c>
      <c r="O817" s="116">
        <v>284.3</v>
      </c>
      <c r="P817" s="116">
        <v>284.3</v>
      </c>
      <c r="Q817" s="116">
        <v>289.89999999999998</v>
      </c>
      <c r="R817">
        <v>366347</v>
      </c>
    </row>
    <row r="818" spans="1:18" x14ac:dyDescent="0.25">
      <c r="A818" s="170">
        <v>44895</v>
      </c>
      <c r="B818" s="116">
        <v>294</v>
      </c>
      <c r="C818" s="116">
        <v>292.7</v>
      </c>
      <c r="D818" s="116">
        <v>286.25</v>
      </c>
      <c r="E818" s="116">
        <v>289.35000000000002</v>
      </c>
      <c r="F818" s="116">
        <v>292.7</v>
      </c>
      <c r="G818">
        <v>29573</v>
      </c>
      <c r="H818" s="116"/>
      <c r="I818" s="116"/>
      <c r="L818" s="170">
        <v>44895</v>
      </c>
      <c r="M818" s="116">
        <v>292.75</v>
      </c>
      <c r="N818" s="116">
        <v>294.25</v>
      </c>
      <c r="O818" s="116">
        <v>286</v>
      </c>
      <c r="P818" s="116">
        <v>289.89999999999998</v>
      </c>
      <c r="Q818" s="116">
        <v>292.75</v>
      </c>
      <c r="R818">
        <v>236006</v>
      </c>
    </row>
    <row r="819" spans="1:18" x14ac:dyDescent="0.25">
      <c r="A819" s="170">
        <v>44896</v>
      </c>
      <c r="B819" s="116">
        <v>299.89999999999998</v>
      </c>
      <c r="C819" s="116">
        <v>288.3</v>
      </c>
      <c r="D819" s="116">
        <v>287.55</v>
      </c>
      <c r="E819" s="116">
        <v>292.10000000000002</v>
      </c>
      <c r="F819" s="116">
        <v>288.3</v>
      </c>
      <c r="G819">
        <v>9623</v>
      </c>
      <c r="H819" s="116"/>
      <c r="I819" s="116"/>
      <c r="L819" s="170">
        <v>44896</v>
      </c>
      <c r="M819" s="116">
        <v>288.5</v>
      </c>
      <c r="N819" s="116">
        <v>300</v>
      </c>
      <c r="O819" s="116">
        <v>287.55</v>
      </c>
      <c r="P819" s="116">
        <v>293.25</v>
      </c>
      <c r="Q819" s="116">
        <v>288.5</v>
      </c>
      <c r="R819">
        <v>291920</v>
      </c>
    </row>
    <row r="820" spans="1:18" x14ac:dyDescent="0.25">
      <c r="A820" s="170">
        <v>44897</v>
      </c>
      <c r="B820" s="116">
        <v>293.39999999999998</v>
      </c>
      <c r="C820" s="116">
        <v>288.89999999999998</v>
      </c>
      <c r="D820" s="116">
        <v>288.2</v>
      </c>
      <c r="E820" s="116">
        <v>289.3</v>
      </c>
      <c r="F820" s="116">
        <v>288.89999999999998</v>
      </c>
      <c r="G820">
        <v>7184</v>
      </c>
      <c r="H820" s="116"/>
      <c r="I820" s="116"/>
      <c r="L820" s="170">
        <v>44897</v>
      </c>
      <c r="M820" s="116">
        <v>288.75</v>
      </c>
      <c r="N820" s="116">
        <v>293.7</v>
      </c>
      <c r="O820" s="116">
        <v>288.3</v>
      </c>
      <c r="P820" s="116">
        <v>289.89999999999998</v>
      </c>
      <c r="Q820" s="116">
        <v>288.75</v>
      </c>
      <c r="R820">
        <v>140791</v>
      </c>
    </row>
    <row r="821" spans="1:18" x14ac:dyDescent="0.25">
      <c r="A821" s="170">
        <v>44900</v>
      </c>
      <c r="B821" s="116">
        <v>291.89999999999998</v>
      </c>
      <c r="C821" s="116">
        <v>288.3</v>
      </c>
      <c r="D821" s="116">
        <v>288</v>
      </c>
      <c r="E821" s="116">
        <v>290.95</v>
      </c>
      <c r="F821" s="116">
        <v>288.3</v>
      </c>
      <c r="G821">
        <v>15447</v>
      </c>
      <c r="H821" s="116"/>
      <c r="I821" s="116"/>
      <c r="L821" s="170">
        <v>44900</v>
      </c>
      <c r="M821" s="116">
        <v>288.3</v>
      </c>
      <c r="N821" s="116">
        <v>292.05</v>
      </c>
      <c r="O821" s="116">
        <v>287.8</v>
      </c>
      <c r="P821" s="116">
        <v>289.35000000000002</v>
      </c>
      <c r="Q821" s="116">
        <v>288.3</v>
      </c>
      <c r="R821">
        <v>99059</v>
      </c>
    </row>
    <row r="822" spans="1:18" x14ac:dyDescent="0.25">
      <c r="A822" s="170">
        <v>44901</v>
      </c>
      <c r="B822" s="116">
        <v>291.64999999999998</v>
      </c>
      <c r="C822" s="116">
        <v>287.39999999999998</v>
      </c>
      <c r="D822" s="116">
        <v>285.55</v>
      </c>
      <c r="E822" s="116">
        <v>288.05</v>
      </c>
      <c r="F822" s="116">
        <v>287.39999999999998</v>
      </c>
      <c r="G822">
        <v>17782</v>
      </c>
      <c r="H822" s="116"/>
      <c r="I822" s="116"/>
      <c r="L822" s="170">
        <v>44901</v>
      </c>
      <c r="M822" s="116">
        <v>286.85000000000002</v>
      </c>
      <c r="N822" s="116">
        <v>292</v>
      </c>
      <c r="O822" s="116">
        <v>285.60000000000002</v>
      </c>
      <c r="P822" s="116">
        <v>288</v>
      </c>
      <c r="Q822" s="116">
        <v>286.85000000000002</v>
      </c>
      <c r="R822">
        <v>102579</v>
      </c>
    </row>
    <row r="823" spans="1:18" x14ac:dyDescent="0.25">
      <c r="A823" s="170">
        <v>44902</v>
      </c>
      <c r="B823" s="116">
        <v>299.55</v>
      </c>
      <c r="C823" s="116">
        <v>294.85000000000002</v>
      </c>
      <c r="D823" s="116">
        <v>289.2</v>
      </c>
      <c r="E823" s="116">
        <v>289.2</v>
      </c>
      <c r="F823" s="116">
        <v>294.85000000000002</v>
      </c>
      <c r="G823">
        <v>65866</v>
      </c>
      <c r="H823" s="116"/>
      <c r="I823" s="116"/>
      <c r="L823" s="170">
        <v>44902</v>
      </c>
      <c r="M823" s="116">
        <v>294.8</v>
      </c>
      <c r="N823" s="116">
        <v>299.89999999999998</v>
      </c>
      <c r="O823" s="116">
        <v>288.75</v>
      </c>
      <c r="P823" s="116">
        <v>288.8</v>
      </c>
      <c r="Q823" s="116">
        <v>294.8</v>
      </c>
      <c r="R823">
        <v>489421</v>
      </c>
    </row>
    <row r="824" spans="1:18" x14ac:dyDescent="0.25">
      <c r="A824" s="170">
        <v>44903</v>
      </c>
      <c r="B824" s="116">
        <v>306.3</v>
      </c>
      <c r="C824" s="116">
        <v>297.95</v>
      </c>
      <c r="D824" s="116">
        <v>293.64999999999998</v>
      </c>
      <c r="E824" s="116">
        <v>299.75</v>
      </c>
      <c r="F824" s="116">
        <v>297.95</v>
      </c>
      <c r="G824">
        <v>56721</v>
      </c>
      <c r="H824" s="116"/>
      <c r="I824" s="116"/>
      <c r="L824" s="170">
        <v>44903</v>
      </c>
      <c r="M824" s="116">
        <v>298.05</v>
      </c>
      <c r="N824" s="116">
        <v>306.89999999999998</v>
      </c>
      <c r="O824" s="116">
        <v>293.55</v>
      </c>
      <c r="P824" s="116">
        <v>295.8</v>
      </c>
      <c r="Q824" s="116">
        <v>298.05</v>
      </c>
      <c r="R824">
        <v>359402</v>
      </c>
    </row>
    <row r="825" spans="1:18" x14ac:dyDescent="0.25">
      <c r="A825" s="170">
        <v>44904</v>
      </c>
      <c r="B825" s="116">
        <v>304.85000000000002</v>
      </c>
      <c r="C825" s="116">
        <v>288.25</v>
      </c>
      <c r="D825" s="116">
        <v>285</v>
      </c>
      <c r="E825" s="116">
        <v>301.85000000000002</v>
      </c>
      <c r="F825" s="116">
        <v>288.25</v>
      </c>
      <c r="G825">
        <v>14485</v>
      </c>
      <c r="H825" s="116"/>
      <c r="I825" s="116"/>
      <c r="L825" s="170">
        <v>44904</v>
      </c>
      <c r="M825" s="116">
        <v>288.14999999999998</v>
      </c>
      <c r="N825" s="116">
        <v>305.2</v>
      </c>
      <c r="O825" s="116">
        <v>285</v>
      </c>
      <c r="P825" s="116">
        <v>299.7</v>
      </c>
      <c r="Q825" s="116">
        <v>288.14999999999998</v>
      </c>
      <c r="R825">
        <v>349160</v>
      </c>
    </row>
    <row r="826" spans="1:18" x14ac:dyDescent="0.25">
      <c r="A826" s="170">
        <v>44907</v>
      </c>
      <c r="B826" s="116">
        <v>294.7</v>
      </c>
      <c r="C826" s="116">
        <v>288.75</v>
      </c>
      <c r="D826" s="116">
        <v>286.60000000000002</v>
      </c>
      <c r="E826" s="116">
        <v>291.85000000000002</v>
      </c>
      <c r="F826" s="116">
        <v>288.75</v>
      </c>
      <c r="G826">
        <v>20374</v>
      </c>
      <c r="H826" s="116"/>
      <c r="I826" s="116"/>
      <c r="L826" s="170">
        <v>44907</v>
      </c>
      <c r="M826" s="116">
        <v>289.10000000000002</v>
      </c>
      <c r="N826" s="116">
        <v>294.7</v>
      </c>
      <c r="O826" s="116">
        <v>286.60000000000002</v>
      </c>
      <c r="P826" s="116">
        <v>287.2</v>
      </c>
      <c r="Q826" s="116">
        <v>289.10000000000002</v>
      </c>
      <c r="R826">
        <v>178123</v>
      </c>
    </row>
    <row r="827" spans="1:18" x14ac:dyDescent="0.25">
      <c r="A827" s="170">
        <v>44908</v>
      </c>
      <c r="B827" s="116">
        <v>307.39999999999998</v>
      </c>
      <c r="C827" s="116">
        <v>294.64999999999998</v>
      </c>
      <c r="D827" s="116">
        <v>289.10000000000002</v>
      </c>
      <c r="E827" s="116">
        <v>289.10000000000002</v>
      </c>
      <c r="F827" s="116">
        <v>294.64999999999998</v>
      </c>
      <c r="G827">
        <v>38542</v>
      </c>
      <c r="H827" s="116"/>
      <c r="I827" s="116"/>
      <c r="L827" s="170">
        <v>44908</v>
      </c>
      <c r="M827" s="116">
        <v>294.55</v>
      </c>
      <c r="N827" s="116">
        <v>307.85000000000002</v>
      </c>
      <c r="O827" s="116">
        <v>293</v>
      </c>
      <c r="P827" s="116">
        <v>296</v>
      </c>
      <c r="Q827" s="116">
        <v>294.55</v>
      </c>
      <c r="R827">
        <v>942173</v>
      </c>
    </row>
    <row r="828" spans="1:18" x14ac:dyDescent="0.25">
      <c r="A828" s="170">
        <v>44909</v>
      </c>
      <c r="B828" s="116">
        <v>302.7</v>
      </c>
      <c r="C828" s="116">
        <v>298.85000000000002</v>
      </c>
      <c r="D828" s="116">
        <v>296.2</v>
      </c>
      <c r="E828" s="116">
        <v>300.95</v>
      </c>
      <c r="F828" s="116">
        <v>298.85000000000002</v>
      </c>
      <c r="G828">
        <v>28232</v>
      </c>
      <c r="H828" s="116"/>
      <c r="I828" s="116"/>
      <c r="L828" s="170">
        <v>44909</v>
      </c>
      <c r="M828" s="116">
        <v>298.89999999999998</v>
      </c>
      <c r="N828" s="116">
        <v>303.5</v>
      </c>
      <c r="O828" s="116">
        <v>295.35000000000002</v>
      </c>
      <c r="P828" s="116">
        <v>296.5</v>
      </c>
      <c r="Q828" s="116">
        <v>298.89999999999998</v>
      </c>
      <c r="R828">
        <v>372232</v>
      </c>
    </row>
    <row r="829" spans="1:18" x14ac:dyDescent="0.25">
      <c r="A829" s="170">
        <v>44910</v>
      </c>
      <c r="B829" s="116">
        <v>302.3</v>
      </c>
      <c r="C829" s="116">
        <v>296.5</v>
      </c>
      <c r="D829" s="116">
        <v>296</v>
      </c>
      <c r="E829" s="116">
        <v>298.85000000000002</v>
      </c>
      <c r="F829" s="116">
        <v>296.5</v>
      </c>
      <c r="G829">
        <v>14524</v>
      </c>
      <c r="H829" s="116"/>
      <c r="I829" s="116"/>
      <c r="L829" s="170">
        <v>44910</v>
      </c>
      <c r="M829" s="116">
        <v>296.60000000000002</v>
      </c>
      <c r="N829" s="116">
        <v>302.5</v>
      </c>
      <c r="O829" s="116">
        <v>296</v>
      </c>
      <c r="P829" s="116">
        <v>299.5</v>
      </c>
      <c r="Q829" s="116">
        <v>296.60000000000002</v>
      </c>
      <c r="R829">
        <v>210078</v>
      </c>
    </row>
    <row r="830" spans="1:18" x14ac:dyDescent="0.25">
      <c r="A830" s="170">
        <v>44911</v>
      </c>
      <c r="B830" s="116">
        <v>297.05</v>
      </c>
      <c r="C830" s="116">
        <v>288.8</v>
      </c>
      <c r="D830" s="116">
        <v>287.89999999999998</v>
      </c>
      <c r="E830" s="116">
        <v>293.05</v>
      </c>
      <c r="F830" s="116">
        <v>288.8</v>
      </c>
      <c r="G830">
        <v>8249</v>
      </c>
      <c r="H830" s="116"/>
      <c r="I830" s="116"/>
      <c r="L830" s="170">
        <v>44911</v>
      </c>
      <c r="M830" s="116">
        <v>288.75</v>
      </c>
      <c r="N830" s="116">
        <v>297.55</v>
      </c>
      <c r="O830" s="116">
        <v>287.55</v>
      </c>
      <c r="P830" s="116">
        <v>296.25</v>
      </c>
      <c r="Q830" s="116">
        <v>288.75</v>
      </c>
      <c r="R830">
        <v>285793</v>
      </c>
    </row>
    <row r="831" spans="1:18" x14ac:dyDescent="0.25">
      <c r="A831" s="170">
        <v>44914</v>
      </c>
      <c r="B831" s="116">
        <v>290</v>
      </c>
      <c r="C831" s="116">
        <v>283.39999999999998</v>
      </c>
      <c r="D831" s="116">
        <v>282.39999999999998</v>
      </c>
      <c r="E831" s="116">
        <v>288.8</v>
      </c>
      <c r="F831" s="116">
        <v>283.39999999999998</v>
      </c>
      <c r="G831">
        <v>26397</v>
      </c>
      <c r="H831" s="116"/>
      <c r="I831" s="116"/>
      <c r="L831" s="170">
        <v>44914</v>
      </c>
      <c r="M831" s="116">
        <v>283.5</v>
      </c>
      <c r="N831" s="116">
        <v>290.3</v>
      </c>
      <c r="O831" s="116">
        <v>282.5</v>
      </c>
      <c r="P831" s="116">
        <v>286.25</v>
      </c>
      <c r="Q831" s="116">
        <v>283.5</v>
      </c>
      <c r="R831">
        <v>222759</v>
      </c>
    </row>
    <row r="832" spans="1:18" x14ac:dyDescent="0.25">
      <c r="A832" s="170">
        <v>44915</v>
      </c>
      <c r="B832" s="116">
        <v>279.60000000000002</v>
      </c>
      <c r="C832" s="116">
        <v>273.60000000000002</v>
      </c>
      <c r="D832" s="116">
        <v>272.55</v>
      </c>
      <c r="E832" s="116">
        <v>276</v>
      </c>
      <c r="F832" s="116">
        <v>273.60000000000002</v>
      </c>
      <c r="G832">
        <v>59271</v>
      </c>
      <c r="H832" s="116"/>
      <c r="I832" s="116"/>
      <c r="L832" s="170">
        <v>44915</v>
      </c>
      <c r="M832" s="116">
        <v>273.39999999999998</v>
      </c>
      <c r="N832" s="116">
        <v>279.8</v>
      </c>
      <c r="O832" s="116">
        <v>272.5</v>
      </c>
      <c r="P832" s="116">
        <v>276</v>
      </c>
      <c r="Q832" s="116">
        <v>273.39999999999998</v>
      </c>
      <c r="R832">
        <v>1310087</v>
      </c>
    </row>
    <row r="833" spans="1:18" x14ac:dyDescent="0.25">
      <c r="A833" s="170">
        <v>44916</v>
      </c>
      <c r="B833" s="116">
        <v>273.45</v>
      </c>
      <c r="C833" s="116">
        <v>266.75</v>
      </c>
      <c r="D833" s="116">
        <v>262.64999999999998</v>
      </c>
      <c r="E833" s="116">
        <v>273.45</v>
      </c>
      <c r="F833" s="116">
        <v>266.75</v>
      </c>
      <c r="G833">
        <v>76104</v>
      </c>
      <c r="H833" s="116"/>
      <c r="I833" s="116"/>
      <c r="L833" s="170">
        <v>44916</v>
      </c>
      <c r="M833" s="116">
        <v>267.35000000000002</v>
      </c>
      <c r="N833" s="116">
        <v>272.89999999999998</v>
      </c>
      <c r="O833" s="116">
        <v>263</v>
      </c>
      <c r="P833" s="116">
        <v>272.45</v>
      </c>
      <c r="Q833" s="116">
        <v>267.35000000000002</v>
      </c>
      <c r="R833">
        <v>773410</v>
      </c>
    </row>
    <row r="834" spans="1:18" x14ac:dyDescent="0.25">
      <c r="A834" s="170">
        <v>44917</v>
      </c>
      <c r="B834" s="116">
        <v>269.25</v>
      </c>
      <c r="C834" s="116">
        <v>265.05</v>
      </c>
      <c r="D834" s="116">
        <v>256.39999999999998</v>
      </c>
      <c r="E834" s="116">
        <v>265.25</v>
      </c>
      <c r="F834" s="116">
        <v>265.05</v>
      </c>
      <c r="G834">
        <v>25436</v>
      </c>
      <c r="H834" s="116"/>
      <c r="I834" s="116"/>
      <c r="L834" s="170">
        <v>44917</v>
      </c>
      <c r="M834" s="116">
        <v>263.85000000000002</v>
      </c>
      <c r="N834" s="116">
        <v>270.5</v>
      </c>
      <c r="O834" s="116">
        <v>256.25</v>
      </c>
      <c r="P834" s="116">
        <v>270.5</v>
      </c>
      <c r="Q834" s="116">
        <v>263.85000000000002</v>
      </c>
      <c r="R834">
        <v>357039</v>
      </c>
    </row>
    <row r="835" spans="1:18" x14ac:dyDescent="0.25">
      <c r="A835" s="170">
        <v>44918</v>
      </c>
      <c r="B835" s="116">
        <v>268.5</v>
      </c>
      <c r="C835" s="116">
        <v>259.05</v>
      </c>
      <c r="D835" s="116">
        <v>258</v>
      </c>
      <c r="E835" s="116">
        <v>263.05</v>
      </c>
      <c r="F835" s="116">
        <v>259.05</v>
      </c>
      <c r="G835">
        <v>54848</v>
      </c>
      <c r="H835" s="116"/>
      <c r="I835" s="116"/>
      <c r="L835" s="170">
        <v>44918</v>
      </c>
      <c r="M835" s="116">
        <v>259.14999999999998</v>
      </c>
      <c r="N835" s="116">
        <v>268.55</v>
      </c>
      <c r="O835" s="116">
        <v>258.10000000000002</v>
      </c>
      <c r="P835" s="116">
        <v>265</v>
      </c>
      <c r="Q835" s="116">
        <v>259.14999999999998</v>
      </c>
      <c r="R835">
        <v>381981</v>
      </c>
    </row>
    <row r="836" spans="1:18" x14ac:dyDescent="0.25">
      <c r="A836" s="170">
        <v>44921</v>
      </c>
      <c r="B836" s="116">
        <v>266.45</v>
      </c>
      <c r="C836" s="116">
        <v>263.5</v>
      </c>
      <c r="D836" s="116">
        <v>255.25</v>
      </c>
      <c r="E836" s="116">
        <v>255.25</v>
      </c>
      <c r="F836" s="116">
        <v>263.5</v>
      </c>
      <c r="G836">
        <v>27429</v>
      </c>
      <c r="H836" s="116"/>
      <c r="I836" s="116"/>
      <c r="L836" s="170">
        <v>44921</v>
      </c>
      <c r="M836" s="116">
        <v>263.14999999999998</v>
      </c>
      <c r="N836" s="116">
        <v>266.5</v>
      </c>
      <c r="O836" s="116">
        <v>259.05</v>
      </c>
      <c r="P836" s="116">
        <v>261.45</v>
      </c>
      <c r="Q836" s="116">
        <v>263.14999999999998</v>
      </c>
      <c r="R836">
        <v>284094</v>
      </c>
    </row>
    <row r="837" spans="1:18" x14ac:dyDescent="0.25">
      <c r="A837" s="170">
        <v>44922</v>
      </c>
      <c r="B837" s="116">
        <v>272.45</v>
      </c>
      <c r="C837" s="116">
        <v>270.10000000000002</v>
      </c>
      <c r="D837" s="116">
        <v>264</v>
      </c>
      <c r="E837" s="116">
        <v>272.45</v>
      </c>
      <c r="F837" s="116">
        <v>270.10000000000002</v>
      </c>
      <c r="G837">
        <v>32953</v>
      </c>
      <c r="H837" s="116"/>
      <c r="I837" s="116"/>
      <c r="L837" s="170">
        <v>44922</v>
      </c>
      <c r="M837" s="116">
        <v>270.10000000000002</v>
      </c>
      <c r="N837" s="116">
        <v>271.35000000000002</v>
      </c>
      <c r="O837" s="116">
        <v>263.8</v>
      </c>
      <c r="P837" s="116">
        <v>264.8</v>
      </c>
      <c r="Q837" s="116">
        <v>270.10000000000002</v>
      </c>
      <c r="R837">
        <v>389685</v>
      </c>
    </row>
    <row r="838" spans="1:18" x14ac:dyDescent="0.25">
      <c r="A838" s="170">
        <v>44923</v>
      </c>
      <c r="B838" s="116">
        <v>270.95</v>
      </c>
      <c r="C838" s="116">
        <v>267.35000000000002</v>
      </c>
      <c r="D838" s="116">
        <v>266.85000000000002</v>
      </c>
      <c r="E838" s="116">
        <v>270.95</v>
      </c>
      <c r="F838" s="116">
        <v>267.35000000000002</v>
      </c>
      <c r="G838">
        <v>17798</v>
      </c>
      <c r="H838" s="116"/>
      <c r="I838" s="116"/>
      <c r="L838" s="170">
        <v>44923</v>
      </c>
      <c r="M838" s="116">
        <v>267.64999999999998</v>
      </c>
      <c r="N838" s="116">
        <v>270.5</v>
      </c>
      <c r="O838" s="116">
        <v>267.2</v>
      </c>
      <c r="P838" s="116">
        <v>270</v>
      </c>
      <c r="Q838" s="116">
        <v>267.64999999999998</v>
      </c>
      <c r="R838">
        <v>137311</v>
      </c>
    </row>
    <row r="839" spans="1:18" x14ac:dyDescent="0.25">
      <c r="A839" s="170">
        <v>44924</v>
      </c>
      <c r="B839" s="116">
        <v>268.10000000000002</v>
      </c>
      <c r="C839" s="116">
        <v>266.35000000000002</v>
      </c>
      <c r="D839" s="116">
        <v>262.5</v>
      </c>
      <c r="E839" s="116">
        <v>266.05</v>
      </c>
      <c r="F839" s="116">
        <v>266.35000000000002</v>
      </c>
      <c r="G839">
        <v>31336</v>
      </c>
      <c r="H839" s="116"/>
      <c r="I839" s="116"/>
      <c r="L839" s="170">
        <v>44924</v>
      </c>
      <c r="M839" s="116">
        <v>266.7</v>
      </c>
      <c r="N839" s="116">
        <v>268.95</v>
      </c>
      <c r="O839" s="116">
        <v>263.89999999999998</v>
      </c>
      <c r="P839" s="116">
        <v>268.89999999999998</v>
      </c>
      <c r="Q839" s="116">
        <v>266.7</v>
      </c>
      <c r="R839">
        <v>121122</v>
      </c>
    </row>
    <row r="840" spans="1:18" x14ac:dyDescent="0.25">
      <c r="A840" s="170">
        <v>44925</v>
      </c>
      <c r="B840" s="116">
        <v>274.60000000000002</v>
      </c>
      <c r="C840" s="116">
        <v>267.55</v>
      </c>
      <c r="D840" s="116">
        <v>266.60000000000002</v>
      </c>
      <c r="E840" s="116">
        <v>274.60000000000002</v>
      </c>
      <c r="F840" s="116">
        <v>267.55</v>
      </c>
      <c r="G840">
        <v>17857</v>
      </c>
      <c r="H840" s="116"/>
      <c r="I840" s="116"/>
      <c r="L840" s="170">
        <v>44925</v>
      </c>
      <c r="M840" s="116">
        <v>267.25</v>
      </c>
      <c r="N840" s="116">
        <v>270.39999999999998</v>
      </c>
      <c r="O840" s="116">
        <v>266.5</v>
      </c>
      <c r="P840" s="116">
        <v>267.95</v>
      </c>
      <c r="Q840" s="116">
        <v>267.25</v>
      </c>
      <c r="R840">
        <v>145433</v>
      </c>
    </row>
    <row r="841" spans="1:18" x14ac:dyDescent="0.25">
      <c r="A841" s="170">
        <v>44928</v>
      </c>
      <c r="B841" s="116">
        <v>271.45</v>
      </c>
      <c r="C841" s="116">
        <v>269.95</v>
      </c>
      <c r="D841" s="116">
        <v>266.25</v>
      </c>
      <c r="E841" s="116">
        <v>269.85000000000002</v>
      </c>
      <c r="F841" s="116">
        <v>269.95</v>
      </c>
      <c r="G841">
        <v>14144</v>
      </c>
      <c r="H841" s="116"/>
      <c r="I841" s="116"/>
      <c r="L841" s="170">
        <v>44928</v>
      </c>
      <c r="M841" s="116">
        <v>270.14999999999998</v>
      </c>
      <c r="N841" s="116">
        <v>271.45</v>
      </c>
      <c r="O841" s="116">
        <v>266.3</v>
      </c>
      <c r="P841" s="116">
        <v>267.35000000000002</v>
      </c>
      <c r="Q841" s="116">
        <v>270.14999999999998</v>
      </c>
      <c r="R841">
        <v>205965</v>
      </c>
    </row>
    <row r="842" spans="1:18" x14ac:dyDescent="0.25">
      <c r="A842" s="170">
        <v>44929</v>
      </c>
      <c r="B842" s="116">
        <v>271.8</v>
      </c>
      <c r="C842" s="116">
        <v>270.25</v>
      </c>
      <c r="D842" s="116">
        <v>269</v>
      </c>
      <c r="E842" s="116">
        <v>271.8</v>
      </c>
      <c r="F842" s="116">
        <v>270.25</v>
      </c>
      <c r="G842">
        <v>7301</v>
      </c>
      <c r="H842" s="116"/>
      <c r="I842" s="116"/>
      <c r="L842" s="170">
        <v>44929</v>
      </c>
      <c r="M842" s="116">
        <v>270.35000000000002</v>
      </c>
      <c r="N842" s="116">
        <v>270.60000000000002</v>
      </c>
      <c r="O842" s="116">
        <v>268.7</v>
      </c>
      <c r="P842" s="116">
        <v>270.39999999999998</v>
      </c>
      <c r="Q842" s="116">
        <v>270.35000000000002</v>
      </c>
      <c r="R842">
        <v>138008</v>
      </c>
    </row>
    <row r="843" spans="1:18" x14ac:dyDescent="0.25">
      <c r="A843" s="170">
        <v>44930</v>
      </c>
      <c r="B843" s="116">
        <v>278.95</v>
      </c>
      <c r="C843" s="116">
        <v>274.05</v>
      </c>
      <c r="D843" s="116">
        <v>267.60000000000002</v>
      </c>
      <c r="E843" s="116">
        <v>271</v>
      </c>
      <c r="F843" s="116">
        <v>274.05</v>
      </c>
      <c r="G843">
        <v>26998</v>
      </c>
      <c r="H843" s="116"/>
      <c r="I843" s="116"/>
      <c r="L843" s="170">
        <v>44930</v>
      </c>
      <c r="M843" s="116">
        <v>274.35000000000002</v>
      </c>
      <c r="N843" s="116">
        <v>278.89999999999998</v>
      </c>
      <c r="O843" s="116">
        <v>267.55</v>
      </c>
      <c r="P843" s="116">
        <v>270.35000000000002</v>
      </c>
      <c r="Q843" s="116">
        <v>274.35000000000002</v>
      </c>
      <c r="R843">
        <v>483021</v>
      </c>
    </row>
    <row r="844" spans="1:18" x14ac:dyDescent="0.25">
      <c r="A844" s="170">
        <v>44931</v>
      </c>
      <c r="B844" s="116">
        <v>277.8</v>
      </c>
      <c r="C844" s="116">
        <v>273.8</v>
      </c>
      <c r="D844" s="116">
        <v>271.39999999999998</v>
      </c>
      <c r="E844" s="116">
        <v>277.8</v>
      </c>
      <c r="F844" s="116">
        <v>273.8</v>
      </c>
      <c r="G844">
        <v>9475</v>
      </c>
      <c r="H844" s="116"/>
      <c r="I844" s="116"/>
      <c r="L844" s="170">
        <v>44931</v>
      </c>
      <c r="M844" s="116">
        <v>273.8</v>
      </c>
      <c r="N844" s="116">
        <v>278.10000000000002</v>
      </c>
      <c r="O844" s="116">
        <v>271.75</v>
      </c>
      <c r="P844" s="116">
        <v>278.10000000000002</v>
      </c>
      <c r="Q844" s="116">
        <v>273.8</v>
      </c>
      <c r="R844">
        <v>341146</v>
      </c>
    </row>
    <row r="845" spans="1:18" x14ac:dyDescent="0.25">
      <c r="A845" s="170">
        <v>44932</v>
      </c>
      <c r="B845" s="116">
        <v>274.8</v>
      </c>
      <c r="C845" s="116">
        <v>268.85000000000002</v>
      </c>
      <c r="D845" s="116">
        <v>267</v>
      </c>
      <c r="E845" s="116">
        <v>274.3</v>
      </c>
      <c r="F845" s="116">
        <v>268.85000000000002</v>
      </c>
      <c r="G845">
        <v>17001</v>
      </c>
      <c r="H845" s="116"/>
      <c r="I845" s="116"/>
      <c r="L845" s="170">
        <v>44932</v>
      </c>
      <c r="M845" s="116">
        <v>267.05</v>
      </c>
      <c r="N845" s="116">
        <v>275</v>
      </c>
      <c r="O845" s="116">
        <v>260.2</v>
      </c>
      <c r="P845" s="116">
        <v>274.7</v>
      </c>
      <c r="Q845" s="116">
        <v>267.05</v>
      </c>
      <c r="R845">
        <v>237230</v>
      </c>
    </row>
    <row r="846" spans="1:18" x14ac:dyDescent="0.25">
      <c r="A846" s="170">
        <v>44935</v>
      </c>
      <c r="B846" s="116">
        <v>273</v>
      </c>
      <c r="C846" s="116">
        <v>269.64999999999998</v>
      </c>
      <c r="D846" s="116">
        <v>268.2</v>
      </c>
      <c r="E846" s="116">
        <v>268.85000000000002</v>
      </c>
      <c r="F846" s="116">
        <v>269.64999999999998</v>
      </c>
      <c r="G846">
        <v>26396</v>
      </c>
      <c r="H846" s="116"/>
      <c r="I846" s="116"/>
      <c r="L846" s="170">
        <v>44935</v>
      </c>
      <c r="M846" s="116">
        <v>269.7</v>
      </c>
      <c r="N846" s="116">
        <v>272.8</v>
      </c>
      <c r="O846" s="116">
        <v>268.25</v>
      </c>
      <c r="P846" s="116">
        <v>268.8</v>
      </c>
      <c r="Q846" s="116">
        <v>269.7</v>
      </c>
      <c r="R846">
        <v>215829</v>
      </c>
    </row>
    <row r="847" spans="1:18" x14ac:dyDescent="0.25">
      <c r="A847" s="170">
        <v>44936</v>
      </c>
      <c r="B847" s="116">
        <v>270.85000000000002</v>
      </c>
      <c r="C847" s="116">
        <v>268.45</v>
      </c>
      <c r="D847" s="116">
        <v>266</v>
      </c>
      <c r="E847" s="116">
        <v>268.05</v>
      </c>
      <c r="F847" s="116">
        <v>268.45</v>
      </c>
      <c r="G847">
        <v>3188</v>
      </c>
      <c r="H847" s="116"/>
      <c r="I847" s="116"/>
      <c r="L847" s="170">
        <v>44936</v>
      </c>
      <c r="M847" s="116">
        <v>268.05</v>
      </c>
      <c r="N847" s="116">
        <v>271</v>
      </c>
      <c r="O847" s="116">
        <v>266</v>
      </c>
      <c r="P847" s="116">
        <v>270</v>
      </c>
      <c r="Q847" s="116">
        <v>268.05</v>
      </c>
      <c r="R847">
        <v>60335</v>
      </c>
    </row>
    <row r="848" spans="1:18" x14ac:dyDescent="0.25">
      <c r="A848" s="170">
        <v>44937</v>
      </c>
      <c r="B848" s="116">
        <v>271.25</v>
      </c>
      <c r="C848" s="116">
        <v>268.85000000000002</v>
      </c>
      <c r="D848" s="116">
        <v>268.10000000000002</v>
      </c>
      <c r="E848" s="116">
        <v>271.25</v>
      </c>
      <c r="F848" s="116">
        <v>268.85000000000002</v>
      </c>
      <c r="G848">
        <v>12548</v>
      </c>
      <c r="H848" s="116"/>
      <c r="I848" s="116"/>
      <c r="L848" s="170">
        <v>44937</v>
      </c>
      <c r="M848" s="116">
        <v>268.85000000000002</v>
      </c>
      <c r="N848" s="116">
        <v>270.3</v>
      </c>
      <c r="O848" s="116">
        <v>268.05</v>
      </c>
      <c r="P848" s="116">
        <v>269.95</v>
      </c>
      <c r="Q848" s="116">
        <v>268.85000000000002</v>
      </c>
      <c r="R848">
        <v>190531</v>
      </c>
    </row>
    <row r="849" spans="1:18" x14ac:dyDescent="0.25">
      <c r="A849" s="170">
        <v>44938</v>
      </c>
      <c r="B849" s="116">
        <v>271.39999999999998</v>
      </c>
      <c r="C849" s="116">
        <v>270.45</v>
      </c>
      <c r="D849" s="116">
        <v>268.5</v>
      </c>
      <c r="E849" s="116">
        <v>269</v>
      </c>
      <c r="F849" s="116">
        <v>270.45</v>
      </c>
      <c r="G849">
        <v>9430</v>
      </c>
      <c r="H849" s="116"/>
      <c r="I849" s="116"/>
      <c r="L849" s="170">
        <v>44938</v>
      </c>
      <c r="M849" s="116">
        <v>270.10000000000002</v>
      </c>
      <c r="N849" s="116">
        <v>271.85000000000002</v>
      </c>
      <c r="O849" s="116">
        <v>268.5</v>
      </c>
      <c r="P849" s="116">
        <v>268.85000000000002</v>
      </c>
      <c r="Q849" s="116">
        <v>270.10000000000002</v>
      </c>
      <c r="R849">
        <v>118132</v>
      </c>
    </row>
    <row r="850" spans="1:18" x14ac:dyDescent="0.25">
      <c r="A850" s="170">
        <v>44939</v>
      </c>
      <c r="B850" s="116">
        <v>271</v>
      </c>
      <c r="C850" s="116">
        <v>269.14999999999998</v>
      </c>
      <c r="D850" s="116">
        <v>268.5</v>
      </c>
      <c r="E850" s="116">
        <v>270.7</v>
      </c>
      <c r="F850" s="116">
        <v>269.14999999999998</v>
      </c>
      <c r="G850">
        <v>11123</v>
      </c>
      <c r="H850" s="116"/>
      <c r="I850" s="116"/>
      <c r="L850" s="170">
        <v>44939</v>
      </c>
      <c r="M850" s="116">
        <v>269.3</v>
      </c>
      <c r="N850" s="116">
        <v>272.75</v>
      </c>
      <c r="O850" s="116">
        <v>268.5</v>
      </c>
      <c r="P850" s="116">
        <v>272.75</v>
      </c>
      <c r="Q850" s="116">
        <v>269.3</v>
      </c>
      <c r="R850">
        <v>137765</v>
      </c>
    </row>
    <row r="851" spans="1:18" x14ac:dyDescent="0.25">
      <c r="A851" s="170">
        <v>44942</v>
      </c>
      <c r="B851" s="116">
        <v>271</v>
      </c>
      <c r="C851" s="116">
        <v>265.85000000000002</v>
      </c>
      <c r="D851" s="116">
        <v>263.55</v>
      </c>
      <c r="E851" s="116">
        <v>268.05</v>
      </c>
      <c r="F851" s="116">
        <v>265.85000000000002</v>
      </c>
      <c r="G851">
        <v>5664</v>
      </c>
      <c r="H851" s="116"/>
      <c r="I851" s="116"/>
      <c r="L851" s="170">
        <v>44942</v>
      </c>
      <c r="M851" s="116">
        <v>265.60000000000002</v>
      </c>
      <c r="N851" s="116">
        <v>271</v>
      </c>
      <c r="O851" s="116">
        <v>263.60000000000002</v>
      </c>
      <c r="P851" s="116">
        <v>269.3</v>
      </c>
      <c r="Q851" s="116">
        <v>265.60000000000002</v>
      </c>
      <c r="R851">
        <v>158608</v>
      </c>
    </row>
    <row r="852" spans="1:18" x14ac:dyDescent="0.25">
      <c r="A852" s="170">
        <v>44943</v>
      </c>
      <c r="B852" s="116">
        <v>267.55</v>
      </c>
      <c r="C852" s="116">
        <v>262.60000000000002</v>
      </c>
      <c r="D852" s="116">
        <v>262</v>
      </c>
      <c r="E852" s="116">
        <v>266.5</v>
      </c>
      <c r="F852" s="116">
        <v>262.60000000000002</v>
      </c>
      <c r="G852">
        <v>13225</v>
      </c>
      <c r="H852" s="116"/>
      <c r="I852" s="116"/>
      <c r="L852" s="170">
        <v>44943</v>
      </c>
      <c r="M852" s="116">
        <v>262.5</v>
      </c>
      <c r="N852" s="116">
        <v>268.05</v>
      </c>
      <c r="O852" s="116">
        <v>262</v>
      </c>
      <c r="P852" s="116">
        <v>266</v>
      </c>
      <c r="Q852" s="116">
        <v>262.5</v>
      </c>
      <c r="R852">
        <v>121072</v>
      </c>
    </row>
    <row r="853" spans="1:18" x14ac:dyDescent="0.25">
      <c r="A853" s="170">
        <v>44944</v>
      </c>
      <c r="B853" s="116">
        <v>264.55</v>
      </c>
      <c r="C853" s="116">
        <v>262.8</v>
      </c>
      <c r="D853" s="116">
        <v>262</v>
      </c>
      <c r="E853" s="116">
        <v>262.05</v>
      </c>
      <c r="F853" s="116">
        <v>262.8</v>
      </c>
      <c r="G853">
        <v>10775</v>
      </c>
      <c r="H853" s="116"/>
      <c r="I853" s="116"/>
      <c r="L853" s="170">
        <v>44944</v>
      </c>
      <c r="M853" s="116">
        <v>262.7</v>
      </c>
      <c r="N853" s="116">
        <v>264.39999999999998</v>
      </c>
      <c r="O853" s="116">
        <v>262.2</v>
      </c>
      <c r="P853" s="116">
        <v>263.35000000000002</v>
      </c>
      <c r="Q853" s="116">
        <v>262.7</v>
      </c>
      <c r="R853">
        <v>80219</v>
      </c>
    </row>
    <row r="854" spans="1:18" x14ac:dyDescent="0.25">
      <c r="A854" s="170">
        <v>44945</v>
      </c>
      <c r="B854" s="116">
        <v>267.25</v>
      </c>
      <c r="C854" s="116">
        <v>263.60000000000002</v>
      </c>
      <c r="D854" s="116">
        <v>262.8</v>
      </c>
      <c r="E854" s="116">
        <v>265.3</v>
      </c>
      <c r="F854" s="116">
        <v>263.60000000000002</v>
      </c>
      <c r="G854">
        <v>23798</v>
      </c>
      <c r="H854" s="116"/>
      <c r="I854" s="116"/>
      <c r="L854" s="170">
        <v>44945</v>
      </c>
      <c r="M854" s="116">
        <v>263.8</v>
      </c>
      <c r="N854" s="116">
        <v>267.5</v>
      </c>
      <c r="O854" s="116">
        <v>262.25</v>
      </c>
      <c r="P854" s="116">
        <v>262.25</v>
      </c>
      <c r="Q854" s="116">
        <v>263.8</v>
      </c>
      <c r="R854">
        <v>106745</v>
      </c>
    </row>
    <row r="855" spans="1:18" x14ac:dyDescent="0.25">
      <c r="A855" s="170">
        <v>44946</v>
      </c>
      <c r="B855" s="116">
        <v>277.55</v>
      </c>
      <c r="C855" s="116">
        <v>272.64999999999998</v>
      </c>
      <c r="D855" s="116">
        <v>263</v>
      </c>
      <c r="E855" s="116">
        <v>263</v>
      </c>
      <c r="F855" s="116">
        <v>272.64999999999998</v>
      </c>
      <c r="G855">
        <v>38909</v>
      </c>
      <c r="H855" s="116"/>
      <c r="I855" s="116"/>
      <c r="L855" s="170">
        <v>44946</v>
      </c>
      <c r="M855" s="116">
        <v>272.60000000000002</v>
      </c>
      <c r="N855" s="116">
        <v>277.89999999999998</v>
      </c>
      <c r="O855" s="116">
        <v>263</v>
      </c>
      <c r="P855" s="116">
        <v>263</v>
      </c>
      <c r="Q855" s="116">
        <v>272.60000000000002</v>
      </c>
      <c r="R855">
        <v>986846</v>
      </c>
    </row>
    <row r="856" spans="1:18" x14ac:dyDescent="0.25">
      <c r="A856" s="170">
        <v>44949</v>
      </c>
      <c r="B856" s="116">
        <v>275.05</v>
      </c>
      <c r="C856" s="116">
        <v>267.5</v>
      </c>
      <c r="D856" s="116">
        <v>266.8</v>
      </c>
      <c r="E856" s="116">
        <v>272.55</v>
      </c>
      <c r="F856" s="116">
        <v>267.5</v>
      </c>
      <c r="G856">
        <v>15646</v>
      </c>
      <c r="H856" s="116"/>
      <c r="I856" s="116"/>
      <c r="L856" s="170">
        <v>44949</v>
      </c>
      <c r="M856" s="116">
        <v>267.7</v>
      </c>
      <c r="N856" s="116">
        <v>275.14999999999998</v>
      </c>
      <c r="O856" s="116">
        <v>266.2</v>
      </c>
      <c r="P856" s="116">
        <v>273.95</v>
      </c>
      <c r="Q856" s="116">
        <v>267.7</v>
      </c>
      <c r="R856">
        <v>120485</v>
      </c>
    </row>
    <row r="857" spans="1:18" x14ac:dyDescent="0.25">
      <c r="A857" s="170">
        <v>44950</v>
      </c>
      <c r="B857" s="116">
        <v>272.25</v>
      </c>
      <c r="C857" s="116">
        <v>270.45</v>
      </c>
      <c r="D857" s="116">
        <v>268</v>
      </c>
      <c r="E857" s="116">
        <v>268.95</v>
      </c>
      <c r="F857" s="116">
        <v>270.45</v>
      </c>
      <c r="G857">
        <v>7520</v>
      </c>
      <c r="H857" s="116"/>
      <c r="I857" s="116"/>
      <c r="L857" s="170">
        <v>44950</v>
      </c>
      <c r="M857" s="116">
        <v>269.85000000000002</v>
      </c>
      <c r="N857" s="116">
        <v>272.45</v>
      </c>
      <c r="O857" s="116">
        <v>267.85000000000002</v>
      </c>
      <c r="P857" s="116">
        <v>268.60000000000002</v>
      </c>
      <c r="Q857" s="116">
        <v>269.85000000000002</v>
      </c>
      <c r="R857">
        <v>153581</v>
      </c>
    </row>
    <row r="858" spans="1:18" x14ac:dyDescent="0.25">
      <c r="A858" s="170">
        <v>44951</v>
      </c>
      <c r="B858" s="116">
        <v>273.95</v>
      </c>
      <c r="C858" s="116">
        <v>270.95</v>
      </c>
      <c r="D858" s="116">
        <v>268.45</v>
      </c>
      <c r="E858" s="116">
        <v>273.95</v>
      </c>
      <c r="F858" s="116">
        <v>270.95</v>
      </c>
      <c r="G858">
        <v>19319</v>
      </c>
      <c r="H858" s="116"/>
      <c r="I858" s="116"/>
      <c r="L858" s="170">
        <v>44951</v>
      </c>
      <c r="M858" s="116">
        <v>270.89999999999998</v>
      </c>
      <c r="N858" s="116">
        <v>272.35000000000002</v>
      </c>
      <c r="O858" s="116">
        <v>268.25</v>
      </c>
      <c r="P858" s="116">
        <v>269</v>
      </c>
      <c r="Q858" s="116">
        <v>270.89999999999998</v>
      </c>
      <c r="R858">
        <v>220960</v>
      </c>
    </row>
    <row r="859" spans="1:18" x14ac:dyDescent="0.25">
      <c r="A859" s="170">
        <v>44953</v>
      </c>
      <c r="B859" s="116">
        <v>277.2</v>
      </c>
      <c r="C859" s="116">
        <v>271.25</v>
      </c>
      <c r="D859" s="116">
        <v>265.75</v>
      </c>
      <c r="E859" s="116">
        <v>275</v>
      </c>
      <c r="F859" s="116">
        <v>271.25</v>
      </c>
      <c r="G859">
        <v>38384</v>
      </c>
      <c r="H859" s="116"/>
      <c r="I859" s="116"/>
      <c r="L859" s="170">
        <v>44953</v>
      </c>
      <c r="M859" s="116">
        <v>271</v>
      </c>
      <c r="N859" s="116">
        <v>277.45</v>
      </c>
      <c r="O859" s="116">
        <v>265.7</v>
      </c>
      <c r="P859" s="116">
        <v>275.5</v>
      </c>
      <c r="Q859" s="116">
        <v>271</v>
      </c>
      <c r="R859">
        <v>394903</v>
      </c>
    </row>
    <row r="860" spans="1:18" x14ac:dyDescent="0.25">
      <c r="A860" s="170">
        <v>44956</v>
      </c>
      <c r="B860" s="116">
        <v>276.75</v>
      </c>
      <c r="C860" s="116">
        <v>272.95</v>
      </c>
      <c r="D860" s="116">
        <v>269.75</v>
      </c>
      <c r="E860" s="116">
        <v>271.35000000000002</v>
      </c>
      <c r="F860" s="116">
        <v>272.95</v>
      </c>
      <c r="G860">
        <v>32902</v>
      </c>
      <c r="H860" s="116"/>
      <c r="I860" s="116"/>
      <c r="L860" s="170">
        <v>44956</v>
      </c>
      <c r="M860" s="116">
        <v>273.05</v>
      </c>
      <c r="N860" s="116">
        <v>276</v>
      </c>
      <c r="O860" s="116">
        <v>269.60000000000002</v>
      </c>
      <c r="P860" s="116">
        <v>271</v>
      </c>
      <c r="Q860" s="116">
        <v>273.05</v>
      </c>
      <c r="R860">
        <v>335243</v>
      </c>
    </row>
    <row r="861" spans="1:18" x14ac:dyDescent="0.25">
      <c r="A861" s="170">
        <v>44957</v>
      </c>
      <c r="B861" s="116">
        <v>295</v>
      </c>
      <c r="C861" s="116">
        <v>286.5</v>
      </c>
      <c r="D861" s="116">
        <v>272.64999999999998</v>
      </c>
      <c r="E861" s="116">
        <v>273</v>
      </c>
      <c r="F861" s="116">
        <v>286.5</v>
      </c>
      <c r="G861">
        <v>40944</v>
      </c>
      <c r="H861" s="116"/>
      <c r="I861" s="116"/>
      <c r="L861" s="170">
        <v>44957</v>
      </c>
      <c r="M861" s="116">
        <v>286.25</v>
      </c>
      <c r="N861" s="116">
        <v>294</v>
      </c>
      <c r="O861" s="116">
        <v>272.39999999999998</v>
      </c>
      <c r="P861" s="116">
        <v>273.05</v>
      </c>
      <c r="Q861" s="116">
        <v>286.25</v>
      </c>
      <c r="R861">
        <v>639621</v>
      </c>
    </row>
    <row r="862" spans="1:18" x14ac:dyDescent="0.25">
      <c r="A862" s="170">
        <v>44958</v>
      </c>
      <c r="B862" s="116">
        <v>297.89999999999998</v>
      </c>
      <c r="C862" s="116">
        <v>283.3</v>
      </c>
      <c r="D862" s="116">
        <v>278.60000000000002</v>
      </c>
      <c r="E862" s="116">
        <v>293.25</v>
      </c>
      <c r="F862" s="116">
        <v>283.3</v>
      </c>
      <c r="G862">
        <v>131672</v>
      </c>
      <c r="H862" s="116"/>
      <c r="I862" s="116"/>
      <c r="L862" s="170">
        <v>44958</v>
      </c>
      <c r="M862" s="116">
        <v>283.45</v>
      </c>
      <c r="N862" s="116">
        <v>299</v>
      </c>
      <c r="O862" s="116">
        <v>278.7</v>
      </c>
      <c r="P862" s="116">
        <v>299</v>
      </c>
      <c r="Q862" s="116">
        <v>283.45</v>
      </c>
      <c r="R862">
        <v>877155</v>
      </c>
    </row>
    <row r="863" spans="1:18" x14ac:dyDescent="0.25">
      <c r="A863" s="170">
        <v>44959</v>
      </c>
      <c r="B863" s="116">
        <v>293.05</v>
      </c>
      <c r="C863" s="116">
        <v>277.75</v>
      </c>
      <c r="D863" s="116">
        <v>276.39999999999998</v>
      </c>
      <c r="E863" s="116">
        <v>282.25</v>
      </c>
      <c r="F863" s="116">
        <v>277.75</v>
      </c>
      <c r="G863">
        <v>34276</v>
      </c>
      <c r="H863" s="116"/>
      <c r="I863" s="116"/>
      <c r="L863" s="170">
        <v>44959</v>
      </c>
      <c r="M863" s="116">
        <v>278</v>
      </c>
      <c r="N863" s="116">
        <v>294</v>
      </c>
      <c r="O863" s="116">
        <v>276.7</v>
      </c>
      <c r="P863" s="116">
        <v>281.05</v>
      </c>
      <c r="Q863" s="116">
        <v>278</v>
      </c>
      <c r="R863">
        <v>434563</v>
      </c>
    </row>
    <row r="864" spans="1:18" x14ac:dyDescent="0.25">
      <c r="A864" s="170">
        <v>44960</v>
      </c>
      <c r="B864" s="116">
        <v>289.3</v>
      </c>
      <c r="C864" s="116">
        <v>287.60000000000002</v>
      </c>
      <c r="D864" s="116">
        <v>276.2</v>
      </c>
      <c r="E864" s="116">
        <v>276.5</v>
      </c>
      <c r="F864" s="116">
        <v>287.60000000000002</v>
      </c>
      <c r="G864">
        <v>20122</v>
      </c>
      <c r="H864" s="116"/>
      <c r="I864" s="116"/>
      <c r="L864" s="170">
        <v>44960</v>
      </c>
      <c r="M864" s="116">
        <v>286.89999999999998</v>
      </c>
      <c r="N864" s="116">
        <v>289</v>
      </c>
      <c r="O864" s="116">
        <v>276</v>
      </c>
      <c r="P864" s="116">
        <v>279.89999999999998</v>
      </c>
      <c r="Q864" s="116">
        <v>286.89999999999998</v>
      </c>
      <c r="R864">
        <v>336259</v>
      </c>
    </row>
    <row r="865" spans="1:18" x14ac:dyDescent="0.25">
      <c r="A865" s="170">
        <v>44963</v>
      </c>
      <c r="B865" s="116">
        <v>296.64999999999998</v>
      </c>
      <c r="C865" s="116">
        <v>296</v>
      </c>
      <c r="D865" s="116">
        <v>282.3</v>
      </c>
      <c r="E865" s="116">
        <v>282.3</v>
      </c>
      <c r="F865" s="116">
        <v>296</v>
      </c>
      <c r="G865">
        <v>62890</v>
      </c>
      <c r="H865" s="116"/>
      <c r="I865" s="116"/>
      <c r="L865" s="170">
        <v>44963</v>
      </c>
      <c r="M865" s="116">
        <v>296.14999999999998</v>
      </c>
      <c r="N865" s="116">
        <v>296.89999999999998</v>
      </c>
      <c r="O865" s="116">
        <v>285.25</v>
      </c>
      <c r="P865" s="116">
        <v>288.85000000000002</v>
      </c>
      <c r="Q865" s="116">
        <v>296.14999999999998</v>
      </c>
      <c r="R865">
        <v>406926</v>
      </c>
    </row>
    <row r="866" spans="1:18" x14ac:dyDescent="0.25">
      <c r="A866" s="170">
        <v>44964</v>
      </c>
      <c r="B866" s="116">
        <v>303.5</v>
      </c>
      <c r="C866" s="116">
        <v>297.14999999999998</v>
      </c>
      <c r="D866" s="116">
        <v>294.75</v>
      </c>
      <c r="E866" s="116">
        <v>296.2</v>
      </c>
      <c r="F866" s="116">
        <v>297.14999999999998</v>
      </c>
      <c r="G866">
        <v>24263</v>
      </c>
      <c r="H866" s="116"/>
      <c r="I866" s="116"/>
      <c r="L866" s="170">
        <v>44964</v>
      </c>
      <c r="M866" s="116">
        <v>296.85000000000002</v>
      </c>
      <c r="N866" s="116">
        <v>304</v>
      </c>
      <c r="O866" s="116">
        <v>295</v>
      </c>
      <c r="P866" s="116">
        <v>298.75</v>
      </c>
      <c r="Q866" s="116">
        <v>296.85000000000002</v>
      </c>
      <c r="R866">
        <v>554854</v>
      </c>
    </row>
    <row r="867" spans="1:18" x14ac:dyDescent="0.25">
      <c r="A867" s="170">
        <v>44965</v>
      </c>
      <c r="B867" s="116">
        <v>302</v>
      </c>
      <c r="C867" s="116">
        <v>298.89999999999998</v>
      </c>
      <c r="D867" s="116">
        <v>296.64999999999998</v>
      </c>
      <c r="E867" s="116">
        <v>299.2</v>
      </c>
      <c r="F867" s="116">
        <v>298.89999999999998</v>
      </c>
      <c r="G867">
        <v>58211</v>
      </c>
      <c r="H867" s="116"/>
      <c r="I867" s="116"/>
      <c r="L867" s="170">
        <v>44965</v>
      </c>
      <c r="M867" s="116">
        <v>299.10000000000002</v>
      </c>
      <c r="N867" s="116">
        <v>302</v>
      </c>
      <c r="O867" s="116">
        <v>296.55</v>
      </c>
      <c r="P867" s="116">
        <v>298.55</v>
      </c>
      <c r="Q867" s="116">
        <v>299.10000000000002</v>
      </c>
      <c r="R867">
        <v>310134</v>
      </c>
    </row>
    <row r="868" spans="1:18" x14ac:dyDescent="0.25">
      <c r="A868" s="170">
        <v>44966</v>
      </c>
      <c r="B868" s="116">
        <v>302.7</v>
      </c>
      <c r="C868" s="116">
        <v>300.85000000000002</v>
      </c>
      <c r="D868" s="116">
        <v>295.85000000000002</v>
      </c>
      <c r="E868" s="116">
        <v>300</v>
      </c>
      <c r="F868" s="116">
        <v>300.85000000000002</v>
      </c>
      <c r="G868">
        <v>11534</v>
      </c>
      <c r="H868" s="116"/>
      <c r="I868" s="116"/>
      <c r="L868" s="170">
        <v>44966</v>
      </c>
      <c r="M868" s="116">
        <v>300.89999999999998</v>
      </c>
      <c r="N868" s="116">
        <v>302.85000000000002</v>
      </c>
      <c r="O868" s="116">
        <v>295.95</v>
      </c>
      <c r="P868" s="116">
        <v>301</v>
      </c>
      <c r="Q868" s="116">
        <v>300.89999999999998</v>
      </c>
      <c r="R868">
        <v>231402</v>
      </c>
    </row>
    <row r="869" spans="1:18" x14ac:dyDescent="0.25">
      <c r="A869" s="170">
        <v>44967</v>
      </c>
      <c r="B869" s="116">
        <v>302.7</v>
      </c>
      <c r="C869" s="116">
        <v>297.3</v>
      </c>
      <c r="D869" s="116">
        <v>294.8</v>
      </c>
      <c r="E869" s="116">
        <v>298.45</v>
      </c>
      <c r="F869" s="116">
        <v>297.3</v>
      </c>
      <c r="G869">
        <v>15217</v>
      </c>
      <c r="H869" s="116"/>
      <c r="I869" s="116"/>
      <c r="L869" s="170">
        <v>44967</v>
      </c>
      <c r="M869" s="116">
        <v>298.25</v>
      </c>
      <c r="N869" s="116">
        <v>303</v>
      </c>
      <c r="O869" s="116">
        <v>295</v>
      </c>
      <c r="P869" s="116">
        <v>297.55</v>
      </c>
      <c r="Q869" s="116">
        <v>298.25</v>
      </c>
      <c r="R869">
        <v>246761</v>
      </c>
    </row>
    <row r="870" spans="1:18" x14ac:dyDescent="0.25">
      <c r="A870" s="170">
        <v>44970</v>
      </c>
      <c r="B870" s="116">
        <v>302.5</v>
      </c>
      <c r="C870" s="116">
        <v>299.3</v>
      </c>
      <c r="D870" s="116">
        <v>294</v>
      </c>
      <c r="E870" s="116">
        <v>296.14999999999998</v>
      </c>
      <c r="F870" s="116">
        <v>299.3</v>
      </c>
      <c r="G870">
        <v>18405</v>
      </c>
      <c r="H870" s="116"/>
      <c r="I870" s="116"/>
      <c r="L870" s="170">
        <v>44970</v>
      </c>
      <c r="M870" s="116">
        <v>299.3</v>
      </c>
      <c r="N870" s="116">
        <v>302.8</v>
      </c>
      <c r="O870" s="116">
        <v>293.60000000000002</v>
      </c>
      <c r="P870" s="116">
        <v>298</v>
      </c>
      <c r="Q870" s="116">
        <v>299.3</v>
      </c>
      <c r="R870">
        <v>241064</v>
      </c>
    </row>
    <row r="871" spans="1:18" x14ac:dyDescent="0.25">
      <c r="A871" s="170">
        <v>44971</v>
      </c>
      <c r="B871" s="116">
        <v>300.8</v>
      </c>
      <c r="C871" s="116">
        <v>300.05</v>
      </c>
      <c r="D871" s="116">
        <v>295.25</v>
      </c>
      <c r="E871" s="116">
        <v>299.95</v>
      </c>
      <c r="F871" s="116">
        <v>300.05</v>
      </c>
      <c r="G871">
        <v>18118</v>
      </c>
      <c r="H871" s="116"/>
      <c r="I871" s="116"/>
      <c r="L871" s="170">
        <v>44971</v>
      </c>
      <c r="M871" s="116">
        <v>300.05</v>
      </c>
      <c r="N871" s="116">
        <v>300.89999999999998</v>
      </c>
      <c r="O871" s="116">
        <v>295</v>
      </c>
      <c r="P871" s="116">
        <v>297.5</v>
      </c>
      <c r="Q871" s="116">
        <v>300.05</v>
      </c>
      <c r="R871">
        <v>211741</v>
      </c>
    </row>
    <row r="872" spans="1:18" x14ac:dyDescent="0.25">
      <c r="A872" s="170">
        <v>44972</v>
      </c>
      <c r="B872" s="116">
        <v>309.75</v>
      </c>
      <c r="C872" s="116">
        <v>305.35000000000002</v>
      </c>
      <c r="D872" s="116">
        <v>297.2</v>
      </c>
      <c r="E872" s="116">
        <v>297.2</v>
      </c>
      <c r="F872" s="116">
        <v>305.35000000000002</v>
      </c>
      <c r="G872">
        <v>75261</v>
      </c>
      <c r="H872" s="116"/>
      <c r="I872" s="116"/>
      <c r="L872" s="170">
        <v>44972</v>
      </c>
      <c r="M872" s="116">
        <v>305.45</v>
      </c>
      <c r="N872" s="116">
        <v>309.89999999999998</v>
      </c>
      <c r="O872" s="116">
        <v>300.10000000000002</v>
      </c>
      <c r="P872" s="116">
        <v>301.5</v>
      </c>
      <c r="Q872" s="116">
        <v>305.45</v>
      </c>
      <c r="R872">
        <v>759031</v>
      </c>
    </row>
    <row r="873" spans="1:18" x14ac:dyDescent="0.25">
      <c r="A873" s="170">
        <v>44973</v>
      </c>
      <c r="B873" s="116">
        <v>308.05</v>
      </c>
      <c r="C873" s="116">
        <v>297.3</v>
      </c>
      <c r="D873" s="116">
        <v>297</v>
      </c>
      <c r="E873" s="116">
        <v>307</v>
      </c>
      <c r="F873" s="116">
        <v>297.3</v>
      </c>
      <c r="G873">
        <v>15222</v>
      </c>
      <c r="H873" s="116"/>
      <c r="I873" s="116"/>
      <c r="L873" s="170">
        <v>44973</v>
      </c>
      <c r="M873" s="116">
        <v>297.39999999999998</v>
      </c>
      <c r="N873" s="116">
        <v>308.89999999999998</v>
      </c>
      <c r="O873" s="116">
        <v>297</v>
      </c>
      <c r="P873" s="116">
        <v>306.60000000000002</v>
      </c>
      <c r="Q873" s="116">
        <v>297.39999999999998</v>
      </c>
      <c r="R873">
        <v>345077</v>
      </c>
    </row>
    <row r="874" spans="1:18" x14ac:dyDescent="0.25">
      <c r="A874" s="170">
        <v>44974</v>
      </c>
      <c r="B874" s="116">
        <v>303.7</v>
      </c>
      <c r="C874" s="116">
        <v>298.25</v>
      </c>
      <c r="D874" s="116">
        <v>296.2</v>
      </c>
      <c r="E874" s="116">
        <v>296.2</v>
      </c>
      <c r="F874" s="116">
        <v>298.25</v>
      </c>
      <c r="G874">
        <v>24350</v>
      </c>
      <c r="H874" s="116"/>
      <c r="I874" s="116"/>
      <c r="L874" s="170">
        <v>44974</v>
      </c>
      <c r="M874" s="116">
        <v>298.2</v>
      </c>
      <c r="N874" s="116">
        <v>303.7</v>
      </c>
      <c r="O874" s="116">
        <v>296.5</v>
      </c>
      <c r="P874" s="116">
        <v>296.5</v>
      </c>
      <c r="Q874" s="116">
        <v>298.2</v>
      </c>
      <c r="R874">
        <v>250632</v>
      </c>
    </row>
    <row r="875" spans="1:18" x14ac:dyDescent="0.25">
      <c r="A875" s="170">
        <v>44977</v>
      </c>
      <c r="B875" s="116">
        <v>301</v>
      </c>
      <c r="C875" s="116">
        <v>293.75</v>
      </c>
      <c r="D875" s="116">
        <v>292.55</v>
      </c>
      <c r="E875" s="116">
        <v>298.45</v>
      </c>
      <c r="F875" s="116">
        <v>293.75</v>
      </c>
      <c r="G875">
        <v>15684</v>
      </c>
      <c r="H875" s="116"/>
      <c r="I875" s="116"/>
      <c r="L875" s="170">
        <v>44977</v>
      </c>
      <c r="M875" s="116">
        <v>293.95</v>
      </c>
      <c r="N875" s="116">
        <v>301.60000000000002</v>
      </c>
      <c r="O875" s="116">
        <v>293</v>
      </c>
      <c r="P875" s="116">
        <v>298.25</v>
      </c>
      <c r="Q875" s="116">
        <v>293.95</v>
      </c>
      <c r="R875">
        <v>159468</v>
      </c>
    </row>
    <row r="876" spans="1:18" x14ac:dyDescent="0.25">
      <c r="A876" s="170">
        <v>44978</v>
      </c>
      <c r="B876" s="116">
        <v>300</v>
      </c>
      <c r="C876" s="116">
        <v>298.2</v>
      </c>
      <c r="D876" s="116">
        <v>292.89999999999998</v>
      </c>
      <c r="E876" s="116">
        <v>295</v>
      </c>
      <c r="F876" s="116">
        <v>298.2</v>
      </c>
      <c r="G876">
        <v>10386</v>
      </c>
      <c r="H876" s="116"/>
      <c r="I876" s="116"/>
      <c r="L876" s="170">
        <v>44978</v>
      </c>
      <c r="M876" s="116">
        <v>298.05</v>
      </c>
      <c r="N876" s="116">
        <v>300</v>
      </c>
      <c r="O876" s="116">
        <v>292.5</v>
      </c>
      <c r="P876" s="116">
        <v>294.35000000000002</v>
      </c>
      <c r="Q876" s="116">
        <v>298.05</v>
      </c>
      <c r="R876">
        <v>230510</v>
      </c>
    </row>
    <row r="877" spans="1:18" x14ac:dyDescent="0.25">
      <c r="A877" s="170">
        <v>44979</v>
      </c>
      <c r="B877" s="116">
        <v>301.60000000000002</v>
      </c>
      <c r="C877" s="116">
        <v>294.5</v>
      </c>
      <c r="D877" s="116">
        <v>285.05</v>
      </c>
      <c r="E877" s="116">
        <v>285.05</v>
      </c>
      <c r="F877" s="116">
        <v>294.5</v>
      </c>
      <c r="G877">
        <v>25745</v>
      </c>
      <c r="H877" s="116"/>
      <c r="I877" s="116"/>
      <c r="L877" s="170">
        <v>44979</v>
      </c>
      <c r="M877" s="116">
        <v>294.95</v>
      </c>
      <c r="N877" s="116">
        <v>301.60000000000002</v>
      </c>
      <c r="O877" s="116">
        <v>294</v>
      </c>
      <c r="P877" s="116">
        <v>296</v>
      </c>
      <c r="Q877" s="116">
        <v>294.95</v>
      </c>
      <c r="R877">
        <v>220618</v>
      </c>
    </row>
    <row r="878" spans="1:18" x14ac:dyDescent="0.25">
      <c r="A878" s="170">
        <v>44980</v>
      </c>
      <c r="B878" s="116">
        <v>301.8</v>
      </c>
      <c r="C878" s="116">
        <v>300.05</v>
      </c>
      <c r="D878" s="116">
        <v>291.2</v>
      </c>
      <c r="E878" s="116">
        <v>292.05</v>
      </c>
      <c r="F878" s="116">
        <v>300.05</v>
      </c>
      <c r="G878">
        <v>8366</v>
      </c>
      <c r="H878" s="116"/>
      <c r="I878" s="116"/>
      <c r="L878" s="170">
        <v>44980</v>
      </c>
      <c r="M878" s="116">
        <v>300.35000000000002</v>
      </c>
      <c r="N878" s="116">
        <v>302.25</v>
      </c>
      <c r="O878" s="116">
        <v>291</v>
      </c>
      <c r="P878" s="116">
        <v>293.35000000000002</v>
      </c>
      <c r="Q878" s="116">
        <v>300.35000000000002</v>
      </c>
      <c r="R878">
        <v>273070</v>
      </c>
    </row>
    <row r="879" spans="1:18" x14ac:dyDescent="0.25">
      <c r="A879" s="170">
        <v>44981</v>
      </c>
      <c r="B879" s="116">
        <v>306.35000000000002</v>
      </c>
      <c r="C879" s="116">
        <v>295.89999999999998</v>
      </c>
      <c r="D879" s="116">
        <v>294.75</v>
      </c>
      <c r="E879" s="116">
        <v>299.85000000000002</v>
      </c>
      <c r="F879" s="116">
        <v>295.89999999999998</v>
      </c>
      <c r="G879">
        <v>17670</v>
      </c>
      <c r="H879" s="116"/>
      <c r="I879" s="116"/>
      <c r="L879" s="170">
        <v>44981</v>
      </c>
      <c r="M879" s="116">
        <v>295.95</v>
      </c>
      <c r="N879" s="116">
        <v>306.5</v>
      </c>
      <c r="O879" s="116">
        <v>294.5</v>
      </c>
      <c r="P879" s="116">
        <v>298.5</v>
      </c>
      <c r="Q879" s="116">
        <v>295.95</v>
      </c>
      <c r="R879">
        <v>260329</v>
      </c>
    </row>
    <row r="880" spans="1:18" x14ac:dyDescent="0.25">
      <c r="A880" s="170">
        <v>44984</v>
      </c>
      <c r="B880" s="116">
        <v>296.25</v>
      </c>
      <c r="C880" s="116">
        <v>293.85000000000002</v>
      </c>
      <c r="D880" s="116">
        <v>288</v>
      </c>
      <c r="E880" s="116">
        <v>294.3</v>
      </c>
      <c r="F880" s="116">
        <v>293.85000000000002</v>
      </c>
      <c r="G880">
        <v>8287</v>
      </c>
      <c r="H880" s="116"/>
      <c r="I880" s="116"/>
      <c r="L880" s="170">
        <v>44984</v>
      </c>
      <c r="M880" s="116">
        <v>295.05</v>
      </c>
      <c r="N880" s="116">
        <v>296.64999999999998</v>
      </c>
      <c r="O880" s="116">
        <v>287.85000000000002</v>
      </c>
      <c r="P880" s="116">
        <v>294.3</v>
      </c>
      <c r="Q880" s="116">
        <v>295.05</v>
      </c>
      <c r="R880">
        <v>225271</v>
      </c>
    </row>
    <row r="881" spans="1:18" x14ac:dyDescent="0.25">
      <c r="A881" s="170">
        <v>44985</v>
      </c>
      <c r="B881" s="116">
        <v>296.35000000000002</v>
      </c>
      <c r="C881" s="116">
        <v>290.85000000000002</v>
      </c>
      <c r="D881" s="116">
        <v>290.05</v>
      </c>
      <c r="E881" s="116">
        <v>290.05</v>
      </c>
      <c r="F881" s="116">
        <v>290.85000000000002</v>
      </c>
      <c r="G881">
        <v>11939</v>
      </c>
      <c r="H881" s="116"/>
      <c r="I881" s="116"/>
      <c r="L881" s="170">
        <v>44985</v>
      </c>
      <c r="M881" s="116">
        <v>292.10000000000002</v>
      </c>
      <c r="N881" s="116">
        <v>297.39999999999998</v>
      </c>
      <c r="O881" s="116">
        <v>290.55</v>
      </c>
      <c r="P881" s="116">
        <v>295.25</v>
      </c>
      <c r="Q881" s="116">
        <v>292.10000000000002</v>
      </c>
      <c r="R881">
        <v>107275</v>
      </c>
    </row>
    <row r="882" spans="1:18" x14ac:dyDescent="0.25">
      <c r="A882" s="170">
        <v>44986</v>
      </c>
      <c r="B882" s="116">
        <v>295.89999999999998</v>
      </c>
      <c r="C882" s="116">
        <v>294.8</v>
      </c>
      <c r="D882" s="116">
        <v>289.39999999999998</v>
      </c>
      <c r="E882" s="116">
        <v>292</v>
      </c>
      <c r="F882" s="116">
        <v>294.8</v>
      </c>
      <c r="G882">
        <v>10018</v>
      </c>
      <c r="H882" s="116"/>
      <c r="I882" s="116"/>
      <c r="L882" s="170">
        <v>44986</v>
      </c>
      <c r="M882" s="116">
        <v>294.89999999999998</v>
      </c>
      <c r="N882" s="116">
        <v>296.05</v>
      </c>
      <c r="O882" s="116">
        <v>289.5</v>
      </c>
      <c r="P882" s="116">
        <v>292</v>
      </c>
      <c r="Q882" s="116">
        <v>294.89999999999998</v>
      </c>
      <c r="R882">
        <v>204718</v>
      </c>
    </row>
    <row r="883" spans="1:18" x14ac:dyDescent="0.25">
      <c r="A883" s="170">
        <v>44987</v>
      </c>
      <c r="B883" s="116">
        <v>299</v>
      </c>
      <c r="C883" s="116">
        <v>294.89999999999998</v>
      </c>
      <c r="D883" s="116">
        <v>292</v>
      </c>
      <c r="E883" s="116">
        <v>295.2</v>
      </c>
      <c r="F883" s="116">
        <v>294.89999999999998</v>
      </c>
      <c r="G883">
        <v>11058</v>
      </c>
      <c r="H883" s="116"/>
      <c r="I883" s="116"/>
      <c r="L883" s="170">
        <v>44987</v>
      </c>
      <c r="M883" s="116">
        <v>295.2</v>
      </c>
      <c r="N883" s="116">
        <v>298.45</v>
      </c>
      <c r="O883" s="116">
        <v>292</v>
      </c>
      <c r="P883" s="116">
        <v>294.95</v>
      </c>
      <c r="Q883" s="116">
        <v>295.2</v>
      </c>
      <c r="R883">
        <v>236321</v>
      </c>
    </row>
    <row r="884" spans="1:18" x14ac:dyDescent="0.25">
      <c r="A884" s="170">
        <v>44988</v>
      </c>
      <c r="B884" s="116">
        <v>303</v>
      </c>
      <c r="C884" s="116">
        <v>301.14999999999998</v>
      </c>
      <c r="D884" s="116">
        <v>294</v>
      </c>
      <c r="E884" s="116">
        <v>295.89999999999998</v>
      </c>
      <c r="F884" s="116">
        <v>301.14999999999998</v>
      </c>
      <c r="G884">
        <v>28924</v>
      </c>
      <c r="H884" s="116"/>
      <c r="I884" s="116"/>
      <c r="L884" s="170">
        <v>44988</v>
      </c>
      <c r="M884" s="116">
        <v>301.3</v>
      </c>
      <c r="N884" s="116">
        <v>303.5</v>
      </c>
      <c r="O884" s="116">
        <v>293.95</v>
      </c>
      <c r="P884" s="116">
        <v>295.60000000000002</v>
      </c>
      <c r="Q884" s="116">
        <v>301.3</v>
      </c>
      <c r="R884">
        <v>467332</v>
      </c>
    </row>
    <row r="885" spans="1:18" x14ac:dyDescent="0.25">
      <c r="A885" s="170">
        <v>44991</v>
      </c>
      <c r="B885" s="116">
        <v>305</v>
      </c>
      <c r="C885" s="116">
        <v>301.2</v>
      </c>
      <c r="D885" s="116">
        <v>299.25</v>
      </c>
      <c r="E885" s="116">
        <v>301.25</v>
      </c>
      <c r="F885" s="116">
        <v>301.2</v>
      </c>
      <c r="G885">
        <v>13243</v>
      </c>
      <c r="H885" s="116"/>
      <c r="I885" s="116"/>
      <c r="L885" s="170">
        <v>44991</v>
      </c>
      <c r="M885" s="116">
        <v>301.5</v>
      </c>
      <c r="N885" s="116">
        <v>305</v>
      </c>
      <c r="O885" s="116">
        <v>299.35000000000002</v>
      </c>
      <c r="P885" s="116">
        <v>302.60000000000002</v>
      </c>
      <c r="Q885" s="116">
        <v>301.5</v>
      </c>
      <c r="R885">
        <v>448036</v>
      </c>
    </row>
    <row r="886" spans="1:18" x14ac:dyDescent="0.25">
      <c r="A886" s="170">
        <v>44993</v>
      </c>
      <c r="B886" s="116">
        <v>316.10000000000002</v>
      </c>
      <c r="C886" s="116">
        <v>314</v>
      </c>
      <c r="D886" s="116">
        <v>296.14999999999998</v>
      </c>
      <c r="E886" s="116">
        <v>296.14999999999998</v>
      </c>
      <c r="F886" s="116">
        <v>314</v>
      </c>
      <c r="G886">
        <v>43060</v>
      </c>
      <c r="H886" s="116"/>
      <c r="I886" s="116"/>
      <c r="L886" s="170">
        <v>44993</v>
      </c>
      <c r="M886" s="116">
        <v>314</v>
      </c>
      <c r="N886" s="116">
        <v>316.2</v>
      </c>
      <c r="O886" s="116">
        <v>299</v>
      </c>
      <c r="P886" s="116">
        <v>299</v>
      </c>
      <c r="Q886" s="116">
        <v>314</v>
      </c>
      <c r="R886">
        <v>988422</v>
      </c>
    </row>
    <row r="887" spans="1:18" x14ac:dyDescent="0.25">
      <c r="A887" s="170">
        <v>44994</v>
      </c>
      <c r="B887" s="116">
        <v>334.7</v>
      </c>
      <c r="C887" s="116">
        <v>325.60000000000002</v>
      </c>
      <c r="D887" s="116">
        <v>316</v>
      </c>
      <c r="E887" s="116">
        <v>316.95</v>
      </c>
      <c r="F887" s="116">
        <v>325.60000000000002</v>
      </c>
      <c r="G887">
        <v>160798</v>
      </c>
      <c r="H887" s="116"/>
      <c r="I887" s="116"/>
      <c r="L887" s="170">
        <v>44994</v>
      </c>
      <c r="M887" s="116">
        <v>325.55</v>
      </c>
      <c r="N887" s="116">
        <v>334.4</v>
      </c>
      <c r="O887" s="116">
        <v>316</v>
      </c>
      <c r="P887" s="116">
        <v>316</v>
      </c>
      <c r="Q887" s="116">
        <v>325.55</v>
      </c>
      <c r="R887">
        <v>1945400</v>
      </c>
    </row>
    <row r="888" spans="1:18" x14ac:dyDescent="0.25">
      <c r="A888" s="170">
        <v>44995</v>
      </c>
      <c r="B888" s="116">
        <v>336.1</v>
      </c>
      <c r="C888" s="116">
        <v>331.6</v>
      </c>
      <c r="D888" s="116">
        <v>321.7</v>
      </c>
      <c r="E888" s="116">
        <v>323</v>
      </c>
      <c r="F888" s="116">
        <v>331.6</v>
      </c>
      <c r="G888">
        <v>106635</v>
      </c>
      <c r="H888" s="116"/>
      <c r="I888" s="116"/>
      <c r="L888" s="170">
        <v>44995</v>
      </c>
      <c r="M888" s="116">
        <v>331.25</v>
      </c>
      <c r="N888" s="116">
        <v>336.5</v>
      </c>
      <c r="O888" s="116">
        <v>322</v>
      </c>
      <c r="P888" s="116">
        <v>323</v>
      </c>
      <c r="Q888" s="116">
        <v>331.25</v>
      </c>
      <c r="R888">
        <v>1162460</v>
      </c>
    </row>
    <row r="889" spans="1:18" x14ac:dyDescent="0.25">
      <c r="A889" s="170">
        <v>44998</v>
      </c>
      <c r="B889" s="116">
        <v>338.45</v>
      </c>
      <c r="C889" s="116">
        <v>316.05</v>
      </c>
      <c r="D889" s="116">
        <v>311.39999999999998</v>
      </c>
      <c r="E889" s="116">
        <v>332</v>
      </c>
      <c r="F889" s="116">
        <v>316.05</v>
      </c>
      <c r="G889">
        <v>92601</v>
      </c>
      <c r="H889" s="116"/>
      <c r="I889" s="116"/>
      <c r="L889" s="170">
        <v>44998</v>
      </c>
      <c r="M889" s="116">
        <v>316.75</v>
      </c>
      <c r="N889" s="116">
        <v>338.4</v>
      </c>
      <c r="O889" s="116">
        <v>315.39999999999998</v>
      </c>
      <c r="P889" s="116">
        <v>333</v>
      </c>
      <c r="Q889" s="116">
        <v>316.75</v>
      </c>
      <c r="R889">
        <v>739025</v>
      </c>
    </row>
    <row r="890" spans="1:18" x14ac:dyDescent="0.25">
      <c r="A890" s="170">
        <v>44999</v>
      </c>
      <c r="B890" s="116">
        <v>321.10000000000002</v>
      </c>
      <c r="C890" s="116">
        <v>311.39999999999998</v>
      </c>
      <c r="D890" s="116">
        <v>310.2</v>
      </c>
      <c r="E890" s="116">
        <v>319.7</v>
      </c>
      <c r="F890" s="116">
        <v>311.39999999999998</v>
      </c>
      <c r="G890">
        <v>21913</v>
      </c>
      <c r="H890" s="116"/>
      <c r="I890" s="116"/>
      <c r="L890" s="170">
        <v>44999</v>
      </c>
      <c r="M890" s="116">
        <v>312.3</v>
      </c>
      <c r="N890" s="116">
        <v>320.89999999999998</v>
      </c>
      <c r="O890" s="116">
        <v>310</v>
      </c>
      <c r="P890" s="116">
        <v>319</v>
      </c>
      <c r="Q890" s="116">
        <v>312.3</v>
      </c>
      <c r="R890">
        <v>443609</v>
      </c>
    </row>
    <row r="891" spans="1:18" x14ac:dyDescent="0.25">
      <c r="A891" s="170">
        <v>45000</v>
      </c>
      <c r="B891" s="116">
        <v>317.89999999999998</v>
      </c>
      <c r="C891" s="116">
        <v>312.14999999999998</v>
      </c>
      <c r="D891" s="116">
        <v>309.7</v>
      </c>
      <c r="E891" s="116">
        <v>311.45</v>
      </c>
      <c r="F891" s="116">
        <v>312.14999999999998</v>
      </c>
      <c r="G891">
        <v>11783</v>
      </c>
      <c r="H891" s="116"/>
      <c r="I891" s="116"/>
      <c r="L891" s="170">
        <v>45000</v>
      </c>
      <c r="M891" s="116">
        <v>311.95</v>
      </c>
      <c r="N891" s="116">
        <v>317.85000000000002</v>
      </c>
      <c r="O891" s="116">
        <v>310.05</v>
      </c>
      <c r="P891" s="116">
        <v>314.95</v>
      </c>
      <c r="Q891" s="116">
        <v>311.95</v>
      </c>
      <c r="R891">
        <v>326029</v>
      </c>
    </row>
    <row r="892" spans="1:18" x14ac:dyDescent="0.25">
      <c r="A892" s="170">
        <v>45001</v>
      </c>
      <c r="B892" s="116">
        <v>312.60000000000002</v>
      </c>
      <c r="C892" s="116">
        <v>307.60000000000002</v>
      </c>
      <c r="D892" s="116">
        <v>300.35000000000002</v>
      </c>
      <c r="E892" s="116">
        <v>310</v>
      </c>
      <c r="F892" s="116">
        <v>307.60000000000002</v>
      </c>
      <c r="G892">
        <v>30095</v>
      </c>
      <c r="H892" s="116"/>
      <c r="I892" s="116"/>
      <c r="L892" s="170">
        <v>45001</v>
      </c>
      <c r="M892" s="116">
        <v>307.89999999999998</v>
      </c>
      <c r="N892" s="116">
        <v>312.7</v>
      </c>
      <c r="O892" s="116">
        <v>300.35000000000002</v>
      </c>
      <c r="P892" s="116">
        <v>311.85000000000002</v>
      </c>
      <c r="Q892" s="116">
        <v>307.89999999999998</v>
      </c>
      <c r="R892">
        <v>303176</v>
      </c>
    </row>
    <row r="893" spans="1:18" x14ac:dyDescent="0.25">
      <c r="A893" s="170">
        <v>45002</v>
      </c>
      <c r="B893" s="116">
        <v>319.89999999999998</v>
      </c>
      <c r="C893" s="116">
        <v>312.05</v>
      </c>
      <c r="D893" s="116">
        <v>308.5</v>
      </c>
      <c r="E893" s="116">
        <v>313</v>
      </c>
      <c r="F893" s="116">
        <v>312.05</v>
      </c>
      <c r="G893">
        <v>25836</v>
      </c>
      <c r="H893" s="116"/>
      <c r="I893" s="116"/>
      <c r="L893" s="170">
        <v>45002</v>
      </c>
      <c r="M893" s="116">
        <v>312.3</v>
      </c>
      <c r="N893" s="116">
        <v>320.64999999999998</v>
      </c>
      <c r="O893" s="116">
        <v>308.3</v>
      </c>
      <c r="P893" s="116">
        <v>310.8</v>
      </c>
      <c r="Q893" s="116">
        <v>312.3</v>
      </c>
      <c r="R893">
        <v>344753</v>
      </c>
    </row>
    <row r="894" spans="1:18" x14ac:dyDescent="0.25">
      <c r="A894" s="170">
        <v>45005</v>
      </c>
      <c r="B894" s="116">
        <v>312.05</v>
      </c>
      <c r="C894" s="116">
        <v>299.39999999999998</v>
      </c>
      <c r="D894" s="116">
        <v>296.5</v>
      </c>
      <c r="E894" s="116">
        <v>312.05</v>
      </c>
      <c r="F894" s="116">
        <v>299.39999999999998</v>
      </c>
      <c r="G894">
        <v>17663</v>
      </c>
      <c r="H894" s="116"/>
      <c r="I894" s="116"/>
      <c r="L894" s="170">
        <v>45005</v>
      </c>
      <c r="M894" s="116">
        <v>299.39999999999998</v>
      </c>
      <c r="N894" s="116">
        <v>312.3</v>
      </c>
      <c r="O894" s="116">
        <v>296.14999999999998</v>
      </c>
      <c r="P894" s="116">
        <v>312.3</v>
      </c>
      <c r="Q894" s="116">
        <v>299.39999999999998</v>
      </c>
      <c r="R894">
        <v>428173</v>
      </c>
    </row>
    <row r="895" spans="1:18" x14ac:dyDescent="0.25">
      <c r="A895" s="170">
        <v>45006</v>
      </c>
      <c r="B895" s="116">
        <v>327.5</v>
      </c>
      <c r="C895" s="116">
        <v>319.2</v>
      </c>
      <c r="D895" s="116">
        <v>311</v>
      </c>
      <c r="E895" s="116">
        <v>313</v>
      </c>
      <c r="F895" s="116">
        <v>319.2</v>
      </c>
      <c r="G895">
        <v>241866</v>
      </c>
      <c r="H895" s="116"/>
      <c r="I895" s="116"/>
      <c r="L895" s="170">
        <v>45006</v>
      </c>
      <c r="M895" s="116">
        <v>319.25</v>
      </c>
      <c r="N895" s="116">
        <v>327.55</v>
      </c>
      <c r="O895" s="116">
        <v>311.10000000000002</v>
      </c>
      <c r="P895" s="116">
        <v>315</v>
      </c>
      <c r="Q895" s="116">
        <v>319.25</v>
      </c>
      <c r="R895">
        <v>3244785</v>
      </c>
    </row>
    <row r="896" spans="1:18" x14ac:dyDescent="0.25">
      <c r="A896" s="170">
        <v>45007</v>
      </c>
      <c r="B896" s="116">
        <v>324</v>
      </c>
      <c r="C896" s="116">
        <v>320.64999999999998</v>
      </c>
      <c r="D896" s="116">
        <v>315.3</v>
      </c>
      <c r="E896" s="116">
        <v>317.5</v>
      </c>
      <c r="F896" s="116">
        <v>320.64999999999998</v>
      </c>
      <c r="G896">
        <v>30539</v>
      </c>
      <c r="H896" s="116"/>
      <c r="I896" s="116"/>
      <c r="L896" s="170">
        <v>45007</v>
      </c>
      <c r="M896" s="116">
        <v>320.5</v>
      </c>
      <c r="N896" s="116">
        <v>324.2</v>
      </c>
      <c r="O896" s="116">
        <v>315</v>
      </c>
      <c r="P896" s="116">
        <v>319.75</v>
      </c>
      <c r="Q896" s="116">
        <v>320.5</v>
      </c>
      <c r="R896">
        <v>383140</v>
      </c>
    </row>
    <row r="897" spans="1:18" x14ac:dyDescent="0.25">
      <c r="A897" s="170">
        <v>45008</v>
      </c>
      <c r="B897" s="116">
        <v>325.2</v>
      </c>
      <c r="C897" s="116">
        <v>311.45</v>
      </c>
      <c r="D897" s="116">
        <v>309</v>
      </c>
      <c r="E897" s="116">
        <v>320.64999999999998</v>
      </c>
      <c r="F897" s="116">
        <v>311.45</v>
      </c>
      <c r="G897">
        <v>78243</v>
      </c>
      <c r="H897" s="116"/>
      <c r="I897" s="116"/>
      <c r="L897" s="170">
        <v>45008</v>
      </c>
      <c r="M897" s="116">
        <v>311.2</v>
      </c>
      <c r="N897" s="116">
        <v>325.25</v>
      </c>
      <c r="O897" s="116">
        <v>308.55</v>
      </c>
      <c r="P897" s="116">
        <v>320.39999999999998</v>
      </c>
      <c r="Q897" s="116">
        <v>311.2</v>
      </c>
      <c r="R897">
        <v>459277</v>
      </c>
    </row>
    <row r="898" spans="1:18" x14ac:dyDescent="0.25">
      <c r="A898" s="170">
        <v>45009</v>
      </c>
      <c r="B898" s="116">
        <v>315.95</v>
      </c>
      <c r="C898" s="116">
        <v>309</v>
      </c>
      <c r="D898" s="116">
        <v>307</v>
      </c>
      <c r="E898" s="116">
        <v>312.95</v>
      </c>
      <c r="F898" s="116">
        <v>309</v>
      </c>
      <c r="G898">
        <v>39573</v>
      </c>
      <c r="H898" s="116"/>
      <c r="I898" s="116"/>
      <c r="L898" s="170">
        <v>45009</v>
      </c>
      <c r="M898" s="116">
        <v>308.75</v>
      </c>
      <c r="N898" s="116">
        <v>316</v>
      </c>
      <c r="O898" s="116">
        <v>307</v>
      </c>
      <c r="P898" s="116">
        <v>311.35000000000002</v>
      </c>
      <c r="Q898" s="116">
        <v>308.75</v>
      </c>
      <c r="R898">
        <v>219028</v>
      </c>
    </row>
    <row r="899" spans="1:18" x14ac:dyDescent="0.25">
      <c r="A899" s="170">
        <v>45012</v>
      </c>
      <c r="B899" s="116">
        <v>312.95</v>
      </c>
      <c r="C899" s="116">
        <v>304.8</v>
      </c>
      <c r="D899" s="116">
        <v>303.2</v>
      </c>
      <c r="E899" s="116">
        <v>309</v>
      </c>
      <c r="F899" s="116">
        <v>304.8</v>
      </c>
      <c r="G899">
        <v>36197</v>
      </c>
      <c r="H899" s="116"/>
      <c r="I899" s="116"/>
      <c r="L899" s="170">
        <v>45012</v>
      </c>
      <c r="M899" s="116">
        <v>304.89999999999998</v>
      </c>
      <c r="N899" s="116">
        <v>314.39999999999998</v>
      </c>
      <c r="O899" s="116">
        <v>303.39999999999998</v>
      </c>
      <c r="P899" s="116">
        <v>309.10000000000002</v>
      </c>
      <c r="Q899" s="116">
        <v>304.89999999999998</v>
      </c>
      <c r="R899">
        <v>251122</v>
      </c>
    </row>
    <row r="900" spans="1:18" x14ac:dyDescent="0.25">
      <c r="A900" s="170">
        <v>45013</v>
      </c>
      <c r="B900" s="116">
        <v>308.8</v>
      </c>
      <c r="C900" s="116">
        <v>300.55</v>
      </c>
      <c r="D900" s="116">
        <v>300</v>
      </c>
      <c r="E900" s="116">
        <v>307.25</v>
      </c>
      <c r="F900" s="116">
        <v>300.55</v>
      </c>
      <c r="G900">
        <v>20784</v>
      </c>
      <c r="H900" s="116"/>
      <c r="I900" s="116"/>
      <c r="L900" s="170">
        <v>45013</v>
      </c>
      <c r="M900" s="116">
        <v>301.14999999999998</v>
      </c>
      <c r="N900" s="116">
        <v>309.14999999999998</v>
      </c>
      <c r="O900" s="116">
        <v>299.55</v>
      </c>
      <c r="P900" s="116">
        <v>308.85000000000002</v>
      </c>
      <c r="Q900" s="116">
        <v>301.14999999999998</v>
      </c>
      <c r="R900">
        <v>321684</v>
      </c>
    </row>
    <row r="901" spans="1:18" x14ac:dyDescent="0.25">
      <c r="A901" s="170">
        <v>45014</v>
      </c>
      <c r="B901" s="116">
        <v>314</v>
      </c>
      <c r="C901" s="116">
        <v>308.10000000000002</v>
      </c>
      <c r="D901" s="116">
        <v>299.10000000000002</v>
      </c>
      <c r="E901" s="116">
        <v>300.05</v>
      </c>
      <c r="F901" s="116">
        <v>308.10000000000002</v>
      </c>
      <c r="G901">
        <v>25063</v>
      </c>
      <c r="H901" s="116"/>
      <c r="I901" s="116"/>
      <c r="L901" s="170">
        <v>45014</v>
      </c>
      <c r="M901" s="116">
        <v>308.75</v>
      </c>
      <c r="N901" s="116">
        <v>314</v>
      </c>
      <c r="O901" s="116">
        <v>299</v>
      </c>
      <c r="P901" s="116">
        <v>299.35000000000002</v>
      </c>
      <c r="Q901" s="116">
        <v>308.75</v>
      </c>
      <c r="R901">
        <v>408874</v>
      </c>
    </row>
    <row r="902" spans="1:18" x14ac:dyDescent="0.25">
      <c r="A902" s="170">
        <v>45016</v>
      </c>
      <c r="B902" s="116">
        <v>313.89999999999998</v>
      </c>
      <c r="C902" s="116">
        <v>292.14999999999998</v>
      </c>
      <c r="D902" s="116">
        <v>291</v>
      </c>
      <c r="E902" s="116">
        <v>308.2</v>
      </c>
      <c r="F902" s="116">
        <v>292.14999999999998</v>
      </c>
      <c r="G902">
        <v>116227</v>
      </c>
      <c r="H902" s="116"/>
      <c r="I902" s="116"/>
      <c r="L902" s="170">
        <v>45016</v>
      </c>
      <c r="M902" s="116">
        <v>291.60000000000002</v>
      </c>
      <c r="N902" s="116">
        <v>314.39999999999998</v>
      </c>
      <c r="O902" s="116">
        <v>290</v>
      </c>
      <c r="P902" s="116">
        <v>311.8</v>
      </c>
      <c r="Q902" s="116">
        <v>291.60000000000002</v>
      </c>
      <c r="R902">
        <v>1383533</v>
      </c>
    </row>
    <row r="903" spans="1:18" x14ac:dyDescent="0.25">
      <c r="A903" s="170">
        <v>45019</v>
      </c>
      <c r="B903" s="116">
        <v>301</v>
      </c>
      <c r="C903" s="116">
        <v>299.3</v>
      </c>
      <c r="D903" s="116">
        <v>293.75</v>
      </c>
      <c r="E903" s="116">
        <v>295.05</v>
      </c>
      <c r="F903" s="116">
        <v>299.3</v>
      </c>
      <c r="G903">
        <v>55519</v>
      </c>
      <c r="H903" s="116"/>
      <c r="I903" s="116"/>
      <c r="L903" s="170">
        <v>45019</v>
      </c>
      <c r="M903" s="116">
        <v>299.55</v>
      </c>
      <c r="N903" s="116">
        <v>301.5</v>
      </c>
      <c r="O903" s="116">
        <v>293.64999999999998</v>
      </c>
      <c r="P903" s="116">
        <v>298</v>
      </c>
      <c r="Q903" s="116">
        <v>299.55</v>
      </c>
      <c r="R903">
        <v>477265</v>
      </c>
    </row>
    <row r="904" spans="1:18" x14ac:dyDescent="0.25">
      <c r="A904" s="170">
        <v>45021</v>
      </c>
      <c r="B904" s="116">
        <v>301.25</v>
      </c>
      <c r="C904" s="116">
        <v>298.39999999999998</v>
      </c>
      <c r="D904" s="116">
        <v>297.39999999999998</v>
      </c>
      <c r="E904" s="116">
        <v>299.05</v>
      </c>
      <c r="F904" s="116">
        <v>298.39999999999998</v>
      </c>
      <c r="G904">
        <v>14925</v>
      </c>
      <c r="H904" s="116"/>
      <c r="I904" s="116"/>
      <c r="L904" s="170">
        <v>45021</v>
      </c>
      <c r="M904" s="116">
        <v>298.60000000000002</v>
      </c>
      <c r="N904" s="116">
        <v>301.45</v>
      </c>
      <c r="O904" s="116">
        <v>297.2</v>
      </c>
      <c r="P904" s="116">
        <v>300</v>
      </c>
      <c r="Q904" s="116">
        <v>298.60000000000002</v>
      </c>
      <c r="R904">
        <v>158683</v>
      </c>
    </row>
    <row r="905" spans="1:18" x14ac:dyDescent="0.25">
      <c r="A905" s="170">
        <v>45022</v>
      </c>
      <c r="B905" s="116">
        <v>307.5</v>
      </c>
      <c r="C905" s="116">
        <v>302.5</v>
      </c>
      <c r="D905" s="116">
        <v>299.95</v>
      </c>
      <c r="E905" s="116">
        <v>299.95</v>
      </c>
      <c r="F905" s="116">
        <v>302.5</v>
      </c>
      <c r="G905">
        <v>20470</v>
      </c>
      <c r="H905" s="116"/>
      <c r="I905" s="116"/>
      <c r="L905" s="170">
        <v>45022</v>
      </c>
      <c r="M905" s="116">
        <v>302.7</v>
      </c>
      <c r="N905" s="116">
        <v>307.7</v>
      </c>
      <c r="O905" s="116">
        <v>299.05</v>
      </c>
      <c r="P905" s="116">
        <v>299.05</v>
      </c>
      <c r="Q905" s="116">
        <v>302.7</v>
      </c>
      <c r="R905">
        <v>346834</v>
      </c>
    </row>
    <row r="906" spans="1:18" x14ac:dyDescent="0.25">
      <c r="A906" s="170">
        <v>45026</v>
      </c>
      <c r="B906" s="116">
        <v>305.60000000000002</v>
      </c>
      <c r="C906" s="116">
        <v>303.05</v>
      </c>
      <c r="D906" s="116">
        <v>299.3</v>
      </c>
      <c r="E906" s="116">
        <v>302.55</v>
      </c>
      <c r="F906" s="116">
        <v>303.05</v>
      </c>
      <c r="G906">
        <v>22303</v>
      </c>
      <c r="H906" s="116"/>
      <c r="I906" s="116"/>
      <c r="L906" s="170">
        <v>45026</v>
      </c>
      <c r="M906" s="116">
        <v>303.05</v>
      </c>
      <c r="N906" s="116">
        <v>306.7</v>
      </c>
      <c r="O906" s="116">
        <v>299</v>
      </c>
      <c r="P906" s="116">
        <v>304.7</v>
      </c>
      <c r="Q906" s="116">
        <v>303.05</v>
      </c>
      <c r="R906">
        <v>236714</v>
      </c>
    </row>
    <row r="907" spans="1:18" x14ac:dyDescent="0.25">
      <c r="A907" s="170">
        <v>45027</v>
      </c>
      <c r="B907" s="116">
        <v>304.39999999999998</v>
      </c>
      <c r="C907" s="116">
        <v>300.45</v>
      </c>
      <c r="D907" s="116">
        <v>297.5</v>
      </c>
      <c r="E907" s="116">
        <v>303.05</v>
      </c>
      <c r="F907" s="116">
        <v>300.45</v>
      </c>
      <c r="G907">
        <v>21649</v>
      </c>
      <c r="H907" s="116"/>
      <c r="I907" s="116"/>
      <c r="L907" s="170">
        <v>45027</v>
      </c>
      <c r="M907" s="116">
        <v>300.3</v>
      </c>
      <c r="N907" s="116">
        <v>304.7</v>
      </c>
      <c r="O907" s="116">
        <v>297.5</v>
      </c>
      <c r="P907" s="116">
        <v>302.5</v>
      </c>
      <c r="Q907" s="116">
        <v>300.3</v>
      </c>
      <c r="R907">
        <v>203767</v>
      </c>
    </row>
    <row r="908" spans="1:18" x14ac:dyDescent="0.25">
      <c r="A908" s="170">
        <v>45028</v>
      </c>
      <c r="B908" s="116">
        <v>307</v>
      </c>
      <c r="C908" s="116">
        <v>299.75</v>
      </c>
      <c r="D908" s="116">
        <v>298.64999999999998</v>
      </c>
      <c r="E908" s="116">
        <v>302.95</v>
      </c>
      <c r="F908" s="116">
        <v>299.75</v>
      </c>
      <c r="G908">
        <v>19527</v>
      </c>
      <c r="H908" s="116"/>
      <c r="I908" s="116"/>
      <c r="L908" s="170">
        <v>45028</v>
      </c>
      <c r="M908" s="116">
        <v>299.85000000000002</v>
      </c>
      <c r="N908" s="116">
        <v>306.7</v>
      </c>
      <c r="O908" s="116">
        <v>298.55</v>
      </c>
      <c r="P908" s="116">
        <v>301.89999999999998</v>
      </c>
      <c r="Q908" s="116">
        <v>299.85000000000002</v>
      </c>
      <c r="R908">
        <v>238221</v>
      </c>
    </row>
    <row r="909" spans="1:18" x14ac:dyDescent="0.25">
      <c r="A909" s="170">
        <v>45029</v>
      </c>
      <c r="B909" s="116">
        <v>302.8</v>
      </c>
      <c r="C909" s="116">
        <v>298.45</v>
      </c>
      <c r="D909" s="116">
        <v>295.14999999999998</v>
      </c>
      <c r="E909" s="116">
        <v>302.45</v>
      </c>
      <c r="F909" s="116">
        <v>298.45</v>
      </c>
      <c r="G909">
        <v>12679</v>
      </c>
      <c r="H909" s="116"/>
      <c r="I909" s="116"/>
      <c r="L909" s="170">
        <v>45029</v>
      </c>
      <c r="M909" s="116">
        <v>298.60000000000002</v>
      </c>
      <c r="N909" s="116">
        <v>302.75</v>
      </c>
      <c r="O909" s="116">
        <v>295.10000000000002</v>
      </c>
      <c r="P909" s="116">
        <v>300</v>
      </c>
      <c r="Q909" s="116">
        <v>298.60000000000002</v>
      </c>
      <c r="R909">
        <v>229768</v>
      </c>
    </row>
    <row r="910" spans="1:18" x14ac:dyDescent="0.25">
      <c r="A910" s="170">
        <v>45033</v>
      </c>
      <c r="B910" s="116">
        <v>301</v>
      </c>
      <c r="C910" s="116">
        <v>297.7</v>
      </c>
      <c r="D910" s="116">
        <v>292.95</v>
      </c>
      <c r="E910" s="116">
        <v>298</v>
      </c>
      <c r="F910" s="116">
        <v>297.7</v>
      </c>
      <c r="G910">
        <v>11567</v>
      </c>
      <c r="H910" s="116"/>
      <c r="I910" s="116"/>
      <c r="L910" s="170">
        <v>45033</v>
      </c>
      <c r="M910" s="116">
        <v>297.8</v>
      </c>
      <c r="N910" s="116">
        <v>301</v>
      </c>
      <c r="O910" s="116">
        <v>292.64999999999998</v>
      </c>
      <c r="P910" s="116">
        <v>298.60000000000002</v>
      </c>
      <c r="Q910" s="116">
        <v>297.8</v>
      </c>
      <c r="R910">
        <v>262537</v>
      </c>
    </row>
    <row r="911" spans="1:18" x14ac:dyDescent="0.25">
      <c r="A911" s="170">
        <v>45034</v>
      </c>
      <c r="B911" s="116">
        <v>305.64999999999998</v>
      </c>
      <c r="C911" s="116">
        <v>303.55</v>
      </c>
      <c r="D911" s="116">
        <v>296</v>
      </c>
      <c r="E911" s="116">
        <v>298.35000000000002</v>
      </c>
      <c r="F911" s="116">
        <v>303.55</v>
      </c>
      <c r="G911">
        <v>34781</v>
      </c>
      <c r="H911" s="116"/>
      <c r="I911" s="116"/>
      <c r="L911" s="170">
        <v>45034</v>
      </c>
      <c r="M911" s="116">
        <v>303.8</v>
      </c>
      <c r="N911" s="116">
        <v>305.89999999999998</v>
      </c>
      <c r="O911" s="116">
        <v>295.64999999999998</v>
      </c>
      <c r="P911" s="116">
        <v>299</v>
      </c>
      <c r="Q911" s="116">
        <v>303.8</v>
      </c>
      <c r="R911">
        <v>576513</v>
      </c>
    </row>
    <row r="912" spans="1:18" x14ac:dyDescent="0.25">
      <c r="A912" s="170">
        <v>45035</v>
      </c>
      <c r="B912" s="116">
        <v>312</v>
      </c>
      <c r="C912" s="116">
        <v>306.05</v>
      </c>
      <c r="D912" s="116">
        <v>304.10000000000002</v>
      </c>
      <c r="E912" s="116">
        <v>306</v>
      </c>
      <c r="F912" s="116">
        <v>306.05</v>
      </c>
      <c r="G912">
        <v>18062</v>
      </c>
      <c r="H912" s="116"/>
      <c r="I912" s="116"/>
      <c r="L912" s="170">
        <v>45035</v>
      </c>
      <c r="M912" s="116">
        <v>305.60000000000002</v>
      </c>
      <c r="N912" s="116">
        <v>312.64999999999998</v>
      </c>
      <c r="O912" s="116">
        <v>304</v>
      </c>
      <c r="P912" s="116">
        <v>305.95</v>
      </c>
      <c r="Q912" s="116">
        <v>305.60000000000002</v>
      </c>
      <c r="R912">
        <v>397750</v>
      </c>
    </row>
    <row r="913" spans="1:18" x14ac:dyDescent="0.25">
      <c r="A913" s="170">
        <v>45036</v>
      </c>
      <c r="B913" s="116">
        <v>311.25</v>
      </c>
      <c r="C913" s="116">
        <v>306.64999999999998</v>
      </c>
      <c r="D913" s="116">
        <v>304.2</v>
      </c>
      <c r="E913" s="116">
        <v>306.05</v>
      </c>
      <c r="F913" s="116">
        <v>306.64999999999998</v>
      </c>
      <c r="G913">
        <v>55849</v>
      </c>
      <c r="H913" s="116"/>
      <c r="I913" s="116"/>
      <c r="L913" s="170">
        <v>45036</v>
      </c>
      <c r="M913" s="116">
        <v>307.14999999999998</v>
      </c>
      <c r="N913" s="116">
        <v>311.10000000000002</v>
      </c>
      <c r="O913" s="116">
        <v>305.60000000000002</v>
      </c>
      <c r="P913" s="116">
        <v>306.3</v>
      </c>
      <c r="Q913" s="116">
        <v>307.14999999999998</v>
      </c>
      <c r="R913">
        <v>376738</v>
      </c>
    </row>
    <row r="914" spans="1:18" x14ac:dyDescent="0.25">
      <c r="A914" s="170">
        <v>45037</v>
      </c>
      <c r="B914" s="116">
        <v>299.39999999999998</v>
      </c>
      <c r="C914" s="116">
        <v>296.75</v>
      </c>
      <c r="D914" s="116">
        <v>279</v>
      </c>
      <c r="E914" s="116">
        <v>289.75</v>
      </c>
      <c r="F914" s="116">
        <v>296.75</v>
      </c>
      <c r="G914">
        <v>159624</v>
      </c>
      <c r="H914" s="116"/>
      <c r="I914" s="116"/>
      <c r="L914" s="170">
        <v>45037</v>
      </c>
      <c r="M914" s="116">
        <v>296.60000000000002</v>
      </c>
      <c r="N914" s="116">
        <v>299.3</v>
      </c>
      <c r="O914" s="116">
        <v>278.85000000000002</v>
      </c>
      <c r="P914" s="116">
        <v>288.05</v>
      </c>
      <c r="Q914" s="116">
        <v>296.60000000000002</v>
      </c>
      <c r="R914">
        <v>3109709</v>
      </c>
    </row>
    <row r="915" spans="1:18" x14ac:dyDescent="0.25">
      <c r="A915" s="170">
        <v>45040</v>
      </c>
      <c r="B915" s="116">
        <v>308.39999999999998</v>
      </c>
      <c r="C915" s="116">
        <v>305.8</v>
      </c>
      <c r="D915" s="116">
        <v>292.75</v>
      </c>
      <c r="E915" s="116">
        <v>298.05</v>
      </c>
      <c r="F915" s="116">
        <v>305.8</v>
      </c>
      <c r="G915">
        <v>140117</v>
      </c>
      <c r="H915" s="116"/>
      <c r="I915" s="116"/>
      <c r="L915" s="170">
        <v>45040</v>
      </c>
      <c r="M915" s="116">
        <v>305.64999999999998</v>
      </c>
      <c r="N915" s="116">
        <v>308.7</v>
      </c>
      <c r="O915" s="116">
        <v>292.64999999999998</v>
      </c>
      <c r="P915" s="116">
        <v>298.75</v>
      </c>
      <c r="Q915" s="116">
        <v>305.64999999999998</v>
      </c>
      <c r="R915">
        <v>1662490</v>
      </c>
    </row>
    <row r="916" spans="1:18" x14ac:dyDescent="0.25">
      <c r="A916" s="170">
        <v>45041</v>
      </c>
      <c r="B916" s="116">
        <v>308</v>
      </c>
      <c r="C916" s="116">
        <v>299.05</v>
      </c>
      <c r="D916" s="116">
        <v>298</v>
      </c>
      <c r="E916" s="116">
        <v>306</v>
      </c>
      <c r="F916" s="116">
        <v>299.05</v>
      </c>
      <c r="G916">
        <v>56150</v>
      </c>
      <c r="H916" s="116"/>
      <c r="I916" s="116"/>
      <c r="L916" s="170">
        <v>45041</v>
      </c>
      <c r="M916" s="116">
        <v>299.55</v>
      </c>
      <c r="N916" s="116">
        <v>308.2</v>
      </c>
      <c r="O916" s="116">
        <v>297.89999999999998</v>
      </c>
      <c r="P916" s="116">
        <v>306.55</v>
      </c>
      <c r="Q916" s="116">
        <v>299.55</v>
      </c>
      <c r="R916">
        <v>1167343</v>
      </c>
    </row>
    <row r="917" spans="1:18" x14ac:dyDescent="0.25">
      <c r="A917" s="170">
        <v>45042</v>
      </c>
      <c r="B917" s="116">
        <v>302.14999999999998</v>
      </c>
      <c r="C917" s="116">
        <v>293.75</v>
      </c>
      <c r="D917" s="116">
        <v>293</v>
      </c>
      <c r="E917" s="116">
        <v>301.8</v>
      </c>
      <c r="F917" s="116">
        <v>293.75</v>
      </c>
      <c r="G917">
        <v>15387</v>
      </c>
      <c r="H917" s="116"/>
      <c r="I917" s="116"/>
      <c r="L917" s="170">
        <v>45042</v>
      </c>
      <c r="M917" s="116">
        <v>293.8</v>
      </c>
      <c r="N917" s="116">
        <v>301.60000000000002</v>
      </c>
      <c r="O917" s="116">
        <v>292.8</v>
      </c>
      <c r="P917" s="116">
        <v>299</v>
      </c>
      <c r="Q917" s="116">
        <v>293.8</v>
      </c>
      <c r="R917">
        <v>310679</v>
      </c>
    </row>
    <row r="918" spans="1:18" x14ac:dyDescent="0.25">
      <c r="A918" s="170">
        <v>45043</v>
      </c>
      <c r="B918" s="116">
        <v>296.89999999999998</v>
      </c>
      <c r="C918" s="116">
        <v>293.35000000000002</v>
      </c>
      <c r="D918" s="116">
        <v>292.14999999999998</v>
      </c>
      <c r="E918" s="116">
        <v>294.39999999999998</v>
      </c>
      <c r="F918" s="116">
        <v>293.35000000000002</v>
      </c>
      <c r="G918">
        <v>22268</v>
      </c>
      <c r="H918" s="116"/>
      <c r="I918" s="116"/>
      <c r="L918" s="170">
        <v>45043</v>
      </c>
      <c r="M918" s="116">
        <v>293.5</v>
      </c>
      <c r="N918" s="116">
        <v>297.05</v>
      </c>
      <c r="O918" s="116">
        <v>292.05</v>
      </c>
      <c r="P918" s="116">
        <v>293.8</v>
      </c>
      <c r="Q918" s="116">
        <v>293.5</v>
      </c>
      <c r="R918">
        <v>154733</v>
      </c>
    </row>
    <row r="919" spans="1:18" x14ac:dyDescent="0.25">
      <c r="A919" s="170">
        <v>45044</v>
      </c>
      <c r="B919" s="116">
        <v>298.7</v>
      </c>
      <c r="C919" s="116">
        <v>296.89999999999998</v>
      </c>
      <c r="D919" s="116">
        <v>292.3</v>
      </c>
      <c r="E919" s="116">
        <v>295.05</v>
      </c>
      <c r="F919" s="116">
        <v>296.89999999999998</v>
      </c>
      <c r="G919">
        <v>13444</v>
      </c>
      <c r="H919" s="116"/>
      <c r="I919" s="116"/>
      <c r="L919" s="170">
        <v>45044</v>
      </c>
      <c r="M919" s="116">
        <v>297.05</v>
      </c>
      <c r="N919" s="116">
        <v>298.7</v>
      </c>
      <c r="O919" s="116">
        <v>292.3</v>
      </c>
      <c r="P919" s="116">
        <v>295.5</v>
      </c>
      <c r="Q919" s="116">
        <v>297.05</v>
      </c>
      <c r="R919">
        <v>173087</v>
      </c>
    </row>
    <row r="920" spans="1:18" x14ac:dyDescent="0.25">
      <c r="A920" s="170">
        <v>45048</v>
      </c>
      <c r="B920" s="116">
        <v>300</v>
      </c>
      <c r="C920" s="116">
        <v>295.60000000000002</v>
      </c>
      <c r="D920" s="116">
        <v>294.14999999999998</v>
      </c>
      <c r="E920" s="116">
        <v>299.39999999999998</v>
      </c>
      <c r="F920" s="116">
        <v>295.60000000000002</v>
      </c>
      <c r="G920">
        <v>11902</v>
      </c>
      <c r="H920" s="116"/>
      <c r="I920" s="116"/>
      <c r="L920" s="170">
        <v>45048</v>
      </c>
      <c r="M920" s="116">
        <v>295.64999999999998</v>
      </c>
      <c r="N920" s="116">
        <v>300</v>
      </c>
      <c r="O920" s="116">
        <v>294.5</v>
      </c>
      <c r="P920" s="116">
        <v>297.10000000000002</v>
      </c>
      <c r="Q920" s="116">
        <v>295.64999999999998</v>
      </c>
      <c r="R920">
        <v>220937</v>
      </c>
    </row>
    <row r="921" spans="1:18" x14ac:dyDescent="0.25">
      <c r="A921" s="170">
        <v>45049</v>
      </c>
      <c r="B921" s="116">
        <v>301.45</v>
      </c>
      <c r="C921" s="116">
        <v>296.55</v>
      </c>
      <c r="D921" s="116">
        <v>291.8</v>
      </c>
      <c r="E921" s="116">
        <v>291.8</v>
      </c>
      <c r="F921" s="116">
        <v>296.55</v>
      </c>
      <c r="G921">
        <v>515544</v>
      </c>
      <c r="H921" s="116"/>
      <c r="I921" s="116"/>
      <c r="L921" s="170">
        <v>45049</v>
      </c>
      <c r="M921" s="116">
        <v>296.85000000000002</v>
      </c>
      <c r="N921" s="116">
        <v>302</v>
      </c>
      <c r="O921" s="116">
        <v>293</v>
      </c>
      <c r="P921" s="116">
        <v>294.10000000000002</v>
      </c>
      <c r="Q921" s="116">
        <v>296.85000000000002</v>
      </c>
      <c r="R921">
        <v>722604</v>
      </c>
    </row>
    <row r="922" spans="1:18" x14ac:dyDescent="0.25">
      <c r="A922" s="170">
        <v>45050</v>
      </c>
      <c r="B922" s="116">
        <v>299.8</v>
      </c>
      <c r="C922" s="116">
        <v>294.5</v>
      </c>
      <c r="D922" s="116">
        <v>294.10000000000002</v>
      </c>
      <c r="E922" s="116">
        <v>299.35000000000002</v>
      </c>
      <c r="F922" s="116">
        <v>294.5</v>
      </c>
      <c r="G922">
        <v>11642</v>
      </c>
      <c r="H922" s="116"/>
      <c r="I922" s="116"/>
      <c r="L922" s="170">
        <v>45050</v>
      </c>
      <c r="M922" s="116">
        <v>294.5</v>
      </c>
      <c r="N922" s="116">
        <v>299.89999999999998</v>
      </c>
      <c r="O922" s="116">
        <v>294</v>
      </c>
      <c r="P922" s="116">
        <v>296.85000000000002</v>
      </c>
      <c r="Q922" s="116">
        <v>294.5</v>
      </c>
      <c r="R922">
        <v>235104</v>
      </c>
    </row>
    <row r="923" spans="1:18" x14ac:dyDescent="0.25">
      <c r="A923" s="170">
        <v>45051</v>
      </c>
      <c r="B923" s="116">
        <v>297.85000000000002</v>
      </c>
      <c r="C923" s="116">
        <v>293.25</v>
      </c>
      <c r="D923" s="116">
        <v>291.5</v>
      </c>
      <c r="E923" s="116">
        <v>292.10000000000002</v>
      </c>
      <c r="F923" s="116">
        <v>293.25</v>
      </c>
      <c r="G923">
        <v>20448</v>
      </c>
      <c r="H923" s="116"/>
      <c r="I923" s="116"/>
      <c r="L923" s="170">
        <v>45051</v>
      </c>
      <c r="M923" s="116">
        <v>293.2</v>
      </c>
      <c r="N923" s="116">
        <v>297.89999999999998</v>
      </c>
      <c r="O923" s="116">
        <v>291.2</v>
      </c>
      <c r="P923" s="116">
        <v>294.89999999999998</v>
      </c>
      <c r="Q923" s="116">
        <v>293.2</v>
      </c>
      <c r="R923">
        <v>147233</v>
      </c>
    </row>
    <row r="924" spans="1:18" x14ac:dyDescent="0.25">
      <c r="A924" s="170">
        <v>45054</v>
      </c>
      <c r="B924" s="116">
        <v>300.3</v>
      </c>
      <c r="C924" s="116">
        <v>296.7</v>
      </c>
      <c r="D924" s="116">
        <v>292.35000000000002</v>
      </c>
      <c r="E924" s="116">
        <v>292.35000000000002</v>
      </c>
      <c r="F924" s="116">
        <v>296.7</v>
      </c>
      <c r="G924">
        <v>32530</v>
      </c>
      <c r="H924" s="116"/>
      <c r="I924" s="116"/>
      <c r="L924" s="170">
        <v>45054</v>
      </c>
      <c r="M924" s="116">
        <v>297</v>
      </c>
      <c r="N924" s="116">
        <v>300.8</v>
      </c>
      <c r="O924" s="116">
        <v>293.05</v>
      </c>
      <c r="P924" s="116">
        <v>293.2</v>
      </c>
      <c r="Q924" s="116">
        <v>297</v>
      </c>
      <c r="R924">
        <v>270913</v>
      </c>
    </row>
    <row r="925" spans="1:18" x14ac:dyDescent="0.25">
      <c r="A925" s="170">
        <v>45055</v>
      </c>
      <c r="B925" s="116">
        <v>297.35000000000002</v>
      </c>
      <c r="C925" s="116">
        <v>295.8</v>
      </c>
      <c r="D925" s="116">
        <v>294.35000000000002</v>
      </c>
      <c r="E925" s="116">
        <v>296.05</v>
      </c>
      <c r="F925" s="116">
        <v>295.8</v>
      </c>
      <c r="G925">
        <v>8690</v>
      </c>
      <c r="H925" s="116"/>
      <c r="I925" s="116"/>
      <c r="L925" s="170">
        <v>45055</v>
      </c>
      <c r="M925" s="116">
        <v>295.39999999999998</v>
      </c>
      <c r="N925" s="116">
        <v>298.5</v>
      </c>
      <c r="O925" s="116">
        <v>294.2</v>
      </c>
      <c r="P925" s="116">
        <v>297</v>
      </c>
      <c r="Q925" s="116">
        <v>295.39999999999998</v>
      </c>
      <c r="R925">
        <v>163465</v>
      </c>
    </row>
    <row r="926" spans="1:18" x14ac:dyDescent="0.25">
      <c r="A926" s="170">
        <v>45056</v>
      </c>
      <c r="B926" s="116">
        <v>297.14999999999998</v>
      </c>
      <c r="C926" s="116">
        <v>295.2</v>
      </c>
      <c r="D926" s="116">
        <v>292.3</v>
      </c>
      <c r="E926" s="116">
        <v>295.3</v>
      </c>
      <c r="F926" s="116">
        <v>295.2</v>
      </c>
      <c r="G926">
        <v>16785</v>
      </c>
      <c r="H926" s="116"/>
      <c r="I926" s="116"/>
      <c r="L926" s="170">
        <v>45056</v>
      </c>
      <c r="M926" s="116">
        <v>296</v>
      </c>
      <c r="N926" s="116">
        <v>297</v>
      </c>
      <c r="O926" s="116">
        <v>292.2</v>
      </c>
      <c r="P926" s="116">
        <v>295</v>
      </c>
      <c r="Q926" s="116">
        <v>296</v>
      </c>
      <c r="R926">
        <v>144870</v>
      </c>
    </row>
    <row r="927" spans="1:18" x14ac:dyDescent="0.25">
      <c r="A927" s="170">
        <v>45057</v>
      </c>
      <c r="B927" s="116">
        <v>297.35000000000002</v>
      </c>
      <c r="C927" s="116">
        <v>295.85000000000002</v>
      </c>
      <c r="D927" s="116">
        <v>294.05</v>
      </c>
      <c r="E927" s="116">
        <v>295.39999999999998</v>
      </c>
      <c r="F927" s="116">
        <v>295.85000000000002</v>
      </c>
      <c r="G927">
        <v>7399</v>
      </c>
      <c r="H927" s="116"/>
      <c r="I927" s="116"/>
      <c r="L927" s="170">
        <v>45057</v>
      </c>
      <c r="M927" s="116">
        <v>296.14999999999998</v>
      </c>
      <c r="N927" s="116">
        <v>297.35000000000002</v>
      </c>
      <c r="O927" s="116">
        <v>293.85000000000002</v>
      </c>
      <c r="P927" s="116">
        <v>295</v>
      </c>
      <c r="Q927" s="116">
        <v>296.14999999999998</v>
      </c>
      <c r="R927">
        <v>141331</v>
      </c>
    </row>
    <row r="928" spans="1:18" x14ac:dyDescent="0.25">
      <c r="A928" s="170">
        <v>45058</v>
      </c>
      <c r="B928" s="116">
        <v>296.64999999999998</v>
      </c>
      <c r="C928" s="116">
        <v>293.89999999999998</v>
      </c>
      <c r="D928" s="116">
        <v>292.35000000000002</v>
      </c>
      <c r="E928" s="116">
        <v>292.35000000000002</v>
      </c>
      <c r="F928" s="116">
        <v>293.89999999999998</v>
      </c>
      <c r="G928">
        <v>4338</v>
      </c>
      <c r="H928" s="116"/>
      <c r="I928" s="116"/>
      <c r="L928" s="170">
        <v>45058</v>
      </c>
      <c r="M928" s="116">
        <v>293.7</v>
      </c>
      <c r="N928" s="116">
        <v>297.05</v>
      </c>
      <c r="O928" s="116">
        <v>292.5</v>
      </c>
      <c r="P928" s="116">
        <v>295.3</v>
      </c>
      <c r="Q928" s="116">
        <v>293.7</v>
      </c>
      <c r="R928">
        <v>131994</v>
      </c>
    </row>
    <row r="929" spans="1:18" x14ac:dyDescent="0.25">
      <c r="A929" s="170">
        <v>45061</v>
      </c>
      <c r="B929" s="116">
        <v>295.39999999999998</v>
      </c>
      <c r="C929" s="116">
        <v>289.3</v>
      </c>
      <c r="D929" s="116">
        <v>287.8</v>
      </c>
      <c r="E929" s="116">
        <v>294.05</v>
      </c>
      <c r="F929" s="116">
        <v>289.3</v>
      </c>
      <c r="G929">
        <v>24715</v>
      </c>
      <c r="H929" s="116"/>
      <c r="I929" s="116"/>
      <c r="L929" s="170">
        <v>45061</v>
      </c>
      <c r="M929" s="116">
        <v>289.35000000000002</v>
      </c>
      <c r="N929" s="116">
        <v>295.7</v>
      </c>
      <c r="O929" s="116">
        <v>288.25</v>
      </c>
      <c r="P929" s="116">
        <v>295</v>
      </c>
      <c r="Q929" s="116">
        <v>289.35000000000002</v>
      </c>
      <c r="R929">
        <v>216399</v>
      </c>
    </row>
    <row r="930" spans="1:18" x14ac:dyDescent="0.25">
      <c r="A930" s="170">
        <v>45062</v>
      </c>
      <c r="B930" s="116">
        <v>295.10000000000002</v>
      </c>
      <c r="C930" s="116">
        <v>291.10000000000002</v>
      </c>
      <c r="D930" s="116">
        <v>287.89999999999998</v>
      </c>
      <c r="E930" s="116">
        <v>289.5</v>
      </c>
      <c r="F930" s="116">
        <v>291.10000000000002</v>
      </c>
      <c r="G930">
        <v>10040</v>
      </c>
      <c r="H930" s="116"/>
      <c r="I930" s="116"/>
      <c r="L930" s="170">
        <v>45062</v>
      </c>
      <c r="M930" s="116">
        <v>291</v>
      </c>
      <c r="N930" s="116">
        <v>295.39999999999998</v>
      </c>
      <c r="O930" s="116">
        <v>287.60000000000002</v>
      </c>
      <c r="P930" s="116">
        <v>289.3</v>
      </c>
      <c r="Q930" s="116">
        <v>291</v>
      </c>
      <c r="R930">
        <v>209552</v>
      </c>
    </row>
    <row r="931" spans="1:18" x14ac:dyDescent="0.25">
      <c r="A931" s="170">
        <v>45063</v>
      </c>
      <c r="B931" s="116">
        <v>297</v>
      </c>
      <c r="C931" s="116">
        <v>293.64999999999998</v>
      </c>
      <c r="D931" s="116">
        <v>288.05</v>
      </c>
      <c r="E931" s="116">
        <v>290.2</v>
      </c>
      <c r="F931" s="116">
        <v>293.64999999999998</v>
      </c>
      <c r="G931">
        <v>41328</v>
      </c>
      <c r="H931" s="116"/>
      <c r="I931" s="116"/>
      <c r="L931" s="170">
        <v>45063</v>
      </c>
      <c r="M931" s="116">
        <v>293.60000000000002</v>
      </c>
      <c r="N931" s="116">
        <v>297.10000000000002</v>
      </c>
      <c r="O931" s="116">
        <v>288.25</v>
      </c>
      <c r="P931" s="116">
        <v>290.5</v>
      </c>
      <c r="Q931" s="116">
        <v>293.60000000000002</v>
      </c>
      <c r="R931">
        <v>258565</v>
      </c>
    </row>
    <row r="932" spans="1:18" x14ac:dyDescent="0.25">
      <c r="A932" s="170">
        <v>45064</v>
      </c>
      <c r="B932" s="116">
        <v>297.2</v>
      </c>
      <c r="C932" s="116">
        <v>289.60000000000002</v>
      </c>
      <c r="D932" s="116">
        <v>288.7</v>
      </c>
      <c r="E932" s="116">
        <v>294.35000000000002</v>
      </c>
      <c r="F932" s="116">
        <v>289.60000000000002</v>
      </c>
      <c r="G932">
        <v>24148</v>
      </c>
      <c r="H932" s="116"/>
      <c r="I932" s="116"/>
      <c r="L932" s="170">
        <v>45064</v>
      </c>
      <c r="M932" s="116">
        <v>289.39999999999998</v>
      </c>
      <c r="N932" s="116">
        <v>297.10000000000002</v>
      </c>
      <c r="O932" s="116">
        <v>288.25</v>
      </c>
      <c r="P932" s="116">
        <v>293.3</v>
      </c>
      <c r="Q932" s="116">
        <v>289.39999999999998</v>
      </c>
      <c r="R932">
        <v>112618</v>
      </c>
    </row>
    <row r="933" spans="1:18" x14ac:dyDescent="0.25">
      <c r="A933" s="170">
        <v>45065</v>
      </c>
      <c r="B933" s="116">
        <v>291.39999999999998</v>
      </c>
      <c r="C933" s="116">
        <v>286.55</v>
      </c>
      <c r="D933" s="116">
        <v>284.5</v>
      </c>
      <c r="E933" s="116">
        <v>289.3</v>
      </c>
      <c r="F933" s="116">
        <v>286.55</v>
      </c>
      <c r="G933">
        <v>20650</v>
      </c>
      <c r="H933" s="116"/>
      <c r="I933" s="116"/>
      <c r="L933" s="170">
        <v>45065</v>
      </c>
      <c r="M933" s="116">
        <v>286.89999999999998</v>
      </c>
      <c r="N933" s="116">
        <v>291.75</v>
      </c>
      <c r="O933" s="116">
        <v>284.25</v>
      </c>
      <c r="P933" s="116">
        <v>289.5</v>
      </c>
      <c r="Q933" s="116">
        <v>286.89999999999998</v>
      </c>
      <c r="R933">
        <v>201553</v>
      </c>
    </row>
    <row r="934" spans="1:18" x14ac:dyDescent="0.25">
      <c r="A934" s="170">
        <v>45068</v>
      </c>
      <c r="B934" s="116">
        <v>289.05</v>
      </c>
      <c r="C934" s="116">
        <v>285.39999999999998</v>
      </c>
      <c r="D934" s="116">
        <v>285.05</v>
      </c>
      <c r="E934" s="116">
        <v>285.05</v>
      </c>
      <c r="F934" s="116">
        <v>285.39999999999998</v>
      </c>
      <c r="G934">
        <v>6608</v>
      </c>
      <c r="H934" s="116"/>
      <c r="I934" s="116"/>
      <c r="L934" s="170">
        <v>45068</v>
      </c>
      <c r="M934" s="116">
        <v>285.64999999999998</v>
      </c>
      <c r="N934" s="116">
        <v>289.39999999999998</v>
      </c>
      <c r="O934" s="116">
        <v>285.25</v>
      </c>
      <c r="P934" s="116">
        <v>286.8</v>
      </c>
      <c r="Q934" s="116">
        <v>285.64999999999998</v>
      </c>
      <c r="R934">
        <v>152887</v>
      </c>
    </row>
    <row r="935" spans="1:18" x14ac:dyDescent="0.25">
      <c r="A935" s="170">
        <v>45069</v>
      </c>
      <c r="B935" s="116">
        <v>288.7</v>
      </c>
      <c r="C935" s="116">
        <v>285.39999999999998</v>
      </c>
      <c r="D935" s="116">
        <v>285</v>
      </c>
      <c r="E935" s="116">
        <v>287.95</v>
      </c>
      <c r="F935" s="116">
        <v>285.39999999999998</v>
      </c>
      <c r="G935">
        <v>10823</v>
      </c>
      <c r="H935" s="116"/>
      <c r="I935" s="116"/>
      <c r="L935" s="170">
        <v>45069</v>
      </c>
      <c r="M935" s="116">
        <v>285.7</v>
      </c>
      <c r="N935" s="116">
        <v>288.89999999999998</v>
      </c>
      <c r="O935" s="116">
        <v>285.25</v>
      </c>
      <c r="P935" s="116">
        <v>286.75</v>
      </c>
      <c r="Q935" s="116">
        <v>285.7</v>
      </c>
      <c r="R935">
        <v>124432</v>
      </c>
    </row>
    <row r="936" spans="1:18" x14ac:dyDescent="0.25">
      <c r="A936" s="170">
        <v>45070</v>
      </c>
      <c r="B936" s="116">
        <v>286.25</v>
      </c>
      <c r="C936" s="116">
        <v>281.45</v>
      </c>
      <c r="D936" s="116">
        <v>277.64999999999998</v>
      </c>
      <c r="E936" s="116">
        <v>285.5</v>
      </c>
      <c r="F936" s="116">
        <v>281.45</v>
      </c>
      <c r="G936">
        <v>29588</v>
      </c>
      <c r="H936" s="116"/>
      <c r="I936" s="116"/>
      <c r="L936" s="170">
        <v>45070</v>
      </c>
      <c r="M936" s="116">
        <v>281.14999999999998</v>
      </c>
      <c r="N936" s="116">
        <v>285.60000000000002</v>
      </c>
      <c r="O936" s="116">
        <v>277.55</v>
      </c>
      <c r="P936" s="116">
        <v>285.14999999999998</v>
      </c>
      <c r="Q936" s="116">
        <v>281.14999999999998</v>
      </c>
      <c r="R936">
        <v>395622</v>
      </c>
    </row>
    <row r="937" spans="1:18" x14ac:dyDescent="0.25">
      <c r="A937" s="170">
        <v>45071</v>
      </c>
      <c r="B937" s="116">
        <v>280.95</v>
      </c>
      <c r="C937" s="116">
        <v>278.75</v>
      </c>
      <c r="D937" s="116">
        <v>277.55</v>
      </c>
      <c r="E937" s="116">
        <v>280.95</v>
      </c>
      <c r="F937" s="116">
        <v>278.75</v>
      </c>
      <c r="G937">
        <v>19145</v>
      </c>
      <c r="H937" s="116"/>
      <c r="I937" s="116"/>
      <c r="L937" s="170">
        <v>45071</v>
      </c>
      <c r="M937" s="116">
        <v>278.85000000000002</v>
      </c>
      <c r="N937" s="116">
        <v>282.10000000000002</v>
      </c>
      <c r="O937" s="116">
        <v>277.5</v>
      </c>
      <c r="P937" s="116">
        <v>281</v>
      </c>
      <c r="Q937" s="116">
        <v>278.85000000000002</v>
      </c>
      <c r="R937">
        <v>184890</v>
      </c>
    </row>
    <row r="938" spans="1:18" x14ac:dyDescent="0.25">
      <c r="A938" s="170">
        <v>45072</v>
      </c>
      <c r="B938" s="116">
        <v>283.85000000000002</v>
      </c>
      <c r="C938" s="116">
        <v>278.35000000000002</v>
      </c>
      <c r="D938" s="116">
        <v>278</v>
      </c>
      <c r="E938" s="116">
        <v>283.85000000000002</v>
      </c>
      <c r="F938" s="116">
        <v>278.35000000000002</v>
      </c>
      <c r="G938">
        <v>9653</v>
      </c>
      <c r="H938" s="116"/>
      <c r="I938" s="116"/>
      <c r="L938" s="170">
        <v>45072</v>
      </c>
      <c r="M938" s="116">
        <v>278.64999999999998</v>
      </c>
      <c r="N938" s="116">
        <v>281.45</v>
      </c>
      <c r="O938" s="116">
        <v>278.05</v>
      </c>
      <c r="P938" s="116">
        <v>279.75</v>
      </c>
      <c r="Q938" s="116">
        <v>278.64999999999998</v>
      </c>
      <c r="R938">
        <v>124764</v>
      </c>
    </row>
    <row r="939" spans="1:18" x14ac:dyDescent="0.25">
      <c r="A939" s="170">
        <v>45075</v>
      </c>
      <c r="B939" s="116">
        <v>281.10000000000002</v>
      </c>
      <c r="C939" s="116">
        <v>278.5</v>
      </c>
      <c r="D939" s="116">
        <v>277.2</v>
      </c>
      <c r="E939" s="116">
        <v>278.7</v>
      </c>
      <c r="F939" s="116">
        <v>278.5</v>
      </c>
      <c r="G939">
        <v>9709</v>
      </c>
      <c r="H939" s="116"/>
      <c r="I939" s="116"/>
      <c r="L939" s="170">
        <v>45075</v>
      </c>
      <c r="M939" s="116">
        <v>278.60000000000002</v>
      </c>
      <c r="N939" s="116">
        <v>281.89999999999998</v>
      </c>
      <c r="O939" s="116">
        <v>277.10000000000002</v>
      </c>
      <c r="P939" s="116">
        <v>281.39999999999998</v>
      </c>
      <c r="Q939" s="116">
        <v>278.60000000000002</v>
      </c>
      <c r="R939">
        <v>158370</v>
      </c>
    </row>
    <row r="940" spans="1:18" x14ac:dyDescent="0.25">
      <c r="A940" s="170">
        <v>45076</v>
      </c>
      <c r="B940" s="116">
        <v>295.45</v>
      </c>
      <c r="C940" s="116">
        <v>291.10000000000002</v>
      </c>
      <c r="D940" s="116">
        <v>277.25</v>
      </c>
      <c r="E940" s="116">
        <v>280</v>
      </c>
      <c r="F940" s="116">
        <v>291.10000000000002</v>
      </c>
      <c r="G940">
        <v>36727</v>
      </c>
      <c r="H940" s="116"/>
      <c r="I940" s="116"/>
      <c r="L940" s="170">
        <v>45076</v>
      </c>
      <c r="M940" s="116">
        <v>290.85000000000002</v>
      </c>
      <c r="N940" s="116">
        <v>296</v>
      </c>
      <c r="O940" s="116">
        <v>277.05</v>
      </c>
      <c r="P940" s="116">
        <v>279.64999999999998</v>
      </c>
      <c r="Q940" s="116">
        <v>290.85000000000002</v>
      </c>
      <c r="R940">
        <v>878927</v>
      </c>
    </row>
    <row r="941" spans="1:18" x14ac:dyDescent="0.25">
      <c r="A941" s="170">
        <v>45077</v>
      </c>
      <c r="B941" s="116">
        <v>290.95</v>
      </c>
      <c r="C941" s="116">
        <v>285.39999999999998</v>
      </c>
      <c r="D941" s="116">
        <v>282.3</v>
      </c>
      <c r="E941" s="116">
        <v>290.95</v>
      </c>
      <c r="F941" s="116">
        <v>285.39999999999998</v>
      </c>
      <c r="G941">
        <v>46446</v>
      </c>
      <c r="H941" s="116"/>
      <c r="I941" s="116"/>
      <c r="L941" s="170">
        <v>45077</v>
      </c>
      <c r="M941" s="116">
        <v>285.39999999999998</v>
      </c>
      <c r="N941" s="116">
        <v>290</v>
      </c>
      <c r="O941" s="116">
        <v>283.39999999999998</v>
      </c>
      <c r="P941" s="116">
        <v>290</v>
      </c>
      <c r="Q941" s="116">
        <v>285.39999999999998</v>
      </c>
      <c r="R941">
        <v>244469</v>
      </c>
    </row>
    <row r="942" spans="1:18" x14ac:dyDescent="0.25">
      <c r="A942" s="170">
        <v>45078</v>
      </c>
      <c r="B942" s="116">
        <v>289.2</v>
      </c>
      <c r="C942" s="116">
        <v>286.3</v>
      </c>
      <c r="D942" s="116">
        <v>284</v>
      </c>
      <c r="E942" s="116">
        <v>284</v>
      </c>
      <c r="F942" s="116">
        <v>286.3</v>
      </c>
      <c r="G942">
        <v>22250</v>
      </c>
      <c r="H942" s="116"/>
      <c r="I942" s="116"/>
      <c r="L942" s="170">
        <v>45078</v>
      </c>
      <c r="M942" s="116">
        <v>286.75</v>
      </c>
      <c r="N942" s="116">
        <v>289.5</v>
      </c>
      <c r="O942" s="116">
        <v>284</v>
      </c>
      <c r="P942" s="116">
        <v>286</v>
      </c>
      <c r="Q942" s="116">
        <v>286.75</v>
      </c>
      <c r="R942">
        <v>143154</v>
      </c>
    </row>
    <row r="943" spans="1:18" x14ac:dyDescent="0.25">
      <c r="A943" s="170">
        <v>45079</v>
      </c>
      <c r="B943" s="116">
        <v>290</v>
      </c>
      <c r="C943" s="116">
        <v>288.89999999999998</v>
      </c>
      <c r="D943" s="116">
        <v>287</v>
      </c>
      <c r="E943" s="116">
        <v>287.39999999999998</v>
      </c>
      <c r="F943" s="116">
        <v>288.89999999999998</v>
      </c>
      <c r="G943">
        <v>10502</v>
      </c>
      <c r="H943" s="116"/>
      <c r="I943" s="116"/>
      <c r="L943" s="170">
        <v>45079</v>
      </c>
      <c r="M943" s="116">
        <v>288.64999999999998</v>
      </c>
      <c r="N943" s="116">
        <v>290.45</v>
      </c>
      <c r="O943" s="116">
        <v>286</v>
      </c>
      <c r="P943" s="116">
        <v>286</v>
      </c>
      <c r="Q943" s="116">
        <v>288.64999999999998</v>
      </c>
      <c r="R943">
        <v>189331</v>
      </c>
    </row>
    <row r="944" spans="1:18" x14ac:dyDescent="0.25">
      <c r="A944" s="170">
        <v>45082</v>
      </c>
      <c r="B944" s="116">
        <v>297</v>
      </c>
      <c r="C944" s="116">
        <v>294.5</v>
      </c>
      <c r="D944" s="116">
        <v>287.45</v>
      </c>
      <c r="E944" s="116">
        <v>289.35000000000002</v>
      </c>
      <c r="F944" s="116">
        <v>294.5</v>
      </c>
      <c r="G944">
        <v>68789</v>
      </c>
      <c r="H944" s="116"/>
      <c r="I944" s="116"/>
      <c r="L944" s="170">
        <v>45082</v>
      </c>
      <c r="M944" s="116">
        <v>294.39999999999998</v>
      </c>
      <c r="N944" s="116">
        <v>297.25</v>
      </c>
      <c r="O944" s="116">
        <v>287.39999999999998</v>
      </c>
      <c r="P944" s="116">
        <v>289.95</v>
      </c>
      <c r="Q944" s="116">
        <v>294.39999999999998</v>
      </c>
      <c r="R944">
        <v>1555156</v>
      </c>
    </row>
    <row r="945" spans="1:18" x14ac:dyDescent="0.25">
      <c r="A945" s="170">
        <v>45083</v>
      </c>
      <c r="B945" s="116">
        <v>320.5</v>
      </c>
      <c r="C945" s="116">
        <v>318.60000000000002</v>
      </c>
      <c r="D945" s="116">
        <v>293.45</v>
      </c>
      <c r="E945" s="116">
        <v>294.05</v>
      </c>
      <c r="F945" s="116">
        <v>318.60000000000002</v>
      </c>
      <c r="G945">
        <v>331646</v>
      </c>
      <c r="H945" s="116"/>
      <c r="I945" s="116"/>
      <c r="L945" s="170">
        <v>45083</v>
      </c>
      <c r="M945" s="116">
        <v>318.60000000000002</v>
      </c>
      <c r="N945" s="116">
        <v>320.25</v>
      </c>
      <c r="O945" s="116">
        <v>293.5</v>
      </c>
      <c r="P945" s="116">
        <v>294.95</v>
      </c>
      <c r="Q945" s="116">
        <v>318.60000000000002</v>
      </c>
      <c r="R945">
        <v>2568379</v>
      </c>
    </row>
    <row r="946" spans="1:18" x14ac:dyDescent="0.25">
      <c r="A946" s="170">
        <v>45084</v>
      </c>
      <c r="B946" s="116">
        <v>322.45</v>
      </c>
      <c r="C946" s="116">
        <v>315.55</v>
      </c>
      <c r="D946" s="116">
        <v>312.55</v>
      </c>
      <c r="E946" s="116">
        <v>319.10000000000002</v>
      </c>
      <c r="F946" s="116">
        <v>315.55</v>
      </c>
      <c r="G946">
        <v>93419</v>
      </c>
      <c r="H946" s="116"/>
      <c r="I946" s="116"/>
      <c r="L946" s="170">
        <v>45084</v>
      </c>
      <c r="M946" s="116">
        <v>315.60000000000002</v>
      </c>
      <c r="N946" s="116">
        <v>322.3</v>
      </c>
      <c r="O946" s="116">
        <v>312.7</v>
      </c>
      <c r="P946" s="116">
        <v>320</v>
      </c>
      <c r="Q946" s="116">
        <v>315.60000000000002</v>
      </c>
      <c r="R946">
        <v>706700</v>
      </c>
    </row>
    <row r="947" spans="1:18" x14ac:dyDescent="0.25">
      <c r="A947" s="170">
        <v>45085</v>
      </c>
      <c r="B947" s="116">
        <v>320.45</v>
      </c>
      <c r="C947" s="116">
        <v>314.25</v>
      </c>
      <c r="D947" s="116">
        <v>307.5</v>
      </c>
      <c r="E947" s="116">
        <v>315.55</v>
      </c>
      <c r="F947" s="116">
        <v>314.25</v>
      </c>
      <c r="G947">
        <v>48156</v>
      </c>
      <c r="H947" s="116"/>
      <c r="I947" s="116"/>
      <c r="L947" s="170">
        <v>45085</v>
      </c>
      <c r="M947" s="116">
        <v>314.14999999999998</v>
      </c>
      <c r="N947" s="116">
        <v>320.60000000000002</v>
      </c>
      <c r="O947" s="116">
        <v>307.25</v>
      </c>
      <c r="P947" s="116">
        <v>316.89999999999998</v>
      </c>
      <c r="Q947" s="116">
        <v>314.14999999999998</v>
      </c>
      <c r="R947">
        <v>508109</v>
      </c>
    </row>
    <row r="948" spans="1:18" x14ac:dyDescent="0.25">
      <c r="A948" s="170">
        <v>45086</v>
      </c>
      <c r="B948" s="116">
        <v>324.39999999999998</v>
      </c>
      <c r="C948" s="116">
        <v>315</v>
      </c>
      <c r="D948" s="116">
        <v>312.2</v>
      </c>
      <c r="E948" s="116">
        <v>313.55</v>
      </c>
      <c r="F948" s="116">
        <v>315</v>
      </c>
      <c r="G948">
        <v>77856</v>
      </c>
      <c r="H948" s="116"/>
      <c r="I948" s="116"/>
      <c r="L948" s="170">
        <v>45086</v>
      </c>
      <c r="M948" s="116">
        <v>314.8</v>
      </c>
      <c r="N948" s="116">
        <v>324.7</v>
      </c>
      <c r="O948" s="116">
        <v>312.3</v>
      </c>
      <c r="P948" s="116">
        <v>314.05</v>
      </c>
      <c r="Q948" s="116">
        <v>314.8</v>
      </c>
      <c r="R948">
        <v>743633</v>
      </c>
    </row>
    <row r="949" spans="1:18" x14ac:dyDescent="0.25">
      <c r="A949" s="170">
        <v>45089</v>
      </c>
      <c r="B949" s="116">
        <v>319.10000000000002</v>
      </c>
      <c r="C949" s="116">
        <v>311.3</v>
      </c>
      <c r="D949" s="116">
        <v>310.5</v>
      </c>
      <c r="E949" s="116">
        <v>317.95</v>
      </c>
      <c r="F949" s="116">
        <v>311.3</v>
      </c>
      <c r="G949">
        <v>33191</v>
      </c>
      <c r="H949" s="116"/>
      <c r="I949" s="116"/>
      <c r="L949" s="170">
        <v>45089</v>
      </c>
      <c r="M949" s="116">
        <v>311.3</v>
      </c>
      <c r="N949" s="116">
        <v>319.39999999999998</v>
      </c>
      <c r="O949" s="116">
        <v>310.39999999999998</v>
      </c>
      <c r="P949" s="116">
        <v>315.75</v>
      </c>
      <c r="Q949" s="116">
        <v>311.3</v>
      </c>
      <c r="R949">
        <v>267097</v>
      </c>
    </row>
    <row r="950" spans="1:18" x14ac:dyDescent="0.25">
      <c r="A950" s="170">
        <v>45090</v>
      </c>
      <c r="B950" s="116">
        <v>323.05</v>
      </c>
      <c r="C950" s="116">
        <v>315.8</v>
      </c>
      <c r="D950" s="116">
        <v>307.05</v>
      </c>
      <c r="E950" s="116">
        <v>307.05</v>
      </c>
      <c r="F950" s="116">
        <v>315.8</v>
      </c>
      <c r="G950">
        <v>68483</v>
      </c>
      <c r="H950" s="116"/>
      <c r="I950" s="116"/>
      <c r="L950" s="170">
        <v>45090</v>
      </c>
      <c r="M950" s="116">
        <v>315.8</v>
      </c>
      <c r="N950" s="116">
        <v>323.10000000000002</v>
      </c>
      <c r="O950" s="116">
        <v>311.45</v>
      </c>
      <c r="P950" s="116">
        <v>312.05</v>
      </c>
      <c r="Q950" s="116">
        <v>315.8</v>
      </c>
      <c r="R950">
        <v>534053</v>
      </c>
    </row>
    <row r="951" spans="1:18" x14ac:dyDescent="0.25">
      <c r="A951" s="170">
        <v>45091</v>
      </c>
      <c r="B951" s="116">
        <v>330</v>
      </c>
      <c r="C951" s="116">
        <v>319.25</v>
      </c>
      <c r="D951" s="116">
        <v>315.5</v>
      </c>
      <c r="E951" s="116">
        <v>319.85000000000002</v>
      </c>
      <c r="F951" s="116">
        <v>319.25</v>
      </c>
      <c r="G951">
        <v>151077</v>
      </c>
      <c r="H951" s="116"/>
      <c r="I951" s="116"/>
      <c r="L951" s="170">
        <v>45091</v>
      </c>
      <c r="M951" s="116">
        <v>318.8</v>
      </c>
      <c r="N951" s="116">
        <v>330</v>
      </c>
      <c r="O951" s="116">
        <v>316.64999999999998</v>
      </c>
      <c r="P951" s="116">
        <v>317.5</v>
      </c>
      <c r="Q951" s="116">
        <v>318.8</v>
      </c>
      <c r="R951">
        <v>1951165</v>
      </c>
    </row>
    <row r="952" spans="1:18" x14ac:dyDescent="0.25">
      <c r="A952" s="170">
        <v>45092</v>
      </c>
      <c r="B952" s="116">
        <v>320.2</v>
      </c>
      <c r="C952" s="116">
        <v>314.10000000000002</v>
      </c>
      <c r="D952" s="116">
        <v>309.5</v>
      </c>
      <c r="E952" s="116">
        <v>317.85000000000002</v>
      </c>
      <c r="F952" s="116">
        <v>314.10000000000002</v>
      </c>
      <c r="G952">
        <v>93625</v>
      </c>
      <c r="H952" s="116"/>
      <c r="I952" s="116"/>
      <c r="L952" s="170">
        <v>45092</v>
      </c>
      <c r="M952" s="116">
        <v>314.60000000000002</v>
      </c>
      <c r="N952" s="116">
        <v>320.7</v>
      </c>
      <c r="O952" s="116">
        <v>309.5</v>
      </c>
      <c r="P952" s="116">
        <v>320.7</v>
      </c>
      <c r="Q952" s="116">
        <v>314.60000000000002</v>
      </c>
      <c r="R952">
        <v>733069</v>
      </c>
    </row>
    <row r="953" spans="1:18" x14ac:dyDescent="0.25">
      <c r="A953" s="170">
        <v>45093</v>
      </c>
      <c r="B953" s="116">
        <v>316.75</v>
      </c>
      <c r="C953" s="116">
        <v>311.3</v>
      </c>
      <c r="D953" s="116">
        <v>309.39999999999998</v>
      </c>
      <c r="E953" s="116">
        <v>314.14999999999998</v>
      </c>
      <c r="F953" s="116">
        <v>311.3</v>
      </c>
      <c r="G953">
        <v>15338</v>
      </c>
      <c r="H953" s="116"/>
      <c r="I953" s="116"/>
      <c r="L953" s="170">
        <v>45093</v>
      </c>
      <c r="M953" s="116">
        <v>311.25</v>
      </c>
      <c r="N953" s="116">
        <v>316.7</v>
      </c>
      <c r="O953" s="116">
        <v>309.45</v>
      </c>
      <c r="P953" s="116">
        <v>315.3</v>
      </c>
      <c r="Q953" s="116">
        <v>311.25</v>
      </c>
      <c r="R953">
        <v>460244</v>
      </c>
    </row>
    <row r="954" spans="1:18" x14ac:dyDescent="0.25">
      <c r="A954" s="170">
        <v>45096</v>
      </c>
      <c r="B954" s="116">
        <v>314.8</v>
      </c>
      <c r="C954" s="116">
        <v>305.45</v>
      </c>
      <c r="D954" s="116">
        <v>299.75</v>
      </c>
      <c r="E954" s="116">
        <v>309.05</v>
      </c>
      <c r="F954" s="116">
        <v>305.45</v>
      </c>
      <c r="G954">
        <v>747809</v>
      </c>
      <c r="H954" s="116"/>
      <c r="I954" s="116"/>
      <c r="L954" s="170">
        <v>45096</v>
      </c>
      <c r="M954" s="116">
        <v>305.75</v>
      </c>
      <c r="N954" s="116">
        <v>314.95</v>
      </c>
      <c r="O954" s="116">
        <v>299.64999999999998</v>
      </c>
      <c r="P954" s="116">
        <v>311.25</v>
      </c>
      <c r="Q954" s="116">
        <v>305.75</v>
      </c>
      <c r="R954">
        <v>1473047</v>
      </c>
    </row>
    <row r="955" spans="1:18" x14ac:dyDescent="0.25">
      <c r="A955" s="170">
        <v>45097</v>
      </c>
      <c r="B955" s="116">
        <v>309.75</v>
      </c>
      <c r="C955" s="116">
        <v>304.10000000000002</v>
      </c>
      <c r="D955" s="116">
        <v>303.05</v>
      </c>
      <c r="E955" s="116">
        <v>303.5</v>
      </c>
      <c r="F955" s="116">
        <v>304.10000000000002</v>
      </c>
      <c r="G955">
        <v>21819</v>
      </c>
      <c r="H955" s="116"/>
      <c r="I955" s="116"/>
      <c r="L955" s="170">
        <v>45097</v>
      </c>
      <c r="M955" s="116">
        <v>303.95</v>
      </c>
      <c r="N955" s="116">
        <v>309.89999999999998</v>
      </c>
      <c r="O955" s="116">
        <v>303</v>
      </c>
      <c r="P955" s="116">
        <v>305</v>
      </c>
      <c r="Q955" s="116">
        <v>303.95</v>
      </c>
      <c r="R955">
        <v>384002</v>
      </c>
    </row>
    <row r="956" spans="1:18" x14ac:dyDescent="0.25">
      <c r="A956" s="170">
        <v>45098</v>
      </c>
      <c r="B956" s="116">
        <v>317.8</v>
      </c>
      <c r="C956" s="116">
        <v>309.10000000000002</v>
      </c>
      <c r="D956" s="116">
        <v>304.14999999999998</v>
      </c>
      <c r="E956" s="116">
        <v>304.14999999999998</v>
      </c>
      <c r="F956" s="116">
        <v>309.10000000000002</v>
      </c>
      <c r="G956">
        <v>42787</v>
      </c>
      <c r="H956" s="116"/>
      <c r="I956" s="116"/>
      <c r="L956" s="170">
        <v>45098</v>
      </c>
      <c r="M956" s="116">
        <v>309</v>
      </c>
      <c r="N956" s="116">
        <v>317.64999999999998</v>
      </c>
      <c r="O956" s="116">
        <v>305.10000000000002</v>
      </c>
      <c r="P956" s="116">
        <v>305.10000000000002</v>
      </c>
      <c r="Q956" s="116">
        <v>309</v>
      </c>
      <c r="R956">
        <v>939298</v>
      </c>
    </row>
    <row r="957" spans="1:18" x14ac:dyDescent="0.25">
      <c r="A957" s="170">
        <v>45099</v>
      </c>
      <c r="B957" s="116">
        <v>314.95</v>
      </c>
      <c r="C957" s="116">
        <v>298.10000000000002</v>
      </c>
      <c r="D957" s="116">
        <v>296.39999999999998</v>
      </c>
      <c r="E957" s="116">
        <v>314.95</v>
      </c>
      <c r="F957" s="116">
        <v>298.10000000000002</v>
      </c>
      <c r="G957">
        <v>53210</v>
      </c>
      <c r="H957" s="116"/>
      <c r="I957" s="116"/>
      <c r="L957" s="170">
        <v>45099</v>
      </c>
      <c r="M957" s="116">
        <v>298</v>
      </c>
      <c r="N957" s="116">
        <v>314</v>
      </c>
      <c r="O957" s="116">
        <v>296.5</v>
      </c>
      <c r="P957" s="116">
        <v>310.95</v>
      </c>
      <c r="Q957" s="116">
        <v>298</v>
      </c>
      <c r="R957">
        <v>669958</v>
      </c>
    </row>
    <row r="958" spans="1:18" x14ac:dyDescent="0.25">
      <c r="A958" s="170">
        <v>45100</v>
      </c>
      <c r="B958" s="116">
        <v>315.55</v>
      </c>
      <c r="C958" s="116">
        <v>289.14999999999998</v>
      </c>
      <c r="D958" s="116">
        <v>287</v>
      </c>
      <c r="E958" s="116">
        <v>310</v>
      </c>
      <c r="F958" s="116">
        <v>289.14999999999998</v>
      </c>
      <c r="G958">
        <v>210479</v>
      </c>
      <c r="H958" s="116"/>
      <c r="I958" s="116"/>
      <c r="L958" s="170">
        <v>45100</v>
      </c>
      <c r="M958" s="116">
        <v>289.14999999999998</v>
      </c>
      <c r="N958" s="116">
        <v>313</v>
      </c>
      <c r="O958" s="116">
        <v>286.8</v>
      </c>
      <c r="P958" s="116">
        <v>312.64999999999998</v>
      </c>
      <c r="Q958" s="116">
        <v>289.14999999999998</v>
      </c>
      <c r="R958">
        <v>3512244</v>
      </c>
    </row>
    <row r="959" spans="1:18" x14ac:dyDescent="0.25">
      <c r="A959" s="170">
        <v>45103</v>
      </c>
      <c r="B959" s="116">
        <v>298.95</v>
      </c>
      <c r="C959" s="116">
        <v>294.95</v>
      </c>
      <c r="D959" s="116">
        <v>284.14999999999998</v>
      </c>
      <c r="E959" s="116">
        <v>289.2</v>
      </c>
      <c r="F959" s="116">
        <v>294.95</v>
      </c>
      <c r="G959">
        <v>93741</v>
      </c>
      <c r="H959" s="116"/>
      <c r="I959" s="116"/>
      <c r="L959" s="170">
        <v>45103</v>
      </c>
      <c r="M959" s="116">
        <v>294.85000000000002</v>
      </c>
      <c r="N959" s="116">
        <v>298.64999999999998</v>
      </c>
      <c r="O959" s="116">
        <v>284.25</v>
      </c>
      <c r="P959" s="116">
        <v>290</v>
      </c>
      <c r="Q959" s="116">
        <v>294.85000000000002</v>
      </c>
      <c r="R959">
        <v>2289220</v>
      </c>
    </row>
    <row r="960" spans="1:18" x14ac:dyDescent="0.25">
      <c r="A960" s="170">
        <v>45104</v>
      </c>
      <c r="B960" s="116">
        <v>295.89999999999998</v>
      </c>
      <c r="C960" s="116">
        <v>293.55</v>
      </c>
      <c r="D960" s="116">
        <v>292.55</v>
      </c>
      <c r="E960" s="116">
        <v>295.64999999999998</v>
      </c>
      <c r="F960" s="116">
        <v>293.55</v>
      </c>
      <c r="G960">
        <v>31796</v>
      </c>
      <c r="H960" s="116"/>
      <c r="I960" s="116"/>
      <c r="L960" s="170">
        <v>45104</v>
      </c>
      <c r="M960" s="116">
        <v>293.60000000000002</v>
      </c>
      <c r="N960" s="116">
        <v>296.25</v>
      </c>
      <c r="O960" s="116">
        <v>292</v>
      </c>
      <c r="P960" s="116">
        <v>295.3</v>
      </c>
      <c r="Q960" s="116">
        <v>293.60000000000002</v>
      </c>
      <c r="R960">
        <v>302289</v>
      </c>
    </row>
    <row r="961" spans="1:18" x14ac:dyDescent="0.25">
      <c r="A961" s="170">
        <v>45105</v>
      </c>
      <c r="B961" s="116">
        <v>299.95</v>
      </c>
      <c r="C961" s="116">
        <v>289.60000000000002</v>
      </c>
      <c r="D961" s="116">
        <v>288.2</v>
      </c>
      <c r="E961" s="116">
        <v>299.95</v>
      </c>
      <c r="F961" s="116">
        <v>289.60000000000002</v>
      </c>
      <c r="G961">
        <v>27342</v>
      </c>
      <c r="H961" s="116"/>
      <c r="I961" s="116"/>
      <c r="L961" s="170">
        <v>45105</v>
      </c>
      <c r="M961" s="116">
        <v>289.55</v>
      </c>
      <c r="N961" s="116">
        <v>295.89999999999998</v>
      </c>
      <c r="O961" s="116">
        <v>288.05</v>
      </c>
      <c r="P961" s="116">
        <v>294.8</v>
      </c>
      <c r="Q961" s="116">
        <v>289.55</v>
      </c>
      <c r="R961">
        <v>445072</v>
      </c>
    </row>
    <row r="962" spans="1:18" x14ac:dyDescent="0.25">
      <c r="A962" s="170">
        <v>45107</v>
      </c>
      <c r="B962" s="116">
        <v>293.14999999999998</v>
      </c>
      <c r="C962" s="116">
        <v>289.10000000000002</v>
      </c>
      <c r="D962" s="116">
        <v>287.95</v>
      </c>
      <c r="E962" s="116">
        <v>289.60000000000002</v>
      </c>
      <c r="F962" s="116">
        <v>289.10000000000002</v>
      </c>
      <c r="G962">
        <v>56733</v>
      </c>
      <c r="H962" s="116"/>
      <c r="I962" s="116"/>
      <c r="L962" s="170">
        <v>45107</v>
      </c>
      <c r="M962" s="116">
        <v>289.25</v>
      </c>
      <c r="N962" s="116">
        <v>293.14999999999998</v>
      </c>
      <c r="O962" s="116">
        <v>288.05</v>
      </c>
      <c r="P962" s="116">
        <v>291</v>
      </c>
      <c r="Q962" s="116">
        <v>289.25</v>
      </c>
      <c r="R962">
        <v>516974</v>
      </c>
    </row>
    <row r="963" spans="1:18" x14ac:dyDescent="0.25">
      <c r="A963" s="170">
        <v>45110</v>
      </c>
      <c r="B963" s="116">
        <v>294.75</v>
      </c>
      <c r="C963" s="116">
        <v>290.10000000000002</v>
      </c>
      <c r="D963" s="116">
        <v>287.2</v>
      </c>
      <c r="E963" s="116">
        <v>292</v>
      </c>
      <c r="F963" s="116">
        <v>290.10000000000002</v>
      </c>
      <c r="G963">
        <v>22346</v>
      </c>
      <c r="H963" s="116"/>
      <c r="I963" s="116"/>
      <c r="L963" s="170">
        <v>45110</v>
      </c>
      <c r="M963" s="116">
        <v>291</v>
      </c>
      <c r="N963" s="116">
        <v>294.8</v>
      </c>
      <c r="O963" s="116">
        <v>287.45</v>
      </c>
      <c r="P963" s="116">
        <v>291.60000000000002</v>
      </c>
      <c r="Q963" s="116">
        <v>291</v>
      </c>
      <c r="R963">
        <v>626881</v>
      </c>
    </row>
    <row r="964" spans="1:18" x14ac:dyDescent="0.25">
      <c r="A964" s="170">
        <v>45111</v>
      </c>
      <c r="B964" s="116">
        <v>291.55</v>
      </c>
      <c r="C964" s="116">
        <v>288.75</v>
      </c>
      <c r="D964" s="116">
        <v>287.89999999999998</v>
      </c>
      <c r="E964" s="116">
        <v>291.25</v>
      </c>
      <c r="F964" s="116">
        <v>288.75</v>
      </c>
      <c r="G964">
        <v>27251</v>
      </c>
      <c r="H964" s="116"/>
      <c r="I964" s="116"/>
      <c r="L964" s="170">
        <v>45111</v>
      </c>
      <c r="M964" s="116">
        <v>288.64999999999998</v>
      </c>
      <c r="N964" s="116">
        <v>291.5</v>
      </c>
      <c r="O964" s="116">
        <v>287.5</v>
      </c>
      <c r="P964" s="116">
        <v>291</v>
      </c>
      <c r="Q964" s="116">
        <v>288.64999999999998</v>
      </c>
      <c r="R964">
        <v>393687</v>
      </c>
    </row>
    <row r="965" spans="1:18" x14ac:dyDescent="0.25">
      <c r="A965" s="170">
        <v>45112</v>
      </c>
      <c r="B965" s="116">
        <v>293</v>
      </c>
      <c r="C965" s="116">
        <v>289.85000000000002</v>
      </c>
      <c r="D965" s="116">
        <v>288.25</v>
      </c>
      <c r="E965" s="116">
        <v>289.2</v>
      </c>
      <c r="F965" s="116">
        <v>289.85000000000002</v>
      </c>
      <c r="G965">
        <v>40562</v>
      </c>
      <c r="H965" s="116"/>
      <c r="I965" s="116"/>
      <c r="L965" s="170">
        <v>45112</v>
      </c>
      <c r="M965" s="116">
        <v>289.8</v>
      </c>
      <c r="N965" s="116">
        <v>292.95</v>
      </c>
      <c r="O965" s="116">
        <v>288.05</v>
      </c>
      <c r="P965" s="116">
        <v>290</v>
      </c>
      <c r="Q965" s="116">
        <v>289.8</v>
      </c>
      <c r="R965">
        <v>374546</v>
      </c>
    </row>
    <row r="966" spans="1:18" x14ac:dyDescent="0.25">
      <c r="A966" s="170">
        <v>45113</v>
      </c>
      <c r="B966" s="116">
        <v>294.5</v>
      </c>
      <c r="C966" s="116">
        <v>291.05</v>
      </c>
      <c r="D966" s="116">
        <v>289.45</v>
      </c>
      <c r="E966" s="116">
        <v>290.7</v>
      </c>
      <c r="F966" s="116">
        <v>291.05</v>
      </c>
      <c r="G966">
        <v>43348</v>
      </c>
      <c r="H966" s="116"/>
      <c r="I966" s="116"/>
      <c r="L966" s="170">
        <v>45113</v>
      </c>
      <c r="M966" s="116">
        <v>291.10000000000002</v>
      </c>
      <c r="N966" s="116">
        <v>294.55</v>
      </c>
      <c r="O966" s="116">
        <v>289.25</v>
      </c>
      <c r="P966" s="116">
        <v>291.60000000000002</v>
      </c>
      <c r="Q966" s="116">
        <v>291.10000000000002</v>
      </c>
      <c r="R966">
        <v>568041</v>
      </c>
    </row>
    <row r="967" spans="1:18" x14ac:dyDescent="0.25">
      <c r="A967" s="170">
        <v>45114</v>
      </c>
      <c r="B967" s="116">
        <v>291.75</v>
      </c>
      <c r="C967" s="116">
        <v>286.95</v>
      </c>
      <c r="D967" s="116">
        <v>285.5</v>
      </c>
      <c r="E967" s="116">
        <v>290.14999999999998</v>
      </c>
      <c r="F967" s="116">
        <v>286.95</v>
      </c>
      <c r="G967">
        <v>22298</v>
      </c>
      <c r="H967" s="116"/>
      <c r="I967" s="116"/>
      <c r="L967" s="170">
        <v>45114</v>
      </c>
      <c r="M967" s="116">
        <v>286.95</v>
      </c>
      <c r="N967" s="116">
        <v>292</v>
      </c>
      <c r="O967" s="116">
        <v>285.5</v>
      </c>
      <c r="P967" s="116">
        <v>291.2</v>
      </c>
      <c r="Q967" s="116">
        <v>286.95</v>
      </c>
      <c r="R967">
        <v>517872</v>
      </c>
    </row>
    <row r="968" spans="1:18" x14ac:dyDescent="0.25">
      <c r="A968" s="170">
        <v>45117</v>
      </c>
      <c r="B968" s="116">
        <v>293.10000000000002</v>
      </c>
      <c r="C968" s="116">
        <v>288.55</v>
      </c>
      <c r="D968" s="116">
        <v>285.05</v>
      </c>
      <c r="E968" s="116">
        <v>285.05</v>
      </c>
      <c r="F968" s="116">
        <v>288.55</v>
      </c>
      <c r="G968">
        <v>44709</v>
      </c>
      <c r="H968" s="116"/>
      <c r="I968" s="116"/>
      <c r="L968" s="170">
        <v>45117</v>
      </c>
      <c r="M968" s="116">
        <v>288.45</v>
      </c>
      <c r="N968" s="116">
        <v>293.3</v>
      </c>
      <c r="O968" s="116">
        <v>286.05</v>
      </c>
      <c r="P968" s="116">
        <v>288.2</v>
      </c>
      <c r="Q968" s="116">
        <v>288.45</v>
      </c>
      <c r="R968">
        <v>836925</v>
      </c>
    </row>
    <row r="969" spans="1:18" x14ac:dyDescent="0.25">
      <c r="A969" s="170">
        <v>45118</v>
      </c>
      <c r="B969" s="116">
        <v>291</v>
      </c>
      <c r="C969" s="116">
        <v>287.5</v>
      </c>
      <c r="D969" s="116">
        <v>286.75</v>
      </c>
      <c r="E969" s="116">
        <v>289.8</v>
      </c>
      <c r="F969" s="116">
        <v>287.5</v>
      </c>
      <c r="G969">
        <v>37228</v>
      </c>
      <c r="H969" s="116"/>
      <c r="I969" s="116"/>
      <c r="L969" s="170">
        <v>45118</v>
      </c>
      <c r="M969" s="116">
        <v>287.55</v>
      </c>
      <c r="N969" s="116">
        <v>291.14999999999998</v>
      </c>
      <c r="O969" s="116">
        <v>286.5</v>
      </c>
      <c r="P969" s="116">
        <v>288.89999999999998</v>
      </c>
      <c r="Q969" s="116">
        <v>287.55</v>
      </c>
      <c r="R969">
        <v>361872</v>
      </c>
    </row>
    <row r="970" spans="1:18" x14ac:dyDescent="0.25">
      <c r="A970" s="170">
        <v>45119</v>
      </c>
      <c r="B970" s="116">
        <v>292</v>
      </c>
      <c r="C970" s="116">
        <v>286.55</v>
      </c>
      <c r="D970" s="116">
        <v>285.85000000000002</v>
      </c>
      <c r="E970" s="116">
        <v>287.10000000000002</v>
      </c>
      <c r="F970" s="116">
        <v>286.55</v>
      </c>
      <c r="G970">
        <v>18064</v>
      </c>
      <c r="H970" s="116"/>
      <c r="I970" s="116"/>
      <c r="L970" s="170">
        <v>45119</v>
      </c>
      <c r="M970" s="116">
        <v>286.55</v>
      </c>
      <c r="N970" s="116">
        <v>290.85000000000002</v>
      </c>
      <c r="O970" s="116">
        <v>285.89999999999998</v>
      </c>
      <c r="P970" s="116">
        <v>290.05</v>
      </c>
      <c r="Q970" s="116">
        <v>286.55</v>
      </c>
      <c r="R970">
        <v>387916</v>
      </c>
    </row>
    <row r="971" spans="1:18" x14ac:dyDescent="0.25">
      <c r="A971" s="170">
        <v>45120</v>
      </c>
      <c r="B971" s="116">
        <v>294.3</v>
      </c>
      <c r="C971" s="116">
        <v>292.14999999999998</v>
      </c>
      <c r="D971" s="116">
        <v>287</v>
      </c>
      <c r="E971" s="116">
        <v>289.45</v>
      </c>
      <c r="F971" s="116">
        <v>292.14999999999998</v>
      </c>
      <c r="G971">
        <v>131473</v>
      </c>
      <c r="H971" s="116"/>
      <c r="I971" s="116"/>
      <c r="L971" s="170">
        <v>45120</v>
      </c>
      <c r="M971" s="116">
        <v>291.85000000000002</v>
      </c>
      <c r="N971" s="116">
        <v>294.25</v>
      </c>
      <c r="O971" s="116">
        <v>286.2</v>
      </c>
      <c r="P971" s="116">
        <v>289</v>
      </c>
      <c r="Q971" s="116">
        <v>291.85000000000002</v>
      </c>
      <c r="R971">
        <v>1797164</v>
      </c>
    </row>
    <row r="972" spans="1:18" x14ac:dyDescent="0.25">
      <c r="A972" s="170">
        <v>45121</v>
      </c>
      <c r="B972" s="116">
        <v>297.95</v>
      </c>
      <c r="C972" s="116">
        <v>288.14999999999998</v>
      </c>
      <c r="D972" s="116">
        <v>286.5</v>
      </c>
      <c r="E972" s="116">
        <v>293</v>
      </c>
      <c r="F972" s="116">
        <v>288.14999999999998</v>
      </c>
      <c r="G972">
        <v>201567</v>
      </c>
      <c r="H972" s="116"/>
      <c r="I972" s="116"/>
      <c r="L972" s="170">
        <v>45121</v>
      </c>
      <c r="M972" s="116">
        <v>288.35000000000002</v>
      </c>
      <c r="N972" s="116">
        <v>297.7</v>
      </c>
      <c r="O972" s="116">
        <v>286.5</v>
      </c>
      <c r="P972" s="116">
        <v>292.2</v>
      </c>
      <c r="Q972" s="116">
        <v>288.35000000000002</v>
      </c>
      <c r="R972">
        <v>1224963</v>
      </c>
    </row>
    <row r="973" spans="1:18" x14ac:dyDescent="0.25">
      <c r="A973" s="170">
        <v>45124</v>
      </c>
      <c r="B973" s="116">
        <v>339.5</v>
      </c>
      <c r="C973" s="116">
        <v>333.35</v>
      </c>
      <c r="D973" s="116">
        <v>290.95</v>
      </c>
      <c r="E973" s="116">
        <v>290.95</v>
      </c>
      <c r="F973" s="116">
        <v>333.35</v>
      </c>
      <c r="G973">
        <v>891803</v>
      </c>
      <c r="H973" s="116"/>
      <c r="I973" s="116"/>
      <c r="L973" s="170">
        <v>45124</v>
      </c>
      <c r="M973" s="116">
        <v>333.5</v>
      </c>
      <c r="N973" s="116">
        <v>339.7</v>
      </c>
      <c r="O973" s="116">
        <v>292.05</v>
      </c>
      <c r="P973" s="116">
        <v>292.05</v>
      </c>
      <c r="Q973" s="116">
        <v>333.5</v>
      </c>
      <c r="R973">
        <v>14686357</v>
      </c>
    </row>
    <row r="974" spans="1:18" x14ac:dyDescent="0.25">
      <c r="A974" s="170">
        <v>45125</v>
      </c>
      <c r="B974" s="116">
        <v>338.8</v>
      </c>
      <c r="C974" s="116">
        <v>332.2</v>
      </c>
      <c r="D974" s="116">
        <v>326.7</v>
      </c>
      <c r="E974" s="116">
        <v>331</v>
      </c>
      <c r="F974" s="116">
        <v>332.2</v>
      </c>
      <c r="G974">
        <v>295083</v>
      </c>
      <c r="H974" s="116"/>
      <c r="I974" s="116"/>
      <c r="L974" s="170">
        <v>45125</v>
      </c>
      <c r="M974" s="116">
        <v>332.05</v>
      </c>
      <c r="N974" s="116">
        <v>338.7</v>
      </c>
      <c r="O974" s="116">
        <v>326.5</v>
      </c>
      <c r="P974" s="116">
        <v>331.8</v>
      </c>
      <c r="Q974" s="116">
        <v>332.05</v>
      </c>
      <c r="R974">
        <v>4162577</v>
      </c>
    </row>
    <row r="975" spans="1:18" x14ac:dyDescent="0.25">
      <c r="A975" s="170">
        <v>45126</v>
      </c>
      <c r="B975" s="116">
        <v>359.95</v>
      </c>
      <c r="C975" s="116">
        <v>354.2</v>
      </c>
      <c r="D975" s="116">
        <v>333</v>
      </c>
      <c r="E975" s="116">
        <v>333</v>
      </c>
      <c r="F975" s="116">
        <v>354.2</v>
      </c>
      <c r="G975">
        <v>597684</v>
      </c>
      <c r="H975" s="116"/>
      <c r="I975" s="116"/>
      <c r="L975" s="170">
        <v>45126</v>
      </c>
      <c r="M975" s="116">
        <v>354.1</v>
      </c>
      <c r="N975" s="116">
        <v>359.7</v>
      </c>
      <c r="O975" s="116">
        <v>332.5</v>
      </c>
      <c r="P975" s="116">
        <v>332.5</v>
      </c>
      <c r="Q975" s="116">
        <v>354.1</v>
      </c>
      <c r="R975">
        <v>8139926</v>
      </c>
    </row>
    <row r="976" spans="1:18" x14ac:dyDescent="0.25">
      <c r="A976" s="170">
        <v>45127</v>
      </c>
      <c r="B976" s="116">
        <v>367.7</v>
      </c>
      <c r="C976" s="116">
        <v>362.1</v>
      </c>
      <c r="D976" s="116">
        <v>345.9</v>
      </c>
      <c r="E976" s="116">
        <v>354.3</v>
      </c>
      <c r="F976" s="116">
        <v>362.1</v>
      </c>
      <c r="G976">
        <v>405300</v>
      </c>
      <c r="H976" s="116"/>
      <c r="I976" s="116"/>
      <c r="L976" s="170">
        <v>45127</v>
      </c>
      <c r="M976" s="116">
        <v>362.2</v>
      </c>
      <c r="N976" s="116">
        <v>367.95</v>
      </c>
      <c r="O976" s="116">
        <v>346</v>
      </c>
      <c r="P976" s="116">
        <v>354.1</v>
      </c>
      <c r="Q976" s="116">
        <v>362.2</v>
      </c>
      <c r="R976">
        <v>4507241</v>
      </c>
    </row>
    <row r="977" spans="1:18" x14ac:dyDescent="0.25">
      <c r="A977" s="170">
        <v>45128</v>
      </c>
      <c r="B977" s="116">
        <v>373</v>
      </c>
      <c r="C977" s="116">
        <v>365.05</v>
      </c>
      <c r="D977" s="116">
        <v>355.75</v>
      </c>
      <c r="E977" s="116">
        <v>357.15</v>
      </c>
      <c r="F977" s="116">
        <v>365.05</v>
      </c>
      <c r="G977">
        <v>192377</v>
      </c>
      <c r="H977" s="116"/>
      <c r="I977" s="116"/>
      <c r="L977" s="170">
        <v>45128</v>
      </c>
      <c r="M977" s="116">
        <v>365.05</v>
      </c>
      <c r="N977" s="116">
        <v>372.95</v>
      </c>
      <c r="O977" s="116">
        <v>354.6</v>
      </c>
      <c r="P977" s="116">
        <v>358.75</v>
      </c>
      <c r="Q977" s="116">
        <v>365.05</v>
      </c>
      <c r="R977">
        <v>3279112</v>
      </c>
    </row>
    <row r="978" spans="1:18" x14ac:dyDescent="0.25">
      <c r="A978" s="170">
        <v>45131</v>
      </c>
      <c r="B978" s="116">
        <v>367.55</v>
      </c>
      <c r="C978" s="116">
        <v>364.2</v>
      </c>
      <c r="D978" s="116">
        <v>358.7</v>
      </c>
      <c r="E978" s="116">
        <v>366.85</v>
      </c>
      <c r="F978" s="116">
        <v>364.2</v>
      </c>
      <c r="G978">
        <v>138742</v>
      </c>
      <c r="H978" s="116"/>
      <c r="I978" s="116"/>
      <c r="L978" s="170">
        <v>45131</v>
      </c>
      <c r="M978" s="116">
        <v>364.7</v>
      </c>
      <c r="N978" s="116">
        <v>367.3</v>
      </c>
      <c r="O978" s="116">
        <v>358.4</v>
      </c>
      <c r="P978" s="116">
        <v>365.05</v>
      </c>
      <c r="Q978" s="116">
        <v>364.7</v>
      </c>
      <c r="R978">
        <v>1376482</v>
      </c>
    </row>
    <row r="979" spans="1:18" x14ac:dyDescent="0.25">
      <c r="A979" s="170">
        <v>45132</v>
      </c>
      <c r="B979" s="116">
        <v>374.75</v>
      </c>
      <c r="C979" s="116">
        <v>363.9</v>
      </c>
      <c r="D979" s="116">
        <v>354.05</v>
      </c>
      <c r="E979" s="116">
        <v>364.05</v>
      </c>
      <c r="F979" s="116">
        <v>363.9</v>
      </c>
      <c r="G979">
        <v>62504</v>
      </c>
      <c r="H979" s="116"/>
      <c r="I979" s="116"/>
      <c r="L979" s="170">
        <v>45132</v>
      </c>
      <c r="M979" s="116">
        <v>364.15</v>
      </c>
      <c r="N979" s="116">
        <v>375</v>
      </c>
      <c r="O979" s="116">
        <v>354</v>
      </c>
      <c r="P979" s="116">
        <v>364.7</v>
      </c>
      <c r="Q979" s="116">
        <v>364.15</v>
      </c>
      <c r="R979">
        <v>1058424</v>
      </c>
    </row>
    <row r="980" spans="1:18" x14ac:dyDescent="0.25">
      <c r="A980" s="170">
        <v>45133</v>
      </c>
      <c r="B980" s="116">
        <v>370</v>
      </c>
      <c r="C980" s="116">
        <v>363.8</v>
      </c>
      <c r="D980" s="116">
        <v>360.6</v>
      </c>
      <c r="E980" s="116">
        <v>363.9</v>
      </c>
      <c r="F980" s="116">
        <v>363.8</v>
      </c>
      <c r="G980">
        <v>57452</v>
      </c>
      <c r="H980" s="116"/>
      <c r="I980" s="116"/>
      <c r="L980" s="170">
        <v>45133</v>
      </c>
      <c r="M980" s="116">
        <v>363.9</v>
      </c>
      <c r="N980" s="116">
        <v>370.1</v>
      </c>
      <c r="O980" s="116">
        <v>360.1</v>
      </c>
      <c r="P980" s="116">
        <v>365.3</v>
      </c>
      <c r="Q980" s="116">
        <v>363.9</v>
      </c>
      <c r="R980">
        <v>1389015</v>
      </c>
    </row>
    <row r="981" spans="1:18" x14ac:dyDescent="0.25">
      <c r="A981" s="170">
        <v>45134</v>
      </c>
      <c r="B981" s="116">
        <v>375.75</v>
      </c>
      <c r="C981" s="116">
        <v>365.2</v>
      </c>
      <c r="D981" s="116">
        <v>362</v>
      </c>
      <c r="E981" s="116">
        <v>365</v>
      </c>
      <c r="F981" s="116">
        <v>365.2</v>
      </c>
      <c r="G981">
        <v>54107</v>
      </c>
      <c r="H981" s="116"/>
      <c r="I981" s="116"/>
      <c r="L981" s="170">
        <v>45134</v>
      </c>
      <c r="M981" s="116">
        <v>365.35</v>
      </c>
      <c r="N981" s="116">
        <v>376</v>
      </c>
      <c r="O981" s="116">
        <v>361.7</v>
      </c>
      <c r="P981" s="116">
        <v>365.95</v>
      </c>
      <c r="Q981" s="116">
        <v>365.35</v>
      </c>
      <c r="R981">
        <v>830780</v>
      </c>
    </row>
    <row r="982" spans="1:18" x14ac:dyDescent="0.25">
      <c r="A982" s="170">
        <v>45135</v>
      </c>
      <c r="B982" s="116">
        <v>393.35</v>
      </c>
      <c r="C982" s="116">
        <v>387.35</v>
      </c>
      <c r="D982" s="116">
        <v>362</v>
      </c>
      <c r="E982" s="116">
        <v>367.85</v>
      </c>
      <c r="F982" s="116">
        <v>387.35</v>
      </c>
      <c r="G982">
        <v>125443</v>
      </c>
      <c r="H982" s="116"/>
      <c r="I982" s="116"/>
      <c r="L982" s="170">
        <v>45135</v>
      </c>
      <c r="M982" s="116">
        <v>387.55</v>
      </c>
      <c r="N982" s="116">
        <v>394</v>
      </c>
      <c r="O982" s="116">
        <v>361.7</v>
      </c>
      <c r="P982" s="116">
        <v>365.95</v>
      </c>
      <c r="Q982" s="116">
        <v>387.55</v>
      </c>
      <c r="R982">
        <v>2100712</v>
      </c>
    </row>
    <row r="983" spans="1:18" x14ac:dyDescent="0.25">
      <c r="A983" s="170">
        <v>45138</v>
      </c>
      <c r="B983" s="116">
        <v>404</v>
      </c>
      <c r="C983" s="116">
        <v>400.95</v>
      </c>
      <c r="D983" s="116">
        <v>383.2</v>
      </c>
      <c r="E983" s="116">
        <v>395.95</v>
      </c>
      <c r="F983" s="116">
        <v>400.95</v>
      </c>
      <c r="G983">
        <v>103137</v>
      </c>
      <c r="H983" s="116"/>
      <c r="I983" s="116"/>
      <c r="L983" s="170">
        <v>45138</v>
      </c>
      <c r="M983" s="116">
        <v>401.05</v>
      </c>
      <c r="N983" s="116">
        <v>403.9</v>
      </c>
      <c r="O983" s="116">
        <v>386.8</v>
      </c>
      <c r="P983" s="116">
        <v>391</v>
      </c>
      <c r="Q983" s="116">
        <v>401.05</v>
      </c>
      <c r="R983">
        <v>1431531</v>
      </c>
    </row>
    <row r="984" spans="1:18" x14ac:dyDescent="0.25">
      <c r="A984" s="170">
        <v>45139</v>
      </c>
      <c r="B984" s="116">
        <v>405</v>
      </c>
      <c r="C984" s="116">
        <v>394</v>
      </c>
      <c r="D984" s="116">
        <v>391</v>
      </c>
      <c r="E984" s="116">
        <v>401</v>
      </c>
      <c r="F984" s="116">
        <v>394</v>
      </c>
      <c r="G984">
        <v>47741</v>
      </c>
      <c r="H984" s="116"/>
      <c r="I984" s="116"/>
      <c r="L984" s="170">
        <v>45139</v>
      </c>
      <c r="M984" s="116">
        <v>394</v>
      </c>
      <c r="N984" s="116">
        <v>406</v>
      </c>
      <c r="O984" s="116">
        <v>391</v>
      </c>
      <c r="P984" s="116">
        <v>402.7</v>
      </c>
      <c r="Q984" s="116">
        <v>394</v>
      </c>
      <c r="R984">
        <v>1157245</v>
      </c>
    </row>
    <row r="985" spans="1:18" x14ac:dyDescent="0.25">
      <c r="A985" s="170">
        <v>45140</v>
      </c>
      <c r="B985" s="116">
        <v>401.9</v>
      </c>
      <c r="C985" s="116">
        <v>387.5</v>
      </c>
      <c r="D985" s="116">
        <v>379.2</v>
      </c>
      <c r="E985" s="116">
        <v>395.95</v>
      </c>
      <c r="F985" s="116">
        <v>387.5</v>
      </c>
      <c r="G985">
        <v>66562</v>
      </c>
      <c r="H985" s="116"/>
      <c r="I985" s="116"/>
      <c r="L985" s="170">
        <v>45140</v>
      </c>
      <c r="M985" s="116">
        <v>386.9</v>
      </c>
      <c r="N985" s="116">
        <v>401.8</v>
      </c>
      <c r="O985" s="116">
        <v>378.75</v>
      </c>
      <c r="P985" s="116">
        <v>394</v>
      </c>
      <c r="Q985" s="116">
        <v>386.9</v>
      </c>
      <c r="R985">
        <v>1617054</v>
      </c>
    </row>
    <row r="986" spans="1:18" x14ac:dyDescent="0.25">
      <c r="A986" s="170">
        <v>45141</v>
      </c>
      <c r="B986" s="116">
        <v>392.75</v>
      </c>
      <c r="C986" s="116">
        <v>383.55</v>
      </c>
      <c r="D986" s="116">
        <v>376.1</v>
      </c>
      <c r="E986" s="116">
        <v>385.3</v>
      </c>
      <c r="F986" s="116">
        <v>383.55</v>
      </c>
      <c r="G986">
        <v>107902</v>
      </c>
      <c r="H986" s="116"/>
      <c r="I986" s="116"/>
      <c r="L986" s="170">
        <v>45141</v>
      </c>
      <c r="M986" s="116">
        <v>383.65</v>
      </c>
      <c r="N986" s="116">
        <v>392.75</v>
      </c>
      <c r="O986" s="116">
        <v>378.55</v>
      </c>
      <c r="P986" s="116">
        <v>388</v>
      </c>
      <c r="Q986" s="116">
        <v>383.65</v>
      </c>
      <c r="R986">
        <v>646873</v>
      </c>
    </row>
    <row r="987" spans="1:18" x14ac:dyDescent="0.25">
      <c r="A987" s="170">
        <v>45142</v>
      </c>
      <c r="B987" s="116">
        <v>404.95</v>
      </c>
      <c r="C987" s="116">
        <v>393.15</v>
      </c>
      <c r="D987" s="116">
        <v>386.25</v>
      </c>
      <c r="E987" s="116">
        <v>404.95</v>
      </c>
      <c r="F987" s="116">
        <v>393.15</v>
      </c>
      <c r="G987">
        <v>112520</v>
      </c>
      <c r="H987" s="116"/>
      <c r="I987" s="116"/>
      <c r="L987" s="170">
        <v>45142</v>
      </c>
      <c r="M987" s="116">
        <v>393.55</v>
      </c>
      <c r="N987" s="116">
        <v>401.95</v>
      </c>
      <c r="O987" s="116">
        <v>385.95</v>
      </c>
      <c r="P987" s="116">
        <v>386.7</v>
      </c>
      <c r="Q987" s="116">
        <v>393.55</v>
      </c>
      <c r="R987">
        <v>1018024</v>
      </c>
    </row>
    <row r="988" spans="1:18" x14ac:dyDescent="0.25">
      <c r="A988" s="170">
        <v>45145</v>
      </c>
      <c r="B988" s="116">
        <v>408.75</v>
      </c>
      <c r="C988" s="116">
        <v>390.5</v>
      </c>
      <c r="D988" s="116">
        <v>386.4</v>
      </c>
      <c r="E988" s="116">
        <v>397.85</v>
      </c>
      <c r="F988" s="116">
        <v>390.5</v>
      </c>
      <c r="G988">
        <v>81293</v>
      </c>
      <c r="H988" s="116"/>
      <c r="I988" s="116"/>
      <c r="L988" s="170">
        <v>45145</v>
      </c>
      <c r="M988" s="116">
        <v>390.1</v>
      </c>
      <c r="N988" s="116">
        <v>408.5</v>
      </c>
      <c r="O988" s="116">
        <v>386.35</v>
      </c>
      <c r="P988" s="116">
        <v>395.8</v>
      </c>
      <c r="Q988" s="116">
        <v>390.1</v>
      </c>
      <c r="R988">
        <v>920751</v>
      </c>
    </row>
    <row r="989" spans="1:18" x14ac:dyDescent="0.25">
      <c r="A989" s="170">
        <v>45146</v>
      </c>
      <c r="B989" s="116">
        <v>392.9</v>
      </c>
      <c r="C989" s="116">
        <v>384.8</v>
      </c>
      <c r="D989" s="116">
        <v>370.5</v>
      </c>
      <c r="E989" s="116">
        <v>390.1</v>
      </c>
      <c r="F989" s="116">
        <v>384.8</v>
      </c>
      <c r="G989">
        <v>136256</v>
      </c>
      <c r="H989" s="116"/>
      <c r="I989" s="116"/>
      <c r="L989" s="170">
        <v>45146</v>
      </c>
      <c r="M989" s="116">
        <v>384.6</v>
      </c>
      <c r="N989" s="116">
        <v>392.9</v>
      </c>
      <c r="O989" s="116">
        <v>370.15</v>
      </c>
      <c r="P989" s="116">
        <v>390.1</v>
      </c>
      <c r="Q989" s="116">
        <v>384.6</v>
      </c>
      <c r="R989">
        <v>884074</v>
      </c>
    </row>
    <row r="990" spans="1:18" x14ac:dyDescent="0.25">
      <c r="A990" s="170">
        <v>45147</v>
      </c>
      <c r="B990" s="116">
        <v>384.5</v>
      </c>
      <c r="C990" s="116">
        <v>376.5</v>
      </c>
      <c r="D990" s="116">
        <v>374.2</v>
      </c>
      <c r="E990" s="116">
        <v>384</v>
      </c>
      <c r="F990" s="116">
        <v>376.5</v>
      </c>
      <c r="G990">
        <v>63372</v>
      </c>
      <c r="H990" s="116"/>
      <c r="I990" s="116"/>
      <c r="L990" s="170">
        <v>45147</v>
      </c>
      <c r="M990" s="116">
        <v>376.25</v>
      </c>
      <c r="N990" s="116">
        <v>384.8</v>
      </c>
      <c r="O990" s="116">
        <v>374.1</v>
      </c>
      <c r="P990" s="116">
        <v>384.6</v>
      </c>
      <c r="Q990" s="116">
        <v>376.25</v>
      </c>
      <c r="R990">
        <v>444784</v>
      </c>
    </row>
    <row r="991" spans="1:18" x14ac:dyDescent="0.25">
      <c r="A991" s="170">
        <v>45148</v>
      </c>
      <c r="B991" s="116">
        <v>382.8</v>
      </c>
      <c r="C991" s="116">
        <v>379.1</v>
      </c>
      <c r="D991" s="116">
        <v>372.9</v>
      </c>
      <c r="E991" s="116">
        <v>376.2</v>
      </c>
      <c r="F991" s="116">
        <v>379.1</v>
      </c>
      <c r="G991">
        <v>56355</v>
      </c>
      <c r="H991" s="116"/>
      <c r="I991" s="116"/>
      <c r="L991" s="170">
        <v>45148</v>
      </c>
      <c r="M991" s="116">
        <v>378.65</v>
      </c>
      <c r="N991" s="116">
        <v>382.85</v>
      </c>
      <c r="O991" s="116">
        <v>373</v>
      </c>
      <c r="P991" s="116">
        <v>376.8</v>
      </c>
      <c r="Q991" s="116">
        <v>378.65</v>
      </c>
      <c r="R991">
        <v>435190</v>
      </c>
    </row>
    <row r="992" spans="1:18" x14ac:dyDescent="0.25">
      <c r="A992" s="170">
        <v>45149</v>
      </c>
      <c r="B992" s="116">
        <v>385.8</v>
      </c>
      <c r="C992" s="116">
        <v>370.15</v>
      </c>
      <c r="D992" s="116">
        <v>368</v>
      </c>
      <c r="E992" s="116">
        <v>381.75</v>
      </c>
      <c r="F992" s="116">
        <v>370.15</v>
      </c>
      <c r="G992">
        <v>175380</v>
      </c>
      <c r="H992" s="116"/>
      <c r="I992" s="116"/>
      <c r="L992" s="170">
        <v>45149</v>
      </c>
      <c r="M992" s="116">
        <v>370.1</v>
      </c>
      <c r="N992" s="116">
        <v>385.95</v>
      </c>
      <c r="O992" s="116">
        <v>367.7</v>
      </c>
      <c r="P992" s="116">
        <v>379</v>
      </c>
      <c r="Q992" s="116">
        <v>370.1</v>
      </c>
      <c r="R992">
        <v>1833052</v>
      </c>
    </row>
    <row r="993" spans="1:18" x14ac:dyDescent="0.25">
      <c r="A993" s="170">
        <v>45152</v>
      </c>
      <c r="B993" s="116">
        <v>380</v>
      </c>
      <c r="C993" s="116">
        <v>368.25</v>
      </c>
      <c r="D993" s="116">
        <v>357.4</v>
      </c>
      <c r="E993" s="116">
        <v>380</v>
      </c>
      <c r="F993" s="116">
        <v>368.25</v>
      </c>
      <c r="G993">
        <v>132533</v>
      </c>
      <c r="H993" s="116"/>
      <c r="I993" s="116"/>
      <c r="L993" s="170">
        <v>45152</v>
      </c>
      <c r="M993" s="116">
        <v>368.35</v>
      </c>
      <c r="N993" s="116">
        <v>379.9</v>
      </c>
      <c r="O993" s="116">
        <v>350.1</v>
      </c>
      <c r="P993" s="116">
        <v>379.8</v>
      </c>
      <c r="Q993" s="116">
        <v>368.35</v>
      </c>
      <c r="R993">
        <v>1237333</v>
      </c>
    </row>
    <row r="994" spans="1:18" x14ac:dyDescent="0.25">
      <c r="A994" s="170">
        <v>45154</v>
      </c>
      <c r="B994" s="116">
        <v>381</v>
      </c>
      <c r="C994" s="116">
        <v>354.9</v>
      </c>
      <c r="D994" s="116">
        <v>350</v>
      </c>
      <c r="E994" s="116">
        <v>361</v>
      </c>
      <c r="F994" s="116">
        <v>354.9</v>
      </c>
      <c r="G994">
        <v>54239</v>
      </c>
      <c r="H994" s="116"/>
      <c r="I994" s="116"/>
      <c r="L994" s="170">
        <v>45154</v>
      </c>
      <c r="M994" s="116">
        <v>353.8</v>
      </c>
      <c r="N994" s="116">
        <v>370</v>
      </c>
      <c r="O994" s="116">
        <v>351.05</v>
      </c>
      <c r="P994" s="116">
        <v>351.05</v>
      </c>
      <c r="Q994" s="116">
        <v>353.8</v>
      </c>
      <c r="R994">
        <v>337568</v>
      </c>
    </row>
    <row r="995" spans="1:18" x14ac:dyDescent="0.25">
      <c r="A995" s="170">
        <v>45155</v>
      </c>
      <c r="B995" s="116">
        <v>369.75</v>
      </c>
      <c r="C995" s="116">
        <v>363.05</v>
      </c>
      <c r="D995" s="116">
        <v>350</v>
      </c>
      <c r="E995" s="116">
        <v>354.1</v>
      </c>
      <c r="F995" s="116">
        <v>363.05</v>
      </c>
      <c r="G995">
        <v>43671</v>
      </c>
      <c r="H995" s="116"/>
      <c r="I995" s="116"/>
      <c r="L995" s="170">
        <v>45155</v>
      </c>
      <c r="M995" s="116">
        <v>361.05</v>
      </c>
      <c r="N995" s="116">
        <v>369</v>
      </c>
      <c r="O995" s="116">
        <v>352.1</v>
      </c>
      <c r="P995" s="116">
        <v>354.9</v>
      </c>
      <c r="Q995" s="116">
        <v>361.05</v>
      </c>
      <c r="R995">
        <v>1082779</v>
      </c>
    </row>
    <row r="996" spans="1:18" x14ac:dyDescent="0.25">
      <c r="A996" s="170">
        <v>45156</v>
      </c>
      <c r="B996" s="116">
        <v>378</v>
      </c>
      <c r="C996" s="116">
        <v>371.75</v>
      </c>
      <c r="D996" s="116">
        <v>344.9</v>
      </c>
      <c r="E996" s="116">
        <v>363</v>
      </c>
      <c r="F996" s="116">
        <v>371.75</v>
      </c>
      <c r="G996">
        <v>1087637</v>
      </c>
      <c r="H996" s="116"/>
      <c r="I996" s="116"/>
      <c r="L996" s="170">
        <v>45156</v>
      </c>
      <c r="M996" s="116">
        <v>372.2</v>
      </c>
      <c r="N996" s="116">
        <v>375</v>
      </c>
      <c r="O996" s="116">
        <v>345</v>
      </c>
      <c r="P996" s="116">
        <v>362</v>
      </c>
      <c r="Q996" s="116">
        <v>372.2</v>
      </c>
      <c r="R996">
        <v>1391855</v>
      </c>
    </row>
    <row r="997" spans="1:18" x14ac:dyDescent="0.25">
      <c r="A997" s="170">
        <v>45159</v>
      </c>
      <c r="B997" s="116">
        <v>374.95</v>
      </c>
      <c r="C997" s="116">
        <v>365.9</v>
      </c>
      <c r="D997" s="116">
        <v>364.5</v>
      </c>
      <c r="E997" s="116">
        <v>369.65</v>
      </c>
      <c r="F997" s="116">
        <v>365.9</v>
      </c>
      <c r="G997">
        <v>24135</v>
      </c>
      <c r="H997" s="116"/>
      <c r="I997" s="116"/>
      <c r="L997" s="170">
        <v>45159</v>
      </c>
      <c r="M997" s="116">
        <v>365.6</v>
      </c>
      <c r="N997" s="116">
        <v>375</v>
      </c>
      <c r="O997" s="116">
        <v>362.75</v>
      </c>
      <c r="P997" s="116">
        <v>368.95</v>
      </c>
      <c r="Q997" s="116">
        <v>365.6</v>
      </c>
      <c r="R997">
        <v>292186</v>
      </c>
    </row>
    <row r="998" spans="1:18" x14ac:dyDescent="0.25">
      <c r="A998" s="170">
        <v>45160</v>
      </c>
      <c r="B998" s="116">
        <v>372</v>
      </c>
      <c r="C998" s="116">
        <v>363.7</v>
      </c>
      <c r="D998" s="116">
        <v>360</v>
      </c>
      <c r="E998" s="116">
        <v>367.1</v>
      </c>
      <c r="F998" s="116">
        <v>363.7</v>
      </c>
      <c r="G998">
        <v>26601</v>
      </c>
      <c r="H998" s="116"/>
      <c r="I998" s="116"/>
      <c r="L998" s="170">
        <v>45160</v>
      </c>
      <c r="M998" s="116">
        <v>363.45</v>
      </c>
      <c r="N998" s="116">
        <v>370.9</v>
      </c>
      <c r="O998" s="116">
        <v>362</v>
      </c>
      <c r="P998" s="116">
        <v>366</v>
      </c>
      <c r="Q998" s="116">
        <v>363.45</v>
      </c>
      <c r="R998">
        <v>268927</v>
      </c>
    </row>
    <row r="999" spans="1:18" x14ac:dyDescent="0.25">
      <c r="A999" s="170">
        <v>45161</v>
      </c>
      <c r="B999" s="116">
        <v>381.85</v>
      </c>
      <c r="C999" s="116">
        <v>381.85</v>
      </c>
      <c r="D999" s="116">
        <v>361.5</v>
      </c>
      <c r="E999" s="116">
        <v>361.5</v>
      </c>
      <c r="F999" s="116">
        <v>381.85</v>
      </c>
      <c r="G999">
        <v>75771</v>
      </c>
      <c r="H999" s="116"/>
      <c r="I999" s="116"/>
      <c r="L999" s="170">
        <v>45161</v>
      </c>
      <c r="M999" s="116">
        <v>381.6</v>
      </c>
      <c r="N999" s="116">
        <v>381.6</v>
      </c>
      <c r="O999" s="116">
        <v>364</v>
      </c>
      <c r="P999" s="116">
        <v>364</v>
      </c>
      <c r="Q999" s="116">
        <v>381.6</v>
      </c>
      <c r="R999">
        <v>312051</v>
      </c>
    </row>
    <row r="1000" spans="1:18" x14ac:dyDescent="0.25">
      <c r="A1000" s="170">
        <v>45162</v>
      </c>
      <c r="B1000" s="116">
        <v>393</v>
      </c>
      <c r="C1000" s="116">
        <v>381.7</v>
      </c>
      <c r="D1000" s="116">
        <v>375.1</v>
      </c>
      <c r="E1000" s="116">
        <v>390</v>
      </c>
      <c r="F1000" s="116">
        <v>381.7</v>
      </c>
      <c r="G1000">
        <v>76169</v>
      </c>
      <c r="H1000" s="116"/>
      <c r="I1000" s="116"/>
      <c r="L1000" s="170">
        <v>45162</v>
      </c>
      <c r="M1000" s="116">
        <v>383.6</v>
      </c>
      <c r="N1000" s="116">
        <v>395</v>
      </c>
      <c r="O1000" s="116">
        <v>380</v>
      </c>
      <c r="P1000" s="116">
        <v>389.8</v>
      </c>
      <c r="Q1000" s="116">
        <v>383.6</v>
      </c>
      <c r="R1000">
        <v>298920</v>
      </c>
    </row>
    <row r="1001" spans="1:18" x14ac:dyDescent="0.25">
      <c r="A1001" s="170">
        <v>45163</v>
      </c>
      <c r="B1001" s="116">
        <v>388</v>
      </c>
      <c r="C1001" s="116">
        <v>379.05</v>
      </c>
      <c r="D1001" s="116">
        <v>375</v>
      </c>
      <c r="E1001" s="116">
        <v>383.1</v>
      </c>
      <c r="F1001" s="116">
        <v>379.05</v>
      </c>
      <c r="G1001">
        <v>27944</v>
      </c>
      <c r="H1001" s="116"/>
      <c r="I1001" s="116"/>
      <c r="L1001" s="170">
        <v>45163</v>
      </c>
      <c r="M1001" s="116">
        <v>376.9</v>
      </c>
      <c r="N1001" s="116">
        <v>387</v>
      </c>
      <c r="O1001" s="116">
        <v>374.55</v>
      </c>
      <c r="P1001" s="116">
        <v>382.5</v>
      </c>
      <c r="Q1001" s="116">
        <v>376.9</v>
      </c>
      <c r="R1001">
        <v>229903</v>
      </c>
    </row>
    <row r="1002" spans="1:18" x14ac:dyDescent="0.25">
      <c r="A1002" s="170">
        <v>45166</v>
      </c>
      <c r="B1002" s="116">
        <v>388.5</v>
      </c>
      <c r="C1002" s="116">
        <v>383.8</v>
      </c>
      <c r="D1002" s="116">
        <v>381</v>
      </c>
      <c r="E1002" s="116">
        <v>383.45</v>
      </c>
      <c r="F1002" s="116">
        <v>383.8</v>
      </c>
      <c r="G1002">
        <v>46654</v>
      </c>
      <c r="H1002" s="116"/>
      <c r="I1002" s="116"/>
      <c r="L1002" s="170">
        <v>45166</v>
      </c>
      <c r="M1002" s="116">
        <v>384.5</v>
      </c>
      <c r="N1002" s="116">
        <v>387</v>
      </c>
      <c r="O1002" s="116">
        <v>380</v>
      </c>
      <c r="P1002" s="116">
        <v>387</v>
      </c>
      <c r="Q1002" s="116">
        <v>384.5</v>
      </c>
      <c r="R1002">
        <v>204349</v>
      </c>
    </row>
    <row r="1003" spans="1:18" x14ac:dyDescent="0.25">
      <c r="A1003" s="170">
        <v>45167</v>
      </c>
      <c r="B1003" s="116">
        <v>399.4</v>
      </c>
      <c r="C1003" s="116">
        <v>380.6</v>
      </c>
      <c r="D1003" s="116">
        <v>379.85</v>
      </c>
      <c r="E1003" s="116">
        <v>389.9</v>
      </c>
      <c r="F1003" s="116">
        <v>380.6</v>
      </c>
      <c r="G1003">
        <v>26512</v>
      </c>
      <c r="H1003" s="116"/>
      <c r="I1003" s="116"/>
      <c r="L1003" s="170">
        <v>45167</v>
      </c>
      <c r="M1003" s="116">
        <v>381.05</v>
      </c>
      <c r="N1003" s="116">
        <v>392</v>
      </c>
      <c r="O1003" s="116">
        <v>379.75</v>
      </c>
      <c r="P1003" s="116">
        <v>388</v>
      </c>
      <c r="Q1003" s="116">
        <v>381.05</v>
      </c>
      <c r="R1003">
        <v>296487</v>
      </c>
    </row>
    <row r="1004" spans="1:18" x14ac:dyDescent="0.25">
      <c r="A1004" s="170">
        <v>45168</v>
      </c>
      <c r="B1004" s="116">
        <v>388.8</v>
      </c>
      <c r="C1004" s="116">
        <v>379.8</v>
      </c>
      <c r="D1004" s="116">
        <v>375</v>
      </c>
      <c r="E1004" s="116">
        <v>382</v>
      </c>
      <c r="F1004" s="116">
        <v>379.8</v>
      </c>
      <c r="G1004">
        <v>24094</v>
      </c>
      <c r="H1004" s="116"/>
      <c r="I1004" s="116"/>
      <c r="L1004" s="170">
        <v>45168</v>
      </c>
      <c r="M1004" s="116">
        <v>378.15</v>
      </c>
      <c r="N1004" s="116">
        <v>389</v>
      </c>
      <c r="O1004" s="116">
        <v>375.8</v>
      </c>
      <c r="P1004" s="116">
        <v>387</v>
      </c>
      <c r="Q1004" s="116">
        <v>378.15</v>
      </c>
      <c r="R1004">
        <v>187091</v>
      </c>
    </row>
    <row r="1005" spans="1:18" x14ac:dyDescent="0.25">
      <c r="A1005" s="170">
        <v>45169</v>
      </c>
      <c r="B1005" s="116">
        <v>385.4</v>
      </c>
      <c r="C1005" s="116">
        <v>376.9</v>
      </c>
      <c r="D1005" s="116">
        <v>375.25</v>
      </c>
      <c r="E1005" s="116">
        <v>385.4</v>
      </c>
      <c r="F1005" s="116">
        <v>376.9</v>
      </c>
      <c r="G1005">
        <v>19140</v>
      </c>
      <c r="H1005" s="116"/>
      <c r="I1005" s="116"/>
      <c r="L1005" s="170">
        <v>45169</v>
      </c>
      <c r="M1005" s="116">
        <v>378.3</v>
      </c>
      <c r="N1005" s="116">
        <v>384.9</v>
      </c>
      <c r="O1005" s="116">
        <v>371.25</v>
      </c>
      <c r="P1005" s="116">
        <v>384.8</v>
      </c>
      <c r="Q1005" s="116">
        <v>378.3</v>
      </c>
      <c r="R1005">
        <v>247647</v>
      </c>
    </row>
    <row r="1006" spans="1:18" x14ac:dyDescent="0.25">
      <c r="A1006" s="170">
        <v>45170</v>
      </c>
      <c r="B1006" s="116">
        <v>380.9</v>
      </c>
      <c r="C1006" s="116">
        <v>379</v>
      </c>
      <c r="D1006" s="116">
        <v>372.3</v>
      </c>
      <c r="E1006" s="116">
        <v>375.55</v>
      </c>
      <c r="F1006" s="116">
        <v>379</v>
      </c>
      <c r="G1006">
        <v>21119</v>
      </c>
      <c r="H1006" s="116"/>
      <c r="I1006" s="116"/>
      <c r="L1006" s="170">
        <v>45170</v>
      </c>
      <c r="M1006" s="116">
        <v>378</v>
      </c>
      <c r="N1006" s="116">
        <v>381.75</v>
      </c>
      <c r="O1006" s="116">
        <v>370.2</v>
      </c>
      <c r="P1006" s="116">
        <v>380</v>
      </c>
      <c r="Q1006" s="116">
        <v>378</v>
      </c>
      <c r="R1006">
        <v>177423</v>
      </c>
    </row>
    <row r="1007" spans="1:18" x14ac:dyDescent="0.25">
      <c r="A1007" s="170">
        <v>45173</v>
      </c>
      <c r="B1007" s="116">
        <v>384.9</v>
      </c>
      <c r="C1007" s="116">
        <v>375.65</v>
      </c>
      <c r="D1007" s="116">
        <v>373.8</v>
      </c>
      <c r="E1007" s="116">
        <v>379</v>
      </c>
      <c r="F1007" s="116">
        <v>375.65</v>
      </c>
      <c r="G1007">
        <v>33116</v>
      </c>
      <c r="H1007" s="116"/>
      <c r="I1007" s="116"/>
      <c r="L1007" s="170">
        <v>45173</v>
      </c>
      <c r="M1007" s="116">
        <v>375.8</v>
      </c>
      <c r="N1007" s="116">
        <v>382</v>
      </c>
      <c r="O1007" s="116">
        <v>373.55</v>
      </c>
      <c r="P1007" s="116">
        <v>380</v>
      </c>
      <c r="Q1007" s="116">
        <v>375.8</v>
      </c>
      <c r="R1007">
        <v>144528</v>
      </c>
    </row>
    <row r="1008" spans="1:18" x14ac:dyDescent="0.25">
      <c r="A1008" s="170">
        <v>45174</v>
      </c>
      <c r="B1008" s="116">
        <v>379.9</v>
      </c>
      <c r="C1008" s="116">
        <v>369.2</v>
      </c>
      <c r="D1008" s="116">
        <v>368.05</v>
      </c>
      <c r="E1008" s="116">
        <v>374.65</v>
      </c>
      <c r="F1008" s="116">
        <v>369.2</v>
      </c>
      <c r="G1008">
        <v>22312</v>
      </c>
      <c r="H1008" s="116"/>
      <c r="I1008" s="116"/>
      <c r="L1008" s="170">
        <v>45174</v>
      </c>
      <c r="M1008" s="116">
        <v>367.7</v>
      </c>
      <c r="N1008" s="116">
        <v>378.95</v>
      </c>
      <c r="O1008" s="116">
        <v>367</v>
      </c>
      <c r="P1008" s="116">
        <v>374</v>
      </c>
      <c r="Q1008" s="116">
        <v>367.7</v>
      </c>
      <c r="R1008">
        <v>223614</v>
      </c>
    </row>
    <row r="1009" spans="1:18" x14ac:dyDescent="0.25">
      <c r="A1009" s="170">
        <v>45175</v>
      </c>
      <c r="B1009" s="116">
        <v>374.8</v>
      </c>
      <c r="C1009" s="116">
        <v>366.45</v>
      </c>
      <c r="D1009" s="116">
        <v>364.8</v>
      </c>
      <c r="E1009" s="116">
        <v>365.2</v>
      </c>
      <c r="F1009" s="116">
        <v>366.45</v>
      </c>
      <c r="G1009">
        <v>31476</v>
      </c>
      <c r="H1009" s="116"/>
      <c r="I1009" s="116"/>
      <c r="L1009" s="170">
        <v>45175</v>
      </c>
      <c r="M1009" s="116">
        <v>366.1</v>
      </c>
      <c r="N1009" s="116">
        <v>374</v>
      </c>
      <c r="O1009" s="116">
        <v>363</v>
      </c>
      <c r="P1009" s="116">
        <v>370</v>
      </c>
      <c r="Q1009" s="116">
        <v>366.1</v>
      </c>
      <c r="R1009">
        <v>193982</v>
      </c>
    </row>
    <row r="1010" spans="1:18" x14ac:dyDescent="0.25">
      <c r="A1010" s="170">
        <v>45176</v>
      </c>
      <c r="B1010" s="116">
        <v>376</v>
      </c>
      <c r="C1010" s="116">
        <v>368.95</v>
      </c>
      <c r="D1010" s="116">
        <v>362</v>
      </c>
      <c r="E1010" s="116">
        <v>369.8</v>
      </c>
      <c r="F1010" s="116">
        <v>368.95</v>
      </c>
      <c r="G1010">
        <v>51090</v>
      </c>
      <c r="H1010" s="116"/>
      <c r="I1010" s="116"/>
      <c r="L1010" s="170">
        <v>45176</v>
      </c>
      <c r="M1010" s="116">
        <v>368.05</v>
      </c>
      <c r="N1010" s="116">
        <v>377.65</v>
      </c>
      <c r="O1010" s="116">
        <v>363.15</v>
      </c>
      <c r="P1010" s="116">
        <v>367</v>
      </c>
      <c r="Q1010" s="116">
        <v>368.05</v>
      </c>
      <c r="R1010">
        <v>237447</v>
      </c>
    </row>
    <row r="1011" spans="1:18" x14ac:dyDescent="0.25">
      <c r="A1011" s="170">
        <v>45177</v>
      </c>
      <c r="B1011" s="116">
        <v>374.85</v>
      </c>
      <c r="C1011" s="116">
        <v>370</v>
      </c>
      <c r="D1011" s="116">
        <v>368</v>
      </c>
      <c r="E1011" s="116">
        <v>370</v>
      </c>
      <c r="F1011" s="116">
        <v>370</v>
      </c>
      <c r="G1011">
        <v>28375</v>
      </c>
      <c r="H1011" s="116"/>
      <c r="I1011" s="116"/>
      <c r="L1011" s="170">
        <v>45177</v>
      </c>
      <c r="M1011" s="116">
        <v>369.95</v>
      </c>
      <c r="N1011" s="116">
        <v>376.2</v>
      </c>
      <c r="O1011" s="116">
        <v>367</v>
      </c>
      <c r="P1011" s="116">
        <v>372.95</v>
      </c>
      <c r="Q1011" s="116">
        <v>369.95</v>
      </c>
      <c r="R1011">
        <v>124432</v>
      </c>
    </row>
    <row r="1012" spans="1:18" x14ac:dyDescent="0.25">
      <c r="A1012" s="170">
        <v>45180</v>
      </c>
      <c r="B1012" s="116">
        <v>388.5</v>
      </c>
      <c r="C1012" s="116">
        <v>388.5</v>
      </c>
      <c r="D1012" s="116">
        <v>372.1</v>
      </c>
      <c r="E1012" s="116">
        <v>379.75</v>
      </c>
      <c r="F1012" s="116">
        <v>388.5</v>
      </c>
      <c r="G1012">
        <v>103470</v>
      </c>
      <c r="H1012" s="116"/>
      <c r="I1012" s="116"/>
      <c r="L1012" s="170">
        <v>45180</v>
      </c>
      <c r="M1012" s="116">
        <v>388.4</v>
      </c>
      <c r="N1012" s="116">
        <v>388.4</v>
      </c>
      <c r="O1012" s="116">
        <v>373</v>
      </c>
      <c r="P1012" s="116">
        <v>376</v>
      </c>
      <c r="Q1012" s="116">
        <v>388.4</v>
      </c>
      <c r="R1012">
        <v>494741</v>
      </c>
    </row>
    <row r="1013" spans="1:18" x14ac:dyDescent="0.25">
      <c r="A1013" s="170">
        <v>45181</v>
      </c>
      <c r="B1013" s="116">
        <v>406</v>
      </c>
      <c r="C1013" s="116">
        <v>370.85</v>
      </c>
      <c r="D1013" s="116">
        <v>369.1</v>
      </c>
      <c r="E1013" s="116">
        <v>391</v>
      </c>
      <c r="F1013" s="116">
        <v>370.85</v>
      </c>
      <c r="G1013">
        <v>105738</v>
      </c>
      <c r="H1013" s="116"/>
      <c r="I1013" s="116"/>
      <c r="L1013" s="170">
        <v>45181</v>
      </c>
      <c r="M1013" s="116">
        <v>369.9</v>
      </c>
      <c r="N1013" s="116">
        <v>401</v>
      </c>
      <c r="O1013" s="116">
        <v>369</v>
      </c>
      <c r="P1013" s="116">
        <v>400</v>
      </c>
      <c r="Q1013" s="116">
        <v>369.9</v>
      </c>
      <c r="R1013">
        <v>863380</v>
      </c>
    </row>
    <row r="1014" spans="1:18" x14ac:dyDescent="0.25">
      <c r="A1014" s="170">
        <v>45182</v>
      </c>
      <c r="B1014" s="116">
        <v>376</v>
      </c>
      <c r="C1014" s="116">
        <v>358.6</v>
      </c>
      <c r="D1014" s="116">
        <v>355.25</v>
      </c>
      <c r="E1014" s="116">
        <v>372</v>
      </c>
      <c r="F1014" s="116">
        <v>358.6</v>
      </c>
      <c r="G1014">
        <v>74710</v>
      </c>
      <c r="H1014" s="116"/>
      <c r="I1014" s="116"/>
      <c r="L1014" s="170">
        <v>45182</v>
      </c>
      <c r="M1014" s="116">
        <v>358.15</v>
      </c>
      <c r="N1014" s="116">
        <v>376.85</v>
      </c>
      <c r="O1014" s="116">
        <v>357</v>
      </c>
      <c r="P1014" s="116">
        <v>360.15</v>
      </c>
      <c r="Q1014" s="116">
        <v>358.15</v>
      </c>
      <c r="R1014">
        <v>563791</v>
      </c>
    </row>
    <row r="1015" spans="1:18" x14ac:dyDescent="0.25">
      <c r="A1015" s="170">
        <v>45183</v>
      </c>
      <c r="B1015" s="116">
        <v>374.7</v>
      </c>
      <c r="C1015" s="116">
        <v>367.95</v>
      </c>
      <c r="D1015" s="116">
        <v>361.05</v>
      </c>
      <c r="E1015" s="116">
        <v>361.05</v>
      </c>
      <c r="F1015" s="116">
        <v>367.95</v>
      </c>
      <c r="G1015">
        <v>36278</v>
      </c>
      <c r="H1015" s="116"/>
      <c r="I1015" s="116"/>
      <c r="L1015" s="170">
        <v>45183</v>
      </c>
      <c r="M1015" s="116">
        <v>366.05</v>
      </c>
      <c r="N1015" s="116">
        <v>371</v>
      </c>
      <c r="O1015" s="116">
        <v>362.5</v>
      </c>
      <c r="P1015" s="116">
        <v>368</v>
      </c>
      <c r="Q1015" s="116">
        <v>366.05</v>
      </c>
      <c r="R1015">
        <v>284796</v>
      </c>
    </row>
    <row r="1016" spans="1:18" x14ac:dyDescent="0.25">
      <c r="A1016" s="170">
        <v>45184</v>
      </c>
      <c r="B1016" s="116">
        <v>372</v>
      </c>
      <c r="C1016" s="116">
        <v>362.85</v>
      </c>
      <c r="D1016" s="116">
        <v>360.8</v>
      </c>
      <c r="E1016" s="116">
        <v>367.95</v>
      </c>
      <c r="F1016" s="116">
        <v>362.85</v>
      </c>
      <c r="G1016">
        <v>25258</v>
      </c>
      <c r="H1016" s="116"/>
      <c r="I1016" s="116"/>
      <c r="L1016" s="170">
        <v>45184</v>
      </c>
      <c r="M1016" s="116">
        <v>360.7</v>
      </c>
      <c r="N1016" s="116">
        <v>372</v>
      </c>
      <c r="O1016" s="116">
        <v>355.65</v>
      </c>
      <c r="P1016" s="116">
        <v>369.95</v>
      </c>
      <c r="Q1016" s="116">
        <v>360.7</v>
      </c>
      <c r="R1016">
        <v>185858</v>
      </c>
    </row>
    <row r="1017" spans="1:18" x14ac:dyDescent="0.25">
      <c r="A1017" s="170">
        <v>45187</v>
      </c>
      <c r="B1017" s="116">
        <v>362.9</v>
      </c>
      <c r="C1017" s="116">
        <v>360</v>
      </c>
      <c r="D1017" s="116">
        <v>356.45</v>
      </c>
      <c r="E1017" s="116">
        <v>361</v>
      </c>
      <c r="F1017" s="116">
        <v>360</v>
      </c>
      <c r="G1017">
        <v>23482</v>
      </c>
      <c r="H1017" s="116"/>
      <c r="I1017" s="116"/>
      <c r="L1017" s="170">
        <v>45187</v>
      </c>
      <c r="M1017" s="116">
        <v>361.2</v>
      </c>
      <c r="N1017" s="116">
        <v>367.5</v>
      </c>
      <c r="O1017" s="116">
        <v>352.1</v>
      </c>
      <c r="P1017" s="116">
        <v>366</v>
      </c>
      <c r="Q1017" s="116">
        <v>361.2</v>
      </c>
      <c r="R1017">
        <v>240806</v>
      </c>
    </row>
    <row r="1018" spans="1:18" x14ac:dyDescent="0.25">
      <c r="A1018" s="170">
        <v>45189</v>
      </c>
      <c r="B1018" s="116">
        <v>367</v>
      </c>
      <c r="C1018" s="116">
        <v>364.85</v>
      </c>
      <c r="D1018" s="116">
        <v>351</v>
      </c>
      <c r="E1018" s="116">
        <v>355.15</v>
      </c>
      <c r="F1018" s="116">
        <v>364.85</v>
      </c>
      <c r="G1018">
        <v>15477</v>
      </c>
      <c r="H1018" s="116"/>
      <c r="I1018" s="116"/>
      <c r="L1018" s="170">
        <v>45189</v>
      </c>
      <c r="M1018" s="116">
        <v>364.45</v>
      </c>
      <c r="N1018" s="116">
        <v>366.7</v>
      </c>
      <c r="O1018" s="116">
        <v>350.15</v>
      </c>
      <c r="P1018" s="116">
        <v>357</v>
      </c>
      <c r="Q1018" s="116">
        <v>364.45</v>
      </c>
      <c r="R1018">
        <v>136956</v>
      </c>
    </row>
    <row r="1019" spans="1:18" x14ac:dyDescent="0.25">
      <c r="A1019" s="170">
        <v>45190</v>
      </c>
      <c r="B1019" s="116">
        <v>366</v>
      </c>
      <c r="C1019" s="116">
        <v>362.4</v>
      </c>
      <c r="D1019" s="116">
        <v>360.1</v>
      </c>
      <c r="E1019" s="116">
        <v>361.7</v>
      </c>
      <c r="F1019" s="116">
        <v>362.4</v>
      </c>
      <c r="G1019">
        <v>11788</v>
      </c>
      <c r="H1019" s="116"/>
      <c r="I1019" s="116"/>
      <c r="L1019" s="170">
        <v>45190</v>
      </c>
      <c r="M1019" s="116">
        <v>361.2</v>
      </c>
      <c r="N1019" s="116">
        <v>369.2</v>
      </c>
      <c r="O1019" s="116">
        <v>356.7</v>
      </c>
      <c r="P1019" s="116">
        <v>363.95</v>
      </c>
      <c r="Q1019" s="116">
        <v>361.2</v>
      </c>
      <c r="R1019">
        <v>149453</v>
      </c>
    </row>
    <row r="1020" spans="1:18" x14ac:dyDescent="0.25">
      <c r="A1020" s="170">
        <v>45191</v>
      </c>
      <c r="B1020" s="116">
        <v>364</v>
      </c>
      <c r="C1020" s="116">
        <v>358.5</v>
      </c>
      <c r="D1020" s="116">
        <v>355.5</v>
      </c>
      <c r="E1020" s="116">
        <v>362.45</v>
      </c>
      <c r="F1020" s="116">
        <v>358.5</v>
      </c>
      <c r="G1020">
        <v>19741</v>
      </c>
      <c r="H1020" s="116"/>
      <c r="I1020" s="116"/>
      <c r="L1020" s="170">
        <v>45191</v>
      </c>
      <c r="M1020" s="116">
        <v>358.85</v>
      </c>
      <c r="N1020" s="116">
        <v>366.8</v>
      </c>
      <c r="O1020" s="116">
        <v>355.5</v>
      </c>
      <c r="P1020" s="116">
        <v>361.3</v>
      </c>
      <c r="Q1020" s="116">
        <v>358.85</v>
      </c>
      <c r="R1020">
        <v>169749</v>
      </c>
    </row>
    <row r="1021" spans="1:18" x14ac:dyDescent="0.25">
      <c r="A1021" s="170">
        <v>45194</v>
      </c>
      <c r="B1021" s="116">
        <v>363.4</v>
      </c>
      <c r="C1021" s="116">
        <v>358.3</v>
      </c>
      <c r="D1021" s="116">
        <v>355.3</v>
      </c>
      <c r="E1021" s="116">
        <v>358.5</v>
      </c>
      <c r="F1021" s="116">
        <v>358.3</v>
      </c>
      <c r="G1021">
        <v>2424</v>
      </c>
      <c r="H1021" s="116"/>
      <c r="I1021" s="116"/>
      <c r="L1021" s="170">
        <v>45194</v>
      </c>
      <c r="M1021" s="116">
        <v>358.1</v>
      </c>
      <c r="N1021" s="116">
        <v>365</v>
      </c>
      <c r="O1021" s="116">
        <v>356.5</v>
      </c>
      <c r="P1021" s="116">
        <v>358.85</v>
      </c>
      <c r="Q1021" s="116">
        <v>358.1</v>
      </c>
      <c r="R1021">
        <v>58484</v>
      </c>
    </row>
    <row r="1022" spans="1:18" x14ac:dyDescent="0.25">
      <c r="A1022" s="170">
        <v>45195</v>
      </c>
      <c r="B1022" s="116">
        <v>363</v>
      </c>
      <c r="C1022" s="116">
        <v>358.6</v>
      </c>
      <c r="D1022" s="116">
        <v>357.1</v>
      </c>
      <c r="E1022" s="116">
        <v>357.1</v>
      </c>
      <c r="F1022" s="116">
        <v>358.6</v>
      </c>
      <c r="G1022">
        <v>10837</v>
      </c>
      <c r="H1022" s="116"/>
      <c r="I1022" s="116"/>
      <c r="L1022" s="170">
        <v>45195</v>
      </c>
      <c r="M1022" s="116">
        <v>359</v>
      </c>
      <c r="N1022" s="116">
        <v>364</v>
      </c>
      <c r="O1022" s="116">
        <v>357</v>
      </c>
      <c r="P1022" s="116">
        <v>359.5</v>
      </c>
      <c r="Q1022" s="116">
        <v>359</v>
      </c>
      <c r="R1022">
        <v>67229</v>
      </c>
    </row>
    <row r="1023" spans="1:18" x14ac:dyDescent="0.25">
      <c r="A1023" s="170">
        <v>45196</v>
      </c>
      <c r="B1023" s="116">
        <v>370</v>
      </c>
      <c r="C1023" s="116">
        <v>355.95</v>
      </c>
      <c r="D1023" s="116">
        <v>354.1</v>
      </c>
      <c r="E1023" s="116">
        <v>360</v>
      </c>
      <c r="F1023" s="116">
        <v>355.95</v>
      </c>
      <c r="G1023">
        <v>8361</v>
      </c>
      <c r="H1023" s="116"/>
      <c r="I1023" s="116"/>
      <c r="L1023" s="170">
        <v>45196</v>
      </c>
      <c r="M1023" s="116">
        <v>353</v>
      </c>
      <c r="N1023" s="116">
        <v>362</v>
      </c>
      <c r="O1023" s="116">
        <v>350.1</v>
      </c>
      <c r="P1023" s="116">
        <v>355.65</v>
      </c>
      <c r="Q1023" s="116">
        <v>353</v>
      </c>
      <c r="R1023">
        <v>88889</v>
      </c>
    </row>
    <row r="1024" spans="1:18" x14ac:dyDescent="0.25">
      <c r="A1024" s="170">
        <v>45197</v>
      </c>
      <c r="B1024" s="116">
        <v>360</v>
      </c>
      <c r="C1024" s="116">
        <v>348.7</v>
      </c>
      <c r="D1024" s="116">
        <v>347.05</v>
      </c>
      <c r="E1024" s="116">
        <v>359.9</v>
      </c>
      <c r="F1024" s="116">
        <v>348.7</v>
      </c>
      <c r="G1024">
        <v>23565</v>
      </c>
      <c r="H1024" s="116"/>
      <c r="I1024" s="116"/>
      <c r="L1024" s="170">
        <v>45197</v>
      </c>
      <c r="M1024" s="116">
        <v>348.3</v>
      </c>
      <c r="N1024" s="116">
        <v>359.6</v>
      </c>
      <c r="O1024" s="116">
        <v>346.95</v>
      </c>
      <c r="P1024" s="116">
        <v>354.25</v>
      </c>
      <c r="Q1024" s="116">
        <v>348.3</v>
      </c>
      <c r="R1024">
        <v>145667</v>
      </c>
    </row>
    <row r="1025" spans="1:18" x14ac:dyDescent="0.25">
      <c r="A1025" s="170">
        <v>45198</v>
      </c>
      <c r="B1025" s="116">
        <v>366.1</v>
      </c>
      <c r="C1025" s="116">
        <v>361.05</v>
      </c>
      <c r="D1025" s="116">
        <v>338</v>
      </c>
      <c r="E1025" s="116">
        <v>348.7</v>
      </c>
      <c r="F1025" s="116">
        <v>361.05</v>
      </c>
      <c r="G1025">
        <v>70072</v>
      </c>
      <c r="H1025" s="116"/>
      <c r="I1025" s="116"/>
      <c r="L1025" s="170">
        <v>45198</v>
      </c>
      <c r="M1025" s="116">
        <v>360.45</v>
      </c>
      <c r="N1025" s="116">
        <v>365.7</v>
      </c>
      <c r="O1025" s="116">
        <v>337.5</v>
      </c>
      <c r="P1025" s="116">
        <v>347</v>
      </c>
      <c r="Q1025" s="116">
        <v>360.45</v>
      </c>
      <c r="R1025">
        <v>452848</v>
      </c>
    </row>
    <row r="1026" spans="1:18" x14ac:dyDescent="0.25">
      <c r="A1026" s="170">
        <v>45202</v>
      </c>
      <c r="B1026" s="116">
        <v>359</v>
      </c>
      <c r="C1026" s="116">
        <v>352</v>
      </c>
      <c r="D1026" s="116">
        <v>346</v>
      </c>
      <c r="E1026" s="116">
        <v>359</v>
      </c>
      <c r="F1026" s="116">
        <v>352</v>
      </c>
      <c r="G1026">
        <v>36642</v>
      </c>
      <c r="H1026" s="116"/>
      <c r="I1026" s="116"/>
      <c r="L1026" s="170">
        <v>45202</v>
      </c>
      <c r="M1026" s="116">
        <v>352.75</v>
      </c>
      <c r="N1026" s="116">
        <v>358.3</v>
      </c>
      <c r="O1026" s="116">
        <v>346.65</v>
      </c>
      <c r="P1026" s="116">
        <v>357</v>
      </c>
      <c r="Q1026" s="116">
        <v>352.75</v>
      </c>
      <c r="R1026">
        <v>230936</v>
      </c>
    </row>
    <row r="1027" spans="1:18" x14ac:dyDescent="0.25">
      <c r="A1027" s="170">
        <v>45203</v>
      </c>
      <c r="B1027" s="116">
        <v>351.5</v>
      </c>
      <c r="C1027" s="116">
        <v>345.65</v>
      </c>
      <c r="D1027" s="116">
        <v>336.6</v>
      </c>
      <c r="E1027" s="116">
        <v>346.25</v>
      </c>
      <c r="F1027" s="116">
        <v>345.65</v>
      </c>
      <c r="G1027">
        <v>11317</v>
      </c>
      <c r="H1027" s="116"/>
      <c r="I1027" s="116"/>
      <c r="L1027" s="170">
        <v>45203</v>
      </c>
      <c r="M1027" s="116">
        <v>346.15</v>
      </c>
      <c r="N1027" s="116">
        <v>358</v>
      </c>
      <c r="O1027" s="116">
        <v>343</v>
      </c>
      <c r="P1027" s="116">
        <v>347.6</v>
      </c>
      <c r="Q1027" s="116">
        <v>346.15</v>
      </c>
      <c r="R1027">
        <v>192576</v>
      </c>
    </row>
    <row r="1028" spans="1:18" x14ac:dyDescent="0.25">
      <c r="A1028" s="170">
        <v>45204</v>
      </c>
      <c r="B1028" s="116">
        <v>351.45</v>
      </c>
      <c r="C1028" s="116">
        <v>342.7</v>
      </c>
      <c r="D1028" s="116">
        <v>336</v>
      </c>
      <c r="E1028" s="116">
        <v>345.15</v>
      </c>
      <c r="F1028" s="116">
        <v>342.7</v>
      </c>
      <c r="G1028">
        <v>20789</v>
      </c>
      <c r="H1028" s="116"/>
      <c r="I1028" s="116"/>
      <c r="L1028" s="170">
        <v>45204</v>
      </c>
      <c r="M1028" s="116">
        <v>338.05</v>
      </c>
      <c r="N1028" s="116">
        <v>349.9</v>
      </c>
      <c r="O1028" s="116">
        <v>332.2</v>
      </c>
      <c r="P1028" s="116">
        <v>345.55</v>
      </c>
      <c r="Q1028" s="116">
        <v>338.05</v>
      </c>
      <c r="R1028">
        <v>237008</v>
      </c>
    </row>
    <row r="1029" spans="1:18" x14ac:dyDescent="0.25">
      <c r="A1029" s="170">
        <v>45205</v>
      </c>
      <c r="B1029" s="116">
        <v>347</v>
      </c>
      <c r="C1029" s="116">
        <v>340.2</v>
      </c>
      <c r="D1029" s="116">
        <v>332</v>
      </c>
      <c r="E1029" s="116">
        <v>338</v>
      </c>
      <c r="F1029" s="116">
        <v>340.2</v>
      </c>
      <c r="G1029">
        <v>36535</v>
      </c>
      <c r="H1029" s="116"/>
      <c r="I1029" s="116"/>
      <c r="L1029" s="170">
        <v>45205</v>
      </c>
      <c r="M1029" s="116">
        <v>341.6</v>
      </c>
      <c r="N1029" s="116">
        <v>347.95</v>
      </c>
      <c r="O1029" s="116">
        <v>324.45</v>
      </c>
      <c r="P1029" s="116">
        <v>337.8</v>
      </c>
      <c r="Q1029" s="116">
        <v>341.6</v>
      </c>
      <c r="R1029">
        <v>236410</v>
      </c>
    </row>
    <row r="1030" spans="1:18" x14ac:dyDescent="0.25">
      <c r="A1030" s="170">
        <v>45208</v>
      </c>
      <c r="B1030" s="116">
        <v>337</v>
      </c>
      <c r="C1030" s="116">
        <v>325.14999999999998</v>
      </c>
      <c r="D1030" s="116">
        <v>324</v>
      </c>
      <c r="E1030" s="116">
        <v>337</v>
      </c>
      <c r="F1030" s="116">
        <v>325.14999999999998</v>
      </c>
      <c r="G1030">
        <v>19264</v>
      </c>
      <c r="H1030" s="116"/>
      <c r="I1030" s="116"/>
      <c r="L1030" s="170">
        <v>45208</v>
      </c>
      <c r="M1030" s="116">
        <v>325.95</v>
      </c>
      <c r="N1030" s="116">
        <v>336</v>
      </c>
      <c r="O1030" s="116">
        <v>324.55</v>
      </c>
      <c r="P1030" s="116">
        <v>335</v>
      </c>
      <c r="Q1030" s="116">
        <v>325.95</v>
      </c>
      <c r="R1030">
        <v>236588</v>
      </c>
    </row>
    <row r="1031" spans="1:18" x14ac:dyDescent="0.25">
      <c r="A1031" s="170">
        <v>45209</v>
      </c>
      <c r="B1031" s="116">
        <v>339.9</v>
      </c>
      <c r="C1031" s="116">
        <v>329.8</v>
      </c>
      <c r="D1031" s="116">
        <v>318.64999999999998</v>
      </c>
      <c r="E1031" s="116">
        <v>329.65</v>
      </c>
      <c r="F1031" s="116">
        <v>329.8</v>
      </c>
      <c r="G1031">
        <v>18031</v>
      </c>
      <c r="H1031" s="116"/>
      <c r="I1031" s="116"/>
      <c r="L1031" s="170">
        <v>45209</v>
      </c>
      <c r="M1031" s="116">
        <v>330.3</v>
      </c>
      <c r="N1031" s="116">
        <v>332.8</v>
      </c>
      <c r="O1031" s="116">
        <v>326.5</v>
      </c>
      <c r="P1031" s="116">
        <v>327</v>
      </c>
      <c r="Q1031" s="116">
        <v>330.3</v>
      </c>
      <c r="R1031">
        <v>121981</v>
      </c>
    </row>
    <row r="1032" spans="1:18" x14ac:dyDescent="0.25">
      <c r="A1032" s="170">
        <v>45210</v>
      </c>
      <c r="B1032" s="116">
        <v>332</v>
      </c>
      <c r="C1032" s="116">
        <v>313.35000000000002</v>
      </c>
      <c r="D1032" s="116">
        <v>313.35000000000002</v>
      </c>
      <c r="E1032" s="116">
        <v>332</v>
      </c>
      <c r="F1032" s="116">
        <v>313.35000000000002</v>
      </c>
      <c r="G1032">
        <v>74538</v>
      </c>
      <c r="H1032" s="116"/>
      <c r="I1032" s="116"/>
      <c r="L1032" s="170">
        <v>45210</v>
      </c>
      <c r="M1032" s="116">
        <v>313.8</v>
      </c>
      <c r="N1032" s="116">
        <v>331.5</v>
      </c>
      <c r="O1032" s="116">
        <v>313.8</v>
      </c>
      <c r="P1032" s="116">
        <v>324.10000000000002</v>
      </c>
      <c r="Q1032" s="116">
        <v>313.8</v>
      </c>
      <c r="R1032">
        <v>828369</v>
      </c>
    </row>
    <row r="1033" spans="1:18" x14ac:dyDescent="0.25">
      <c r="A1033" s="170">
        <v>45211</v>
      </c>
      <c r="B1033" s="116">
        <v>322.85000000000002</v>
      </c>
      <c r="C1033" s="116">
        <v>307.5</v>
      </c>
      <c r="D1033" s="116">
        <v>297.7</v>
      </c>
      <c r="E1033" s="116">
        <v>297.7</v>
      </c>
      <c r="F1033" s="116">
        <v>307.5</v>
      </c>
      <c r="G1033">
        <v>91170</v>
      </c>
      <c r="H1033" s="116"/>
      <c r="I1033" s="116"/>
      <c r="L1033" s="170">
        <v>45211</v>
      </c>
      <c r="M1033" s="116">
        <v>304.85000000000002</v>
      </c>
      <c r="N1033" s="116">
        <v>320.7</v>
      </c>
      <c r="O1033" s="116">
        <v>298.14999999999998</v>
      </c>
      <c r="P1033" s="116">
        <v>300</v>
      </c>
      <c r="Q1033" s="116">
        <v>304.85000000000002</v>
      </c>
      <c r="R1033">
        <v>2063565</v>
      </c>
    </row>
    <row r="1034" spans="1:18" x14ac:dyDescent="0.25">
      <c r="A1034" s="170">
        <v>45212</v>
      </c>
      <c r="B1034" s="116">
        <v>316</v>
      </c>
      <c r="C1034" s="116">
        <v>311.05</v>
      </c>
      <c r="D1034" s="116">
        <v>300</v>
      </c>
      <c r="E1034" s="116">
        <v>304.85000000000002</v>
      </c>
      <c r="F1034" s="116">
        <v>311.05</v>
      </c>
      <c r="G1034">
        <v>42576</v>
      </c>
      <c r="H1034" s="116"/>
      <c r="I1034" s="116"/>
      <c r="L1034" s="170">
        <v>45212</v>
      </c>
      <c r="M1034" s="116">
        <v>310.55</v>
      </c>
      <c r="N1034" s="116">
        <v>315</v>
      </c>
      <c r="O1034" s="116">
        <v>303</v>
      </c>
      <c r="P1034" s="116">
        <v>303</v>
      </c>
      <c r="Q1034" s="116">
        <v>310.55</v>
      </c>
      <c r="R1034">
        <v>773002</v>
      </c>
    </row>
    <row r="1035" spans="1:18" x14ac:dyDescent="0.25">
      <c r="A1035" s="170">
        <v>45215</v>
      </c>
      <c r="B1035" s="116">
        <v>310</v>
      </c>
      <c r="C1035" s="116">
        <v>295.5</v>
      </c>
      <c r="D1035" s="116">
        <v>295.5</v>
      </c>
      <c r="E1035" s="116">
        <v>310</v>
      </c>
      <c r="F1035" s="116">
        <v>295.5</v>
      </c>
      <c r="G1035">
        <v>75283</v>
      </c>
      <c r="H1035" s="116"/>
      <c r="I1035" s="116"/>
      <c r="L1035" s="170">
        <v>45215</v>
      </c>
      <c r="M1035" s="116">
        <v>295.05</v>
      </c>
      <c r="N1035" s="116">
        <v>313</v>
      </c>
      <c r="O1035" s="116">
        <v>295.05</v>
      </c>
      <c r="P1035" s="116">
        <v>310</v>
      </c>
      <c r="Q1035" s="116">
        <v>295.05</v>
      </c>
      <c r="R1035">
        <v>349794</v>
      </c>
    </row>
    <row r="1036" spans="1:18" x14ac:dyDescent="0.25">
      <c r="A1036" s="170">
        <v>45216</v>
      </c>
      <c r="B1036" s="116">
        <v>299</v>
      </c>
      <c r="C1036" s="116">
        <v>280.75</v>
      </c>
      <c r="D1036" s="116">
        <v>280.75</v>
      </c>
      <c r="E1036" s="116">
        <v>295</v>
      </c>
      <c r="F1036" s="116">
        <v>280.75</v>
      </c>
      <c r="G1036">
        <v>98066</v>
      </c>
      <c r="H1036" s="116"/>
      <c r="I1036" s="116"/>
      <c r="L1036" s="170">
        <v>45216</v>
      </c>
      <c r="M1036" s="116">
        <v>280.3</v>
      </c>
      <c r="N1036" s="116">
        <v>299.8</v>
      </c>
      <c r="O1036" s="116">
        <v>280.3</v>
      </c>
      <c r="P1036" s="116">
        <v>295.5</v>
      </c>
      <c r="Q1036" s="116">
        <v>280.3</v>
      </c>
      <c r="R1036">
        <v>912567</v>
      </c>
    </row>
    <row r="1037" spans="1:18" x14ac:dyDescent="0.25">
      <c r="A1037" s="170">
        <v>45217</v>
      </c>
      <c r="B1037" s="116">
        <v>275</v>
      </c>
      <c r="C1037" s="116">
        <v>266.75</v>
      </c>
      <c r="D1037" s="116">
        <v>266.75</v>
      </c>
      <c r="E1037" s="116">
        <v>273.39999999999998</v>
      </c>
      <c r="F1037" s="116">
        <v>266.75</v>
      </c>
      <c r="G1037">
        <v>86764</v>
      </c>
      <c r="H1037" s="116"/>
      <c r="I1037" s="116"/>
      <c r="L1037" s="170">
        <v>45217</v>
      </c>
      <c r="M1037" s="116">
        <v>266.3</v>
      </c>
      <c r="N1037" s="116">
        <v>273</v>
      </c>
      <c r="O1037" s="116">
        <v>266.3</v>
      </c>
      <c r="P1037" s="116">
        <v>271.60000000000002</v>
      </c>
      <c r="Q1037" s="116">
        <v>266.3</v>
      </c>
      <c r="R1037">
        <v>1047079</v>
      </c>
    </row>
    <row r="1038" spans="1:18" x14ac:dyDescent="0.25">
      <c r="A1038" s="170">
        <v>45218</v>
      </c>
      <c r="B1038" s="116">
        <v>280.05</v>
      </c>
      <c r="C1038" s="116">
        <v>280.05</v>
      </c>
      <c r="D1038" s="116">
        <v>253.45</v>
      </c>
      <c r="E1038" s="116">
        <v>253.45</v>
      </c>
      <c r="F1038" s="116">
        <v>280.05</v>
      </c>
      <c r="G1038">
        <v>169045</v>
      </c>
      <c r="H1038" s="116"/>
      <c r="I1038" s="116"/>
      <c r="L1038" s="170">
        <v>45218</v>
      </c>
      <c r="M1038" s="116">
        <v>279.60000000000002</v>
      </c>
      <c r="N1038" s="116">
        <v>279.60000000000002</v>
      </c>
      <c r="O1038" s="116">
        <v>253</v>
      </c>
      <c r="P1038" s="116">
        <v>253</v>
      </c>
      <c r="Q1038" s="116">
        <v>279.60000000000002</v>
      </c>
      <c r="R1038">
        <v>2516827</v>
      </c>
    </row>
    <row r="1039" spans="1:18" x14ac:dyDescent="0.25">
      <c r="A1039" s="170">
        <v>45219</v>
      </c>
      <c r="B1039" s="116">
        <v>288</v>
      </c>
      <c r="C1039" s="116">
        <v>275.45</v>
      </c>
      <c r="D1039" s="116">
        <v>273</v>
      </c>
      <c r="E1039" s="116">
        <v>281.64999999999998</v>
      </c>
      <c r="F1039" s="116">
        <v>275.45</v>
      </c>
      <c r="G1039">
        <v>97001</v>
      </c>
      <c r="H1039" s="116"/>
      <c r="I1039" s="116"/>
      <c r="L1039" s="170">
        <v>45219</v>
      </c>
      <c r="M1039" s="116">
        <v>276.05</v>
      </c>
      <c r="N1039" s="116">
        <v>288</v>
      </c>
      <c r="O1039" s="116">
        <v>271.10000000000002</v>
      </c>
      <c r="P1039" s="116">
        <v>280</v>
      </c>
      <c r="Q1039" s="116">
        <v>276.05</v>
      </c>
      <c r="R1039">
        <v>828163</v>
      </c>
    </row>
    <row r="1040" spans="1:18" x14ac:dyDescent="0.25">
      <c r="A1040" s="170">
        <v>45222</v>
      </c>
      <c r="B1040" s="116">
        <v>289.2</v>
      </c>
      <c r="C1040" s="116">
        <v>266.14999999999998</v>
      </c>
      <c r="D1040" s="116">
        <v>264.14999999999998</v>
      </c>
      <c r="E1040" s="116">
        <v>289.2</v>
      </c>
      <c r="F1040" s="116">
        <v>266.14999999999998</v>
      </c>
      <c r="G1040">
        <v>69025</v>
      </c>
      <c r="H1040" s="116"/>
      <c r="I1040" s="116"/>
      <c r="L1040" s="170">
        <v>45222</v>
      </c>
      <c r="M1040" s="116">
        <v>265.25</v>
      </c>
      <c r="N1040" s="116">
        <v>289.85000000000002</v>
      </c>
      <c r="O1040" s="116">
        <v>263.14999999999998</v>
      </c>
      <c r="P1040" s="116">
        <v>289.85000000000002</v>
      </c>
      <c r="Q1040" s="116">
        <v>265.25</v>
      </c>
      <c r="R1040">
        <v>864527</v>
      </c>
    </row>
    <row r="1041" spans="1:18" x14ac:dyDescent="0.25">
      <c r="A1041" s="170">
        <v>45224</v>
      </c>
      <c r="B1041" s="116">
        <v>272.64999999999998</v>
      </c>
      <c r="C1041" s="116">
        <v>266.45</v>
      </c>
      <c r="D1041" s="116">
        <v>257</v>
      </c>
      <c r="E1041" s="116">
        <v>265</v>
      </c>
      <c r="F1041" s="116">
        <v>266.45</v>
      </c>
      <c r="G1041">
        <v>59885</v>
      </c>
      <c r="H1041" s="116"/>
      <c r="I1041" s="116"/>
      <c r="L1041" s="170">
        <v>45224</v>
      </c>
      <c r="M1041" s="116">
        <v>268.64999999999998</v>
      </c>
      <c r="N1041" s="116">
        <v>272.7</v>
      </c>
      <c r="O1041" s="116">
        <v>255.4</v>
      </c>
      <c r="P1041" s="116">
        <v>262.8</v>
      </c>
      <c r="Q1041" s="116">
        <v>268.64999999999998</v>
      </c>
      <c r="R1041">
        <v>443825</v>
      </c>
    </row>
    <row r="1042" spans="1:18" x14ac:dyDescent="0.25">
      <c r="A1042" s="170">
        <v>45225</v>
      </c>
      <c r="B1042" s="116">
        <v>279.75</v>
      </c>
      <c r="C1042" s="116">
        <v>279.75</v>
      </c>
      <c r="D1042" s="116">
        <v>259</v>
      </c>
      <c r="E1042" s="116">
        <v>268.95</v>
      </c>
      <c r="F1042" s="116">
        <v>279.75</v>
      </c>
      <c r="G1042">
        <v>37278</v>
      </c>
      <c r="H1042" s="116"/>
      <c r="I1042" s="116"/>
      <c r="L1042" s="170">
        <v>45225</v>
      </c>
      <c r="M1042" s="116">
        <v>281.60000000000002</v>
      </c>
      <c r="N1042" s="116">
        <v>282</v>
      </c>
      <c r="O1042" s="116">
        <v>256.3</v>
      </c>
      <c r="P1042" s="116">
        <v>268.64999999999998</v>
      </c>
      <c r="Q1042" s="116">
        <v>281.60000000000002</v>
      </c>
      <c r="R1042">
        <v>822075</v>
      </c>
    </row>
    <row r="1043" spans="1:18" x14ac:dyDescent="0.25">
      <c r="A1043" s="170">
        <v>45226</v>
      </c>
      <c r="B1043" s="116">
        <v>288.5</v>
      </c>
      <c r="C1043" s="116">
        <v>276.85000000000002</v>
      </c>
      <c r="D1043" s="116">
        <v>274</v>
      </c>
      <c r="E1043" s="116">
        <v>280</v>
      </c>
      <c r="F1043" s="116">
        <v>276.85000000000002</v>
      </c>
      <c r="G1043">
        <v>29644</v>
      </c>
      <c r="H1043" s="116"/>
      <c r="I1043" s="116"/>
      <c r="L1043" s="170">
        <v>45226</v>
      </c>
      <c r="M1043" s="116">
        <v>276.14999999999998</v>
      </c>
      <c r="N1043" s="116">
        <v>284.89999999999998</v>
      </c>
      <c r="O1043" s="116">
        <v>274</v>
      </c>
      <c r="P1043" s="116">
        <v>283</v>
      </c>
      <c r="Q1043" s="116">
        <v>276.14999999999998</v>
      </c>
      <c r="R1043">
        <v>266692</v>
      </c>
    </row>
    <row r="1044" spans="1:18" x14ac:dyDescent="0.25">
      <c r="A1044" s="170">
        <v>45229</v>
      </c>
      <c r="B1044" s="116">
        <v>279.8</v>
      </c>
      <c r="C1044" s="116">
        <v>270.3</v>
      </c>
      <c r="D1044" s="116">
        <v>269.3</v>
      </c>
      <c r="E1044" s="116">
        <v>277</v>
      </c>
      <c r="F1044" s="116">
        <v>270.3</v>
      </c>
      <c r="G1044">
        <v>44990</v>
      </c>
      <c r="H1044" s="116"/>
      <c r="I1044" s="116"/>
      <c r="L1044" s="170">
        <v>45229</v>
      </c>
      <c r="M1044" s="116">
        <v>270.05</v>
      </c>
      <c r="N1044" s="116">
        <v>280</v>
      </c>
      <c r="O1044" s="116">
        <v>269.05</v>
      </c>
      <c r="P1044" s="116">
        <v>276.14999999999998</v>
      </c>
      <c r="Q1044" s="116">
        <v>270.05</v>
      </c>
      <c r="R1044">
        <v>431725</v>
      </c>
    </row>
    <row r="1045" spans="1:18" x14ac:dyDescent="0.25">
      <c r="A1045" s="170">
        <v>45230</v>
      </c>
      <c r="B1045" s="116">
        <v>273</v>
      </c>
      <c r="C1045" s="116">
        <v>263.85000000000002</v>
      </c>
      <c r="D1045" s="116">
        <v>261.3</v>
      </c>
      <c r="E1045" s="116">
        <v>272.89999999999998</v>
      </c>
      <c r="F1045" s="116">
        <v>263.85000000000002</v>
      </c>
      <c r="G1045">
        <v>36499</v>
      </c>
      <c r="H1045" s="116"/>
      <c r="I1045" s="116"/>
      <c r="L1045" s="170">
        <v>45230</v>
      </c>
      <c r="M1045" s="116">
        <v>263</v>
      </c>
      <c r="N1045" s="116">
        <v>274.39999999999998</v>
      </c>
      <c r="O1045" s="116">
        <v>261.55</v>
      </c>
      <c r="P1045" s="116">
        <v>271.89999999999998</v>
      </c>
      <c r="Q1045" s="116">
        <v>263</v>
      </c>
      <c r="R1045">
        <v>460443</v>
      </c>
    </row>
    <row r="1046" spans="1:18" x14ac:dyDescent="0.25">
      <c r="A1046" s="170">
        <v>45231</v>
      </c>
      <c r="B1046" s="116">
        <v>269</v>
      </c>
      <c r="C1046" s="116">
        <v>260.5</v>
      </c>
      <c r="D1046" s="116">
        <v>260</v>
      </c>
      <c r="E1046" s="116">
        <v>261.60000000000002</v>
      </c>
      <c r="F1046" s="116">
        <v>260.5</v>
      </c>
      <c r="G1046">
        <v>26287</v>
      </c>
      <c r="H1046" s="116"/>
      <c r="I1046" s="116"/>
      <c r="L1046" s="170">
        <v>45231</v>
      </c>
      <c r="M1046" s="116">
        <v>259.55</v>
      </c>
      <c r="N1046" s="116">
        <v>267.5</v>
      </c>
      <c r="O1046" s="116">
        <v>258.89999999999998</v>
      </c>
      <c r="P1046" s="116">
        <v>264.95</v>
      </c>
      <c r="Q1046" s="116">
        <v>259.55</v>
      </c>
      <c r="R1046">
        <v>430731</v>
      </c>
    </row>
    <row r="1047" spans="1:18" x14ac:dyDescent="0.25">
      <c r="A1047" s="170">
        <v>45232</v>
      </c>
      <c r="B1047" s="116">
        <v>273.5</v>
      </c>
      <c r="C1047" s="116">
        <v>265.05</v>
      </c>
      <c r="D1047" s="116">
        <v>262</v>
      </c>
      <c r="E1047" s="116">
        <v>262</v>
      </c>
      <c r="F1047" s="116">
        <v>265.05</v>
      </c>
      <c r="G1047">
        <v>49463</v>
      </c>
      <c r="H1047" s="116"/>
      <c r="I1047" s="116"/>
      <c r="L1047" s="170">
        <v>45232</v>
      </c>
      <c r="M1047" s="116">
        <v>264.25</v>
      </c>
      <c r="N1047" s="116">
        <v>268</v>
      </c>
      <c r="O1047" s="116">
        <v>262</v>
      </c>
      <c r="P1047" s="116">
        <v>263.55</v>
      </c>
      <c r="Q1047" s="116">
        <v>264.25</v>
      </c>
      <c r="R1047">
        <v>582233</v>
      </c>
    </row>
    <row r="1048" spans="1:18" x14ac:dyDescent="0.25">
      <c r="A1048" s="170">
        <v>45233</v>
      </c>
      <c r="B1048" s="116">
        <v>278.3</v>
      </c>
      <c r="C1048" s="116">
        <v>277</v>
      </c>
      <c r="D1048" s="116">
        <v>261</v>
      </c>
      <c r="E1048" s="116">
        <v>266.85000000000002</v>
      </c>
      <c r="F1048" s="116">
        <v>277</v>
      </c>
      <c r="G1048">
        <v>94306</v>
      </c>
      <c r="H1048" s="116"/>
      <c r="I1048" s="116"/>
      <c r="L1048" s="170">
        <v>45233</v>
      </c>
      <c r="M1048" s="116">
        <v>275.25</v>
      </c>
      <c r="N1048" s="116">
        <v>277.45</v>
      </c>
      <c r="O1048" s="116">
        <v>261.2</v>
      </c>
      <c r="P1048" s="116">
        <v>265.14999999999998</v>
      </c>
      <c r="Q1048" s="116">
        <v>275.25</v>
      </c>
      <c r="R1048">
        <v>1296580</v>
      </c>
    </row>
    <row r="1049" spans="1:18" x14ac:dyDescent="0.25">
      <c r="A1049" s="170">
        <v>45236</v>
      </c>
      <c r="B1049" s="116">
        <v>287</v>
      </c>
      <c r="C1049" s="116">
        <v>278.3</v>
      </c>
      <c r="D1049" s="116">
        <v>273</v>
      </c>
      <c r="E1049" s="116">
        <v>275.05</v>
      </c>
      <c r="F1049" s="116">
        <v>278.3</v>
      </c>
      <c r="G1049">
        <v>46599</v>
      </c>
      <c r="H1049" s="116"/>
      <c r="I1049" s="116"/>
      <c r="L1049" s="170">
        <v>45236</v>
      </c>
      <c r="M1049" s="116">
        <v>279.45</v>
      </c>
      <c r="N1049" s="116">
        <v>287</v>
      </c>
      <c r="O1049" s="116">
        <v>272.5</v>
      </c>
      <c r="P1049" s="116">
        <v>276</v>
      </c>
      <c r="Q1049" s="116">
        <v>279.45</v>
      </c>
      <c r="R1049">
        <v>635424</v>
      </c>
    </row>
    <row r="1050" spans="1:18" x14ac:dyDescent="0.25">
      <c r="A1050" s="170">
        <v>45237</v>
      </c>
      <c r="B1050" s="116">
        <v>292.2</v>
      </c>
      <c r="C1050" s="116">
        <v>292.2</v>
      </c>
      <c r="D1050" s="116">
        <v>278.3</v>
      </c>
      <c r="E1050" s="116">
        <v>279.8</v>
      </c>
      <c r="F1050" s="116">
        <v>292.2</v>
      </c>
      <c r="G1050">
        <v>144128</v>
      </c>
      <c r="H1050" s="116"/>
      <c r="I1050" s="116"/>
      <c r="L1050" s="170">
        <v>45237</v>
      </c>
      <c r="M1050" s="116">
        <v>293.39999999999998</v>
      </c>
      <c r="N1050" s="116">
        <v>293.39999999999998</v>
      </c>
      <c r="O1050" s="116">
        <v>277.5</v>
      </c>
      <c r="P1050" s="116">
        <v>279.10000000000002</v>
      </c>
      <c r="Q1050" s="116">
        <v>293.39999999999998</v>
      </c>
      <c r="R1050">
        <v>1146820</v>
      </c>
    </row>
    <row r="1051" spans="1:18" x14ac:dyDescent="0.25">
      <c r="A1051" s="170">
        <v>45238</v>
      </c>
      <c r="B1051" s="116">
        <v>302.95</v>
      </c>
      <c r="C1051" s="116">
        <v>287.14999999999998</v>
      </c>
      <c r="D1051" s="116">
        <v>285.95</v>
      </c>
      <c r="E1051" s="116">
        <v>301.25</v>
      </c>
      <c r="F1051" s="116">
        <v>287.14999999999998</v>
      </c>
      <c r="G1051">
        <v>68088</v>
      </c>
      <c r="H1051" s="116"/>
      <c r="I1051" s="116"/>
      <c r="L1051" s="170">
        <v>45238</v>
      </c>
      <c r="M1051" s="116">
        <v>287.7</v>
      </c>
      <c r="N1051" s="116">
        <v>301.89999999999998</v>
      </c>
      <c r="O1051" s="116">
        <v>286.05</v>
      </c>
      <c r="P1051" s="116">
        <v>301.7</v>
      </c>
      <c r="Q1051" s="116">
        <v>287.7</v>
      </c>
      <c r="R1051">
        <v>699232</v>
      </c>
    </row>
    <row r="1052" spans="1:18" x14ac:dyDescent="0.25">
      <c r="A1052" s="170">
        <v>45239</v>
      </c>
      <c r="B1052" s="116">
        <v>297.89999999999998</v>
      </c>
      <c r="C1052" s="116">
        <v>289.05</v>
      </c>
      <c r="D1052" s="116">
        <v>287.39999999999998</v>
      </c>
      <c r="E1052" s="116">
        <v>294.89999999999998</v>
      </c>
      <c r="F1052" s="116">
        <v>289.05</v>
      </c>
      <c r="G1052">
        <v>37737</v>
      </c>
      <c r="H1052" s="116"/>
      <c r="I1052" s="116"/>
      <c r="L1052" s="170">
        <v>45239</v>
      </c>
      <c r="M1052" s="116">
        <v>289.10000000000002</v>
      </c>
      <c r="N1052" s="116">
        <v>298.45</v>
      </c>
      <c r="O1052" s="116">
        <v>287.10000000000002</v>
      </c>
      <c r="P1052" s="116">
        <v>290</v>
      </c>
      <c r="Q1052" s="116">
        <v>289.10000000000002</v>
      </c>
      <c r="R1052">
        <v>485654</v>
      </c>
    </row>
    <row r="1053" spans="1:18" x14ac:dyDescent="0.25">
      <c r="A1053" s="170">
        <v>45240</v>
      </c>
      <c r="B1053" s="116">
        <v>294</v>
      </c>
      <c r="C1053" s="116">
        <v>279</v>
      </c>
      <c r="D1053" s="116">
        <v>275.55</v>
      </c>
      <c r="E1053" s="116">
        <v>290.3</v>
      </c>
      <c r="F1053" s="116">
        <v>279</v>
      </c>
      <c r="G1053">
        <v>44767</v>
      </c>
      <c r="H1053" s="116"/>
      <c r="I1053" s="116"/>
      <c r="L1053" s="170">
        <v>45240</v>
      </c>
      <c r="M1053" s="116">
        <v>278.60000000000002</v>
      </c>
      <c r="N1053" s="116">
        <v>293.64999999999998</v>
      </c>
      <c r="O1053" s="116">
        <v>275.14999999999998</v>
      </c>
      <c r="P1053" s="116">
        <v>290</v>
      </c>
      <c r="Q1053" s="116">
        <v>278.60000000000002</v>
      </c>
      <c r="R1053">
        <v>735388</v>
      </c>
    </row>
    <row r="1054" spans="1:18" x14ac:dyDescent="0.25">
      <c r="A1054" s="170">
        <v>45242</v>
      </c>
      <c r="B1054" s="116">
        <v>288.95</v>
      </c>
      <c r="C1054" s="116">
        <v>286.8</v>
      </c>
      <c r="D1054" s="116">
        <v>276.10000000000002</v>
      </c>
      <c r="E1054" s="116">
        <v>282.95</v>
      </c>
      <c r="F1054" s="116">
        <v>286.8</v>
      </c>
      <c r="G1054">
        <v>42586</v>
      </c>
      <c r="H1054" s="116"/>
      <c r="I1054" s="116"/>
      <c r="L1054" s="170">
        <v>45242</v>
      </c>
      <c r="M1054" s="116">
        <v>286.89999999999998</v>
      </c>
      <c r="N1054" s="116">
        <v>289</v>
      </c>
      <c r="O1054" s="116">
        <v>276.39999999999998</v>
      </c>
      <c r="P1054" s="116">
        <v>282</v>
      </c>
      <c r="Q1054" s="116">
        <v>286.89999999999998</v>
      </c>
      <c r="R1054">
        <v>286904</v>
      </c>
    </row>
    <row r="1055" spans="1:18" x14ac:dyDescent="0.25">
      <c r="A1055" s="170">
        <v>45243</v>
      </c>
      <c r="B1055" s="116">
        <v>287.05</v>
      </c>
      <c r="C1055" s="116">
        <v>282.39999999999998</v>
      </c>
      <c r="D1055" s="116">
        <v>280.55</v>
      </c>
      <c r="E1055" s="116">
        <v>287</v>
      </c>
      <c r="F1055" s="116">
        <v>282.39999999999998</v>
      </c>
      <c r="G1055">
        <v>23043</v>
      </c>
      <c r="H1055" s="116"/>
      <c r="I1055" s="116"/>
      <c r="L1055" s="170">
        <v>45243</v>
      </c>
      <c r="M1055" s="116">
        <v>282.35000000000002</v>
      </c>
      <c r="N1055" s="116">
        <v>287.64999999999998</v>
      </c>
      <c r="O1055" s="116">
        <v>280.39999999999998</v>
      </c>
      <c r="P1055" s="116">
        <v>286.05</v>
      </c>
      <c r="Q1055" s="116">
        <v>282.35000000000002</v>
      </c>
      <c r="R1055">
        <v>266116</v>
      </c>
    </row>
    <row r="1056" spans="1:18" x14ac:dyDescent="0.25">
      <c r="A1056" s="170">
        <v>45245</v>
      </c>
      <c r="B1056" s="116">
        <v>296.5</v>
      </c>
      <c r="C1056" s="116">
        <v>296.5</v>
      </c>
      <c r="D1056" s="116">
        <v>282.85000000000002</v>
      </c>
      <c r="E1056" s="116">
        <v>286</v>
      </c>
      <c r="F1056" s="116">
        <v>296.5</v>
      </c>
      <c r="G1056">
        <v>118791</v>
      </c>
      <c r="H1056" s="116"/>
      <c r="I1056" s="116"/>
      <c r="L1056" s="170">
        <v>45245</v>
      </c>
      <c r="M1056" s="116">
        <v>296.45</v>
      </c>
      <c r="N1056" s="116">
        <v>296.45</v>
      </c>
      <c r="O1056" s="116">
        <v>283.05</v>
      </c>
      <c r="P1056" s="116">
        <v>287</v>
      </c>
      <c r="Q1056" s="116">
        <v>296.45</v>
      </c>
      <c r="R1056">
        <v>565350</v>
      </c>
    </row>
    <row r="1057" spans="1:18" x14ac:dyDescent="0.25">
      <c r="A1057" s="170">
        <v>45246</v>
      </c>
      <c r="B1057" s="116">
        <v>307.85000000000002</v>
      </c>
      <c r="C1057" s="116">
        <v>302.25</v>
      </c>
      <c r="D1057" s="116">
        <v>293.2</v>
      </c>
      <c r="E1057" s="116">
        <v>299.2</v>
      </c>
      <c r="F1057" s="116">
        <v>302.25</v>
      </c>
      <c r="G1057">
        <v>134535</v>
      </c>
      <c r="H1057" s="116"/>
      <c r="I1057" s="116"/>
      <c r="L1057" s="170">
        <v>45246</v>
      </c>
      <c r="M1057" s="116">
        <v>302.85000000000002</v>
      </c>
      <c r="N1057" s="116">
        <v>308</v>
      </c>
      <c r="O1057" s="116">
        <v>293.35000000000002</v>
      </c>
      <c r="P1057" s="116">
        <v>299</v>
      </c>
      <c r="Q1057" s="116">
        <v>302.85000000000002</v>
      </c>
      <c r="R1057">
        <v>850607</v>
      </c>
    </row>
    <row r="1058" spans="1:18" x14ac:dyDescent="0.25">
      <c r="A1058" s="170">
        <v>45247</v>
      </c>
      <c r="B1058" s="116">
        <v>307.95</v>
      </c>
      <c r="C1058" s="116">
        <v>301.3</v>
      </c>
      <c r="D1058" s="116">
        <v>301</v>
      </c>
      <c r="E1058" s="116">
        <v>307.95</v>
      </c>
      <c r="F1058" s="116">
        <v>301.3</v>
      </c>
      <c r="G1058">
        <v>27441</v>
      </c>
      <c r="H1058" s="116"/>
      <c r="I1058" s="116"/>
      <c r="L1058" s="170">
        <v>45247</v>
      </c>
      <c r="M1058" s="116">
        <v>301.64999999999998</v>
      </c>
      <c r="N1058" s="116">
        <v>306.95</v>
      </c>
      <c r="O1058" s="116">
        <v>300.3</v>
      </c>
      <c r="P1058" s="116">
        <v>304.5</v>
      </c>
      <c r="Q1058" s="116">
        <v>301.64999999999998</v>
      </c>
      <c r="R1058">
        <v>425232</v>
      </c>
    </row>
    <row r="1059" spans="1:18" x14ac:dyDescent="0.25">
      <c r="A1059" s="170">
        <v>45250</v>
      </c>
      <c r="B1059" s="116">
        <v>311.89999999999998</v>
      </c>
      <c r="C1059" s="116">
        <v>303.35000000000002</v>
      </c>
      <c r="D1059" s="116">
        <v>298.5</v>
      </c>
      <c r="E1059" s="116">
        <v>306.95</v>
      </c>
      <c r="F1059" s="116">
        <v>303.35000000000002</v>
      </c>
      <c r="G1059">
        <v>31706</v>
      </c>
      <c r="H1059" s="116"/>
      <c r="I1059" s="116"/>
      <c r="L1059" s="170">
        <v>45250</v>
      </c>
      <c r="M1059" s="116">
        <v>303.05</v>
      </c>
      <c r="N1059" s="116">
        <v>312.05</v>
      </c>
      <c r="O1059" s="116">
        <v>298.39999999999998</v>
      </c>
      <c r="P1059" s="116">
        <v>305</v>
      </c>
      <c r="Q1059" s="116">
        <v>303.05</v>
      </c>
      <c r="R1059">
        <v>629840</v>
      </c>
    </row>
    <row r="1060" spans="1:18" x14ac:dyDescent="0.25">
      <c r="A1060" s="170">
        <v>45251</v>
      </c>
      <c r="B1060" s="116">
        <v>309</v>
      </c>
      <c r="C1060" s="116">
        <v>299.85000000000002</v>
      </c>
      <c r="D1060" s="116">
        <v>298.95</v>
      </c>
      <c r="E1060" s="116">
        <v>303.35000000000002</v>
      </c>
      <c r="F1060" s="116">
        <v>299.85000000000002</v>
      </c>
      <c r="G1060">
        <v>51552</v>
      </c>
      <c r="H1060" s="116"/>
      <c r="I1060" s="116"/>
      <c r="L1060" s="170">
        <v>45251</v>
      </c>
      <c r="M1060" s="116">
        <v>299.85000000000002</v>
      </c>
      <c r="N1060" s="116">
        <v>309.5</v>
      </c>
      <c r="O1060" s="116">
        <v>299</v>
      </c>
      <c r="P1060" s="116">
        <v>301</v>
      </c>
      <c r="Q1060" s="116">
        <v>299.85000000000002</v>
      </c>
      <c r="R1060">
        <v>432669</v>
      </c>
    </row>
    <row r="1061" spans="1:18" x14ac:dyDescent="0.25">
      <c r="A1061" s="170">
        <v>45252</v>
      </c>
      <c r="B1061" s="116">
        <v>314.8</v>
      </c>
      <c r="C1061" s="116">
        <v>314.8</v>
      </c>
      <c r="D1061" s="116">
        <v>299.5</v>
      </c>
      <c r="E1061" s="116">
        <v>299.5</v>
      </c>
      <c r="F1061" s="116">
        <v>314.8</v>
      </c>
      <c r="G1061">
        <v>262560</v>
      </c>
      <c r="H1061" s="116"/>
      <c r="I1061" s="116"/>
      <c r="L1061" s="170">
        <v>45252</v>
      </c>
      <c r="M1061" s="116">
        <v>314.8</v>
      </c>
      <c r="N1061" s="116">
        <v>314.8</v>
      </c>
      <c r="O1061" s="116">
        <v>300</v>
      </c>
      <c r="P1061" s="116">
        <v>300</v>
      </c>
      <c r="Q1061" s="116">
        <v>314.8</v>
      </c>
      <c r="R1061">
        <v>1319901</v>
      </c>
    </row>
    <row r="1062" spans="1:18" x14ac:dyDescent="0.25">
      <c r="A1062" s="170">
        <v>45253</v>
      </c>
      <c r="B1062" s="116">
        <v>330.5</v>
      </c>
      <c r="C1062" s="116">
        <v>330.5</v>
      </c>
      <c r="D1062" s="116">
        <v>330.5</v>
      </c>
      <c r="E1062" s="116">
        <v>330.5</v>
      </c>
      <c r="F1062" s="116">
        <v>330.5</v>
      </c>
      <c r="G1062">
        <v>40850</v>
      </c>
      <c r="H1062" s="116"/>
      <c r="I1062" s="116"/>
      <c r="L1062" s="170">
        <v>45253</v>
      </c>
      <c r="M1062" s="116">
        <v>330.5</v>
      </c>
      <c r="N1062" s="116">
        <v>330.5</v>
      </c>
      <c r="O1062" s="116">
        <v>330.5</v>
      </c>
      <c r="P1062" s="116">
        <v>330.5</v>
      </c>
      <c r="Q1062" s="116">
        <v>330.5</v>
      </c>
      <c r="R1062">
        <v>191910</v>
      </c>
    </row>
    <row r="1063" spans="1:18" x14ac:dyDescent="0.25">
      <c r="A1063" s="170">
        <v>45254</v>
      </c>
      <c r="B1063" s="116">
        <v>347</v>
      </c>
      <c r="C1063" s="116">
        <v>340.45</v>
      </c>
      <c r="D1063" s="116">
        <v>326</v>
      </c>
      <c r="E1063" s="116">
        <v>347</v>
      </c>
      <c r="F1063" s="116">
        <v>340.45</v>
      </c>
      <c r="G1063">
        <v>441904</v>
      </c>
      <c r="H1063" s="116"/>
      <c r="I1063" s="116"/>
      <c r="L1063" s="170">
        <v>45254</v>
      </c>
      <c r="M1063" s="116">
        <v>340.15</v>
      </c>
      <c r="N1063" s="116">
        <v>347</v>
      </c>
      <c r="O1063" s="116">
        <v>326.39999999999998</v>
      </c>
      <c r="P1063" s="116">
        <v>340</v>
      </c>
      <c r="Q1063" s="116">
        <v>340.15</v>
      </c>
      <c r="R1063">
        <v>3531130</v>
      </c>
    </row>
    <row r="1064" spans="1:18" x14ac:dyDescent="0.25">
      <c r="A1064" s="170">
        <v>45258</v>
      </c>
      <c r="B1064" s="116">
        <v>349.95</v>
      </c>
      <c r="C1064" s="116">
        <v>343.35</v>
      </c>
      <c r="D1064" s="116">
        <v>335.75</v>
      </c>
      <c r="E1064" s="116">
        <v>343.55</v>
      </c>
      <c r="F1064" s="116">
        <v>343.35</v>
      </c>
      <c r="G1064">
        <v>128225</v>
      </c>
      <c r="H1064" s="116"/>
      <c r="I1064" s="116"/>
      <c r="L1064" s="170">
        <v>45258</v>
      </c>
      <c r="M1064" s="116">
        <v>343.35</v>
      </c>
      <c r="N1064" s="116">
        <v>350</v>
      </c>
      <c r="O1064" s="116">
        <v>335.85</v>
      </c>
      <c r="P1064" s="116">
        <v>343.65</v>
      </c>
      <c r="Q1064" s="116">
        <v>343.35</v>
      </c>
      <c r="R1064">
        <v>925562</v>
      </c>
    </row>
    <row r="1065" spans="1:18" x14ac:dyDescent="0.25">
      <c r="A1065" s="170">
        <v>45259</v>
      </c>
      <c r="B1065" s="116">
        <v>349.8</v>
      </c>
      <c r="C1065" s="116">
        <v>337.45</v>
      </c>
      <c r="D1065" s="116">
        <v>330.55</v>
      </c>
      <c r="E1065" s="116">
        <v>346.95</v>
      </c>
      <c r="F1065" s="116">
        <v>337.45</v>
      </c>
      <c r="G1065">
        <v>119735</v>
      </c>
      <c r="H1065" s="116"/>
      <c r="I1065" s="116"/>
      <c r="L1065" s="170">
        <v>45259</v>
      </c>
      <c r="M1065" s="116">
        <v>338.15</v>
      </c>
      <c r="N1065" s="116">
        <v>350.2</v>
      </c>
      <c r="O1065" s="116">
        <v>330.65</v>
      </c>
      <c r="P1065" s="116">
        <v>345.8</v>
      </c>
      <c r="Q1065" s="116">
        <v>338.15</v>
      </c>
      <c r="R1065">
        <v>681765</v>
      </c>
    </row>
    <row r="1066" spans="1:18" x14ac:dyDescent="0.25">
      <c r="A1066" s="170">
        <v>45260</v>
      </c>
      <c r="B1066" s="116">
        <v>340.2</v>
      </c>
      <c r="C1066" s="116">
        <v>334.6</v>
      </c>
      <c r="D1066" s="116">
        <v>326</v>
      </c>
      <c r="E1066" s="116">
        <v>337.45</v>
      </c>
      <c r="F1066" s="116">
        <v>334.6</v>
      </c>
      <c r="G1066">
        <v>115751</v>
      </c>
      <c r="H1066" s="116"/>
      <c r="I1066" s="116"/>
      <c r="L1066" s="170">
        <v>45260</v>
      </c>
      <c r="M1066" s="116">
        <v>333.95</v>
      </c>
      <c r="N1066" s="116">
        <v>340</v>
      </c>
      <c r="O1066" s="116">
        <v>325.5</v>
      </c>
      <c r="P1066" s="116">
        <v>336.1</v>
      </c>
      <c r="Q1066" s="116">
        <v>333.95</v>
      </c>
      <c r="R1066">
        <v>939607</v>
      </c>
    </row>
    <row r="1067" spans="1:18" x14ac:dyDescent="0.25">
      <c r="A1067" s="170">
        <v>45261</v>
      </c>
      <c r="B1067" s="116">
        <v>351.3</v>
      </c>
      <c r="C1067" s="116">
        <v>351.3</v>
      </c>
      <c r="D1067" s="116">
        <v>336.2</v>
      </c>
      <c r="E1067" s="116">
        <v>347</v>
      </c>
      <c r="F1067" s="116">
        <v>351.3</v>
      </c>
      <c r="G1067">
        <v>251697</v>
      </c>
      <c r="H1067" s="116"/>
      <c r="I1067" s="116"/>
      <c r="L1067" s="170">
        <v>45261</v>
      </c>
      <c r="M1067" s="116">
        <v>350.6</v>
      </c>
      <c r="N1067" s="116">
        <v>350.6</v>
      </c>
      <c r="O1067" s="116">
        <v>336.1</v>
      </c>
      <c r="P1067" s="116">
        <v>345</v>
      </c>
      <c r="Q1067" s="116">
        <v>350.6</v>
      </c>
      <c r="R1067">
        <v>1693673</v>
      </c>
    </row>
    <row r="1068" spans="1:18" x14ac:dyDescent="0.25">
      <c r="A1068" s="170">
        <v>45264</v>
      </c>
      <c r="B1068" s="116">
        <v>368.85</v>
      </c>
      <c r="C1068" s="116">
        <v>368.85</v>
      </c>
      <c r="D1068" s="116">
        <v>368.85</v>
      </c>
      <c r="E1068" s="116">
        <v>368.85</v>
      </c>
      <c r="F1068" s="116">
        <v>368.85</v>
      </c>
      <c r="G1068">
        <v>147730</v>
      </c>
      <c r="H1068" s="116"/>
      <c r="I1068" s="116"/>
      <c r="L1068" s="170">
        <v>45264</v>
      </c>
      <c r="M1068" s="116">
        <v>368.1</v>
      </c>
      <c r="N1068" s="116">
        <v>368.1</v>
      </c>
      <c r="O1068" s="116">
        <v>368.1</v>
      </c>
      <c r="P1068" s="116">
        <v>368.1</v>
      </c>
      <c r="Q1068" s="116">
        <v>368.1</v>
      </c>
      <c r="R1068">
        <v>278275</v>
      </c>
    </row>
    <row r="1069" spans="1:18" x14ac:dyDescent="0.25">
      <c r="A1069" s="170">
        <v>45265</v>
      </c>
      <c r="B1069" s="116">
        <v>382.85</v>
      </c>
      <c r="C1069" s="116">
        <v>369.65</v>
      </c>
      <c r="D1069" s="116">
        <v>358.2</v>
      </c>
      <c r="E1069" s="116">
        <v>366</v>
      </c>
      <c r="F1069" s="116">
        <v>369.65</v>
      </c>
      <c r="G1069">
        <v>442172</v>
      </c>
      <c r="H1069" s="116"/>
      <c r="I1069" s="116"/>
      <c r="L1069" s="170">
        <v>45265</v>
      </c>
      <c r="M1069" s="116">
        <v>369.8</v>
      </c>
      <c r="N1069" s="116">
        <v>382.7</v>
      </c>
      <c r="O1069" s="116">
        <v>358.2</v>
      </c>
      <c r="P1069" s="116">
        <v>362.95</v>
      </c>
      <c r="Q1069" s="116">
        <v>369.8</v>
      </c>
      <c r="R1069">
        <v>2555853</v>
      </c>
    </row>
    <row r="1070" spans="1:18" x14ac:dyDescent="0.25">
      <c r="A1070" s="170">
        <v>45266</v>
      </c>
      <c r="B1070" s="116">
        <v>388.1</v>
      </c>
      <c r="C1070" s="116">
        <v>388.1</v>
      </c>
      <c r="D1070" s="116">
        <v>375</v>
      </c>
      <c r="E1070" s="116">
        <v>375</v>
      </c>
      <c r="F1070" s="116">
        <v>388.1</v>
      </c>
      <c r="G1070">
        <v>33213</v>
      </c>
      <c r="H1070" s="116"/>
      <c r="I1070" s="116"/>
      <c r="L1070" s="170">
        <v>45266</v>
      </c>
      <c r="M1070" s="116">
        <v>388.25</v>
      </c>
      <c r="N1070" s="116">
        <v>388.25</v>
      </c>
      <c r="O1070" s="116">
        <v>375</v>
      </c>
      <c r="P1070" s="116">
        <v>375</v>
      </c>
      <c r="Q1070" s="116">
        <v>388.25</v>
      </c>
      <c r="R1070">
        <v>737344</v>
      </c>
    </row>
    <row r="1071" spans="1:18" x14ac:dyDescent="0.25">
      <c r="A1071" s="170">
        <v>45267</v>
      </c>
      <c r="B1071" s="116">
        <v>407.5</v>
      </c>
      <c r="C1071" s="116">
        <v>407.3</v>
      </c>
      <c r="D1071" s="116">
        <v>392</v>
      </c>
      <c r="E1071" s="116">
        <v>407.5</v>
      </c>
      <c r="F1071" s="116">
        <v>407.3</v>
      </c>
      <c r="G1071">
        <v>419148</v>
      </c>
      <c r="H1071" s="116"/>
      <c r="I1071" s="116"/>
      <c r="L1071" s="170">
        <v>45267</v>
      </c>
      <c r="M1071" s="116">
        <v>407.4</v>
      </c>
      <c r="N1071" s="116">
        <v>407.65</v>
      </c>
      <c r="O1071" s="116">
        <v>391.1</v>
      </c>
      <c r="P1071" s="116">
        <v>405</v>
      </c>
      <c r="Q1071" s="116">
        <v>407.4</v>
      </c>
      <c r="R1071">
        <v>5318874</v>
      </c>
    </row>
    <row r="1072" spans="1:18" x14ac:dyDescent="0.25">
      <c r="A1072" s="170">
        <v>45268</v>
      </c>
      <c r="B1072" s="116">
        <v>415</v>
      </c>
      <c r="C1072" s="116">
        <v>402.65</v>
      </c>
      <c r="D1072" s="116">
        <v>390</v>
      </c>
      <c r="E1072" s="116">
        <v>415</v>
      </c>
      <c r="F1072" s="116">
        <v>402.65</v>
      </c>
      <c r="G1072">
        <v>216070</v>
      </c>
      <c r="H1072" s="116"/>
      <c r="I1072" s="116"/>
      <c r="L1072" s="170">
        <v>45268</v>
      </c>
      <c r="M1072" s="116">
        <v>403.05</v>
      </c>
      <c r="N1072" s="116">
        <v>414</v>
      </c>
      <c r="O1072" s="116">
        <v>390</v>
      </c>
      <c r="P1072" s="116">
        <v>414</v>
      </c>
      <c r="Q1072" s="116">
        <v>403.05</v>
      </c>
      <c r="R1072">
        <v>3115153</v>
      </c>
    </row>
    <row r="1073" spans="1:18" x14ac:dyDescent="0.25">
      <c r="A1073" s="170">
        <v>45271</v>
      </c>
      <c r="B1073" s="116">
        <v>422.75</v>
      </c>
      <c r="C1073" s="116">
        <v>422.75</v>
      </c>
      <c r="D1073" s="116">
        <v>404.1</v>
      </c>
      <c r="E1073" s="116">
        <v>404.85</v>
      </c>
      <c r="F1073" s="116">
        <v>422.75</v>
      </c>
      <c r="G1073">
        <v>93498</v>
      </c>
      <c r="H1073" s="116"/>
      <c r="I1073" s="116"/>
      <c r="L1073" s="170">
        <v>45271</v>
      </c>
      <c r="M1073" s="116">
        <v>423.2</v>
      </c>
      <c r="N1073" s="116">
        <v>423.2</v>
      </c>
      <c r="O1073" s="116">
        <v>404</v>
      </c>
      <c r="P1073" s="116">
        <v>404</v>
      </c>
      <c r="Q1073" s="116">
        <v>423.2</v>
      </c>
      <c r="R1073">
        <v>1967571</v>
      </c>
    </row>
    <row r="1074" spans="1:18" x14ac:dyDescent="0.25">
      <c r="A1074" s="170">
        <v>45272</v>
      </c>
      <c r="B1074" s="116">
        <v>443.85</v>
      </c>
      <c r="C1074" s="116">
        <v>429.05</v>
      </c>
      <c r="D1074" s="116">
        <v>405</v>
      </c>
      <c r="E1074" s="116">
        <v>438.4</v>
      </c>
      <c r="F1074" s="116">
        <v>429.05</v>
      </c>
      <c r="G1074">
        <v>451773</v>
      </c>
      <c r="H1074" s="116"/>
      <c r="I1074" s="116"/>
      <c r="L1074" s="170">
        <v>45272</v>
      </c>
      <c r="M1074" s="116">
        <v>429.1</v>
      </c>
      <c r="N1074" s="116">
        <v>444.35</v>
      </c>
      <c r="O1074" s="116">
        <v>407.5</v>
      </c>
      <c r="P1074" s="116">
        <v>433.95</v>
      </c>
      <c r="Q1074" s="116">
        <v>429.1</v>
      </c>
      <c r="R1074">
        <v>5627459</v>
      </c>
    </row>
    <row r="1075" spans="1:18" x14ac:dyDescent="0.25">
      <c r="A1075" s="170">
        <v>45273</v>
      </c>
      <c r="B1075" s="116">
        <v>444.9</v>
      </c>
      <c r="C1075" s="116">
        <v>424.7</v>
      </c>
      <c r="D1075" s="116">
        <v>420.35</v>
      </c>
      <c r="E1075" s="116">
        <v>431.95</v>
      </c>
      <c r="F1075" s="116">
        <v>424.7</v>
      </c>
      <c r="G1075">
        <v>100460</v>
      </c>
      <c r="H1075" s="116"/>
      <c r="I1075" s="116"/>
      <c r="L1075" s="170">
        <v>45273</v>
      </c>
      <c r="M1075" s="116">
        <v>424.4</v>
      </c>
      <c r="N1075" s="116">
        <v>445.15</v>
      </c>
      <c r="O1075" s="116">
        <v>420</v>
      </c>
      <c r="P1075" s="116">
        <v>429.1</v>
      </c>
      <c r="Q1075" s="116">
        <v>424.4</v>
      </c>
      <c r="R1075">
        <v>1875927</v>
      </c>
    </row>
    <row r="1076" spans="1:18" x14ac:dyDescent="0.25">
      <c r="A1076" s="170">
        <v>45274</v>
      </c>
      <c r="B1076" s="116">
        <v>435</v>
      </c>
      <c r="C1076" s="116">
        <v>424.1</v>
      </c>
      <c r="D1076" s="116">
        <v>416.2</v>
      </c>
      <c r="E1076" s="116">
        <v>425.05</v>
      </c>
      <c r="F1076" s="116">
        <v>424.1</v>
      </c>
      <c r="G1076">
        <v>180728</v>
      </c>
      <c r="H1076" s="116"/>
      <c r="I1076" s="116"/>
      <c r="L1076" s="170">
        <v>45274</v>
      </c>
      <c r="M1076" s="116">
        <v>424.1</v>
      </c>
      <c r="N1076" s="116">
        <v>434.95</v>
      </c>
      <c r="O1076" s="116">
        <v>418.25</v>
      </c>
      <c r="P1076" s="116">
        <v>430.1</v>
      </c>
      <c r="Q1076" s="116">
        <v>424.1</v>
      </c>
      <c r="R1076">
        <v>1090089</v>
      </c>
    </row>
    <row r="1077" spans="1:18" x14ac:dyDescent="0.25">
      <c r="A1077" s="170">
        <v>45275</v>
      </c>
      <c r="B1077" s="116">
        <v>445.3</v>
      </c>
      <c r="C1077" s="116">
        <v>420.15</v>
      </c>
      <c r="D1077" s="116">
        <v>409.6</v>
      </c>
      <c r="E1077" s="116">
        <v>445.3</v>
      </c>
      <c r="F1077" s="116">
        <v>420.15</v>
      </c>
      <c r="G1077">
        <v>709406</v>
      </c>
      <c r="H1077" s="116"/>
      <c r="I1077" s="116"/>
      <c r="L1077" s="170">
        <v>45275</v>
      </c>
      <c r="M1077" s="116">
        <v>411.85</v>
      </c>
      <c r="N1077" s="116">
        <v>445.3</v>
      </c>
      <c r="O1077" s="116">
        <v>409.2</v>
      </c>
      <c r="P1077" s="116">
        <v>445.3</v>
      </c>
      <c r="Q1077" s="116">
        <v>411.85</v>
      </c>
      <c r="R1077">
        <v>6713119</v>
      </c>
    </row>
    <row r="1078" spans="1:18" x14ac:dyDescent="0.25">
      <c r="A1078" s="170">
        <v>45278</v>
      </c>
      <c r="B1078" s="116">
        <v>441.15</v>
      </c>
      <c r="C1078" s="116">
        <v>441.1</v>
      </c>
      <c r="D1078" s="116">
        <v>427.7</v>
      </c>
      <c r="E1078" s="116">
        <v>434.4</v>
      </c>
      <c r="F1078" s="116">
        <v>441.1</v>
      </c>
      <c r="G1078">
        <v>1494287</v>
      </c>
      <c r="H1078" s="116"/>
      <c r="I1078" s="116"/>
      <c r="L1078" s="170">
        <v>45278</v>
      </c>
      <c r="M1078" s="116">
        <v>432.4</v>
      </c>
      <c r="N1078" s="116">
        <v>432.4</v>
      </c>
      <c r="O1078" s="116">
        <v>427.3</v>
      </c>
      <c r="P1078" s="116">
        <v>432</v>
      </c>
      <c r="Q1078" s="116">
        <v>432.4</v>
      </c>
      <c r="R1078">
        <v>736870</v>
      </c>
    </row>
    <row r="1079" spans="1:18" x14ac:dyDescent="0.25">
      <c r="A1079" s="170">
        <v>45279</v>
      </c>
      <c r="B1079" s="116">
        <v>459</v>
      </c>
      <c r="C1079" s="116">
        <v>443.05</v>
      </c>
      <c r="D1079" s="116">
        <v>441</v>
      </c>
      <c r="E1079" s="116">
        <v>444.65</v>
      </c>
      <c r="F1079" s="116">
        <v>443.05</v>
      </c>
      <c r="G1079">
        <v>522265</v>
      </c>
      <c r="H1079" s="116"/>
      <c r="I1079" s="116"/>
      <c r="L1079" s="170">
        <v>45279</v>
      </c>
      <c r="M1079" s="116">
        <v>443.05</v>
      </c>
      <c r="N1079" s="116">
        <v>454</v>
      </c>
      <c r="O1079" s="116">
        <v>441.05</v>
      </c>
      <c r="P1079" s="116">
        <v>444.4</v>
      </c>
      <c r="Q1079" s="116">
        <v>443.05</v>
      </c>
      <c r="R1079">
        <v>4981206</v>
      </c>
    </row>
    <row r="1080" spans="1:18" x14ac:dyDescent="0.25">
      <c r="A1080" s="170">
        <v>45280</v>
      </c>
      <c r="B1080" s="116">
        <v>451.8</v>
      </c>
      <c r="C1080" s="116">
        <v>422.7</v>
      </c>
      <c r="D1080" s="116">
        <v>420.9</v>
      </c>
      <c r="E1080" s="116">
        <v>449.75</v>
      </c>
      <c r="F1080" s="116">
        <v>422.7</v>
      </c>
      <c r="G1080">
        <v>269352</v>
      </c>
      <c r="H1080" s="116"/>
      <c r="I1080" s="116"/>
      <c r="L1080" s="170">
        <v>45280</v>
      </c>
      <c r="M1080" s="116">
        <v>422.5</v>
      </c>
      <c r="N1080" s="116">
        <v>452.25</v>
      </c>
      <c r="O1080" s="116">
        <v>420.9</v>
      </c>
      <c r="P1080" s="116">
        <v>448.5</v>
      </c>
      <c r="Q1080" s="116">
        <v>422.5</v>
      </c>
      <c r="R1080">
        <v>1802987</v>
      </c>
    </row>
    <row r="1081" spans="1:18" x14ac:dyDescent="0.25">
      <c r="A1081" s="170">
        <v>45281</v>
      </c>
      <c r="B1081" s="116">
        <v>431.55</v>
      </c>
      <c r="C1081" s="116">
        <v>425.5</v>
      </c>
      <c r="D1081" s="116">
        <v>408.55</v>
      </c>
      <c r="E1081" s="116">
        <v>412.65</v>
      </c>
      <c r="F1081" s="116">
        <v>425.5</v>
      </c>
      <c r="G1081">
        <v>199439</v>
      </c>
      <c r="H1081" s="116"/>
      <c r="I1081" s="116"/>
      <c r="L1081" s="170">
        <v>45281</v>
      </c>
      <c r="M1081" s="116">
        <v>423.35</v>
      </c>
      <c r="N1081" s="116">
        <v>429</v>
      </c>
      <c r="O1081" s="116">
        <v>408.35</v>
      </c>
      <c r="P1081" s="116">
        <v>414</v>
      </c>
      <c r="Q1081" s="116">
        <v>423.35</v>
      </c>
      <c r="R1081">
        <v>1200387</v>
      </c>
    </row>
    <row r="1082" spans="1:18" x14ac:dyDescent="0.25">
      <c r="A1082" s="170">
        <v>45282</v>
      </c>
      <c r="B1082" s="116">
        <v>444.1</v>
      </c>
      <c r="C1082" s="116">
        <v>440.55</v>
      </c>
      <c r="D1082" s="116">
        <v>424.65</v>
      </c>
      <c r="E1082" s="116">
        <v>427.65</v>
      </c>
      <c r="F1082" s="116">
        <v>440.55</v>
      </c>
      <c r="G1082">
        <v>151478</v>
      </c>
      <c r="H1082" s="116"/>
      <c r="I1082" s="116"/>
      <c r="L1082" s="170">
        <v>45282</v>
      </c>
      <c r="M1082" s="116">
        <v>440.15</v>
      </c>
      <c r="N1082" s="116">
        <v>444.45</v>
      </c>
      <c r="O1082" s="116">
        <v>424.35</v>
      </c>
      <c r="P1082" s="116">
        <v>428.15</v>
      </c>
      <c r="Q1082" s="116">
        <v>440.15</v>
      </c>
      <c r="R1082">
        <v>1273716</v>
      </c>
    </row>
    <row r="1083" spans="1:18" x14ac:dyDescent="0.25">
      <c r="A1083" s="170">
        <v>45286</v>
      </c>
      <c r="B1083" s="116">
        <v>446.95</v>
      </c>
      <c r="C1083" s="116">
        <v>438.95</v>
      </c>
      <c r="D1083" s="116">
        <v>434.8</v>
      </c>
      <c r="E1083" s="116">
        <v>446.95</v>
      </c>
      <c r="F1083" s="116">
        <v>438.95</v>
      </c>
      <c r="G1083">
        <v>137094</v>
      </c>
      <c r="H1083" s="116"/>
      <c r="I1083" s="116"/>
      <c r="L1083" s="170">
        <v>45286</v>
      </c>
      <c r="M1083" s="116">
        <v>439.2</v>
      </c>
      <c r="N1083" s="116">
        <v>444.15</v>
      </c>
      <c r="O1083" s="116">
        <v>436.35</v>
      </c>
      <c r="P1083" s="116">
        <v>444</v>
      </c>
      <c r="Q1083" s="116">
        <v>439.2</v>
      </c>
      <c r="R1083">
        <v>950678</v>
      </c>
    </row>
    <row r="1084" spans="1:18" x14ac:dyDescent="0.25">
      <c r="A1084" s="170">
        <v>45287</v>
      </c>
      <c r="B1084" s="116">
        <v>444</v>
      </c>
      <c r="C1084" s="116">
        <v>427.1</v>
      </c>
      <c r="D1084" s="116">
        <v>424.55</v>
      </c>
      <c r="E1084" s="116">
        <v>440</v>
      </c>
      <c r="F1084" s="116">
        <v>427.1</v>
      </c>
      <c r="G1084">
        <v>74317</v>
      </c>
      <c r="H1084" s="116"/>
      <c r="I1084" s="116"/>
      <c r="L1084" s="170">
        <v>45287</v>
      </c>
      <c r="M1084" s="116">
        <v>428.9</v>
      </c>
      <c r="N1084" s="116">
        <v>444</v>
      </c>
      <c r="O1084" s="116">
        <v>423.6</v>
      </c>
      <c r="P1084" s="116">
        <v>440</v>
      </c>
      <c r="Q1084" s="116">
        <v>428.9</v>
      </c>
      <c r="R1084">
        <v>1261456</v>
      </c>
    </row>
    <row r="1085" spans="1:18" x14ac:dyDescent="0.25">
      <c r="A1085" s="170">
        <v>45288</v>
      </c>
      <c r="B1085" s="116">
        <v>439.4</v>
      </c>
      <c r="C1085" s="116">
        <v>433.45</v>
      </c>
      <c r="D1085" s="116">
        <v>427.75</v>
      </c>
      <c r="E1085" s="116">
        <v>434.45</v>
      </c>
      <c r="F1085" s="116">
        <v>433.45</v>
      </c>
      <c r="G1085">
        <v>56037</v>
      </c>
      <c r="H1085" s="116"/>
      <c r="I1085" s="116"/>
      <c r="L1085" s="170">
        <v>45288</v>
      </c>
      <c r="M1085" s="116">
        <v>434.1</v>
      </c>
      <c r="N1085" s="116">
        <v>439.7</v>
      </c>
      <c r="O1085" s="116">
        <v>428</v>
      </c>
      <c r="P1085" s="116">
        <v>433.1</v>
      </c>
      <c r="Q1085" s="116">
        <v>434.1</v>
      </c>
      <c r="R1085">
        <v>1628771</v>
      </c>
    </row>
    <row r="1086" spans="1:18" x14ac:dyDescent="0.25">
      <c r="A1086" s="170">
        <v>45289</v>
      </c>
      <c r="B1086" s="116">
        <v>440</v>
      </c>
      <c r="C1086" s="116">
        <v>432.6</v>
      </c>
      <c r="D1086" s="116">
        <v>426.3</v>
      </c>
      <c r="E1086" s="116">
        <v>438.35</v>
      </c>
      <c r="F1086" s="116">
        <v>432.6</v>
      </c>
      <c r="G1086">
        <v>86183</v>
      </c>
      <c r="H1086" s="116"/>
      <c r="I1086" s="116"/>
      <c r="L1086" s="170">
        <v>45289</v>
      </c>
      <c r="M1086" s="116">
        <v>432.35</v>
      </c>
      <c r="N1086" s="116">
        <v>439.9</v>
      </c>
      <c r="O1086" s="116">
        <v>426.3</v>
      </c>
      <c r="P1086" s="116">
        <v>437.9</v>
      </c>
      <c r="Q1086" s="116">
        <v>432.35</v>
      </c>
      <c r="R1086">
        <v>1427810</v>
      </c>
    </row>
    <row r="1087" spans="1:18" x14ac:dyDescent="0.25">
      <c r="A1087" s="170">
        <v>45292</v>
      </c>
      <c r="B1087" s="116">
        <v>454.2</v>
      </c>
      <c r="C1087" s="116">
        <v>445.65</v>
      </c>
      <c r="D1087" s="116">
        <v>436.3</v>
      </c>
      <c r="E1087" s="116">
        <v>443.8</v>
      </c>
      <c r="F1087" s="116">
        <v>445.65</v>
      </c>
      <c r="G1087">
        <v>398086</v>
      </c>
      <c r="H1087" s="116"/>
      <c r="I1087" s="116"/>
      <c r="L1087" s="170">
        <v>45292</v>
      </c>
      <c r="M1087" s="116">
        <v>445.5</v>
      </c>
      <c r="N1087" s="116">
        <v>453.95</v>
      </c>
      <c r="O1087" s="116">
        <v>436.8</v>
      </c>
      <c r="P1087" s="116">
        <v>439</v>
      </c>
      <c r="Q1087" s="116">
        <v>445.5</v>
      </c>
      <c r="R1087">
        <v>2852672</v>
      </c>
    </row>
    <row r="1088" spans="1:18" x14ac:dyDescent="0.25">
      <c r="A1088" s="170">
        <v>45293</v>
      </c>
      <c r="B1088" s="116">
        <v>452.15</v>
      </c>
      <c r="C1088" s="116">
        <v>442</v>
      </c>
      <c r="D1088" s="116">
        <v>434</v>
      </c>
      <c r="E1088" s="116">
        <v>449.6</v>
      </c>
      <c r="F1088" s="116">
        <v>442</v>
      </c>
      <c r="G1088">
        <v>144518</v>
      </c>
      <c r="H1088" s="116"/>
      <c r="I1088" s="116"/>
      <c r="L1088" s="170">
        <v>45293</v>
      </c>
      <c r="M1088" s="116">
        <v>441.9</v>
      </c>
      <c r="N1088" s="116">
        <v>452</v>
      </c>
      <c r="O1088" s="116">
        <v>434</v>
      </c>
      <c r="P1088" s="116">
        <v>449.1</v>
      </c>
      <c r="Q1088" s="116">
        <v>441.9</v>
      </c>
      <c r="R1088">
        <v>1455721</v>
      </c>
    </row>
    <row r="1089" spans="1:18" x14ac:dyDescent="0.25">
      <c r="A1089" s="170">
        <v>45294</v>
      </c>
      <c r="B1089" s="116">
        <v>460</v>
      </c>
      <c r="C1089" s="116">
        <v>448.6</v>
      </c>
      <c r="D1089" s="116">
        <v>445</v>
      </c>
      <c r="E1089" s="116">
        <v>445</v>
      </c>
      <c r="F1089" s="116">
        <v>448.6</v>
      </c>
      <c r="G1089">
        <v>226667</v>
      </c>
      <c r="H1089" s="116"/>
      <c r="I1089" s="116"/>
      <c r="L1089" s="170">
        <v>45294</v>
      </c>
      <c r="M1089" s="116">
        <v>448.8</v>
      </c>
      <c r="N1089" s="116">
        <v>461</v>
      </c>
      <c r="O1089" s="116">
        <v>445.15</v>
      </c>
      <c r="P1089" s="116">
        <v>445.15</v>
      </c>
      <c r="Q1089" s="116">
        <v>448.8</v>
      </c>
      <c r="R1089">
        <v>2683355</v>
      </c>
    </row>
    <row r="1090" spans="1:18" x14ac:dyDescent="0.25">
      <c r="A1090" s="170">
        <v>45295</v>
      </c>
      <c r="B1090" s="116">
        <v>457</v>
      </c>
      <c r="C1090" s="116">
        <v>445.3</v>
      </c>
      <c r="D1090" s="116">
        <v>441.35</v>
      </c>
      <c r="E1090" s="116">
        <v>449.75</v>
      </c>
      <c r="F1090" s="116">
        <v>445.3</v>
      </c>
      <c r="G1090">
        <v>68421</v>
      </c>
      <c r="H1090" s="116"/>
      <c r="I1090" s="116"/>
      <c r="L1090" s="170">
        <v>45295</v>
      </c>
      <c r="M1090" s="116">
        <v>445.2</v>
      </c>
      <c r="N1090" s="116">
        <v>455.8</v>
      </c>
      <c r="O1090" s="116">
        <v>441.25</v>
      </c>
      <c r="P1090" s="116">
        <v>452</v>
      </c>
      <c r="Q1090" s="116">
        <v>445.2</v>
      </c>
      <c r="R1090">
        <v>1047368</v>
      </c>
    </row>
    <row r="1091" spans="1:18" x14ac:dyDescent="0.25">
      <c r="A1091" s="170">
        <v>45296</v>
      </c>
      <c r="B1091" s="116">
        <v>450</v>
      </c>
      <c r="C1091" s="116">
        <v>448.25</v>
      </c>
      <c r="D1091" s="116">
        <v>443.1</v>
      </c>
      <c r="E1091" s="116">
        <v>448.4</v>
      </c>
      <c r="F1091" s="116">
        <v>448.25</v>
      </c>
      <c r="G1091">
        <v>108973</v>
      </c>
      <c r="H1091" s="116"/>
      <c r="I1091" s="116"/>
      <c r="L1091" s="170">
        <v>45296</v>
      </c>
      <c r="M1091" s="116">
        <v>448.1</v>
      </c>
      <c r="N1091" s="116">
        <v>450</v>
      </c>
      <c r="O1091" s="116">
        <v>443</v>
      </c>
      <c r="P1091" s="116">
        <v>447.7</v>
      </c>
      <c r="Q1091" s="116">
        <v>448.1</v>
      </c>
      <c r="R1091">
        <v>879774</v>
      </c>
    </row>
    <row r="1092" spans="1:18" x14ac:dyDescent="0.25">
      <c r="A1092" s="170">
        <v>45299</v>
      </c>
      <c r="B1092" s="116">
        <v>455</v>
      </c>
      <c r="C1092" s="116">
        <v>444.9</v>
      </c>
      <c r="D1092" s="116">
        <v>442.25</v>
      </c>
      <c r="E1092" s="116">
        <v>448.45</v>
      </c>
      <c r="F1092" s="116">
        <v>444.9</v>
      </c>
      <c r="G1092">
        <v>142670</v>
      </c>
      <c r="H1092" s="116"/>
      <c r="I1092" s="116"/>
      <c r="L1092" s="170">
        <v>45299</v>
      </c>
      <c r="M1092" s="116">
        <v>444.8</v>
      </c>
      <c r="N1092" s="116">
        <v>454.7</v>
      </c>
      <c r="O1092" s="116">
        <v>442</v>
      </c>
      <c r="P1092" s="116">
        <v>449.75</v>
      </c>
      <c r="Q1092" s="116">
        <v>444.8</v>
      </c>
      <c r="R1092">
        <v>1498086</v>
      </c>
    </row>
    <row r="1093" spans="1:18" x14ac:dyDescent="0.25">
      <c r="A1093" s="170">
        <v>45300</v>
      </c>
      <c r="B1093" s="116">
        <v>456.95</v>
      </c>
      <c r="C1093" s="116">
        <v>447.45</v>
      </c>
      <c r="D1093" s="116">
        <v>443</v>
      </c>
      <c r="E1093" s="116">
        <v>448.55</v>
      </c>
      <c r="F1093" s="116">
        <v>447.45</v>
      </c>
      <c r="G1093">
        <v>142493</v>
      </c>
      <c r="H1093" s="116"/>
      <c r="I1093" s="116"/>
      <c r="L1093" s="170">
        <v>45300</v>
      </c>
      <c r="M1093" s="116">
        <v>447.65</v>
      </c>
      <c r="N1093" s="116">
        <v>457</v>
      </c>
      <c r="O1093" s="116">
        <v>443</v>
      </c>
      <c r="P1093" s="116">
        <v>447.95</v>
      </c>
      <c r="Q1093" s="116">
        <v>447.65</v>
      </c>
      <c r="R1093">
        <v>1485751</v>
      </c>
    </row>
    <row r="1094" spans="1:18" x14ac:dyDescent="0.25">
      <c r="A1094" s="170">
        <v>45301</v>
      </c>
      <c r="B1094" s="116">
        <v>453.8</v>
      </c>
      <c r="C1094" s="116">
        <v>447.1</v>
      </c>
      <c r="D1094" s="116">
        <v>435.85</v>
      </c>
      <c r="E1094" s="116">
        <v>450.75</v>
      </c>
      <c r="F1094" s="116">
        <v>447.1</v>
      </c>
      <c r="G1094">
        <v>91788</v>
      </c>
      <c r="H1094" s="116"/>
      <c r="I1094" s="116"/>
      <c r="L1094" s="170">
        <v>45301</v>
      </c>
      <c r="M1094" s="116">
        <v>447.4</v>
      </c>
      <c r="N1094" s="116">
        <v>454</v>
      </c>
      <c r="O1094" s="116">
        <v>435.6</v>
      </c>
      <c r="P1094" s="116">
        <v>449</v>
      </c>
      <c r="Q1094" s="116">
        <v>447.4</v>
      </c>
      <c r="R1094">
        <v>1563919</v>
      </c>
    </row>
    <row r="1095" spans="1:18" x14ac:dyDescent="0.25">
      <c r="A1095" s="170">
        <v>45302</v>
      </c>
      <c r="B1095" s="116">
        <v>469.45</v>
      </c>
      <c r="C1095" s="116">
        <v>468.85</v>
      </c>
      <c r="D1095" s="116">
        <v>452.45</v>
      </c>
      <c r="E1095" s="116">
        <v>452.9</v>
      </c>
      <c r="F1095" s="116">
        <v>468.85</v>
      </c>
      <c r="G1095">
        <v>1352870</v>
      </c>
      <c r="H1095" s="116"/>
      <c r="I1095" s="116"/>
      <c r="L1095" s="170">
        <v>45302</v>
      </c>
      <c r="M1095" s="116">
        <v>469</v>
      </c>
      <c r="N1095" s="116">
        <v>469.75</v>
      </c>
      <c r="O1095" s="116">
        <v>451.7</v>
      </c>
      <c r="P1095" s="116">
        <v>452</v>
      </c>
      <c r="Q1095" s="116">
        <v>469</v>
      </c>
      <c r="R1095">
        <v>5040522</v>
      </c>
    </row>
    <row r="1096" spans="1:18" x14ac:dyDescent="0.25">
      <c r="A1096" s="170">
        <v>45303</v>
      </c>
      <c r="B1096" s="116">
        <v>478</v>
      </c>
      <c r="C1096" s="116">
        <v>461.5</v>
      </c>
      <c r="D1096" s="116">
        <v>458</v>
      </c>
      <c r="E1096" s="116">
        <v>474.45</v>
      </c>
      <c r="F1096" s="116">
        <v>461.5</v>
      </c>
      <c r="G1096">
        <v>170435</v>
      </c>
      <c r="H1096" s="116"/>
      <c r="I1096" s="116"/>
      <c r="L1096" s="170">
        <v>45303</v>
      </c>
      <c r="M1096" s="116">
        <v>461.5</v>
      </c>
      <c r="N1096" s="116">
        <v>478</v>
      </c>
      <c r="O1096" s="116">
        <v>458</v>
      </c>
      <c r="P1096" s="116">
        <v>475.2</v>
      </c>
      <c r="Q1096" s="116">
        <v>461.5</v>
      </c>
      <c r="R1096">
        <v>1562389</v>
      </c>
    </row>
    <row r="1097" spans="1:18" x14ac:dyDescent="0.25">
      <c r="A1097" s="170">
        <v>45306</v>
      </c>
      <c r="B1097" s="116">
        <v>474</v>
      </c>
      <c r="C1097" s="116">
        <v>461.1</v>
      </c>
      <c r="D1097" s="116">
        <v>459.05</v>
      </c>
      <c r="E1097" s="116">
        <v>464.45</v>
      </c>
      <c r="F1097" s="116">
        <v>461.1</v>
      </c>
      <c r="G1097">
        <v>122541</v>
      </c>
      <c r="H1097" s="116"/>
      <c r="I1097" s="116"/>
      <c r="L1097" s="170">
        <v>45306</v>
      </c>
      <c r="M1097" s="116">
        <v>461.35</v>
      </c>
      <c r="N1097" s="116">
        <v>474.55</v>
      </c>
      <c r="O1097" s="116">
        <v>459.25</v>
      </c>
      <c r="P1097" s="116">
        <v>465</v>
      </c>
      <c r="Q1097" s="116">
        <v>461.35</v>
      </c>
      <c r="R1097">
        <v>1284530</v>
      </c>
    </row>
    <row r="1098" spans="1:18" x14ac:dyDescent="0.25">
      <c r="A1098" s="170">
        <v>45307</v>
      </c>
      <c r="B1098" s="116">
        <v>465.65</v>
      </c>
      <c r="C1098" s="116">
        <v>457.95</v>
      </c>
      <c r="D1098" s="116">
        <v>445</v>
      </c>
      <c r="E1098" s="116">
        <v>461.25</v>
      </c>
      <c r="F1098" s="116">
        <v>457.95</v>
      </c>
      <c r="G1098">
        <v>71158</v>
      </c>
      <c r="H1098" s="116"/>
      <c r="I1098" s="116"/>
      <c r="L1098" s="170">
        <v>45307</v>
      </c>
      <c r="M1098" s="116">
        <v>457.75</v>
      </c>
      <c r="N1098" s="116">
        <v>466</v>
      </c>
      <c r="O1098" s="116">
        <v>445.2</v>
      </c>
      <c r="P1098" s="116">
        <v>463.8</v>
      </c>
      <c r="Q1098" s="116">
        <v>457.75</v>
      </c>
      <c r="R1098">
        <v>1155848</v>
      </c>
    </row>
    <row r="1099" spans="1:18" x14ac:dyDescent="0.25">
      <c r="A1099" s="170">
        <v>45308</v>
      </c>
      <c r="B1099" s="116">
        <v>458.2</v>
      </c>
      <c r="C1099" s="116">
        <v>449.05</v>
      </c>
      <c r="D1099" s="116">
        <v>446.65</v>
      </c>
      <c r="E1099" s="116">
        <v>449.5</v>
      </c>
      <c r="F1099" s="116">
        <v>449.05</v>
      </c>
      <c r="G1099">
        <v>103571</v>
      </c>
      <c r="H1099" s="116"/>
      <c r="I1099" s="116"/>
      <c r="L1099" s="170">
        <v>45308</v>
      </c>
      <c r="M1099" s="116">
        <v>448.9</v>
      </c>
      <c r="N1099" s="116">
        <v>458</v>
      </c>
      <c r="O1099" s="116">
        <v>446.55</v>
      </c>
      <c r="P1099" s="116">
        <v>450.15</v>
      </c>
      <c r="Q1099" s="116">
        <v>448.9</v>
      </c>
      <c r="R1099">
        <v>795769</v>
      </c>
    </row>
    <row r="1100" spans="1:18" x14ac:dyDescent="0.25">
      <c r="A1100" s="170">
        <v>45309</v>
      </c>
      <c r="B1100" s="116">
        <v>465</v>
      </c>
      <c r="C1100" s="116">
        <v>457</v>
      </c>
      <c r="D1100" s="116">
        <v>434</v>
      </c>
      <c r="E1100" s="116">
        <v>455.55</v>
      </c>
      <c r="F1100" s="116">
        <v>457</v>
      </c>
      <c r="G1100">
        <v>267771</v>
      </c>
      <c r="H1100" s="116"/>
      <c r="I1100" s="116"/>
      <c r="L1100" s="170">
        <v>45309</v>
      </c>
      <c r="M1100" s="116">
        <v>457.3</v>
      </c>
      <c r="N1100" s="116">
        <v>465</v>
      </c>
      <c r="O1100" s="116">
        <v>433.85</v>
      </c>
      <c r="P1100" s="116">
        <v>455</v>
      </c>
      <c r="Q1100" s="116">
        <v>457.3</v>
      </c>
      <c r="R1100">
        <v>2669090</v>
      </c>
    </row>
    <row r="1101" spans="1:18" x14ac:dyDescent="0.25">
      <c r="A1101" s="170">
        <v>45310</v>
      </c>
      <c r="B1101" s="116">
        <v>479.85</v>
      </c>
      <c r="C1101" s="116">
        <v>479.85</v>
      </c>
      <c r="D1101" s="116">
        <v>468.4</v>
      </c>
      <c r="E1101" s="116">
        <v>469.1</v>
      </c>
      <c r="F1101" s="116">
        <v>479.85</v>
      </c>
      <c r="G1101">
        <v>168998</v>
      </c>
      <c r="H1101" s="116"/>
      <c r="I1101" s="116"/>
      <c r="L1101" s="170">
        <v>45310</v>
      </c>
      <c r="M1101" s="116">
        <v>480.15</v>
      </c>
      <c r="N1101" s="116">
        <v>480.15</v>
      </c>
      <c r="O1101" s="116">
        <v>467.75</v>
      </c>
      <c r="P1101" s="116">
        <v>472</v>
      </c>
      <c r="Q1101" s="116">
        <v>480.15</v>
      </c>
      <c r="R1101">
        <v>3314412</v>
      </c>
    </row>
    <row r="1102" spans="1:18" x14ac:dyDescent="0.25">
      <c r="A1102" s="170">
        <v>45311</v>
      </c>
      <c r="B1102" s="116">
        <v>503.8</v>
      </c>
      <c r="C1102" s="116">
        <v>503.8</v>
      </c>
      <c r="D1102" s="116">
        <v>503.8</v>
      </c>
      <c r="E1102" s="116">
        <v>503.8</v>
      </c>
      <c r="F1102" s="116">
        <v>503.8</v>
      </c>
      <c r="G1102">
        <v>17942</v>
      </c>
      <c r="H1102" s="116"/>
      <c r="I1102" s="116"/>
      <c r="L1102" s="170">
        <v>45311</v>
      </c>
      <c r="M1102" s="116">
        <v>504.15</v>
      </c>
      <c r="N1102" s="116">
        <v>504.15</v>
      </c>
      <c r="O1102" s="116">
        <v>504.15</v>
      </c>
      <c r="P1102" s="116">
        <v>504.15</v>
      </c>
      <c r="Q1102" s="116">
        <v>504.15</v>
      </c>
      <c r="R1102">
        <v>838240</v>
      </c>
    </row>
    <row r="1103" spans="1:18" x14ac:dyDescent="0.25">
      <c r="A1103" s="170">
        <v>45314</v>
      </c>
      <c r="B1103" s="116">
        <v>528.95000000000005</v>
      </c>
      <c r="C1103" s="116">
        <v>522.79999999999995</v>
      </c>
      <c r="D1103" s="116">
        <v>505.15</v>
      </c>
      <c r="E1103" s="116">
        <v>528.95000000000005</v>
      </c>
      <c r="F1103" s="116">
        <v>522.79999999999995</v>
      </c>
      <c r="G1103">
        <v>397168</v>
      </c>
      <c r="H1103" s="116"/>
      <c r="I1103" s="116"/>
      <c r="L1103" s="170">
        <v>45314</v>
      </c>
      <c r="M1103" s="116">
        <v>523.95000000000005</v>
      </c>
      <c r="N1103" s="116">
        <v>529.35</v>
      </c>
      <c r="O1103" s="116">
        <v>505</v>
      </c>
      <c r="P1103" s="116">
        <v>529.35</v>
      </c>
      <c r="Q1103" s="116">
        <v>523.95000000000005</v>
      </c>
      <c r="R1103">
        <v>6510251</v>
      </c>
    </row>
    <row r="1104" spans="1:18" x14ac:dyDescent="0.25">
      <c r="A1104" s="170">
        <v>45315</v>
      </c>
      <c r="B1104" s="116">
        <v>548.9</v>
      </c>
      <c r="C1104" s="116">
        <v>548.9</v>
      </c>
      <c r="D1104" s="116">
        <v>508</v>
      </c>
      <c r="E1104" s="116">
        <v>539.25</v>
      </c>
      <c r="F1104" s="116">
        <v>548.9</v>
      </c>
      <c r="G1104">
        <v>319712</v>
      </c>
      <c r="H1104" s="116"/>
      <c r="I1104" s="116"/>
      <c r="L1104" s="170">
        <v>45315</v>
      </c>
      <c r="M1104" s="116">
        <v>550.1</v>
      </c>
      <c r="N1104" s="116">
        <v>550.1</v>
      </c>
      <c r="O1104" s="116">
        <v>507.2</v>
      </c>
      <c r="P1104" s="116">
        <v>540</v>
      </c>
      <c r="Q1104" s="116">
        <v>550.1</v>
      </c>
      <c r="R1104">
        <v>4789735</v>
      </c>
    </row>
    <row r="1105" spans="1:18" x14ac:dyDescent="0.25">
      <c r="A1105" s="170">
        <v>45316</v>
      </c>
      <c r="B1105" s="116">
        <v>576.29999999999995</v>
      </c>
      <c r="C1105" s="116">
        <v>576.29999999999995</v>
      </c>
      <c r="D1105" s="116">
        <v>560</v>
      </c>
      <c r="E1105" s="116">
        <v>564.95000000000005</v>
      </c>
      <c r="F1105" s="116">
        <v>576.29999999999995</v>
      </c>
      <c r="G1105">
        <v>184648</v>
      </c>
      <c r="H1105" s="116"/>
      <c r="I1105" s="116"/>
      <c r="L1105" s="170">
        <v>45316</v>
      </c>
      <c r="M1105" s="116">
        <v>577.6</v>
      </c>
      <c r="N1105" s="116">
        <v>577.6</v>
      </c>
      <c r="O1105" s="116">
        <v>555</v>
      </c>
      <c r="P1105" s="116">
        <v>564</v>
      </c>
      <c r="Q1105" s="116">
        <v>577.6</v>
      </c>
      <c r="R1105">
        <v>2755063</v>
      </c>
    </row>
    <row r="1106" spans="1:18" x14ac:dyDescent="0.25">
      <c r="A1106" s="170">
        <v>45320</v>
      </c>
      <c r="B1106" s="116">
        <v>605.1</v>
      </c>
      <c r="C1106" s="116">
        <v>605.1</v>
      </c>
      <c r="D1106" s="116">
        <v>594.9</v>
      </c>
      <c r="E1106" s="116">
        <v>596.9</v>
      </c>
      <c r="F1106" s="116">
        <v>605.1</v>
      </c>
      <c r="G1106">
        <v>59587</v>
      </c>
      <c r="H1106" s="116"/>
      <c r="I1106" s="116"/>
      <c r="L1106" s="170">
        <v>45320</v>
      </c>
      <c r="M1106" s="116">
        <v>606.45000000000005</v>
      </c>
      <c r="N1106" s="116">
        <v>606.45000000000005</v>
      </c>
      <c r="O1106" s="116">
        <v>594.9</v>
      </c>
      <c r="P1106" s="116">
        <v>597.70000000000005</v>
      </c>
      <c r="Q1106" s="116">
        <v>606.45000000000005</v>
      </c>
      <c r="R1106">
        <v>1406406</v>
      </c>
    </row>
    <row r="1107" spans="1:18" x14ac:dyDescent="0.25">
      <c r="A1107" s="170">
        <v>45321</v>
      </c>
      <c r="B1107" s="116">
        <v>628.5</v>
      </c>
      <c r="C1107" s="116">
        <v>583.29999999999995</v>
      </c>
      <c r="D1107" s="116">
        <v>578.20000000000005</v>
      </c>
      <c r="E1107" s="116">
        <v>628.5</v>
      </c>
      <c r="F1107" s="116">
        <v>583.29999999999995</v>
      </c>
      <c r="G1107">
        <v>392094</v>
      </c>
      <c r="H1107" s="116"/>
      <c r="I1107" s="116"/>
      <c r="L1107" s="170">
        <v>45321</v>
      </c>
      <c r="M1107" s="116">
        <v>583.15</v>
      </c>
      <c r="N1107" s="116">
        <v>627.70000000000005</v>
      </c>
      <c r="O1107" s="116">
        <v>577.1</v>
      </c>
      <c r="P1107" s="116">
        <v>625</v>
      </c>
      <c r="Q1107" s="116">
        <v>583.15</v>
      </c>
      <c r="R1107">
        <v>4280659</v>
      </c>
    </row>
    <row r="1108" spans="1:18" x14ac:dyDescent="0.25">
      <c r="A1108" s="170">
        <v>45322</v>
      </c>
      <c r="B1108" s="116">
        <v>597.04999999999995</v>
      </c>
      <c r="C1108" s="116">
        <v>566.4</v>
      </c>
      <c r="D1108" s="116">
        <v>556.75</v>
      </c>
      <c r="E1108" s="116">
        <v>594.9</v>
      </c>
      <c r="F1108" s="116">
        <v>566.4</v>
      </c>
      <c r="G1108">
        <v>386050</v>
      </c>
      <c r="H1108" s="116"/>
      <c r="I1108" s="116"/>
      <c r="L1108" s="170">
        <v>45322</v>
      </c>
      <c r="M1108" s="116">
        <v>566.70000000000005</v>
      </c>
      <c r="N1108" s="116">
        <v>597</v>
      </c>
      <c r="O1108" s="116">
        <v>556.75</v>
      </c>
      <c r="P1108" s="116">
        <v>590.04999999999995</v>
      </c>
      <c r="Q1108" s="116">
        <v>566.70000000000005</v>
      </c>
      <c r="R1108">
        <v>2368832</v>
      </c>
    </row>
    <row r="1109" spans="1:18" x14ac:dyDescent="0.25">
      <c r="A1109" s="170">
        <v>45323</v>
      </c>
      <c r="B1109" s="116">
        <v>590</v>
      </c>
      <c r="C1109" s="116">
        <v>572.45000000000005</v>
      </c>
      <c r="D1109" s="116">
        <v>567.1</v>
      </c>
      <c r="E1109" s="116">
        <v>582.1</v>
      </c>
      <c r="F1109" s="116">
        <v>572.45000000000005</v>
      </c>
      <c r="G1109">
        <v>149923</v>
      </c>
      <c r="H1109" s="116"/>
      <c r="I1109" s="116"/>
      <c r="L1109" s="170">
        <v>45323</v>
      </c>
      <c r="M1109" s="116">
        <v>573.25</v>
      </c>
      <c r="N1109" s="116">
        <v>588.79999999999995</v>
      </c>
      <c r="O1109" s="116">
        <v>566.70000000000005</v>
      </c>
      <c r="P1109" s="116">
        <v>584.95000000000005</v>
      </c>
      <c r="Q1109" s="116">
        <v>573.25</v>
      </c>
      <c r="R1109">
        <v>1787805</v>
      </c>
    </row>
    <row r="1110" spans="1:18" x14ac:dyDescent="0.25">
      <c r="A1110" s="170">
        <v>45324</v>
      </c>
      <c r="B1110" s="116">
        <v>586.4</v>
      </c>
      <c r="C1110" s="116">
        <v>569.15</v>
      </c>
      <c r="D1110" s="116">
        <v>555.95000000000005</v>
      </c>
      <c r="E1110" s="116">
        <v>581.75</v>
      </c>
      <c r="F1110" s="116">
        <v>569.15</v>
      </c>
      <c r="G1110">
        <v>91436</v>
      </c>
      <c r="H1110" s="116"/>
      <c r="I1110" s="116"/>
      <c r="L1110" s="170">
        <v>45324</v>
      </c>
      <c r="M1110" s="116">
        <v>569.25</v>
      </c>
      <c r="N1110" s="116">
        <v>585.70000000000005</v>
      </c>
      <c r="O1110" s="116">
        <v>555.5</v>
      </c>
      <c r="P1110" s="116">
        <v>581</v>
      </c>
      <c r="Q1110" s="116">
        <v>569.25</v>
      </c>
      <c r="R1110">
        <v>1342512</v>
      </c>
    </row>
    <row r="1111" spans="1:18" x14ac:dyDescent="0.25">
      <c r="A1111" s="170">
        <v>45327</v>
      </c>
      <c r="B1111" s="116">
        <v>589.45000000000005</v>
      </c>
      <c r="C1111" s="116">
        <v>571.79999999999995</v>
      </c>
      <c r="D1111" s="116">
        <v>567.15</v>
      </c>
      <c r="E1111" s="116">
        <v>580.6</v>
      </c>
      <c r="F1111" s="116">
        <v>571.79999999999995</v>
      </c>
      <c r="G1111">
        <v>86484</v>
      </c>
      <c r="H1111" s="116"/>
      <c r="I1111" s="116"/>
      <c r="L1111" s="170">
        <v>45327</v>
      </c>
      <c r="M1111" s="116">
        <v>572.04999999999995</v>
      </c>
      <c r="N1111" s="116">
        <v>589.4</v>
      </c>
      <c r="O1111" s="116">
        <v>567.1</v>
      </c>
      <c r="P1111" s="116">
        <v>585</v>
      </c>
      <c r="Q1111" s="116">
        <v>572.04999999999995</v>
      </c>
      <c r="R1111">
        <v>1420369</v>
      </c>
    </row>
    <row r="1112" spans="1:18" x14ac:dyDescent="0.25">
      <c r="A1112" s="170">
        <v>45328</v>
      </c>
      <c r="B1112" s="116">
        <v>597.5</v>
      </c>
      <c r="C1112" s="116">
        <v>586.85</v>
      </c>
      <c r="D1112" s="116">
        <v>571.79999999999995</v>
      </c>
      <c r="E1112" s="116">
        <v>579.85</v>
      </c>
      <c r="F1112" s="116">
        <v>586.85</v>
      </c>
      <c r="G1112">
        <v>67663</v>
      </c>
      <c r="H1112" s="116"/>
      <c r="I1112" s="116"/>
      <c r="L1112" s="170">
        <v>45328</v>
      </c>
      <c r="M1112" s="116">
        <v>586.85</v>
      </c>
      <c r="N1112" s="116">
        <v>597.79999999999995</v>
      </c>
      <c r="O1112" s="116">
        <v>571.85</v>
      </c>
      <c r="P1112" s="116">
        <v>579</v>
      </c>
      <c r="Q1112" s="116">
        <v>586.85</v>
      </c>
      <c r="R1112">
        <v>1117762</v>
      </c>
    </row>
    <row r="1113" spans="1:18" x14ac:dyDescent="0.25">
      <c r="A1113" s="170">
        <v>45329</v>
      </c>
      <c r="B1113" s="116">
        <v>616.15</v>
      </c>
      <c r="C1113" s="116">
        <v>616.15</v>
      </c>
      <c r="D1113" s="116">
        <v>587</v>
      </c>
      <c r="E1113" s="116">
        <v>597.75</v>
      </c>
      <c r="F1113" s="116">
        <v>616.15</v>
      </c>
      <c r="G1113">
        <v>271519</v>
      </c>
      <c r="H1113" s="116"/>
      <c r="I1113" s="116"/>
      <c r="L1113" s="170">
        <v>45329</v>
      </c>
      <c r="M1113" s="116">
        <v>615.9</v>
      </c>
      <c r="N1113" s="116">
        <v>616.15</v>
      </c>
      <c r="O1113" s="116">
        <v>587</v>
      </c>
      <c r="P1113" s="116">
        <v>597</v>
      </c>
      <c r="Q1113" s="116">
        <v>615.9</v>
      </c>
      <c r="R1113">
        <v>2016960</v>
      </c>
    </row>
    <row r="1114" spans="1:18" x14ac:dyDescent="0.25">
      <c r="A1114" s="170">
        <v>45330</v>
      </c>
      <c r="B1114" s="116">
        <v>646.95000000000005</v>
      </c>
      <c r="C1114" s="116">
        <v>632.75</v>
      </c>
      <c r="D1114" s="116">
        <v>603</v>
      </c>
      <c r="E1114" s="116">
        <v>626.20000000000005</v>
      </c>
      <c r="F1114" s="116">
        <v>632.75</v>
      </c>
      <c r="G1114">
        <v>427462</v>
      </c>
      <c r="H1114" s="116"/>
      <c r="I1114" s="116"/>
      <c r="L1114" s="170">
        <v>45330</v>
      </c>
      <c r="M1114" s="116">
        <v>633.29999999999995</v>
      </c>
      <c r="N1114" s="116">
        <v>646.65</v>
      </c>
      <c r="O1114" s="116">
        <v>603.25</v>
      </c>
      <c r="P1114" s="116">
        <v>634.95000000000005</v>
      </c>
      <c r="Q1114" s="116">
        <v>633.29999999999995</v>
      </c>
      <c r="R1114">
        <v>2672368</v>
      </c>
    </row>
    <row r="1115" spans="1:18" x14ac:dyDescent="0.25">
      <c r="A1115" s="170">
        <v>45331</v>
      </c>
      <c r="B1115" s="116">
        <v>646.70000000000005</v>
      </c>
      <c r="C1115" s="116">
        <v>617.70000000000005</v>
      </c>
      <c r="D1115" s="116">
        <v>605.35</v>
      </c>
      <c r="E1115" s="116">
        <v>643.04999999999995</v>
      </c>
      <c r="F1115" s="116">
        <v>617.70000000000005</v>
      </c>
      <c r="G1115">
        <v>116912</v>
      </c>
      <c r="H1115" s="116"/>
      <c r="I1115" s="116"/>
      <c r="L1115" s="170">
        <v>45331</v>
      </c>
      <c r="M1115" s="116">
        <v>614.85</v>
      </c>
      <c r="N1115" s="116">
        <v>647</v>
      </c>
      <c r="O1115" s="116">
        <v>605.35</v>
      </c>
      <c r="P1115" s="116">
        <v>639.79999999999995</v>
      </c>
      <c r="Q1115" s="116">
        <v>614.85</v>
      </c>
      <c r="R1115">
        <v>1441804</v>
      </c>
    </row>
    <row r="1116" spans="1:18" x14ac:dyDescent="0.25">
      <c r="A1116" s="170">
        <v>45334</v>
      </c>
      <c r="B1116" s="116">
        <v>625.54999999999995</v>
      </c>
      <c r="C1116" s="116">
        <v>586.85</v>
      </c>
      <c r="D1116" s="116">
        <v>586.85</v>
      </c>
      <c r="E1116" s="116">
        <v>620.35</v>
      </c>
      <c r="F1116" s="116">
        <v>586.85</v>
      </c>
      <c r="G1116">
        <v>203099</v>
      </c>
      <c r="H1116" s="116"/>
      <c r="I1116" s="116"/>
      <c r="L1116" s="170">
        <v>45334</v>
      </c>
      <c r="M1116" s="116">
        <v>584.1</v>
      </c>
      <c r="N1116" s="116">
        <v>626.45000000000005</v>
      </c>
      <c r="O1116" s="116">
        <v>584.1</v>
      </c>
      <c r="P1116" s="116">
        <v>622.04999999999995</v>
      </c>
      <c r="Q1116" s="116">
        <v>584.1</v>
      </c>
      <c r="R1116">
        <v>1278498</v>
      </c>
    </row>
    <row r="1117" spans="1:18" x14ac:dyDescent="0.25">
      <c r="A1117" s="170">
        <v>45335</v>
      </c>
      <c r="B1117" s="116">
        <v>569.45000000000005</v>
      </c>
      <c r="C1117" s="116">
        <v>557.79999999999995</v>
      </c>
      <c r="D1117" s="116">
        <v>557.54999999999995</v>
      </c>
      <c r="E1117" s="116">
        <v>557.54999999999995</v>
      </c>
      <c r="F1117" s="116">
        <v>557.79999999999995</v>
      </c>
      <c r="G1117">
        <v>313657</v>
      </c>
      <c r="H1117" s="116"/>
      <c r="I1117" s="116"/>
      <c r="L1117" s="170">
        <v>45335</v>
      </c>
      <c r="M1117" s="116">
        <v>555.75</v>
      </c>
      <c r="N1117" s="116">
        <v>569.9</v>
      </c>
      <c r="O1117" s="116">
        <v>554.9</v>
      </c>
      <c r="P1117" s="116">
        <v>555</v>
      </c>
      <c r="Q1117" s="116">
        <v>555.75</v>
      </c>
      <c r="R1117">
        <v>2389865</v>
      </c>
    </row>
    <row r="1118" spans="1:18" x14ac:dyDescent="0.25">
      <c r="A1118" s="170">
        <v>45336</v>
      </c>
      <c r="B1118" s="116">
        <v>585.65</v>
      </c>
      <c r="C1118" s="116">
        <v>584.9</v>
      </c>
      <c r="D1118" s="116">
        <v>532.15</v>
      </c>
      <c r="E1118" s="116">
        <v>532.15</v>
      </c>
      <c r="F1118" s="116">
        <v>584.9</v>
      </c>
      <c r="G1118">
        <v>260369</v>
      </c>
      <c r="H1118" s="116"/>
      <c r="I1118" s="116"/>
      <c r="L1118" s="170">
        <v>45336</v>
      </c>
      <c r="M1118" s="116">
        <v>582.35</v>
      </c>
      <c r="N1118" s="116">
        <v>583.5</v>
      </c>
      <c r="O1118" s="116">
        <v>540</v>
      </c>
      <c r="P1118" s="116">
        <v>552</v>
      </c>
      <c r="Q1118" s="116">
        <v>582.35</v>
      </c>
      <c r="R1118">
        <v>1720579</v>
      </c>
    </row>
    <row r="1119" spans="1:18" x14ac:dyDescent="0.25">
      <c r="A1119" s="170">
        <v>45337</v>
      </c>
      <c r="B1119" s="116">
        <v>594.1</v>
      </c>
      <c r="C1119" s="116">
        <v>579.79999999999995</v>
      </c>
      <c r="D1119" s="116">
        <v>574</v>
      </c>
      <c r="E1119" s="116">
        <v>589.65</v>
      </c>
      <c r="F1119" s="116">
        <v>579.79999999999995</v>
      </c>
      <c r="G1119">
        <v>144061</v>
      </c>
      <c r="H1119" s="116"/>
      <c r="I1119" s="116"/>
      <c r="L1119" s="170">
        <v>45337</v>
      </c>
      <c r="M1119" s="116">
        <v>580.20000000000005</v>
      </c>
      <c r="N1119" s="116">
        <v>593.5</v>
      </c>
      <c r="O1119" s="116">
        <v>573.6</v>
      </c>
      <c r="P1119" s="116">
        <v>588.9</v>
      </c>
      <c r="Q1119" s="116">
        <v>580.20000000000005</v>
      </c>
      <c r="R1119">
        <v>998015</v>
      </c>
    </row>
    <row r="1120" spans="1:18" x14ac:dyDescent="0.25">
      <c r="A1120" s="170">
        <v>45338</v>
      </c>
      <c r="B1120" s="116">
        <v>592.9</v>
      </c>
      <c r="C1120" s="116">
        <v>586.70000000000005</v>
      </c>
      <c r="D1120" s="116">
        <v>580.20000000000005</v>
      </c>
      <c r="E1120" s="116">
        <v>591.15</v>
      </c>
      <c r="F1120" s="116">
        <v>586.70000000000005</v>
      </c>
      <c r="G1120">
        <v>36651</v>
      </c>
      <c r="H1120" s="116"/>
      <c r="I1120" s="116"/>
      <c r="L1120" s="170">
        <v>45338</v>
      </c>
      <c r="M1120" s="116">
        <v>586.25</v>
      </c>
      <c r="N1120" s="116">
        <v>592.5</v>
      </c>
      <c r="O1120" s="116">
        <v>580.20000000000005</v>
      </c>
      <c r="P1120" s="116">
        <v>587.70000000000005</v>
      </c>
      <c r="Q1120" s="116">
        <v>586.25</v>
      </c>
      <c r="R1120">
        <v>705651</v>
      </c>
    </row>
    <row r="1121" spans="1:18" x14ac:dyDescent="0.25">
      <c r="A1121" s="170">
        <v>45341</v>
      </c>
      <c r="B1121" s="116">
        <v>616</v>
      </c>
      <c r="C1121" s="116">
        <v>604.20000000000005</v>
      </c>
      <c r="D1121" s="116">
        <v>590.6</v>
      </c>
      <c r="E1121" s="116">
        <v>598.45000000000005</v>
      </c>
      <c r="F1121" s="116">
        <v>604.20000000000005</v>
      </c>
      <c r="G1121">
        <v>353579</v>
      </c>
      <c r="H1121" s="116"/>
      <c r="I1121" s="116"/>
      <c r="L1121" s="170">
        <v>45341</v>
      </c>
      <c r="M1121" s="116">
        <v>603.95000000000005</v>
      </c>
      <c r="N1121" s="116">
        <v>615.54999999999995</v>
      </c>
      <c r="O1121" s="116">
        <v>594.29999999999995</v>
      </c>
      <c r="P1121" s="116">
        <v>597.70000000000005</v>
      </c>
      <c r="Q1121" s="116">
        <v>603.95000000000005</v>
      </c>
      <c r="R1121">
        <v>2203926</v>
      </c>
    </row>
    <row r="1122" spans="1:18" x14ac:dyDescent="0.25">
      <c r="A1122" s="170">
        <v>45342</v>
      </c>
      <c r="B1122" s="116">
        <v>614.85</v>
      </c>
      <c r="C1122" s="116">
        <v>597.15</v>
      </c>
      <c r="D1122" s="116">
        <v>591</v>
      </c>
      <c r="E1122" s="116">
        <v>613</v>
      </c>
      <c r="F1122" s="116">
        <v>597.15</v>
      </c>
      <c r="G1122">
        <v>121708</v>
      </c>
      <c r="H1122" s="116"/>
      <c r="I1122" s="116"/>
      <c r="L1122" s="170">
        <v>45342</v>
      </c>
      <c r="M1122" s="116">
        <v>597.29999999999995</v>
      </c>
      <c r="N1122" s="116">
        <v>614.79999999999995</v>
      </c>
      <c r="O1122" s="116">
        <v>590.54999999999995</v>
      </c>
      <c r="P1122" s="116">
        <v>609.95000000000005</v>
      </c>
      <c r="Q1122" s="116">
        <v>597.29999999999995</v>
      </c>
      <c r="R1122">
        <v>705066</v>
      </c>
    </row>
    <row r="1123" spans="1:18" x14ac:dyDescent="0.25">
      <c r="A1123" s="170">
        <v>45343</v>
      </c>
      <c r="B1123" s="116">
        <v>607.85</v>
      </c>
      <c r="C1123" s="116">
        <v>571.95000000000005</v>
      </c>
      <c r="D1123" s="116">
        <v>568</v>
      </c>
      <c r="E1123" s="116">
        <v>607.85</v>
      </c>
      <c r="F1123" s="116">
        <v>571.95000000000005</v>
      </c>
      <c r="G1123">
        <v>74135</v>
      </c>
      <c r="H1123" s="116"/>
      <c r="I1123" s="116"/>
      <c r="L1123" s="170">
        <v>45343</v>
      </c>
      <c r="M1123" s="116">
        <v>571.65</v>
      </c>
      <c r="N1123" s="116">
        <v>606.5</v>
      </c>
      <c r="O1123" s="116">
        <v>568.1</v>
      </c>
      <c r="P1123" s="116">
        <v>606</v>
      </c>
      <c r="Q1123" s="116">
        <v>571.65</v>
      </c>
      <c r="R1123">
        <v>995896</v>
      </c>
    </row>
    <row r="1124" spans="1:18" x14ac:dyDescent="0.25">
      <c r="A1124" s="170">
        <v>45344</v>
      </c>
      <c r="B1124" s="116">
        <v>595.95000000000005</v>
      </c>
      <c r="C1124" s="116">
        <v>589.04999999999995</v>
      </c>
      <c r="D1124" s="116">
        <v>556</v>
      </c>
      <c r="E1124" s="116">
        <v>578.85</v>
      </c>
      <c r="F1124" s="116">
        <v>589.04999999999995</v>
      </c>
      <c r="G1124">
        <v>150639</v>
      </c>
      <c r="H1124" s="116"/>
      <c r="I1124" s="116"/>
      <c r="L1124" s="170">
        <v>45344</v>
      </c>
      <c r="M1124" s="116">
        <v>589.4</v>
      </c>
      <c r="N1124" s="116">
        <v>596</v>
      </c>
      <c r="O1124" s="116">
        <v>557</v>
      </c>
      <c r="P1124" s="116">
        <v>575</v>
      </c>
      <c r="Q1124" s="116">
        <v>589.4</v>
      </c>
      <c r="R1124">
        <v>1275788</v>
      </c>
    </row>
    <row r="1125" spans="1:18" x14ac:dyDescent="0.25">
      <c r="A1125" s="170">
        <v>45345</v>
      </c>
      <c r="B1125" s="116">
        <v>603.15</v>
      </c>
      <c r="C1125" s="116">
        <v>598.54999999999995</v>
      </c>
      <c r="D1125" s="116">
        <v>587.35</v>
      </c>
      <c r="E1125" s="116">
        <v>597.85</v>
      </c>
      <c r="F1125" s="116">
        <v>598.54999999999995</v>
      </c>
      <c r="G1125">
        <v>41921</v>
      </c>
      <c r="H1125" s="116"/>
      <c r="I1125" s="116"/>
      <c r="L1125" s="170">
        <v>45345</v>
      </c>
      <c r="M1125" s="116">
        <v>598.65</v>
      </c>
      <c r="N1125" s="116">
        <v>603</v>
      </c>
      <c r="O1125" s="116">
        <v>586.5</v>
      </c>
      <c r="P1125" s="116">
        <v>596.9</v>
      </c>
      <c r="Q1125" s="116">
        <v>598.65</v>
      </c>
      <c r="R1125">
        <v>888915</v>
      </c>
    </row>
    <row r="1126" spans="1:18" x14ac:dyDescent="0.25">
      <c r="A1126" s="170">
        <v>45348</v>
      </c>
      <c r="B1126" s="116">
        <v>609.79999999999995</v>
      </c>
      <c r="C1126" s="116">
        <v>585.6</v>
      </c>
      <c r="D1126" s="116">
        <v>583.65</v>
      </c>
      <c r="E1126" s="116">
        <v>609.79999999999995</v>
      </c>
      <c r="F1126" s="116">
        <v>585.6</v>
      </c>
      <c r="G1126">
        <v>53958</v>
      </c>
      <c r="H1126" s="116"/>
      <c r="I1126" s="116"/>
      <c r="L1126" s="170">
        <v>45348</v>
      </c>
      <c r="M1126" s="116">
        <v>585.25</v>
      </c>
      <c r="N1126" s="116">
        <v>608</v>
      </c>
      <c r="O1126" s="116">
        <v>583.04999999999995</v>
      </c>
      <c r="P1126" s="116">
        <v>605.1</v>
      </c>
      <c r="Q1126" s="116">
        <v>585.25</v>
      </c>
      <c r="R1126">
        <v>718168</v>
      </c>
    </row>
    <row r="1127" spans="1:18" x14ac:dyDescent="0.25">
      <c r="A1127" s="170">
        <v>45349</v>
      </c>
      <c r="B1127" s="116">
        <v>613.9</v>
      </c>
      <c r="C1127" s="116">
        <v>595.6</v>
      </c>
      <c r="D1127" s="116">
        <v>586.70000000000005</v>
      </c>
      <c r="E1127" s="116">
        <v>586.70000000000005</v>
      </c>
      <c r="F1127" s="116">
        <v>595.6</v>
      </c>
      <c r="G1127">
        <v>169823</v>
      </c>
      <c r="H1127" s="116"/>
      <c r="I1127" s="116"/>
      <c r="L1127" s="170">
        <v>45349</v>
      </c>
      <c r="M1127" s="116">
        <v>595.95000000000005</v>
      </c>
      <c r="N1127" s="116">
        <v>614</v>
      </c>
      <c r="O1127" s="116">
        <v>588.9</v>
      </c>
      <c r="P1127" s="116">
        <v>588.95000000000005</v>
      </c>
      <c r="Q1127" s="116">
        <v>595.95000000000005</v>
      </c>
      <c r="R1127">
        <v>972517</v>
      </c>
    </row>
    <row r="1128" spans="1:18" x14ac:dyDescent="0.25">
      <c r="A1128" s="170">
        <v>45350</v>
      </c>
      <c r="B1128" s="116">
        <v>599.9</v>
      </c>
      <c r="C1128" s="116">
        <v>575.5</v>
      </c>
      <c r="D1128" s="116">
        <v>569</v>
      </c>
      <c r="E1128" s="116">
        <v>599.9</v>
      </c>
      <c r="F1128" s="116">
        <v>575.5</v>
      </c>
      <c r="G1128">
        <v>69870</v>
      </c>
      <c r="H1128" s="116"/>
      <c r="I1128" s="116"/>
      <c r="L1128" s="170">
        <v>45350</v>
      </c>
      <c r="M1128" s="116">
        <v>576.54999999999995</v>
      </c>
      <c r="N1128" s="116">
        <v>598.9</v>
      </c>
      <c r="O1128" s="116">
        <v>568.6</v>
      </c>
      <c r="P1128" s="116">
        <v>596.85</v>
      </c>
      <c r="Q1128" s="116">
        <v>576.54999999999995</v>
      </c>
      <c r="R1128">
        <v>882782</v>
      </c>
    </row>
    <row r="1129" spans="1:18" x14ac:dyDescent="0.25">
      <c r="A1129" s="170">
        <v>45351</v>
      </c>
      <c r="B1129" s="116">
        <v>604.25</v>
      </c>
      <c r="C1129" s="116">
        <v>603</v>
      </c>
      <c r="D1129" s="116">
        <v>562.04999999999995</v>
      </c>
      <c r="E1129" s="116">
        <v>575.54999999999995</v>
      </c>
      <c r="F1129" s="116">
        <v>603</v>
      </c>
      <c r="G1129">
        <v>78963</v>
      </c>
      <c r="H1129" s="116"/>
      <c r="I1129" s="116"/>
      <c r="L1129" s="170">
        <v>45351</v>
      </c>
      <c r="M1129" s="116">
        <v>604.25</v>
      </c>
      <c r="N1129" s="116">
        <v>605.35</v>
      </c>
      <c r="O1129" s="116">
        <v>561.70000000000005</v>
      </c>
      <c r="P1129" s="116">
        <v>577</v>
      </c>
      <c r="Q1129" s="116">
        <v>604.25</v>
      </c>
      <c r="R1129">
        <v>2206613</v>
      </c>
    </row>
    <row r="1130" spans="1:18" x14ac:dyDescent="0.25">
      <c r="A1130" s="170">
        <v>45352</v>
      </c>
      <c r="B1130" s="116">
        <v>612.95000000000005</v>
      </c>
      <c r="C1130" s="116">
        <v>597.9</v>
      </c>
      <c r="D1130" s="116">
        <v>595</v>
      </c>
      <c r="E1130" s="116">
        <v>612.95000000000005</v>
      </c>
      <c r="F1130" s="116">
        <v>597.9</v>
      </c>
      <c r="G1130">
        <v>37316</v>
      </c>
      <c r="H1130" s="116"/>
      <c r="I1130" s="116"/>
      <c r="L1130" s="170">
        <v>45352</v>
      </c>
      <c r="M1130" s="116">
        <v>597.79999999999995</v>
      </c>
      <c r="N1130" s="116">
        <v>612</v>
      </c>
      <c r="O1130" s="116">
        <v>594.75</v>
      </c>
      <c r="P1130" s="116">
        <v>609.79999999999995</v>
      </c>
      <c r="Q1130" s="116">
        <v>597.79999999999995</v>
      </c>
      <c r="R1130">
        <v>636998</v>
      </c>
    </row>
    <row r="1131" spans="1:18" x14ac:dyDescent="0.25">
      <c r="A1131" s="170">
        <v>45353</v>
      </c>
      <c r="B1131" s="116">
        <v>603.70000000000005</v>
      </c>
      <c r="C1131" s="116">
        <v>599.20000000000005</v>
      </c>
      <c r="D1131" s="116">
        <v>595</v>
      </c>
      <c r="E1131" s="116">
        <v>600.9</v>
      </c>
      <c r="F1131" s="116">
        <v>599.20000000000005</v>
      </c>
      <c r="G1131">
        <v>22666</v>
      </c>
      <c r="H1131" s="116"/>
      <c r="I1131" s="116"/>
      <c r="L1131" s="170">
        <v>45353</v>
      </c>
      <c r="M1131" s="116">
        <v>598.95000000000005</v>
      </c>
      <c r="N1131" s="116">
        <v>603.5</v>
      </c>
      <c r="O1131" s="116">
        <v>597.5</v>
      </c>
      <c r="P1131" s="116">
        <v>601</v>
      </c>
      <c r="Q1131" s="116">
        <v>598.95000000000005</v>
      </c>
      <c r="R1131">
        <v>96674</v>
      </c>
    </row>
    <row r="1132" spans="1:18" x14ac:dyDescent="0.25">
      <c r="A1132" s="170">
        <v>45355</v>
      </c>
      <c r="B1132" s="116">
        <v>604.85</v>
      </c>
      <c r="C1132" s="116">
        <v>589.9</v>
      </c>
      <c r="D1132" s="116">
        <v>586.29999999999995</v>
      </c>
      <c r="E1132" s="116">
        <v>604.85</v>
      </c>
      <c r="F1132" s="116">
        <v>589.9</v>
      </c>
      <c r="G1132">
        <v>76008</v>
      </c>
      <c r="H1132" s="116"/>
      <c r="I1132" s="116"/>
      <c r="L1132" s="170">
        <v>45355</v>
      </c>
      <c r="M1132" s="116">
        <v>589.79999999999995</v>
      </c>
      <c r="N1132" s="116">
        <v>603</v>
      </c>
      <c r="O1132" s="116">
        <v>586.04999999999995</v>
      </c>
      <c r="P1132" s="116">
        <v>603</v>
      </c>
      <c r="Q1132" s="116">
        <v>589.79999999999995</v>
      </c>
      <c r="R1132">
        <v>418211</v>
      </c>
    </row>
    <row r="1133" spans="1:18" x14ac:dyDescent="0.25">
      <c r="A1133" s="170">
        <v>45356</v>
      </c>
      <c r="B1133" s="116">
        <v>594.25</v>
      </c>
      <c r="C1133" s="116">
        <v>591.79999999999995</v>
      </c>
      <c r="D1133" s="116">
        <v>576.65</v>
      </c>
      <c r="E1133" s="116">
        <v>590.15</v>
      </c>
      <c r="F1133" s="116">
        <v>591.79999999999995</v>
      </c>
      <c r="G1133">
        <v>71497</v>
      </c>
      <c r="H1133" s="116"/>
      <c r="I1133" s="116"/>
      <c r="L1133" s="170">
        <v>45356</v>
      </c>
      <c r="M1133" s="116">
        <v>592.20000000000005</v>
      </c>
      <c r="N1133" s="116">
        <v>593.95000000000005</v>
      </c>
      <c r="O1133" s="116">
        <v>576.65</v>
      </c>
      <c r="P1133" s="116">
        <v>592</v>
      </c>
      <c r="Q1133" s="116">
        <v>592.20000000000005</v>
      </c>
      <c r="R1133">
        <v>555455</v>
      </c>
    </row>
    <row r="1134" spans="1:18" x14ac:dyDescent="0.25">
      <c r="A1134" s="170">
        <v>45357</v>
      </c>
      <c r="B1134" s="116">
        <v>592.15</v>
      </c>
      <c r="C1134" s="116">
        <v>579.1</v>
      </c>
      <c r="D1134" s="116">
        <v>569.15</v>
      </c>
      <c r="E1134" s="116">
        <v>590.29999999999995</v>
      </c>
      <c r="F1134" s="116">
        <v>579.1</v>
      </c>
      <c r="G1134">
        <v>74931</v>
      </c>
      <c r="H1134" s="116"/>
      <c r="I1134" s="116"/>
      <c r="L1134" s="170">
        <v>45357</v>
      </c>
      <c r="M1134" s="116">
        <v>579.4</v>
      </c>
      <c r="N1134" s="116">
        <v>592.9</v>
      </c>
      <c r="O1134" s="116">
        <v>569.15</v>
      </c>
      <c r="P1134" s="116">
        <v>592.9</v>
      </c>
      <c r="Q1134" s="116">
        <v>579.4</v>
      </c>
      <c r="R1134">
        <v>722970</v>
      </c>
    </row>
    <row r="1135" spans="1:18" x14ac:dyDescent="0.25">
      <c r="A1135" s="170">
        <v>45358</v>
      </c>
      <c r="B1135" s="116">
        <v>592.15</v>
      </c>
      <c r="C1135" s="116">
        <v>583.95000000000005</v>
      </c>
      <c r="D1135" s="116">
        <v>573.35</v>
      </c>
      <c r="E1135" s="116">
        <v>580.04999999999995</v>
      </c>
      <c r="F1135" s="116">
        <v>583.95000000000005</v>
      </c>
      <c r="G1135">
        <v>21731</v>
      </c>
      <c r="H1135" s="116"/>
      <c r="I1135" s="116"/>
      <c r="L1135" s="170">
        <v>45358</v>
      </c>
      <c r="M1135" s="116">
        <v>584.29999999999995</v>
      </c>
      <c r="N1135" s="116">
        <v>592.5</v>
      </c>
      <c r="O1135" s="116">
        <v>573.1</v>
      </c>
      <c r="P1135" s="116">
        <v>582</v>
      </c>
      <c r="Q1135" s="116">
        <v>584.29999999999995</v>
      </c>
      <c r="R1135">
        <v>533555</v>
      </c>
    </row>
    <row r="1136" spans="1:18" x14ac:dyDescent="0.25">
      <c r="A1136" s="170">
        <v>45362</v>
      </c>
      <c r="B1136" s="116">
        <v>591.75</v>
      </c>
      <c r="C1136" s="116">
        <v>570.1</v>
      </c>
      <c r="D1136" s="116">
        <v>565</v>
      </c>
      <c r="E1136" s="116">
        <v>591.75</v>
      </c>
      <c r="F1136" s="116">
        <v>570.1</v>
      </c>
      <c r="G1136">
        <v>27350</v>
      </c>
      <c r="H1136" s="116"/>
      <c r="I1136" s="116"/>
      <c r="L1136" s="170">
        <v>45362</v>
      </c>
      <c r="M1136" s="116">
        <v>570.15</v>
      </c>
      <c r="N1136" s="116">
        <v>590.79999999999995</v>
      </c>
      <c r="O1136" s="116">
        <v>564.04999999999995</v>
      </c>
      <c r="P1136" s="116">
        <v>590</v>
      </c>
      <c r="Q1136" s="116">
        <v>570.15</v>
      </c>
      <c r="R1136">
        <v>703351</v>
      </c>
    </row>
    <row r="1137" spans="1:18" x14ac:dyDescent="0.25">
      <c r="A1137" s="170">
        <v>45363</v>
      </c>
      <c r="B1137" s="116">
        <v>569.25</v>
      </c>
      <c r="C1137" s="116">
        <v>541.6</v>
      </c>
      <c r="D1137" s="116">
        <v>541.6</v>
      </c>
      <c r="E1137" s="116">
        <v>566.15</v>
      </c>
      <c r="F1137" s="116">
        <v>541.6</v>
      </c>
      <c r="G1137">
        <v>74625</v>
      </c>
      <c r="H1137" s="116"/>
      <c r="I1137" s="116"/>
      <c r="L1137" s="170">
        <v>45363</v>
      </c>
      <c r="M1137" s="116">
        <v>541.65</v>
      </c>
      <c r="N1137" s="116">
        <v>570.15</v>
      </c>
      <c r="O1137" s="116">
        <v>541.65</v>
      </c>
      <c r="P1137" s="116">
        <v>570.15</v>
      </c>
      <c r="Q1137" s="116">
        <v>541.65</v>
      </c>
      <c r="R1137">
        <v>986016</v>
      </c>
    </row>
    <row r="1138" spans="1:18" x14ac:dyDescent="0.25">
      <c r="A1138" s="170">
        <v>45364</v>
      </c>
      <c r="B1138" s="116">
        <v>514.54999999999995</v>
      </c>
      <c r="C1138" s="116">
        <v>514.54999999999995</v>
      </c>
      <c r="D1138" s="116">
        <v>514.54999999999995</v>
      </c>
      <c r="E1138" s="116">
        <v>514.54999999999995</v>
      </c>
      <c r="F1138" s="116">
        <v>514.54999999999995</v>
      </c>
      <c r="G1138">
        <v>18289</v>
      </c>
      <c r="H1138" s="116"/>
      <c r="I1138" s="116"/>
      <c r="L1138" s="170">
        <v>45364</v>
      </c>
      <c r="M1138" s="116">
        <v>514.6</v>
      </c>
      <c r="N1138" s="116">
        <v>514.6</v>
      </c>
      <c r="O1138" s="116">
        <v>514.6</v>
      </c>
      <c r="P1138" s="116">
        <v>514.6</v>
      </c>
      <c r="Q1138" s="116">
        <v>514.6</v>
      </c>
      <c r="R1138">
        <v>501719</v>
      </c>
    </row>
    <row r="1139" spans="1:18" x14ac:dyDescent="0.25">
      <c r="A1139" s="170">
        <v>45365</v>
      </c>
      <c r="B1139" s="116">
        <v>509.25</v>
      </c>
      <c r="C1139" s="116">
        <v>498.75</v>
      </c>
      <c r="D1139" s="116">
        <v>488.85</v>
      </c>
      <c r="E1139" s="116">
        <v>488.85</v>
      </c>
      <c r="F1139" s="116">
        <v>498.75</v>
      </c>
      <c r="G1139">
        <v>418666</v>
      </c>
      <c r="H1139" s="116"/>
      <c r="I1139" s="116"/>
      <c r="L1139" s="170">
        <v>45365</v>
      </c>
      <c r="M1139" s="116">
        <v>499.6</v>
      </c>
      <c r="N1139" s="116">
        <v>509</v>
      </c>
      <c r="O1139" s="116">
        <v>488.9</v>
      </c>
      <c r="P1139" s="116">
        <v>488.9</v>
      </c>
      <c r="Q1139" s="116">
        <v>499.6</v>
      </c>
      <c r="R1139">
        <v>8468648</v>
      </c>
    </row>
    <row r="1140" spans="1:18" x14ac:dyDescent="0.25">
      <c r="A1140" s="170">
        <v>45366</v>
      </c>
      <c r="B1140" s="116">
        <v>506.15</v>
      </c>
      <c r="C1140" s="116">
        <v>488.5</v>
      </c>
      <c r="D1140" s="116">
        <v>475.5</v>
      </c>
      <c r="E1140" s="116">
        <v>499.9</v>
      </c>
      <c r="F1140" s="116">
        <v>488.5</v>
      </c>
      <c r="G1140">
        <v>194371</v>
      </c>
      <c r="H1140" s="116"/>
      <c r="I1140" s="116"/>
      <c r="L1140" s="170">
        <v>45366</v>
      </c>
      <c r="M1140" s="116">
        <v>488.95</v>
      </c>
      <c r="N1140" s="116">
        <v>506.35</v>
      </c>
      <c r="O1140" s="116">
        <v>475</v>
      </c>
      <c r="P1140" s="116">
        <v>499</v>
      </c>
      <c r="Q1140" s="116">
        <v>488.95</v>
      </c>
      <c r="R1140">
        <v>4974863</v>
      </c>
    </row>
    <row r="1141" spans="1:18" x14ac:dyDescent="0.25">
      <c r="A1141" s="170">
        <v>45369</v>
      </c>
      <c r="B1141" s="116">
        <v>495</v>
      </c>
      <c r="C1141" s="116">
        <v>484.9</v>
      </c>
      <c r="D1141" s="116">
        <v>474.3</v>
      </c>
      <c r="E1141" s="116">
        <v>487.75</v>
      </c>
      <c r="F1141" s="116">
        <v>484.9</v>
      </c>
      <c r="G1141">
        <v>64512</v>
      </c>
      <c r="H1141" s="116"/>
      <c r="I1141" s="116"/>
      <c r="L1141" s="170">
        <v>45369</v>
      </c>
      <c r="M1141" s="116">
        <v>485.5</v>
      </c>
      <c r="N1141" s="116">
        <v>496.35</v>
      </c>
      <c r="O1141" s="116">
        <v>474.05</v>
      </c>
      <c r="P1141" s="116">
        <v>486.85</v>
      </c>
      <c r="Q1141" s="116">
        <v>485.5</v>
      </c>
      <c r="R1141">
        <v>1339890</v>
      </c>
    </row>
    <row r="1142" spans="1:18" x14ac:dyDescent="0.25">
      <c r="A1142" s="170">
        <v>45370</v>
      </c>
      <c r="B1142" s="116">
        <v>491.05</v>
      </c>
      <c r="C1142" s="116">
        <v>475.85</v>
      </c>
      <c r="D1142" s="116">
        <v>475</v>
      </c>
      <c r="E1142" s="116">
        <v>489.8</v>
      </c>
      <c r="F1142" s="116">
        <v>475.85</v>
      </c>
      <c r="G1142">
        <v>33166</v>
      </c>
      <c r="H1142" s="116"/>
      <c r="I1142" s="116"/>
      <c r="L1142" s="170">
        <v>45370</v>
      </c>
      <c r="M1142" s="116">
        <v>475.55</v>
      </c>
      <c r="N1142" s="116">
        <v>491.45</v>
      </c>
      <c r="O1142" s="116">
        <v>475</v>
      </c>
      <c r="P1142" s="116">
        <v>484</v>
      </c>
      <c r="Q1142" s="116">
        <v>475.55</v>
      </c>
      <c r="R1142">
        <v>770206</v>
      </c>
    </row>
    <row r="1143" spans="1:18" x14ac:dyDescent="0.25">
      <c r="A1143" s="170">
        <v>45371</v>
      </c>
      <c r="B1143" s="116">
        <v>481.4</v>
      </c>
      <c r="C1143" s="116">
        <v>468.4</v>
      </c>
      <c r="D1143" s="116">
        <v>461.4</v>
      </c>
      <c r="E1143" s="116">
        <v>476.55</v>
      </c>
      <c r="F1143" s="116">
        <v>468.4</v>
      </c>
      <c r="G1143">
        <v>110790</v>
      </c>
      <c r="H1143" s="116"/>
      <c r="I1143" s="116"/>
      <c r="L1143" s="170">
        <v>45371</v>
      </c>
      <c r="M1143" s="116">
        <v>468.45</v>
      </c>
      <c r="N1143" s="116">
        <v>481.4</v>
      </c>
      <c r="O1143" s="116">
        <v>460</v>
      </c>
      <c r="P1143" s="116">
        <v>477.8</v>
      </c>
      <c r="Q1143" s="116">
        <v>468.45</v>
      </c>
      <c r="R1143">
        <v>1100354</v>
      </c>
    </row>
    <row r="1144" spans="1:18" x14ac:dyDescent="0.25">
      <c r="A1144" s="170">
        <v>45372</v>
      </c>
      <c r="B1144" s="116">
        <v>491.8</v>
      </c>
      <c r="C1144" s="116">
        <v>491.8</v>
      </c>
      <c r="D1144" s="116">
        <v>473.2</v>
      </c>
      <c r="E1144" s="116">
        <v>473.2</v>
      </c>
      <c r="F1144" s="116">
        <v>491.8</v>
      </c>
      <c r="G1144">
        <v>25387</v>
      </c>
      <c r="H1144" s="116"/>
      <c r="I1144" s="116"/>
      <c r="L1144" s="170">
        <v>45372</v>
      </c>
      <c r="M1144" s="116">
        <v>491.85</v>
      </c>
      <c r="N1144" s="116">
        <v>491.85</v>
      </c>
      <c r="O1144" s="116">
        <v>477</v>
      </c>
      <c r="P1144" s="116">
        <v>477</v>
      </c>
      <c r="Q1144" s="116">
        <v>491.85</v>
      </c>
      <c r="R1144">
        <v>426256</v>
      </c>
    </row>
    <row r="1145" spans="1:18" x14ac:dyDescent="0.25">
      <c r="A1145" s="170">
        <v>45373</v>
      </c>
      <c r="B1145" s="116">
        <v>516.35</v>
      </c>
      <c r="C1145" s="116">
        <v>516.35</v>
      </c>
      <c r="D1145" s="116">
        <v>504</v>
      </c>
      <c r="E1145" s="116">
        <v>513.85</v>
      </c>
      <c r="F1145" s="116">
        <v>516.35</v>
      </c>
      <c r="G1145">
        <v>12438</v>
      </c>
      <c r="H1145" s="116"/>
      <c r="I1145" s="116"/>
      <c r="L1145" s="170">
        <v>45373</v>
      </c>
      <c r="M1145" s="116">
        <v>516.4</v>
      </c>
      <c r="N1145" s="116">
        <v>516.4</v>
      </c>
      <c r="O1145" s="116">
        <v>504.15</v>
      </c>
      <c r="P1145" s="116">
        <v>508</v>
      </c>
      <c r="Q1145" s="116">
        <v>516.4</v>
      </c>
      <c r="R1145">
        <v>380847</v>
      </c>
    </row>
    <row r="1146" spans="1:18" x14ac:dyDescent="0.25">
      <c r="A1146" s="170">
        <v>45377</v>
      </c>
      <c r="B1146" s="116">
        <v>542.15</v>
      </c>
      <c r="C1146" s="116">
        <v>521.29999999999995</v>
      </c>
      <c r="D1146" s="116">
        <v>518</v>
      </c>
      <c r="E1146" s="116">
        <v>542.15</v>
      </c>
      <c r="F1146" s="116">
        <v>521.29999999999995</v>
      </c>
      <c r="G1146">
        <v>182593</v>
      </c>
      <c r="H1146" s="116"/>
      <c r="I1146" s="116"/>
      <c r="L1146" s="170">
        <v>45377</v>
      </c>
      <c r="M1146" s="116">
        <v>521.6</v>
      </c>
      <c r="N1146" s="116">
        <v>542.20000000000005</v>
      </c>
      <c r="O1146" s="116">
        <v>517.9</v>
      </c>
      <c r="P1146" s="116">
        <v>542.20000000000005</v>
      </c>
      <c r="Q1146" s="116">
        <v>521.6</v>
      </c>
      <c r="R1146">
        <v>2028025</v>
      </c>
    </row>
    <row r="1147" spans="1:18" x14ac:dyDescent="0.25">
      <c r="A1147" s="170">
        <v>45378</v>
      </c>
      <c r="B1147" s="116">
        <v>538.54999999999995</v>
      </c>
      <c r="C1147" s="116">
        <v>518</v>
      </c>
      <c r="D1147" s="116">
        <v>515.95000000000005</v>
      </c>
      <c r="E1147" s="116">
        <v>525</v>
      </c>
      <c r="F1147" s="116">
        <v>518</v>
      </c>
      <c r="G1147">
        <v>65981</v>
      </c>
      <c r="H1147" s="116"/>
      <c r="I1147" s="116"/>
      <c r="L1147" s="170">
        <v>45378</v>
      </c>
      <c r="M1147" s="116">
        <v>518.20000000000005</v>
      </c>
      <c r="N1147" s="116">
        <v>538.29999999999995</v>
      </c>
      <c r="O1147" s="116">
        <v>515.04999999999995</v>
      </c>
      <c r="P1147" s="116">
        <v>529.95000000000005</v>
      </c>
      <c r="Q1147" s="116">
        <v>518.20000000000005</v>
      </c>
      <c r="R1147">
        <v>783236</v>
      </c>
    </row>
    <row r="1148" spans="1:18" x14ac:dyDescent="0.25">
      <c r="A1148" s="170">
        <v>45379</v>
      </c>
      <c r="B1148" s="116">
        <v>532.9</v>
      </c>
      <c r="C1148" s="116">
        <v>523.85</v>
      </c>
      <c r="D1148" s="116">
        <v>518</v>
      </c>
      <c r="E1148" s="116">
        <v>525.1</v>
      </c>
      <c r="F1148" s="116">
        <v>523.85</v>
      </c>
      <c r="G1148">
        <v>29785</v>
      </c>
      <c r="H1148" s="116"/>
      <c r="I1148" s="116"/>
      <c r="L1148" s="170">
        <v>45379</v>
      </c>
      <c r="M1148" s="116">
        <v>523.25</v>
      </c>
      <c r="N1148" s="116">
        <v>533</v>
      </c>
      <c r="O1148" s="116">
        <v>517.20000000000005</v>
      </c>
      <c r="P1148" s="116">
        <v>520</v>
      </c>
      <c r="Q1148" s="116">
        <v>523.25</v>
      </c>
      <c r="R1148">
        <v>629226</v>
      </c>
    </row>
    <row r="1149" spans="1:18" x14ac:dyDescent="0.25">
      <c r="A1149" s="170">
        <v>45383</v>
      </c>
      <c r="B1149" s="116">
        <v>550</v>
      </c>
      <c r="C1149" s="116">
        <v>539.85</v>
      </c>
      <c r="D1149" s="116">
        <v>528.29999999999995</v>
      </c>
      <c r="E1149" s="116">
        <v>531.75</v>
      </c>
      <c r="F1149" s="116">
        <v>539.85</v>
      </c>
      <c r="G1149">
        <v>118522</v>
      </c>
      <c r="H1149" s="116"/>
      <c r="I1149" s="116"/>
      <c r="L1149" s="170">
        <v>45383</v>
      </c>
      <c r="M1149" s="116">
        <v>540</v>
      </c>
      <c r="N1149" s="116">
        <v>549.4</v>
      </c>
      <c r="O1149" s="116">
        <v>528</v>
      </c>
      <c r="P1149" s="116">
        <v>528</v>
      </c>
      <c r="Q1149" s="116">
        <v>540</v>
      </c>
      <c r="R1149">
        <v>887235</v>
      </c>
    </row>
    <row r="1150" spans="1:18" x14ac:dyDescent="0.25">
      <c r="A1150" s="170">
        <v>45384</v>
      </c>
      <c r="B1150" s="116">
        <v>545.65</v>
      </c>
      <c r="C1150" s="116">
        <v>537.9</v>
      </c>
      <c r="D1150" s="116">
        <v>536.6</v>
      </c>
      <c r="E1150" s="116">
        <v>543.20000000000005</v>
      </c>
      <c r="F1150" s="116">
        <v>537.9</v>
      </c>
      <c r="G1150">
        <v>44007</v>
      </c>
      <c r="H1150" s="116"/>
      <c r="I1150" s="116"/>
      <c r="L1150" s="170">
        <v>45384</v>
      </c>
      <c r="M1150" s="116">
        <v>537.70000000000005</v>
      </c>
      <c r="N1150" s="116">
        <v>546.1</v>
      </c>
      <c r="O1150" s="116">
        <v>536.1</v>
      </c>
      <c r="P1150" s="116">
        <v>541.95000000000005</v>
      </c>
      <c r="Q1150" s="116">
        <v>537.70000000000005</v>
      </c>
      <c r="R1150">
        <v>644328</v>
      </c>
    </row>
    <row r="1151" spans="1:18" x14ac:dyDescent="0.25">
      <c r="A1151" s="170">
        <v>45385</v>
      </c>
      <c r="B1151" s="116">
        <v>553</v>
      </c>
      <c r="C1151" s="116">
        <v>537.85</v>
      </c>
      <c r="D1151" s="116">
        <v>532.04999999999995</v>
      </c>
      <c r="E1151" s="116">
        <v>539.79999999999995</v>
      </c>
      <c r="F1151" s="116">
        <v>537.85</v>
      </c>
      <c r="G1151">
        <v>101452</v>
      </c>
      <c r="H1151" s="116"/>
      <c r="I1151" s="116"/>
      <c r="L1151" s="170">
        <v>45385</v>
      </c>
      <c r="M1151" s="116">
        <v>537.75</v>
      </c>
      <c r="N1151" s="116">
        <v>553.45000000000005</v>
      </c>
      <c r="O1151" s="116">
        <v>532.1</v>
      </c>
      <c r="P1151" s="116">
        <v>539</v>
      </c>
      <c r="Q1151" s="116">
        <v>537.75</v>
      </c>
      <c r="R1151">
        <v>749465</v>
      </c>
    </row>
    <row r="1152" spans="1:18" x14ac:dyDescent="0.25">
      <c r="A1152" s="170">
        <v>45386</v>
      </c>
      <c r="B1152" s="116">
        <v>544.95000000000005</v>
      </c>
      <c r="C1152" s="116">
        <v>526.75</v>
      </c>
      <c r="D1152" s="116">
        <v>520.25</v>
      </c>
      <c r="E1152" s="116">
        <v>544.95000000000005</v>
      </c>
      <c r="F1152" s="116">
        <v>526.75</v>
      </c>
      <c r="G1152">
        <v>110500</v>
      </c>
      <c r="H1152" s="116"/>
      <c r="I1152" s="116"/>
      <c r="L1152" s="170">
        <v>45386</v>
      </c>
      <c r="M1152" s="116">
        <v>526.70000000000005</v>
      </c>
      <c r="N1152" s="116">
        <v>542.79999999999995</v>
      </c>
      <c r="O1152" s="116">
        <v>520</v>
      </c>
      <c r="P1152" s="116">
        <v>541.79999999999995</v>
      </c>
      <c r="Q1152" s="116">
        <v>526.70000000000005</v>
      </c>
      <c r="R1152">
        <v>904878</v>
      </c>
    </row>
    <row r="1153" spans="1:18" x14ac:dyDescent="0.25">
      <c r="A1153" s="170">
        <v>45387</v>
      </c>
      <c r="B1153" s="116">
        <v>535.9</v>
      </c>
      <c r="C1153" s="116">
        <v>522.75</v>
      </c>
      <c r="D1153" s="116">
        <v>521</v>
      </c>
      <c r="E1153" s="116">
        <v>530.35</v>
      </c>
      <c r="F1153" s="116">
        <v>522.75</v>
      </c>
      <c r="G1153">
        <v>105402</v>
      </c>
      <c r="H1153" s="116"/>
      <c r="I1153" s="116"/>
      <c r="L1153" s="170">
        <v>45387</v>
      </c>
      <c r="M1153" s="116">
        <v>523</v>
      </c>
      <c r="N1153" s="116">
        <v>536.1</v>
      </c>
      <c r="O1153" s="116">
        <v>521</v>
      </c>
      <c r="P1153" s="116">
        <v>531.95000000000005</v>
      </c>
      <c r="Q1153" s="116">
        <v>523</v>
      </c>
      <c r="R1153">
        <v>1016372</v>
      </c>
    </row>
    <row r="1154" spans="1:18" x14ac:dyDescent="0.25">
      <c r="A1154" s="170">
        <v>45390</v>
      </c>
      <c r="B1154" s="116">
        <v>528.70000000000005</v>
      </c>
      <c r="C1154" s="116">
        <v>511.5</v>
      </c>
      <c r="D1154" s="116">
        <v>510</v>
      </c>
      <c r="E1154" s="116">
        <v>523.04999999999995</v>
      </c>
      <c r="F1154" s="116">
        <v>511.5</v>
      </c>
      <c r="G1154">
        <v>37397</v>
      </c>
      <c r="H1154" s="116"/>
      <c r="I1154" s="116"/>
      <c r="L1154" s="170">
        <v>45390</v>
      </c>
      <c r="M1154" s="116">
        <v>510.95</v>
      </c>
      <c r="N1154" s="116">
        <v>529.6</v>
      </c>
      <c r="O1154" s="116">
        <v>510</v>
      </c>
      <c r="P1154" s="116">
        <v>523.95000000000005</v>
      </c>
      <c r="Q1154" s="116">
        <v>510.95</v>
      </c>
      <c r="R1154">
        <v>588423</v>
      </c>
    </row>
    <row r="1155" spans="1:18" x14ac:dyDescent="0.25">
      <c r="A1155" s="170">
        <v>45391</v>
      </c>
      <c r="B1155" s="116">
        <v>516.29999999999995</v>
      </c>
      <c r="C1155" s="116">
        <v>505.3</v>
      </c>
      <c r="D1155" s="116">
        <v>501.5</v>
      </c>
      <c r="E1155" s="116">
        <v>513.25</v>
      </c>
      <c r="F1155" s="116">
        <v>505.3</v>
      </c>
      <c r="G1155">
        <v>106948</v>
      </c>
      <c r="H1155" s="116"/>
      <c r="I1155" s="116"/>
      <c r="L1155" s="170">
        <v>45391</v>
      </c>
      <c r="M1155" s="116">
        <v>504.6</v>
      </c>
      <c r="N1155" s="116">
        <v>517.25</v>
      </c>
      <c r="O1155" s="116">
        <v>501.4</v>
      </c>
      <c r="P1155" s="116">
        <v>513.85</v>
      </c>
      <c r="Q1155" s="116">
        <v>504.6</v>
      </c>
      <c r="R1155">
        <v>1009536</v>
      </c>
    </row>
    <row r="1156" spans="1:18" x14ac:dyDescent="0.25">
      <c r="A1156" s="170">
        <v>45392</v>
      </c>
      <c r="B1156" s="116">
        <v>524.6</v>
      </c>
      <c r="C1156" s="116">
        <v>513.79999999999995</v>
      </c>
      <c r="D1156" s="116">
        <v>507.15</v>
      </c>
      <c r="E1156" s="116">
        <v>507.15</v>
      </c>
      <c r="F1156" s="116">
        <v>513.79999999999995</v>
      </c>
      <c r="G1156">
        <v>88294</v>
      </c>
      <c r="H1156" s="116"/>
      <c r="I1156" s="116"/>
      <c r="L1156" s="170">
        <v>45392</v>
      </c>
      <c r="M1156" s="116">
        <v>513.65</v>
      </c>
      <c r="N1156" s="116">
        <v>524.70000000000005</v>
      </c>
      <c r="O1156" s="116">
        <v>509</v>
      </c>
      <c r="P1156" s="116">
        <v>511.2</v>
      </c>
      <c r="Q1156" s="116">
        <v>513.65</v>
      </c>
      <c r="R1156">
        <v>729094</v>
      </c>
    </row>
    <row r="1157" spans="1:18" x14ac:dyDescent="0.25">
      <c r="A1157" s="170">
        <v>45394</v>
      </c>
      <c r="B1157" s="116">
        <v>513.79999999999995</v>
      </c>
      <c r="C1157" s="116">
        <v>502</v>
      </c>
      <c r="D1157" s="116">
        <v>499.8</v>
      </c>
      <c r="E1157" s="116">
        <v>513.79999999999995</v>
      </c>
      <c r="F1157" s="116">
        <v>502</v>
      </c>
      <c r="G1157">
        <v>106052</v>
      </c>
      <c r="H1157" s="116"/>
      <c r="I1157" s="116"/>
      <c r="L1157" s="170">
        <v>45394</v>
      </c>
      <c r="M1157" s="116">
        <v>501.9</v>
      </c>
      <c r="N1157" s="116">
        <v>513.6</v>
      </c>
      <c r="O1157" s="116">
        <v>498.65</v>
      </c>
      <c r="P1157" s="116">
        <v>513.6</v>
      </c>
      <c r="Q1157" s="116">
        <v>501.9</v>
      </c>
      <c r="R1157">
        <v>780072</v>
      </c>
    </row>
    <row r="1158" spans="1:18" x14ac:dyDescent="0.25">
      <c r="A1158" s="170">
        <v>45397</v>
      </c>
      <c r="B1158" s="116">
        <v>508</v>
      </c>
      <c r="C1158" s="116">
        <v>497.05</v>
      </c>
      <c r="D1158" s="116">
        <v>476.65</v>
      </c>
      <c r="E1158" s="116">
        <v>480.15</v>
      </c>
      <c r="F1158" s="116">
        <v>497.05</v>
      </c>
      <c r="G1158">
        <v>159762</v>
      </c>
      <c r="H1158" s="116"/>
      <c r="I1158" s="116"/>
      <c r="L1158" s="170">
        <v>45397</v>
      </c>
      <c r="M1158" s="116">
        <v>496.65</v>
      </c>
      <c r="N1158" s="116">
        <v>508.9</v>
      </c>
      <c r="O1158" s="116">
        <v>479.85</v>
      </c>
      <c r="P1158" s="116">
        <v>489.95</v>
      </c>
      <c r="Q1158" s="116">
        <v>496.65</v>
      </c>
      <c r="R1158">
        <v>1342361</v>
      </c>
    </row>
    <row r="1159" spans="1:18" x14ac:dyDescent="0.25">
      <c r="A1159" s="170">
        <v>45398</v>
      </c>
      <c r="B1159" s="116">
        <v>534.9</v>
      </c>
      <c r="C1159" s="116">
        <v>529.5</v>
      </c>
      <c r="D1159" s="116">
        <v>494.05</v>
      </c>
      <c r="E1159" s="116">
        <v>495.45</v>
      </c>
      <c r="F1159" s="116">
        <v>529.5</v>
      </c>
      <c r="G1159">
        <v>212145</v>
      </c>
      <c r="H1159" s="116"/>
      <c r="I1159" s="116"/>
      <c r="L1159" s="170">
        <v>45398</v>
      </c>
      <c r="M1159" s="116">
        <v>528.79999999999995</v>
      </c>
      <c r="N1159" s="116">
        <v>534.95000000000005</v>
      </c>
      <c r="O1159" s="116">
        <v>490.05</v>
      </c>
      <c r="P1159" s="116">
        <v>496</v>
      </c>
      <c r="Q1159" s="116">
        <v>528.79999999999995</v>
      </c>
      <c r="R1159">
        <v>3238207</v>
      </c>
    </row>
    <row r="1160" spans="1:18" x14ac:dyDescent="0.25">
      <c r="A1160" s="170">
        <v>45400</v>
      </c>
      <c r="B1160" s="116">
        <v>560</v>
      </c>
      <c r="C1160" s="116">
        <v>539.75</v>
      </c>
      <c r="D1160" s="116">
        <v>528.35</v>
      </c>
      <c r="E1160" s="116">
        <v>539.85</v>
      </c>
      <c r="F1160" s="116">
        <v>539.75</v>
      </c>
      <c r="G1160">
        <v>357048</v>
      </c>
      <c r="H1160" s="116"/>
      <c r="I1160" s="116"/>
      <c r="L1160" s="170">
        <v>45400</v>
      </c>
      <c r="M1160" s="116">
        <v>538.54999999999995</v>
      </c>
      <c r="N1160" s="116">
        <v>560</v>
      </c>
      <c r="O1160" s="116">
        <v>528.29999999999995</v>
      </c>
      <c r="P1160" s="116">
        <v>538.1</v>
      </c>
      <c r="Q1160" s="116">
        <v>538.54999999999995</v>
      </c>
      <c r="R1160">
        <v>2796359</v>
      </c>
    </row>
    <row r="1161" spans="1:18" x14ac:dyDescent="0.25">
      <c r="A1161" s="170">
        <v>45401</v>
      </c>
      <c r="B1161" s="116">
        <v>575</v>
      </c>
      <c r="C1161" s="116">
        <v>561.04999999999995</v>
      </c>
      <c r="D1161" s="116">
        <v>523</v>
      </c>
      <c r="E1161" s="116">
        <v>540.04999999999995</v>
      </c>
      <c r="F1161" s="116">
        <v>561.04999999999995</v>
      </c>
      <c r="G1161">
        <v>382930</v>
      </c>
      <c r="H1161" s="116"/>
      <c r="I1161" s="116"/>
      <c r="L1161" s="170">
        <v>45401</v>
      </c>
      <c r="M1161" s="116">
        <v>561.5</v>
      </c>
      <c r="N1161" s="116">
        <v>575</v>
      </c>
      <c r="O1161" s="116">
        <v>522.35</v>
      </c>
      <c r="P1161" s="116">
        <v>542.95000000000005</v>
      </c>
      <c r="Q1161" s="116">
        <v>561.5</v>
      </c>
      <c r="R1161">
        <v>3731839</v>
      </c>
    </row>
    <row r="1162" spans="1:18" x14ac:dyDescent="0.25">
      <c r="A1162" s="170">
        <v>45404</v>
      </c>
      <c r="B1162" s="116">
        <v>617.15</v>
      </c>
      <c r="C1162" s="116">
        <v>617.15</v>
      </c>
      <c r="D1162" s="116">
        <v>537.15</v>
      </c>
      <c r="E1162" s="116">
        <v>590.95000000000005</v>
      </c>
      <c r="F1162" s="116">
        <v>617.15</v>
      </c>
      <c r="G1162">
        <v>820132</v>
      </c>
      <c r="H1162" s="116"/>
      <c r="I1162" s="116"/>
      <c r="L1162" s="170">
        <v>45404</v>
      </c>
      <c r="M1162" s="116">
        <v>617.65</v>
      </c>
      <c r="N1162" s="116">
        <v>617.65</v>
      </c>
      <c r="O1162" s="116">
        <v>537.1</v>
      </c>
      <c r="P1162" s="116">
        <v>580</v>
      </c>
      <c r="Q1162" s="116">
        <v>617.65</v>
      </c>
      <c r="R1162">
        <v>13038071</v>
      </c>
    </row>
    <row r="1163" spans="1:18" x14ac:dyDescent="0.25">
      <c r="A1163" s="170">
        <v>45405</v>
      </c>
      <c r="B1163" s="116">
        <v>678.85</v>
      </c>
      <c r="C1163" s="116">
        <v>631.04999999999995</v>
      </c>
      <c r="D1163" s="116">
        <v>627.65</v>
      </c>
      <c r="E1163" s="116">
        <v>636.65</v>
      </c>
      <c r="F1163" s="116">
        <v>631.04999999999995</v>
      </c>
      <c r="G1163">
        <v>775353</v>
      </c>
      <c r="H1163" s="116"/>
      <c r="I1163" s="116"/>
      <c r="L1163" s="170">
        <v>45405</v>
      </c>
      <c r="M1163" s="116">
        <v>632</v>
      </c>
      <c r="N1163" s="116">
        <v>679.4</v>
      </c>
      <c r="O1163" s="116">
        <v>627</v>
      </c>
      <c r="P1163" s="116">
        <v>634</v>
      </c>
      <c r="Q1163" s="116">
        <v>632</v>
      </c>
      <c r="R1163">
        <v>12689724</v>
      </c>
    </row>
    <row r="1164" spans="1:18" x14ac:dyDescent="0.25">
      <c r="A1164" s="170">
        <v>45406</v>
      </c>
      <c r="B1164" s="116">
        <v>654.9</v>
      </c>
      <c r="C1164" s="116">
        <v>643.29999999999995</v>
      </c>
      <c r="D1164" s="116">
        <v>621.35</v>
      </c>
      <c r="E1164" s="116">
        <v>639.70000000000005</v>
      </c>
      <c r="F1164" s="116">
        <v>643.29999999999995</v>
      </c>
      <c r="G1164">
        <v>205462</v>
      </c>
      <c r="H1164" s="116"/>
      <c r="I1164" s="116"/>
      <c r="L1164" s="170">
        <v>45406</v>
      </c>
      <c r="M1164" s="116">
        <v>643.25</v>
      </c>
      <c r="N1164" s="116">
        <v>654.70000000000005</v>
      </c>
      <c r="O1164" s="116">
        <v>620.1</v>
      </c>
      <c r="P1164" s="116">
        <v>636.04999999999995</v>
      </c>
      <c r="Q1164" s="116">
        <v>643.25</v>
      </c>
      <c r="R1164">
        <v>3246825</v>
      </c>
    </row>
    <row r="1165" spans="1:18" x14ac:dyDescent="0.25">
      <c r="A1165" s="170">
        <v>45407</v>
      </c>
      <c r="B1165" s="116">
        <v>673.95</v>
      </c>
      <c r="C1165" s="116">
        <v>662.6</v>
      </c>
      <c r="D1165" s="116">
        <v>643.29999999999995</v>
      </c>
      <c r="E1165" s="116">
        <v>646.85</v>
      </c>
      <c r="F1165" s="116">
        <v>662.6</v>
      </c>
      <c r="G1165">
        <v>285900</v>
      </c>
      <c r="H1165" s="116"/>
      <c r="I1165" s="116"/>
      <c r="L1165" s="170">
        <v>45407</v>
      </c>
      <c r="M1165" s="116">
        <v>663.05</v>
      </c>
      <c r="N1165" s="116">
        <v>673.45</v>
      </c>
      <c r="O1165" s="116">
        <v>643.5</v>
      </c>
      <c r="P1165" s="116">
        <v>648</v>
      </c>
      <c r="Q1165" s="116">
        <v>663.05</v>
      </c>
      <c r="R1165">
        <v>2290249</v>
      </c>
    </row>
    <row r="1166" spans="1:18" x14ac:dyDescent="0.25">
      <c r="A1166" s="170">
        <v>45408</v>
      </c>
      <c r="B1166" s="116">
        <v>695.7</v>
      </c>
      <c r="C1166" s="116">
        <v>681.95</v>
      </c>
      <c r="D1166" s="116">
        <v>667</v>
      </c>
      <c r="E1166" s="116">
        <v>667.75</v>
      </c>
      <c r="F1166" s="116">
        <v>681.95</v>
      </c>
      <c r="G1166">
        <v>240306</v>
      </c>
      <c r="H1166" s="116"/>
      <c r="I1166" s="116"/>
      <c r="L1166" s="170">
        <v>45408</v>
      </c>
      <c r="M1166" s="116">
        <v>682.55</v>
      </c>
      <c r="N1166" s="116">
        <v>696.2</v>
      </c>
      <c r="O1166" s="116">
        <v>667</v>
      </c>
      <c r="P1166" s="116">
        <v>669.3</v>
      </c>
      <c r="Q1166" s="116">
        <v>682.55</v>
      </c>
      <c r="R1166">
        <v>4420718</v>
      </c>
    </row>
    <row r="1167" spans="1:18" x14ac:dyDescent="0.25">
      <c r="A1167" s="170">
        <v>45411</v>
      </c>
      <c r="B1167" s="116">
        <v>698.9</v>
      </c>
      <c r="C1167" s="116">
        <v>665.2</v>
      </c>
      <c r="D1167" s="116">
        <v>661.55</v>
      </c>
      <c r="E1167" s="116">
        <v>698.9</v>
      </c>
      <c r="F1167" s="116">
        <v>665.2</v>
      </c>
      <c r="G1167">
        <v>145885</v>
      </c>
      <c r="H1167" s="116"/>
      <c r="I1167" s="116"/>
      <c r="L1167" s="170">
        <v>45411</v>
      </c>
      <c r="M1167" s="116">
        <v>665.4</v>
      </c>
      <c r="N1167" s="116">
        <v>691.8</v>
      </c>
      <c r="O1167" s="116">
        <v>661.8</v>
      </c>
      <c r="P1167" s="116">
        <v>689.05</v>
      </c>
      <c r="Q1167" s="116">
        <v>665.4</v>
      </c>
      <c r="R1167">
        <v>1540824</v>
      </c>
    </row>
    <row r="1168" spans="1:18" x14ac:dyDescent="0.25">
      <c r="A1168" s="170">
        <v>45412</v>
      </c>
      <c r="B1168" s="116">
        <v>671</v>
      </c>
      <c r="C1168" s="116">
        <v>656.45</v>
      </c>
      <c r="D1168" s="116">
        <v>655</v>
      </c>
      <c r="E1168" s="116">
        <v>669.8</v>
      </c>
      <c r="F1168" s="116">
        <v>656.45</v>
      </c>
      <c r="G1168">
        <v>53423</v>
      </c>
      <c r="H1168" s="116"/>
      <c r="I1168" s="116"/>
      <c r="L1168" s="170">
        <v>45412</v>
      </c>
      <c r="M1168" s="116">
        <v>656.05</v>
      </c>
      <c r="N1168" s="116">
        <v>672</v>
      </c>
      <c r="O1168" s="116">
        <v>654.79999999999995</v>
      </c>
      <c r="P1168" s="116">
        <v>669.25</v>
      </c>
      <c r="Q1168" s="116">
        <v>656.05</v>
      </c>
      <c r="R1168">
        <v>898197</v>
      </c>
    </row>
    <row r="1169" spans="1:18" x14ac:dyDescent="0.25">
      <c r="A1169" s="170">
        <v>45414</v>
      </c>
      <c r="B1169" s="116">
        <v>669.4</v>
      </c>
      <c r="C1169" s="116">
        <v>648.15</v>
      </c>
      <c r="D1169" s="116">
        <v>645.4</v>
      </c>
      <c r="E1169" s="116">
        <v>667.95</v>
      </c>
      <c r="F1169" s="116">
        <v>648.15</v>
      </c>
      <c r="G1169">
        <v>124539</v>
      </c>
      <c r="H1169" s="116"/>
      <c r="I1169" s="116"/>
      <c r="L1169" s="170">
        <v>45414</v>
      </c>
      <c r="M1169" s="116">
        <v>648.45000000000005</v>
      </c>
      <c r="N1169" s="116">
        <v>668.9</v>
      </c>
      <c r="O1169" s="116">
        <v>646</v>
      </c>
      <c r="P1169" s="116">
        <v>665.2</v>
      </c>
      <c r="Q1169" s="116">
        <v>648.45000000000005</v>
      </c>
      <c r="R1169">
        <v>624838</v>
      </c>
    </row>
    <row r="1170" spans="1:18" x14ac:dyDescent="0.25">
      <c r="A1170" s="170">
        <v>45415</v>
      </c>
      <c r="B1170" s="116">
        <v>680.55</v>
      </c>
      <c r="C1170" s="116">
        <v>680.55</v>
      </c>
      <c r="D1170" s="116">
        <v>648</v>
      </c>
      <c r="E1170" s="116">
        <v>651.15</v>
      </c>
      <c r="F1170" s="116">
        <v>680.55</v>
      </c>
      <c r="G1170">
        <v>68390</v>
      </c>
      <c r="H1170" s="116"/>
      <c r="I1170" s="116"/>
      <c r="L1170" s="170">
        <v>45415</v>
      </c>
      <c r="M1170" s="116">
        <v>680.85</v>
      </c>
      <c r="N1170" s="116">
        <v>680.85</v>
      </c>
      <c r="O1170" s="116">
        <v>647.9</v>
      </c>
      <c r="P1170" s="116">
        <v>653.45000000000005</v>
      </c>
      <c r="Q1170" s="116">
        <v>680.85</v>
      </c>
      <c r="R1170">
        <v>1721396</v>
      </c>
    </row>
    <row r="1171" spans="1:18" x14ac:dyDescent="0.25">
      <c r="A1171" s="170">
        <v>45418</v>
      </c>
      <c r="B1171" s="116">
        <v>714.55</v>
      </c>
      <c r="C1171" s="116">
        <v>714.55</v>
      </c>
      <c r="D1171" s="116">
        <v>685</v>
      </c>
      <c r="E1171" s="116">
        <v>685</v>
      </c>
      <c r="F1171" s="116">
        <v>714.55</v>
      </c>
      <c r="G1171">
        <v>352519</v>
      </c>
      <c r="H1171" s="116"/>
      <c r="I1171" s="116"/>
      <c r="L1171" s="170">
        <v>45418</v>
      </c>
      <c r="M1171" s="116">
        <v>714.85</v>
      </c>
      <c r="N1171" s="116">
        <v>714.85</v>
      </c>
      <c r="O1171" s="116">
        <v>690</v>
      </c>
      <c r="P1171" s="116">
        <v>691</v>
      </c>
      <c r="Q1171" s="116">
        <v>714.85</v>
      </c>
      <c r="R1171">
        <v>4962869</v>
      </c>
    </row>
    <row r="1172" spans="1:18" x14ac:dyDescent="0.25">
      <c r="A1172" s="170">
        <v>45419</v>
      </c>
      <c r="B1172" s="116">
        <v>746.9</v>
      </c>
      <c r="C1172" s="116">
        <v>705.45</v>
      </c>
      <c r="D1172" s="116">
        <v>691</v>
      </c>
      <c r="E1172" s="116">
        <v>729</v>
      </c>
      <c r="F1172" s="116">
        <v>705.45</v>
      </c>
      <c r="G1172">
        <v>225490</v>
      </c>
      <c r="H1172" s="116"/>
      <c r="I1172" s="116"/>
      <c r="L1172" s="170">
        <v>45419</v>
      </c>
      <c r="M1172" s="116">
        <v>705.85</v>
      </c>
      <c r="N1172" s="116">
        <v>746.8</v>
      </c>
      <c r="O1172" s="116">
        <v>690.2</v>
      </c>
      <c r="P1172" s="116">
        <v>730</v>
      </c>
      <c r="Q1172" s="116">
        <v>705.85</v>
      </c>
      <c r="R1172">
        <v>3479930</v>
      </c>
    </row>
    <row r="1173" spans="1:18" x14ac:dyDescent="0.25">
      <c r="A1173" s="170">
        <v>45420</v>
      </c>
      <c r="B1173" s="116">
        <v>740.7</v>
      </c>
      <c r="C1173" s="116">
        <v>740.4</v>
      </c>
      <c r="D1173" s="116">
        <v>695</v>
      </c>
      <c r="E1173" s="116">
        <v>706</v>
      </c>
      <c r="F1173" s="116">
        <v>740.4</v>
      </c>
      <c r="G1173">
        <v>169220</v>
      </c>
      <c r="H1173" s="116"/>
      <c r="I1173" s="116"/>
      <c r="L1173" s="170">
        <v>45420</v>
      </c>
      <c r="M1173" s="116">
        <v>740.6</v>
      </c>
      <c r="N1173" s="116">
        <v>741.1</v>
      </c>
      <c r="O1173" s="116">
        <v>694.35</v>
      </c>
      <c r="P1173" s="116">
        <v>705.95</v>
      </c>
      <c r="Q1173" s="116">
        <v>740.6</v>
      </c>
      <c r="R1173">
        <v>2615362</v>
      </c>
    </row>
    <row r="1174" spans="1:18" x14ac:dyDescent="0.25">
      <c r="A1174" s="170">
        <v>45421</v>
      </c>
      <c r="B1174" s="116">
        <v>757</v>
      </c>
      <c r="C1174" s="116">
        <v>703.4</v>
      </c>
      <c r="D1174" s="116">
        <v>703.4</v>
      </c>
      <c r="E1174" s="116">
        <v>746.15</v>
      </c>
      <c r="F1174" s="116">
        <v>703.4</v>
      </c>
      <c r="G1174">
        <v>137345</v>
      </c>
      <c r="H1174" s="116"/>
      <c r="I1174" s="116"/>
      <c r="L1174" s="170">
        <v>45421</v>
      </c>
      <c r="M1174" s="116">
        <v>703.6</v>
      </c>
      <c r="N1174" s="116">
        <v>757.45</v>
      </c>
      <c r="O1174" s="116">
        <v>703.6</v>
      </c>
      <c r="P1174" s="116">
        <v>748</v>
      </c>
      <c r="Q1174" s="116">
        <v>703.6</v>
      </c>
      <c r="R1174">
        <v>2203620</v>
      </c>
    </row>
    <row r="1175" spans="1:18" x14ac:dyDescent="0.25">
      <c r="A1175" s="170">
        <v>45422</v>
      </c>
      <c r="B1175" s="116">
        <v>716</v>
      </c>
      <c r="C1175" s="116">
        <v>707.95</v>
      </c>
      <c r="D1175" s="116">
        <v>671</v>
      </c>
      <c r="E1175" s="116">
        <v>693</v>
      </c>
      <c r="F1175" s="116">
        <v>707.95</v>
      </c>
      <c r="G1175">
        <v>122885</v>
      </c>
      <c r="H1175" s="116"/>
      <c r="I1175" s="116"/>
      <c r="L1175" s="170">
        <v>45422</v>
      </c>
      <c r="M1175" s="116">
        <v>708.5</v>
      </c>
      <c r="N1175" s="116">
        <v>716</v>
      </c>
      <c r="O1175" s="116">
        <v>670.65</v>
      </c>
      <c r="P1175" s="116">
        <v>695</v>
      </c>
      <c r="Q1175" s="116">
        <v>708.5</v>
      </c>
      <c r="R1175">
        <v>1974985</v>
      </c>
    </row>
    <row r="1176" spans="1:18" x14ac:dyDescent="0.25">
      <c r="A1176" s="170">
        <v>45425</v>
      </c>
      <c r="B1176" s="116">
        <v>705.45</v>
      </c>
      <c r="C1176" s="116">
        <v>689.4</v>
      </c>
      <c r="D1176" s="116">
        <v>672.6</v>
      </c>
      <c r="E1176" s="116">
        <v>703.8</v>
      </c>
      <c r="F1176" s="116">
        <v>689.4</v>
      </c>
      <c r="G1176">
        <v>130273</v>
      </c>
      <c r="H1176" s="116"/>
      <c r="I1176" s="116"/>
      <c r="L1176" s="170">
        <v>45425</v>
      </c>
      <c r="M1176" s="116">
        <v>688.95</v>
      </c>
      <c r="N1176" s="116">
        <v>708.45</v>
      </c>
      <c r="O1176" s="116">
        <v>673.1</v>
      </c>
      <c r="P1176" s="116">
        <v>703.05</v>
      </c>
      <c r="Q1176" s="116">
        <v>688.95</v>
      </c>
      <c r="R1176">
        <v>1942167</v>
      </c>
    </row>
    <row r="1177" spans="1:18" x14ac:dyDescent="0.25">
      <c r="A1177" s="170">
        <v>45426</v>
      </c>
      <c r="B1177" s="116">
        <v>723.85</v>
      </c>
      <c r="C1177" s="116">
        <v>723.85</v>
      </c>
      <c r="D1177" s="116">
        <v>691.1</v>
      </c>
      <c r="E1177" s="116">
        <v>694.85</v>
      </c>
      <c r="F1177" s="116">
        <v>723.85</v>
      </c>
      <c r="G1177">
        <v>190179</v>
      </c>
      <c r="H1177" s="116"/>
      <c r="I1177" s="116"/>
      <c r="L1177" s="170">
        <v>45426</v>
      </c>
      <c r="M1177" s="116">
        <v>723.35</v>
      </c>
      <c r="N1177" s="116">
        <v>723.35</v>
      </c>
      <c r="O1177" s="116">
        <v>691.45</v>
      </c>
      <c r="P1177" s="116">
        <v>696</v>
      </c>
      <c r="Q1177" s="116">
        <v>723.35</v>
      </c>
      <c r="R1177">
        <v>1203041</v>
      </c>
    </row>
    <row r="1178" spans="1:18" x14ac:dyDescent="0.25">
      <c r="A1178" s="170">
        <v>45427</v>
      </c>
      <c r="B1178" s="116">
        <v>760</v>
      </c>
      <c r="C1178" s="116">
        <v>759.95</v>
      </c>
      <c r="D1178" s="116">
        <v>731.05</v>
      </c>
      <c r="E1178" s="116">
        <v>736.95</v>
      </c>
      <c r="F1178" s="116">
        <v>759.95</v>
      </c>
      <c r="G1178">
        <v>805286</v>
      </c>
      <c r="H1178" s="116"/>
      <c r="I1178" s="116"/>
      <c r="L1178" s="170">
        <v>45427</v>
      </c>
      <c r="M1178" s="116">
        <v>759.5</v>
      </c>
      <c r="N1178" s="116">
        <v>759.5</v>
      </c>
      <c r="O1178" s="116">
        <v>731.3</v>
      </c>
      <c r="P1178" s="116">
        <v>734.4</v>
      </c>
      <c r="Q1178" s="116">
        <v>759.5</v>
      </c>
      <c r="R1178">
        <v>4096194</v>
      </c>
    </row>
    <row r="1179" spans="1:18" x14ac:dyDescent="0.25">
      <c r="A1179" s="170">
        <v>45428</v>
      </c>
      <c r="B1179" s="116">
        <v>797.7</v>
      </c>
      <c r="C1179" s="116">
        <v>779.1</v>
      </c>
      <c r="D1179" s="116">
        <v>767.5</v>
      </c>
      <c r="E1179" s="116">
        <v>772.5</v>
      </c>
      <c r="F1179" s="116">
        <v>779.1</v>
      </c>
      <c r="G1179">
        <v>363403</v>
      </c>
      <c r="H1179" s="116"/>
      <c r="I1179" s="116"/>
      <c r="L1179" s="170">
        <v>45428</v>
      </c>
      <c r="M1179" s="116">
        <v>779.65</v>
      </c>
      <c r="N1179" s="116">
        <v>797.45</v>
      </c>
      <c r="O1179" s="116">
        <v>767.45</v>
      </c>
      <c r="P1179" s="116">
        <v>774</v>
      </c>
      <c r="Q1179" s="116">
        <v>779.65</v>
      </c>
      <c r="R1179">
        <v>3179599</v>
      </c>
    </row>
    <row r="1180" spans="1:18" x14ac:dyDescent="0.25">
      <c r="A1180" s="170">
        <v>45429</v>
      </c>
      <c r="B1180" s="116">
        <v>816.95</v>
      </c>
      <c r="C1180" s="116">
        <v>805.15</v>
      </c>
      <c r="D1180" s="116">
        <v>755.15</v>
      </c>
      <c r="E1180" s="116">
        <v>792.25</v>
      </c>
      <c r="F1180" s="116">
        <v>805.15</v>
      </c>
      <c r="G1180">
        <v>130861</v>
      </c>
      <c r="H1180" s="116"/>
      <c r="I1180" s="116"/>
      <c r="L1180" s="170">
        <v>45429</v>
      </c>
      <c r="M1180" s="116">
        <v>804.1</v>
      </c>
      <c r="N1180" s="116">
        <v>816.9</v>
      </c>
      <c r="O1180" s="116">
        <v>754.2</v>
      </c>
      <c r="P1180" s="116">
        <v>784.85</v>
      </c>
      <c r="Q1180" s="116">
        <v>804.1</v>
      </c>
      <c r="R1180">
        <v>2100896</v>
      </c>
    </row>
    <row r="1181" spans="1:18" x14ac:dyDescent="0.25">
      <c r="A1181" s="170">
        <v>45430</v>
      </c>
      <c r="B1181" s="116">
        <v>823</v>
      </c>
      <c r="C1181" s="116">
        <v>820.35</v>
      </c>
      <c r="D1181" s="116">
        <v>808.05</v>
      </c>
      <c r="E1181" s="116">
        <v>818</v>
      </c>
      <c r="F1181" s="116">
        <v>820.35</v>
      </c>
      <c r="G1181">
        <v>67542</v>
      </c>
      <c r="H1181" s="116"/>
      <c r="I1181" s="116"/>
      <c r="L1181" s="170">
        <v>45430</v>
      </c>
      <c r="M1181" s="116">
        <v>820.65</v>
      </c>
      <c r="N1181" s="116">
        <v>823</v>
      </c>
      <c r="O1181" s="116">
        <v>808</v>
      </c>
      <c r="P1181" s="116">
        <v>818</v>
      </c>
      <c r="Q1181" s="116">
        <v>820.65</v>
      </c>
      <c r="R1181">
        <v>355297</v>
      </c>
    </row>
    <row r="1182" spans="1:18" x14ac:dyDescent="0.25">
      <c r="A1182" s="170">
        <v>45433</v>
      </c>
      <c r="B1182" s="116">
        <v>828</v>
      </c>
      <c r="C1182" s="116">
        <v>794.4</v>
      </c>
      <c r="D1182" s="116">
        <v>790.55</v>
      </c>
      <c r="E1182" s="116">
        <v>825</v>
      </c>
      <c r="F1182" s="116">
        <v>794.4</v>
      </c>
      <c r="G1182">
        <v>91917</v>
      </c>
      <c r="H1182" s="116"/>
      <c r="I1182" s="116"/>
      <c r="L1182" s="170">
        <v>45433</v>
      </c>
      <c r="M1182" s="116">
        <v>793.6</v>
      </c>
      <c r="N1182" s="116">
        <v>828</v>
      </c>
      <c r="O1182" s="116">
        <v>790.1</v>
      </c>
      <c r="P1182" s="116">
        <v>825</v>
      </c>
      <c r="Q1182" s="116">
        <v>793.6</v>
      </c>
      <c r="R1182">
        <v>1429414</v>
      </c>
    </row>
    <row r="1183" spans="1:18" x14ac:dyDescent="0.25">
      <c r="A1183" s="170">
        <v>45434</v>
      </c>
      <c r="B1183" s="116">
        <v>804.4</v>
      </c>
      <c r="C1183" s="116">
        <v>783.25</v>
      </c>
      <c r="D1183" s="116">
        <v>770</v>
      </c>
      <c r="E1183" s="116">
        <v>800.9</v>
      </c>
      <c r="F1183" s="116">
        <v>783.25</v>
      </c>
      <c r="G1183">
        <v>153453</v>
      </c>
      <c r="H1183" s="116"/>
      <c r="I1183" s="116"/>
      <c r="L1183" s="170">
        <v>45434</v>
      </c>
      <c r="M1183" s="116">
        <v>786.35</v>
      </c>
      <c r="N1183" s="116">
        <v>804</v>
      </c>
      <c r="O1183" s="116">
        <v>771.1</v>
      </c>
      <c r="P1183" s="116">
        <v>800.05</v>
      </c>
      <c r="Q1183" s="116">
        <v>786.35</v>
      </c>
      <c r="R1183">
        <v>1039161</v>
      </c>
    </row>
    <row r="1184" spans="1:18" x14ac:dyDescent="0.25">
      <c r="A1184" s="170">
        <v>45435</v>
      </c>
      <c r="B1184" s="116">
        <v>795.85</v>
      </c>
      <c r="C1184" s="116">
        <v>767.9</v>
      </c>
      <c r="D1184" s="116">
        <v>744.1</v>
      </c>
      <c r="E1184" s="116">
        <v>795.85</v>
      </c>
      <c r="F1184" s="116">
        <v>767.9</v>
      </c>
      <c r="G1184">
        <v>205341</v>
      </c>
      <c r="H1184" s="116"/>
      <c r="I1184" s="116"/>
      <c r="L1184" s="170">
        <v>45435</v>
      </c>
      <c r="M1184" s="116">
        <v>768.05</v>
      </c>
      <c r="N1184" s="116">
        <v>795.9</v>
      </c>
      <c r="O1184" s="116">
        <v>747.05</v>
      </c>
      <c r="P1184" s="116">
        <v>790</v>
      </c>
      <c r="Q1184" s="116">
        <v>768.05</v>
      </c>
      <c r="R1184">
        <v>2419529</v>
      </c>
    </row>
    <row r="1185" spans="1:18" x14ac:dyDescent="0.25">
      <c r="A1185" s="170">
        <v>45436</v>
      </c>
      <c r="B1185" s="116">
        <v>796.35</v>
      </c>
      <c r="C1185" s="116">
        <v>758.05</v>
      </c>
      <c r="D1185" s="116">
        <v>749.7</v>
      </c>
      <c r="E1185" s="116">
        <v>768</v>
      </c>
      <c r="F1185" s="116">
        <v>758.05</v>
      </c>
      <c r="G1185">
        <v>58415</v>
      </c>
      <c r="H1185" s="116"/>
      <c r="I1185" s="116"/>
      <c r="L1185" s="170">
        <v>45436</v>
      </c>
      <c r="M1185" s="116">
        <v>757.4</v>
      </c>
      <c r="N1185" s="116">
        <v>796.8</v>
      </c>
      <c r="O1185" s="116">
        <v>749</v>
      </c>
      <c r="P1185" s="116">
        <v>770</v>
      </c>
      <c r="Q1185" s="116">
        <v>757.4</v>
      </c>
      <c r="R1185">
        <v>926754</v>
      </c>
    </row>
    <row r="1186" spans="1:18" x14ac:dyDescent="0.25">
      <c r="A1186" s="170">
        <v>45439</v>
      </c>
      <c r="B1186" s="116">
        <v>778.35</v>
      </c>
      <c r="C1186" s="116">
        <v>756.8</v>
      </c>
      <c r="D1186" s="116">
        <v>746.45</v>
      </c>
      <c r="E1186" s="116">
        <v>761.1</v>
      </c>
      <c r="F1186" s="116">
        <v>756.8</v>
      </c>
      <c r="G1186">
        <v>103482</v>
      </c>
      <c r="H1186" s="116"/>
      <c r="I1186" s="116"/>
      <c r="L1186" s="170">
        <v>45439</v>
      </c>
      <c r="M1186" s="116">
        <v>757.2</v>
      </c>
      <c r="N1186" s="116">
        <v>778</v>
      </c>
      <c r="O1186" s="116">
        <v>747.7</v>
      </c>
      <c r="P1186" s="116">
        <v>762.85</v>
      </c>
      <c r="Q1186" s="116">
        <v>757.2</v>
      </c>
      <c r="R1186">
        <v>605379</v>
      </c>
    </row>
    <row r="1187" spans="1:18" x14ac:dyDescent="0.25">
      <c r="A1187" s="170">
        <v>45440</v>
      </c>
      <c r="B1187" s="116">
        <v>788.05</v>
      </c>
      <c r="C1187" s="116">
        <v>752.8</v>
      </c>
      <c r="D1187" s="116">
        <v>750.55</v>
      </c>
      <c r="E1187" s="116">
        <v>757.05</v>
      </c>
      <c r="F1187" s="116">
        <v>752.8</v>
      </c>
      <c r="G1187">
        <v>61322</v>
      </c>
      <c r="H1187" s="116"/>
      <c r="I1187" s="116"/>
      <c r="L1187" s="170">
        <v>45440</v>
      </c>
      <c r="M1187" s="116">
        <v>752.45</v>
      </c>
      <c r="N1187" s="116">
        <v>787.9</v>
      </c>
      <c r="O1187" s="116">
        <v>750</v>
      </c>
      <c r="P1187" s="116">
        <v>760.05</v>
      </c>
      <c r="Q1187" s="116">
        <v>752.45</v>
      </c>
      <c r="R1187">
        <v>1213744</v>
      </c>
    </row>
    <row r="1188" spans="1:18" x14ac:dyDescent="0.25">
      <c r="A1188" s="170">
        <v>45441</v>
      </c>
      <c r="B1188" s="116">
        <v>763.1</v>
      </c>
      <c r="C1188" s="116">
        <v>723.15</v>
      </c>
      <c r="D1188" s="116">
        <v>721</v>
      </c>
      <c r="E1188" s="116">
        <v>752.45</v>
      </c>
      <c r="F1188" s="116">
        <v>723.15</v>
      </c>
      <c r="G1188">
        <v>212965</v>
      </c>
      <c r="H1188" s="116"/>
      <c r="I1188" s="116"/>
      <c r="L1188" s="170">
        <v>45441</v>
      </c>
      <c r="M1188" s="116">
        <v>723.8</v>
      </c>
      <c r="N1188" s="116">
        <v>762.45</v>
      </c>
      <c r="O1188" s="116">
        <v>721</v>
      </c>
      <c r="P1188" s="116">
        <v>747.35</v>
      </c>
      <c r="Q1188" s="116">
        <v>723.8</v>
      </c>
      <c r="R1188">
        <v>1232939</v>
      </c>
    </row>
    <row r="1189" spans="1:18" x14ac:dyDescent="0.25">
      <c r="A1189" s="170">
        <v>45442</v>
      </c>
      <c r="B1189" s="116">
        <v>733</v>
      </c>
      <c r="C1189" s="116">
        <v>706.65</v>
      </c>
      <c r="D1189" s="116">
        <v>702.05</v>
      </c>
      <c r="E1189" s="116">
        <v>732.9</v>
      </c>
      <c r="F1189" s="116">
        <v>706.65</v>
      </c>
      <c r="G1189">
        <v>65344</v>
      </c>
      <c r="H1189" s="116"/>
      <c r="I1189" s="116"/>
      <c r="L1189" s="170">
        <v>45442</v>
      </c>
      <c r="M1189" s="116">
        <v>706.35</v>
      </c>
      <c r="N1189" s="116">
        <v>733.6</v>
      </c>
      <c r="O1189" s="116">
        <v>701.75</v>
      </c>
      <c r="P1189" s="116">
        <v>729.65</v>
      </c>
      <c r="Q1189" s="116">
        <v>706.35</v>
      </c>
      <c r="R1189">
        <v>1374748</v>
      </c>
    </row>
    <row r="1190" spans="1:18" x14ac:dyDescent="0.25">
      <c r="A1190" s="170">
        <v>45443</v>
      </c>
      <c r="B1190" s="116">
        <v>722.95</v>
      </c>
      <c r="C1190" s="116">
        <v>704.05</v>
      </c>
      <c r="D1190" s="116">
        <v>692.05</v>
      </c>
      <c r="E1190" s="116">
        <v>710</v>
      </c>
      <c r="F1190" s="116">
        <v>704.05</v>
      </c>
      <c r="G1190">
        <v>164264</v>
      </c>
      <c r="H1190" s="116"/>
      <c r="I1190" s="116"/>
      <c r="L1190" s="170">
        <v>45443</v>
      </c>
      <c r="M1190" s="116">
        <v>701.85</v>
      </c>
      <c r="N1190" s="116">
        <v>722.95</v>
      </c>
      <c r="O1190" s="116">
        <v>692</v>
      </c>
      <c r="P1190" s="116">
        <v>711.95</v>
      </c>
      <c r="Q1190" s="116">
        <v>701.85</v>
      </c>
      <c r="R1190">
        <v>1532046</v>
      </c>
    </row>
    <row r="1191" spans="1:18" x14ac:dyDescent="0.25">
      <c r="A1191" s="170">
        <v>45446</v>
      </c>
      <c r="B1191" s="116">
        <v>739.25</v>
      </c>
      <c r="C1191" s="116">
        <v>739.25</v>
      </c>
      <c r="D1191" s="116">
        <v>732</v>
      </c>
      <c r="E1191" s="116">
        <v>739</v>
      </c>
      <c r="F1191" s="116">
        <v>739.25</v>
      </c>
      <c r="G1191">
        <v>192946</v>
      </c>
      <c r="H1191" s="116"/>
      <c r="I1191" s="116"/>
      <c r="L1191" s="170">
        <v>45446</v>
      </c>
      <c r="M1191" s="116">
        <v>736.9</v>
      </c>
      <c r="N1191" s="116">
        <v>736.9</v>
      </c>
      <c r="O1191" s="116">
        <v>730</v>
      </c>
      <c r="P1191" s="116">
        <v>736.9</v>
      </c>
      <c r="Q1191" s="116">
        <v>736.9</v>
      </c>
      <c r="R1191">
        <v>376496</v>
      </c>
    </row>
    <row r="1192" spans="1:18" x14ac:dyDescent="0.25">
      <c r="A1192" s="170">
        <v>45447</v>
      </c>
      <c r="B1192" s="116">
        <v>739.95</v>
      </c>
      <c r="C1192" s="116">
        <v>702.3</v>
      </c>
      <c r="D1192" s="116">
        <v>702.3</v>
      </c>
      <c r="E1192" s="116">
        <v>739.95</v>
      </c>
      <c r="F1192" s="116">
        <v>702.3</v>
      </c>
      <c r="G1192">
        <v>299839</v>
      </c>
      <c r="H1192" s="116"/>
      <c r="I1192" s="116"/>
      <c r="L1192" s="170">
        <v>45447</v>
      </c>
      <c r="M1192" s="116">
        <v>700.05</v>
      </c>
      <c r="N1192" s="116">
        <v>735</v>
      </c>
      <c r="O1192" s="116">
        <v>700.05</v>
      </c>
      <c r="P1192" s="116">
        <v>735</v>
      </c>
      <c r="Q1192" s="116">
        <v>700.05</v>
      </c>
      <c r="R1192">
        <v>2603768</v>
      </c>
    </row>
    <row r="1193" spans="1:18" x14ac:dyDescent="0.25">
      <c r="A1193" s="170">
        <v>45448</v>
      </c>
      <c r="B1193" s="116">
        <v>667.2</v>
      </c>
      <c r="C1193" s="116">
        <v>667.2</v>
      </c>
      <c r="D1193" s="116">
        <v>667.2</v>
      </c>
      <c r="E1193" s="116">
        <v>667.2</v>
      </c>
      <c r="F1193" s="116">
        <v>667.2</v>
      </c>
      <c r="G1193">
        <v>61033</v>
      </c>
      <c r="H1193" s="116"/>
      <c r="I1193" s="116"/>
      <c r="L1193" s="170">
        <v>45448</v>
      </c>
      <c r="M1193" s="116">
        <v>665.05</v>
      </c>
      <c r="N1193" s="116">
        <v>665.05</v>
      </c>
      <c r="O1193" s="116">
        <v>665.05</v>
      </c>
      <c r="P1193" s="116">
        <v>665.05</v>
      </c>
      <c r="Q1193" s="116">
        <v>665.05</v>
      </c>
      <c r="R1193">
        <v>966302</v>
      </c>
    </row>
    <row r="1194" spans="1:18" x14ac:dyDescent="0.25">
      <c r="A1194" s="170">
        <v>45449</v>
      </c>
      <c r="B1194" s="116">
        <v>700.55</v>
      </c>
      <c r="C1194" s="116">
        <v>696.75</v>
      </c>
      <c r="D1194" s="116">
        <v>660.15</v>
      </c>
      <c r="E1194" s="116">
        <v>670.15</v>
      </c>
      <c r="F1194" s="116">
        <v>696.75</v>
      </c>
      <c r="G1194">
        <v>528247</v>
      </c>
      <c r="H1194" s="116"/>
      <c r="I1194" s="116"/>
      <c r="L1194" s="170">
        <v>45449</v>
      </c>
      <c r="M1194" s="116">
        <v>697.5</v>
      </c>
      <c r="N1194" s="116">
        <v>698.3</v>
      </c>
      <c r="O1194" s="116">
        <v>660</v>
      </c>
      <c r="P1194" s="116">
        <v>680</v>
      </c>
      <c r="Q1194" s="116">
        <v>697.5</v>
      </c>
      <c r="R1194">
        <v>4661025</v>
      </c>
    </row>
    <row r="1195" spans="1:18" x14ac:dyDescent="0.25">
      <c r="A1195" s="170">
        <v>45450</v>
      </c>
      <c r="B1195" s="116">
        <v>730</v>
      </c>
      <c r="C1195" s="116">
        <v>722.5</v>
      </c>
      <c r="D1195" s="116">
        <v>695.15</v>
      </c>
      <c r="E1195" s="116">
        <v>701.3</v>
      </c>
      <c r="F1195" s="116">
        <v>722.5</v>
      </c>
      <c r="G1195">
        <v>117952</v>
      </c>
      <c r="H1195" s="116"/>
      <c r="I1195" s="116"/>
      <c r="L1195" s="170">
        <v>45450</v>
      </c>
      <c r="M1195" s="116">
        <v>721.75</v>
      </c>
      <c r="N1195" s="116">
        <v>730</v>
      </c>
      <c r="O1195" s="116">
        <v>695.1</v>
      </c>
      <c r="P1195" s="116">
        <v>700</v>
      </c>
      <c r="Q1195" s="116">
        <v>721.75</v>
      </c>
      <c r="R1195">
        <v>1671276</v>
      </c>
    </row>
    <row r="1196" spans="1:18" x14ac:dyDescent="0.25">
      <c r="A1196" s="170">
        <v>45453</v>
      </c>
      <c r="B1196" s="116">
        <v>758.6</v>
      </c>
      <c r="C1196" s="116">
        <v>758.6</v>
      </c>
      <c r="D1196" s="116">
        <v>732</v>
      </c>
      <c r="E1196" s="116">
        <v>732</v>
      </c>
      <c r="F1196" s="116">
        <v>758.6</v>
      </c>
      <c r="G1196">
        <v>215986</v>
      </c>
      <c r="H1196" s="116"/>
      <c r="I1196" s="116"/>
      <c r="L1196" s="170">
        <v>45453</v>
      </c>
      <c r="M1196" s="116">
        <v>757.8</v>
      </c>
      <c r="N1196" s="116">
        <v>757.8</v>
      </c>
      <c r="O1196" s="116">
        <v>732.3</v>
      </c>
      <c r="P1196" s="116">
        <v>733</v>
      </c>
      <c r="Q1196" s="116">
        <v>757.8</v>
      </c>
      <c r="R1196">
        <v>1007475</v>
      </c>
    </row>
    <row r="1197" spans="1:18" x14ac:dyDescent="0.25">
      <c r="A1197" s="170">
        <v>45454</v>
      </c>
      <c r="B1197" s="116">
        <v>796.5</v>
      </c>
      <c r="C1197" s="116">
        <v>796.5</v>
      </c>
      <c r="D1197" s="116">
        <v>761.45</v>
      </c>
      <c r="E1197" s="116">
        <v>761.45</v>
      </c>
      <c r="F1197" s="116">
        <v>796.5</v>
      </c>
      <c r="G1197">
        <v>542156</v>
      </c>
      <c r="H1197" s="116"/>
      <c r="I1197" s="116"/>
      <c r="L1197" s="170">
        <v>45454</v>
      </c>
      <c r="M1197" s="116">
        <v>795.65</v>
      </c>
      <c r="N1197" s="116">
        <v>795.65</v>
      </c>
      <c r="O1197" s="116">
        <v>765</v>
      </c>
      <c r="P1197" s="116">
        <v>765</v>
      </c>
      <c r="Q1197" s="116">
        <v>795.65</v>
      </c>
      <c r="R1197">
        <v>2695297</v>
      </c>
    </row>
    <row r="1198" spans="1:18" x14ac:dyDescent="0.25">
      <c r="A1198" s="170">
        <v>45455</v>
      </c>
      <c r="B1198" s="116">
        <v>811.1</v>
      </c>
      <c r="C1198" s="116">
        <v>765.8</v>
      </c>
      <c r="D1198" s="116">
        <v>761.35</v>
      </c>
      <c r="E1198" s="116">
        <v>803.75</v>
      </c>
      <c r="F1198" s="116">
        <v>765.8</v>
      </c>
      <c r="G1198">
        <v>247719</v>
      </c>
      <c r="H1198" s="116"/>
      <c r="I1198" s="116"/>
      <c r="L1198" s="170">
        <v>45455</v>
      </c>
      <c r="M1198" s="116">
        <v>766.15</v>
      </c>
      <c r="N1198" s="116">
        <v>810.8</v>
      </c>
      <c r="O1198" s="116">
        <v>762.3</v>
      </c>
      <c r="P1198" s="116">
        <v>806</v>
      </c>
      <c r="Q1198" s="116">
        <v>766.15</v>
      </c>
      <c r="R1198">
        <v>1518922</v>
      </c>
    </row>
    <row r="1199" spans="1:18" x14ac:dyDescent="0.25">
      <c r="A1199" s="170">
        <v>45456</v>
      </c>
      <c r="B1199" s="116">
        <v>780.75</v>
      </c>
      <c r="C1199" s="116">
        <v>755.8</v>
      </c>
      <c r="D1199" s="116">
        <v>751.5</v>
      </c>
      <c r="E1199" s="116">
        <v>777.4</v>
      </c>
      <c r="F1199" s="116">
        <v>755.8</v>
      </c>
      <c r="G1199">
        <v>45872</v>
      </c>
      <c r="H1199" s="116"/>
      <c r="I1199" s="116"/>
      <c r="L1199" s="170">
        <v>45456</v>
      </c>
      <c r="M1199" s="116">
        <v>755.05</v>
      </c>
      <c r="N1199" s="116">
        <v>780</v>
      </c>
      <c r="O1199" s="116">
        <v>750</v>
      </c>
      <c r="P1199" s="116">
        <v>774</v>
      </c>
      <c r="Q1199" s="116">
        <v>755.05</v>
      </c>
      <c r="R1199">
        <v>688390</v>
      </c>
    </row>
    <row r="1200" spans="1:18" x14ac:dyDescent="0.25">
      <c r="A1200" s="170">
        <v>45457</v>
      </c>
      <c r="B1200" s="116">
        <v>770.3</v>
      </c>
      <c r="C1200" s="116">
        <v>751.35</v>
      </c>
      <c r="D1200" s="116">
        <v>748</v>
      </c>
      <c r="E1200" s="116">
        <v>760.7</v>
      </c>
      <c r="F1200" s="116">
        <v>751.35</v>
      </c>
      <c r="G1200">
        <v>131743</v>
      </c>
      <c r="H1200" s="116"/>
      <c r="I1200" s="116"/>
      <c r="L1200" s="170">
        <v>45457</v>
      </c>
      <c r="M1200" s="116">
        <v>751.6</v>
      </c>
      <c r="N1200" s="116">
        <v>769.8</v>
      </c>
      <c r="O1200" s="116">
        <v>748</v>
      </c>
      <c r="P1200" s="116">
        <v>764</v>
      </c>
      <c r="Q1200" s="116">
        <v>751.6</v>
      </c>
      <c r="R1200">
        <v>599549</v>
      </c>
    </row>
    <row r="1201" spans="1:18" x14ac:dyDescent="0.25">
      <c r="A1201" s="170">
        <v>45461</v>
      </c>
      <c r="B1201" s="116">
        <v>774.95</v>
      </c>
      <c r="C1201" s="116">
        <v>760.65</v>
      </c>
      <c r="D1201" s="116">
        <v>731</v>
      </c>
      <c r="E1201" s="116">
        <v>755</v>
      </c>
      <c r="F1201" s="116">
        <v>760.65</v>
      </c>
      <c r="G1201">
        <v>79775</v>
      </c>
      <c r="H1201" s="116"/>
      <c r="I1201" s="116"/>
      <c r="L1201" s="170">
        <v>45461</v>
      </c>
      <c r="M1201" s="116">
        <v>762.1</v>
      </c>
      <c r="N1201" s="116">
        <v>774.5</v>
      </c>
      <c r="O1201" s="116">
        <v>730.5</v>
      </c>
      <c r="P1201" s="116">
        <v>755</v>
      </c>
      <c r="Q1201" s="116">
        <v>762.1</v>
      </c>
      <c r="R1201">
        <v>1244999</v>
      </c>
    </row>
    <row r="1202" spans="1:18" x14ac:dyDescent="0.25">
      <c r="A1202" s="170">
        <v>45462</v>
      </c>
      <c r="B1202" s="116">
        <v>769.25</v>
      </c>
      <c r="C1202" s="116">
        <v>750.6</v>
      </c>
      <c r="D1202" s="116">
        <v>743</v>
      </c>
      <c r="E1202" s="116">
        <v>768.75</v>
      </c>
      <c r="F1202" s="116">
        <v>750.6</v>
      </c>
      <c r="G1202">
        <v>49239</v>
      </c>
      <c r="H1202" s="116"/>
      <c r="I1202" s="116"/>
      <c r="L1202" s="170">
        <v>45462</v>
      </c>
      <c r="M1202" s="116">
        <v>750.3</v>
      </c>
      <c r="N1202" s="116">
        <v>769.95</v>
      </c>
      <c r="O1202" s="116">
        <v>742.05</v>
      </c>
      <c r="P1202" s="116">
        <v>767.5</v>
      </c>
      <c r="Q1202" s="116">
        <v>750.3</v>
      </c>
      <c r="R1202">
        <v>673808</v>
      </c>
    </row>
    <row r="1203" spans="1:18" x14ac:dyDescent="0.25">
      <c r="A1203" s="170">
        <v>45463</v>
      </c>
      <c r="B1203" s="116">
        <v>762.95</v>
      </c>
      <c r="C1203" s="116">
        <v>737.15</v>
      </c>
      <c r="D1203" s="116">
        <v>735.85</v>
      </c>
      <c r="E1203" s="116">
        <v>751.05</v>
      </c>
      <c r="F1203" s="116">
        <v>737.15</v>
      </c>
      <c r="G1203">
        <v>128010</v>
      </c>
      <c r="H1203" s="116"/>
      <c r="I1203" s="116"/>
      <c r="L1203" s="170">
        <v>45463</v>
      </c>
      <c r="M1203" s="116">
        <v>737.3</v>
      </c>
      <c r="N1203" s="116">
        <v>763.45</v>
      </c>
      <c r="O1203" s="116">
        <v>735</v>
      </c>
      <c r="P1203" s="116">
        <v>752</v>
      </c>
      <c r="Q1203" s="116">
        <v>737.3</v>
      </c>
      <c r="R1203">
        <v>653748</v>
      </c>
    </row>
    <row r="1204" spans="1:18" x14ac:dyDescent="0.25">
      <c r="A1204" s="170">
        <v>45464</v>
      </c>
      <c r="B1204" s="116">
        <v>767</v>
      </c>
      <c r="C1204" s="116">
        <v>748</v>
      </c>
      <c r="D1204" s="116">
        <v>737.2</v>
      </c>
      <c r="E1204" s="116">
        <v>737.2</v>
      </c>
      <c r="F1204" s="116">
        <v>748</v>
      </c>
      <c r="G1204">
        <v>40431</v>
      </c>
      <c r="H1204" s="116"/>
      <c r="I1204" s="116"/>
      <c r="L1204" s="170">
        <v>45464</v>
      </c>
      <c r="M1204" s="116">
        <v>747.8</v>
      </c>
      <c r="N1204" s="116">
        <v>766.8</v>
      </c>
      <c r="O1204" s="116">
        <v>738.05</v>
      </c>
      <c r="P1204" s="116">
        <v>740</v>
      </c>
      <c r="Q1204" s="116">
        <v>747.8</v>
      </c>
      <c r="R1204">
        <v>674005</v>
      </c>
    </row>
    <row r="1205" spans="1:18" x14ac:dyDescent="0.25">
      <c r="A1205" s="170">
        <v>45467</v>
      </c>
      <c r="B1205" s="116">
        <v>751.15</v>
      </c>
      <c r="C1205" s="116">
        <v>743.35</v>
      </c>
      <c r="D1205" s="116">
        <v>736</v>
      </c>
      <c r="E1205" s="116">
        <v>738.05</v>
      </c>
      <c r="F1205" s="116">
        <v>743.35</v>
      </c>
      <c r="G1205">
        <v>110884</v>
      </c>
      <c r="H1205" s="116"/>
      <c r="I1205" s="116"/>
      <c r="L1205" s="170">
        <v>45467</v>
      </c>
      <c r="M1205" s="116">
        <v>743.6</v>
      </c>
      <c r="N1205" s="116">
        <v>751.9</v>
      </c>
      <c r="O1205" s="116">
        <v>736.15</v>
      </c>
      <c r="P1205" s="116">
        <v>740</v>
      </c>
      <c r="Q1205" s="116">
        <v>743.6</v>
      </c>
      <c r="R1205">
        <v>459877</v>
      </c>
    </row>
    <row r="1206" spans="1:18" x14ac:dyDescent="0.25">
      <c r="A1206" s="170">
        <v>45468</v>
      </c>
      <c r="B1206" s="116">
        <v>758</v>
      </c>
      <c r="C1206" s="116">
        <v>720.4</v>
      </c>
      <c r="D1206" s="116">
        <v>708</v>
      </c>
      <c r="E1206" s="116">
        <v>745</v>
      </c>
      <c r="F1206" s="116">
        <v>720.4</v>
      </c>
      <c r="G1206">
        <v>51189</v>
      </c>
      <c r="H1206" s="116"/>
      <c r="I1206" s="116"/>
      <c r="L1206" s="170">
        <v>45468</v>
      </c>
      <c r="M1206" s="116">
        <v>720.6</v>
      </c>
      <c r="N1206" s="116">
        <v>758.25</v>
      </c>
      <c r="O1206" s="116">
        <v>707.7</v>
      </c>
      <c r="P1206" s="116">
        <v>747</v>
      </c>
      <c r="Q1206" s="116">
        <v>720.6</v>
      </c>
      <c r="R1206">
        <v>835041</v>
      </c>
    </row>
    <row r="1207" spans="1:18" x14ac:dyDescent="0.25">
      <c r="A1207" s="170">
        <v>45469</v>
      </c>
      <c r="B1207" s="116">
        <v>752</v>
      </c>
      <c r="C1207" s="116">
        <v>726.05</v>
      </c>
      <c r="D1207" s="116">
        <v>713.95</v>
      </c>
      <c r="E1207" s="116">
        <v>721.15</v>
      </c>
      <c r="F1207" s="116">
        <v>726.05</v>
      </c>
      <c r="G1207">
        <v>50687</v>
      </c>
      <c r="H1207" s="116"/>
      <c r="I1207" s="116"/>
      <c r="L1207" s="170">
        <v>45469</v>
      </c>
      <c r="M1207" s="116">
        <v>726.6</v>
      </c>
      <c r="N1207" s="116">
        <v>752.45</v>
      </c>
      <c r="O1207" s="116">
        <v>713</v>
      </c>
      <c r="P1207" s="116">
        <v>726</v>
      </c>
      <c r="Q1207" s="116">
        <v>726.6</v>
      </c>
      <c r="R1207">
        <v>835066</v>
      </c>
    </row>
    <row r="1208" spans="1:18" x14ac:dyDescent="0.25">
      <c r="A1208" s="170">
        <v>45470</v>
      </c>
      <c r="B1208" s="116">
        <v>734.65</v>
      </c>
      <c r="C1208" s="116">
        <v>712.8</v>
      </c>
      <c r="D1208" s="116">
        <v>701.15</v>
      </c>
      <c r="E1208" s="116">
        <v>728.15</v>
      </c>
      <c r="F1208" s="116">
        <v>712.8</v>
      </c>
      <c r="G1208">
        <v>30445</v>
      </c>
      <c r="H1208" s="116"/>
      <c r="I1208" s="116"/>
      <c r="L1208" s="170">
        <v>45470</v>
      </c>
      <c r="M1208" s="116">
        <v>712.6</v>
      </c>
      <c r="N1208" s="116">
        <v>734.8</v>
      </c>
      <c r="O1208" s="116">
        <v>702.9</v>
      </c>
      <c r="P1208" s="116">
        <v>730</v>
      </c>
      <c r="Q1208" s="116">
        <v>712.6</v>
      </c>
      <c r="R1208">
        <v>535613</v>
      </c>
    </row>
    <row r="1209" spans="1:18" x14ac:dyDescent="0.25">
      <c r="A1209" s="170">
        <v>45471</v>
      </c>
      <c r="B1209" s="116">
        <v>728</v>
      </c>
      <c r="C1209" s="116">
        <v>712.55</v>
      </c>
      <c r="D1209" s="116">
        <v>706.75</v>
      </c>
      <c r="E1209" s="116">
        <v>710.6</v>
      </c>
      <c r="F1209" s="116">
        <v>712.55</v>
      </c>
      <c r="G1209">
        <v>87057</v>
      </c>
      <c r="H1209" s="116"/>
      <c r="I1209" s="116"/>
      <c r="L1209" s="170">
        <v>45471</v>
      </c>
      <c r="M1209" s="116">
        <v>713.4</v>
      </c>
      <c r="N1209" s="116">
        <v>728.15</v>
      </c>
      <c r="O1209" s="116">
        <v>707.4</v>
      </c>
      <c r="P1209" s="116">
        <v>713.4</v>
      </c>
      <c r="Q1209" s="116">
        <v>713.4</v>
      </c>
      <c r="R1209">
        <v>457028</v>
      </c>
    </row>
    <row r="1210" spans="1:18" x14ac:dyDescent="0.25">
      <c r="A1210" s="170">
        <v>45474</v>
      </c>
      <c r="B1210" s="116">
        <v>726.5</v>
      </c>
      <c r="C1210" s="116">
        <v>710.25</v>
      </c>
      <c r="D1210" s="116">
        <v>698.3</v>
      </c>
      <c r="E1210" s="116">
        <v>726.5</v>
      </c>
      <c r="F1210" s="116">
        <v>710.25</v>
      </c>
      <c r="G1210">
        <v>31390</v>
      </c>
      <c r="H1210" s="116"/>
      <c r="I1210" s="116"/>
      <c r="L1210" s="170">
        <v>45474</v>
      </c>
      <c r="M1210" s="116">
        <v>709.5</v>
      </c>
      <c r="N1210" s="116">
        <v>724.15</v>
      </c>
      <c r="O1210" s="116">
        <v>698.2</v>
      </c>
      <c r="P1210" s="116">
        <v>722</v>
      </c>
      <c r="Q1210" s="116">
        <v>709.5</v>
      </c>
      <c r="R1210">
        <v>665221</v>
      </c>
    </row>
    <row r="1211" spans="1:18" x14ac:dyDescent="0.25">
      <c r="A1211" s="170">
        <v>45475</v>
      </c>
      <c r="B1211" s="116">
        <v>715.75</v>
      </c>
      <c r="C1211" s="116">
        <v>689.8</v>
      </c>
      <c r="D1211" s="116">
        <v>687.05</v>
      </c>
      <c r="E1211" s="116">
        <v>708.4</v>
      </c>
      <c r="F1211" s="116">
        <v>689.8</v>
      </c>
      <c r="G1211">
        <v>156993</v>
      </c>
      <c r="H1211" s="116"/>
      <c r="I1211" s="116"/>
      <c r="L1211" s="170">
        <v>45475</v>
      </c>
      <c r="M1211" s="116">
        <v>689.35</v>
      </c>
      <c r="N1211" s="116">
        <v>715</v>
      </c>
      <c r="O1211" s="116">
        <v>686.9</v>
      </c>
      <c r="P1211" s="116">
        <v>709.5</v>
      </c>
      <c r="Q1211" s="116">
        <v>689.35</v>
      </c>
      <c r="R1211">
        <v>1023657</v>
      </c>
    </row>
    <row r="1212" spans="1:18" x14ac:dyDescent="0.25">
      <c r="A1212" s="170">
        <v>45476</v>
      </c>
      <c r="B1212" s="116">
        <v>724.25</v>
      </c>
      <c r="C1212" s="116">
        <v>724.25</v>
      </c>
      <c r="D1212" s="116">
        <v>692.4</v>
      </c>
      <c r="E1212" s="116">
        <v>692.4</v>
      </c>
      <c r="F1212" s="116">
        <v>724.25</v>
      </c>
      <c r="G1212">
        <v>369962</v>
      </c>
      <c r="H1212" s="116"/>
      <c r="I1212" s="116"/>
      <c r="L1212" s="170">
        <v>45476</v>
      </c>
      <c r="M1212" s="116">
        <v>723.8</v>
      </c>
      <c r="N1212" s="116">
        <v>723.8</v>
      </c>
      <c r="O1212" s="116">
        <v>696.15</v>
      </c>
      <c r="P1212" s="116">
        <v>696.15</v>
      </c>
      <c r="Q1212" s="116">
        <v>723.8</v>
      </c>
      <c r="R1212">
        <v>1908866</v>
      </c>
    </row>
    <row r="1213" spans="1:18" x14ac:dyDescent="0.25">
      <c r="A1213" s="170">
        <v>45477</v>
      </c>
      <c r="B1213" s="116">
        <v>734.05</v>
      </c>
      <c r="C1213" s="116">
        <v>707.9</v>
      </c>
      <c r="D1213" s="116">
        <v>701.4</v>
      </c>
      <c r="E1213" s="116">
        <v>724.25</v>
      </c>
      <c r="F1213" s="116">
        <v>707.9</v>
      </c>
      <c r="G1213">
        <v>169421</v>
      </c>
      <c r="H1213" s="116"/>
      <c r="I1213" s="116"/>
      <c r="L1213" s="170">
        <v>45477</v>
      </c>
      <c r="M1213" s="116">
        <v>707.8</v>
      </c>
      <c r="N1213" s="116">
        <v>734</v>
      </c>
      <c r="O1213" s="116">
        <v>701</v>
      </c>
      <c r="P1213" s="116">
        <v>724</v>
      </c>
      <c r="Q1213" s="116">
        <v>707.8</v>
      </c>
      <c r="R1213">
        <v>1127531</v>
      </c>
    </row>
    <row r="1214" spans="1:18" x14ac:dyDescent="0.25">
      <c r="A1214" s="170">
        <v>45478</v>
      </c>
      <c r="B1214" s="116">
        <v>713.9</v>
      </c>
      <c r="C1214" s="116">
        <v>690.85</v>
      </c>
      <c r="D1214" s="116">
        <v>688.8</v>
      </c>
      <c r="E1214" s="116">
        <v>708.75</v>
      </c>
      <c r="F1214" s="116">
        <v>690.85</v>
      </c>
      <c r="G1214">
        <v>177532</v>
      </c>
      <c r="H1214" s="116"/>
      <c r="I1214" s="116"/>
      <c r="L1214" s="170">
        <v>45478</v>
      </c>
      <c r="M1214" s="116">
        <v>690.55</v>
      </c>
      <c r="N1214" s="116">
        <v>714</v>
      </c>
      <c r="O1214" s="116">
        <v>688.5</v>
      </c>
      <c r="P1214" s="116">
        <v>708</v>
      </c>
      <c r="Q1214" s="116">
        <v>690.55</v>
      </c>
      <c r="R1214">
        <v>1272960</v>
      </c>
    </row>
    <row r="1215" spans="1:18" x14ac:dyDescent="0.25">
      <c r="A1215" s="170">
        <v>45481</v>
      </c>
      <c r="B1215" s="116">
        <v>699.1</v>
      </c>
      <c r="C1215" s="116">
        <v>684.45</v>
      </c>
      <c r="D1215" s="116">
        <v>674</v>
      </c>
      <c r="E1215" s="116">
        <v>694.95</v>
      </c>
      <c r="F1215" s="116">
        <v>684.45</v>
      </c>
      <c r="G1215">
        <v>168209</v>
      </c>
      <c r="H1215" s="116"/>
      <c r="I1215" s="116"/>
      <c r="L1215" s="170">
        <v>45481</v>
      </c>
      <c r="M1215" s="116">
        <v>684.25</v>
      </c>
      <c r="N1215" s="116">
        <v>698.9</v>
      </c>
      <c r="O1215" s="116">
        <v>674</v>
      </c>
      <c r="P1215" s="116">
        <v>692.05</v>
      </c>
      <c r="Q1215" s="116">
        <v>684.25</v>
      </c>
      <c r="R1215">
        <v>1113639</v>
      </c>
    </row>
    <row r="1216" spans="1:18" x14ac:dyDescent="0.25">
      <c r="A1216" s="170">
        <v>45482</v>
      </c>
      <c r="B1216" s="116">
        <v>713</v>
      </c>
      <c r="C1216" s="116">
        <v>691.5</v>
      </c>
      <c r="D1216" s="116">
        <v>676.05</v>
      </c>
      <c r="E1216" s="116">
        <v>692.4</v>
      </c>
      <c r="F1216" s="116">
        <v>691.5</v>
      </c>
      <c r="G1216">
        <v>200331</v>
      </c>
      <c r="H1216" s="116"/>
      <c r="I1216" s="116"/>
      <c r="L1216" s="170">
        <v>45482</v>
      </c>
      <c r="M1216" s="116">
        <v>693.1</v>
      </c>
      <c r="N1216" s="116">
        <v>712.8</v>
      </c>
      <c r="O1216" s="116">
        <v>675.75</v>
      </c>
      <c r="P1216" s="116">
        <v>689</v>
      </c>
      <c r="Q1216" s="116">
        <v>693.1</v>
      </c>
      <c r="R1216">
        <v>1574361</v>
      </c>
    </row>
    <row r="1217" spans="1:18" x14ac:dyDescent="0.25">
      <c r="A1217" s="170">
        <v>45483</v>
      </c>
      <c r="B1217" s="116">
        <v>700.75</v>
      </c>
      <c r="C1217" s="116">
        <v>685.7</v>
      </c>
      <c r="D1217" s="116">
        <v>660</v>
      </c>
      <c r="E1217" s="116">
        <v>700.75</v>
      </c>
      <c r="F1217" s="116">
        <v>685.7</v>
      </c>
      <c r="G1217">
        <v>65773</v>
      </c>
      <c r="H1217" s="116"/>
      <c r="I1217" s="116"/>
      <c r="L1217" s="170">
        <v>45483</v>
      </c>
      <c r="M1217" s="116">
        <v>685</v>
      </c>
      <c r="N1217" s="116">
        <v>700</v>
      </c>
      <c r="O1217" s="116">
        <v>659</v>
      </c>
      <c r="P1217" s="116">
        <v>700</v>
      </c>
      <c r="Q1217" s="116">
        <v>685</v>
      </c>
      <c r="R1217">
        <v>1272504</v>
      </c>
    </row>
    <row r="1218" spans="1:18" x14ac:dyDescent="0.25">
      <c r="A1218" s="170">
        <v>45484</v>
      </c>
      <c r="B1218" s="116">
        <v>711</v>
      </c>
      <c r="C1218" s="116">
        <v>706.15</v>
      </c>
      <c r="D1218" s="116">
        <v>685.25</v>
      </c>
      <c r="E1218" s="116">
        <v>692.15</v>
      </c>
      <c r="F1218" s="116">
        <v>706.15</v>
      </c>
      <c r="G1218">
        <v>217583</v>
      </c>
      <c r="H1218" s="116"/>
      <c r="I1218" s="116"/>
      <c r="L1218" s="170">
        <v>45484</v>
      </c>
      <c r="M1218" s="116">
        <v>707.05</v>
      </c>
      <c r="N1218" s="116">
        <v>712</v>
      </c>
      <c r="O1218" s="116">
        <v>685.1</v>
      </c>
      <c r="P1218" s="116">
        <v>695</v>
      </c>
      <c r="Q1218" s="116">
        <v>707.05</v>
      </c>
      <c r="R1218">
        <v>1046934</v>
      </c>
    </row>
    <row r="1219" spans="1:18" x14ac:dyDescent="0.25">
      <c r="A1219" s="170">
        <v>45485</v>
      </c>
      <c r="B1219" s="116">
        <v>714.9</v>
      </c>
      <c r="C1219" s="116">
        <v>691.35</v>
      </c>
      <c r="D1219" s="116">
        <v>685</v>
      </c>
      <c r="E1219" s="116">
        <v>710.7</v>
      </c>
      <c r="F1219" s="116">
        <v>691.35</v>
      </c>
      <c r="G1219">
        <v>50781</v>
      </c>
      <c r="H1219" s="116"/>
      <c r="I1219" s="116"/>
      <c r="L1219" s="170">
        <v>45485</v>
      </c>
      <c r="M1219" s="116">
        <v>690.85</v>
      </c>
      <c r="N1219" s="116">
        <v>715.9</v>
      </c>
      <c r="O1219" s="116">
        <v>684</v>
      </c>
      <c r="P1219" s="116">
        <v>715</v>
      </c>
      <c r="Q1219" s="116">
        <v>690.85</v>
      </c>
      <c r="R1219">
        <v>732396</v>
      </c>
    </row>
    <row r="1220" spans="1:18" x14ac:dyDescent="0.25">
      <c r="A1220" s="170">
        <v>45488</v>
      </c>
      <c r="B1220" s="116">
        <v>709.5</v>
      </c>
      <c r="C1220" s="116">
        <v>696.3</v>
      </c>
      <c r="D1220" s="116">
        <v>690.1</v>
      </c>
      <c r="E1220" s="116">
        <v>692.4</v>
      </c>
      <c r="F1220" s="116">
        <v>696.3</v>
      </c>
      <c r="G1220">
        <v>133276</v>
      </c>
      <c r="H1220" s="116"/>
      <c r="I1220" s="116"/>
      <c r="L1220" s="170">
        <v>45488</v>
      </c>
      <c r="M1220" s="116">
        <v>695.9</v>
      </c>
      <c r="N1220" s="116">
        <v>709.8</v>
      </c>
      <c r="O1220" s="116">
        <v>690</v>
      </c>
      <c r="P1220" s="116">
        <v>698</v>
      </c>
      <c r="Q1220" s="116">
        <v>695.9</v>
      </c>
      <c r="R1220">
        <v>666365</v>
      </c>
    </row>
    <row r="1221" spans="1:18" x14ac:dyDescent="0.25">
      <c r="A1221" s="170">
        <v>45489</v>
      </c>
      <c r="B1221" s="116">
        <v>707</v>
      </c>
      <c r="C1221" s="116">
        <v>693.55</v>
      </c>
      <c r="D1221" s="116">
        <v>685</v>
      </c>
      <c r="E1221" s="116">
        <v>700.9</v>
      </c>
      <c r="F1221" s="116">
        <v>693.55</v>
      </c>
      <c r="G1221">
        <v>102472</v>
      </c>
      <c r="H1221" s="116"/>
      <c r="I1221" s="116"/>
      <c r="L1221" s="170">
        <v>45489</v>
      </c>
      <c r="M1221" s="116">
        <v>693.6</v>
      </c>
      <c r="N1221" s="116">
        <v>707</v>
      </c>
      <c r="O1221" s="116">
        <v>683.7</v>
      </c>
      <c r="P1221" s="116">
        <v>700</v>
      </c>
      <c r="Q1221" s="116">
        <v>693.6</v>
      </c>
      <c r="R1221">
        <v>881737</v>
      </c>
    </row>
    <row r="1222" spans="1:18" x14ac:dyDescent="0.25">
      <c r="A1222" s="170">
        <v>45491</v>
      </c>
      <c r="B1222" s="116">
        <v>718</v>
      </c>
      <c r="C1222" s="116">
        <v>678.85</v>
      </c>
      <c r="D1222" s="116">
        <v>661.2</v>
      </c>
      <c r="E1222" s="116">
        <v>706.65</v>
      </c>
      <c r="F1222" s="116">
        <v>678.85</v>
      </c>
      <c r="G1222">
        <v>227101</v>
      </c>
      <c r="H1222" s="116"/>
      <c r="I1222" s="116"/>
      <c r="L1222" s="170">
        <v>45491</v>
      </c>
      <c r="M1222" s="116">
        <v>676.6</v>
      </c>
      <c r="N1222" s="116">
        <v>717.8</v>
      </c>
      <c r="O1222" s="116">
        <v>661</v>
      </c>
      <c r="P1222" s="116">
        <v>698.45</v>
      </c>
      <c r="Q1222" s="116">
        <v>676.6</v>
      </c>
      <c r="R1222">
        <v>3687102</v>
      </c>
    </row>
    <row r="1223" spans="1:18" x14ac:dyDescent="0.25">
      <c r="A1223" s="170">
        <v>45492</v>
      </c>
      <c r="B1223" s="116">
        <v>701</v>
      </c>
      <c r="C1223" s="116">
        <v>644.95000000000005</v>
      </c>
      <c r="D1223" s="116">
        <v>644.95000000000005</v>
      </c>
      <c r="E1223" s="116">
        <v>700</v>
      </c>
      <c r="F1223" s="116">
        <v>644.95000000000005</v>
      </c>
      <c r="G1223">
        <v>443459</v>
      </c>
      <c r="H1223" s="116"/>
      <c r="I1223" s="116"/>
      <c r="L1223" s="170">
        <v>45492</v>
      </c>
      <c r="M1223" s="116">
        <v>642.79999999999995</v>
      </c>
      <c r="N1223" s="116">
        <v>702</v>
      </c>
      <c r="O1223" s="116">
        <v>642.79999999999995</v>
      </c>
      <c r="P1223" s="116">
        <v>702</v>
      </c>
      <c r="Q1223" s="116">
        <v>642.79999999999995</v>
      </c>
      <c r="R1223">
        <v>2420660</v>
      </c>
    </row>
    <row r="1224" spans="1:18" x14ac:dyDescent="0.25">
      <c r="A1224" s="170">
        <v>45495</v>
      </c>
      <c r="B1224" s="116">
        <v>668.35</v>
      </c>
      <c r="C1224" s="116">
        <v>662.9</v>
      </c>
      <c r="D1224" s="116">
        <v>624.79999999999995</v>
      </c>
      <c r="E1224" s="116">
        <v>634</v>
      </c>
      <c r="F1224" s="116">
        <v>662.9</v>
      </c>
      <c r="G1224">
        <v>198519</v>
      </c>
      <c r="H1224" s="116"/>
      <c r="I1224" s="116"/>
      <c r="L1224" s="170">
        <v>45495</v>
      </c>
      <c r="M1224" s="116">
        <v>663</v>
      </c>
      <c r="N1224" s="116">
        <v>668</v>
      </c>
      <c r="O1224" s="116">
        <v>624.4</v>
      </c>
      <c r="P1224" s="116">
        <v>630.20000000000005</v>
      </c>
      <c r="Q1224" s="116">
        <v>663</v>
      </c>
      <c r="R1224">
        <v>998385</v>
      </c>
    </row>
    <row r="1225" spans="1:18" x14ac:dyDescent="0.25">
      <c r="A1225" s="170">
        <v>45496</v>
      </c>
      <c r="B1225" s="116">
        <v>683.8</v>
      </c>
      <c r="C1225" s="116">
        <v>661</v>
      </c>
      <c r="D1225" s="116">
        <v>630.45000000000005</v>
      </c>
      <c r="E1225" s="116">
        <v>672.95</v>
      </c>
      <c r="F1225" s="116">
        <v>661</v>
      </c>
      <c r="G1225">
        <v>118927</v>
      </c>
      <c r="H1225" s="116"/>
      <c r="I1225" s="116"/>
      <c r="L1225" s="170">
        <v>45496</v>
      </c>
      <c r="M1225" s="116">
        <v>658.55</v>
      </c>
      <c r="N1225" s="116">
        <v>683</v>
      </c>
      <c r="O1225" s="116">
        <v>630</v>
      </c>
      <c r="P1225" s="116">
        <v>670.15</v>
      </c>
      <c r="Q1225" s="116">
        <v>658.55</v>
      </c>
      <c r="R1225">
        <v>1812822</v>
      </c>
    </row>
    <row r="1226" spans="1:18" x14ac:dyDescent="0.25">
      <c r="A1226" s="170">
        <v>45497</v>
      </c>
      <c r="B1226" s="116">
        <v>677</v>
      </c>
      <c r="C1226" s="116">
        <v>667.55</v>
      </c>
      <c r="D1226" s="116">
        <v>654.04999999999995</v>
      </c>
      <c r="E1226" s="116">
        <v>662</v>
      </c>
      <c r="F1226" s="116">
        <v>667.55</v>
      </c>
      <c r="G1226">
        <v>148290</v>
      </c>
      <c r="H1226" s="116"/>
      <c r="I1226" s="116"/>
      <c r="L1226" s="170">
        <v>45497</v>
      </c>
      <c r="M1226" s="116">
        <v>667.9</v>
      </c>
      <c r="N1226" s="116">
        <v>678</v>
      </c>
      <c r="O1226" s="116">
        <v>654</v>
      </c>
      <c r="P1226" s="116">
        <v>662</v>
      </c>
      <c r="Q1226" s="116">
        <v>667.9</v>
      </c>
      <c r="R1226">
        <v>892415</v>
      </c>
    </row>
    <row r="1227" spans="1:18" x14ac:dyDescent="0.25">
      <c r="A1227" s="170">
        <v>45498</v>
      </c>
      <c r="B1227" s="116">
        <v>672.35</v>
      </c>
      <c r="C1227" s="116">
        <v>656.8</v>
      </c>
      <c r="D1227" s="116">
        <v>653.6</v>
      </c>
      <c r="E1227" s="116">
        <v>664</v>
      </c>
      <c r="F1227" s="116">
        <v>656.8</v>
      </c>
      <c r="G1227">
        <v>33516</v>
      </c>
      <c r="H1227" s="116"/>
      <c r="I1227" s="116"/>
      <c r="L1227" s="170">
        <v>45498</v>
      </c>
      <c r="M1227" s="116">
        <v>656.35</v>
      </c>
      <c r="N1227" s="116">
        <v>672</v>
      </c>
      <c r="O1227" s="116">
        <v>653</v>
      </c>
      <c r="P1227" s="116">
        <v>662</v>
      </c>
      <c r="Q1227" s="116">
        <v>656.35</v>
      </c>
      <c r="R1227">
        <v>465356</v>
      </c>
    </row>
    <row r="1228" spans="1:18" x14ac:dyDescent="0.25">
      <c r="A1228" s="170">
        <v>45499</v>
      </c>
      <c r="B1228" s="116">
        <v>689.6</v>
      </c>
      <c r="C1228" s="116">
        <v>686.25</v>
      </c>
      <c r="D1228" s="116">
        <v>655.04999999999995</v>
      </c>
      <c r="E1228" s="116">
        <v>655.04999999999995</v>
      </c>
      <c r="F1228" s="116">
        <v>686.25</v>
      </c>
      <c r="G1228">
        <v>538280</v>
      </c>
      <c r="H1228" s="116"/>
      <c r="I1228" s="116"/>
      <c r="L1228" s="170">
        <v>45499</v>
      </c>
      <c r="M1228" s="116">
        <v>686.35</v>
      </c>
      <c r="N1228" s="116">
        <v>689.15</v>
      </c>
      <c r="O1228" s="116">
        <v>657.1</v>
      </c>
      <c r="P1228" s="116">
        <v>659.95</v>
      </c>
      <c r="Q1228" s="116">
        <v>686.35</v>
      </c>
      <c r="R1228">
        <v>2702709</v>
      </c>
    </row>
    <row r="1229" spans="1:18" x14ac:dyDescent="0.25">
      <c r="A1229" s="170">
        <v>45502</v>
      </c>
      <c r="B1229" s="116">
        <v>701.85</v>
      </c>
      <c r="C1229" s="116">
        <v>680.6</v>
      </c>
      <c r="D1229" s="116">
        <v>671.8</v>
      </c>
      <c r="E1229" s="116">
        <v>695.95</v>
      </c>
      <c r="F1229" s="116">
        <v>680.6</v>
      </c>
      <c r="G1229">
        <v>90014</v>
      </c>
      <c r="H1229" s="116"/>
      <c r="I1229" s="116"/>
      <c r="L1229" s="170">
        <v>45502</v>
      </c>
      <c r="M1229" s="116">
        <v>680.2</v>
      </c>
      <c r="N1229" s="116">
        <v>704</v>
      </c>
      <c r="O1229" s="116">
        <v>671</v>
      </c>
      <c r="P1229" s="116">
        <v>694</v>
      </c>
      <c r="Q1229" s="116">
        <v>680.2</v>
      </c>
      <c r="R1229">
        <v>1615910</v>
      </c>
    </row>
    <row r="1230" spans="1:18" x14ac:dyDescent="0.25">
      <c r="A1230" s="170">
        <v>45503</v>
      </c>
      <c r="B1230" s="116">
        <v>696.35</v>
      </c>
      <c r="C1230" s="116">
        <v>682.9</v>
      </c>
      <c r="D1230" s="116">
        <v>671.05</v>
      </c>
      <c r="E1230" s="116">
        <v>671.05</v>
      </c>
      <c r="F1230" s="116">
        <v>682.9</v>
      </c>
      <c r="G1230">
        <v>100901</v>
      </c>
      <c r="H1230" s="116"/>
      <c r="I1230" s="116"/>
      <c r="L1230" s="170">
        <v>45503</v>
      </c>
      <c r="M1230" s="116">
        <v>683.6</v>
      </c>
      <c r="N1230" s="116">
        <v>696</v>
      </c>
      <c r="O1230" s="116">
        <v>676.45</v>
      </c>
      <c r="P1230" s="116">
        <v>681.95</v>
      </c>
      <c r="Q1230" s="116">
        <v>683.6</v>
      </c>
      <c r="R1230">
        <v>931922</v>
      </c>
    </row>
    <row r="1231" spans="1:18" x14ac:dyDescent="0.25">
      <c r="A1231" s="170">
        <v>45504</v>
      </c>
      <c r="B1231" s="116">
        <v>703</v>
      </c>
      <c r="C1231" s="116">
        <v>688</v>
      </c>
      <c r="D1231" s="116">
        <v>685.45</v>
      </c>
      <c r="E1231" s="116">
        <v>693.85</v>
      </c>
      <c r="F1231" s="116">
        <v>688</v>
      </c>
      <c r="G1231">
        <v>48949</v>
      </c>
      <c r="H1231" s="116"/>
      <c r="I1231" s="116"/>
      <c r="L1231" s="170">
        <v>45504</v>
      </c>
      <c r="M1231" s="116">
        <v>687.75</v>
      </c>
      <c r="N1231" s="116">
        <v>702.65</v>
      </c>
      <c r="O1231" s="116">
        <v>685</v>
      </c>
      <c r="P1231" s="116">
        <v>687</v>
      </c>
      <c r="Q1231" s="116">
        <v>687.75</v>
      </c>
      <c r="R1231">
        <v>792693</v>
      </c>
    </row>
    <row r="1232" spans="1:18" x14ac:dyDescent="0.25">
      <c r="A1232" s="170">
        <v>45505</v>
      </c>
      <c r="B1232" s="116">
        <v>695.8</v>
      </c>
      <c r="C1232" s="116">
        <v>677.55</v>
      </c>
      <c r="D1232" s="116">
        <v>669.25</v>
      </c>
      <c r="E1232" s="116">
        <v>692</v>
      </c>
      <c r="F1232" s="116">
        <v>677.55</v>
      </c>
      <c r="G1232">
        <v>101920</v>
      </c>
      <c r="H1232" s="116"/>
      <c r="I1232" s="116"/>
      <c r="L1232" s="170">
        <v>45505</v>
      </c>
      <c r="M1232" s="116">
        <v>677.1</v>
      </c>
      <c r="N1232" s="116">
        <v>693.7</v>
      </c>
      <c r="O1232" s="116">
        <v>670.05</v>
      </c>
      <c r="P1232" s="116">
        <v>692</v>
      </c>
      <c r="Q1232" s="116">
        <v>677.1</v>
      </c>
      <c r="R1232">
        <v>594519</v>
      </c>
    </row>
    <row r="1233" spans="1:18" x14ac:dyDescent="0.25">
      <c r="A1233" s="170">
        <v>45506</v>
      </c>
      <c r="B1233" s="116">
        <v>673.9</v>
      </c>
      <c r="C1233" s="116">
        <v>658.8</v>
      </c>
      <c r="D1233" s="116">
        <v>656.45</v>
      </c>
      <c r="E1233" s="116">
        <v>660</v>
      </c>
      <c r="F1233" s="116">
        <v>658.8</v>
      </c>
      <c r="G1233">
        <v>125718</v>
      </c>
      <c r="H1233" s="116"/>
      <c r="I1233" s="116"/>
      <c r="L1233" s="170">
        <v>45506</v>
      </c>
      <c r="M1233" s="116">
        <v>658.6</v>
      </c>
      <c r="N1233" s="116">
        <v>674</v>
      </c>
      <c r="O1233" s="116">
        <v>656</v>
      </c>
      <c r="P1233" s="116">
        <v>660</v>
      </c>
      <c r="Q1233" s="116">
        <v>658.6</v>
      </c>
      <c r="R1233">
        <v>730037</v>
      </c>
    </row>
    <row r="1234" spans="1:18" x14ac:dyDescent="0.25">
      <c r="A1234" s="170">
        <v>45509</v>
      </c>
      <c r="B1234" s="116">
        <v>649.9</v>
      </c>
      <c r="C1234" s="116">
        <v>626.35</v>
      </c>
      <c r="D1234" s="116">
        <v>625.9</v>
      </c>
      <c r="E1234" s="116">
        <v>628.5</v>
      </c>
      <c r="F1234" s="116">
        <v>626.35</v>
      </c>
      <c r="G1234">
        <v>241750</v>
      </c>
      <c r="H1234" s="116"/>
      <c r="I1234" s="116"/>
      <c r="L1234" s="170">
        <v>45509</v>
      </c>
      <c r="M1234" s="116">
        <v>626.20000000000005</v>
      </c>
      <c r="N1234" s="116">
        <v>649.9</v>
      </c>
      <c r="O1234" s="116">
        <v>625.70000000000005</v>
      </c>
      <c r="P1234" s="116">
        <v>641</v>
      </c>
      <c r="Q1234" s="116">
        <v>626.20000000000005</v>
      </c>
      <c r="R1234">
        <v>1137324</v>
      </c>
    </row>
    <row r="1235" spans="1:18" x14ac:dyDescent="0.25">
      <c r="A1235" s="170">
        <v>45510</v>
      </c>
      <c r="B1235" s="116">
        <v>647.15</v>
      </c>
      <c r="C1235" s="116">
        <v>611.54999999999995</v>
      </c>
      <c r="D1235" s="116">
        <v>608.1</v>
      </c>
      <c r="E1235" s="116">
        <v>640.6</v>
      </c>
      <c r="F1235" s="116">
        <v>611.54999999999995</v>
      </c>
      <c r="G1235">
        <v>130307</v>
      </c>
      <c r="H1235" s="116"/>
      <c r="I1235" s="116"/>
      <c r="L1235" s="170">
        <v>45510</v>
      </c>
      <c r="M1235" s="116">
        <v>611.6</v>
      </c>
      <c r="N1235" s="116">
        <v>646.5</v>
      </c>
      <c r="O1235" s="116">
        <v>607.85</v>
      </c>
      <c r="P1235" s="116">
        <v>644</v>
      </c>
      <c r="Q1235" s="116">
        <v>611.6</v>
      </c>
      <c r="R1235">
        <v>694860</v>
      </c>
    </row>
    <row r="1236" spans="1:18" x14ac:dyDescent="0.25">
      <c r="A1236" s="170">
        <v>45511</v>
      </c>
      <c r="B1236" s="116">
        <v>642.1</v>
      </c>
      <c r="C1236" s="116">
        <v>642.1</v>
      </c>
      <c r="D1236" s="116">
        <v>621.15</v>
      </c>
      <c r="E1236" s="116">
        <v>621.5</v>
      </c>
      <c r="F1236" s="116">
        <v>642.1</v>
      </c>
      <c r="G1236">
        <v>32468</v>
      </c>
      <c r="H1236" s="116"/>
      <c r="I1236" s="116"/>
      <c r="L1236" s="170">
        <v>45511</v>
      </c>
      <c r="M1236" s="116">
        <v>642.15</v>
      </c>
      <c r="N1236" s="116">
        <v>642.15</v>
      </c>
      <c r="O1236" s="116">
        <v>621.35</v>
      </c>
      <c r="P1236" s="116">
        <v>626</v>
      </c>
      <c r="Q1236" s="116">
        <v>642.15</v>
      </c>
      <c r="R1236">
        <v>489824</v>
      </c>
    </row>
    <row r="1237" spans="1:18" x14ac:dyDescent="0.25">
      <c r="A1237" s="170">
        <v>45512</v>
      </c>
      <c r="B1237" s="116">
        <v>673</v>
      </c>
      <c r="C1237" s="116">
        <v>666.85</v>
      </c>
      <c r="D1237" s="116">
        <v>642.04999999999995</v>
      </c>
      <c r="E1237" s="116">
        <v>650</v>
      </c>
      <c r="F1237" s="116">
        <v>666.85</v>
      </c>
      <c r="G1237">
        <v>69971</v>
      </c>
      <c r="H1237" s="116"/>
      <c r="I1237" s="116"/>
      <c r="L1237" s="170">
        <v>45512</v>
      </c>
      <c r="M1237" s="116">
        <v>666</v>
      </c>
      <c r="N1237" s="116">
        <v>671</v>
      </c>
      <c r="O1237" s="116">
        <v>643</v>
      </c>
      <c r="P1237" s="116">
        <v>652.70000000000005</v>
      </c>
      <c r="Q1237" s="116">
        <v>666</v>
      </c>
      <c r="R1237">
        <v>1157734</v>
      </c>
    </row>
    <row r="1238" spans="1:18" x14ac:dyDescent="0.25">
      <c r="A1238" s="170">
        <v>45513</v>
      </c>
      <c r="B1238" s="116">
        <v>688.1</v>
      </c>
      <c r="C1238" s="116">
        <v>673.3</v>
      </c>
      <c r="D1238" s="116">
        <v>670.45</v>
      </c>
      <c r="E1238" s="116">
        <v>673</v>
      </c>
      <c r="F1238" s="116">
        <v>673.3</v>
      </c>
      <c r="G1238">
        <v>130541</v>
      </c>
      <c r="H1238" s="116"/>
      <c r="I1238" s="116"/>
      <c r="L1238" s="170">
        <v>45513</v>
      </c>
      <c r="M1238" s="116">
        <v>673</v>
      </c>
      <c r="N1238" s="116">
        <v>688</v>
      </c>
      <c r="O1238" s="116">
        <v>670</v>
      </c>
      <c r="P1238" s="116">
        <v>672.7</v>
      </c>
      <c r="Q1238" s="116">
        <v>673</v>
      </c>
      <c r="R1238">
        <v>749733</v>
      </c>
    </row>
    <row r="1239" spans="1:18" x14ac:dyDescent="0.25">
      <c r="A1239" s="170">
        <v>45516</v>
      </c>
      <c r="B1239" s="116">
        <v>689.55</v>
      </c>
      <c r="C1239" s="116">
        <v>671.1</v>
      </c>
      <c r="D1239" s="116">
        <v>668.4</v>
      </c>
      <c r="E1239" s="116">
        <v>685.25</v>
      </c>
      <c r="F1239" s="116">
        <v>671.1</v>
      </c>
      <c r="G1239">
        <v>165645</v>
      </c>
      <c r="H1239" s="116"/>
      <c r="I1239" s="116"/>
      <c r="L1239" s="170">
        <v>45516</v>
      </c>
      <c r="M1239" s="116">
        <v>671.1</v>
      </c>
      <c r="N1239" s="116">
        <v>689.6</v>
      </c>
      <c r="O1239" s="116">
        <v>668</v>
      </c>
      <c r="P1239" s="116">
        <v>686</v>
      </c>
      <c r="Q1239" s="116">
        <v>671.1</v>
      </c>
      <c r="R1239">
        <v>1012046</v>
      </c>
    </row>
    <row r="1240" spans="1:18" x14ac:dyDescent="0.25">
      <c r="A1240" s="170">
        <v>45517</v>
      </c>
      <c r="B1240" s="116">
        <v>686</v>
      </c>
      <c r="C1240" s="116">
        <v>668.65</v>
      </c>
      <c r="D1240" s="116">
        <v>665.05</v>
      </c>
      <c r="E1240" s="116">
        <v>674.9</v>
      </c>
      <c r="F1240" s="116">
        <v>668.65</v>
      </c>
      <c r="G1240">
        <v>114486</v>
      </c>
      <c r="H1240" s="116"/>
      <c r="I1240" s="116"/>
      <c r="L1240" s="170">
        <v>45517</v>
      </c>
      <c r="M1240" s="116">
        <v>669.9</v>
      </c>
      <c r="N1240" s="116">
        <v>685.95</v>
      </c>
      <c r="O1240" s="116">
        <v>665</v>
      </c>
      <c r="P1240" s="116">
        <v>679</v>
      </c>
      <c r="Q1240" s="116">
        <v>669.9</v>
      </c>
      <c r="R1240">
        <v>765408</v>
      </c>
    </row>
    <row r="1241" spans="1:18" x14ac:dyDescent="0.25">
      <c r="A1241" s="170">
        <v>45518</v>
      </c>
      <c r="B1241" s="116">
        <v>673.3</v>
      </c>
      <c r="C1241" s="116">
        <v>658.95</v>
      </c>
      <c r="D1241" s="116">
        <v>649.9</v>
      </c>
      <c r="E1241" s="116">
        <v>671</v>
      </c>
      <c r="F1241" s="116">
        <v>658.95</v>
      </c>
      <c r="G1241">
        <v>34791</v>
      </c>
      <c r="H1241" s="116"/>
      <c r="I1241" s="116"/>
      <c r="L1241" s="170">
        <v>45518</v>
      </c>
      <c r="M1241" s="116">
        <v>658.65</v>
      </c>
      <c r="N1241" s="116">
        <v>673.25</v>
      </c>
      <c r="O1241" s="116">
        <v>649.4</v>
      </c>
      <c r="P1241" s="116">
        <v>671</v>
      </c>
      <c r="Q1241" s="116">
        <v>658.65</v>
      </c>
      <c r="R1241">
        <v>421761</v>
      </c>
    </row>
    <row r="1242" spans="1:18" x14ac:dyDescent="0.25">
      <c r="A1242" s="170">
        <v>45520</v>
      </c>
      <c r="B1242" s="116">
        <v>667.15</v>
      </c>
      <c r="C1242" s="116">
        <v>663.15</v>
      </c>
      <c r="D1242" s="116">
        <v>654.65</v>
      </c>
      <c r="E1242" s="116">
        <v>654.95000000000005</v>
      </c>
      <c r="F1242" s="116">
        <v>663.15</v>
      </c>
      <c r="G1242">
        <v>53375</v>
      </c>
      <c r="H1242" s="116"/>
      <c r="I1242" s="116"/>
      <c r="L1242" s="170">
        <v>45520</v>
      </c>
      <c r="M1242" s="116">
        <v>663.15</v>
      </c>
      <c r="N1242" s="116">
        <v>668</v>
      </c>
      <c r="O1242" s="116">
        <v>652.70000000000005</v>
      </c>
      <c r="P1242" s="116">
        <v>652.70000000000005</v>
      </c>
      <c r="Q1242" s="116">
        <v>663.15</v>
      </c>
      <c r="R1242">
        <v>355250</v>
      </c>
    </row>
    <row r="1243" spans="1:18" x14ac:dyDescent="0.25">
      <c r="A1243" s="170">
        <v>45523</v>
      </c>
      <c r="B1243" s="116">
        <v>687.55</v>
      </c>
      <c r="C1243" s="116">
        <v>679.25</v>
      </c>
      <c r="D1243" s="116">
        <v>665.1</v>
      </c>
      <c r="E1243" s="116">
        <v>665.15</v>
      </c>
      <c r="F1243" s="116">
        <v>679.25</v>
      </c>
      <c r="G1243">
        <v>96579</v>
      </c>
      <c r="H1243" s="116"/>
      <c r="I1243" s="116"/>
      <c r="L1243" s="170">
        <v>45523</v>
      </c>
      <c r="M1243" s="116">
        <v>678.95</v>
      </c>
      <c r="N1243" s="116">
        <v>687.1</v>
      </c>
      <c r="O1243" s="116">
        <v>668.55</v>
      </c>
      <c r="P1243" s="116">
        <v>670.5</v>
      </c>
      <c r="Q1243" s="116">
        <v>678.95</v>
      </c>
      <c r="R1243">
        <v>548532</v>
      </c>
    </row>
    <row r="1244" spans="1:18" x14ac:dyDescent="0.25">
      <c r="A1244" s="170">
        <v>45524</v>
      </c>
      <c r="B1244" s="116">
        <v>705</v>
      </c>
      <c r="C1244" s="116">
        <v>698.15</v>
      </c>
      <c r="D1244" s="116">
        <v>671.85</v>
      </c>
      <c r="E1244" s="116">
        <v>681</v>
      </c>
      <c r="F1244" s="116">
        <v>698.15</v>
      </c>
      <c r="G1244">
        <v>171518</v>
      </c>
      <c r="H1244" s="116"/>
      <c r="I1244" s="116"/>
      <c r="L1244" s="170">
        <v>45524</v>
      </c>
      <c r="M1244" s="116">
        <v>698.95</v>
      </c>
      <c r="N1244" s="116">
        <v>709.95</v>
      </c>
      <c r="O1244" s="116">
        <v>673</v>
      </c>
      <c r="P1244" s="116">
        <v>679</v>
      </c>
      <c r="Q1244" s="116">
        <v>698.95</v>
      </c>
      <c r="R1244">
        <v>1287139</v>
      </c>
    </row>
    <row r="1245" spans="1:18" x14ac:dyDescent="0.25">
      <c r="A1245" s="170">
        <v>45525</v>
      </c>
      <c r="B1245" s="116">
        <v>710.05</v>
      </c>
      <c r="C1245" s="116">
        <v>697.1</v>
      </c>
      <c r="D1245" s="116">
        <v>692.7</v>
      </c>
      <c r="E1245" s="116">
        <v>705</v>
      </c>
      <c r="F1245" s="116">
        <v>697.1</v>
      </c>
      <c r="G1245">
        <v>61647</v>
      </c>
      <c r="H1245" s="116"/>
      <c r="I1245" s="116"/>
      <c r="L1245" s="170">
        <v>45525</v>
      </c>
      <c r="M1245" s="116">
        <v>697.35</v>
      </c>
      <c r="N1245" s="116">
        <v>711</v>
      </c>
      <c r="O1245" s="116">
        <v>695.15</v>
      </c>
      <c r="P1245" s="116">
        <v>710</v>
      </c>
      <c r="Q1245" s="116">
        <v>697.35</v>
      </c>
      <c r="R1245">
        <v>851402</v>
      </c>
    </row>
    <row r="1246" spans="1:18" x14ac:dyDescent="0.25">
      <c r="A1246" s="170">
        <v>45526</v>
      </c>
      <c r="B1246" s="116">
        <v>709.1</v>
      </c>
      <c r="C1246" s="116">
        <v>684.75</v>
      </c>
      <c r="D1246" s="116">
        <v>683</v>
      </c>
      <c r="E1246" s="116">
        <v>707.45</v>
      </c>
      <c r="F1246" s="116">
        <v>684.75</v>
      </c>
      <c r="G1246">
        <v>31350</v>
      </c>
      <c r="H1246" s="116"/>
      <c r="I1246" s="116"/>
      <c r="L1246" s="170">
        <v>45526</v>
      </c>
      <c r="M1246" s="116">
        <v>684.9</v>
      </c>
      <c r="N1246" s="116">
        <v>709</v>
      </c>
      <c r="O1246" s="116">
        <v>682.7</v>
      </c>
      <c r="P1246" s="116">
        <v>705</v>
      </c>
      <c r="Q1246" s="116">
        <v>684.9</v>
      </c>
      <c r="R1246">
        <v>459898</v>
      </c>
    </row>
    <row r="1247" spans="1:18" x14ac:dyDescent="0.25">
      <c r="A1247" s="170">
        <v>45527</v>
      </c>
      <c r="B1247" s="116">
        <v>689.4</v>
      </c>
      <c r="C1247" s="116">
        <v>670.5</v>
      </c>
      <c r="D1247" s="116">
        <v>668</v>
      </c>
      <c r="E1247" s="116">
        <v>689.4</v>
      </c>
      <c r="F1247" s="116">
        <v>670.5</v>
      </c>
      <c r="G1247">
        <v>96850</v>
      </c>
      <c r="H1247" s="116"/>
      <c r="I1247" s="116"/>
      <c r="L1247" s="170">
        <v>45527</v>
      </c>
      <c r="M1247" s="116">
        <v>670.95</v>
      </c>
      <c r="N1247" s="116">
        <v>689</v>
      </c>
      <c r="O1247" s="116">
        <v>668.1</v>
      </c>
      <c r="P1247" s="116">
        <v>686.8</v>
      </c>
      <c r="Q1247" s="116">
        <v>670.95</v>
      </c>
      <c r="R1247">
        <v>827679</v>
      </c>
    </row>
    <row r="1248" spans="1:18" x14ac:dyDescent="0.25">
      <c r="A1248" s="170">
        <v>45530</v>
      </c>
      <c r="B1248" s="116">
        <v>682.4</v>
      </c>
      <c r="C1248" s="116">
        <v>676.9</v>
      </c>
      <c r="D1248" s="116">
        <v>672</v>
      </c>
      <c r="E1248" s="116">
        <v>677.1</v>
      </c>
      <c r="F1248" s="116">
        <v>676.9</v>
      </c>
      <c r="G1248">
        <v>31108</v>
      </c>
      <c r="H1248" s="116"/>
      <c r="I1248" s="116"/>
      <c r="L1248" s="170">
        <v>45530</v>
      </c>
      <c r="M1248" s="116">
        <v>676.5</v>
      </c>
      <c r="N1248" s="116">
        <v>682.8</v>
      </c>
      <c r="O1248" s="116">
        <v>672</v>
      </c>
      <c r="P1248" s="116">
        <v>676.55</v>
      </c>
      <c r="Q1248" s="116">
        <v>676.5</v>
      </c>
      <c r="R1248">
        <v>481693</v>
      </c>
    </row>
    <row r="1249" spans="1:18" x14ac:dyDescent="0.25">
      <c r="A1249" s="170">
        <v>45531</v>
      </c>
      <c r="B1249" s="116">
        <v>682</v>
      </c>
      <c r="C1249" s="116">
        <v>667.55</v>
      </c>
      <c r="D1249" s="116">
        <v>663.3</v>
      </c>
      <c r="E1249" s="116">
        <v>679.95</v>
      </c>
      <c r="F1249" s="116">
        <v>667.55</v>
      </c>
      <c r="G1249">
        <v>90458</v>
      </c>
      <c r="H1249" s="116"/>
      <c r="I1249" s="116"/>
      <c r="L1249" s="170">
        <v>45531</v>
      </c>
      <c r="M1249" s="116">
        <v>667.3</v>
      </c>
      <c r="N1249" s="116">
        <v>683</v>
      </c>
      <c r="O1249" s="116">
        <v>660.6</v>
      </c>
      <c r="P1249" s="116">
        <v>677.1</v>
      </c>
      <c r="Q1249" s="116">
        <v>667.3</v>
      </c>
      <c r="R1249">
        <v>514113</v>
      </c>
    </row>
    <row r="1250" spans="1:18" x14ac:dyDescent="0.25">
      <c r="A1250" s="170">
        <v>45532</v>
      </c>
      <c r="B1250" s="116">
        <v>689</v>
      </c>
      <c r="C1250" s="116">
        <v>673.7</v>
      </c>
      <c r="D1250" s="116">
        <v>667.55</v>
      </c>
      <c r="E1250" s="116">
        <v>667.55</v>
      </c>
      <c r="F1250" s="116">
        <v>673.7</v>
      </c>
      <c r="G1250">
        <v>78535</v>
      </c>
      <c r="H1250" s="116"/>
      <c r="I1250" s="116"/>
      <c r="L1250" s="170">
        <v>45532</v>
      </c>
      <c r="M1250" s="116">
        <v>673.9</v>
      </c>
      <c r="N1250" s="116">
        <v>688.8</v>
      </c>
      <c r="O1250" s="116">
        <v>667.3</v>
      </c>
      <c r="P1250" s="116">
        <v>667.3</v>
      </c>
      <c r="Q1250" s="116">
        <v>673.9</v>
      </c>
      <c r="R1250">
        <v>573118</v>
      </c>
    </row>
    <row r="1251" spans="1:18" x14ac:dyDescent="0.25">
      <c r="A1251" s="170">
        <v>45533</v>
      </c>
      <c r="B1251" s="116">
        <v>678.5</v>
      </c>
      <c r="C1251" s="116">
        <v>662.6</v>
      </c>
      <c r="D1251" s="116">
        <v>659</v>
      </c>
      <c r="E1251" s="116">
        <v>673.7</v>
      </c>
      <c r="F1251" s="116">
        <v>662.6</v>
      </c>
      <c r="G1251">
        <v>29910</v>
      </c>
      <c r="H1251" s="116"/>
      <c r="I1251" s="116"/>
      <c r="L1251" s="170">
        <v>45533</v>
      </c>
      <c r="M1251" s="116">
        <v>662.65</v>
      </c>
      <c r="N1251" s="116">
        <v>679.2</v>
      </c>
      <c r="O1251" s="116">
        <v>658.1</v>
      </c>
      <c r="P1251" s="116">
        <v>674.3</v>
      </c>
      <c r="Q1251" s="116">
        <v>662.65</v>
      </c>
      <c r="R1251">
        <v>512293</v>
      </c>
    </row>
    <row r="1252" spans="1:18" x14ac:dyDescent="0.25">
      <c r="A1252" s="170">
        <v>45534</v>
      </c>
      <c r="B1252" s="116">
        <v>676.95</v>
      </c>
      <c r="C1252" s="116">
        <v>672.85</v>
      </c>
      <c r="D1252" s="116">
        <v>659</v>
      </c>
      <c r="E1252" s="116">
        <v>665</v>
      </c>
      <c r="F1252" s="116">
        <v>672.85</v>
      </c>
      <c r="G1252">
        <v>28971</v>
      </c>
      <c r="H1252" s="116"/>
      <c r="I1252" s="116"/>
      <c r="L1252" s="170">
        <v>45534</v>
      </c>
      <c r="M1252" s="116">
        <v>673.2</v>
      </c>
      <c r="N1252" s="116">
        <v>677.05</v>
      </c>
      <c r="O1252" s="116">
        <v>657.5</v>
      </c>
      <c r="P1252" s="116">
        <v>665.95</v>
      </c>
      <c r="Q1252" s="116">
        <v>673.2</v>
      </c>
      <c r="R1252">
        <v>846436</v>
      </c>
    </row>
    <row r="1253" spans="1:18" x14ac:dyDescent="0.25">
      <c r="A1253" s="170">
        <v>45537</v>
      </c>
      <c r="B1253" s="116">
        <v>693</v>
      </c>
      <c r="C1253" s="116">
        <v>678.9</v>
      </c>
      <c r="D1253" s="116">
        <v>668.75</v>
      </c>
      <c r="E1253" s="116">
        <v>679.7</v>
      </c>
      <c r="F1253" s="116">
        <v>678.9</v>
      </c>
      <c r="G1253">
        <v>43458</v>
      </c>
      <c r="H1253" s="116"/>
      <c r="I1253" s="116"/>
      <c r="L1253" s="170">
        <v>45537</v>
      </c>
      <c r="M1253" s="116">
        <v>678.95</v>
      </c>
      <c r="N1253" s="116">
        <v>693.5</v>
      </c>
      <c r="O1253" s="116">
        <v>668.35</v>
      </c>
      <c r="P1253" s="116">
        <v>677</v>
      </c>
      <c r="Q1253" s="116">
        <v>678.95</v>
      </c>
      <c r="R1253">
        <v>775813</v>
      </c>
    </row>
    <row r="1254" spans="1:18" x14ac:dyDescent="0.25">
      <c r="A1254" s="170">
        <v>45538</v>
      </c>
      <c r="B1254" s="116">
        <v>684</v>
      </c>
      <c r="C1254" s="116">
        <v>680.35</v>
      </c>
      <c r="D1254" s="116">
        <v>671.1</v>
      </c>
      <c r="E1254" s="116">
        <v>683</v>
      </c>
      <c r="F1254" s="116">
        <v>680.35</v>
      </c>
      <c r="G1254">
        <v>23423</v>
      </c>
      <c r="H1254" s="116"/>
      <c r="I1254" s="116"/>
      <c r="L1254" s="170">
        <v>45538</v>
      </c>
      <c r="M1254" s="116">
        <v>680.65</v>
      </c>
      <c r="N1254" s="116">
        <v>684.5</v>
      </c>
      <c r="O1254" s="116">
        <v>671.25</v>
      </c>
      <c r="P1254" s="116">
        <v>683</v>
      </c>
      <c r="Q1254" s="116">
        <v>680.65</v>
      </c>
      <c r="R1254">
        <v>495250</v>
      </c>
    </row>
    <row r="1255" spans="1:18" x14ac:dyDescent="0.25">
      <c r="A1255" s="170">
        <v>45539</v>
      </c>
      <c r="B1255" s="116">
        <v>708</v>
      </c>
      <c r="C1255" s="116">
        <v>689.7</v>
      </c>
      <c r="D1255" s="116">
        <v>675.85</v>
      </c>
      <c r="E1255" s="116">
        <v>678.5</v>
      </c>
      <c r="F1255" s="116">
        <v>689.7</v>
      </c>
      <c r="G1255">
        <v>63727</v>
      </c>
      <c r="H1255" s="116"/>
      <c r="I1255" s="116"/>
      <c r="L1255" s="170">
        <v>45539</v>
      </c>
      <c r="M1255" s="116">
        <v>689.6</v>
      </c>
      <c r="N1255" s="116">
        <v>708.5</v>
      </c>
      <c r="O1255" s="116">
        <v>675.45</v>
      </c>
      <c r="P1255" s="116">
        <v>680.65</v>
      </c>
      <c r="Q1255" s="116">
        <v>689.6</v>
      </c>
      <c r="R1255">
        <v>1457617</v>
      </c>
    </row>
    <row r="1256" spans="1:18" x14ac:dyDescent="0.25">
      <c r="A1256" s="170">
        <v>45540</v>
      </c>
      <c r="B1256" s="116">
        <v>724.15</v>
      </c>
      <c r="C1256" s="116">
        <v>724.15</v>
      </c>
      <c r="D1256" s="116">
        <v>690</v>
      </c>
      <c r="E1256" s="116">
        <v>690.05</v>
      </c>
      <c r="F1256" s="116">
        <v>724.15</v>
      </c>
      <c r="G1256">
        <v>223792</v>
      </c>
      <c r="H1256" s="116"/>
      <c r="I1256" s="116"/>
      <c r="L1256" s="170">
        <v>45540</v>
      </c>
      <c r="M1256" s="116">
        <v>724.05</v>
      </c>
      <c r="N1256" s="116">
        <v>724.05</v>
      </c>
      <c r="O1256" s="116">
        <v>690</v>
      </c>
      <c r="P1256" s="116">
        <v>692.35</v>
      </c>
      <c r="Q1256" s="116">
        <v>724.05</v>
      </c>
      <c r="R1256">
        <v>1437956</v>
      </c>
    </row>
    <row r="1257" spans="1:18" x14ac:dyDescent="0.25">
      <c r="A1257" s="170">
        <v>45541</v>
      </c>
      <c r="B1257" s="116">
        <v>744.95</v>
      </c>
      <c r="C1257" s="116">
        <v>705.6</v>
      </c>
      <c r="D1257" s="116">
        <v>694.5</v>
      </c>
      <c r="E1257" s="116">
        <v>734</v>
      </c>
      <c r="F1257" s="116">
        <v>705.6</v>
      </c>
      <c r="G1257">
        <v>244202</v>
      </c>
      <c r="H1257" s="116"/>
      <c r="I1257" s="116"/>
      <c r="L1257" s="170">
        <v>45541</v>
      </c>
      <c r="M1257" s="116">
        <v>705.35</v>
      </c>
      <c r="N1257" s="116">
        <v>745</v>
      </c>
      <c r="O1257" s="116">
        <v>695</v>
      </c>
      <c r="P1257" s="116">
        <v>733</v>
      </c>
      <c r="Q1257" s="116">
        <v>705.35</v>
      </c>
      <c r="R1257">
        <v>1551059</v>
      </c>
    </row>
    <row r="1258" spans="1:18" x14ac:dyDescent="0.25">
      <c r="A1258" s="170">
        <v>45544</v>
      </c>
      <c r="B1258" s="116">
        <v>709</v>
      </c>
      <c r="C1258" s="116">
        <v>696.65</v>
      </c>
      <c r="D1258" s="116">
        <v>684.15</v>
      </c>
      <c r="E1258" s="116">
        <v>702.15</v>
      </c>
      <c r="F1258" s="116">
        <v>696.65</v>
      </c>
      <c r="G1258">
        <v>185776</v>
      </c>
      <c r="H1258" s="116"/>
      <c r="I1258" s="116"/>
      <c r="L1258" s="170">
        <v>45544</v>
      </c>
      <c r="M1258" s="116">
        <v>696.65</v>
      </c>
      <c r="N1258" s="116">
        <v>709.5</v>
      </c>
      <c r="O1258" s="116">
        <v>684.05</v>
      </c>
      <c r="P1258" s="116">
        <v>705</v>
      </c>
      <c r="Q1258" s="116">
        <v>696.65</v>
      </c>
      <c r="R1258">
        <v>927067</v>
      </c>
    </row>
    <row r="1259" spans="1:18" x14ac:dyDescent="0.25">
      <c r="A1259" s="170">
        <v>45545</v>
      </c>
      <c r="B1259" s="116">
        <v>731.45</v>
      </c>
      <c r="C1259" s="116">
        <v>730.35</v>
      </c>
      <c r="D1259" s="116">
        <v>699.25</v>
      </c>
      <c r="E1259" s="116">
        <v>699.25</v>
      </c>
      <c r="F1259" s="116">
        <v>730.35</v>
      </c>
      <c r="G1259">
        <v>225755</v>
      </c>
      <c r="H1259" s="116"/>
      <c r="I1259" s="116"/>
      <c r="L1259" s="170">
        <v>45545</v>
      </c>
      <c r="M1259" s="116">
        <v>729.9</v>
      </c>
      <c r="N1259" s="116">
        <v>731.45</v>
      </c>
      <c r="O1259" s="116">
        <v>699.65</v>
      </c>
      <c r="P1259" s="116">
        <v>700</v>
      </c>
      <c r="Q1259" s="116">
        <v>729.9</v>
      </c>
      <c r="R1259">
        <v>1399115</v>
      </c>
    </row>
    <row r="1260" spans="1:18" x14ac:dyDescent="0.25">
      <c r="A1260" s="170">
        <v>45546</v>
      </c>
      <c r="B1260" s="116">
        <v>741.9</v>
      </c>
      <c r="C1260" s="116">
        <v>712.15</v>
      </c>
      <c r="D1260" s="116">
        <v>702.5</v>
      </c>
      <c r="E1260" s="116">
        <v>729.4</v>
      </c>
      <c r="F1260" s="116">
        <v>712.15</v>
      </c>
      <c r="G1260">
        <v>185654</v>
      </c>
      <c r="H1260" s="116"/>
      <c r="I1260" s="116"/>
      <c r="L1260" s="170">
        <v>45546</v>
      </c>
      <c r="M1260" s="116">
        <v>712.25</v>
      </c>
      <c r="N1260" s="116">
        <v>742</v>
      </c>
      <c r="O1260" s="116">
        <v>702.9</v>
      </c>
      <c r="P1260" s="116">
        <v>729</v>
      </c>
      <c r="Q1260" s="116">
        <v>712.25</v>
      </c>
      <c r="R1260">
        <v>1382705</v>
      </c>
    </row>
    <row r="1261" spans="1:18" x14ac:dyDescent="0.25">
      <c r="A1261" s="170">
        <v>45547</v>
      </c>
      <c r="B1261" s="116">
        <v>730</v>
      </c>
      <c r="C1261" s="116">
        <v>722.25</v>
      </c>
      <c r="D1261" s="116">
        <v>705.2</v>
      </c>
      <c r="E1261" s="116">
        <v>719.95</v>
      </c>
      <c r="F1261" s="116">
        <v>722.25</v>
      </c>
      <c r="G1261">
        <v>38840</v>
      </c>
      <c r="H1261" s="116"/>
      <c r="I1261" s="116"/>
      <c r="L1261" s="170">
        <v>45547</v>
      </c>
      <c r="M1261" s="116">
        <v>722.35</v>
      </c>
      <c r="N1261" s="116">
        <v>730</v>
      </c>
      <c r="O1261" s="116">
        <v>705.05</v>
      </c>
      <c r="P1261" s="116">
        <v>718.25</v>
      </c>
      <c r="Q1261" s="116">
        <v>722.35</v>
      </c>
      <c r="R1261">
        <v>816211</v>
      </c>
    </row>
    <row r="1262" spans="1:18" x14ac:dyDescent="0.25">
      <c r="A1262" s="170">
        <v>45548</v>
      </c>
      <c r="B1262" s="116">
        <v>758.35</v>
      </c>
      <c r="C1262" s="116">
        <v>741.95</v>
      </c>
      <c r="D1262" s="116">
        <v>720.8</v>
      </c>
      <c r="E1262" s="116">
        <v>720.8</v>
      </c>
      <c r="F1262" s="116">
        <v>741.95</v>
      </c>
      <c r="G1262">
        <v>218014</v>
      </c>
      <c r="H1262" s="116"/>
      <c r="I1262" s="116"/>
      <c r="L1262" s="170">
        <v>45548</v>
      </c>
      <c r="M1262" s="116">
        <v>741.85</v>
      </c>
      <c r="N1262" s="116">
        <v>758.45</v>
      </c>
      <c r="O1262" s="116">
        <v>722.35</v>
      </c>
      <c r="P1262" s="116">
        <v>725.8</v>
      </c>
      <c r="Q1262" s="116">
        <v>741.85</v>
      </c>
      <c r="R1262">
        <v>2996155</v>
      </c>
    </row>
    <row r="1263" spans="1:18" x14ac:dyDescent="0.25">
      <c r="A1263" s="170">
        <v>45551</v>
      </c>
      <c r="B1263" s="116">
        <v>748.55</v>
      </c>
      <c r="C1263" s="116">
        <v>720.85</v>
      </c>
      <c r="D1263" s="116">
        <v>708</v>
      </c>
      <c r="E1263" s="116">
        <v>744.8</v>
      </c>
      <c r="F1263" s="116">
        <v>720.85</v>
      </c>
      <c r="G1263">
        <v>154113</v>
      </c>
      <c r="H1263" s="116"/>
      <c r="I1263" s="116"/>
      <c r="L1263" s="170">
        <v>45551</v>
      </c>
      <c r="M1263" s="116">
        <v>720.55</v>
      </c>
      <c r="N1263" s="116">
        <v>746.95</v>
      </c>
      <c r="O1263" s="116">
        <v>710</v>
      </c>
      <c r="P1263" s="116">
        <v>744</v>
      </c>
      <c r="Q1263" s="116">
        <v>720.55</v>
      </c>
      <c r="R1263">
        <v>948252</v>
      </c>
    </row>
    <row r="1264" spans="1:18" x14ac:dyDescent="0.25">
      <c r="A1264" s="170">
        <v>45552</v>
      </c>
      <c r="B1264" s="116">
        <v>741</v>
      </c>
      <c r="C1264" s="116">
        <v>732.75</v>
      </c>
      <c r="D1264" s="116">
        <v>715.1</v>
      </c>
      <c r="E1264" s="116">
        <v>724.45</v>
      </c>
      <c r="F1264" s="116">
        <v>732.75</v>
      </c>
      <c r="G1264">
        <v>125808</v>
      </c>
      <c r="H1264" s="116"/>
      <c r="I1264" s="116"/>
      <c r="L1264" s="170">
        <v>45552</v>
      </c>
      <c r="M1264" s="116">
        <v>733.25</v>
      </c>
      <c r="N1264" s="116">
        <v>741.1</v>
      </c>
      <c r="O1264" s="116">
        <v>714</v>
      </c>
      <c r="P1264" s="116">
        <v>721</v>
      </c>
      <c r="Q1264" s="116">
        <v>733.25</v>
      </c>
      <c r="R1264">
        <v>793121</v>
      </c>
    </row>
    <row r="1265" spans="1:18" x14ac:dyDescent="0.25">
      <c r="A1265" s="170">
        <v>45553</v>
      </c>
      <c r="B1265" s="116">
        <v>745.1</v>
      </c>
      <c r="C1265" s="116">
        <v>711.4</v>
      </c>
      <c r="D1265" s="116">
        <v>708.65</v>
      </c>
      <c r="E1265" s="116">
        <v>735.75</v>
      </c>
      <c r="F1265" s="116">
        <v>711.4</v>
      </c>
      <c r="G1265">
        <v>75011</v>
      </c>
      <c r="H1265" s="116"/>
      <c r="I1265" s="116"/>
      <c r="L1265" s="170">
        <v>45553</v>
      </c>
      <c r="M1265" s="116">
        <v>711.1</v>
      </c>
      <c r="N1265" s="116">
        <v>745.6</v>
      </c>
      <c r="O1265" s="116">
        <v>708</v>
      </c>
      <c r="P1265" s="116">
        <v>734.95</v>
      </c>
      <c r="Q1265" s="116">
        <v>711.1</v>
      </c>
      <c r="R1265">
        <v>1110202</v>
      </c>
    </row>
    <row r="1266" spans="1:18" x14ac:dyDescent="0.25">
      <c r="A1266" s="170">
        <v>45554</v>
      </c>
      <c r="B1266" s="116">
        <v>723.55</v>
      </c>
      <c r="C1266" s="116">
        <v>688.55</v>
      </c>
      <c r="D1266" s="116">
        <v>675.85</v>
      </c>
      <c r="E1266" s="116">
        <v>723.55</v>
      </c>
      <c r="F1266" s="116">
        <v>688.55</v>
      </c>
      <c r="G1266">
        <v>256710</v>
      </c>
      <c r="H1266" s="116"/>
      <c r="I1266" s="116"/>
      <c r="L1266" s="170">
        <v>45554</v>
      </c>
      <c r="M1266" s="116">
        <v>688.25</v>
      </c>
      <c r="N1266" s="116">
        <v>722.7</v>
      </c>
      <c r="O1266" s="116">
        <v>675.55</v>
      </c>
      <c r="P1266" s="116">
        <v>720</v>
      </c>
      <c r="Q1266" s="116">
        <v>688.25</v>
      </c>
      <c r="R1266">
        <v>1450374</v>
      </c>
    </row>
    <row r="1267" spans="1:18" x14ac:dyDescent="0.25">
      <c r="A1267" s="170">
        <v>45555</v>
      </c>
      <c r="B1267" s="116">
        <v>722</v>
      </c>
      <c r="C1267" s="116">
        <v>720.35</v>
      </c>
      <c r="D1267" s="116">
        <v>694.95</v>
      </c>
      <c r="E1267" s="116">
        <v>702.4</v>
      </c>
      <c r="F1267" s="116">
        <v>720.35</v>
      </c>
      <c r="G1267">
        <v>189240</v>
      </c>
      <c r="H1267" s="116"/>
      <c r="I1267" s="116"/>
      <c r="L1267" s="170">
        <v>45555</v>
      </c>
      <c r="M1267" s="116">
        <v>720.6</v>
      </c>
      <c r="N1267" s="116">
        <v>722.65</v>
      </c>
      <c r="O1267" s="116">
        <v>693.55</v>
      </c>
      <c r="P1267" s="116">
        <v>705.2</v>
      </c>
      <c r="Q1267" s="116">
        <v>720.6</v>
      </c>
      <c r="R1267">
        <v>1572591</v>
      </c>
    </row>
    <row r="1268" spans="1:18" x14ac:dyDescent="0.25">
      <c r="A1268" s="170">
        <v>45558</v>
      </c>
      <c r="B1268" s="116">
        <v>721.45</v>
      </c>
      <c r="C1268" s="116">
        <v>685.35</v>
      </c>
      <c r="D1268" s="116">
        <v>684.35</v>
      </c>
      <c r="E1268" s="116">
        <v>720.15</v>
      </c>
      <c r="F1268" s="116">
        <v>685.35</v>
      </c>
      <c r="G1268">
        <v>201033</v>
      </c>
      <c r="H1268" s="116"/>
      <c r="I1268" s="116"/>
      <c r="L1268" s="170">
        <v>45558</v>
      </c>
      <c r="M1268" s="116">
        <v>685.3</v>
      </c>
      <c r="N1268" s="116">
        <v>721.45</v>
      </c>
      <c r="O1268" s="116">
        <v>684.6</v>
      </c>
      <c r="P1268" s="116">
        <v>710</v>
      </c>
      <c r="Q1268" s="116">
        <v>685.3</v>
      </c>
      <c r="R1268">
        <v>2167437</v>
      </c>
    </row>
    <row r="1269" spans="1:18" x14ac:dyDescent="0.25">
      <c r="A1269" s="170">
        <v>45559</v>
      </c>
      <c r="B1269" s="116">
        <v>699.8</v>
      </c>
      <c r="C1269" s="116">
        <v>664.45</v>
      </c>
      <c r="D1269" s="116">
        <v>661.5</v>
      </c>
      <c r="E1269" s="116">
        <v>697.35</v>
      </c>
      <c r="F1269" s="116">
        <v>664.45</v>
      </c>
      <c r="G1269">
        <v>193984</v>
      </c>
      <c r="H1269" s="116"/>
      <c r="I1269" s="116"/>
      <c r="L1269" s="170">
        <v>45559</v>
      </c>
      <c r="M1269" s="116">
        <v>664.45</v>
      </c>
      <c r="N1269" s="116">
        <v>699.8</v>
      </c>
      <c r="O1269" s="116">
        <v>660.55</v>
      </c>
      <c r="P1269" s="116">
        <v>695</v>
      </c>
      <c r="Q1269" s="116">
        <v>664.45</v>
      </c>
      <c r="R1269">
        <v>1398985</v>
      </c>
    </row>
    <row r="1270" spans="1:18" x14ac:dyDescent="0.25">
      <c r="A1270" s="170">
        <v>45560</v>
      </c>
      <c r="B1270" s="116">
        <v>679.9</v>
      </c>
      <c r="C1270" s="116">
        <v>665.05</v>
      </c>
      <c r="D1270" s="116">
        <v>662.05</v>
      </c>
      <c r="E1270" s="116">
        <v>670.05</v>
      </c>
      <c r="F1270" s="116">
        <v>665.05</v>
      </c>
      <c r="G1270">
        <v>139042</v>
      </c>
      <c r="H1270" s="116"/>
      <c r="I1270" s="116"/>
      <c r="L1270" s="170">
        <v>45560</v>
      </c>
      <c r="M1270" s="116">
        <v>665</v>
      </c>
      <c r="N1270" s="116">
        <v>680</v>
      </c>
      <c r="O1270" s="116">
        <v>661.1</v>
      </c>
      <c r="P1270" s="116">
        <v>669.95</v>
      </c>
      <c r="Q1270" s="116">
        <v>665</v>
      </c>
      <c r="R1270">
        <v>710094</v>
      </c>
    </row>
    <row r="1271" spans="1:18" x14ac:dyDescent="0.25">
      <c r="A1271" s="170">
        <v>45561</v>
      </c>
      <c r="B1271" s="116">
        <v>672</v>
      </c>
      <c r="C1271" s="116">
        <v>642</v>
      </c>
      <c r="D1271" s="116">
        <v>632.45000000000005</v>
      </c>
      <c r="E1271" s="116">
        <v>671.8</v>
      </c>
      <c r="F1271" s="116">
        <v>642</v>
      </c>
      <c r="G1271">
        <v>219047</v>
      </c>
      <c r="H1271" s="116"/>
      <c r="I1271" s="116"/>
      <c r="L1271" s="170">
        <v>45561</v>
      </c>
      <c r="M1271" s="116">
        <v>642.45000000000005</v>
      </c>
      <c r="N1271" s="116">
        <v>671.25</v>
      </c>
      <c r="O1271" s="116">
        <v>633</v>
      </c>
      <c r="P1271" s="116">
        <v>669</v>
      </c>
      <c r="Q1271" s="116">
        <v>642.45000000000005</v>
      </c>
      <c r="R1271">
        <v>1945520</v>
      </c>
    </row>
    <row r="1272" spans="1:18" x14ac:dyDescent="0.25">
      <c r="A1272" s="170">
        <v>45562</v>
      </c>
      <c r="B1272" s="116">
        <v>665</v>
      </c>
      <c r="C1272" s="116">
        <v>649.6</v>
      </c>
      <c r="D1272" s="116">
        <v>625.54999999999995</v>
      </c>
      <c r="E1272" s="116">
        <v>644.29999999999995</v>
      </c>
      <c r="F1272" s="116">
        <v>649.6</v>
      </c>
      <c r="G1272">
        <v>2516813</v>
      </c>
      <c r="H1272" s="116"/>
      <c r="I1272" s="116"/>
      <c r="L1272" s="170">
        <v>45562</v>
      </c>
      <c r="M1272" s="116">
        <v>648.75</v>
      </c>
      <c r="N1272" s="116">
        <v>665</v>
      </c>
      <c r="O1272" s="116">
        <v>623</v>
      </c>
      <c r="P1272" s="116">
        <v>643</v>
      </c>
      <c r="Q1272" s="116">
        <v>648.75</v>
      </c>
      <c r="R1272">
        <v>27718473</v>
      </c>
    </row>
    <row r="1273" spans="1:18" x14ac:dyDescent="0.25">
      <c r="A1273" s="170">
        <v>45565</v>
      </c>
      <c r="B1273" s="116">
        <v>653.20000000000005</v>
      </c>
      <c r="C1273" s="116">
        <v>617.15</v>
      </c>
      <c r="D1273" s="116">
        <v>617.15</v>
      </c>
      <c r="E1273" s="116">
        <v>650.04999999999995</v>
      </c>
      <c r="F1273" s="116">
        <v>617.15</v>
      </c>
      <c r="G1273">
        <v>396048</v>
      </c>
      <c r="H1273" s="116"/>
      <c r="I1273" s="116"/>
      <c r="L1273" s="170">
        <v>45565</v>
      </c>
      <c r="M1273" s="116">
        <v>616.4</v>
      </c>
      <c r="N1273" s="116">
        <v>652.75</v>
      </c>
      <c r="O1273" s="116">
        <v>616.35</v>
      </c>
      <c r="P1273" s="116">
        <v>649.9</v>
      </c>
      <c r="Q1273" s="116">
        <v>616.4</v>
      </c>
      <c r="R1273">
        <v>4002570</v>
      </c>
    </row>
    <row r="1274" spans="1:18" x14ac:dyDescent="0.25">
      <c r="A1274" s="170">
        <v>45566</v>
      </c>
      <c r="B1274" s="116">
        <v>626.5</v>
      </c>
      <c r="C1274" s="116">
        <v>598.75</v>
      </c>
      <c r="D1274" s="116">
        <v>586.29999999999995</v>
      </c>
      <c r="E1274" s="116">
        <v>614.5</v>
      </c>
      <c r="F1274" s="116">
        <v>598.75</v>
      </c>
      <c r="G1274">
        <v>753350</v>
      </c>
      <c r="H1274" s="116"/>
      <c r="I1274" s="116"/>
      <c r="L1274" s="170">
        <v>45566</v>
      </c>
      <c r="M1274" s="116">
        <v>599.1</v>
      </c>
      <c r="N1274" s="116">
        <v>625.79999999999995</v>
      </c>
      <c r="O1274" s="116">
        <v>585.6</v>
      </c>
      <c r="P1274" s="116">
        <v>614</v>
      </c>
      <c r="Q1274" s="116">
        <v>599.1</v>
      </c>
      <c r="R1274">
        <v>7325755</v>
      </c>
    </row>
    <row r="1275" spans="1:18" x14ac:dyDescent="0.25">
      <c r="A1275" s="170">
        <v>45568</v>
      </c>
      <c r="B1275" s="116">
        <v>600.6</v>
      </c>
      <c r="C1275" s="116">
        <v>568.9</v>
      </c>
      <c r="D1275" s="116">
        <v>568.85</v>
      </c>
      <c r="E1275" s="116">
        <v>584.95000000000005</v>
      </c>
      <c r="F1275" s="116">
        <v>568.9</v>
      </c>
      <c r="G1275">
        <v>183143</v>
      </c>
      <c r="H1275" s="116"/>
      <c r="I1275" s="116"/>
      <c r="L1275" s="170">
        <v>45568</v>
      </c>
      <c r="M1275" s="116">
        <v>569.15</v>
      </c>
      <c r="N1275" s="116">
        <v>601</v>
      </c>
      <c r="O1275" s="116">
        <v>569.15</v>
      </c>
      <c r="P1275" s="116">
        <v>580.25</v>
      </c>
      <c r="Q1275" s="116">
        <v>569.15</v>
      </c>
      <c r="R1275">
        <v>3154834</v>
      </c>
    </row>
    <row r="1276" spans="1:18" x14ac:dyDescent="0.25">
      <c r="A1276" s="170">
        <v>45569</v>
      </c>
      <c r="B1276" s="116">
        <v>573.95000000000005</v>
      </c>
      <c r="C1276" s="116">
        <v>547.15</v>
      </c>
      <c r="D1276" s="116">
        <v>542</v>
      </c>
      <c r="E1276" s="116">
        <v>573.95000000000005</v>
      </c>
      <c r="F1276" s="116">
        <v>547.15</v>
      </c>
      <c r="G1276">
        <v>291679</v>
      </c>
      <c r="H1276" s="116"/>
      <c r="I1276" s="116"/>
      <c r="L1276" s="170">
        <v>45569</v>
      </c>
      <c r="M1276" s="116">
        <v>546.6</v>
      </c>
      <c r="N1276" s="116">
        <v>571.79999999999995</v>
      </c>
      <c r="O1276" s="116">
        <v>541.04999999999995</v>
      </c>
      <c r="P1276" s="116">
        <v>571</v>
      </c>
      <c r="Q1276" s="116">
        <v>546.6</v>
      </c>
      <c r="R1276">
        <v>4522750</v>
      </c>
    </row>
    <row r="1277" spans="1:18" x14ac:dyDescent="0.25">
      <c r="A1277" s="170">
        <v>45572</v>
      </c>
      <c r="B1277" s="116">
        <v>556.95000000000005</v>
      </c>
      <c r="C1277" s="116">
        <v>519.79999999999995</v>
      </c>
      <c r="D1277" s="116">
        <v>519.79999999999995</v>
      </c>
      <c r="E1277" s="116">
        <v>550.1</v>
      </c>
      <c r="F1277" s="116">
        <v>519.79999999999995</v>
      </c>
      <c r="G1277">
        <v>472523</v>
      </c>
      <c r="H1277" s="116"/>
      <c r="I1277" s="116"/>
      <c r="L1277" s="170">
        <v>45572</v>
      </c>
      <c r="M1277" s="116">
        <v>519.29999999999995</v>
      </c>
      <c r="N1277" s="116">
        <v>557</v>
      </c>
      <c r="O1277" s="116">
        <v>519.29999999999995</v>
      </c>
      <c r="P1277" s="116">
        <v>552.25</v>
      </c>
      <c r="Q1277" s="116">
        <v>519.29999999999995</v>
      </c>
      <c r="R1277">
        <v>2623303</v>
      </c>
    </row>
    <row r="1278" spans="1:18" x14ac:dyDescent="0.25">
      <c r="A1278" s="170">
        <v>45573</v>
      </c>
      <c r="B1278" s="116">
        <v>542.29999999999995</v>
      </c>
      <c r="C1278" s="116">
        <v>536.04999999999995</v>
      </c>
      <c r="D1278" s="116">
        <v>504.95</v>
      </c>
      <c r="E1278" s="116">
        <v>518.04999999999995</v>
      </c>
      <c r="F1278" s="116">
        <v>536.04999999999995</v>
      </c>
      <c r="G1278">
        <v>270672</v>
      </c>
      <c r="H1278" s="116"/>
      <c r="I1278" s="116"/>
      <c r="L1278" s="170">
        <v>45573</v>
      </c>
      <c r="M1278" s="116">
        <v>535.29999999999995</v>
      </c>
      <c r="N1278" s="116">
        <v>542.20000000000005</v>
      </c>
      <c r="O1278" s="116">
        <v>504.05</v>
      </c>
      <c r="P1278" s="116">
        <v>519.29999999999995</v>
      </c>
      <c r="Q1278" s="116">
        <v>535.29999999999995</v>
      </c>
      <c r="R1278">
        <v>3031822</v>
      </c>
    </row>
    <row r="1279" spans="1:18" x14ac:dyDescent="0.25">
      <c r="A1279" s="170">
        <v>45574</v>
      </c>
      <c r="B1279" s="116">
        <v>554.04999999999995</v>
      </c>
      <c r="C1279" s="116">
        <v>540.70000000000005</v>
      </c>
      <c r="D1279" s="116">
        <v>536</v>
      </c>
      <c r="E1279" s="116">
        <v>542.04999999999995</v>
      </c>
      <c r="F1279" s="116">
        <v>540.70000000000005</v>
      </c>
      <c r="G1279">
        <v>200267</v>
      </c>
      <c r="H1279" s="116"/>
      <c r="I1279" s="116"/>
      <c r="L1279" s="170">
        <v>45574</v>
      </c>
      <c r="M1279" s="116">
        <v>540.65</v>
      </c>
      <c r="N1279" s="116">
        <v>553.79999999999995</v>
      </c>
      <c r="O1279" s="116">
        <v>536</v>
      </c>
      <c r="P1279" s="116">
        <v>539.85</v>
      </c>
      <c r="Q1279" s="116">
        <v>540.65</v>
      </c>
      <c r="R1279">
        <v>1747559</v>
      </c>
    </row>
    <row r="1280" spans="1:18" x14ac:dyDescent="0.25">
      <c r="A1280" s="170">
        <v>45575</v>
      </c>
      <c r="B1280" s="116">
        <v>567.70000000000005</v>
      </c>
      <c r="C1280" s="116">
        <v>567.70000000000005</v>
      </c>
      <c r="D1280" s="116">
        <v>541.29999999999995</v>
      </c>
      <c r="E1280" s="116">
        <v>547</v>
      </c>
      <c r="F1280" s="116">
        <v>567.70000000000005</v>
      </c>
      <c r="G1280">
        <v>167056</v>
      </c>
      <c r="H1280" s="116"/>
      <c r="I1280" s="116"/>
      <c r="L1280" s="170">
        <v>45575</v>
      </c>
      <c r="M1280" s="116">
        <v>567.65</v>
      </c>
      <c r="N1280" s="116">
        <v>567.65</v>
      </c>
      <c r="O1280" s="116">
        <v>541.25</v>
      </c>
      <c r="P1280" s="116">
        <v>546.70000000000005</v>
      </c>
      <c r="Q1280" s="116">
        <v>567.65</v>
      </c>
      <c r="R1280">
        <v>686709</v>
      </c>
    </row>
    <row r="1281" spans="1:18" x14ac:dyDescent="0.25">
      <c r="A1281" s="170">
        <v>45576</v>
      </c>
      <c r="B1281" s="116">
        <v>596.04999999999995</v>
      </c>
      <c r="C1281" s="116">
        <v>566.04999999999995</v>
      </c>
      <c r="D1281" s="116">
        <v>562.95000000000005</v>
      </c>
      <c r="E1281" s="116">
        <v>596.04999999999995</v>
      </c>
      <c r="F1281" s="116">
        <v>566.04999999999995</v>
      </c>
      <c r="G1281">
        <v>394151</v>
      </c>
      <c r="H1281" s="116"/>
      <c r="I1281" s="116"/>
      <c r="L1281" s="170">
        <v>45576</v>
      </c>
      <c r="M1281" s="116">
        <v>566.4</v>
      </c>
      <c r="N1281" s="116">
        <v>596</v>
      </c>
      <c r="O1281" s="116">
        <v>562.20000000000005</v>
      </c>
      <c r="P1281" s="116">
        <v>596</v>
      </c>
      <c r="Q1281" s="116">
        <v>566.4</v>
      </c>
      <c r="R1281">
        <v>3587318</v>
      </c>
    </row>
    <row r="1282" spans="1:18" x14ac:dyDescent="0.25">
      <c r="A1282" s="170">
        <v>45579</v>
      </c>
      <c r="B1282" s="116">
        <v>588.70000000000005</v>
      </c>
      <c r="C1282" s="116">
        <v>555.25</v>
      </c>
      <c r="D1282" s="116">
        <v>546.95000000000005</v>
      </c>
      <c r="E1282" s="116">
        <v>573.5</v>
      </c>
      <c r="F1282" s="116">
        <v>555.25</v>
      </c>
      <c r="G1282">
        <v>250966</v>
      </c>
      <c r="H1282" s="116"/>
      <c r="I1282" s="116"/>
      <c r="L1282" s="170">
        <v>45579</v>
      </c>
      <c r="M1282" s="116">
        <v>554.85</v>
      </c>
      <c r="N1282" s="116">
        <v>588</v>
      </c>
      <c r="O1282" s="116">
        <v>546.15</v>
      </c>
      <c r="P1282" s="116">
        <v>569</v>
      </c>
      <c r="Q1282" s="116">
        <v>554.85</v>
      </c>
      <c r="R1282">
        <v>3456296</v>
      </c>
    </row>
    <row r="1283" spans="1:18" x14ac:dyDescent="0.25">
      <c r="A1283" s="170">
        <v>45580</v>
      </c>
      <c r="B1283" s="116">
        <v>583</v>
      </c>
      <c r="C1283" s="116">
        <v>583</v>
      </c>
      <c r="D1283" s="116">
        <v>552.5</v>
      </c>
      <c r="E1283" s="116">
        <v>565</v>
      </c>
      <c r="F1283" s="116">
        <v>583</v>
      </c>
      <c r="G1283">
        <v>657654</v>
      </c>
      <c r="H1283" s="116"/>
      <c r="I1283" s="116"/>
      <c r="L1283" s="170">
        <v>45580</v>
      </c>
      <c r="M1283" s="116">
        <v>582.54999999999995</v>
      </c>
      <c r="N1283" s="116">
        <v>582.54999999999995</v>
      </c>
      <c r="O1283" s="116">
        <v>552.29999999999995</v>
      </c>
      <c r="P1283" s="116">
        <v>564.85</v>
      </c>
      <c r="Q1283" s="116">
        <v>582.54999999999995</v>
      </c>
      <c r="R1283">
        <v>4031223</v>
      </c>
    </row>
    <row r="1284" spans="1:18" x14ac:dyDescent="0.25">
      <c r="A1284" s="170">
        <v>45581</v>
      </c>
      <c r="B1284" s="116">
        <v>612.15</v>
      </c>
      <c r="C1284" s="116">
        <v>612.15</v>
      </c>
      <c r="D1284" s="116">
        <v>588</v>
      </c>
      <c r="E1284" s="116">
        <v>594.70000000000005</v>
      </c>
      <c r="F1284" s="116">
        <v>612.15</v>
      </c>
      <c r="G1284">
        <v>831636</v>
      </c>
      <c r="H1284" s="116"/>
      <c r="I1284" s="116"/>
      <c r="L1284" s="170">
        <v>45581</v>
      </c>
      <c r="M1284" s="116">
        <v>611.65</v>
      </c>
      <c r="N1284" s="116">
        <v>611.65</v>
      </c>
      <c r="O1284" s="116">
        <v>587.65</v>
      </c>
      <c r="P1284" s="116">
        <v>595</v>
      </c>
      <c r="Q1284" s="116">
        <v>611.65</v>
      </c>
      <c r="R1284">
        <v>5340405</v>
      </c>
    </row>
    <row r="1285" spans="1:18" x14ac:dyDescent="0.25">
      <c r="A1285" s="170">
        <v>45582</v>
      </c>
      <c r="B1285" s="116">
        <v>642</v>
      </c>
      <c r="C1285" s="116">
        <v>621.25</v>
      </c>
      <c r="D1285" s="116">
        <v>612.9</v>
      </c>
      <c r="E1285" s="116">
        <v>634.45000000000005</v>
      </c>
      <c r="F1285" s="116">
        <v>621.25</v>
      </c>
      <c r="G1285">
        <v>477506</v>
      </c>
      <c r="H1285" s="116"/>
      <c r="I1285" s="116"/>
      <c r="L1285" s="170">
        <v>45582</v>
      </c>
      <c r="M1285" s="116">
        <v>621.54999999999995</v>
      </c>
      <c r="N1285" s="116">
        <v>641.70000000000005</v>
      </c>
      <c r="O1285" s="116">
        <v>611</v>
      </c>
      <c r="P1285" s="116">
        <v>636.95000000000005</v>
      </c>
      <c r="Q1285" s="116">
        <v>621.54999999999995</v>
      </c>
      <c r="R1285">
        <v>4595470</v>
      </c>
    </row>
    <row r="1286" spans="1:18" x14ac:dyDescent="0.25">
      <c r="A1286" s="170">
        <v>45583</v>
      </c>
      <c r="B1286" s="116">
        <v>638.85</v>
      </c>
      <c r="C1286" s="116">
        <v>631.79999999999995</v>
      </c>
      <c r="D1286" s="116">
        <v>607</v>
      </c>
      <c r="E1286" s="116">
        <v>620.75</v>
      </c>
      <c r="F1286" s="116">
        <v>631.79999999999995</v>
      </c>
      <c r="G1286">
        <v>119397</v>
      </c>
      <c r="H1286" s="116"/>
      <c r="I1286" s="116"/>
      <c r="L1286" s="170">
        <v>45583</v>
      </c>
      <c r="M1286" s="116">
        <v>631.70000000000005</v>
      </c>
      <c r="N1286" s="116">
        <v>638.85</v>
      </c>
      <c r="O1286" s="116">
        <v>606.25</v>
      </c>
      <c r="P1286" s="116">
        <v>621</v>
      </c>
      <c r="Q1286" s="116">
        <v>631.70000000000005</v>
      </c>
      <c r="R1286">
        <v>2106640</v>
      </c>
    </row>
    <row r="1287" spans="1:18" x14ac:dyDescent="0.25">
      <c r="A1287" s="170">
        <v>45586</v>
      </c>
      <c r="B1287" s="116">
        <v>638</v>
      </c>
      <c r="C1287" s="116">
        <v>617.95000000000005</v>
      </c>
      <c r="D1287" s="116">
        <v>611.29999999999995</v>
      </c>
      <c r="E1287" s="116">
        <v>631.79999999999995</v>
      </c>
      <c r="F1287" s="116">
        <v>617.95000000000005</v>
      </c>
      <c r="G1287">
        <v>156935</v>
      </c>
      <c r="H1287" s="116"/>
      <c r="I1287" s="116"/>
      <c r="L1287" s="170">
        <v>45586</v>
      </c>
      <c r="M1287" s="116">
        <v>618.70000000000005</v>
      </c>
      <c r="N1287" s="116">
        <v>638</v>
      </c>
      <c r="O1287" s="116">
        <v>611.79999999999995</v>
      </c>
      <c r="P1287" s="116">
        <v>632</v>
      </c>
      <c r="Q1287" s="116">
        <v>618.70000000000005</v>
      </c>
      <c r="R1287">
        <v>1553371</v>
      </c>
    </row>
    <row r="1288" spans="1:18" x14ac:dyDescent="0.25">
      <c r="A1288" s="170">
        <v>45587</v>
      </c>
      <c r="B1288" s="116">
        <v>615</v>
      </c>
      <c r="C1288" s="116">
        <v>587.1</v>
      </c>
      <c r="D1288" s="116">
        <v>587.1</v>
      </c>
      <c r="E1288" s="116">
        <v>609.75</v>
      </c>
      <c r="F1288" s="116">
        <v>587.1</v>
      </c>
      <c r="G1288">
        <v>99678</v>
      </c>
      <c r="H1288" s="116"/>
      <c r="I1288" s="116"/>
      <c r="L1288" s="170">
        <v>45587</v>
      </c>
      <c r="M1288" s="116">
        <v>587.79999999999995</v>
      </c>
      <c r="N1288" s="116">
        <v>615.95000000000005</v>
      </c>
      <c r="O1288" s="116">
        <v>587.79999999999995</v>
      </c>
      <c r="P1288" s="116">
        <v>608.15</v>
      </c>
      <c r="Q1288" s="116">
        <v>587.79999999999995</v>
      </c>
      <c r="R1288">
        <v>1634736</v>
      </c>
    </row>
    <row r="1289" spans="1:18" x14ac:dyDescent="0.25">
      <c r="A1289" s="170">
        <v>45588</v>
      </c>
      <c r="B1289" s="116">
        <v>603.20000000000005</v>
      </c>
      <c r="C1289" s="116">
        <v>597.9</v>
      </c>
      <c r="D1289" s="116">
        <v>567.04999999999995</v>
      </c>
      <c r="E1289" s="116">
        <v>581</v>
      </c>
      <c r="F1289" s="116">
        <v>597.9</v>
      </c>
      <c r="G1289">
        <v>138520</v>
      </c>
      <c r="H1289" s="116"/>
      <c r="I1289" s="116"/>
      <c r="L1289" s="170">
        <v>45588</v>
      </c>
      <c r="M1289" s="116">
        <v>598.6</v>
      </c>
      <c r="N1289" s="116">
        <v>603.95000000000005</v>
      </c>
      <c r="O1289" s="116">
        <v>566.6</v>
      </c>
      <c r="P1289" s="116">
        <v>580.04999999999995</v>
      </c>
      <c r="Q1289" s="116">
        <v>598.6</v>
      </c>
      <c r="R1289">
        <v>2303012</v>
      </c>
    </row>
    <row r="1290" spans="1:18" x14ac:dyDescent="0.25">
      <c r="A1290" s="170">
        <v>45589</v>
      </c>
      <c r="B1290" s="116">
        <v>603.95000000000005</v>
      </c>
      <c r="C1290" s="116">
        <v>568.04999999999995</v>
      </c>
      <c r="D1290" s="116">
        <v>568.04999999999995</v>
      </c>
      <c r="E1290" s="116">
        <v>601.95000000000005</v>
      </c>
      <c r="F1290" s="116">
        <v>568.04999999999995</v>
      </c>
      <c r="G1290">
        <v>100170</v>
      </c>
      <c r="H1290" s="116"/>
      <c r="I1290" s="116"/>
      <c r="L1290" s="170">
        <v>45589</v>
      </c>
      <c r="M1290" s="116">
        <v>568.70000000000005</v>
      </c>
      <c r="N1290" s="116">
        <v>603.75</v>
      </c>
      <c r="O1290" s="116">
        <v>568.70000000000005</v>
      </c>
      <c r="P1290" s="116">
        <v>600.20000000000005</v>
      </c>
      <c r="Q1290" s="116">
        <v>568.70000000000005</v>
      </c>
      <c r="R1290">
        <v>1084379</v>
      </c>
    </row>
    <row r="1291" spans="1:18" x14ac:dyDescent="0.25">
      <c r="A1291" s="170">
        <v>45590</v>
      </c>
      <c r="B1291" s="116">
        <v>569.35</v>
      </c>
      <c r="C1291" s="116">
        <v>558.75</v>
      </c>
      <c r="D1291" s="116">
        <v>542.9</v>
      </c>
      <c r="E1291" s="116">
        <v>569</v>
      </c>
      <c r="F1291" s="116">
        <v>558.75</v>
      </c>
      <c r="G1291">
        <v>93198</v>
      </c>
      <c r="H1291" s="116"/>
      <c r="I1291" s="116"/>
      <c r="L1291" s="170">
        <v>45590</v>
      </c>
      <c r="M1291" s="116">
        <v>558.75</v>
      </c>
      <c r="N1291" s="116">
        <v>569.70000000000005</v>
      </c>
      <c r="O1291" s="116">
        <v>542.4</v>
      </c>
      <c r="P1291" s="116">
        <v>568.65</v>
      </c>
      <c r="Q1291" s="116">
        <v>558.75</v>
      </c>
      <c r="R1291">
        <v>1675414</v>
      </c>
    </row>
    <row r="1292" spans="1:18" x14ac:dyDescent="0.25">
      <c r="A1292" s="170">
        <v>45593</v>
      </c>
      <c r="B1292" s="116">
        <v>577.45000000000005</v>
      </c>
      <c r="C1292" s="116">
        <v>569.20000000000005</v>
      </c>
      <c r="D1292" s="116">
        <v>555.20000000000005</v>
      </c>
      <c r="E1292" s="116">
        <v>560.04999999999995</v>
      </c>
      <c r="F1292" s="116">
        <v>569.20000000000005</v>
      </c>
      <c r="G1292">
        <v>140323</v>
      </c>
      <c r="H1292" s="116"/>
      <c r="I1292" s="116"/>
      <c r="L1292" s="170">
        <v>45593</v>
      </c>
      <c r="M1292" s="116">
        <v>570.1</v>
      </c>
      <c r="N1292" s="116">
        <v>577.45000000000005</v>
      </c>
      <c r="O1292" s="116">
        <v>555.15</v>
      </c>
      <c r="P1292" s="116">
        <v>565</v>
      </c>
      <c r="Q1292" s="116">
        <v>570.1</v>
      </c>
      <c r="R1292">
        <v>1466186</v>
      </c>
    </row>
    <row r="1293" spans="1:18" x14ac:dyDescent="0.25">
      <c r="A1293" s="170">
        <v>45594</v>
      </c>
      <c r="B1293" s="116">
        <v>573.54999999999995</v>
      </c>
      <c r="C1293" s="116">
        <v>569.04999999999995</v>
      </c>
      <c r="D1293" s="116">
        <v>546</v>
      </c>
      <c r="E1293" s="116">
        <v>559.35</v>
      </c>
      <c r="F1293" s="116">
        <v>569.04999999999995</v>
      </c>
      <c r="G1293">
        <v>84960</v>
      </c>
      <c r="H1293" s="116"/>
      <c r="I1293" s="116"/>
      <c r="L1293" s="170">
        <v>45594</v>
      </c>
      <c r="M1293" s="116">
        <v>568.70000000000005</v>
      </c>
      <c r="N1293" s="116">
        <v>575</v>
      </c>
      <c r="O1293" s="116">
        <v>545.4</v>
      </c>
      <c r="P1293" s="116">
        <v>560</v>
      </c>
      <c r="Q1293" s="116">
        <v>568.70000000000005</v>
      </c>
      <c r="R1293">
        <v>1392243</v>
      </c>
    </row>
    <row r="1294" spans="1:18" x14ac:dyDescent="0.25">
      <c r="A1294" s="170">
        <v>45595</v>
      </c>
      <c r="B1294" s="116">
        <v>591.95000000000005</v>
      </c>
      <c r="C1294" s="116">
        <v>577.75</v>
      </c>
      <c r="D1294" s="116">
        <v>564</v>
      </c>
      <c r="E1294" s="116">
        <v>568.35</v>
      </c>
      <c r="F1294" s="116">
        <v>577.75</v>
      </c>
      <c r="G1294">
        <v>82681</v>
      </c>
      <c r="H1294" s="116"/>
      <c r="I1294" s="116"/>
      <c r="L1294" s="170">
        <v>45595</v>
      </c>
      <c r="M1294" s="116">
        <v>577.75</v>
      </c>
      <c r="N1294" s="116">
        <v>592</v>
      </c>
      <c r="O1294" s="116">
        <v>563.5</v>
      </c>
      <c r="P1294" s="116">
        <v>564</v>
      </c>
      <c r="Q1294" s="116">
        <v>577.75</v>
      </c>
      <c r="R1294">
        <v>994509</v>
      </c>
    </row>
    <row r="1295" spans="1:18" x14ac:dyDescent="0.25">
      <c r="A1295" s="170">
        <v>45596</v>
      </c>
      <c r="B1295" s="116">
        <v>594.35</v>
      </c>
      <c r="C1295" s="116">
        <v>584.9</v>
      </c>
      <c r="D1295" s="116">
        <v>573</v>
      </c>
      <c r="E1295" s="116">
        <v>575</v>
      </c>
      <c r="F1295" s="116">
        <v>584.9</v>
      </c>
      <c r="G1295">
        <v>67207</v>
      </c>
      <c r="H1295" s="116"/>
      <c r="I1295" s="116"/>
      <c r="L1295" s="170">
        <v>45596</v>
      </c>
      <c r="M1295" s="116">
        <v>584.70000000000005</v>
      </c>
      <c r="N1295" s="116">
        <v>594.29999999999995</v>
      </c>
      <c r="O1295" s="116">
        <v>572.9</v>
      </c>
      <c r="P1295" s="116">
        <v>574</v>
      </c>
      <c r="Q1295" s="116">
        <v>584.70000000000005</v>
      </c>
      <c r="R1295">
        <v>533013</v>
      </c>
    </row>
    <row r="1296" spans="1:18" x14ac:dyDescent="0.25">
      <c r="A1296" s="170">
        <v>45597</v>
      </c>
      <c r="B1296" s="116">
        <v>604.85</v>
      </c>
      <c r="C1296" s="116">
        <v>599</v>
      </c>
      <c r="D1296" s="116">
        <v>587.15</v>
      </c>
      <c r="E1296" s="116">
        <v>596.35</v>
      </c>
      <c r="F1296" s="116">
        <v>599</v>
      </c>
      <c r="G1296">
        <v>67142</v>
      </c>
      <c r="H1296" s="116"/>
      <c r="I1296" s="116"/>
      <c r="L1296" s="170">
        <v>45597</v>
      </c>
      <c r="M1296" s="116">
        <v>599.20000000000005</v>
      </c>
      <c r="N1296" s="116">
        <v>603.35</v>
      </c>
      <c r="O1296" s="116">
        <v>587.95000000000005</v>
      </c>
      <c r="P1296" s="116">
        <v>592</v>
      </c>
      <c r="Q1296" s="116">
        <v>599.20000000000005</v>
      </c>
      <c r="R1296">
        <v>353653</v>
      </c>
    </row>
    <row r="1297" spans="1:18" x14ac:dyDescent="0.25">
      <c r="A1297" s="170">
        <v>45600</v>
      </c>
      <c r="B1297" s="116">
        <v>600.65</v>
      </c>
      <c r="C1297" s="116">
        <v>584.25</v>
      </c>
      <c r="D1297" s="116">
        <v>574</v>
      </c>
      <c r="E1297" s="116">
        <v>599.85</v>
      </c>
      <c r="F1297" s="116">
        <v>584.25</v>
      </c>
      <c r="G1297">
        <v>53325</v>
      </c>
      <c r="H1297" s="116"/>
      <c r="I1297" s="116"/>
      <c r="L1297" s="170">
        <v>45600</v>
      </c>
      <c r="M1297" s="116">
        <v>584.20000000000005</v>
      </c>
      <c r="N1297" s="116">
        <v>603.1</v>
      </c>
      <c r="O1297" s="116">
        <v>573.4</v>
      </c>
      <c r="P1297" s="116">
        <v>599.20000000000005</v>
      </c>
      <c r="Q1297" s="116">
        <v>584.20000000000005</v>
      </c>
      <c r="R1297">
        <v>717776</v>
      </c>
    </row>
    <row r="1298" spans="1:18" x14ac:dyDescent="0.25">
      <c r="A1298" s="170">
        <v>45601</v>
      </c>
      <c r="B1298" s="116">
        <v>584.25</v>
      </c>
      <c r="C1298" s="116">
        <v>575.5</v>
      </c>
      <c r="D1298" s="116">
        <v>571.15</v>
      </c>
      <c r="E1298" s="116">
        <v>581.5</v>
      </c>
      <c r="F1298" s="116">
        <v>575.5</v>
      </c>
      <c r="G1298">
        <v>77836</v>
      </c>
      <c r="H1298" s="116"/>
      <c r="I1298" s="116"/>
      <c r="L1298" s="170">
        <v>45601</v>
      </c>
      <c r="M1298" s="116">
        <v>575.95000000000005</v>
      </c>
      <c r="N1298" s="116">
        <v>583.45000000000005</v>
      </c>
      <c r="O1298" s="116">
        <v>572</v>
      </c>
      <c r="P1298" s="116">
        <v>579</v>
      </c>
      <c r="Q1298" s="116">
        <v>575.95000000000005</v>
      </c>
      <c r="R1298">
        <v>645000</v>
      </c>
    </row>
    <row r="1299" spans="1:18" x14ac:dyDescent="0.25">
      <c r="A1299" s="170">
        <v>45602</v>
      </c>
      <c r="B1299" s="116">
        <v>592</v>
      </c>
      <c r="C1299" s="116">
        <v>588.4</v>
      </c>
      <c r="D1299" s="116">
        <v>573.54999999999995</v>
      </c>
      <c r="E1299" s="116">
        <v>579.95000000000005</v>
      </c>
      <c r="F1299" s="116">
        <v>588.4</v>
      </c>
      <c r="G1299">
        <v>56260</v>
      </c>
      <c r="H1299" s="116"/>
      <c r="I1299" s="116"/>
      <c r="L1299" s="170">
        <v>45602</v>
      </c>
      <c r="M1299" s="116">
        <v>588.25</v>
      </c>
      <c r="N1299" s="116">
        <v>592.15</v>
      </c>
      <c r="O1299" s="116">
        <v>573.1</v>
      </c>
      <c r="P1299" s="116">
        <v>577</v>
      </c>
      <c r="Q1299" s="116">
        <v>588.25</v>
      </c>
      <c r="R1299">
        <v>895103</v>
      </c>
    </row>
    <row r="1300" spans="1:18" x14ac:dyDescent="0.25">
      <c r="A1300" s="170">
        <v>45603</v>
      </c>
      <c r="B1300" s="116">
        <v>594</v>
      </c>
      <c r="C1300" s="116">
        <v>575.75</v>
      </c>
      <c r="D1300" s="116">
        <v>573.1</v>
      </c>
      <c r="E1300" s="116">
        <v>592.95000000000005</v>
      </c>
      <c r="F1300" s="116">
        <v>575.75</v>
      </c>
      <c r="G1300">
        <v>83415</v>
      </c>
      <c r="H1300" s="116"/>
      <c r="I1300" s="116"/>
      <c r="L1300" s="170">
        <v>45603</v>
      </c>
      <c r="M1300" s="116">
        <v>575.79999999999995</v>
      </c>
      <c r="N1300" s="116">
        <v>593.25</v>
      </c>
      <c r="O1300" s="116">
        <v>573.70000000000005</v>
      </c>
      <c r="P1300" s="116">
        <v>590</v>
      </c>
      <c r="Q1300" s="116">
        <v>575.79999999999995</v>
      </c>
      <c r="R1300">
        <v>448740</v>
      </c>
    </row>
    <row r="1301" spans="1:18" x14ac:dyDescent="0.25">
      <c r="A1301" s="170">
        <v>45604</v>
      </c>
      <c r="B1301" s="116">
        <v>574.85</v>
      </c>
      <c r="C1301" s="116">
        <v>552.29999999999995</v>
      </c>
      <c r="D1301" s="116">
        <v>547</v>
      </c>
      <c r="E1301" s="116">
        <v>564.95000000000005</v>
      </c>
      <c r="F1301" s="116">
        <v>552.29999999999995</v>
      </c>
      <c r="G1301">
        <v>59960</v>
      </c>
      <c r="H1301" s="116"/>
      <c r="I1301" s="116"/>
      <c r="L1301" s="170">
        <v>45604</v>
      </c>
      <c r="M1301" s="116">
        <v>552.15</v>
      </c>
      <c r="N1301" s="116">
        <v>574.85</v>
      </c>
      <c r="O1301" s="116">
        <v>547.04999999999995</v>
      </c>
      <c r="P1301" s="116">
        <v>565</v>
      </c>
      <c r="Q1301" s="116">
        <v>552.15</v>
      </c>
      <c r="R1301">
        <v>977206</v>
      </c>
    </row>
    <row r="1302" spans="1:18" x14ac:dyDescent="0.25">
      <c r="A1302" s="170">
        <v>45607</v>
      </c>
      <c r="B1302" s="116">
        <v>556.29999999999995</v>
      </c>
      <c r="C1302" s="116">
        <v>535.9</v>
      </c>
      <c r="D1302" s="116">
        <v>534.29999999999995</v>
      </c>
      <c r="E1302" s="116">
        <v>552.29999999999995</v>
      </c>
      <c r="F1302" s="116">
        <v>535.9</v>
      </c>
      <c r="G1302">
        <v>112743</v>
      </c>
      <c r="H1302" s="116"/>
      <c r="I1302" s="116"/>
      <c r="L1302" s="170">
        <v>45607</v>
      </c>
      <c r="M1302" s="116">
        <v>536.15</v>
      </c>
      <c r="N1302" s="116">
        <v>556.45000000000005</v>
      </c>
      <c r="O1302" s="116">
        <v>534.5</v>
      </c>
      <c r="P1302" s="116">
        <v>552</v>
      </c>
      <c r="Q1302" s="116">
        <v>536.15</v>
      </c>
      <c r="R1302">
        <v>697144</v>
      </c>
    </row>
    <row r="1303" spans="1:18" x14ac:dyDescent="0.25">
      <c r="A1303" s="170">
        <v>45608</v>
      </c>
      <c r="B1303" s="116">
        <v>540.4</v>
      </c>
      <c r="C1303" s="116">
        <v>509.15</v>
      </c>
      <c r="D1303" s="116">
        <v>509.15</v>
      </c>
      <c r="E1303" s="116">
        <v>533.15</v>
      </c>
      <c r="F1303" s="116">
        <v>509.15</v>
      </c>
      <c r="G1303">
        <v>131259</v>
      </c>
      <c r="H1303" s="116"/>
      <c r="I1303" s="116"/>
      <c r="L1303" s="170">
        <v>45608</v>
      </c>
      <c r="M1303" s="116">
        <v>509.35</v>
      </c>
      <c r="N1303" s="116">
        <v>539</v>
      </c>
      <c r="O1303" s="116">
        <v>509.35</v>
      </c>
      <c r="P1303" s="116">
        <v>536.15</v>
      </c>
      <c r="Q1303" s="116">
        <v>509.35</v>
      </c>
      <c r="R1303">
        <v>1985520</v>
      </c>
    </row>
    <row r="1304" spans="1:18" x14ac:dyDescent="0.25">
      <c r="A1304" s="170">
        <v>45609</v>
      </c>
      <c r="B1304" s="116">
        <v>506.8</v>
      </c>
      <c r="C1304" s="116">
        <v>483.75</v>
      </c>
      <c r="D1304" s="116">
        <v>483.7</v>
      </c>
      <c r="E1304" s="116">
        <v>504</v>
      </c>
      <c r="F1304" s="116">
        <v>483.75</v>
      </c>
      <c r="G1304">
        <v>234927</v>
      </c>
      <c r="H1304" s="116"/>
      <c r="I1304" s="116"/>
      <c r="L1304" s="170">
        <v>45609</v>
      </c>
      <c r="M1304" s="116">
        <v>483.9</v>
      </c>
      <c r="N1304" s="116">
        <v>506</v>
      </c>
      <c r="O1304" s="116">
        <v>483.9</v>
      </c>
      <c r="P1304" s="116">
        <v>500</v>
      </c>
      <c r="Q1304" s="116">
        <v>483.9</v>
      </c>
      <c r="R1304">
        <v>3960068</v>
      </c>
    </row>
    <row r="1305" spans="1:18" x14ac:dyDescent="0.25">
      <c r="A1305" s="170">
        <v>45610</v>
      </c>
      <c r="B1305" s="116">
        <v>501.25</v>
      </c>
      <c r="C1305" s="116">
        <v>490.55</v>
      </c>
      <c r="D1305" s="116">
        <v>468.95</v>
      </c>
      <c r="E1305" s="116">
        <v>469.95</v>
      </c>
      <c r="F1305" s="116">
        <v>490.55</v>
      </c>
      <c r="G1305">
        <v>98972</v>
      </c>
      <c r="H1305" s="116"/>
      <c r="I1305" s="116"/>
      <c r="L1305" s="170">
        <v>45610</v>
      </c>
      <c r="M1305" s="116">
        <v>490.65</v>
      </c>
      <c r="N1305" s="116">
        <v>502</v>
      </c>
      <c r="O1305" s="116">
        <v>468.35</v>
      </c>
      <c r="P1305" s="116">
        <v>468.35</v>
      </c>
      <c r="Q1305" s="116">
        <v>490.65</v>
      </c>
      <c r="R1305">
        <v>1566988</v>
      </c>
    </row>
    <row r="1306" spans="1:18" x14ac:dyDescent="0.25">
      <c r="A1306" s="170">
        <v>45614</v>
      </c>
      <c r="B1306" s="116">
        <v>499.7</v>
      </c>
      <c r="C1306" s="116">
        <v>477.15</v>
      </c>
      <c r="D1306" s="116">
        <v>473.85</v>
      </c>
      <c r="E1306" s="116">
        <v>499.7</v>
      </c>
      <c r="F1306" s="116">
        <v>477.15</v>
      </c>
      <c r="G1306">
        <v>57530</v>
      </c>
      <c r="H1306" s="116"/>
      <c r="I1306" s="116"/>
      <c r="L1306" s="170">
        <v>45614</v>
      </c>
      <c r="M1306" s="116">
        <v>477.05</v>
      </c>
      <c r="N1306" s="116">
        <v>496.8</v>
      </c>
      <c r="O1306" s="116">
        <v>473.7</v>
      </c>
      <c r="P1306" s="116">
        <v>491</v>
      </c>
      <c r="Q1306" s="116">
        <v>477.05</v>
      </c>
      <c r="R1306">
        <v>914714</v>
      </c>
    </row>
    <row r="1307" spans="1:18" x14ac:dyDescent="0.25">
      <c r="A1307" s="170">
        <v>45615</v>
      </c>
      <c r="B1307" s="116">
        <v>501</v>
      </c>
      <c r="C1307" s="116">
        <v>476.05</v>
      </c>
      <c r="D1307" s="116">
        <v>472.9</v>
      </c>
      <c r="E1307" s="116">
        <v>483</v>
      </c>
      <c r="F1307" s="116">
        <v>476.05</v>
      </c>
      <c r="G1307">
        <v>267989</v>
      </c>
      <c r="H1307" s="116"/>
      <c r="I1307" s="116"/>
      <c r="L1307" s="170">
        <v>45615</v>
      </c>
      <c r="M1307" s="116">
        <v>476.1</v>
      </c>
      <c r="N1307" s="116">
        <v>500.9</v>
      </c>
      <c r="O1307" s="116">
        <v>472.1</v>
      </c>
      <c r="P1307" s="116">
        <v>479.9</v>
      </c>
      <c r="Q1307" s="116">
        <v>476.1</v>
      </c>
      <c r="R1307">
        <v>1769604</v>
      </c>
    </row>
    <row r="1308" spans="1:18" x14ac:dyDescent="0.25">
      <c r="A1308" s="170">
        <v>45617</v>
      </c>
      <c r="B1308" s="116">
        <v>479.5</v>
      </c>
      <c r="C1308" s="116">
        <v>469.05</v>
      </c>
      <c r="D1308" s="116">
        <v>464.65</v>
      </c>
      <c r="E1308" s="116">
        <v>476.05</v>
      </c>
      <c r="F1308" s="116">
        <v>469.05</v>
      </c>
      <c r="G1308">
        <v>44857</v>
      </c>
      <c r="H1308" s="116"/>
      <c r="I1308" s="116"/>
      <c r="L1308" s="170">
        <v>45617</v>
      </c>
      <c r="M1308" s="116">
        <v>469</v>
      </c>
      <c r="N1308" s="116">
        <v>480.05</v>
      </c>
      <c r="O1308" s="116">
        <v>464.25</v>
      </c>
      <c r="P1308" s="116">
        <v>473.45</v>
      </c>
      <c r="Q1308" s="116">
        <v>469</v>
      </c>
      <c r="R1308">
        <v>921588</v>
      </c>
    </row>
    <row r="1309" spans="1:18" x14ac:dyDescent="0.25">
      <c r="A1309" s="170">
        <v>45618</v>
      </c>
      <c r="B1309" s="116">
        <v>486.9</v>
      </c>
      <c r="C1309" s="116">
        <v>479.7</v>
      </c>
      <c r="D1309" s="116">
        <v>459.2</v>
      </c>
      <c r="E1309" s="116">
        <v>469</v>
      </c>
      <c r="F1309" s="116">
        <v>479.7</v>
      </c>
      <c r="G1309">
        <v>129750</v>
      </c>
      <c r="H1309" s="116"/>
      <c r="I1309" s="116"/>
      <c r="L1309" s="170">
        <v>45618</v>
      </c>
      <c r="M1309" s="116">
        <v>479.95</v>
      </c>
      <c r="N1309" s="116">
        <v>486.9</v>
      </c>
      <c r="O1309" s="116">
        <v>459.05</v>
      </c>
      <c r="P1309" s="116">
        <v>468</v>
      </c>
      <c r="Q1309" s="116">
        <v>479.95</v>
      </c>
      <c r="R1309">
        <v>835953</v>
      </c>
    </row>
    <row r="1310" spans="1:18" x14ac:dyDescent="0.25">
      <c r="A1310" s="170">
        <v>45621</v>
      </c>
      <c r="B1310" s="116">
        <v>495</v>
      </c>
      <c r="C1310" s="116">
        <v>488.35</v>
      </c>
      <c r="D1310" s="116">
        <v>477.1</v>
      </c>
      <c r="E1310" s="116">
        <v>488.55</v>
      </c>
      <c r="F1310" s="116">
        <v>488.35</v>
      </c>
      <c r="G1310">
        <v>45480</v>
      </c>
      <c r="H1310" s="116"/>
      <c r="I1310" s="116"/>
      <c r="L1310" s="170">
        <v>45621</v>
      </c>
      <c r="M1310" s="116">
        <v>488.15</v>
      </c>
      <c r="N1310" s="116">
        <v>495.4</v>
      </c>
      <c r="O1310" s="116">
        <v>477.1</v>
      </c>
      <c r="P1310" s="116">
        <v>486.95</v>
      </c>
      <c r="Q1310" s="116">
        <v>488.15</v>
      </c>
      <c r="R1310">
        <v>1026618</v>
      </c>
    </row>
    <row r="1311" spans="1:18" x14ac:dyDescent="0.25">
      <c r="A1311" s="170">
        <v>45622</v>
      </c>
      <c r="B1311" s="116">
        <v>512.75</v>
      </c>
      <c r="C1311" s="116">
        <v>479.8</v>
      </c>
      <c r="D1311" s="116">
        <v>477.9</v>
      </c>
      <c r="E1311" s="116">
        <v>491.3</v>
      </c>
      <c r="F1311" s="116">
        <v>479.8</v>
      </c>
      <c r="G1311">
        <v>263571</v>
      </c>
      <c r="H1311" s="116"/>
      <c r="I1311" s="116"/>
      <c r="L1311" s="170">
        <v>45622</v>
      </c>
      <c r="M1311" s="116">
        <v>480</v>
      </c>
      <c r="N1311" s="116">
        <v>512.54999999999995</v>
      </c>
      <c r="O1311" s="116">
        <v>478.55</v>
      </c>
      <c r="P1311" s="116">
        <v>490</v>
      </c>
      <c r="Q1311" s="116">
        <v>480</v>
      </c>
      <c r="R1311">
        <v>1761484</v>
      </c>
    </row>
    <row r="1312" spans="1:18" x14ac:dyDescent="0.25">
      <c r="A1312" s="170">
        <v>45623</v>
      </c>
      <c r="B1312" s="116">
        <v>497</v>
      </c>
      <c r="C1312" s="116">
        <v>494.35</v>
      </c>
      <c r="D1312" s="116">
        <v>476</v>
      </c>
      <c r="E1312" s="116">
        <v>488.8</v>
      </c>
      <c r="F1312" s="116">
        <v>494.35</v>
      </c>
      <c r="G1312">
        <v>43209</v>
      </c>
      <c r="H1312" s="116"/>
      <c r="I1312" s="116"/>
      <c r="L1312" s="170">
        <v>45623</v>
      </c>
      <c r="M1312" s="116">
        <v>494.4</v>
      </c>
      <c r="N1312" s="116">
        <v>497.45</v>
      </c>
      <c r="O1312" s="116">
        <v>475.8</v>
      </c>
      <c r="P1312" s="116">
        <v>480</v>
      </c>
      <c r="Q1312" s="116">
        <v>494.4</v>
      </c>
      <c r="R1312">
        <v>919963</v>
      </c>
    </row>
    <row r="1313" spans="1:18" x14ac:dyDescent="0.25">
      <c r="A1313" s="170">
        <v>45624</v>
      </c>
      <c r="B1313" s="116">
        <v>504.1</v>
      </c>
      <c r="C1313" s="116">
        <v>489.75</v>
      </c>
      <c r="D1313" s="116">
        <v>485.55</v>
      </c>
      <c r="E1313" s="116">
        <v>498.75</v>
      </c>
      <c r="F1313" s="116">
        <v>489.75</v>
      </c>
      <c r="G1313">
        <v>39977</v>
      </c>
      <c r="H1313" s="116"/>
      <c r="I1313" s="116"/>
      <c r="L1313" s="170">
        <v>45624</v>
      </c>
      <c r="M1313" s="116">
        <v>490.05</v>
      </c>
      <c r="N1313" s="116">
        <v>505</v>
      </c>
      <c r="O1313" s="116">
        <v>485.05</v>
      </c>
      <c r="P1313" s="116">
        <v>493</v>
      </c>
      <c r="Q1313" s="116">
        <v>490.05</v>
      </c>
      <c r="R1313">
        <v>914076</v>
      </c>
    </row>
    <row r="1314" spans="1:18" x14ac:dyDescent="0.25">
      <c r="A1314" s="170">
        <v>45625</v>
      </c>
      <c r="B1314" s="116">
        <v>493.4</v>
      </c>
      <c r="C1314" s="116">
        <v>486.35</v>
      </c>
      <c r="D1314" s="116">
        <v>479.3</v>
      </c>
      <c r="E1314" s="116">
        <v>489.1</v>
      </c>
      <c r="F1314" s="116">
        <v>486.35</v>
      </c>
      <c r="G1314">
        <v>35464</v>
      </c>
      <c r="H1314" s="116"/>
      <c r="I1314" s="116"/>
      <c r="L1314" s="170">
        <v>45625</v>
      </c>
      <c r="M1314" s="116">
        <v>486.45</v>
      </c>
      <c r="N1314" s="116">
        <v>493.2</v>
      </c>
      <c r="O1314" s="116">
        <v>479</v>
      </c>
      <c r="P1314" s="116">
        <v>490.05</v>
      </c>
      <c r="Q1314" s="116">
        <v>486.45</v>
      </c>
      <c r="R1314">
        <v>598051</v>
      </c>
    </row>
    <row r="1315" spans="1:18" x14ac:dyDescent="0.25">
      <c r="A1315" s="170">
        <v>45628</v>
      </c>
      <c r="B1315" s="116">
        <v>502.9</v>
      </c>
      <c r="C1315" s="116">
        <v>491.25</v>
      </c>
      <c r="D1315" s="116">
        <v>480.45</v>
      </c>
      <c r="E1315" s="116">
        <v>486.3</v>
      </c>
      <c r="F1315" s="116">
        <v>491.25</v>
      </c>
      <c r="G1315">
        <v>72584</v>
      </c>
      <c r="H1315" s="116"/>
      <c r="I1315" s="116"/>
      <c r="L1315" s="170">
        <v>45628</v>
      </c>
      <c r="M1315" s="116">
        <v>491.2</v>
      </c>
      <c r="N1315" s="116">
        <v>503</v>
      </c>
      <c r="O1315" s="116">
        <v>480.6</v>
      </c>
      <c r="P1315" s="116">
        <v>486.45</v>
      </c>
      <c r="Q1315" s="116">
        <v>491.2</v>
      </c>
      <c r="R1315">
        <v>1224852</v>
      </c>
    </row>
    <row r="1316" spans="1:18" x14ac:dyDescent="0.25">
      <c r="A1316" s="170">
        <v>45629</v>
      </c>
      <c r="B1316" s="116">
        <v>515.79999999999995</v>
      </c>
      <c r="C1316" s="116">
        <v>513.5</v>
      </c>
      <c r="D1316" s="116">
        <v>494.5</v>
      </c>
      <c r="E1316" s="116">
        <v>494.55</v>
      </c>
      <c r="F1316" s="116">
        <v>513.5</v>
      </c>
      <c r="G1316">
        <v>243231</v>
      </c>
      <c r="H1316" s="116"/>
      <c r="I1316" s="116"/>
      <c r="L1316" s="170">
        <v>45629</v>
      </c>
      <c r="M1316" s="116">
        <v>512.85</v>
      </c>
      <c r="N1316" s="116">
        <v>515.75</v>
      </c>
      <c r="O1316" s="116">
        <v>495</v>
      </c>
      <c r="P1316" s="116">
        <v>496</v>
      </c>
      <c r="Q1316" s="116">
        <v>512.85</v>
      </c>
      <c r="R1316">
        <v>1653807</v>
      </c>
    </row>
    <row r="1317" spans="1:18" x14ac:dyDescent="0.25">
      <c r="A1317" s="170">
        <v>45630</v>
      </c>
      <c r="B1317" s="116">
        <v>519.75</v>
      </c>
      <c r="C1317" s="116">
        <v>517.15</v>
      </c>
      <c r="D1317" s="116">
        <v>500.5</v>
      </c>
      <c r="E1317" s="116">
        <v>515.79999999999995</v>
      </c>
      <c r="F1317" s="116">
        <v>517.15</v>
      </c>
      <c r="G1317">
        <v>144094</v>
      </c>
      <c r="H1317" s="116"/>
      <c r="I1317" s="116"/>
      <c r="L1317" s="170">
        <v>45630</v>
      </c>
      <c r="M1317" s="116">
        <v>517.29999999999995</v>
      </c>
      <c r="N1317" s="116">
        <v>519.70000000000005</v>
      </c>
      <c r="O1317" s="116">
        <v>500.7</v>
      </c>
      <c r="P1317" s="116">
        <v>515.79999999999995</v>
      </c>
      <c r="Q1317" s="116">
        <v>517.29999999999995</v>
      </c>
      <c r="R1317">
        <v>1227669</v>
      </c>
    </row>
    <row r="1318" spans="1:18" x14ac:dyDescent="0.25">
      <c r="A1318" s="170">
        <v>45631</v>
      </c>
      <c r="B1318" s="116">
        <v>520.20000000000005</v>
      </c>
      <c r="C1318" s="116">
        <v>509</v>
      </c>
      <c r="D1318" s="116">
        <v>503.6</v>
      </c>
      <c r="E1318" s="116">
        <v>520.20000000000005</v>
      </c>
      <c r="F1318" s="116">
        <v>509</v>
      </c>
      <c r="G1318">
        <v>67117</v>
      </c>
      <c r="H1318" s="116"/>
      <c r="I1318" s="116"/>
      <c r="L1318" s="170">
        <v>45631</v>
      </c>
      <c r="M1318" s="116">
        <v>509.4</v>
      </c>
      <c r="N1318" s="116">
        <v>520</v>
      </c>
      <c r="O1318" s="116">
        <v>503.5</v>
      </c>
      <c r="P1318" s="116">
        <v>518</v>
      </c>
      <c r="Q1318" s="116">
        <v>509.4</v>
      </c>
      <c r="R1318">
        <v>980887</v>
      </c>
    </row>
    <row r="1319" spans="1:18" x14ac:dyDescent="0.25">
      <c r="A1319" s="170">
        <v>45632</v>
      </c>
      <c r="B1319" s="116">
        <v>516</v>
      </c>
      <c r="C1319" s="116">
        <v>513.70000000000005</v>
      </c>
      <c r="D1319" s="116">
        <v>504.5</v>
      </c>
      <c r="E1319" s="116">
        <v>513.75</v>
      </c>
      <c r="F1319" s="116">
        <v>513.70000000000005</v>
      </c>
      <c r="G1319">
        <v>43556</v>
      </c>
      <c r="H1319" s="116"/>
      <c r="I1319" s="116"/>
      <c r="L1319" s="170">
        <v>45632</v>
      </c>
      <c r="M1319" s="116">
        <v>514</v>
      </c>
      <c r="N1319" s="116">
        <v>516</v>
      </c>
      <c r="O1319" s="116">
        <v>504.15</v>
      </c>
      <c r="P1319" s="116">
        <v>513.25</v>
      </c>
      <c r="Q1319" s="116">
        <v>514</v>
      </c>
      <c r="R1319">
        <v>1173568</v>
      </c>
    </row>
    <row r="1320" spans="1:18" x14ac:dyDescent="0.25">
      <c r="A1320" s="170">
        <v>45635</v>
      </c>
      <c r="B1320" s="116">
        <v>526</v>
      </c>
      <c r="C1320" s="116">
        <v>506.85</v>
      </c>
      <c r="D1320" s="116">
        <v>505</v>
      </c>
      <c r="E1320" s="116">
        <v>516.95000000000005</v>
      </c>
      <c r="F1320" s="116">
        <v>506.85</v>
      </c>
      <c r="G1320">
        <v>62830</v>
      </c>
      <c r="H1320" s="116"/>
      <c r="I1320" s="116"/>
      <c r="L1320" s="170">
        <v>45635</v>
      </c>
      <c r="M1320" s="116">
        <v>507.3</v>
      </c>
      <c r="N1320" s="116">
        <v>525.95000000000005</v>
      </c>
      <c r="O1320" s="116">
        <v>504.6</v>
      </c>
      <c r="P1320" s="116">
        <v>514</v>
      </c>
      <c r="Q1320" s="116">
        <v>507.3</v>
      </c>
      <c r="R1320">
        <v>1200983</v>
      </c>
    </row>
    <row r="1321" spans="1:18" x14ac:dyDescent="0.25">
      <c r="A1321" s="170">
        <v>45636</v>
      </c>
      <c r="B1321" s="116">
        <v>511</v>
      </c>
      <c r="C1321" s="116">
        <v>503.1</v>
      </c>
      <c r="D1321" s="116">
        <v>500</v>
      </c>
      <c r="E1321" s="116">
        <v>508.35</v>
      </c>
      <c r="F1321" s="116">
        <v>503.1</v>
      </c>
      <c r="G1321">
        <v>35360</v>
      </c>
      <c r="H1321" s="116"/>
      <c r="I1321" s="116"/>
      <c r="L1321" s="170">
        <v>45636</v>
      </c>
      <c r="M1321" s="116">
        <v>503.05</v>
      </c>
      <c r="N1321" s="116">
        <v>511.4</v>
      </c>
      <c r="O1321" s="116">
        <v>500</v>
      </c>
      <c r="P1321" s="116">
        <v>506.55</v>
      </c>
      <c r="Q1321" s="116">
        <v>503.05</v>
      </c>
      <c r="R1321">
        <v>812868</v>
      </c>
    </row>
    <row r="1322" spans="1:18" x14ac:dyDescent="0.25">
      <c r="A1322" s="170">
        <v>45637</v>
      </c>
      <c r="B1322" s="116">
        <v>522.75</v>
      </c>
      <c r="C1322" s="116">
        <v>508.35</v>
      </c>
      <c r="D1322" s="116">
        <v>501.45</v>
      </c>
      <c r="E1322" s="116">
        <v>504.35</v>
      </c>
      <c r="F1322" s="116">
        <v>508.35</v>
      </c>
      <c r="G1322">
        <v>168817</v>
      </c>
      <c r="H1322" s="116"/>
      <c r="I1322" s="116"/>
      <c r="L1322" s="170">
        <v>45637</v>
      </c>
      <c r="M1322" s="116">
        <v>508.25</v>
      </c>
      <c r="N1322" s="116">
        <v>522.79999999999995</v>
      </c>
      <c r="O1322" s="116">
        <v>501.3</v>
      </c>
      <c r="P1322" s="116">
        <v>502.6</v>
      </c>
      <c r="Q1322" s="116">
        <v>508.25</v>
      </c>
      <c r="R1322">
        <v>2146673</v>
      </c>
    </row>
    <row r="1323" spans="1:18" x14ac:dyDescent="0.25">
      <c r="A1323" s="170">
        <v>45638</v>
      </c>
      <c r="B1323" s="116">
        <v>509.95</v>
      </c>
      <c r="C1323" s="116">
        <v>489.05</v>
      </c>
      <c r="D1323" s="116">
        <v>487.2</v>
      </c>
      <c r="E1323" s="116">
        <v>508</v>
      </c>
      <c r="F1323" s="116">
        <v>489.05</v>
      </c>
      <c r="G1323">
        <v>248632</v>
      </c>
      <c r="H1323" s="116"/>
      <c r="I1323" s="116"/>
      <c r="L1323" s="170">
        <v>45638</v>
      </c>
      <c r="M1323" s="116">
        <v>489.1</v>
      </c>
      <c r="N1323" s="116">
        <v>509.75</v>
      </c>
      <c r="O1323" s="116">
        <v>486.95</v>
      </c>
      <c r="P1323" s="116">
        <v>508.25</v>
      </c>
      <c r="Q1323" s="116">
        <v>489.1</v>
      </c>
      <c r="R1323">
        <v>1255600</v>
      </c>
    </row>
    <row r="1324" spans="1:18" x14ac:dyDescent="0.25">
      <c r="A1324" s="170">
        <v>45639</v>
      </c>
      <c r="B1324" s="116">
        <v>489.95</v>
      </c>
      <c r="C1324" s="116">
        <v>484.9</v>
      </c>
      <c r="D1324" s="116">
        <v>472.2</v>
      </c>
      <c r="E1324" s="116">
        <v>489.95</v>
      </c>
      <c r="F1324" s="116">
        <v>484.9</v>
      </c>
      <c r="G1324">
        <v>103299</v>
      </c>
      <c r="H1324" s="116"/>
      <c r="I1324" s="116"/>
      <c r="L1324" s="170">
        <v>45639</v>
      </c>
      <c r="M1324" s="116">
        <v>484.95</v>
      </c>
      <c r="N1324" s="116">
        <v>488.5</v>
      </c>
      <c r="O1324" s="116">
        <v>471.55</v>
      </c>
      <c r="P1324" s="116">
        <v>488.1</v>
      </c>
      <c r="Q1324" s="116">
        <v>484.95</v>
      </c>
      <c r="R1324">
        <v>1347190</v>
      </c>
    </row>
    <row r="1325" spans="1:18" x14ac:dyDescent="0.25">
      <c r="A1325" s="170">
        <v>45642</v>
      </c>
      <c r="B1325" s="116">
        <v>498</v>
      </c>
      <c r="C1325" s="116">
        <v>481.85</v>
      </c>
      <c r="D1325" s="116">
        <v>478.95</v>
      </c>
      <c r="E1325" s="116">
        <v>492.05</v>
      </c>
      <c r="F1325" s="116">
        <v>481.85</v>
      </c>
      <c r="G1325">
        <v>62883</v>
      </c>
      <c r="H1325" s="116"/>
      <c r="I1325" s="116"/>
      <c r="L1325" s="170">
        <v>45642</v>
      </c>
      <c r="M1325" s="116">
        <v>482</v>
      </c>
      <c r="N1325" s="116">
        <v>498.7</v>
      </c>
      <c r="O1325" s="116">
        <v>479.1</v>
      </c>
      <c r="P1325" s="116">
        <v>490</v>
      </c>
      <c r="Q1325" s="116">
        <v>482</v>
      </c>
      <c r="R1325">
        <v>1115882</v>
      </c>
    </row>
    <row r="1326" spans="1:18" x14ac:dyDescent="0.25">
      <c r="A1326" s="170">
        <v>45643</v>
      </c>
      <c r="B1326" s="116">
        <v>483</v>
      </c>
      <c r="C1326" s="116">
        <v>473.25</v>
      </c>
      <c r="D1326" s="116">
        <v>470.55</v>
      </c>
      <c r="E1326" s="116">
        <v>481.85</v>
      </c>
      <c r="F1326" s="116">
        <v>473.25</v>
      </c>
      <c r="G1326">
        <v>85947</v>
      </c>
      <c r="H1326" s="116"/>
      <c r="I1326" s="116"/>
      <c r="L1326" s="170">
        <v>45643</v>
      </c>
      <c r="M1326" s="116">
        <v>473.3</v>
      </c>
      <c r="N1326" s="116">
        <v>483.05</v>
      </c>
      <c r="O1326" s="116">
        <v>470.55</v>
      </c>
      <c r="P1326" s="116">
        <v>482</v>
      </c>
      <c r="Q1326" s="116">
        <v>473.3</v>
      </c>
      <c r="R1326">
        <v>1076987</v>
      </c>
    </row>
    <row r="1327" spans="1:18" x14ac:dyDescent="0.25">
      <c r="A1327" s="170">
        <v>45644</v>
      </c>
      <c r="B1327" s="116">
        <v>476.9</v>
      </c>
      <c r="C1327" s="116">
        <v>461.7</v>
      </c>
      <c r="D1327" s="116">
        <v>452.05</v>
      </c>
      <c r="E1327" s="116">
        <v>476.9</v>
      </c>
      <c r="F1327" s="116">
        <v>461.7</v>
      </c>
      <c r="G1327">
        <v>74058</v>
      </c>
      <c r="H1327" s="116"/>
      <c r="I1327" s="116"/>
      <c r="L1327" s="170">
        <v>45644</v>
      </c>
      <c r="M1327" s="116">
        <v>461.7</v>
      </c>
      <c r="N1327" s="116">
        <v>474.25</v>
      </c>
      <c r="O1327" s="116">
        <v>451.55</v>
      </c>
      <c r="P1327" s="116">
        <v>472</v>
      </c>
      <c r="Q1327" s="116">
        <v>461.7</v>
      </c>
      <c r="R1327">
        <v>1842641</v>
      </c>
    </row>
    <row r="1328" spans="1:18" x14ac:dyDescent="0.25">
      <c r="A1328" s="170">
        <v>45645</v>
      </c>
      <c r="B1328" s="116">
        <v>472.5</v>
      </c>
      <c r="C1328" s="116">
        <v>467.55</v>
      </c>
      <c r="D1328" s="116">
        <v>450.15</v>
      </c>
      <c r="E1328" s="116">
        <v>451.15</v>
      </c>
      <c r="F1328" s="116">
        <v>467.55</v>
      </c>
      <c r="G1328">
        <v>123975</v>
      </c>
      <c r="H1328" s="116"/>
      <c r="I1328" s="116"/>
      <c r="L1328" s="170">
        <v>45645</v>
      </c>
      <c r="M1328" s="116">
        <v>467.1</v>
      </c>
      <c r="N1328" s="116">
        <v>469.8</v>
      </c>
      <c r="O1328" s="116">
        <v>450.7</v>
      </c>
      <c r="P1328" s="116">
        <v>451.6</v>
      </c>
      <c r="Q1328" s="116">
        <v>467.1</v>
      </c>
      <c r="R1328">
        <v>1284122</v>
      </c>
    </row>
    <row r="1329" spans="1:18" x14ac:dyDescent="0.25">
      <c r="A1329" s="170">
        <v>45646</v>
      </c>
      <c r="B1329" s="116">
        <v>470.55</v>
      </c>
      <c r="C1329" s="116">
        <v>443.55</v>
      </c>
      <c r="D1329" s="116">
        <v>441.45</v>
      </c>
      <c r="E1329" s="116">
        <v>467.9</v>
      </c>
      <c r="F1329" s="116">
        <v>443.55</v>
      </c>
      <c r="G1329">
        <v>153762</v>
      </c>
      <c r="H1329" s="116"/>
      <c r="I1329" s="116"/>
      <c r="L1329" s="170">
        <v>45646</v>
      </c>
      <c r="M1329" s="116">
        <v>443.2</v>
      </c>
      <c r="N1329" s="116">
        <v>470.5</v>
      </c>
      <c r="O1329" s="116">
        <v>441.05</v>
      </c>
      <c r="P1329" s="116">
        <v>468.95</v>
      </c>
      <c r="Q1329" s="116">
        <v>443.2</v>
      </c>
      <c r="R1329">
        <v>1078335</v>
      </c>
    </row>
    <row r="1330" spans="1:18" x14ac:dyDescent="0.25">
      <c r="A1330" s="170">
        <v>45649</v>
      </c>
      <c r="B1330" s="116">
        <v>479.3</v>
      </c>
      <c r="C1330" s="116">
        <v>467.1</v>
      </c>
      <c r="D1330" s="116">
        <v>452.1</v>
      </c>
      <c r="E1330" s="116">
        <v>471</v>
      </c>
      <c r="F1330" s="116">
        <v>467.1</v>
      </c>
      <c r="G1330">
        <v>388268</v>
      </c>
      <c r="H1330" s="116"/>
      <c r="I1330" s="116"/>
      <c r="L1330" s="170">
        <v>45649</v>
      </c>
      <c r="M1330" s="116">
        <v>467.6</v>
      </c>
      <c r="N1330" s="116">
        <v>479.5</v>
      </c>
      <c r="O1330" s="116">
        <v>452</v>
      </c>
      <c r="P1330" s="116">
        <v>472.95</v>
      </c>
      <c r="Q1330" s="116">
        <v>467.6</v>
      </c>
      <c r="R1330">
        <v>4263998</v>
      </c>
    </row>
    <row r="1331" spans="1:18" x14ac:dyDescent="0.25">
      <c r="A1331" s="170">
        <v>45650</v>
      </c>
      <c r="B1331" s="116">
        <v>471.95</v>
      </c>
      <c r="C1331" s="116">
        <v>457.65</v>
      </c>
      <c r="D1331" s="116">
        <v>455</v>
      </c>
      <c r="E1331" s="116">
        <v>470.8</v>
      </c>
      <c r="F1331" s="116">
        <v>457.65</v>
      </c>
      <c r="G1331">
        <v>75283</v>
      </c>
      <c r="H1331" s="116"/>
      <c r="I1331" s="116"/>
      <c r="L1331" s="170">
        <v>45650</v>
      </c>
      <c r="M1331" s="116">
        <v>458.6</v>
      </c>
      <c r="N1331" s="116">
        <v>472.6</v>
      </c>
      <c r="O1331" s="116">
        <v>455.1</v>
      </c>
      <c r="P1331" s="116">
        <v>468.75</v>
      </c>
      <c r="Q1331" s="116">
        <v>458.6</v>
      </c>
      <c r="R1331">
        <v>1133705</v>
      </c>
    </row>
    <row r="1332" spans="1:18" x14ac:dyDescent="0.25">
      <c r="A1332" s="170">
        <v>45652</v>
      </c>
      <c r="B1332" s="116">
        <v>469.7</v>
      </c>
      <c r="C1332" s="116">
        <v>458.55</v>
      </c>
      <c r="D1332" s="116">
        <v>451</v>
      </c>
      <c r="E1332" s="116">
        <v>454.05</v>
      </c>
      <c r="F1332" s="116">
        <v>458.55</v>
      </c>
      <c r="G1332">
        <v>60780</v>
      </c>
      <c r="H1332" s="116"/>
      <c r="I1332" s="116"/>
      <c r="L1332" s="170">
        <v>45652</v>
      </c>
      <c r="M1332" s="116">
        <v>458.55</v>
      </c>
      <c r="N1332" s="116">
        <v>469.45</v>
      </c>
      <c r="O1332" s="116">
        <v>450.7</v>
      </c>
      <c r="P1332" s="116">
        <v>458</v>
      </c>
      <c r="Q1332" s="116">
        <v>458.55</v>
      </c>
      <c r="R1332">
        <v>1083694</v>
      </c>
    </row>
    <row r="1333" spans="1:18" x14ac:dyDescent="0.25">
      <c r="A1333" s="170">
        <v>45653</v>
      </c>
      <c r="B1333" s="116">
        <v>460.95</v>
      </c>
      <c r="C1333" s="116">
        <v>452.5</v>
      </c>
      <c r="D1333" s="116">
        <v>449.95</v>
      </c>
      <c r="E1333" s="116">
        <v>457.95</v>
      </c>
      <c r="F1333" s="116">
        <v>452.5</v>
      </c>
      <c r="G1333">
        <v>84382</v>
      </c>
      <c r="H1333" s="116"/>
      <c r="I1333" s="116"/>
      <c r="L1333" s="170">
        <v>45653</v>
      </c>
      <c r="M1333" s="116">
        <v>453.05</v>
      </c>
      <c r="N1333" s="116">
        <v>461</v>
      </c>
      <c r="O1333" s="116">
        <v>449.4</v>
      </c>
      <c r="P1333" s="116">
        <v>455.2</v>
      </c>
      <c r="Q1333" s="116">
        <v>453.05</v>
      </c>
      <c r="R1333">
        <v>679739</v>
      </c>
    </row>
    <row r="1334" spans="1:18" x14ac:dyDescent="0.25">
      <c r="A1334" s="170">
        <v>45656</v>
      </c>
      <c r="B1334" s="116">
        <v>463</v>
      </c>
      <c r="C1334" s="116">
        <v>455.4</v>
      </c>
      <c r="D1334" s="116">
        <v>448.85</v>
      </c>
      <c r="E1334" s="116">
        <v>452.55</v>
      </c>
      <c r="F1334" s="116">
        <v>455.4</v>
      </c>
      <c r="G1334">
        <v>45448</v>
      </c>
      <c r="H1334" s="116"/>
      <c r="I1334" s="116"/>
      <c r="L1334" s="170">
        <v>45656</v>
      </c>
      <c r="M1334" s="116">
        <v>454.55</v>
      </c>
      <c r="N1334" s="116">
        <v>463.7</v>
      </c>
      <c r="O1334" s="116">
        <v>449.15</v>
      </c>
      <c r="P1334" s="116">
        <v>453.05</v>
      </c>
      <c r="Q1334" s="116">
        <v>454.55</v>
      </c>
      <c r="R1334">
        <v>781697</v>
      </c>
    </row>
    <row r="1335" spans="1:18" x14ac:dyDescent="0.25">
      <c r="A1335" s="170">
        <v>45657</v>
      </c>
      <c r="B1335" s="116">
        <v>459.95</v>
      </c>
      <c r="C1335" s="116">
        <v>458.55</v>
      </c>
      <c r="D1335" s="116">
        <v>449.55</v>
      </c>
      <c r="E1335" s="116">
        <v>452.75</v>
      </c>
      <c r="F1335" s="116">
        <v>458.55</v>
      </c>
      <c r="G1335">
        <v>80833</v>
      </c>
      <c r="H1335" s="116"/>
      <c r="I1335" s="116"/>
      <c r="L1335" s="170">
        <v>45657</v>
      </c>
      <c r="M1335" s="116">
        <v>458.9</v>
      </c>
      <c r="N1335" s="116">
        <v>460</v>
      </c>
      <c r="O1335" s="116">
        <v>450</v>
      </c>
      <c r="P1335" s="116">
        <v>450</v>
      </c>
      <c r="Q1335" s="116">
        <v>458.9</v>
      </c>
      <c r="R1335">
        <v>428052</v>
      </c>
    </row>
    <row r="1336" spans="1:18" x14ac:dyDescent="0.25">
      <c r="A1336" s="170">
        <v>45658</v>
      </c>
      <c r="B1336" s="116">
        <v>475.15</v>
      </c>
      <c r="C1336" s="116">
        <v>471.7</v>
      </c>
      <c r="D1336" s="116">
        <v>455.8</v>
      </c>
      <c r="E1336" s="116">
        <v>458.55</v>
      </c>
      <c r="F1336" s="116">
        <v>471.7</v>
      </c>
      <c r="G1336">
        <v>59064</v>
      </c>
      <c r="H1336" s="116"/>
      <c r="I1336" s="116"/>
      <c r="L1336" s="170">
        <v>45658</v>
      </c>
      <c r="M1336" s="116">
        <v>471.65</v>
      </c>
      <c r="N1336" s="116">
        <v>475.4</v>
      </c>
      <c r="O1336" s="116">
        <v>454.6</v>
      </c>
      <c r="P1336" s="116">
        <v>454.6</v>
      </c>
      <c r="Q1336" s="116">
        <v>471.65</v>
      </c>
      <c r="R1336">
        <v>826494</v>
      </c>
    </row>
    <row r="1337" spans="1:18" x14ac:dyDescent="0.25">
      <c r="A1337" s="170">
        <v>45659</v>
      </c>
      <c r="B1337" s="116">
        <v>475.05</v>
      </c>
      <c r="C1337" s="116">
        <v>466.65</v>
      </c>
      <c r="D1337" s="116">
        <v>465.5</v>
      </c>
      <c r="E1337" s="116">
        <v>473.05</v>
      </c>
      <c r="F1337" s="116">
        <v>466.65</v>
      </c>
      <c r="G1337">
        <v>65935</v>
      </c>
      <c r="H1337" s="116"/>
      <c r="I1337" s="116"/>
      <c r="L1337" s="170">
        <v>45659</v>
      </c>
      <c r="M1337" s="116">
        <v>466.45</v>
      </c>
      <c r="N1337" s="116">
        <v>476.9</v>
      </c>
      <c r="O1337" s="116">
        <v>465.1</v>
      </c>
      <c r="P1337" s="116">
        <v>474.9</v>
      </c>
      <c r="Q1337" s="116">
        <v>466.45</v>
      </c>
      <c r="R1337">
        <v>474732</v>
      </c>
    </row>
    <row r="1338" spans="1:18" x14ac:dyDescent="0.25">
      <c r="A1338" s="170">
        <v>45660</v>
      </c>
      <c r="B1338" s="116">
        <v>475.35</v>
      </c>
      <c r="C1338" s="116">
        <v>469.35</v>
      </c>
      <c r="D1338" s="116">
        <v>466</v>
      </c>
      <c r="E1338" s="116">
        <v>466.9</v>
      </c>
      <c r="F1338" s="116">
        <v>469.35</v>
      </c>
      <c r="G1338">
        <v>74205</v>
      </c>
      <c r="H1338" s="116"/>
      <c r="I1338" s="116"/>
      <c r="L1338" s="170">
        <v>45660</v>
      </c>
      <c r="M1338" s="116">
        <v>469.55</v>
      </c>
      <c r="N1338" s="116">
        <v>475.45</v>
      </c>
      <c r="O1338" s="116">
        <v>464.25</v>
      </c>
      <c r="P1338" s="116">
        <v>464.25</v>
      </c>
      <c r="Q1338" s="116">
        <v>469.55</v>
      </c>
      <c r="R1338">
        <v>485198</v>
      </c>
    </row>
    <row r="1339" spans="1:18" x14ac:dyDescent="0.25">
      <c r="A1339" s="170">
        <v>45663</v>
      </c>
      <c r="B1339" s="116">
        <v>471</v>
      </c>
      <c r="C1339" s="116">
        <v>447.95</v>
      </c>
      <c r="D1339" s="116">
        <v>444.45</v>
      </c>
      <c r="E1339" s="116">
        <v>470.95</v>
      </c>
      <c r="F1339" s="116">
        <v>447.95</v>
      </c>
      <c r="G1339">
        <v>52643</v>
      </c>
      <c r="H1339" s="116"/>
      <c r="I1339" s="116"/>
      <c r="L1339" s="170">
        <v>45663</v>
      </c>
      <c r="M1339" s="116">
        <v>447.95</v>
      </c>
      <c r="N1339" s="116">
        <v>471.4</v>
      </c>
      <c r="O1339" s="116">
        <v>444</v>
      </c>
      <c r="P1339" s="116">
        <v>469.95</v>
      </c>
      <c r="Q1339" s="116">
        <v>447.95</v>
      </c>
      <c r="R1339">
        <v>814059</v>
      </c>
    </row>
    <row r="1340" spans="1:18" x14ac:dyDescent="0.25">
      <c r="A1340" s="170">
        <v>45664</v>
      </c>
      <c r="B1340" s="116">
        <v>455.4</v>
      </c>
      <c r="C1340" s="116">
        <v>450.4</v>
      </c>
      <c r="D1340" s="116">
        <v>444.5</v>
      </c>
      <c r="E1340" s="116">
        <v>445.3</v>
      </c>
      <c r="F1340" s="116">
        <v>450.4</v>
      </c>
      <c r="G1340">
        <v>80677</v>
      </c>
      <c r="H1340" s="116"/>
      <c r="I1340" s="116"/>
      <c r="L1340" s="170">
        <v>45664</v>
      </c>
      <c r="M1340" s="116">
        <v>450.65</v>
      </c>
      <c r="N1340" s="116">
        <v>455.95</v>
      </c>
      <c r="O1340" s="116">
        <v>444.4</v>
      </c>
      <c r="P1340" s="116">
        <v>448.45</v>
      </c>
      <c r="Q1340" s="116">
        <v>450.65</v>
      </c>
      <c r="R1340">
        <v>634815</v>
      </c>
    </row>
    <row r="1341" spans="1:18" x14ac:dyDescent="0.25">
      <c r="A1341" s="170">
        <v>45665</v>
      </c>
      <c r="B1341" s="116">
        <v>453.9</v>
      </c>
      <c r="C1341" s="116">
        <v>447.3</v>
      </c>
      <c r="D1341" s="116">
        <v>445</v>
      </c>
      <c r="E1341" s="116">
        <v>451.95</v>
      </c>
      <c r="F1341" s="116">
        <v>447.3</v>
      </c>
      <c r="G1341">
        <v>62997</v>
      </c>
      <c r="H1341" s="116"/>
      <c r="I1341" s="116"/>
      <c r="L1341" s="170">
        <v>45665</v>
      </c>
      <c r="M1341" s="116">
        <v>447.5</v>
      </c>
      <c r="N1341" s="116">
        <v>454.45</v>
      </c>
      <c r="O1341" s="116">
        <v>445</v>
      </c>
      <c r="P1341" s="116">
        <v>450.95</v>
      </c>
      <c r="Q1341" s="116">
        <v>447.5</v>
      </c>
      <c r="R1341">
        <v>612544</v>
      </c>
    </row>
    <row r="1342" spans="1:18" x14ac:dyDescent="0.25">
      <c r="A1342" s="170">
        <v>45666</v>
      </c>
      <c r="B1342" s="116">
        <v>447.5</v>
      </c>
      <c r="C1342" s="116">
        <v>438.75</v>
      </c>
      <c r="D1342" s="116">
        <v>435</v>
      </c>
      <c r="E1342" s="116">
        <v>445.9</v>
      </c>
      <c r="F1342" s="116">
        <v>438.75</v>
      </c>
      <c r="G1342">
        <v>43070</v>
      </c>
      <c r="H1342" s="116"/>
      <c r="I1342" s="116"/>
      <c r="L1342" s="170">
        <v>45666</v>
      </c>
      <c r="M1342" s="116">
        <v>438.65</v>
      </c>
      <c r="N1342" s="116">
        <v>448.45</v>
      </c>
      <c r="O1342" s="116">
        <v>435.15</v>
      </c>
      <c r="P1342" s="116">
        <v>445.6</v>
      </c>
      <c r="Q1342" s="116">
        <v>438.65</v>
      </c>
      <c r="R1342">
        <v>484429</v>
      </c>
    </row>
    <row r="1343" spans="1:18" x14ac:dyDescent="0.25">
      <c r="A1343" s="170">
        <v>45667</v>
      </c>
      <c r="B1343" s="116">
        <v>464.95</v>
      </c>
      <c r="C1343" s="116">
        <v>447.15</v>
      </c>
      <c r="D1343" s="116">
        <v>425.15</v>
      </c>
      <c r="E1343" s="116">
        <v>436.05</v>
      </c>
      <c r="F1343" s="116">
        <v>447.15</v>
      </c>
      <c r="G1343">
        <v>272523</v>
      </c>
      <c r="H1343" s="116"/>
      <c r="I1343" s="116"/>
      <c r="L1343" s="170">
        <v>45667</v>
      </c>
      <c r="M1343" s="116">
        <v>447.55</v>
      </c>
      <c r="N1343" s="116">
        <v>465</v>
      </c>
      <c r="O1343" s="116">
        <v>425.25</v>
      </c>
      <c r="P1343" s="116">
        <v>436.65</v>
      </c>
      <c r="Q1343" s="116">
        <v>447.55</v>
      </c>
      <c r="R1343">
        <v>2788774</v>
      </c>
    </row>
    <row r="1344" spans="1:18" x14ac:dyDescent="0.25">
      <c r="A1344" s="170">
        <v>45670</v>
      </c>
      <c r="B1344" s="116">
        <v>450</v>
      </c>
      <c r="C1344" s="116">
        <v>418.05</v>
      </c>
      <c r="D1344" s="116">
        <v>415.5</v>
      </c>
      <c r="E1344" s="116">
        <v>446.7</v>
      </c>
      <c r="F1344" s="116">
        <v>418.05</v>
      </c>
      <c r="G1344">
        <v>107814</v>
      </c>
      <c r="H1344" s="116"/>
      <c r="I1344" s="116"/>
      <c r="L1344" s="170">
        <v>45670</v>
      </c>
      <c r="M1344" s="116">
        <v>418.35</v>
      </c>
      <c r="N1344" s="116">
        <v>450</v>
      </c>
      <c r="O1344" s="116">
        <v>415.05</v>
      </c>
      <c r="P1344" s="116">
        <v>441</v>
      </c>
      <c r="Q1344" s="116">
        <v>418.35</v>
      </c>
      <c r="R1344">
        <v>1638510</v>
      </c>
    </row>
    <row r="1345" spans="1:18" x14ac:dyDescent="0.25">
      <c r="A1345" s="170">
        <v>45671</v>
      </c>
      <c r="B1345" s="116">
        <v>431</v>
      </c>
      <c r="C1345" s="116">
        <v>412.95</v>
      </c>
      <c r="D1345" s="116">
        <v>411.85</v>
      </c>
      <c r="E1345" s="116">
        <v>416.55</v>
      </c>
      <c r="F1345" s="116">
        <v>412.95</v>
      </c>
      <c r="G1345">
        <v>58272</v>
      </c>
      <c r="H1345" s="116"/>
      <c r="I1345" s="116"/>
      <c r="L1345" s="170">
        <v>45671</v>
      </c>
      <c r="M1345" s="116">
        <v>413.35</v>
      </c>
      <c r="N1345" s="116">
        <v>432.7</v>
      </c>
      <c r="O1345" s="116">
        <v>411.35</v>
      </c>
      <c r="P1345" s="116">
        <v>421.2</v>
      </c>
      <c r="Q1345" s="116">
        <v>413.35</v>
      </c>
      <c r="R1345">
        <v>1977059</v>
      </c>
    </row>
    <row r="1346" spans="1:18" x14ac:dyDescent="0.25">
      <c r="A1346" s="170">
        <v>45672</v>
      </c>
      <c r="B1346" s="116">
        <v>436.85</v>
      </c>
      <c r="C1346" s="116">
        <v>424.6</v>
      </c>
      <c r="D1346" s="116">
        <v>403.5</v>
      </c>
      <c r="E1346" s="116">
        <v>423</v>
      </c>
      <c r="F1346" s="116">
        <v>424.6</v>
      </c>
      <c r="G1346">
        <v>155491</v>
      </c>
      <c r="H1346" s="116"/>
      <c r="I1346" s="116"/>
      <c r="L1346" s="170">
        <v>45672</v>
      </c>
      <c r="M1346" s="116">
        <v>424.35</v>
      </c>
      <c r="N1346" s="116">
        <v>437</v>
      </c>
      <c r="O1346" s="116">
        <v>403.35</v>
      </c>
      <c r="P1346" s="116">
        <v>419.9</v>
      </c>
      <c r="Q1346" s="116">
        <v>424.35</v>
      </c>
      <c r="R1346">
        <v>2211911</v>
      </c>
    </row>
    <row r="1347" spans="1:18" x14ac:dyDescent="0.25">
      <c r="A1347" s="170">
        <v>45673</v>
      </c>
      <c r="B1347" s="116">
        <v>467.05</v>
      </c>
      <c r="C1347" s="116">
        <v>460.85</v>
      </c>
      <c r="D1347" s="116">
        <v>429</v>
      </c>
      <c r="E1347" s="116">
        <v>434.7</v>
      </c>
      <c r="F1347" s="116">
        <v>460.85</v>
      </c>
      <c r="G1347">
        <v>957472</v>
      </c>
      <c r="H1347" s="116"/>
      <c r="I1347" s="116"/>
      <c r="L1347" s="170">
        <v>45673</v>
      </c>
      <c r="M1347" s="116">
        <v>457.65</v>
      </c>
      <c r="N1347" s="116">
        <v>466.75</v>
      </c>
      <c r="O1347" s="116">
        <v>428.2</v>
      </c>
      <c r="P1347" s="116">
        <v>430</v>
      </c>
      <c r="Q1347" s="116">
        <v>457.65</v>
      </c>
      <c r="R1347">
        <v>8536362</v>
      </c>
    </row>
    <row r="1348" spans="1:18" x14ac:dyDescent="0.25">
      <c r="A1348" s="170">
        <v>45674</v>
      </c>
      <c r="B1348" s="116">
        <v>451.35</v>
      </c>
      <c r="C1348" s="116">
        <v>414.8</v>
      </c>
      <c r="D1348" s="116">
        <v>414.8</v>
      </c>
      <c r="E1348" s="116">
        <v>451.35</v>
      </c>
      <c r="F1348" s="116">
        <v>414.8</v>
      </c>
      <c r="G1348">
        <v>832371</v>
      </c>
      <c r="H1348" s="116"/>
      <c r="I1348" s="116"/>
      <c r="L1348" s="170">
        <v>45674</v>
      </c>
      <c r="M1348" s="116">
        <v>411.9</v>
      </c>
      <c r="N1348" s="116">
        <v>450.85</v>
      </c>
      <c r="O1348" s="116">
        <v>411.9</v>
      </c>
      <c r="P1348" s="116">
        <v>449</v>
      </c>
      <c r="Q1348" s="116">
        <v>411.9</v>
      </c>
      <c r="R1348">
        <v>7913498</v>
      </c>
    </row>
    <row r="1349" spans="1:18" x14ac:dyDescent="0.25">
      <c r="A1349" s="170">
        <v>45677</v>
      </c>
      <c r="B1349" s="116">
        <v>405</v>
      </c>
      <c r="C1349" s="116">
        <v>385.95</v>
      </c>
      <c r="D1349" s="116">
        <v>383.3</v>
      </c>
      <c r="E1349" s="116">
        <v>405</v>
      </c>
      <c r="F1349" s="116">
        <v>385.95</v>
      </c>
      <c r="G1349">
        <v>869231</v>
      </c>
      <c r="H1349" s="116"/>
      <c r="I1349" s="116"/>
      <c r="L1349" s="170">
        <v>45677</v>
      </c>
      <c r="M1349" s="116">
        <v>385.65</v>
      </c>
      <c r="N1349" s="116">
        <v>404.75</v>
      </c>
      <c r="O1349" s="116">
        <v>383.5</v>
      </c>
      <c r="P1349" s="116">
        <v>404.75</v>
      </c>
      <c r="Q1349" s="116">
        <v>385.65</v>
      </c>
      <c r="R1349">
        <v>5948303</v>
      </c>
    </row>
    <row r="1350" spans="1:18" x14ac:dyDescent="0.25">
      <c r="A1350" s="170">
        <v>45678</v>
      </c>
      <c r="B1350" s="116">
        <v>402.8</v>
      </c>
      <c r="C1350" s="116">
        <v>388.6</v>
      </c>
      <c r="D1350" s="116">
        <v>383</v>
      </c>
      <c r="E1350" s="116">
        <v>389.55</v>
      </c>
      <c r="F1350" s="116">
        <v>388.6</v>
      </c>
      <c r="G1350">
        <v>515593</v>
      </c>
      <c r="H1350" s="116"/>
      <c r="I1350" s="116"/>
      <c r="L1350" s="170">
        <v>45678</v>
      </c>
      <c r="M1350" s="116">
        <v>388.7</v>
      </c>
      <c r="N1350" s="116">
        <v>402.55</v>
      </c>
      <c r="O1350" s="116">
        <v>382.65</v>
      </c>
      <c r="P1350" s="116">
        <v>389</v>
      </c>
      <c r="Q1350" s="116">
        <v>388.7</v>
      </c>
      <c r="R1350">
        <v>3748308</v>
      </c>
    </row>
    <row r="1351" spans="1:18" x14ac:dyDescent="0.25">
      <c r="A1351" s="170">
        <v>45679</v>
      </c>
      <c r="B1351" s="116">
        <v>395.3</v>
      </c>
      <c r="C1351" s="116">
        <v>363.7</v>
      </c>
      <c r="D1351" s="116">
        <v>355.3</v>
      </c>
      <c r="E1351" s="116">
        <v>394</v>
      </c>
      <c r="F1351" s="116">
        <v>363.7</v>
      </c>
      <c r="G1351">
        <v>291898</v>
      </c>
      <c r="H1351" s="116"/>
      <c r="I1351" s="116"/>
      <c r="L1351" s="170">
        <v>45679</v>
      </c>
      <c r="M1351" s="116">
        <v>363.7</v>
      </c>
      <c r="N1351" s="116">
        <v>396.65</v>
      </c>
      <c r="O1351" s="116">
        <v>355</v>
      </c>
      <c r="P1351" s="116">
        <v>396.65</v>
      </c>
      <c r="Q1351" s="116">
        <v>363.7</v>
      </c>
      <c r="R1351">
        <v>3937031</v>
      </c>
    </row>
    <row r="1352" spans="1:18" x14ac:dyDescent="0.25">
      <c r="A1352" s="170">
        <v>45680</v>
      </c>
      <c r="B1352" s="116">
        <v>372.1</v>
      </c>
      <c r="C1352" s="116">
        <v>356.2</v>
      </c>
      <c r="D1352" s="116">
        <v>353.75</v>
      </c>
      <c r="E1352" s="116">
        <v>365.85</v>
      </c>
      <c r="F1352" s="116">
        <v>356.2</v>
      </c>
      <c r="G1352">
        <v>243090</v>
      </c>
      <c r="H1352" s="116"/>
      <c r="I1352" s="116"/>
      <c r="L1352" s="170">
        <v>45680</v>
      </c>
      <c r="M1352" s="116">
        <v>356.4</v>
      </c>
      <c r="N1352" s="116">
        <v>372.45</v>
      </c>
      <c r="O1352" s="116">
        <v>354.3</v>
      </c>
      <c r="P1352" s="116">
        <v>365.15</v>
      </c>
      <c r="Q1352" s="116">
        <v>356.4</v>
      </c>
      <c r="R1352">
        <v>1941178</v>
      </c>
    </row>
    <row r="1353" spans="1:18" x14ac:dyDescent="0.25">
      <c r="A1353" s="170">
        <v>45681</v>
      </c>
      <c r="B1353" s="116">
        <v>358.55</v>
      </c>
      <c r="C1353" s="116">
        <v>338.4</v>
      </c>
      <c r="D1353" s="116">
        <v>338.4</v>
      </c>
      <c r="E1353" s="116">
        <v>357.85</v>
      </c>
      <c r="F1353" s="116">
        <v>338.4</v>
      </c>
      <c r="G1353">
        <v>498060</v>
      </c>
      <c r="H1353" s="116"/>
      <c r="I1353" s="116"/>
      <c r="L1353" s="170">
        <v>45681</v>
      </c>
      <c r="M1353" s="116">
        <v>338.6</v>
      </c>
      <c r="N1353" s="116">
        <v>359.45</v>
      </c>
      <c r="O1353" s="116">
        <v>338.6</v>
      </c>
      <c r="P1353" s="116">
        <v>357.3</v>
      </c>
      <c r="Q1353" s="116">
        <v>338.6</v>
      </c>
      <c r="R1353">
        <v>2885139</v>
      </c>
    </row>
    <row r="1354" spans="1:18" x14ac:dyDescent="0.25">
      <c r="A1354" s="170">
        <v>45684</v>
      </c>
      <c r="B1354" s="116">
        <v>329.95</v>
      </c>
      <c r="C1354" s="116">
        <v>321.5</v>
      </c>
      <c r="D1354" s="116">
        <v>321.5</v>
      </c>
      <c r="E1354" s="116">
        <v>329.95</v>
      </c>
      <c r="F1354" s="116">
        <v>321.5</v>
      </c>
      <c r="G1354">
        <v>129396</v>
      </c>
      <c r="H1354" s="116"/>
      <c r="I1354" s="116"/>
      <c r="L1354" s="170">
        <v>45684</v>
      </c>
      <c r="M1354" s="116">
        <v>321.7</v>
      </c>
      <c r="N1354" s="116">
        <v>329.8</v>
      </c>
      <c r="O1354" s="116">
        <v>321.7</v>
      </c>
      <c r="P1354" s="116">
        <v>326.10000000000002</v>
      </c>
      <c r="Q1354" s="116">
        <v>321.7</v>
      </c>
      <c r="R1354">
        <v>1580958</v>
      </c>
    </row>
    <row r="1355" spans="1:18" x14ac:dyDescent="0.25">
      <c r="A1355" s="170">
        <v>45685</v>
      </c>
      <c r="B1355" s="116">
        <v>318.25</v>
      </c>
      <c r="C1355" s="116">
        <v>310.25</v>
      </c>
      <c r="D1355" s="116">
        <v>305.45</v>
      </c>
      <c r="E1355" s="116">
        <v>315</v>
      </c>
      <c r="F1355" s="116">
        <v>310.25</v>
      </c>
      <c r="G1355">
        <v>722718</v>
      </c>
      <c r="H1355" s="116"/>
      <c r="I1355" s="116"/>
      <c r="L1355" s="170">
        <v>45685</v>
      </c>
      <c r="M1355" s="116">
        <v>309.8</v>
      </c>
      <c r="N1355" s="116">
        <v>319.39999999999998</v>
      </c>
      <c r="O1355" s="116">
        <v>305.64999999999998</v>
      </c>
      <c r="P1355" s="116">
        <v>317.10000000000002</v>
      </c>
      <c r="Q1355" s="116">
        <v>309.8</v>
      </c>
      <c r="R1355">
        <v>6833272</v>
      </c>
    </row>
    <row r="1356" spans="1:18" x14ac:dyDescent="0.25">
      <c r="A1356" s="170">
        <v>45686</v>
      </c>
      <c r="B1356" s="116">
        <v>325.75</v>
      </c>
      <c r="C1356" s="116">
        <v>325.39999999999998</v>
      </c>
      <c r="D1356" s="116">
        <v>311.89999999999998</v>
      </c>
      <c r="E1356" s="116">
        <v>313.95</v>
      </c>
      <c r="F1356" s="116">
        <v>325.39999999999998</v>
      </c>
      <c r="G1356">
        <v>370558</v>
      </c>
      <c r="H1356" s="116"/>
      <c r="I1356" s="116"/>
      <c r="L1356" s="170">
        <v>45686</v>
      </c>
      <c r="M1356" s="116">
        <v>324.85000000000002</v>
      </c>
      <c r="N1356" s="116">
        <v>325.25</v>
      </c>
      <c r="O1356" s="116">
        <v>312</v>
      </c>
      <c r="P1356" s="116">
        <v>315</v>
      </c>
      <c r="Q1356" s="116">
        <v>324.85000000000002</v>
      </c>
      <c r="R1356">
        <v>2722664</v>
      </c>
    </row>
    <row r="1357" spans="1:18" x14ac:dyDescent="0.25">
      <c r="A1357" s="170">
        <v>45687</v>
      </c>
      <c r="B1357" s="116">
        <v>341</v>
      </c>
      <c r="C1357" s="116">
        <v>326.95</v>
      </c>
      <c r="D1357" s="116">
        <v>311.35000000000002</v>
      </c>
      <c r="E1357" s="116">
        <v>325.35000000000002</v>
      </c>
      <c r="F1357" s="116">
        <v>326.95</v>
      </c>
      <c r="G1357">
        <v>543349</v>
      </c>
      <c r="H1357" s="116"/>
      <c r="I1357" s="116"/>
      <c r="L1357" s="170">
        <v>45687</v>
      </c>
      <c r="M1357" s="116">
        <v>327.10000000000002</v>
      </c>
      <c r="N1357" s="116">
        <v>341.05</v>
      </c>
      <c r="O1357" s="116">
        <v>311.35000000000002</v>
      </c>
      <c r="P1357" s="116">
        <v>325.05</v>
      </c>
      <c r="Q1357" s="116">
        <v>327.10000000000002</v>
      </c>
      <c r="R1357">
        <v>4564037</v>
      </c>
    </row>
    <row r="1358" spans="1:18" x14ac:dyDescent="0.25">
      <c r="A1358" s="170">
        <v>45688</v>
      </c>
      <c r="B1358" s="116">
        <v>336.8</v>
      </c>
      <c r="C1358" s="116">
        <v>331.15</v>
      </c>
      <c r="D1358" s="116">
        <v>322.39999999999998</v>
      </c>
      <c r="E1358" s="116">
        <v>330.35</v>
      </c>
      <c r="F1358" s="116">
        <v>331.15</v>
      </c>
      <c r="G1358">
        <v>146003</v>
      </c>
      <c r="H1358" s="116"/>
      <c r="I1358" s="116"/>
      <c r="L1358" s="170">
        <v>45688</v>
      </c>
      <c r="M1358" s="116">
        <v>330.9</v>
      </c>
      <c r="N1358" s="116">
        <v>337</v>
      </c>
      <c r="O1358" s="116">
        <v>321.7</v>
      </c>
      <c r="P1358" s="116">
        <v>330</v>
      </c>
      <c r="Q1358" s="116">
        <v>330.9</v>
      </c>
      <c r="R1358">
        <v>1812534</v>
      </c>
    </row>
    <row r="1359" spans="1:18" x14ac:dyDescent="0.25">
      <c r="A1359" s="170">
        <v>45689</v>
      </c>
      <c r="B1359" s="116">
        <v>343</v>
      </c>
      <c r="C1359" s="116">
        <v>319.75</v>
      </c>
      <c r="D1359" s="116">
        <v>318</v>
      </c>
      <c r="E1359" s="116">
        <v>334.85</v>
      </c>
      <c r="F1359" s="116">
        <v>319.75</v>
      </c>
      <c r="G1359">
        <v>256015</v>
      </c>
      <c r="H1359" s="116"/>
      <c r="I1359" s="116"/>
      <c r="L1359" s="170">
        <v>45689</v>
      </c>
      <c r="M1359" s="116">
        <v>319.64999999999998</v>
      </c>
      <c r="N1359" s="116">
        <v>343</v>
      </c>
      <c r="O1359" s="116">
        <v>317.64999999999998</v>
      </c>
      <c r="P1359" s="116">
        <v>334.4</v>
      </c>
      <c r="Q1359" s="116">
        <v>319.64999999999998</v>
      </c>
      <c r="R1359">
        <v>1666229</v>
      </c>
    </row>
    <row r="1360" spans="1:18" x14ac:dyDescent="0.25">
      <c r="A1360" s="170">
        <v>45691</v>
      </c>
      <c r="B1360" s="116">
        <v>318.25</v>
      </c>
      <c r="C1360" s="116">
        <v>312.35000000000002</v>
      </c>
      <c r="D1360" s="116">
        <v>308.45</v>
      </c>
      <c r="E1360" s="116">
        <v>313.39999999999998</v>
      </c>
      <c r="F1360" s="116">
        <v>312.35000000000002</v>
      </c>
      <c r="G1360">
        <v>178572</v>
      </c>
      <c r="H1360" s="116"/>
      <c r="I1360" s="116"/>
      <c r="L1360" s="170">
        <v>45691</v>
      </c>
      <c r="M1360" s="116">
        <v>312.05</v>
      </c>
      <c r="N1360" s="116">
        <v>318.3</v>
      </c>
      <c r="O1360" s="116">
        <v>308.64999999999998</v>
      </c>
      <c r="P1360" s="116">
        <v>318.3</v>
      </c>
      <c r="Q1360" s="116">
        <v>312.05</v>
      </c>
      <c r="R1360">
        <v>1099507</v>
      </c>
    </row>
    <row r="1361" spans="1:18" x14ac:dyDescent="0.25">
      <c r="A1361" s="170">
        <v>45692</v>
      </c>
      <c r="B1361" s="116">
        <v>324.7</v>
      </c>
      <c r="C1361" s="116">
        <v>321</v>
      </c>
      <c r="D1361" s="116">
        <v>312.14999999999998</v>
      </c>
      <c r="E1361" s="116">
        <v>315.7</v>
      </c>
      <c r="F1361" s="116">
        <v>321</v>
      </c>
      <c r="G1361">
        <v>205654</v>
      </c>
      <c r="H1361" s="116"/>
      <c r="I1361" s="116"/>
      <c r="L1361" s="170">
        <v>45692</v>
      </c>
      <c r="M1361" s="116">
        <v>321.39999999999998</v>
      </c>
      <c r="N1361" s="116">
        <v>325</v>
      </c>
      <c r="O1361" s="116">
        <v>312.05</v>
      </c>
      <c r="P1361" s="116">
        <v>313.55</v>
      </c>
      <c r="Q1361" s="116">
        <v>321.39999999999998</v>
      </c>
      <c r="R1361">
        <v>1100599</v>
      </c>
    </row>
    <row r="1362" spans="1:18" x14ac:dyDescent="0.25">
      <c r="A1362" s="170">
        <v>45693</v>
      </c>
      <c r="B1362" s="116">
        <v>332.8</v>
      </c>
      <c r="C1362" s="116">
        <v>325.14999999999998</v>
      </c>
      <c r="D1362" s="116">
        <v>323.2</v>
      </c>
      <c r="E1362" s="116">
        <v>324.85000000000002</v>
      </c>
      <c r="F1362" s="116">
        <v>325.14999999999998</v>
      </c>
      <c r="G1362">
        <v>89989</v>
      </c>
      <c r="H1362" s="116"/>
      <c r="I1362" s="116"/>
      <c r="L1362" s="170">
        <v>45693</v>
      </c>
      <c r="M1362" s="116">
        <v>325.10000000000002</v>
      </c>
      <c r="N1362" s="116">
        <v>333</v>
      </c>
      <c r="O1362" s="116">
        <v>322</v>
      </c>
      <c r="P1362" s="116">
        <v>322</v>
      </c>
      <c r="Q1362" s="116">
        <v>325.10000000000002</v>
      </c>
      <c r="R1362">
        <v>1126973</v>
      </c>
    </row>
    <row r="1363" spans="1:18" x14ac:dyDescent="0.25">
      <c r="A1363" s="170">
        <v>45694</v>
      </c>
      <c r="B1363" s="116">
        <v>327.95</v>
      </c>
      <c r="C1363" s="116">
        <v>324.45</v>
      </c>
      <c r="D1363" s="116">
        <v>320.89999999999998</v>
      </c>
      <c r="E1363" s="116">
        <v>326.25</v>
      </c>
      <c r="F1363" s="116">
        <v>324.45</v>
      </c>
      <c r="G1363">
        <v>115865</v>
      </c>
      <c r="H1363" s="116"/>
      <c r="I1363" s="116"/>
      <c r="L1363" s="170">
        <v>45694</v>
      </c>
      <c r="M1363" s="116">
        <v>324.35000000000002</v>
      </c>
      <c r="N1363" s="116">
        <v>328.9</v>
      </c>
      <c r="O1363" s="116">
        <v>320.3</v>
      </c>
      <c r="P1363" s="116">
        <v>326.60000000000002</v>
      </c>
      <c r="Q1363" s="116">
        <v>324.35000000000002</v>
      </c>
      <c r="R1363">
        <v>824521</v>
      </c>
    </row>
    <row r="1364" spans="1:18" x14ac:dyDescent="0.25">
      <c r="A1364" s="170">
        <v>45695</v>
      </c>
      <c r="B1364" s="116">
        <v>326.25</v>
      </c>
      <c r="C1364" s="116">
        <v>317.8</v>
      </c>
      <c r="D1364" s="116">
        <v>315.64999999999998</v>
      </c>
      <c r="E1364" s="116">
        <v>326.25</v>
      </c>
      <c r="F1364" s="116">
        <v>317.8</v>
      </c>
      <c r="G1364">
        <v>109114</v>
      </c>
      <c r="H1364" s="116"/>
      <c r="I1364" s="116"/>
      <c r="L1364" s="170">
        <v>45695</v>
      </c>
      <c r="M1364" s="116">
        <v>317.75</v>
      </c>
      <c r="N1364" s="116">
        <v>326.7</v>
      </c>
      <c r="O1364" s="116">
        <v>315.60000000000002</v>
      </c>
      <c r="P1364" s="116">
        <v>326.5</v>
      </c>
      <c r="Q1364" s="116">
        <v>317.75</v>
      </c>
      <c r="R1364">
        <v>722756</v>
      </c>
    </row>
    <row r="1365" spans="1:18" x14ac:dyDescent="0.25">
      <c r="A1365" s="170">
        <v>45698</v>
      </c>
      <c r="B1365" s="116">
        <v>321</v>
      </c>
      <c r="C1365" s="116">
        <v>313.45</v>
      </c>
      <c r="D1365" s="116">
        <v>306.64999999999998</v>
      </c>
      <c r="E1365" s="116">
        <v>315.05</v>
      </c>
      <c r="F1365" s="116">
        <v>313.45</v>
      </c>
      <c r="G1365">
        <v>145745</v>
      </c>
      <c r="H1365" s="116"/>
      <c r="I1365" s="116"/>
      <c r="L1365" s="170">
        <v>45698</v>
      </c>
      <c r="M1365" s="116">
        <v>313.55</v>
      </c>
      <c r="N1365" s="116">
        <v>321.45</v>
      </c>
      <c r="O1365" s="116">
        <v>306.5</v>
      </c>
      <c r="P1365" s="116">
        <v>318</v>
      </c>
      <c r="Q1365" s="116">
        <v>313.55</v>
      </c>
      <c r="R1365">
        <v>1036026</v>
      </c>
    </row>
    <row r="1366" spans="1:18" x14ac:dyDescent="0.25">
      <c r="A1366" s="170">
        <v>45699</v>
      </c>
      <c r="B1366" s="116">
        <v>313.5</v>
      </c>
      <c r="C1366" s="116">
        <v>295.60000000000002</v>
      </c>
      <c r="D1366" s="116">
        <v>283.55</v>
      </c>
      <c r="E1366" s="116">
        <v>313.35000000000002</v>
      </c>
      <c r="F1366" s="116">
        <v>295.60000000000002</v>
      </c>
      <c r="G1366">
        <v>228388</v>
      </c>
      <c r="H1366" s="116"/>
      <c r="I1366" s="116"/>
      <c r="L1366" s="170">
        <v>45699</v>
      </c>
      <c r="M1366" s="116">
        <v>295.35000000000002</v>
      </c>
      <c r="N1366" s="116">
        <v>311.35000000000002</v>
      </c>
      <c r="O1366" s="116">
        <v>282.2</v>
      </c>
      <c r="P1366" s="116">
        <v>310.05</v>
      </c>
      <c r="Q1366" s="116">
        <v>295.35000000000002</v>
      </c>
      <c r="R1366">
        <v>6593070</v>
      </c>
    </row>
    <row r="1367" spans="1:18" x14ac:dyDescent="0.25">
      <c r="A1367" s="170">
        <v>45700</v>
      </c>
      <c r="B1367" s="116">
        <v>298.55</v>
      </c>
      <c r="C1367" s="116">
        <v>288.35000000000002</v>
      </c>
      <c r="D1367" s="116">
        <v>272.2</v>
      </c>
      <c r="E1367" s="116">
        <v>294.95</v>
      </c>
      <c r="F1367" s="116">
        <v>288.35000000000002</v>
      </c>
      <c r="G1367">
        <v>450729</v>
      </c>
      <c r="H1367" s="116"/>
      <c r="I1367" s="116"/>
      <c r="L1367" s="170">
        <v>45700</v>
      </c>
      <c r="M1367" s="116">
        <v>288.10000000000002</v>
      </c>
      <c r="N1367" s="116">
        <v>298.60000000000002</v>
      </c>
      <c r="O1367" s="116">
        <v>272.2</v>
      </c>
      <c r="P1367" s="116">
        <v>294</v>
      </c>
      <c r="Q1367" s="116">
        <v>288.10000000000002</v>
      </c>
      <c r="R1367">
        <v>2760167</v>
      </c>
    </row>
    <row r="1368" spans="1:18" x14ac:dyDescent="0.25">
      <c r="A1368" s="170">
        <v>45701</v>
      </c>
      <c r="B1368" s="116">
        <v>293</v>
      </c>
      <c r="C1368" s="116">
        <v>275.2</v>
      </c>
      <c r="D1368" s="116">
        <v>274.25</v>
      </c>
      <c r="E1368" s="116">
        <v>288.35000000000002</v>
      </c>
      <c r="F1368" s="116">
        <v>275.2</v>
      </c>
      <c r="G1368">
        <v>290852</v>
      </c>
      <c r="H1368" s="116"/>
      <c r="I1368" s="116"/>
      <c r="L1368" s="170">
        <v>45701</v>
      </c>
      <c r="M1368" s="116">
        <v>275.14999999999998</v>
      </c>
      <c r="N1368" s="116">
        <v>292.8</v>
      </c>
      <c r="O1368" s="116">
        <v>274</v>
      </c>
      <c r="P1368" s="116">
        <v>288.3</v>
      </c>
      <c r="Q1368" s="116">
        <v>275.14999999999998</v>
      </c>
      <c r="R1368">
        <v>2663852</v>
      </c>
    </row>
    <row r="1369" spans="1:18" x14ac:dyDescent="0.25">
      <c r="A1369" s="170">
        <v>45702</v>
      </c>
      <c r="B1369" s="116">
        <v>277.39999999999998</v>
      </c>
      <c r="C1369" s="116">
        <v>260.60000000000002</v>
      </c>
      <c r="D1369" s="116">
        <v>255.55</v>
      </c>
      <c r="E1369" s="116">
        <v>276.5</v>
      </c>
      <c r="F1369" s="116">
        <v>260.60000000000002</v>
      </c>
      <c r="G1369">
        <v>460123</v>
      </c>
      <c r="H1369" s="116"/>
      <c r="I1369" s="116"/>
      <c r="L1369" s="170">
        <v>45702</v>
      </c>
      <c r="M1369" s="116">
        <v>260.60000000000002</v>
      </c>
      <c r="N1369" s="116">
        <v>277.05</v>
      </c>
      <c r="O1369" s="116">
        <v>255.65</v>
      </c>
      <c r="P1369" s="116">
        <v>275.14999999999998</v>
      </c>
      <c r="Q1369" s="116">
        <v>260.60000000000002</v>
      </c>
      <c r="R1369">
        <v>3904855</v>
      </c>
    </row>
    <row r="1370" spans="1:18" x14ac:dyDescent="0.25">
      <c r="A1370" s="170">
        <v>45705</v>
      </c>
      <c r="B1370" s="116">
        <v>272.55</v>
      </c>
      <c r="C1370" s="116">
        <v>264.35000000000002</v>
      </c>
      <c r="D1370" s="116">
        <v>253.05</v>
      </c>
      <c r="E1370" s="116">
        <v>259.85000000000002</v>
      </c>
      <c r="F1370" s="116">
        <v>264.35000000000002</v>
      </c>
      <c r="G1370">
        <v>334029</v>
      </c>
      <c r="H1370" s="116"/>
      <c r="I1370" s="116"/>
      <c r="L1370" s="170">
        <v>45705</v>
      </c>
      <c r="M1370" s="116">
        <v>264.14999999999998</v>
      </c>
      <c r="N1370" s="116">
        <v>272.60000000000002</v>
      </c>
      <c r="O1370" s="116">
        <v>253.55</v>
      </c>
      <c r="P1370" s="116">
        <v>258.89999999999998</v>
      </c>
      <c r="Q1370" s="116">
        <v>264.14999999999998</v>
      </c>
      <c r="R1370">
        <v>3016638</v>
      </c>
    </row>
    <row r="1371" spans="1:18" x14ac:dyDescent="0.25">
      <c r="A1371" s="170">
        <v>45706</v>
      </c>
      <c r="B1371" s="116">
        <v>265.95</v>
      </c>
      <c r="C1371" s="116">
        <v>255.55</v>
      </c>
      <c r="D1371" s="116">
        <v>251.3</v>
      </c>
      <c r="E1371" s="116">
        <v>265.95</v>
      </c>
      <c r="F1371" s="116">
        <v>255.55</v>
      </c>
      <c r="G1371">
        <v>254630</v>
      </c>
      <c r="H1371" s="116"/>
      <c r="I1371" s="116"/>
      <c r="L1371" s="170">
        <v>45706</v>
      </c>
      <c r="M1371" s="116">
        <v>255.8</v>
      </c>
      <c r="N1371" s="116">
        <v>265.8</v>
      </c>
      <c r="O1371" s="116">
        <v>251.5</v>
      </c>
      <c r="P1371" s="116">
        <v>264.2</v>
      </c>
      <c r="Q1371" s="116">
        <v>255.8</v>
      </c>
      <c r="R1371">
        <v>2173109</v>
      </c>
    </row>
    <row r="1372" spans="1:18" x14ac:dyDescent="0.25">
      <c r="A1372" s="170">
        <v>45707</v>
      </c>
      <c r="B1372" s="116">
        <v>273</v>
      </c>
      <c r="C1372" s="116">
        <v>267.60000000000002</v>
      </c>
      <c r="D1372" s="116">
        <v>252.75</v>
      </c>
      <c r="E1372" s="116">
        <v>256.2</v>
      </c>
      <c r="F1372" s="116">
        <v>267.60000000000002</v>
      </c>
      <c r="G1372">
        <v>1143724</v>
      </c>
      <c r="H1372" s="116"/>
      <c r="I1372" s="116"/>
      <c r="L1372" s="170">
        <v>45707</v>
      </c>
      <c r="M1372" s="116">
        <v>267.5</v>
      </c>
      <c r="N1372" s="116">
        <v>273.3</v>
      </c>
      <c r="O1372" s="116">
        <v>252.3</v>
      </c>
      <c r="P1372" s="116">
        <v>255.8</v>
      </c>
      <c r="Q1372" s="116">
        <v>267.5</v>
      </c>
      <c r="R1372">
        <v>3304306</v>
      </c>
    </row>
    <row r="1373" spans="1:18" x14ac:dyDescent="0.25">
      <c r="A1373" s="170">
        <v>45708</v>
      </c>
      <c r="B1373" s="116">
        <v>294.35000000000002</v>
      </c>
      <c r="C1373" s="116">
        <v>286.10000000000002</v>
      </c>
      <c r="D1373" s="116">
        <v>262.35000000000002</v>
      </c>
      <c r="E1373" s="116">
        <v>267.05</v>
      </c>
      <c r="F1373" s="116">
        <v>286.10000000000002</v>
      </c>
      <c r="G1373">
        <v>509074</v>
      </c>
      <c r="H1373" s="116"/>
      <c r="I1373" s="116"/>
      <c r="L1373" s="170">
        <v>45708</v>
      </c>
      <c r="M1373" s="116">
        <v>285.64999999999998</v>
      </c>
      <c r="N1373" s="116">
        <v>294.25</v>
      </c>
      <c r="O1373" s="116">
        <v>262</v>
      </c>
      <c r="P1373" s="116">
        <v>266</v>
      </c>
      <c r="Q1373" s="116">
        <v>285.64999999999998</v>
      </c>
      <c r="R1373">
        <v>4085368</v>
      </c>
    </row>
    <row r="1374" spans="1:18" x14ac:dyDescent="0.25">
      <c r="A1374" s="170">
        <v>45709</v>
      </c>
      <c r="B1374" s="116">
        <v>296.3</v>
      </c>
      <c r="C1374" s="116">
        <v>278.3</v>
      </c>
      <c r="D1374" s="116">
        <v>274.89999999999998</v>
      </c>
      <c r="E1374" s="116">
        <v>285.95</v>
      </c>
      <c r="F1374" s="116">
        <v>278.3</v>
      </c>
      <c r="G1374">
        <v>353435</v>
      </c>
      <c r="H1374" s="116"/>
      <c r="I1374" s="116"/>
      <c r="L1374" s="170">
        <v>45709</v>
      </c>
      <c r="M1374" s="116">
        <v>278.5</v>
      </c>
      <c r="N1374" s="116">
        <v>296.25</v>
      </c>
      <c r="O1374" s="116">
        <v>274.55</v>
      </c>
      <c r="P1374" s="116">
        <v>286</v>
      </c>
      <c r="Q1374" s="116">
        <v>278.5</v>
      </c>
      <c r="R1374">
        <v>2543385</v>
      </c>
    </row>
    <row r="1375" spans="1:18" x14ac:dyDescent="0.25">
      <c r="A1375" s="170">
        <v>45712</v>
      </c>
      <c r="B1375" s="116">
        <v>276.89999999999998</v>
      </c>
      <c r="C1375" s="116">
        <v>267.05</v>
      </c>
      <c r="D1375" s="116">
        <v>266</v>
      </c>
      <c r="E1375" s="116">
        <v>276.89999999999998</v>
      </c>
      <c r="F1375" s="116">
        <v>267.05</v>
      </c>
      <c r="G1375">
        <v>109443</v>
      </c>
      <c r="H1375" s="116"/>
      <c r="I1375" s="116"/>
      <c r="L1375" s="170">
        <v>45712</v>
      </c>
      <c r="M1375" s="116">
        <v>267.10000000000002</v>
      </c>
      <c r="N1375" s="116">
        <v>277</v>
      </c>
      <c r="O1375" s="116">
        <v>265.60000000000002</v>
      </c>
      <c r="P1375" s="116">
        <v>273.05</v>
      </c>
      <c r="Q1375" s="116">
        <v>267.10000000000002</v>
      </c>
      <c r="R1375">
        <v>2475235</v>
      </c>
    </row>
    <row r="1376" spans="1:18" x14ac:dyDescent="0.25">
      <c r="A1376" s="170">
        <v>45713</v>
      </c>
      <c r="B1376" s="116">
        <v>273.10000000000002</v>
      </c>
      <c r="C1376" s="116">
        <v>261.55</v>
      </c>
      <c r="D1376" s="116">
        <v>260.95</v>
      </c>
      <c r="E1376" s="116">
        <v>267.05</v>
      </c>
      <c r="F1376" s="116">
        <v>261.55</v>
      </c>
      <c r="G1376">
        <v>204180</v>
      </c>
      <c r="H1376" s="116"/>
      <c r="I1376" s="116"/>
      <c r="L1376" s="170">
        <v>45713</v>
      </c>
      <c r="M1376" s="116">
        <v>261.5</v>
      </c>
      <c r="N1376" s="116">
        <v>273.7</v>
      </c>
      <c r="O1376" s="116">
        <v>260.5</v>
      </c>
      <c r="P1376" s="116">
        <v>266.2</v>
      </c>
      <c r="Q1376" s="116">
        <v>261.5</v>
      </c>
      <c r="R1376">
        <v>2448274</v>
      </c>
    </row>
    <row r="1377" spans="1:18" x14ac:dyDescent="0.25">
      <c r="A1377" s="170">
        <v>45715</v>
      </c>
      <c r="B1377" s="116">
        <v>263.39999999999998</v>
      </c>
      <c r="C1377" s="116">
        <v>252.7</v>
      </c>
      <c r="D1377" s="116">
        <v>250.45</v>
      </c>
      <c r="E1377" s="116">
        <v>260.5</v>
      </c>
      <c r="F1377" s="116">
        <v>252.7</v>
      </c>
      <c r="G1377">
        <v>331749</v>
      </c>
      <c r="H1377" s="116"/>
      <c r="I1377" s="116"/>
      <c r="L1377" s="170">
        <v>45715</v>
      </c>
      <c r="M1377" s="116">
        <v>252.65</v>
      </c>
      <c r="N1377" s="116">
        <v>263</v>
      </c>
      <c r="O1377" s="116">
        <v>250.55</v>
      </c>
      <c r="P1377" s="116">
        <v>261.5</v>
      </c>
      <c r="Q1377" s="116">
        <v>252.65</v>
      </c>
      <c r="R1377">
        <v>2033277</v>
      </c>
    </row>
    <row r="1378" spans="1:18" x14ac:dyDescent="0.25">
      <c r="A1378" s="170">
        <v>45716</v>
      </c>
      <c r="B1378" s="116">
        <v>259.85000000000002</v>
      </c>
      <c r="C1378" s="116">
        <v>255.7</v>
      </c>
      <c r="D1378" s="116">
        <v>245</v>
      </c>
      <c r="E1378" s="116">
        <v>250</v>
      </c>
      <c r="F1378" s="116">
        <v>255.7</v>
      </c>
      <c r="G1378">
        <v>442441</v>
      </c>
      <c r="H1378" s="116"/>
      <c r="I1378" s="116"/>
      <c r="L1378" s="170">
        <v>45716</v>
      </c>
      <c r="M1378" s="116">
        <v>255.45</v>
      </c>
      <c r="N1378" s="116">
        <v>259.8</v>
      </c>
      <c r="O1378" s="116">
        <v>245.2</v>
      </c>
      <c r="P1378" s="116">
        <v>250</v>
      </c>
      <c r="Q1378" s="116">
        <v>255.45</v>
      </c>
      <c r="R1378">
        <v>4139705</v>
      </c>
    </row>
    <row r="1379" spans="1:18" x14ac:dyDescent="0.25">
      <c r="A1379" s="170">
        <v>45719</v>
      </c>
      <c r="B1379" s="116">
        <v>259.95</v>
      </c>
      <c r="C1379" s="116">
        <v>239.2</v>
      </c>
      <c r="D1379" s="116">
        <v>231</v>
      </c>
      <c r="E1379" s="116">
        <v>257.8</v>
      </c>
      <c r="F1379" s="116">
        <v>239.2</v>
      </c>
      <c r="G1379">
        <v>391284</v>
      </c>
      <c r="H1379" s="116"/>
      <c r="I1379" s="116"/>
      <c r="L1379" s="170">
        <v>45719</v>
      </c>
      <c r="M1379" s="116">
        <v>239.35</v>
      </c>
      <c r="N1379" s="116">
        <v>259.95</v>
      </c>
      <c r="O1379" s="116">
        <v>231.4</v>
      </c>
      <c r="P1379" s="116">
        <v>256.5</v>
      </c>
      <c r="Q1379" s="116">
        <v>239.35</v>
      </c>
      <c r="R1379">
        <v>4156965</v>
      </c>
    </row>
    <row r="1380" spans="1:18" x14ac:dyDescent="0.25">
      <c r="A1380" s="170">
        <v>45720</v>
      </c>
      <c r="B1380" s="116">
        <v>256.7</v>
      </c>
      <c r="C1380" s="116">
        <v>250</v>
      </c>
      <c r="D1380" s="116">
        <v>236</v>
      </c>
      <c r="E1380" s="116">
        <v>238.95</v>
      </c>
      <c r="F1380" s="116">
        <v>250</v>
      </c>
      <c r="G1380">
        <v>371054</v>
      </c>
      <c r="H1380" s="116"/>
      <c r="I1380" s="116"/>
      <c r="L1380" s="170">
        <v>45720</v>
      </c>
      <c r="M1380" s="116">
        <v>249.9</v>
      </c>
      <c r="N1380" s="116">
        <v>256.95</v>
      </c>
      <c r="O1380" s="116">
        <v>235.7</v>
      </c>
      <c r="P1380" s="116">
        <v>237.95</v>
      </c>
      <c r="Q1380" s="116">
        <v>249.9</v>
      </c>
      <c r="R1380">
        <v>5182879</v>
      </c>
    </row>
    <row r="1381" spans="1:18" x14ac:dyDescent="0.25">
      <c r="A1381" s="170">
        <v>45721</v>
      </c>
      <c r="B1381" s="116">
        <v>259</v>
      </c>
      <c r="C1381" s="116">
        <v>252.45</v>
      </c>
      <c r="D1381" s="116">
        <v>248.75</v>
      </c>
      <c r="E1381" s="116">
        <v>252.45</v>
      </c>
      <c r="F1381" s="116">
        <v>252.45</v>
      </c>
      <c r="G1381">
        <v>354649</v>
      </c>
      <c r="H1381" s="116"/>
      <c r="I1381" s="116"/>
      <c r="L1381" s="170">
        <v>45721</v>
      </c>
      <c r="M1381" s="116">
        <v>252.75</v>
      </c>
      <c r="N1381" s="116">
        <v>258.85000000000002</v>
      </c>
      <c r="O1381" s="116">
        <v>248.65</v>
      </c>
      <c r="P1381" s="116">
        <v>250.3</v>
      </c>
      <c r="Q1381" s="116">
        <v>252.75</v>
      </c>
      <c r="R1381">
        <v>2752634</v>
      </c>
    </row>
    <row r="1382" spans="1:18" x14ac:dyDescent="0.25">
      <c r="A1382" s="170">
        <v>45722</v>
      </c>
      <c r="B1382" s="116">
        <v>260.39999999999998</v>
      </c>
      <c r="C1382" s="116">
        <v>252.7</v>
      </c>
      <c r="D1382" s="116">
        <v>248.95</v>
      </c>
      <c r="E1382" s="116">
        <v>255.95</v>
      </c>
      <c r="F1382" s="116">
        <v>252.7</v>
      </c>
      <c r="G1382">
        <v>252046</v>
      </c>
      <c r="H1382" s="116"/>
      <c r="I1382" s="116"/>
      <c r="L1382" s="170">
        <v>45722</v>
      </c>
      <c r="M1382" s="116">
        <v>252.95</v>
      </c>
      <c r="N1382" s="116">
        <v>260.89999999999998</v>
      </c>
      <c r="O1382" s="116">
        <v>248.8</v>
      </c>
      <c r="P1382" s="116">
        <v>252.75</v>
      </c>
      <c r="Q1382" s="116">
        <v>252.95</v>
      </c>
      <c r="R1382">
        <v>3086937</v>
      </c>
    </row>
    <row r="1383" spans="1:18" x14ac:dyDescent="0.25">
      <c r="A1383" s="170">
        <v>45723</v>
      </c>
      <c r="B1383" s="116">
        <v>267</v>
      </c>
      <c r="C1383" s="116">
        <v>256.3</v>
      </c>
      <c r="D1383" s="116">
        <v>251.6</v>
      </c>
      <c r="E1383" s="116">
        <v>254.45</v>
      </c>
      <c r="F1383" s="116">
        <v>256.3</v>
      </c>
      <c r="G1383">
        <v>272988</v>
      </c>
      <c r="H1383" s="116"/>
      <c r="I1383" s="116"/>
      <c r="L1383" s="170">
        <v>45723</v>
      </c>
      <c r="M1383" s="116">
        <v>256.35000000000002</v>
      </c>
      <c r="N1383" s="116">
        <v>266.95</v>
      </c>
      <c r="O1383" s="116">
        <v>251.1</v>
      </c>
      <c r="P1383" s="116">
        <v>253.5</v>
      </c>
      <c r="Q1383" s="116">
        <v>256.35000000000002</v>
      </c>
      <c r="R1383">
        <v>4304229</v>
      </c>
    </row>
    <row r="1384" spans="1:18" x14ac:dyDescent="0.25">
      <c r="A1384" s="170">
        <v>45726</v>
      </c>
      <c r="B1384" s="116">
        <v>258.85000000000002</v>
      </c>
      <c r="C1384" s="116">
        <v>242.35</v>
      </c>
      <c r="D1384" s="116">
        <v>240.2</v>
      </c>
      <c r="E1384" s="116">
        <v>256.3</v>
      </c>
      <c r="F1384" s="116">
        <v>242.35</v>
      </c>
      <c r="G1384">
        <v>335441</v>
      </c>
      <c r="H1384" s="116"/>
      <c r="I1384" s="116"/>
      <c r="L1384" s="170">
        <v>45726</v>
      </c>
      <c r="M1384" s="116">
        <v>242.15</v>
      </c>
      <c r="N1384" s="116">
        <v>259</v>
      </c>
      <c r="O1384" s="116">
        <v>240.1</v>
      </c>
      <c r="P1384" s="116">
        <v>256.35000000000002</v>
      </c>
      <c r="Q1384" s="116">
        <v>242.15</v>
      </c>
      <c r="R1384">
        <v>3428395</v>
      </c>
    </row>
    <row r="1385" spans="1:18" x14ac:dyDescent="0.25">
      <c r="A1385" s="170">
        <v>45727</v>
      </c>
      <c r="B1385" s="116">
        <v>239.7</v>
      </c>
      <c r="C1385" s="116">
        <v>234.75</v>
      </c>
      <c r="D1385" s="116">
        <v>232.25</v>
      </c>
      <c r="E1385" s="116">
        <v>237.35</v>
      </c>
      <c r="F1385" s="116">
        <v>234.75</v>
      </c>
      <c r="G1385">
        <v>418438</v>
      </c>
      <c r="H1385" s="116"/>
      <c r="I1385" s="116"/>
      <c r="L1385" s="170">
        <v>45727</v>
      </c>
      <c r="M1385" s="116">
        <v>234.75</v>
      </c>
      <c r="N1385" s="116">
        <v>240</v>
      </c>
      <c r="O1385" s="116">
        <v>232.25</v>
      </c>
      <c r="P1385" s="116">
        <v>238.1</v>
      </c>
      <c r="Q1385" s="116">
        <v>234.75</v>
      </c>
      <c r="R1385">
        <v>3058131</v>
      </c>
    </row>
    <row r="1386" spans="1:18" x14ac:dyDescent="0.25">
      <c r="A1386" s="170">
        <v>45728</v>
      </c>
      <c r="B1386" s="116">
        <v>238.5</v>
      </c>
      <c r="C1386" s="116">
        <v>229.6</v>
      </c>
      <c r="D1386" s="116">
        <v>227.1</v>
      </c>
      <c r="E1386" s="116">
        <v>235.25</v>
      </c>
      <c r="F1386" s="116">
        <v>229.6</v>
      </c>
      <c r="G1386">
        <v>276171</v>
      </c>
      <c r="H1386" s="116"/>
      <c r="I1386" s="116"/>
      <c r="L1386" s="170">
        <v>45728</v>
      </c>
      <c r="M1386" s="116">
        <v>229.4</v>
      </c>
      <c r="N1386" s="116">
        <v>238.85</v>
      </c>
      <c r="O1386" s="116">
        <v>227</v>
      </c>
      <c r="P1386" s="116">
        <v>236</v>
      </c>
      <c r="Q1386" s="116">
        <v>229.4</v>
      </c>
      <c r="R1386">
        <v>3671799</v>
      </c>
    </row>
    <row r="1387" spans="1:18" x14ac:dyDescent="0.25">
      <c r="A1387" s="170">
        <v>45729</v>
      </c>
      <c r="B1387" s="116">
        <v>233.9</v>
      </c>
      <c r="C1387" s="116">
        <v>221.15</v>
      </c>
      <c r="D1387" s="116">
        <v>220.1</v>
      </c>
      <c r="E1387" s="116">
        <v>232</v>
      </c>
      <c r="F1387" s="116">
        <v>221.15</v>
      </c>
      <c r="G1387">
        <v>573892</v>
      </c>
      <c r="H1387" s="116"/>
      <c r="I1387" s="116"/>
      <c r="L1387" s="170">
        <v>45729</v>
      </c>
      <c r="M1387" s="116">
        <v>221.15</v>
      </c>
      <c r="N1387" s="116">
        <v>234</v>
      </c>
      <c r="O1387" s="116">
        <v>220.1</v>
      </c>
      <c r="P1387" s="116">
        <v>231.5</v>
      </c>
      <c r="Q1387" s="116">
        <v>221.15</v>
      </c>
      <c r="R1387">
        <v>3336576</v>
      </c>
    </row>
    <row r="1388" spans="1:18" x14ac:dyDescent="0.25">
      <c r="A1388" s="170">
        <v>45733</v>
      </c>
      <c r="B1388" s="116">
        <v>227.55</v>
      </c>
      <c r="C1388" s="116">
        <v>219.6</v>
      </c>
      <c r="D1388" s="116">
        <v>218.2</v>
      </c>
      <c r="E1388" s="116">
        <v>224.3</v>
      </c>
      <c r="F1388" s="116">
        <v>219.6</v>
      </c>
      <c r="G1388">
        <v>525672</v>
      </c>
      <c r="H1388" s="116"/>
      <c r="I1388" s="116"/>
      <c r="L1388" s="170">
        <v>45733</v>
      </c>
      <c r="M1388" s="116">
        <v>219.45</v>
      </c>
      <c r="N1388" s="116">
        <v>227.45</v>
      </c>
      <c r="O1388" s="116">
        <v>218.45</v>
      </c>
      <c r="P1388" s="116">
        <v>222</v>
      </c>
      <c r="Q1388" s="116">
        <v>219.45</v>
      </c>
      <c r="R1388">
        <v>4426288</v>
      </c>
    </row>
    <row r="1389" spans="1:18" x14ac:dyDescent="0.25">
      <c r="A1389" s="170">
        <v>45734</v>
      </c>
      <c r="B1389" s="116">
        <v>229.4</v>
      </c>
      <c r="C1389" s="116">
        <v>227.6</v>
      </c>
      <c r="D1389" s="116">
        <v>221.15</v>
      </c>
      <c r="E1389" s="116">
        <v>221.65</v>
      </c>
      <c r="F1389" s="116">
        <v>227.6</v>
      </c>
      <c r="G1389">
        <v>459179</v>
      </c>
      <c r="H1389" s="116"/>
      <c r="I1389" s="116"/>
      <c r="L1389" s="170">
        <v>45734</v>
      </c>
      <c r="M1389" s="116">
        <v>227.25</v>
      </c>
      <c r="N1389" s="116">
        <v>229.45</v>
      </c>
      <c r="O1389" s="116">
        <v>220.8</v>
      </c>
      <c r="P1389" s="116">
        <v>220.8</v>
      </c>
      <c r="Q1389" s="116">
        <v>227.25</v>
      </c>
      <c r="R1389">
        <v>4309447</v>
      </c>
    </row>
    <row r="1390" spans="1:18" x14ac:dyDescent="0.25">
      <c r="A1390" s="170">
        <v>45735</v>
      </c>
      <c r="B1390" s="116">
        <v>250.35</v>
      </c>
      <c r="C1390" s="116">
        <v>241.1</v>
      </c>
      <c r="D1390" s="116">
        <v>229.35</v>
      </c>
      <c r="E1390" s="116">
        <v>229.35</v>
      </c>
      <c r="F1390" s="116">
        <v>241.1</v>
      </c>
      <c r="G1390">
        <v>1015643</v>
      </c>
      <c r="H1390" s="116"/>
      <c r="I1390" s="116"/>
      <c r="L1390" s="170">
        <v>45735</v>
      </c>
      <c r="M1390" s="116">
        <v>241.15</v>
      </c>
      <c r="N1390" s="116">
        <v>249.95</v>
      </c>
      <c r="O1390" s="116">
        <v>229.1</v>
      </c>
      <c r="P1390" s="116">
        <v>229.1</v>
      </c>
      <c r="Q1390" s="116">
        <v>241.15</v>
      </c>
      <c r="R1390">
        <v>7750799</v>
      </c>
    </row>
    <row r="1391" spans="1:18" x14ac:dyDescent="0.25">
      <c r="A1391" s="170">
        <v>45736</v>
      </c>
      <c r="B1391" s="116">
        <v>247.4</v>
      </c>
      <c r="C1391" s="116">
        <v>235.5</v>
      </c>
      <c r="D1391" s="116">
        <v>232.8</v>
      </c>
      <c r="E1391" s="116">
        <v>244.95</v>
      </c>
      <c r="F1391" s="116">
        <v>235.5</v>
      </c>
      <c r="G1391">
        <v>289604</v>
      </c>
      <c r="H1391" s="116"/>
      <c r="I1391" s="116"/>
      <c r="L1391" s="170">
        <v>45736</v>
      </c>
      <c r="M1391" s="116">
        <v>235.8</v>
      </c>
      <c r="N1391" s="116">
        <v>247.3</v>
      </c>
      <c r="O1391" s="116">
        <v>232.95</v>
      </c>
      <c r="P1391" s="116">
        <v>244.7</v>
      </c>
      <c r="Q1391" s="116">
        <v>235.8</v>
      </c>
      <c r="R1391">
        <v>4354714</v>
      </c>
    </row>
    <row r="1392" spans="1:18" x14ac:dyDescent="0.25">
      <c r="A1392" s="170">
        <v>45737</v>
      </c>
      <c r="B1392" s="116">
        <v>259.05</v>
      </c>
      <c r="C1392" s="116">
        <v>255.75</v>
      </c>
      <c r="D1392" s="116">
        <v>235</v>
      </c>
      <c r="E1392" s="116">
        <v>235.6</v>
      </c>
      <c r="F1392" s="116">
        <v>255.75</v>
      </c>
      <c r="G1392">
        <v>371931</v>
      </c>
      <c r="H1392" s="116"/>
      <c r="I1392" s="116"/>
      <c r="L1392" s="170">
        <v>45737</v>
      </c>
      <c r="M1392" s="116">
        <v>255.75</v>
      </c>
      <c r="N1392" s="116">
        <v>258.95</v>
      </c>
      <c r="O1392" s="116">
        <v>234.15</v>
      </c>
      <c r="P1392" s="116">
        <v>235.3</v>
      </c>
      <c r="Q1392" s="116">
        <v>255.75</v>
      </c>
      <c r="R1392">
        <v>6123681</v>
      </c>
    </row>
    <row r="1393" spans="1:18" x14ac:dyDescent="0.25">
      <c r="A1393" s="170">
        <v>45740</v>
      </c>
      <c r="B1393" s="116">
        <v>268</v>
      </c>
      <c r="C1393" s="116">
        <v>260.25</v>
      </c>
      <c r="D1393" s="116">
        <v>255.95</v>
      </c>
      <c r="E1393" s="116">
        <v>259.25</v>
      </c>
      <c r="F1393" s="116">
        <v>260.25</v>
      </c>
      <c r="G1393">
        <v>586818</v>
      </c>
      <c r="H1393" s="116"/>
      <c r="I1393" s="116"/>
      <c r="L1393" s="170">
        <v>45740</v>
      </c>
      <c r="M1393" s="116">
        <v>260.3</v>
      </c>
      <c r="N1393" s="116">
        <v>265.75</v>
      </c>
      <c r="O1393" s="116">
        <v>255.95</v>
      </c>
      <c r="P1393" s="116">
        <v>258.89999999999998</v>
      </c>
      <c r="Q1393" s="116">
        <v>260.3</v>
      </c>
      <c r="R1393">
        <v>3970685</v>
      </c>
    </row>
    <row r="1394" spans="1:18" x14ac:dyDescent="0.25">
      <c r="A1394" s="170">
        <v>45741</v>
      </c>
      <c r="B1394" s="116">
        <v>268.64999999999998</v>
      </c>
      <c r="C1394" s="116">
        <v>261.05</v>
      </c>
      <c r="D1394" s="116">
        <v>251.7</v>
      </c>
      <c r="E1394" s="116">
        <v>263.95</v>
      </c>
      <c r="F1394" s="116">
        <v>261.05</v>
      </c>
      <c r="G1394">
        <v>332892</v>
      </c>
      <c r="H1394" s="116"/>
      <c r="I1394" s="116"/>
      <c r="L1394" s="170">
        <v>45741</v>
      </c>
      <c r="M1394" s="116">
        <v>261.25</v>
      </c>
      <c r="N1394" s="116">
        <v>268.45</v>
      </c>
      <c r="O1394" s="116">
        <v>251.6</v>
      </c>
      <c r="P1394" s="116">
        <v>262.7</v>
      </c>
      <c r="Q1394" s="116">
        <v>261.25</v>
      </c>
      <c r="R1394">
        <v>4697767</v>
      </c>
    </row>
    <row r="1395" spans="1:18" x14ac:dyDescent="0.25">
      <c r="A1395" s="170">
        <v>45742</v>
      </c>
      <c r="B1395" s="116">
        <v>263.7</v>
      </c>
      <c r="C1395" s="116">
        <v>249.35</v>
      </c>
      <c r="D1395" s="116">
        <v>246.95</v>
      </c>
      <c r="E1395" s="116">
        <v>263.7</v>
      </c>
      <c r="F1395" s="116">
        <v>249.35</v>
      </c>
      <c r="G1395">
        <v>214367</v>
      </c>
      <c r="H1395" s="116"/>
      <c r="I1395" s="116"/>
      <c r="L1395" s="170">
        <v>45742</v>
      </c>
      <c r="M1395" s="116">
        <v>249.65</v>
      </c>
      <c r="N1395" s="116">
        <v>263</v>
      </c>
      <c r="O1395" s="116">
        <v>247.05</v>
      </c>
      <c r="P1395" s="116">
        <v>262</v>
      </c>
      <c r="Q1395" s="116">
        <v>249.65</v>
      </c>
      <c r="R1395">
        <v>3543363</v>
      </c>
    </row>
    <row r="1396" spans="1:18" x14ac:dyDescent="0.25">
      <c r="A1396" s="170">
        <v>45743</v>
      </c>
      <c r="B1396" s="116">
        <v>254.7</v>
      </c>
      <c r="C1396" s="116">
        <v>251.05</v>
      </c>
      <c r="D1396" s="116">
        <v>244.5</v>
      </c>
      <c r="E1396" s="116">
        <v>249.65</v>
      </c>
      <c r="F1396" s="116">
        <v>251.05</v>
      </c>
      <c r="G1396">
        <v>220718</v>
      </c>
      <c r="H1396" s="116"/>
      <c r="I1396" s="116"/>
      <c r="L1396" s="170">
        <v>45743</v>
      </c>
      <c r="M1396" s="116">
        <v>251.15</v>
      </c>
      <c r="N1396" s="116">
        <v>254.55</v>
      </c>
      <c r="O1396" s="116">
        <v>244.3</v>
      </c>
      <c r="P1396" s="116">
        <v>249.65</v>
      </c>
      <c r="Q1396" s="116">
        <v>251.15</v>
      </c>
      <c r="R1396">
        <v>3903664</v>
      </c>
    </row>
    <row r="1397" spans="1:18" x14ac:dyDescent="0.25">
      <c r="A1397" s="170">
        <v>45744</v>
      </c>
      <c r="B1397" s="116">
        <v>261.8</v>
      </c>
      <c r="C1397" s="116">
        <v>250.5</v>
      </c>
      <c r="D1397" s="116">
        <v>247.15</v>
      </c>
      <c r="E1397" s="116">
        <v>253.4</v>
      </c>
      <c r="F1397" s="116">
        <v>250.5</v>
      </c>
      <c r="G1397">
        <v>367028</v>
      </c>
      <c r="H1397" s="116"/>
      <c r="I1397" s="116"/>
      <c r="L1397" s="170">
        <v>45744</v>
      </c>
      <c r="M1397" s="116">
        <v>250.35</v>
      </c>
      <c r="N1397" s="116">
        <v>261.64999999999998</v>
      </c>
      <c r="O1397" s="116">
        <v>247</v>
      </c>
      <c r="P1397" s="116">
        <v>253</v>
      </c>
      <c r="Q1397" s="116">
        <v>250.35</v>
      </c>
      <c r="R1397">
        <v>4068161</v>
      </c>
    </row>
    <row r="1398" spans="1:18" x14ac:dyDescent="0.25">
      <c r="A1398" s="170">
        <v>45748</v>
      </c>
      <c r="B1398" s="116">
        <v>272.25</v>
      </c>
      <c r="C1398" s="116">
        <v>266.39999999999998</v>
      </c>
      <c r="D1398" s="116">
        <v>247.5</v>
      </c>
      <c r="E1398" s="116">
        <v>249.45</v>
      </c>
      <c r="F1398" s="116">
        <v>266.39999999999998</v>
      </c>
      <c r="G1398">
        <v>644013</v>
      </c>
      <c r="H1398" s="116"/>
      <c r="I1398" s="116"/>
      <c r="L1398" s="170">
        <v>45748</v>
      </c>
      <c r="M1398" s="116">
        <v>266.2</v>
      </c>
      <c r="N1398" s="116">
        <v>272.5</v>
      </c>
      <c r="O1398" s="116">
        <v>247.45</v>
      </c>
      <c r="P1398" s="116">
        <v>248.95</v>
      </c>
      <c r="Q1398" s="116">
        <v>266.2</v>
      </c>
      <c r="R1398">
        <v>5829912</v>
      </c>
    </row>
    <row r="1399" spans="1:18" x14ac:dyDescent="0.25">
      <c r="A1399" s="170">
        <v>45749</v>
      </c>
      <c r="B1399" s="116">
        <v>268.5</v>
      </c>
      <c r="C1399" s="116">
        <v>264.35000000000002</v>
      </c>
      <c r="D1399" s="116">
        <v>256.64999999999998</v>
      </c>
      <c r="E1399" s="116">
        <v>267.55</v>
      </c>
      <c r="F1399" s="116">
        <v>264.35000000000002</v>
      </c>
      <c r="G1399">
        <v>285127</v>
      </c>
      <c r="H1399" s="116"/>
      <c r="I1399" s="116"/>
      <c r="L1399" s="170">
        <v>45749</v>
      </c>
      <c r="M1399" s="116">
        <v>264.55</v>
      </c>
      <c r="N1399" s="116">
        <v>268.64999999999998</v>
      </c>
      <c r="O1399" s="116">
        <v>256.5</v>
      </c>
      <c r="P1399" s="116">
        <v>267.5</v>
      </c>
      <c r="Q1399" s="116">
        <v>264.55</v>
      </c>
      <c r="R1399">
        <v>2588266</v>
      </c>
    </row>
    <row r="1400" spans="1:18" x14ac:dyDescent="0.25">
      <c r="A1400" s="170">
        <v>45750</v>
      </c>
      <c r="B1400" s="116">
        <v>274.5</v>
      </c>
      <c r="C1400" s="116">
        <v>272</v>
      </c>
      <c r="D1400" s="116">
        <v>259</v>
      </c>
      <c r="E1400" s="116">
        <v>259.95</v>
      </c>
      <c r="F1400" s="116">
        <v>272</v>
      </c>
      <c r="G1400">
        <v>270639</v>
      </c>
      <c r="H1400" s="116"/>
      <c r="I1400" s="116"/>
      <c r="L1400" s="170">
        <v>45750</v>
      </c>
      <c r="M1400" s="116">
        <v>271.89999999999998</v>
      </c>
      <c r="N1400" s="116">
        <v>274.89999999999998</v>
      </c>
      <c r="O1400" s="116">
        <v>258.95</v>
      </c>
      <c r="P1400" s="116">
        <v>259</v>
      </c>
      <c r="Q1400" s="116">
        <v>271.89999999999998</v>
      </c>
      <c r="R1400">
        <v>3364510</v>
      </c>
    </row>
    <row r="1401" spans="1:18" x14ac:dyDescent="0.25">
      <c r="A1401" s="170">
        <v>45751</v>
      </c>
      <c r="B1401" s="116">
        <v>272.95</v>
      </c>
      <c r="C1401" s="116">
        <v>259.14999999999998</v>
      </c>
      <c r="D1401" s="116">
        <v>256</v>
      </c>
      <c r="E1401" s="116">
        <v>272</v>
      </c>
      <c r="F1401" s="116">
        <v>259.14999999999998</v>
      </c>
      <c r="G1401">
        <v>341847</v>
      </c>
      <c r="H1401" s="116"/>
      <c r="I1401" s="116"/>
      <c r="L1401" s="170">
        <v>45751</v>
      </c>
      <c r="M1401" s="116">
        <v>259.10000000000002</v>
      </c>
      <c r="N1401" s="116">
        <v>272.85000000000002</v>
      </c>
      <c r="O1401" s="116">
        <v>256.10000000000002</v>
      </c>
      <c r="P1401" s="116">
        <v>271</v>
      </c>
      <c r="Q1401" s="116">
        <v>259.10000000000002</v>
      </c>
      <c r="R1401">
        <v>3060429</v>
      </c>
    </row>
    <row r="1402" spans="1:18" x14ac:dyDescent="0.25">
      <c r="A1402" s="170">
        <v>45754</v>
      </c>
      <c r="B1402" s="116">
        <v>245.8</v>
      </c>
      <c r="C1402" s="116">
        <v>241.65</v>
      </c>
      <c r="D1402" s="116">
        <v>216.05</v>
      </c>
      <c r="E1402" s="116">
        <v>216.05</v>
      </c>
      <c r="F1402" s="116">
        <v>241.65</v>
      </c>
      <c r="G1402">
        <v>424544</v>
      </c>
      <c r="H1402" s="116"/>
      <c r="I1402" s="116"/>
      <c r="L1402" s="170">
        <v>45754</v>
      </c>
      <c r="M1402" s="116">
        <v>240.8</v>
      </c>
      <c r="N1402" s="116">
        <v>244</v>
      </c>
      <c r="O1402" s="116">
        <v>223</v>
      </c>
      <c r="P1402" s="116">
        <v>223</v>
      </c>
      <c r="Q1402" s="116">
        <v>240.8</v>
      </c>
      <c r="R1402">
        <v>2924007</v>
      </c>
    </row>
    <row r="1403" spans="1:18" x14ac:dyDescent="0.25">
      <c r="A1403" s="170">
        <v>45755</v>
      </c>
      <c r="B1403" s="116">
        <v>251.95</v>
      </c>
      <c r="C1403" s="116">
        <v>247.6</v>
      </c>
      <c r="D1403" s="116">
        <v>243.25</v>
      </c>
      <c r="E1403" s="116">
        <v>246.35</v>
      </c>
      <c r="F1403" s="116">
        <v>247.6</v>
      </c>
      <c r="G1403">
        <v>207848</v>
      </c>
      <c r="H1403" s="116"/>
      <c r="I1403" s="116"/>
      <c r="L1403" s="170">
        <v>45755</v>
      </c>
      <c r="M1403" s="116">
        <v>247.55</v>
      </c>
      <c r="N1403" s="116">
        <v>253.8</v>
      </c>
      <c r="O1403" s="116">
        <v>243.25</v>
      </c>
      <c r="P1403" s="116">
        <v>246.55</v>
      </c>
      <c r="Q1403" s="116">
        <v>247.55</v>
      </c>
      <c r="R1403">
        <v>1619501</v>
      </c>
    </row>
    <row r="1404" spans="1:18" x14ac:dyDescent="0.25">
      <c r="A1404" s="170">
        <v>45756</v>
      </c>
      <c r="B1404" s="116">
        <v>248</v>
      </c>
      <c r="C1404" s="116">
        <v>241.8</v>
      </c>
      <c r="D1404" s="116">
        <v>239.3</v>
      </c>
      <c r="E1404" s="116">
        <v>247.2</v>
      </c>
      <c r="F1404" s="116">
        <v>241.8</v>
      </c>
      <c r="G1404">
        <v>101469</v>
      </c>
      <c r="H1404" s="116"/>
      <c r="I1404" s="116"/>
      <c r="L1404" s="170">
        <v>45756</v>
      </c>
      <c r="M1404" s="116">
        <v>241.8</v>
      </c>
      <c r="N1404" s="116">
        <v>248.1</v>
      </c>
      <c r="O1404" s="116">
        <v>239.3</v>
      </c>
      <c r="P1404" s="116">
        <v>245</v>
      </c>
      <c r="Q1404" s="116">
        <v>241.8</v>
      </c>
      <c r="R1404">
        <v>1080871</v>
      </c>
    </row>
    <row r="1405" spans="1:18" x14ac:dyDescent="0.25">
      <c r="A1405" s="170">
        <v>45758</v>
      </c>
      <c r="B1405" s="116">
        <v>251.85</v>
      </c>
      <c r="C1405" s="116">
        <v>250.5</v>
      </c>
      <c r="D1405" s="116">
        <v>245.5</v>
      </c>
      <c r="E1405" s="116">
        <v>249.55</v>
      </c>
      <c r="F1405" s="116">
        <v>250.5</v>
      </c>
      <c r="G1405">
        <v>150860</v>
      </c>
      <c r="H1405" s="116"/>
      <c r="I1405" s="116"/>
      <c r="L1405" s="170">
        <v>45758</v>
      </c>
      <c r="M1405" s="116">
        <v>250.85</v>
      </c>
      <c r="N1405" s="116">
        <v>252</v>
      </c>
      <c r="O1405" s="116">
        <v>245.45</v>
      </c>
      <c r="P1405" s="116">
        <v>248.65</v>
      </c>
      <c r="Q1405" s="116">
        <v>250.85</v>
      </c>
      <c r="R1405">
        <v>1113053</v>
      </c>
    </row>
    <row r="1406" spans="1:18" x14ac:dyDescent="0.25">
      <c r="A1406" s="170">
        <v>45762</v>
      </c>
      <c r="B1406" s="116">
        <v>267.60000000000002</v>
      </c>
      <c r="C1406" s="116">
        <v>265.5</v>
      </c>
      <c r="D1406" s="116">
        <v>251.25</v>
      </c>
      <c r="E1406" s="116">
        <v>251.25</v>
      </c>
      <c r="F1406" s="116">
        <v>265.5</v>
      </c>
      <c r="G1406">
        <v>129149</v>
      </c>
      <c r="H1406" s="116"/>
      <c r="I1406" s="116"/>
      <c r="L1406" s="170">
        <v>45762</v>
      </c>
      <c r="M1406" s="116">
        <v>265.60000000000002</v>
      </c>
      <c r="N1406" s="116">
        <v>267.85000000000002</v>
      </c>
      <c r="O1406" s="116">
        <v>252.55</v>
      </c>
      <c r="P1406" s="116">
        <v>252.55</v>
      </c>
      <c r="Q1406" s="116">
        <v>265.60000000000002</v>
      </c>
      <c r="R1406">
        <v>1845016</v>
      </c>
    </row>
    <row r="1407" spans="1:18" x14ac:dyDescent="0.25">
      <c r="A1407" s="170">
        <v>45763</v>
      </c>
      <c r="B1407" s="116">
        <v>284.7</v>
      </c>
      <c r="C1407" s="116">
        <v>280.5</v>
      </c>
      <c r="D1407" s="116">
        <v>263.39999999999998</v>
      </c>
      <c r="E1407" s="116">
        <v>265.5</v>
      </c>
      <c r="F1407" s="116">
        <v>280.5</v>
      </c>
      <c r="G1407">
        <v>312987</v>
      </c>
      <c r="H1407" s="116"/>
      <c r="I1407" s="116"/>
      <c r="L1407" s="170">
        <v>45763</v>
      </c>
      <c r="M1407" s="116">
        <v>280.7</v>
      </c>
      <c r="N1407" s="116">
        <v>284.7</v>
      </c>
      <c r="O1407" s="116">
        <v>263.25</v>
      </c>
      <c r="P1407" s="116">
        <v>264.2</v>
      </c>
      <c r="Q1407" s="116">
        <v>280.7</v>
      </c>
      <c r="R1407">
        <v>6010610</v>
      </c>
    </row>
    <row r="1408" spans="1:18" x14ac:dyDescent="0.25">
      <c r="A1408" s="170">
        <v>45764</v>
      </c>
      <c r="B1408" s="116">
        <v>298.10000000000002</v>
      </c>
      <c r="C1408" s="116">
        <v>291.64999999999998</v>
      </c>
      <c r="D1408" s="116">
        <v>281.85000000000002</v>
      </c>
      <c r="E1408" s="116">
        <v>283.85000000000002</v>
      </c>
      <c r="F1408" s="116">
        <v>291.64999999999998</v>
      </c>
      <c r="G1408">
        <v>444996</v>
      </c>
      <c r="H1408" s="116"/>
      <c r="I1408" s="116"/>
      <c r="L1408" s="170">
        <v>45764</v>
      </c>
      <c r="M1408" s="116">
        <v>291.35000000000002</v>
      </c>
      <c r="N1408" s="116">
        <v>298.25</v>
      </c>
      <c r="O1408" s="116">
        <v>281.89999999999998</v>
      </c>
      <c r="P1408" s="116">
        <v>283.10000000000002</v>
      </c>
      <c r="Q1408" s="116">
        <v>291.35000000000002</v>
      </c>
      <c r="R1408">
        <v>8243580</v>
      </c>
    </row>
    <row r="1409" spans="1:18" x14ac:dyDescent="0.25">
      <c r="A1409" s="170">
        <v>45768</v>
      </c>
      <c r="B1409" s="116">
        <v>314.95</v>
      </c>
      <c r="C1409" s="116">
        <v>309.14999999999998</v>
      </c>
      <c r="D1409" s="116">
        <v>287.10000000000002</v>
      </c>
      <c r="E1409" s="116">
        <v>293</v>
      </c>
      <c r="F1409" s="116">
        <v>309.14999999999998</v>
      </c>
      <c r="G1409">
        <v>767964</v>
      </c>
      <c r="H1409" s="116"/>
      <c r="I1409" s="116"/>
      <c r="L1409" s="170">
        <v>45768</v>
      </c>
      <c r="M1409" s="116">
        <v>309</v>
      </c>
      <c r="N1409" s="116">
        <v>314.7</v>
      </c>
      <c r="O1409" s="116">
        <v>287.10000000000002</v>
      </c>
      <c r="P1409" s="116">
        <v>293.14999999999998</v>
      </c>
      <c r="Q1409" s="116">
        <v>309</v>
      </c>
      <c r="R1409">
        <v>7364961</v>
      </c>
    </row>
    <row r="1410" spans="1:18" x14ac:dyDescent="0.25">
      <c r="A1410" s="170">
        <v>45769</v>
      </c>
      <c r="B1410" s="116">
        <v>319.39999999999998</v>
      </c>
      <c r="C1410" s="116">
        <v>314.2</v>
      </c>
      <c r="D1410" s="116">
        <v>309.2</v>
      </c>
      <c r="E1410" s="116">
        <v>313.10000000000002</v>
      </c>
      <c r="F1410" s="116">
        <v>314.2</v>
      </c>
      <c r="G1410">
        <v>448550</v>
      </c>
      <c r="H1410" s="116"/>
      <c r="I1410" s="116"/>
      <c r="L1410" s="170">
        <v>45769</v>
      </c>
      <c r="M1410" s="116">
        <v>314.35000000000002</v>
      </c>
      <c r="N1410" s="116">
        <v>319.60000000000002</v>
      </c>
      <c r="O1410" s="116">
        <v>309.10000000000002</v>
      </c>
      <c r="P1410" s="116">
        <v>311.89999999999998</v>
      </c>
      <c r="Q1410" s="116">
        <v>314.35000000000002</v>
      </c>
      <c r="R1410">
        <v>4297730</v>
      </c>
    </row>
    <row r="1411" spans="1:18" x14ac:dyDescent="0.25">
      <c r="A1411" s="170">
        <v>45770</v>
      </c>
      <c r="B1411" s="116">
        <v>329</v>
      </c>
      <c r="C1411" s="116">
        <v>325.39999999999998</v>
      </c>
      <c r="D1411" s="116">
        <v>306.45</v>
      </c>
      <c r="E1411" s="116">
        <v>316.35000000000002</v>
      </c>
      <c r="F1411" s="116">
        <v>325.39999999999998</v>
      </c>
      <c r="G1411">
        <v>369645</v>
      </c>
      <c r="H1411" s="116"/>
      <c r="I1411" s="116"/>
      <c r="L1411" s="170">
        <v>45770</v>
      </c>
      <c r="M1411" s="116">
        <v>325.2</v>
      </c>
      <c r="N1411" s="116">
        <v>328.9</v>
      </c>
      <c r="O1411" s="116">
        <v>306.55</v>
      </c>
      <c r="P1411" s="116">
        <v>316</v>
      </c>
      <c r="Q1411" s="116">
        <v>325.2</v>
      </c>
      <c r="R1411">
        <v>5224905</v>
      </c>
    </row>
    <row r="1412" spans="1:18" x14ac:dyDescent="0.25">
      <c r="A1412" s="170">
        <v>45771</v>
      </c>
      <c r="B1412" s="116">
        <v>332.9</v>
      </c>
      <c r="C1412" s="116">
        <v>326.8</v>
      </c>
      <c r="D1412" s="116">
        <v>321</v>
      </c>
      <c r="E1412" s="116">
        <v>328.05</v>
      </c>
      <c r="F1412" s="116">
        <v>326.8</v>
      </c>
      <c r="G1412">
        <v>804349</v>
      </c>
      <c r="H1412" s="116"/>
      <c r="I1412" s="116"/>
      <c r="L1412" s="170">
        <v>45771</v>
      </c>
      <c r="M1412" s="116">
        <v>327.05</v>
      </c>
      <c r="N1412" s="116">
        <v>333</v>
      </c>
      <c r="O1412" s="116">
        <v>320.95</v>
      </c>
      <c r="P1412" s="116">
        <v>329</v>
      </c>
      <c r="Q1412" s="116">
        <v>327.05</v>
      </c>
      <c r="R1412">
        <v>6277714</v>
      </c>
    </row>
    <row r="1413" spans="1:18" x14ac:dyDescent="0.25">
      <c r="A1413" s="170">
        <v>45772</v>
      </c>
      <c r="B1413" s="116">
        <v>333.45</v>
      </c>
      <c r="C1413" s="116">
        <v>310.5</v>
      </c>
      <c r="D1413" s="116">
        <v>310.5</v>
      </c>
      <c r="E1413" s="116">
        <v>333.45</v>
      </c>
      <c r="F1413" s="116">
        <v>310.5</v>
      </c>
      <c r="G1413">
        <v>311008</v>
      </c>
      <c r="H1413" s="116"/>
      <c r="I1413" s="116"/>
      <c r="L1413" s="170">
        <v>45772</v>
      </c>
      <c r="M1413" s="116">
        <v>310.7</v>
      </c>
      <c r="N1413" s="116">
        <v>333</v>
      </c>
      <c r="O1413" s="116">
        <v>310.7</v>
      </c>
      <c r="P1413" s="116">
        <v>332.7</v>
      </c>
      <c r="Q1413" s="116">
        <v>310.7</v>
      </c>
      <c r="R1413">
        <v>3080611</v>
      </c>
    </row>
    <row r="1414" spans="1:18" x14ac:dyDescent="0.25">
      <c r="A1414" s="170">
        <v>45775</v>
      </c>
      <c r="B1414" s="116">
        <v>303.95</v>
      </c>
      <c r="C1414" s="116">
        <v>295</v>
      </c>
      <c r="D1414" s="116">
        <v>295</v>
      </c>
      <c r="E1414" s="116">
        <v>303.95</v>
      </c>
      <c r="F1414" s="116">
        <v>295</v>
      </c>
      <c r="G1414">
        <v>652882</v>
      </c>
      <c r="H1414" s="116"/>
      <c r="I1414" s="116"/>
      <c r="L1414" s="170">
        <v>45775</v>
      </c>
      <c r="M1414" s="116">
        <v>295.2</v>
      </c>
      <c r="N1414" s="116">
        <v>302.25</v>
      </c>
      <c r="O1414" s="116">
        <v>295.2</v>
      </c>
      <c r="P1414" s="116">
        <v>300.05</v>
      </c>
      <c r="Q1414" s="116">
        <v>295.2</v>
      </c>
      <c r="R1414">
        <v>5176308</v>
      </c>
    </row>
    <row r="1415" spans="1:18" x14ac:dyDescent="0.25">
      <c r="A1415" s="170">
        <v>45776</v>
      </c>
      <c r="B1415" s="116">
        <v>303.95</v>
      </c>
      <c r="C1415" s="116">
        <v>285.60000000000002</v>
      </c>
      <c r="D1415" s="116">
        <v>284</v>
      </c>
      <c r="E1415" s="116">
        <v>303.95</v>
      </c>
      <c r="F1415" s="116">
        <v>285.60000000000002</v>
      </c>
      <c r="G1415">
        <v>125671</v>
      </c>
      <c r="H1415" s="116"/>
      <c r="I1415" s="116"/>
      <c r="L1415" s="170">
        <v>45776</v>
      </c>
      <c r="M1415" s="116">
        <v>285.64999999999998</v>
      </c>
      <c r="N1415" s="116">
        <v>299.85000000000002</v>
      </c>
      <c r="O1415" s="116">
        <v>283.75</v>
      </c>
      <c r="P1415" s="116">
        <v>298</v>
      </c>
      <c r="Q1415" s="116">
        <v>285.64999999999998</v>
      </c>
      <c r="R1415">
        <v>2327128</v>
      </c>
    </row>
    <row r="1416" spans="1:18" x14ac:dyDescent="0.25">
      <c r="A1416" s="170">
        <v>45777</v>
      </c>
      <c r="B1416" s="116">
        <v>283</v>
      </c>
      <c r="C1416" s="116">
        <v>271.35000000000002</v>
      </c>
      <c r="D1416" s="116">
        <v>271.35000000000002</v>
      </c>
      <c r="E1416" s="116">
        <v>281.64999999999998</v>
      </c>
      <c r="F1416" s="116">
        <v>271.35000000000002</v>
      </c>
      <c r="G1416">
        <v>144050</v>
      </c>
      <c r="H1416" s="116"/>
      <c r="I1416" s="116"/>
      <c r="L1416" s="170">
        <v>45777</v>
      </c>
      <c r="M1416" s="116">
        <v>271.39999999999998</v>
      </c>
      <c r="N1416" s="116">
        <v>283.05</v>
      </c>
      <c r="O1416" s="116">
        <v>271.39999999999998</v>
      </c>
      <c r="P1416" s="116">
        <v>282.05</v>
      </c>
      <c r="Q1416" s="116">
        <v>271.39999999999998</v>
      </c>
      <c r="R1416">
        <v>1656135</v>
      </c>
    </row>
    <row r="1417" spans="1:18" x14ac:dyDescent="0.25">
      <c r="A1417" s="170">
        <v>45779</v>
      </c>
      <c r="B1417" s="116">
        <v>274.35000000000002</v>
      </c>
      <c r="C1417" s="116">
        <v>259.35000000000002</v>
      </c>
      <c r="D1417" s="116">
        <v>258</v>
      </c>
      <c r="E1417" s="116">
        <v>265.3</v>
      </c>
      <c r="F1417" s="116">
        <v>259.35000000000002</v>
      </c>
      <c r="G1417">
        <v>138959</v>
      </c>
      <c r="H1417" s="116"/>
      <c r="I1417" s="116"/>
      <c r="L1417" s="170">
        <v>45779</v>
      </c>
      <c r="M1417" s="116">
        <v>258.89999999999998</v>
      </c>
      <c r="N1417" s="116">
        <v>274.89999999999998</v>
      </c>
      <c r="O1417" s="116">
        <v>258</v>
      </c>
      <c r="P1417" s="116">
        <v>267.55</v>
      </c>
      <c r="Q1417" s="116">
        <v>258.89999999999998</v>
      </c>
      <c r="R1417">
        <v>2941353</v>
      </c>
    </row>
    <row r="1418" spans="1:18" x14ac:dyDescent="0.25">
      <c r="A1418" s="170">
        <v>45782</v>
      </c>
      <c r="B1418" s="116">
        <v>272.3</v>
      </c>
      <c r="C1418" s="116">
        <v>272.3</v>
      </c>
      <c r="D1418" s="116">
        <v>259.35000000000002</v>
      </c>
      <c r="E1418" s="116">
        <v>259.35000000000002</v>
      </c>
      <c r="F1418" s="116">
        <v>272.3</v>
      </c>
      <c r="G1418">
        <v>210810</v>
      </c>
      <c r="H1418" s="116"/>
      <c r="I1418" s="116"/>
      <c r="L1418" s="170">
        <v>45782</v>
      </c>
      <c r="M1418" s="116">
        <v>271.8</v>
      </c>
      <c r="N1418" s="116">
        <v>271.8</v>
      </c>
      <c r="O1418" s="116">
        <v>260.39999999999998</v>
      </c>
      <c r="P1418" s="116">
        <v>261</v>
      </c>
      <c r="Q1418" s="116">
        <v>271.8</v>
      </c>
      <c r="R1418">
        <v>975363</v>
      </c>
    </row>
    <row r="1419" spans="1:18" x14ac:dyDescent="0.25">
      <c r="A1419" s="170">
        <v>45783</v>
      </c>
      <c r="B1419" s="116">
        <v>281.45</v>
      </c>
      <c r="C1419" s="116">
        <v>265.45</v>
      </c>
      <c r="D1419" s="116">
        <v>262.14999999999998</v>
      </c>
      <c r="E1419" s="116">
        <v>277.75</v>
      </c>
      <c r="F1419" s="116">
        <v>265.45</v>
      </c>
      <c r="G1419">
        <v>546576</v>
      </c>
      <c r="H1419" s="116"/>
      <c r="I1419" s="116"/>
      <c r="L1419" s="170">
        <v>45783</v>
      </c>
      <c r="M1419" s="116">
        <v>266.05</v>
      </c>
      <c r="N1419" s="116">
        <v>281.89999999999998</v>
      </c>
      <c r="O1419" s="116">
        <v>263</v>
      </c>
      <c r="P1419" s="116">
        <v>275.89999999999998</v>
      </c>
      <c r="Q1419" s="116">
        <v>266.05</v>
      </c>
      <c r="R1419">
        <v>2316347</v>
      </c>
    </row>
    <row r="1420" spans="1:18" x14ac:dyDescent="0.25">
      <c r="A1420" s="170">
        <v>45784</v>
      </c>
      <c r="B1420" s="116">
        <v>268.35000000000002</v>
      </c>
      <c r="C1420" s="116">
        <v>263.39999999999998</v>
      </c>
      <c r="D1420" s="116">
        <v>256.10000000000002</v>
      </c>
      <c r="E1420" s="116">
        <v>260.95</v>
      </c>
      <c r="F1420" s="116">
        <v>263.39999999999998</v>
      </c>
      <c r="G1420">
        <v>116932</v>
      </c>
      <c r="H1420" s="116"/>
      <c r="I1420" s="116"/>
      <c r="L1420" s="170">
        <v>45784</v>
      </c>
      <c r="M1420" s="116">
        <v>263.35000000000002</v>
      </c>
      <c r="N1420" s="116">
        <v>268.64999999999998</v>
      </c>
      <c r="O1420" s="116">
        <v>256</v>
      </c>
      <c r="P1420" s="116">
        <v>261.95</v>
      </c>
      <c r="Q1420" s="116">
        <v>263.35000000000002</v>
      </c>
      <c r="R1420">
        <v>1159612</v>
      </c>
    </row>
    <row r="1421" spans="1:18" x14ac:dyDescent="0.25">
      <c r="A1421" s="170">
        <v>45785</v>
      </c>
      <c r="B1421" s="116">
        <v>271.7</v>
      </c>
      <c r="C1421" s="116">
        <v>255.2</v>
      </c>
      <c r="D1421" s="116">
        <v>251.2</v>
      </c>
      <c r="E1421" s="116">
        <v>265</v>
      </c>
      <c r="F1421" s="116">
        <v>255.2</v>
      </c>
      <c r="G1421">
        <v>231133</v>
      </c>
      <c r="H1421" s="116"/>
      <c r="I1421" s="116"/>
      <c r="L1421" s="170">
        <v>45785</v>
      </c>
      <c r="M1421" s="116">
        <v>254.85</v>
      </c>
      <c r="N1421" s="116">
        <v>271.89999999999998</v>
      </c>
      <c r="O1421" s="116">
        <v>250.9</v>
      </c>
      <c r="P1421" s="116">
        <v>265.39999999999998</v>
      </c>
      <c r="Q1421" s="116">
        <v>254.85</v>
      </c>
      <c r="R1421">
        <v>1354173</v>
      </c>
    </row>
    <row r="1422" spans="1:18" x14ac:dyDescent="0.25">
      <c r="A1422" s="170">
        <v>45786</v>
      </c>
      <c r="B1422" s="116">
        <v>255</v>
      </c>
      <c r="C1422" s="116">
        <v>251.3</v>
      </c>
      <c r="D1422" s="116">
        <v>244.85</v>
      </c>
      <c r="E1422" s="116">
        <v>245</v>
      </c>
      <c r="F1422" s="116">
        <v>251.3</v>
      </c>
      <c r="G1422">
        <v>265441</v>
      </c>
      <c r="H1422" s="116"/>
      <c r="I1422" s="116"/>
      <c r="L1422" s="170">
        <v>45786</v>
      </c>
      <c r="M1422" s="116">
        <v>251.75</v>
      </c>
      <c r="N1422" s="116">
        <v>257</v>
      </c>
      <c r="O1422" s="116">
        <v>244.6</v>
      </c>
      <c r="P1422" s="116">
        <v>245.25</v>
      </c>
      <c r="Q1422" s="116">
        <v>251.75</v>
      </c>
      <c r="R1422">
        <v>1345698</v>
      </c>
    </row>
    <row r="1423" spans="1:18" x14ac:dyDescent="0.25">
      <c r="A1423" s="170">
        <v>45789</v>
      </c>
      <c r="B1423" s="116">
        <v>263.85000000000002</v>
      </c>
      <c r="C1423" s="116">
        <v>262.60000000000002</v>
      </c>
      <c r="D1423" s="116">
        <v>260.5</v>
      </c>
      <c r="E1423" s="116">
        <v>263</v>
      </c>
      <c r="F1423" s="116">
        <v>262.60000000000002</v>
      </c>
      <c r="G1423">
        <v>261086</v>
      </c>
      <c r="H1423" s="116"/>
      <c r="I1423" s="116"/>
      <c r="L1423" s="170">
        <v>45789</v>
      </c>
      <c r="M1423" s="116">
        <v>263.05</v>
      </c>
      <c r="N1423" s="116">
        <v>264.3</v>
      </c>
      <c r="O1423" s="116">
        <v>260.10000000000002</v>
      </c>
      <c r="P1423" s="116">
        <v>264.3</v>
      </c>
      <c r="Q1423" s="116">
        <v>263.05</v>
      </c>
      <c r="R1423">
        <v>3022827</v>
      </c>
    </row>
    <row r="1424" spans="1:18" x14ac:dyDescent="0.25">
      <c r="A1424" s="170">
        <v>45790</v>
      </c>
      <c r="B1424" s="116">
        <v>275.7</v>
      </c>
      <c r="C1424" s="116">
        <v>275.7</v>
      </c>
      <c r="D1424" s="116">
        <v>263.8</v>
      </c>
      <c r="E1424" s="116">
        <v>263.95</v>
      </c>
      <c r="F1424" s="116">
        <v>275.7</v>
      </c>
      <c r="G1424">
        <v>142249</v>
      </c>
      <c r="H1424" s="116"/>
      <c r="I1424" s="116"/>
      <c r="L1424" s="170">
        <v>45790</v>
      </c>
      <c r="M1424" s="116">
        <v>276.2</v>
      </c>
      <c r="N1424" s="116">
        <v>276.2</v>
      </c>
      <c r="O1424" s="116">
        <v>263.10000000000002</v>
      </c>
      <c r="P1424" s="116">
        <v>264</v>
      </c>
      <c r="Q1424" s="116">
        <v>276.2</v>
      </c>
      <c r="R1424">
        <v>1827086</v>
      </c>
    </row>
    <row r="1425" spans="1:18" x14ac:dyDescent="0.25">
      <c r="A1425" s="170">
        <v>45791</v>
      </c>
      <c r="B1425" s="116">
        <v>289.45</v>
      </c>
      <c r="C1425" s="116">
        <v>289.45</v>
      </c>
      <c r="D1425" s="116">
        <v>279</v>
      </c>
      <c r="E1425" s="116">
        <v>289.39999999999998</v>
      </c>
      <c r="F1425" s="116">
        <v>289.45</v>
      </c>
      <c r="G1425">
        <v>202463</v>
      </c>
      <c r="H1425" s="116"/>
      <c r="I1425" s="116"/>
      <c r="L1425" s="170">
        <v>45791</v>
      </c>
      <c r="M1425" s="116">
        <v>290</v>
      </c>
      <c r="N1425" s="116">
        <v>290</v>
      </c>
      <c r="O1425" s="116">
        <v>278</v>
      </c>
      <c r="P1425" s="116">
        <v>279.39999999999998</v>
      </c>
      <c r="Q1425" s="116">
        <v>290</v>
      </c>
      <c r="R1425">
        <v>1679065</v>
      </c>
    </row>
    <row r="1426" spans="1:18" x14ac:dyDescent="0.25">
      <c r="A1426" s="170">
        <v>45792</v>
      </c>
      <c r="B1426" s="116">
        <v>298</v>
      </c>
      <c r="C1426" s="116">
        <v>292.05</v>
      </c>
      <c r="D1426" s="116">
        <v>286.85000000000002</v>
      </c>
      <c r="E1426" s="116">
        <v>297.39999999999998</v>
      </c>
      <c r="F1426" s="116">
        <v>292.05</v>
      </c>
      <c r="G1426">
        <v>198144</v>
      </c>
      <c r="H1426" s="116"/>
      <c r="I1426" s="116"/>
      <c r="L1426" s="170">
        <v>45792</v>
      </c>
      <c r="M1426" s="116">
        <v>292.2</v>
      </c>
      <c r="N1426" s="116">
        <v>297.89999999999998</v>
      </c>
      <c r="O1426" s="116">
        <v>286.35000000000002</v>
      </c>
      <c r="P1426" s="116">
        <v>296.2</v>
      </c>
      <c r="Q1426" s="116">
        <v>292.2</v>
      </c>
      <c r="R1426">
        <v>2613718</v>
      </c>
    </row>
    <row r="1427" spans="1:18" x14ac:dyDescent="0.25">
      <c r="A1427" s="170">
        <v>45793</v>
      </c>
      <c r="B1427" s="116">
        <v>303.7</v>
      </c>
      <c r="C1427" s="116">
        <v>297.95</v>
      </c>
      <c r="D1427" s="116">
        <v>292</v>
      </c>
      <c r="E1427" s="116">
        <v>297.8</v>
      </c>
      <c r="F1427" s="116">
        <v>297.95</v>
      </c>
      <c r="G1427">
        <v>192289</v>
      </c>
      <c r="H1427" s="116"/>
      <c r="I1427" s="116"/>
      <c r="L1427" s="170">
        <v>45793</v>
      </c>
      <c r="M1427" s="116">
        <v>297.95</v>
      </c>
      <c r="N1427" s="116">
        <v>303.7</v>
      </c>
      <c r="O1427" s="116">
        <v>291.55</v>
      </c>
      <c r="P1427" s="116">
        <v>295</v>
      </c>
      <c r="Q1427" s="116">
        <v>297.95</v>
      </c>
      <c r="R1427">
        <v>1590342</v>
      </c>
    </row>
    <row r="1428" spans="1:18" x14ac:dyDescent="0.25">
      <c r="A1428" s="170">
        <v>45796</v>
      </c>
      <c r="B1428" s="116">
        <v>304.55</v>
      </c>
      <c r="C1428" s="116">
        <v>290.2</v>
      </c>
      <c r="D1428" s="116">
        <v>287.5</v>
      </c>
      <c r="E1428" s="116">
        <v>299.60000000000002</v>
      </c>
      <c r="F1428" s="116">
        <v>290.2</v>
      </c>
      <c r="G1428">
        <v>261322</v>
      </c>
      <c r="H1428" s="116"/>
      <c r="I1428" s="116"/>
      <c r="L1428" s="170">
        <v>45796</v>
      </c>
      <c r="M1428" s="116">
        <v>290.05</v>
      </c>
      <c r="N1428" s="116">
        <v>304.8</v>
      </c>
      <c r="O1428" s="116">
        <v>287.5</v>
      </c>
      <c r="P1428" s="116">
        <v>300</v>
      </c>
      <c r="Q1428" s="116">
        <v>290.05</v>
      </c>
      <c r="R1428">
        <v>1545479</v>
      </c>
    </row>
    <row r="1429" spans="1:18" x14ac:dyDescent="0.25">
      <c r="A1429" s="170">
        <v>45797</v>
      </c>
      <c r="B1429" s="116">
        <v>295.64999999999998</v>
      </c>
      <c r="C1429" s="116">
        <v>283</v>
      </c>
      <c r="D1429" s="116">
        <v>281</v>
      </c>
      <c r="E1429" s="116">
        <v>294.45</v>
      </c>
      <c r="F1429" s="116">
        <v>283</v>
      </c>
      <c r="G1429">
        <v>225029</v>
      </c>
      <c r="H1429" s="116"/>
      <c r="I1429" s="116"/>
      <c r="L1429" s="170">
        <v>45797</v>
      </c>
      <c r="M1429" s="116">
        <v>282.89999999999998</v>
      </c>
      <c r="N1429" s="116">
        <v>295.75</v>
      </c>
      <c r="O1429" s="116">
        <v>281.14999999999998</v>
      </c>
      <c r="P1429" s="116">
        <v>293.2</v>
      </c>
      <c r="Q1429" s="116">
        <v>282.89999999999998</v>
      </c>
      <c r="R1429">
        <v>973589</v>
      </c>
    </row>
    <row r="1430" spans="1:18" x14ac:dyDescent="0.25">
      <c r="A1430" s="170">
        <v>45798</v>
      </c>
      <c r="B1430" s="116">
        <v>288.8</v>
      </c>
      <c r="C1430" s="116">
        <v>280.39999999999998</v>
      </c>
      <c r="D1430" s="116">
        <v>279.45</v>
      </c>
      <c r="E1430" s="116">
        <v>283</v>
      </c>
      <c r="F1430" s="116">
        <v>280.39999999999998</v>
      </c>
      <c r="G1430">
        <v>154241</v>
      </c>
      <c r="H1430" s="116"/>
      <c r="I1430" s="116"/>
      <c r="L1430" s="170">
        <v>45798</v>
      </c>
      <c r="M1430" s="116">
        <v>280.35000000000002</v>
      </c>
      <c r="N1430" s="116">
        <v>288.7</v>
      </c>
      <c r="O1430" s="116">
        <v>279.45</v>
      </c>
      <c r="P1430" s="116">
        <v>284.14999999999998</v>
      </c>
      <c r="Q1430" s="116">
        <v>280.35000000000002</v>
      </c>
      <c r="R1430">
        <v>1096355</v>
      </c>
    </row>
    <row r="1431" spans="1:18" x14ac:dyDescent="0.25">
      <c r="A1431" s="170">
        <v>45799</v>
      </c>
      <c r="B1431" s="116">
        <v>283.3</v>
      </c>
      <c r="C1431" s="116">
        <v>277.7</v>
      </c>
      <c r="D1431" s="116">
        <v>275.5</v>
      </c>
      <c r="E1431" s="116">
        <v>280.39999999999998</v>
      </c>
      <c r="F1431" s="116">
        <v>277.7</v>
      </c>
      <c r="G1431">
        <v>191089</v>
      </c>
      <c r="H1431" s="116"/>
      <c r="I1431" s="116"/>
      <c r="L1431" s="170">
        <v>45799</v>
      </c>
      <c r="M1431" s="116">
        <v>277.85000000000002</v>
      </c>
      <c r="N1431" s="116">
        <v>283.35000000000002</v>
      </c>
      <c r="O1431" s="116">
        <v>275.10000000000002</v>
      </c>
      <c r="P1431" s="116">
        <v>280.35000000000002</v>
      </c>
      <c r="Q1431" s="116">
        <v>277.85000000000002</v>
      </c>
      <c r="R1431">
        <v>952369</v>
      </c>
    </row>
    <row r="1432" spans="1:18" x14ac:dyDescent="0.25">
      <c r="A1432" s="170">
        <v>45800</v>
      </c>
      <c r="B1432" s="116">
        <v>281.2</v>
      </c>
      <c r="C1432" s="116">
        <v>274.25</v>
      </c>
      <c r="D1432" s="116">
        <v>272.95</v>
      </c>
      <c r="E1432" s="116">
        <v>281.2</v>
      </c>
      <c r="F1432" s="116">
        <v>274.25</v>
      </c>
      <c r="G1432">
        <v>152955</v>
      </c>
      <c r="H1432" s="116"/>
      <c r="I1432" s="116"/>
      <c r="L1432" s="170">
        <v>45800</v>
      </c>
      <c r="M1432" s="116">
        <v>274.3</v>
      </c>
      <c r="N1432" s="116">
        <v>279.7</v>
      </c>
      <c r="O1432" s="116">
        <v>273.5</v>
      </c>
      <c r="P1432" s="116">
        <v>277.85000000000002</v>
      </c>
      <c r="Q1432" s="116">
        <v>274.3</v>
      </c>
      <c r="R1432">
        <v>1153976</v>
      </c>
    </row>
    <row r="1433" spans="1:18" x14ac:dyDescent="0.25">
      <c r="A1433" s="170">
        <v>45803</v>
      </c>
      <c r="B1433" s="116">
        <v>287.95</v>
      </c>
      <c r="C1433" s="116">
        <v>287.95</v>
      </c>
      <c r="D1433" s="116">
        <v>275.60000000000002</v>
      </c>
      <c r="E1433" s="116">
        <v>278.8</v>
      </c>
      <c r="F1433" s="116">
        <v>287.95</v>
      </c>
      <c r="G1433">
        <v>59740</v>
      </c>
      <c r="H1433" s="116"/>
      <c r="I1433" s="116"/>
      <c r="L1433" s="170">
        <v>45803</v>
      </c>
      <c r="M1433" s="116">
        <v>288</v>
      </c>
      <c r="N1433" s="116">
        <v>288</v>
      </c>
      <c r="O1433" s="116">
        <v>275.8</v>
      </c>
      <c r="P1433" s="116">
        <v>275.89999999999998</v>
      </c>
      <c r="Q1433" s="116">
        <v>288</v>
      </c>
      <c r="R1433">
        <v>1188274</v>
      </c>
    </row>
    <row r="1434" spans="1:18" x14ac:dyDescent="0.25">
      <c r="A1434" s="170">
        <v>45804</v>
      </c>
      <c r="B1434" s="116">
        <v>294.55</v>
      </c>
      <c r="C1434" s="116">
        <v>283.55</v>
      </c>
      <c r="D1434" s="116">
        <v>280.2</v>
      </c>
      <c r="E1434" s="116">
        <v>291.95</v>
      </c>
      <c r="F1434" s="116">
        <v>283.55</v>
      </c>
      <c r="G1434">
        <v>108649</v>
      </c>
      <c r="H1434" s="116"/>
      <c r="I1434" s="116"/>
      <c r="L1434" s="170">
        <v>45804</v>
      </c>
      <c r="M1434" s="116">
        <v>283.64999999999998</v>
      </c>
      <c r="N1434" s="116">
        <v>294.8</v>
      </c>
      <c r="O1434" s="116">
        <v>280.3</v>
      </c>
      <c r="P1434" s="116">
        <v>290.7</v>
      </c>
      <c r="Q1434" s="116">
        <v>283.64999999999998</v>
      </c>
      <c r="R1434">
        <v>1853456</v>
      </c>
    </row>
    <row r="1435" spans="1:18" x14ac:dyDescent="0.25">
      <c r="A1435" s="170">
        <v>45805</v>
      </c>
      <c r="B1435" s="116">
        <v>287.39999999999998</v>
      </c>
      <c r="C1435" s="116">
        <v>282.3</v>
      </c>
      <c r="D1435" s="116">
        <v>281.10000000000002</v>
      </c>
      <c r="E1435" s="116">
        <v>285</v>
      </c>
      <c r="F1435" s="116">
        <v>282.3</v>
      </c>
      <c r="G1435">
        <v>53847</v>
      </c>
      <c r="H1435" s="116"/>
      <c r="I1435" s="116"/>
      <c r="L1435" s="170">
        <v>45805</v>
      </c>
      <c r="M1435" s="116">
        <v>282.14999999999998</v>
      </c>
      <c r="N1435" s="116">
        <v>287.35000000000002</v>
      </c>
      <c r="O1435" s="116">
        <v>281</v>
      </c>
      <c r="P1435" s="116">
        <v>284.7</v>
      </c>
      <c r="Q1435" s="116">
        <v>282.14999999999998</v>
      </c>
      <c r="R1435">
        <v>807116</v>
      </c>
    </row>
    <row r="1436" spans="1:18" x14ac:dyDescent="0.25">
      <c r="A1436" s="170">
        <v>45806</v>
      </c>
      <c r="B1436" s="116">
        <v>288.89999999999998</v>
      </c>
      <c r="C1436" s="116">
        <v>283.95</v>
      </c>
      <c r="D1436" s="116">
        <v>281.25</v>
      </c>
      <c r="E1436" s="116">
        <v>286.7</v>
      </c>
      <c r="F1436" s="116">
        <v>283.95</v>
      </c>
      <c r="G1436">
        <v>221948</v>
      </c>
      <c r="H1436" s="116"/>
      <c r="I1436" s="116"/>
      <c r="L1436" s="170">
        <v>45806</v>
      </c>
      <c r="M1436" s="116">
        <v>283.8</v>
      </c>
      <c r="N1436" s="116">
        <v>288.89999999999998</v>
      </c>
      <c r="O1436" s="116">
        <v>281.10000000000002</v>
      </c>
      <c r="P1436" s="116">
        <v>286.5</v>
      </c>
      <c r="Q1436" s="116">
        <v>283.8</v>
      </c>
      <c r="R1436">
        <v>1272759</v>
      </c>
    </row>
    <row r="1437" spans="1:18" x14ac:dyDescent="0.25">
      <c r="A1437" s="170">
        <v>45807</v>
      </c>
      <c r="B1437" s="116">
        <v>286.7</v>
      </c>
      <c r="C1437" s="116">
        <v>282.3</v>
      </c>
      <c r="D1437" s="116">
        <v>280.7</v>
      </c>
      <c r="E1437" s="116">
        <v>285</v>
      </c>
      <c r="F1437" s="116">
        <v>282.3</v>
      </c>
      <c r="G1437">
        <v>155256</v>
      </c>
      <c r="H1437" s="116"/>
      <c r="I1437" s="116"/>
      <c r="L1437" s="170">
        <v>45807</v>
      </c>
      <c r="M1437" s="116">
        <v>282.39999999999998</v>
      </c>
      <c r="N1437" s="116">
        <v>287</v>
      </c>
      <c r="O1437" s="116">
        <v>280.7</v>
      </c>
      <c r="P1437" s="116">
        <v>285</v>
      </c>
      <c r="Q1437" s="116">
        <v>282.39999999999998</v>
      </c>
      <c r="R1437">
        <v>870897</v>
      </c>
    </row>
    <row r="1438" spans="1:18" x14ac:dyDescent="0.25">
      <c r="A1438" s="170">
        <v>45810</v>
      </c>
      <c r="B1438" s="116">
        <v>313.64999999999998</v>
      </c>
      <c r="C1438" s="116">
        <v>305.39999999999998</v>
      </c>
      <c r="D1438" s="116">
        <v>284.8</v>
      </c>
      <c r="E1438" s="116">
        <v>285.75</v>
      </c>
      <c r="F1438" s="116">
        <v>305.39999999999998</v>
      </c>
      <c r="G1438">
        <v>814568</v>
      </c>
      <c r="H1438" s="116"/>
      <c r="I1438" s="116"/>
      <c r="L1438" s="170">
        <v>45810</v>
      </c>
      <c r="M1438" s="116">
        <v>305.5</v>
      </c>
      <c r="N1438" s="116">
        <v>313.60000000000002</v>
      </c>
      <c r="O1438" s="116">
        <v>284.45</v>
      </c>
      <c r="P1438" s="116">
        <v>285</v>
      </c>
      <c r="Q1438" s="116">
        <v>305.5</v>
      </c>
      <c r="R1438">
        <v>11235925</v>
      </c>
    </row>
    <row r="1439" spans="1:18" x14ac:dyDescent="0.25">
      <c r="A1439" s="170">
        <v>45811</v>
      </c>
      <c r="B1439" s="116">
        <v>312.75</v>
      </c>
      <c r="C1439" s="116">
        <v>302.75</v>
      </c>
      <c r="D1439" s="116">
        <v>299.35000000000002</v>
      </c>
      <c r="E1439" s="116">
        <v>309.5</v>
      </c>
      <c r="F1439" s="116">
        <v>302.75</v>
      </c>
      <c r="G1439">
        <v>356157</v>
      </c>
      <c r="H1439" s="116"/>
      <c r="I1439" s="116"/>
      <c r="L1439" s="170">
        <v>45811</v>
      </c>
      <c r="M1439" s="116">
        <v>303.35000000000002</v>
      </c>
      <c r="N1439" s="116">
        <v>312.95</v>
      </c>
      <c r="O1439" s="116">
        <v>299.14999999999998</v>
      </c>
      <c r="P1439" s="116">
        <v>309</v>
      </c>
      <c r="Q1439" s="116">
        <v>303.35000000000002</v>
      </c>
      <c r="R1439">
        <v>5079160</v>
      </c>
    </row>
    <row r="1440" spans="1:18" x14ac:dyDescent="0.25">
      <c r="A1440" s="170">
        <v>45812</v>
      </c>
      <c r="B1440" s="116">
        <v>307.60000000000002</v>
      </c>
      <c r="C1440" s="116">
        <v>302.55</v>
      </c>
      <c r="D1440" s="116">
        <v>295.39999999999998</v>
      </c>
      <c r="E1440" s="116">
        <v>304</v>
      </c>
      <c r="F1440" s="116">
        <v>302.55</v>
      </c>
      <c r="G1440">
        <v>236047</v>
      </c>
      <c r="H1440" s="116"/>
      <c r="I1440" s="116"/>
      <c r="L1440" s="170">
        <v>45812</v>
      </c>
      <c r="M1440" s="116">
        <v>302.64999999999998</v>
      </c>
      <c r="N1440" s="116">
        <v>307.8</v>
      </c>
      <c r="O1440" s="116">
        <v>295.45</v>
      </c>
      <c r="P1440" s="116">
        <v>304</v>
      </c>
      <c r="Q1440" s="116">
        <v>302.64999999999998</v>
      </c>
      <c r="R1440">
        <v>3073799</v>
      </c>
    </row>
    <row r="1441" spans="1:18" x14ac:dyDescent="0.25">
      <c r="A1441" s="170">
        <v>45813</v>
      </c>
      <c r="B1441" s="116">
        <v>307</v>
      </c>
      <c r="C1441" s="116">
        <v>296.8</v>
      </c>
      <c r="D1441" s="116">
        <v>294.89999999999998</v>
      </c>
      <c r="E1441" s="116">
        <v>303.45</v>
      </c>
      <c r="F1441" s="116">
        <v>296.8</v>
      </c>
      <c r="G1441">
        <v>163706</v>
      </c>
      <c r="H1441" s="116"/>
      <c r="I1441" s="116"/>
      <c r="L1441" s="170">
        <v>45813</v>
      </c>
      <c r="M1441" s="116">
        <v>296.89999999999998</v>
      </c>
      <c r="N1441" s="116">
        <v>307.14999999999998</v>
      </c>
      <c r="O1441" s="116">
        <v>294.39999999999998</v>
      </c>
      <c r="P1441" s="116">
        <v>304.5</v>
      </c>
      <c r="Q1441" s="116">
        <v>296.89999999999998</v>
      </c>
      <c r="R1441">
        <v>2441287</v>
      </c>
    </row>
    <row r="1442" spans="1:18" x14ac:dyDescent="0.25">
      <c r="A1442" s="170">
        <v>45814</v>
      </c>
      <c r="B1442" s="116">
        <v>300</v>
      </c>
      <c r="C1442" s="116">
        <v>297.85000000000002</v>
      </c>
      <c r="D1442" s="116">
        <v>293.3</v>
      </c>
      <c r="E1442" s="116">
        <v>299</v>
      </c>
      <c r="F1442" s="116">
        <v>297.85000000000002</v>
      </c>
      <c r="G1442">
        <v>113085</v>
      </c>
      <c r="H1442" s="116"/>
      <c r="I1442" s="116"/>
      <c r="L1442" s="170">
        <v>45814</v>
      </c>
      <c r="M1442" s="116">
        <v>297.8</v>
      </c>
      <c r="N1442" s="116">
        <v>300.39999999999998</v>
      </c>
      <c r="O1442" s="116">
        <v>293.05</v>
      </c>
      <c r="P1442" s="116">
        <v>297</v>
      </c>
      <c r="Q1442" s="116">
        <v>297.8</v>
      </c>
      <c r="R1442">
        <v>2022422</v>
      </c>
    </row>
    <row r="1443" spans="1:18" x14ac:dyDescent="0.25">
      <c r="A1443" s="170">
        <v>45817</v>
      </c>
      <c r="B1443" s="116">
        <v>312.8</v>
      </c>
      <c r="C1443" s="116">
        <v>303.85000000000002</v>
      </c>
      <c r="D1443" s="116">
        <v>297.89999999999998</v>
      </c>
      <c r="E1443" s="116">
        <v>297.89999999999998</v>
      </c>
      <c r="F1443" s="116">
        <v>303.85000000000002</v>
      </c>
      <c r="G1443">
        <v>419893</v>
      </c>
      <c r="H1443" s="116"/>
      <c r="I1443" s="116"/>
      <c r="L1443" s="170">
        <v>45817</v>
      </c>
      <c r="M1443" s="116">
        <v>303.7</v>
      </c>
      <c r="N1443" s="116">
        <v>312.8</v>
      </c>
      <c r="O1443" s="116">
        <v>299</v>
      </c>
      <c r="P1443" s="116">
        <v>299</v>
      </c>
      <c r="Q1443" s="116">
        <v>303.7</v>
      </c>
      <c r="R1443">
        <v>3689487</v>
      </c>
    </row>
    <row r="1444" spans="1:18" x14ac:dyDescent="0.25">
      <c r="A1444" s="170">
        <v>45818</v>
      </c>
      <c r="B1444" s="116">
        <v>310</v>
      </c>
      <c r="C1444" s="116">
        <v>307.3</v>
      </c>
      <c r="D1444" s="116">
        <v>302.3</v>
      </c>
      <c r="E1444" s="116">
        <v>305</v>
      </c>
      <c r="F1444" s="116">
        <v>307.3</v>
      </c>
      <c r="G1444">
        <v>331333</v>
      </c>
      <c r="H1444" s="116"/>
      <c r="I1444" s="116"/>
      <c r="L1444" s="170">
        <v>45818</v>
      </c>
      <c r="M1444" s="116">
        <v>307.45</v>
      </c>
      <c r="N1444" s="116">
        <v>310</v>
      </c>
      <c r="O1444" s="116">
        <v>302.39999999999998</v>
      </c>
      <c r="P1444" s="116">
        <v>305</v>
      </c>
      <c r="Q1444" s="116">
        <v>307.45</v>
      </c>
      <c r="R1444">
        <v>3294695</v>
      </c>
    </row>
    <row r="1445" spans="1:18" x14ac:dyDescent="0.25">
      <c r="A1445" s="170">
        <v>45819</v>
      </c>
      <c r="B1445" s="116">
        <v>328.4</v>
      </c>
      <c r="C1445" s="116">
        <v>321.55</v>
      </c>
      <c r="D1445" s="116">
        <v>309.10000000000002</v>
      </c>
      <c r="E1445" s="116">
        <v>309.10000000000002</v>
      </c>
      <c r="F1445" s="116">
        <v>321.55</v>
      </c>
      <c r="G1445">
        <v>721167</v>
      </c>
      <c r="H1445" s="116"/>
      <c r="I1445" s="116"/>
      <c r="L1445" s="170">
        <v>45819</v>
      </c>
      <c r="M1445" s="116">
        <v>321.64999999999998</v>
      </c>
      <c r="N1445" s="116">
        <v>328.45</v>
      </c>
      <c r="O1445" s="116">
        <v>309.45</v>
      </c>
      <c r="P1445" s="116">
        <v>310</v>
      </c>
      <c r="Q1445" s="116">
        <v>321.64999999999998</v>
      </c>
      <c r="R1445">
        <v>10685058</v>
      </c>
    </row>
    <row r="1446" spans="1:18" x14ac:dyDescent="0.25">
      <c r="A1446" s="170">
        <v>45820</v>
      </c>
      <c r="B1446" s="116">
        <v>348.9</v>
      </c>
      <c r="C1446" s="116">
        <v>329.2</v>
      </c>
      <c r="D1446" s="116">
        <v>315.5</v>
      </c>
      <c r="E1446" s="116">
        <v>323.8</v>
      </c>
      <c r="F1446" s="116">
        <v>329.2</v>
      </c>
      <c r="G1446">
        <v>1396311</v>
      </c>
      <c r="H1446" s="116"/>
      <c r="I1446" s="116"/>
      <c r="L1446" s="170">
        <v>45820</v>
      </c>
      <c r="M1446" s="116">
        <v>329.1</v>
      </c>
      <c r="N1446" s="116">
        <v>348.9</v>
      </c>
      <c r="O1446" s="116">
        <v>315.45</v>
      </c>
      <c r="P1446" s="116">
        <v>324.5</v>
      </c>
      <c r="Q1446" s="116">
        <v>329.1</v>
      </c>
      <c r="R1446">
        <v>20660264</v>
      </c>
    </row>
    <row r="1447" spans="1:18" x14ac:dyDescent="0.25">
      <c r="A1447" s="170">
        <v>45821</v>
      </c>
      <c r="B1447" s="116">
        <v>329</v>
      </c>
      <c r="C1447" s="116">
        <v>318.39999999999998</v>
      </c>
      <c r="D1447" s="116">
        <v>316.60000000000002</v>
      </c>
      <c r="E1447" s="116">
        <v>320</v>
      </c>
      <c r="F1447" s="116">
        <v>318.39999999999998</v>
      </c>
      <c r="G1447">
        <v>617727</v>
      </c>
      <c r="H1447" s="116"/>
      <c r="I1447" s="116"/>
      <c r="L1447" s="170">
        <v>45821</v>
      </c>
      <c r="M1447" s="116">
        <v>318.85000000000002</v>
      </c>
      <c r="N1447" s="116">
        <v>329</v>
      </c>
      <c r="O1447" s="116">
        <v>317</v>
      </c>
      <c r="P1447" s="116">
        <v>320</v>
      </c>
      <c r="Q1447" s="116">
        <v>318.85000000000002</v>
      </c>
      <c r="R1447">
        <v>5098099</v>
      </c>
    </row>
    <row r="1448" spans="1:18" x14ac:dyDescent="0.25">
      <c r="A1448" s="170">
        <v>45824</v>
      </c>
      <c r="B1448" s="116">
        <v>324.55</v>
      </c>
      <c r="C1448" s="116">
        <v>321.95</v>
      </c>
      <c r="D1448" s="116">
        <v>308.5</v>
      </c>
      <c r="E1448" s="116">
        <v>320.05</v>
      </c>
      <c r="F1448" s="116">
        <v>321.95</v>
      </c>
      <c r="G1448">
        <v>296081</v>
      </c>
      <c r="H1448" s="116"/>
      <c r="I1448" s="116"/>
      <c r="L1448" s="170">
        <v>45824</v>
      </c>
      <c r="M1448" s="116">
        <v>322.2</v>
      </c>
      <c r="N1448" s="116">
        <v>324.7</v>
      </c>
      <c r="O1448" s="116">
        <v>308.60000000000002</v>
      </c>
      <c r="P1448" s="116">
        <v>321</v>
      </c>
      <c r="Q1448" s="116">
        <v>322.2</v>
      </c>
      <c r="R1448">
        <v>4004497</v>
      </c>
    </row>
    <row r="1449" spans="1:18" x14ac:dyDescent="0.25">
      <c r="A1449" s="170">
        <v>45825</v>
      </c>
      <c r="B1449" s="116">
        <v>338.2</v>
      </c>
      <c r="C1449" s="116">
        <v>324.2</v>
      </c>
      <c r="D1449" s="116">
        <v>318.7</v>
      </c>
      <c r="E1449" s="116">
        <v>323.35000000000002</v>
      </c>
      <c r="F1449" s="116">
        <v>324.2</v>
      </c>
      <c r="G1449">
        <v>379762</v>
      </c>
      <c r="H1449" s="116"/>
      <c r="I1449" s="116"/>
      <c r="L1449" s="170">
        <v>45825</v>
      </c>
      <c r="M1449" s="116">
        <v>324.14999999999998</v>
      </c>
      <c r="N1449" s="116">
        <v>338.25</v>
      </c>
      <c r="O1449" s="116">
        <v>318.85000000000002</v>
      </c>
      <c r="P1449" s="116">
        <v>323.05</v>
      </c>
      <c r="Q1449" s="116">
        <v>324.14999999999998</v>
      </c>
      <c r="R1449">
        <v>5815691</v>
      </c>
    </row>
    <row r="1450" spans="1:18" x14ac:dyDescent="0.25">
      <c r="A1450" s="170">
        <v>45826</v>
      </c>
      <c r="B1450" s="116">
        <v>328.65</v>
      </c>
      <c r="C1450" s="116">
        <v>322.75</v>
      </c>
      <c r="D1450" s="116">
        <v>320</v>
      </c>
      <c r="E1450" s="116">
        <v>324.85000000000002</v>
      </c>
      <c r="F1450" s="116">
        <v>322.75</v>
      </c>
      <c r="G1450">
        <v>238098</v>
      </c>
      <c r="H1450" s="116"/>
      <c r="I1450" s="116"/>
      <c r="L1450" s="170">
        <v>45826</v>
      </c>
      <c r="M1450" s="116">
        <v>322.3</v>
      </c>
      <c r="N1450" s="116">
        <v>328.7</v>
      </c>
      <c r="O1450" s="116">
        <v>320.05</v>
      </c>
      <c r="P1450" s="116">
        <v>323.55</v>
      </c>
      <c r="Q1450" s="116">
        <v>322.3</v>
      </c>
      <c r="R1450">
        <v>2450540</v>
      </c>
    </row>
    <row r="1451" spans="1:18" x14ac:dyDescent="0.25">
      <c r="A1451" s="170">
        <v>45827</v>
      </c>
      <c r="B1451" s="116">
        <v>324.60000000000002</v>
      </c>
      <c r="C1451" s="116">
        <v>311.10000000000002</v>
      </c>
      <c r="D1451" s="116">
        <v>306.45</v>
      </c>
      <c r="E1451" s="116">
        <v>321.05</v>
      </c>
      <c r="F1451" s="116">
        <v>311.10000000000002</v>
      </c>
      <c r="G1451">
        <v>390940</v>
      </c>
      <c r="H1451" s="116"/>
      <c r="I1451" s="116"/>
      <c r="L1451" s="170">
        <v>45827</v>
      </c>
      <c r="M1451" s="116">
        <v>311.3</v>
      </c>
      <c r="N1451" s="116">
        <v>324.75</v>
      </c>
      <c r="O1451" s="116">
        <v>306.64999999999998</v>
      </c>
      <c r="P1451" s="116">
        <v>320.7</v>
      </c>
      <c r="Q1451" s="116">
        <v>311.3</v>
      </c>
      <c r="R1451">
        <v>3001030</v>
      </c>
    </row>
    <row r="1452" spans="1:18" x14ac:dyDescent="0.25">
      <c r="A1452" s="170">
        <v>45828</v>
      </c>
      <c r="B1452" s="116">
        <v>316.39999999999998</v>
      </c>
      <c r="C1452" s="116">
        <v>314.2</v>
      </c>
      <c r="D1452" s="116">
        <v>308.5</v>
      </c>
      <c r="E1452" s="116">
        <v>310.45</v>
      </c>
      <c r="F1452" s="116">
        <v>314.2</v>
      </c>
      <c r="G1452">
        <v>230054</v>
      </c>
      <c r="H1452" s="116"/>
      <c r="I1452" s="116"/>
      <c r="L1452" s="170">
        <v>45828</v>
      </c>
      <c r="M1452" s="116">
        <v>314.55</v>
      </c>
      <c r="N1452" s="116">
        <v>316.8</v>
      </c>
      <c r="O1452" s="116">
        <v>308</v>
      </c>
      <c r="P1452" s="116">
        <v>311.3</v>
      </c>
      <c r="Q1452" s="116">
        <v>314.55</v>
      </c>
      <c r="R1452">
        <v>3938947</v>
      </c>
    </row>
    <row r="1453" spans="1:18" x14ac:dyDescent="0.25">
      <c r="A1453" s="170">
        <v>45831</v>
      </c>
      <c r="B1453" s="116">
        <v>313.7</v>
      </c>
      <c r="C1453" s="116">
        <v>306.55</v>
      </c>
      <c r="D1453" s="116">
        <v>306</v>
      </c>
      <c r="E1453" s="116">
        <v>310.95</v>
      </c>
      <c r="F1453" s="116">
        <v>306.55</v>
      </c>
      <c r="G1453">
        <v>277130</v>
      </c>
      <c r="H1453" s="116"/>
      <c r="I1453" s="116"/>
      <c r="L1453" s="170">
        <v>45831</v>
      </c>
      <c r="M1453" s="116">
        <v>306.7</v>
      </c>
      <c r="N1453" s="116">
        <v>313.75</v>
      </c>
      <c r="O1453" s="116">
        <v>305.85000000000002</v>
      </c>
      <c r="P1453" s="116">
        <v>310.05</v>
      </c>
      <c r="Q1453" s="116">
        <v>306.7</v>
      </c>
      <c r="R1453">
        <v>2477105</v>
      </c>
    </row>
    <row r="1454" spans="1:18" x14ac:dyDescent="0.25">
      <c r="A1454" s="170">
        <v>45832</v>
      </c>
      <c r="B1454" s="116">
        <v>315.39999999999998</v>
      </c>
      <c r="C1454" s="116">
        <v>307.35000000000002</v>
      </c>
      <c r="D1454" s="116">
        <v>306.3</v>
      </c>
      <c r="E1454" s="116">
        <v>311.55</v>
      </c>
      <c r="F1454" s="116">
        <v>307.35000000000002</v>
      </c>
      <c r="G1454">
        <v>121152</v>
      </c>
      <c r="H1454" s="116"/>
      <c r="I1454" s="116"/>
      <c r="L1454" s="170">
        <v>45832</v>
      </c>
      <c r="M1454" s="116">
        <v>307.35000000000002</v>
      </c>
      <c r="N1454" s="116">
        <v>315.39999999999998</v>
      </c>
      <c r="O1454" s="116">
        <v>306.14999999999998</v>
      </c>
      <c r="P1454" s="116">
        <v>311</v>
      </c>
      <c r="Q1454" s="116">
        <v>307.35000000000002</v>
      </c>
      <c r="R1454">
        <v>2912775</v>
      </c>
    </row>
    <row r="1455" spans="1:18" x14ac:dyDescent="0.25">
      <c r="A1455" s="170">
        <v>45833</v>
      </c>
      <c r="B1455" s="116">
        <v>319.64999999999998</v>
      </c>
      <c r="C1455" s="116">
        <v>316.60000000000002</v>
      </c>
      <c r="D1455" s="116">
        <v>309.89999999999998</v>
      </c>
      <c r="E1455" s="116">
        <v>310</v>
      </c>
      <c r="F1455" s="116">
        <v>316.60000000000002</v>
      </c>
      <c r="G1455">
        <v>196077</v>
      </c>
      <c r="H1455" s="116"/>
      <c r="I1455" s="116"/>
      <c r="L1455" s="170">
        <v>45833</v>
      </c>
      <c r="M1455" s="116">
        <v>317.10000000000002</v>
      </c>
      <c r="N1455" s="116">
        <v>319.60000000000002</v>
      </c>
      <c r="O1455" s="116">
        <v>309.8</v>
      </c>
      <c r="P1455" s="116">
        <v>310</v>
      </c>
      <c r="Q1455" s="116">
        <v>317.10000000000002</v>
      </c>
      <c r="R1455">
        <v>3165450</v>
      </c>
    </row>
    <row r="1456" spans="1:18" x14ac:dyDescent="0.25">
      <c r="A1456" s="170">
        <v>45834</v>
      </c>
      <c r="B1456" s="116">
        <v>320.45</v>
      </c>
      <c r="C1456" s="116">
        <v>312.89999999999998</v>
      </c>
      <c r="D1456" s="116">
        <v>312</v>
      </c>
      <c r="E1456" s="116">
        <v>318.60000000000002</v>
      </c>
      <c r="F1456" s="116">
        <v>312.89999999999998</v>
      </c>
      <c r="G1456">
        <v>98489</v>
      </c>
      <c r="H1456" s="116"/>
      <c r="I1456" s="116"/>
      <c r="L1456" s="170">
        <v>45834</v>
      </c>
      <c r="M1456" s="116">
        <v>312.89999999999998</v>
      </c>
      <c r="N1456" s="116">
        <v>321</v>
      </c>
      <c r="O1456" s="116">
        <v>311.8</v>
      </c>
      <c r="P1456" s="116">
        <v>318</v>
      </c>
      <c r="Q1456" s="116">
        <v>312.89999999999998</v>
      </c>
      <c r="R1456">
        <v>2354484</v>
      </c>
    </row>
    <row r="1457" spans="1:18" x14ac:dyDescent="0.25">
      <c r="A1457" s="170">
        <v>45835</v>
      </c>
      <c r="B1457" s="116">
        <v>324</v>
      </c>
      <c r="C1457" s="116">
        <v>318.8</v>
      </c>
      <c r="D1457" s="116">
        <v>313.5</v>
      </c>
      <c r="E1457" s="116">
        <v>315.95</v>
      </c>
      <c r="F1457" s="116">
        <v>318.8</v>
      </c>
      <c r="G1457">
        <v>204766</v>
      </c>
      <c r="H1457" s="116"/>
      <c r="I1457" s="116"/>
      <c r="L1457" s="170">
        <v>45835</v>
      </c>
      <c r="M1457" s="116">
        <v>318.85000000000002</v>
      </c>
      <c r="N1457" s="116">
        <v>324.2</v>
      </c>
      <c r="O1457" s="116">
        <v>313.25</v>
      </c>
      <c r="P1457" s="116">
        <v>315</v>
      </c>
      <c r="Q1457" s="116">
        <v>318.85000000000002</v>
      </c>
      <c r="R1457">
        <v>4637732</v>
      </c>
    </row>
    <row r="1458" spans="1:18" x14ac:dyDescent="0.25">
      <c r="A1458" s="170">
        <v>45838</v>
      </c>
      <c r="B1458" s="116">
        <v>326.3</v>
      </c>
      <c r="C1458" s="116">
        <v>319.8</v>
      </c>
      <c r="D1458" s="116">
        <v>318.14999999999998</v>
      </c>
      <c r="E1458" s="116">
        <v>320.45</v>
      </c>
      <c r="F1458" s="116">
        <v>319.8</v>
      </c>
      <c r="G1458">
        <v>177568</v>
      </c>
      <c r="H1458" s="116"/>
      <c r="I1458" s="116"/>
      <c r="L1458" s="170">
        <v>45838</v>
      </c>
      <c r="M1458" s="116">
        <v>319.89999999999998</v>
      </c>
      <c r="N1458" s="116">
        <v>326.2</v>
      </c>
      <c r="O1458" s="116">
        <v>318.05</v>
      </c>
      <c r="P1458" s="116">
        <v>320</v>
      </c>
      <c r="Q1458" s="116">
        <v>319.89999999999998</v>
      </c>
      <c r="R1458">
        <v>2964758</v>
      </c>
    </row>
    <row r="1459" spans="1:18" x14ac:dyDescent="0.25">
      <c r="A1459" s="170">
        <v>45839</v>
      </c>
      <c r="B1459" s="116">
        <v>322.10000000000002</v>
      </c>
      <c r="C1459" s="116">
        <v>317.64999999999998</v>
      </c>
      <c r="D1459" s="116">
        <v>314.45</v>
      </c>
      <c r="E1459" s="116">
        <v>320.10000000000002</v>
      </c>
      <c r="F1459" s="116">
        <v>317.64999999999998</v>
      </c>
      <c r="G1459">
        <v>69174</v>
      </c>
      <c r="H1459" s="116"/>
      <c r="I1459" s="116"/>
      <c r="L1459" s="170">
        <v>45839</v>
      </c>
      <c r="M1459" s="116">
        <v>317.55</v>
      </c>
      <c r="N1459" s="116">
        <v>322.35000000000002</v>
      </c>
      <c r="O1459" s="116">
        <v>314.05</v>
      </c>
      <c r="P1459" s="116">
        <v>321</v>
      </c>
      <c r="Q1459" s="116">
        <v>317.55</v>
      </c>
      <c r="R1459">
        <v>1597328</v>
      </c>
    </row>
    <row r="1460" spans="1:18" x14ac:dyDescent="0.25">
      <c r="A1460" s="170">
        <v>45840</v>
      </c>
      <c r="B1460" s="116">
        <v>319.25</v>
      </c>
      <c r="C1460" s="116">
        <v>311.95</v>
      </c>
      <c r="D1460" s="116">
        <v>310.85000000000002</v>
      </c>
      <c r="E1460" s="116">
        <v>319.25</v>
      </c>
      <c r="F1460" s="116">
        <v>311.95</v>
      </c>
      <c r="G1460">
        <v>248616</v>
      </c>
      <c r="H1460" s="116"/>
      <c r="I1460" s="116"/>
      <c r="L1460" s="170">
        <v>45840</v>
      </c>
      <c r="M1460" s="116">
        <v>311.89999999999998</v>
      </c>
      <c r="N1460" s="116">
        <v>319</v>
      </c>
      <c r="O1460" s="116">
        <v>310.60000000000002</v>
      </c>
      <c r="P1460" s="116">
        <v>318.45</v>
      </c>
      <c r="Q1460" s="116">
        <v>311.89999999999998</v>
      </c>
      <c r="R1460">
        <v>1408079</v>
      </c>
    </row>
    <row r="1461" spans="1:18" x14ac:dyDescent="0.25">
      <c r="A1461" s="170">
        <v>45841</v>
      </c>
      <c r="B1461" s="116">
        <v>317.95</v>
      </c>
      <c r="C1461" s="116">
        <v>311.25</v>
      </c>
      <c r="D1461" s="116">
        <v>310.2</v>
      </c>
      <c r="E1461" s="116">
        <v>312.60000000000002</v>
      </c>
      <c r="F1461" s="116">
        <v>311.25</v>
      </c>
      <c r="G1461">
        <v>188029</v>
      </c>
      <c r="H1461" s="116"/>
      <c r="I1461" s="116"/>
      <c r="L1461" s="170">
        <v>45841</v>
      </c>
      <c r="M1461" s="116">
        <v>311</v>
      </c>
      <c r="N1461" s="116">
        <v>318.05</v>
      </c>
      <c r="O1461" s="116">
        <v>310.2</v>
      </c>
      <c r="P1461" s="116">
        <v>312.95</v>
      </c>
      <c r="Q1461" s="116">
        <v>311</v>
      </c>
      <c r="R1461">
        <v>1907077</v>
      </c>
    </row>
    <row r="1462" spans="1:18" x14ac:dyDescent="0.25">
      <c r="A1462" s="170">
        <v>45842</v>
      </c>
      <c r="B1462" s="116">
        <v>313.95</v>
      </c>
      <c r="C1462" s="116">
        <v>309.7</v>
      </c>
      <c r="D1462" s="116">
        <v>307.3</v>
      </c>
      <c r="E1462" s="116">
        <v>312.14999999999998</v>
      </c>
      <c r="F1462" s="116">
        <v>309.7</v>
      </c>
      <c r="G1462">
        <v>183781</v>
      </c>
      <c r="H1462" s="116"/>
      <c r="I1462" s="116"/>
      <c r="L1462" s="170">
        <v>45842</v>
      </c>
      <c r="M1462" s="116">
        <v>309.8</v>
      </c>
      <c r="N1462" s="116">
        <v>314</v>
      </c>
      <c r="O1462" s="116">
        <v>307.39999999999998</v>
      </c>
      <c r="P1462" s="116">
        <v>311.7</v>
      </c>
      <c r="Q1462" s="116">
        <v>309.8</v>
      </c>
      <c r="R1462">
        <v>1360712</v>
      </c>
    </row>
    <row r="1463" spans="1:18" x14ac:dyDescent="0.25">
      <c r="A1463" s="170">
        <v>45845</v>
      </c>
      <c r="B1463" s="116">
        <v>312.35000000000002</v>
      </c>
      <c r="C1463" s="116">
        <v>308.25</v>
      </c>
      <c r="D1463" s="116">
        <v>307.7</v>
      </c>
      <c r="E1463" s="116">
        <v>309.64999999999998</v>
      </c>
      <c r="F1463" s="116">
        <v>308.25</v>
      </c>
      <c r="G1463">
        <v>69878</v>
      </c>
      <c r="H1463" s="116"/>
      <c r="I1463" s="116"/>
      <c r="L1463" s="170">
        <v>45845</v>
      </c>
      <c r="M1463" s="116">
        <v>308.45</v>
      </c>
      <c r="N1463" s="116">
        <v>312.75</v>
      </c>
      <c r="O1463" s="116">
        <v>307.60000000000002</v>
      </c>
      <c r="P1463" s="116">
        <v>308.14999999999998</v>
      </c>
      <c r="Q1463" s="116">
        <v>308.45</v>
      </c>
      <c r="R1463">
        <v>1104541</v>
      </c>
    </row>
    <row r="1464" spans="1:18" x14ac:dyDescent="0.25">
      <c r="A1464" s="170">
        <v>45846</v>
      </c>
      <c r="B1464" s="116">
        <v>312.89999999999998</v>
      </c>
      <c r="C1464" s="116">
        <v>305.45</v>
      </c>
      <c r="D1464" s="116">
        <v>302.55</v>
      </c>
      <c r="E1464" s="116">
        <v>306.75</v>
      </c>
      <c r="F1464" s="116">
        <v>305.45</v>
      </c>
      <c r="G1464">
        <v>99122</v>
      </c>
      <c r="H1464" s="116"/>
      <c r="I1464" s="116"/>
      <c r="L1464" s="170">
        <v>45846</v>
      </c>
      <c r="M1464" s="116">
        <v>305.35000000000002</v>
      </c>
      <c r="N1464" s="116">
        <v>312.85000000000002</v>
      </c>
      <c r="O1464" s="116">
        <v>302.5</v>
      </c>
      <c r="P1464" s="116">
        <v>308.45</v>
      </c>
      <c r="Q1464" s="116">
        <v>305.35000000000002</v>
      </c>
      <c r="R1464">
        <v>1828784</v>
      </c>
    </row>
    <row r="1465" spans="1:18" x14ac:dyDescent="0.25">
      <c r="A1465" s="170">
        <v>45847</v>
      </c>
      <c r="B1465" s="116">
        <v>333</v>
      </c>
      <c r="C1465" s="116">
        <v>331.4</v>
      </c>
      <c r="D1465" s="116">
        <v>306.75</v>
      </c>
      <c r="E1465" s="116">
        <v>306.75</v>
      </c>
      <c r="F1465" s="116">
        <v>331.4</v>
      </c>
      <c r="G1465">
        <v>1399780</v>
      </c>
      <c r="H1465" s="116"/>
      <c r="I1465" s="116"/>
      <c r="L1465" s="170">
        <v>45847</v>
      </c>
      <c r="M1465" s="116">
        <v>331.45</v>
      </c>
      <c r="N1465" s="116">
        <v>333</v>
      </c>
      <c r="O1465" s="116">
        <v>307.60000000000002</v>
      </c>
      <c r="P1465" s="116">
        <v>307.7</v>
      </c>
      <c r="Q1465" s="116">
        <v>331.45</v>
      </c>
      <c r="R1465">
        <v>15395830</v>
      </c>
    </row>
    <row r="1466" spans="1:18" x14ac:dyDescent="0.25">
      <c r="A1466" s="170">
        <v>45848</v>
      </c>
      <c r="B1466" s="116">
        <v>340.7</v>
      </c>
      <c r="C1466" s="116">
        <v>336.65</v>
      </c>
      <c r="D1466" s="116">
        <v>331.95</v>
      </c>
      <c r="E1466" s="116">
        <v>333.4</v>
      </c>
      <c r="F1466" s="116">
        <v>336.65</v>
      </c>
      <c r="G1466">
        <v>539340</v>
      </c>
      <c r="H1466" s="116"/>
      <c r="I1466" s="116"/>
      <c r="L1466" s="170">
        <v>45848</v>
      </c>
      <c r="M1466" s="116">
        <v>336.55</v>
      </c>
      <c r="N1466" s="116">
        <v>340.8</v>
      </c>
      <c r="O1466" s="116">
        <v>331.9</v>
      </c>
      <c r="P1466" s="116">
        <v>333.2</v>
      </c>
      <c r="Q1466" s="116">
        <v>336.55</v>
      </c>
      <c r="R1466">
        <v>7306408</v>
      </c>
    </row>
    <row r="1467" spans="1:18" x14ac:dyDescent="0.25">
      <c r="A1467" s="170">
        <v>45849</v>
      </c>
      <c r="B1467" s="116">
        <v>337.95</v>
      </c>
      <c r="C1467" s="116">
        <v>329.65</v>
      </c>
      <c r="D1467" s="116">
        <v>326.45</v>
      </c>
      <c r="E1467" s="116">
        <v>337.2</v>
      </c>
      <c r="F1467" s="116">
        <v>329.65</v>
      </c>
      <c r="G1467">
        <v>339856</v>
      </c>
      <c r="H1467" s="116"/>
      <c r="I1467" s="116"/>
      <c r="L1467" s="170">
        <v>45849</v>
      </c>
      <c r="M1467" s="116">
        <v>329.65</v>
      </c>
      <c r="N1467" s="116">
        <v>338.2</v>
      </c>
      <c r="O1467" s="116">
        <v>326.64999999999998</v>
      </c>
      <c r="P1467" s="116">
        <v>338.2</v>
      </c>
      <c r="Q1467" s="116">
        <v>329.65</v>
      </c>
      <c r="R1467">
        <v>3408781</v>
      </c>
    </row>
    <row r="1468" spans="1:18" x14ac:dyDescent="0.25">
      <c r="A1468" s="170">
        <v>45852</v>
      </c>
      <c r="B1468" s="116">
        <v>338</v>
      </c>
      <c r="C1468" s="116">
        <v>334.7</v>
      </c>
      <c r="D1468" s="116">
        <v>326.8</v>
      </c>
      <c r="E1468" s="116">
        <v>331.4</v>
      </c>
      <c r="F1468" s="116">
        <v>334.7</v>
      </c>
      <c r="G1468">
        <v>347567</v>
      </c>
      <c r="H1468" s="116"/>
      <c r="I1468" s="116"/>
      <c r="L1468" s="170">
        <v>45852</v>
      </c>
      <c r="M1468" s="116">
        <v>334.55</v>
      </c>
      <c r="N1468" s="116">
        <v>338</v>
      </c>
      <c r="O1468" s="116">
        <v>326.85000000000002</v>
      </c>
      <c r="P1468" s="116">
        <v>331</v>
      </c>
      <c r="Q1468" s="116">
        <v>334.55</v>
      </c>
      <c r="R1468">
        <v>3045177</v>
      </c>
    </row>
    <row r="1469" spans="1:18" x14ac:dyDescent="0.25">
      <c r="A1469" s="170">
        <v>45853</v>
      </c>
      <c r="B1469" s="116">
        <v>341</v>
      </c>
      <c r="C1469" s="116">
        <v>333.05</v>
      </c>
      <c r="D1469" s="116">
        <v>330.4</v>
      </c>
      <c r="E1469" s="116">
        <v>335.15</v>
      </c>
      <c r="F1469" s="116">
        <v>333.05</v>
      </c>
      <c r="G1469">
        <v>300995</v>
      </c>
      <c r="H1469" s="116"/>
      <c r="I1469" s="116"/>
      <c r="L1469" s="170">
        <v>45853</v>
      </c>
      <c r="M1469" s="116">
        <v>333.1</v>
      </c>
      <c r="N1469" s="116">
        <v>341</v>
      </c>
      <c r="O1469" s="116">
        <v>330.45</v>
      </c>
      <c r="P1469" s="116">
        <v>336.1</v>
      </c>
      <c r="Q1469" s="116">
        <v>333.1</v>
      </c>
      <c r="R1469">
        <v>2556779</v>
      </c>
    </row>
    <row r="1470" spans="1:18" x14ac:dyDescent="0.25">
      <c r="A1470" s="170">
        <v>45854</v>
      </c>
      <c r="B1470" s="116">
        <v>334.55</v>
      </c>
      <c r="C1470" s="116">
        <v>329</v>
      </c>
      <c r="D1470" s="116">
        <v>326.64999999999998</v>
      </c>
      <c r="E1470" s="116">
        <v>333.05</v>
      </c>
      <c r="F1470" s="116">
        <v>329</v>
      </c>
      <c r="G1470">
        <v>184681</v>
      </c>
      <c r="H1470" s="116"/>
      <c r="I1470" s="116"/>
      <c r="L1470" s="170">
        <v>45854</v>
      </c>
      <c r="M1470" s="116">
        <v>329</v>
      </c>
      <c r="N1470" s="116">
        <v>334.75</v>
      </c>
      <c r="O1470" s="116">
        <v>326.55</v>
      </c>
      <c r="P1470" s="116">
        <v>333.3</v>
      </c>
      <c r="Q1470" s="116">
        <v>329</v>
      </c>
      <c r="R1470">
        <v>2501441</v>
      </c>
    </row>
    <row r="1471" spans="1:18" x14ac:dyDescent="0.25">
      <c r="A1471" s="170">
        <v>45855</v>
      </c>
      <c r="B1471" s="116">
        <v>340.6</v>
      </c>
      <c r="C1471" s="116">
        <v>335.55</v>
      </c>
      <c r="D1471" s="116">
        <v>325.64999999999998</v>
      </c>
      <c r="E1471" s="116">
        <v>332.05</v>
      </c>
      <c r="F1471" s="116">
        <v>335.55</v>
      </c>
      <c r="G1471">
        <v>710362</v>
      </c>
      <c r="H1471" s="116"/>
      <c r="I1471" s="116"/>
      <c r="L1471" s="170">
        <v>45855</v>
      </c>
      <c r="M1471" s="116">
        <v>335.1</v>
      </c>
      <c r="N1471" s="116">
        <v>340.9</v>
      </c>
      <c r="O1471" s="116">
        <v>325.25</v>
      </c>
      <c r="P1471" s="116">
        <v>333</v>
      </c>
      <c r="Q1471" s="116">
        <v>335.1</v>
      </c>
      <c r="R1471">
        <v>10902682</v>
      </c>
    </row>
    <row r="1472" spans="1:18" x14ac:dyDescent="0.25">
      <c r="A1472" s="170">
        <v>45856</v>
      </c>
      <c r="B1472" s="116">
        <v>334.8</v>
      </c>
      <c r="C1472" s="116">
        <v>320.64999999999998</v>
      </c>
      <c r="D1472" s="116">
        <v>318.3</v>
      </c>
      <c r="E1472" s="116">
        <v>327</v>
      </c>
      <c r="F1472" s="116">
        <v>320.64999999999998</v>
      </c>
      <c r="G1472">
        <v>1070006</v>
      </c>
      <c r="H1472" s="116"/>
      <c r="I1472" s="116"/>
      <c r="L1472" s="170">
        <v>45856</v>
      </c>
      <c r="M1472" s="116">
        <v>320.45</v>
      </c>
      <c r="N1472" s="116">
        <v>334.8</v>
      </c>
      <c r="O1472" s="116">
        <v>318.3</v>
      </c>
      <c r="P1472" s="116">
        <v>325</v>
      </c>
      <c r="Q1472" s="116">
        <v>320.45</v>
      </c>
      <c r="R1472">
        <v>9248043</v>
      </c>
    </row>
    <row r="1473" spans="1:18" x14ac:dyDescent="0.25">
      <c r="A1473" s="170">
        <v>45859</v>
      </c>
      <c r="B1473" s="116">
        <v>321.64999999999998</v>
      </c>
      <c r="C1473" s="116">
        <v>308.60000000000002</v>
      </c>
      <c r="D1473" s="116">
        <v>306.39999999999998</v>
      </c>
      <c r="E1473" s="116">
        <v>320.64999999999998</v>
      </c>
      <c r="F1473" s="116">
        <v>308.60000000000002</v>
      </c>
      <c r="G1473">
        <v>539619</v>
      </c>
      <c r="H1473" s="116"/>
      <c r="I1473" s="116"/>
      <c r="L1473" s="170">
        <v>45859</v>
      </c>
      <c r="M1473" s="116">
        <v>308.45</v>
      </c>
      <c r="N1473" s="116">
        <v>321.35000000000002</v>
      </c>
      <c r="O1473" s="116">
        <v>306.25</v>
      </c>
      <c r="P1473" s="116">
        <v>320.45</v>
      </c>
      <c r="Q1473" s="116">
        <v>308.45</v>
      </c>
      <c r="R1473">
        <v>3824036</v>
      </c>
    </row>
    <row r="1474" spans="1:18" x14ac:dyDescent="0.25">
      <c r="A1474" s="170">
        <v>45860</v>
      </c>
      <c r="B1474" s="116">
        <v>314.14999999999998</v>
      </c>
      <c r="C1474" s="116">
        <v>309.05</v>
      </c>
      <c r="D1474" s="116">
        <v>308.14999999999998</v>
      </c>
      <c r="E1474" s="116">
        <v>308.5</v>
      </c>
      <c r="F1474" s="116">
        <v>309.05</v>
      </c>
      <c r="G1474">
        <v>335697</v>
      </c>
      <c r="H1474" s="116"/>
      <c r="I1474" s="116"/>
      <c r="L1474" s="170">
        <v>45860</v>
      </c>
      <c r="M1474" s="116">
        <v>308.85000000000002</v>
      </c>
      <c r="N1474" s="116">
        <v>314.5</v>
      </c>
      <c r="O1474" s="116">
        <v>308.10000000000002</v>
      </c>
      <c r="P1474" s="116">
        <v>308.95</v>
      </c>
      <c r="Q1474" s="116">
        <v>308.85000000000002</v>
      </c>
      <c r="R1474">
        <v>2148040</v>
      </c>
    </row>
    <row r="1475" spans="1:18" x14ac:dyDescent="0.25">
      <c r="A1475" s="170">
        <v>45861</v>
      </c>
      <c r="B1475" s="116">
        <v>310.8</v>
      </c>
      <c r="C1475" s="116">
        <v>304.85000000000002</v>
      </c>
      <c r="D1475" s="116">
        <v>303.5</v>
      </c>
      <c r="E1475" s="116">
        <v>309.5</v>
      </c>
      <c r="F1475" s="116">
        <v>304.85000000000002</v>
      </c>
      <c r="G1475">
        <v>336684</v>
      </c>
      <c r="H1475" s="116"/>
      <c r="I1475" s="116"/>
      <c r="L1475" s="170">
        <v>45861</v>
      </c>
      <c r="M1475" s="116">
        <v>304.95</v>
      </c>
      <c r="N1475" s="116">
        <v>310.60000000000002</v>
      </c>
      <c r="O1475" s="116">
        <v>303.5</v>
      </c>
      <c r="P1475" s="116">
        <v>310</v>
      </c>
      <c r="Q1475" s="116">
        <v>304.95</v>
      </c>
      <c r="R1475">
        <v>1953352</v>
      </c>
    </row>
    <row r="1476" spans="1:18" x14ac:dyDescent="0.25">
      <c r="A1476" s="170">
        <v>45862</v>
      </c>
      <c r="B1476" s="116">
        <v>308.05</v>
      </c>
      <c r="C1476" s="116">
        <v>299.55</v>
      </c>
      <c r="D1476" s="116">
        <v>298</v>
      </c>
      <c r="E1476" s="116">
        <v>305.35000000000002</v>
      </c>
      <c r="F1476" s="116">
        <v>299.55</v>
      </c>
      <c r="G1476">
        <v>242272</v>
      </c>
      <c r="H1476" s="116"/>
      <c r="I1476" s="116"/>
      <c r="L1476" s="170">
        <v>45862</v>
      </c>
      <c r="M1476" s="116">
        <v>299.5</v>
      </c>
      <c r="N1476" s="116">
        <v>308.2</v>
      </c>
      <c r="O1476" s="116">
        <v>297.8</v>
      </c>
      <c r="P1476" s="116">
        <v>306.2</v>
      </c>
      <c r="Q1476" s="116">
        <v>299.5</v>
      </c>
      <c r="R1476">
        <v>2414071</v>
      </c>
    </row>
    <row r="1477" spans="1:18" x14ac:dyDescent="0.25">
      <c r="A1477" s="170">
        <v>45863</v>
      </c>
      <c r="B1477" s="116">
        <v>299.39999999999998</v>
      </c>
      <c r="C1477" s="116">
        <v>289.5</v>
      </c>
      <c r="D1477" s="116">
        <v>286.5</v>
      </c>
      <c r="E1477" s="116">
        <v>299.39999999999998</v>
      </c>
      <c r="F1477" s="116">
        <v>289.5</v>
      </c>
      <c r="G1477">
        <v>456878</v>
      </c>
      <c r="H1477" s="116"/>
      <c r="I1477" s="116"/>
      <c r="L1477" s="170">
        <v>45863</v>
      </c>
      <c r="M1477" s="116">
        <v>289.35000000000002</v>
      </c>
      <c r="N1477" s="116">
        <v>299</v>
      </c>
      <c r="O1477" s="116">
        <v>286.39999999999998</v>
      </c>
      <c r="P1477" s="116">
        <v>299</v>
      </c>
      <c r="Q1477" s="116">
        <v>289.35000000000002</v>
      </c>
      <c r="R1477">
        <v>2183674</v>
      </c>
    </row>
    <row r="1478" spans="1:18" x14ac:dyDescent="0.25">
      <c r="A1478" s="170">
        <v>45866</v>
      </c>
      <c r="B1478" s="116">
        <v>294.8</v>
      </c>
      <c r="C1478" s="116">
        <v>285.3</v>
      </c>
      <c r="D1478" s="116">
        <v>282.60000000000002</v>
      </c>
      <c r="E1478" s="116">
        <v>289</v>
      </c>
      <c r="F1478" s="116">
        <v>285.3</v>
      </c>
      <c r="G1478">
        <v>334804</v>
      </c>
      <c r="H1478" s="116"/>
      <c r="I1478" s="116"/>
      <c r="L1478" s="170">
        <v>45866</v>
      </c>
      <c r="M1478" s="116">
        <v>285</v>
      </c>
      <c r="N1478" s="116">
        <v>294.85000000000002</v>
      </c>
      <c r="O1478" s="116">
        <v>282.60000000000002</v>
      </c>
      <c r="P1478" s="116">
        <v>289.14999999999998</v>
      </c>
      <c r="Q1478" s="116">
        <v>285</v>
      </c>
      <c r="R1478">
        <v>1996005</v>
      </c>
    </row>
    <row r="1479" spans="1:18" x14ac:dyDescent="0.25">
      <c r="A1479" s="170">
        <v>45867</v>
      </c>
      <c r="B1479" s="116">
        <v>291.7</v>
      </c>
      <c r="C1479" s="116">
        <v>290.25</v>
      </c>
      <c r="D1479" s="116">
        <v>279.35000000000002</v>
      </c>
      <c r="E1479" s="116">
        <v>283.3</v>
      </c>
      <c r="F1479" s="116">
        <v>290.25</v>
      </c>
      <c r="G1479">
        <v>302317</v>
      </c>
      <c r="H1479" s="116"/>
      <c r="I1479" s="116"/>
      <c r="L1479" s="170">
        <v>45867</v>
      </c>
      <c r="M1479" s="116">
        <v>290.39999999999998</v>
      </c>
      <c r="N1479" s="116">
        <v>291.5</v>
      </c>
      <c r="O1479" s="116">
        <v>279.14999999999998</v>
      </c>
      <c r="P1479" s="116">
        <v>284.89999999999998</v>
      </c>
      <c r="Q1479" s="116">
        <v>290.39999999999998</v>
      </c>
      <c r="R1479">
        <v>2043286</v>
      </c>
    </row>
    <row r="1480" spans="1:18" x14ac:dyDescent="0.25">
      <c r="A1480" s="170">
        <v>45868</v>
      </c>
      <c r="B1480" s="116">
        <v>293.7</v>
      </c>
      <c r="C1480" s="116">
        <v>287.5</v>
      </c>
      <c r="D1480" s="116">
        <v>286.2</v>
      </c>
      <c r="E1480" s="116">
        <v>291.55</v>
      </c>
      <c r="F1480" s="116">
        <v>287.5</v>
      </c>
      <c r="G1480">
        <v>112251</v>
      </c>
      <c r="H1480" s="116"/>
      <c r="I1480" s="116"/>
      <c r="L1480" s="170">
        <v>45868</v>
      </c>
      <c r="M1480" s="116">
        <v>286.8</v>
      </c>
      <c r="N1480" s="116">
        <v>294</v>
      </c>
      <c r="O1480" s="116">
        <v>286</v>
      </c>
      <c r="P1480" s="116">
        <v>292</v>
      </c>
      <c r="Q1480" s="116">
        <v>286.8</v>
      </c>
      <c r="R1480">
        <v>1038541</v>
      </c>
    </row>
    <row r="1481" spans="1:18" x14ac:dyDescent="0.25">
      <c r="A1481" s="170">
        <v>45869</v>
      </c>
      <c r="B1481" s="116">
        <v>285.75</v>
      </c>
      <c r="C1481" s="116">
        <v>281.55</v>
      </c>
      <c r="D1481" s="116">
        <v>280.05</v>
      </c>
      <c r="E1481" s="116">
        <v>280.05</v>
      </c>
      <c r="F1481" s="116">
        <v>281.55</v>
      </c>
      <c r="G1481">
        <v>225032</v>
      </c>
      <c r="H1481" s="116"/>
      <c r="I1481" s="116"/>
      <c r="L1481" s="170">
        <v>45869</v>
      </c>
      <c r="M1481" s="116">
        <v>281.14999999999998</v>
      </c>
      <c r="N1481" s="116">
        <v>285.89999999999998</v>
      </c>
      <c r="O1481" s="116">
        <v>280</v>
      </c>
      <c r="P1481" s="116">
        <v>280.5</v>
      </c>
      <c r="Q1481" s="116">
        <v>281.14999999999998</v>
      </c>
      <c r="R1481">
        <v>1138787</v>
      </c>
    </row>
    <row r="1482" spans="1:18" x14ac:dyDescent="0.25">
      <c r="A1482" s="170">
        <v>45870</v>
      </c>
      <c r="B1482" s="116">
        <v>283.95</v>
      </c>
      <c r="C1482" s="116">
        <v>269.45</v>
      </c>
      <c r="D1482" s="116">
        <v>268</v>
      </c>
      <c r="E1482" s="116">
        <v>280.14999999999998</v>
      </c>
      <c r="F1482" s="116">
        <v>269.45</v>
      </c>
      <c r="G1482">
        <v>376853</v>
      </c>
      <c r="H1482" s="116"/>
      <c r="I1482" s="116"/>
      <c r="L1482" s="170">
        <v>45870</v>
      </c>
      <c r="M1482" s="116">
        <v>269.45</v>
      </c>
      <c r="N1482" s="116">
        <v>283.8</v>
      </c>
      <c r="O1482" s="116">
        <v>267.75</v>
      </c>
      <c r="P1482" s="116">
        <v>282</v>
      </c>
      <c r="Q1482" s="116">
        <v>269.45</v>
      </c>
      <c r="R1482">
        <v>2358734</v>
      </c>
    </row>
    <row r="1483" spans="1:18" x14ac:dyDescent="0.25">
      <c r="A1483" s="170">
        <v>45873</v>
      </c>
      <c r="B1483" s="116">
        <v>276.89999999999998</v>
      </c>
      <c r="C1483" s="116">
        <v>275.45</v>
      </c>
      <c r="D1483" s="116">
        <v>266.7</v>
      </c>
      <c r="E1483" s="116">
        <v>268.39999999999998</v>
      </c>
      <c r="F1483" s="116">
        <v>275.45</v>
      </c>
      <c r="G1483">
        <v>225615</v>
      </c>
      <c r="H1483" s="116"/>
      <c r="I1483" s="116"/>
      <c r="L1483" s="170">
        <v>45873</v>
      </c>
      <c r="M1483" s="116">
        <v>275.75</v>
      </c>
      <c r="N1483" s="116">
        <v>276.8</v>
      </c>
      <c r="O1483" s="116">
        <v>266.7</v>
      </c>
      <c r="P1483" s="116">
        <v>269.5</v>
      </c>
      <c r="Q1483" s="116">
        <v>275.75</v>
      </c>
      <c r="R1483">
        <v>1297519</v>
      </c>
    </row>
    <row r="1484" spans="1:18" x14ac:dyDescent="0.25">
      <c r="A1484" s="170">
        <v>45874</v>
      </c>
      <c r="B1484" s="116">
        <v>278.75</v>
      </c>
      <c r="C1484" s="116">
        <v>272.75</v>
      </c>
      <c r="D1484" s="116">
        <v>271.14999999999998</v>
      </c>
      <c r="E1484" s="116">
        <v>277</v>
      </c>
      <c r="F1484" s="116">
        <v>272.75</v>
      </c>
      <c r="G1484">
        <v>76038</v>
      </c>
      <c r="H1484" s="116"/>
      <c r="I1484" s="116"/>
      <c r="L1484" s="170">
        <v>45874</v>
      </c>
      <c r="M1484" s="116">
        <v>272.89999999999998</v>
      </c>
      <c r="N1484" s="116">
        <v>278.85000000000002</v>
      </c>
      <c r="O1484" s="116">
        <v>271.2</v>
      </c>
      <c r="P1484" s="116">
        <v>276.64999999999998</v>
      </c>
      <c r="Q1484" s="116">
        <v>272.89999999999998</v>
      </c>
      <c r="R1484">
        <v>1041941</v>
      </c>
    </row>
    <row r="1485" spans="1:18" x14ac:dyDescent="0.25">
      <c r="A1485" s="170">
        <v>45875</v>
      </c>
      <c r="B1485" s="116">
        <v>274.35000000000002</v>
      </c>
      <c r="C1485" s="116">
        <v>265.39999999999998</v>
      </c>
      <c r="D1485" s="116">
        <v>264.5</v>
      </c>
      <c r="E1485" s="116">
        <v>274.35000000000002</v>
      </c>
      <c r="F1485" s="116">
        <v>265.39999999999998</v>
      </c>
      <c r="G1485">
        <v>98882</v>
      </c>
      <c r="H1485" s="116"/>
      <c r="I1485" s="116"/>
      <c r="L1485" s="170">
        <v>45875</v>
      </c>
      <c r="M1485" s="116">
        <v>265.5</v>
      </c>
      <c r="N1485" s="116">
        <v>274</v>
      </c>
      <c r="O1485" s="116">
        <v>264.39999999999998</v>
      </c>
      <c r="P1485" s="116">
        <v>273.35000000000002</v>
      </c>
      <c r="Q1485" s="116">
        <v>265.5</v>
      </c>
      <c r="R1485">
        <v>1405860</v>
      </c>
    </row>
    <row r="1486" spans="1:18" x14ac:dyDescent="0.25">
      <c r="A1486" s="170">
        <v>45876</v>
      </c>
      <c r="B1486" s="116">
        <v>266.2</v>
      </c>
      <c r="C1486" s="116">
        <v>265.2</v>
      </c>
      <c r="D1486" s="116">
        <v>256.05</v>
      </c>
      <c r="E1486" s="116">
        <v>264.05</v>
      </c>
      <c r="F1486" s="116">
        <v>265.2</v>
      </c>
      <c r="G1486">
        <v>162594</v>
      </c>
      <c r="H1486" s="116"/>
      <c r="I1486" s="116"/>
      <c r="L1486" s="170">
        <v>45876</v>
      </c>
      <c r="M1486" s="116">
        <v>265.14999999999998</v>
      </c>
      <c r="N1486" s="116">
        <v>266.3</v>
      </c>
      <c r="O1486" s="116">
        <v>256.25</v>
      </c>
      <c r="P1486" s="116">
        <v>264.5</v>
      </c>
      <c r="Q1486" s="116">
        <v>265.14999999999998</v>
      </c>
      <c r="R1486">
        <v>2279204</v>
      </c>
    </row>
    <row r="1487" spans="1:18" x14ac:dyDescent="0.25">
      <c r="A1487" s="170">
        <v>45877</v>
      </c>
      <c r="B1487" s="116">
        <v>280.95</v>
      </c>
      <c r="C1487" s="116">
        <v>274.10000000000002</v>
      </c>
      <c r="D1487" s="116">
        <v>263.2</v>
      </c>
      <c r="E1487" s="116">
        <v>265.2</v>
      </c>
      <c r="F1487" s="116">
        <v>274.10000000000002</v>
      </c>
      <c r="G1487">
        <v>477935</v>
      </c>
      <c r="H1487" s="116"/>
      <c r="I1487" s="116"/>
      <c r="L1487" s="170">
        <v>45877</v>
      </c>
      <c r="M1487" s="116">
        <v>274.25</v>
      </c>
      <c r="N1487" s="116">
        <v>280.8</v>
      </c>
      <c r="O1487" s="116">
        <v>263.39999999999998</v>
      </c>
      <c r="P1487" s="116">
        <v>265.14999999999998</v>
      </c>
      <c r="Q1487" s="116">
        <v>274.25</v>
      </c>
      <c r="R1487">
        <v>5331664</v>
      </c>
    </row>
    <row r="1488" spans="1:18" x14ac:dyDescent="0.25">
      <c r="A1488" s="170">
        <v>45880</v>
      </c>
      <c r="B1488" s="116">
        <v>275.7</v>
      </c>
      <c r="C1488" s="116">
        <v>274.2</v>
      </c>
      <c r="D1488" s="116">
        <v>265</v>
      </c>
      <c r="E1488" s="116">
        <v>274.75</v>
      </c>
      <c r="F1488" s="116">
        <v>274.2</v>
      </c>
      <c r="G1488">
        <v>159704</v>
      </c>
      <c r="H1488" s="116"/>
      <c r="I1488" s="116"/>
      <c r="L1488" s="170">
        <v>45880</v>
      </c>
      <c r="M1488" s="116">
        <v>274.55</v>
      </c>
      <c r="N1488" s="116">
        <v>275.8</v>
      </c>
      <c r="O1488" s="116">
        <v>264.75</v>
      </c>
      <c r="P1488" s="116">
        <v>274.25</v>
      </c>
      <c r="Q1488" s="116">
        <v>274.55</v>
      </c>
      <c r="R1488">
        <v>1820112</v>
      </c>
    </row>
    <row r="1489" spans="1:18" x14ac:dyDescent="0.25">
      <c r="A1489" s="170">
        <v>45881</v>
      </c>
      <c r="B1489" s="116">
        <v>283.89999999999998</v>
      </c>
      <c r="C1489" s="116">
        <v>277.3</v>
      </c>
      <c r="D1489" s="116">
        <v>274.89999999999998</v>
      </c>
      <c r="E1489" s="116">
        <v>276.7</v>
      </c>
      <c r="F1489" s="116">
        <v>277.3</v>
      </c>
      <c r="G1489">
        <v>178172</v>
      </c>
      <c r="H1489" s="116"/>
      <c r="I1489" s="116"/>
      <c r="L1489" s="170">
        <v>45881</v>
      </c>
      <c r="M1489" s="116">
        <v>276.8</v>
      </c>
      <c r="N1489" s="116">
        <v>283.85000000000002</v>
      </c>
      <c r="O1489" s="116">
        <v>274.64999999999998</v>
      </c>
      <c r="P1489" s="116">
        <v>276.95</v>
      </c>
      <c r="Q1489" s="116">
        <v>276.8</v>
      </c>
      <c r="R1489">
        <v>2538910</v>
      </c>
    </row>
    <row r="1490" spans="1:18" x14ac:dyDescent="0.25">
      <c r="A1490" s="170">
        <v>45882</v>
      </c>
      <c r="B1490" s="116">
        <v>280.89999999999998</v>
      </c>
      <c r="C1490" s="116">
        <v>273.5</v>
      </c>
      <c r="D1490" s="116">
        <v>272.05</v>
      </c>
      <c r="E1490" s="116">
        <v>280.35000000000002</v>
      </c>
      <c r="F1490" s="116">
        <v>273.5</v>
      </c>
      <c r="G1490">
        <v>188663</v>
      </c>
      <c r="H1490" s="116"/>
      <c r="I1490" s="116"/>
      <c r="L1490" s="170">
        <v>45882</v>
      </c>
      <c r="M1490" s="116">
        <v>273.64999999999998</v>
      </c>
      <c r="N1490" s="116">
        <v>280.7</v>
      </c>
      <c r="O1490" s="116">
        <v>272.10000000000002</v>
      </c>
      <c r="P1490" s="116">
        <v>277.35000000000002</v>
      </c>
      <c r="Q1490" s="116">
        <v>273.64999999999998</v>
      </c>
      <c r="R1490">
        <v>1066385</v>
      </c>
    </row>
    <row r="1491" spans="1:18" x14ac:dyDescent="0.25">
      <c r="A1491" s="170">
        <v>45883</v>
      </c>
      <c r="B1491" s="116">
        <v>276.85000000000002</v>
      </c>
      <c r="C1491" s="116">
        <v>267.8</v>
      </c>
      <c r="D1491" s="116">
        <v>266.39999999999998</v>
      </c>
      <c r="E1491" s="116">
        <v>275.05</v>
      </c>
      <c r="F1491" s="116">
        <v>267.8</v>
      </c>
      <c r="G1491">
        <v>93956</v>
      </c>
      <c r="H1491" s="116"/>
      <c r="I1491" s="116"/>
      <c r="L1491" s="170">
        <v>45883</v>
      </c>
      <c r="M1491" s="116">
        <v>267.8</v>
      </c>
      <c r="N1491" s="116">
        <v>276.89999999999998</v>
      </c>
      <c r="O1491" s="116">
        <v>266.10000000000002</v>
      </c>
      <c r="P1491" s="116">
        <v>275.95</v>
      </c>
      <c r="Q1491" s="116">
        <v>267.8</v>
      </c>
      <c r="R1491">
        <v>1386813</v>
      </c>
    </row>
    <row r="1492" spans="1:18" x14ac:dyDescent="0.25">
      <c r="A1492" s="170">
        <v>45887</v>
      </c>
      <c r="B1492" s="116">
        <v>274.45</v>
      </c>
      <c r="C1492" s="116">
        <v>268.95</v>
      </c>
      <c r="D1492" s="116">
        <v>268.2</v>
      </c>
      <c r="E1492" s="116">
        <v>271.89999999999998</v>
      </c>
      <c r="F1492" s="116">
        <v>268.95</v>
      </c>
      <c r="G1492">
        <v>214827</v>
      </c>
      <c r="H1492" s="116"/>
      <c r="I1492" s="116"/>
      <c r="L1492" s="170">
        <v>45887</v>
      </c>
      <c r="M1492" s="116">
        <v>268.85000000000002</v>
      </c>
      <c r="N1492" s="116">
        <v>274.55</v>
      </c>
      <c r="O1492" s="116">
        <v>268.05</v>
      </c>
      <c r="P1492" s="116">
        <v>274</v>
      </c>
      <c r="Q1492" s="116">
        <v>268.85000000000002</v>
      </c>
      <c r="R1492">
        <v>1081306</v>
      </c>
    </row>
    <row r="1493" spans="1:18" x14ac:dyDescent="0.25">
      <c r="A1493" s="170">
        <v>45888</v>
      </c>
      <c r="B1493" s="116">
        <v>277.2</v>
      </c>
      <c r="C1493" s="116">
        <v>275.35000000000002</v>
      </c>
      <c r="D1493" s="116">
        <v>268.3</v>
      </c>
      <c r="E1493" s="116">
        <v>269.05</v>
      </c>
      <c r="F1493" s="116">
        <v>275.35000000000002</v>
      </c>
      <c r="G1493">
        <v>256353</v>
      </c>
      <c r="H1493" s="116"/>
      <c r="I1493" s="116"/>
      <c r="L1493" s="170">
        <v>45888</v>
      </c>
      <c r="M1493" s="116">
        <v>275.3</v>
      </c>
      <c r="N1493" s="116">
        <v>277.5</v>
      </c>
      <c r="O1493" s="116">
        <v>268.05</v>
      </c>
      <c r="P1493" s="116">
        <v>270</v>
      </c>
      <c r="Q1493" s="116">
        <v>275.3</v>
      </c>
      <c r="R1493">
        <v>1586101</v>
      </c>
    </row>
    <row r="1494" spans="1:18" x14ac:dyDescent="0.25">
      <c r="A1494" s="170">
        <v>45889</v>
      </c>
      <c r="B1494" s="116">
        <v>282.85000000000002</v>
      </c>
      <c r="C1494" s="116">
        <v>277.89999999999998</v>
      </c>
      <c r="D1494" s="116">
        <v>274.45</v>
      </c>
      <c r="E1494" s="116">
        <v>274.45</v>
      </c>
      <c r="F1494" s="116">
        <v>277.89999999999998</v>
      </c>
      <c r="G1494">
        <v>260141</v>
      </c>
      <c r="H1494" s="116"/>
      <c r="I1494" s="116"/>
      <c r="L1494" s="170">
        <v>45889</v>
      </c>
      <c r="M1494" s="116">
        <v>277.89999999999998</v>
      </c>
      <c r="N1494" s="116">
        <v>283</v>
      </c>
      <c r="O1494" s="116">
        <v>274.55</v>
      </c>
      <c r="P1494" s="116">
        <v>274.95</v>
      </c>
      <c r="Q1494" s="116">
        <v>277.89999999999998</v>
      </c>
      <c r="R1494">
        <v>1763073</v>
      </c>
    </row>
    <row r="1495" spans="1:18" x14ac:dyDescent="0.25">
      <c r="A1495" s="170">
        <v>45890</v>
      </c>
      <c r="B1495" s="116">
        <v>286.45</v>
      </c>
      <c r="C1495" s="116">
        <v>278.85000000000002</v>
      </c>
      <c r="D1495" s="116">
        <v>278.2</v>
      </c>
      <c r="E1495" s="116">
        <v>279.85000000000002</v>
      </c>
      <c r="F1495" s="116">
        <v>278.85000000000002</v>
      </c>
      <c r="G1495">
        <v>252169</v>
      </c>
      <c r="H1495" s="116"/>
      <c r="I1495" s="116"/>
      <c r="L1495" s="170">
        <v>45890</v>
      </c>
      <c r="M1495" s="116">
        <v>278.85000000000002</v>
      </c>
      <c r="N1495" s="116">
        <v>286.5</v>
      </c>
      <c r="O1495" s="116">
        <v>278</v>
      </c>
      <c r="P1495" s="116">
        <v>279</v>
      </c>
      <c r="Q1495" s="116">
        <v>278.85000000000002</v>
      </c>
      <c r="R1495">
        <v>1504650</v>
      </c>
    </row>
    <row r="1496" spans="1:18" x14ac:dyDescent="0.25">
      <c r="A1496" s="170">
        <v>45891</v>
      </c>
      <c r="B1496" s="116">
        <v>284.60000000000002</v>
      </c>
      <c r="C1496" s="116">
        <v>278.7</v>
      </c>
      <c r="D1496" s="116">
        <v>276.7</v>
      </c>
      <c r="E1496" s="116">
        <v>279.95</v>
      </c>
      <c r="F1496" s="116">
        <v>278.7</v>
      </c>
      <c r="G1496">
        <v>256392</v>
      </c>
      <c r="H1496" s="116"/>
      <c r="I1496" s="116"/>
      <c r="L1496" s="170">
        <v>45891</v>
      </c>
      <c r="M1496" s="116">
        <v>278.64999999999998</v>
      </c>
      <c r="N1496" s="116">
        <v>284.75</v>
      </c>
      <c r="O1496" s="116">
        <v>276.55</v>
      </c>
      <c r="P1496" s="116">
        <v>278.75</v>
      </c>
      <c r="Q1496" s="116">
        <v>278.64999999999998</v>
      </c>
      <c r="R1496">
        <v>1675749</v>
      </c>
    </row>
    <row r="1497" spans="1:18" x14ac:dyDescent="0.25">
      <c r="A1497" s="170">
        <v>45894</v>
      </c>
      <c r="B1497" s="116">
        <v>280.60000000000002</v>
      </c>
      <c r="C1497" s="116">
        <v>271.55</v>
      </c>
      <c r="D1497" s="116">
        <v>270.45</v>
      </c>
      <c r="E1497" s="116">
        <v>278.64999999999998</v>
      </c>
      <c r="F1497" s="116">
        <v>271.55</v>
      </c>
      <c r="G1497">
        <v>237171</v>
      </c>
      <c r="H1497" s="116"/>
      <c r="I1497" s="116"/>
      <c r="L1497" s="170">
        <v>45894</v>
      </c>
      <c r="M1497" s="116">
        <v>271.5</v>
      </c>
      <c r="N1497" s="116">
        <v>280.3</v>
      </c>
      <c r="O1497" s="116">
        <v>270.55</v>
      </c>
      <c r="P1497" s="116">
        <v>279</v>
      </c>
      <c r="Q1497" s="116">
        <v>271.5</v>
      </c>
      <c r="R1497">
        <v>1249599</v>
      </c>
    </row>
    <row r="1498" spans="1:18" x14ac:dyDescent="0.25">
      <c r="A1498" s="170">
        <v>45895</v>
      </c>
      <c r="B1498" s="116">
        <v>271.95</v>
      </c>
      <c r="C1498" s="116">
        <v>266.55</v>
      </c>
      <c r="D1498" s="116">
        <v>264</v>
      </c>
      <c r="E1498" s="116">
        <v>270.55</v>
      </c>
      <c r="F1498" s="116">
        <v>266.55</v>
      </c>
      <c r="G1498">
        <v>191239</v>
      </c>
      <c r="H1498" s="116"/>
      <c r="I1498" s="116"/>
      <c r="L1498" s="170">
        <v>45895</v>
      </c>
      <c r="M1498" s="116">
        <v>266.64999999999998</v>
      </c>
      <c r="N1498" s="116">
        <v>271.89999999999998</v>
      </c>
      <c r="O1498" s="116">
        <v>264</v>
      </c>
      <c r="P1498" s="116">
        <v>271</v>
      </c>
      <c r="Q1498" s="116">
        <v>266.64999999999998</v>
      </c>
      <c r="R1498">
        <v>1369980</v>
      </c>
    </row>
    <row r="1499" spans="1:18" x14ac:dyDescent="0.25">
      <c r="A1499" s="170">
        <v>45897</v>
      </c>
      <c r="B1499" s="116">
        <v>266.60000000000002</v>
      </c>
      <c r="C1499" s="116">
        <v>262.14999999999998</v>
      </c>
      <c r="D1499" s="116">
        <v>261.39999999999998</v>
      </c>
      <c r="E1499" s="116">
        <v>261.39999999999998</v>
      </c>
      <c r="F1499" s="116">
        <v>262.14999999999998</v>
      </c>
      <c r="G1499">
        <v>113519</v>
      </c>
      <c r="H1499" s="116"/>
      <c r="I1499" s="116"/>
      <c r="L1499" s="170">
        <v>45897</v>
      </c>
      <c r="M1499" s="116">
        <v>262.10000000000002</v>
      </c>
      <c r="N1499" s="116">
        <v>266.7</v>
      </c>
      <c r="O1499" s="116">
        <v>261.2</v>
      </c>
      <c r="P1499" s="116">
        <v>265.85000000000002</v>
      </c>
      <c r="Q1499" s="116">
        <v>262.10000000000002</v>
      </c>
      <c r="R1499">
        <v>1224426</v>
      </c>
    </row>
    <row r="1500" spans="1:18" x14ac:dyDescent="0.25">
      <c r="A1500" s="170">
        <v>45898</v>
      </c>
      <c r="B1500" s="116">
        <v>265.25</v>
      </c>
      <c r="C1500" s="116">
        <v>260.05</v>
      </c>
      <c r="D1500" s="116">
        <v>259</v>
      </c>
      <c r="E1500" s="116">
        <v>263</v>
      </c>
      <c r="F1500" s="116">
        <v>260.05</v>
      </c>
      <c r="G1500">
        <v>209537</v>
      </c>
      <c r="H1500" s="116"/>
      <c r="I1500" s="116"/>
      <c r="L1500" s="170">
        <v>45898</v>
      </c>
      <c r="M1500" s="116">
        <v>260</v>
      </c>
      <c r="N1500" s="116">
        <v>265.5</v>
      </c>
      <c r="O1500" s="116">
        <v>259</v>
      </c>
      <c r="P1500" s="116">
        <v>263.25</v>
      </c>
      <c r="Q1500" s="116">
        <v>260</v>
      </c>
      <c r="R1500">
        <v>1148574</v>
      </c>
    </row>
    <row r="1501" spans="1:18" x14ac:dyDescent="0.25">
      <c r="A1501" s="170">
        <v>45901</v>
      </c>
      <c r="B1501" s="116">
        <v>268.2</v>
      </c>
      <c r="C1501" s="116">
        <v>267.05</v>
      </c>
      <c r="D1501" s="116">
        <v>260.95</v>
      </c>
      <c r="E1501" s="116">
        <v>260.95</v>
      </c>
      <c r="F1501" s="116">
        <v>267.05</v>
      </c>
      <c r="G1501">
        <v>224453</v>
      </c>
      <c r="H1501" s="116"/>
      <c r="I1501" s="116"/>
      <c r="L1501" s="170">
        <v>45901</v>
      </c>
      <c r="M1501" s="116">
        <v>266.89999999999998</v>
      </c>
      <c r="N1501" s="116">
        <v>268.39999999999998</v>
      </c>
      <c r="O1501" s="116">
        <v>261.35000000000002</v>
      </c>
      <c r="P1501" s="116">
        <v>261.35000000000002</v>
      </c>
      <c r="Q1501" s="116">
        <v>266.89999999999998</v>
      </c>
      <c r="R1501">
        <v>1816264</v>
      </c>
    </row>
    <row r="1502" spans="1:18" x14ac:dyDescent="0.25">
      <c r="A1502" s="170">
        <v>45902</v>
      </c>
      <c r="B1502" s="116">
        <v>272.55</v>
      </c>
      <c r="C1502" s="116">
        <v>269.10000000000002</v>
      </c>
      <c r="D1502" s="116">
        <v>265.35000000000002</v>
      </c>
      <c r="E1502" s="116">
        <v>268.25</v>
      </c>
      <c r="F1502" s="116">
        <v>269.10000000000002</v>
      </c>
      <c r="G1502">
        <v>193892</v>
      </c>
      <c r="H1502" s="116"/>
      <c r="I1502" s="116"/>
      <c r="L1502" s="170">
        <v>45902</v>
      </c>
      <c r="M1502" s="116">
        <v>269.05</v>
      </c>
      <c r="N1502" s="116">
        <v>272.5</v>
      </c>
      <c r="O1502" s="116">
        <v>265.5</v>
      </c>
      <c r="P1502" s="116">
        <v>267.95</v>
      </c>
      <c r="Q1502" s="116">
        <v>269.05</v>
      </c>
      <c r="R1502">
        <v>1337223</v>
      </c>
    </row>
    <row r="1503" spans="1:18" x14ac:dyDescent="0.25">
      <c r="A1503" s="170">
        <v>45903</v>
      </c>
      <c r="B1503" s="116">
        <v>274.7</v>
      </c>
      <c r="C1503" s="116">
        <v>272.7</v>
      </c>
      <c r="D1503" s="116">
        <v>268.5</v>
      </c>
      <c r="E1503" s="116">
        <v>270</v>
      </c>
      <c r="F1503" s="116">
        <v>272.7</v>
      </c>
      <c r="G1503">
        <v>186681</v>
      </c>
      <c r="H1503" s="116"/>
      <c r="I1503" s="116"/>
      <c r="L1503" s="170">
        <v>45903</v>
      </c>
      <c r="M1503" s="116">
        <v>272.7</v>
      </c>
      <c r="N1503" s="116">
        <v>274.7</v>
      </c>
      <c r="O1503" s="116">
        <v>268.2</v>
      </c>
      <c r="P1503" s="116">
        <v>270.39999999999998</v>
      </c>
      <c r="Q1503" s="116">
        <v>272.7</v>
      </c>
      <c r="R1503">
        <v>1235089</v>
      </c>
    </row>
    <row r="1504" spans="1:18" x14ac:dyDescent="0.25">
      <c r="A1504" s="170">
        <v>45904</v>
      </c>
      <c r="B1504" s="116">
        <v>275.2</v>
      </c>
      <c r="C1504" s="116">
        <v>264.2</v>
      </c>
      <c r="D1504" s="116">
        <v>263.35000000000002</v>
      </c>
      <c r="E1504" s="116">
        <v>275.14999999999998</v>
      </c>
      <c r="F1504" s="116">
        <v>264.2</v>
      </c>
      <c r="G1504">
        <v>205197</v>
      </c>
      <c r="H1504" s="116"/>
      <c r="I1504" s="116"/>
      <c r="L1504" s="170">
        <v>45904</v>
      </c>
      <c r="M1504" s="116">
        <v>264.05</v>
      </c>
      <c r="N1504" s="116">
        <v>275.60000000000002</v>
      </c>
      <c r="O1504" s="116">
        <v>263.2</v>
      </c>
      <c r="P1504" s="116">
        <v>275.45</v>
      </c>
      <c r="Q1504" s="116">
        <v>264.05</v>
      </c>
      <c r="R1504">
        <v>1244450</v>
      </c>
    </row>
    <row r="1505" spans="1:18" x14ac:dyDescent="0.25">
      <c r="A1505" s="170">
        <v>45905</v>
      </c>
      <c r="B1505" s="116">
        <v>268.75</v>
      </c>
      <c r="C1505" s="116">
        <v>263.05</v>
      </c>
      <c r="D1505" s="116">
        <v>259.75</v>
      </c>
      <c r="E1505" s="116">
        <v>265.75</v>
      </c>
      <c r="F1505" s="116">
        <v>263.05</v>
      </c>
      <c r="G1505">
        <v>193851</v>
      </c>
      <c r="H1505" s="116"/>
      <c r="I1505" s="116"/>
      <c r="L1505" s="170">
        <v>45905</v>
      </c>
      <c r="M1505" s="116">
        <v>263.05</v>
      </c>
      <c r="N1505" s="116">
        <v>268.5</v>
      </c>
      <c r="O1505" s="116">
        <v>259.64999999999998</v>
      </c>
      <c r="P1505" s="116">
        <v>265.05</v>
      </c>
      <c r="Q1505" s="116">
        <v>263.05</v>
      </c>
      <c r="R1505">
        <v>1403312</v>
      </c>
    </row>
    <row r="1506" spans="1:18" x14ac:dyDescent="0.25">
      <c r="A1506" s="170">
        <v>45908</v>
      </c>
      <c r="B1506" s="116">
        <v>269.5</v>
      </c>
      <c r="C1506" s="116">
        <v>265.7</v>
      </c>
      <c r="D1506" s="116">
        <v>264.35000000000002</v>
      </c>
      <c r="E1506" s="116">
        <v>265.85000000000002</v>
      </c>
      <c r="F1506" s="116">
        <v>265.7</v>
      </c>
      <c r="G1506">
        <v>160325</v>
      </c>
      <c r="H1506" s="116"/>
      <c r="I1506" s="116"/>
      <c r="L1506" s="170">
        <v>45908</v>
      </c>
      <c r="M1506" s="116">
        <v>265.35000000000002</v>
      </c>
      <c r="N1506" s="116">
        <v>269.7</v>
      </c>
      <c r="O1506" s="116">
        <v>264.3</v>
      </c>
      <c r="P1506" s="116">
        <v>264.39999999999998</v>
      </c>
      <c r="Q1506" s="116">
        <v>265.35000000000002</v>
      </c>
      <c r="R1506">
        <v>864456</v>
      </c>
    </row>
    <row r="1507" spans="1:18" x14ac:dyDescent="0.25">
      <c r="A1507" s="170">
        <v>45909</v>
      </c>
      <c r="B1507" s="116">
        <v>270.3</v>
      </c>
      <c r="C1507" s="116">
        <v>266.45</v>
      </c>
      <c r="D1507" s="116">
        <v>262.60000000000002</v>
      </c>
      <c r="E1507" s="116">
        <v>264.10000000000002</v>
      </c>
      <c r="F1507" s="116">
        <v>266.45</v>
      </c>
      <c r="G1507">
        <v>172391</v>
      </c>
      <c r="H1507" s="116"/>
      <c r="I1507" s="116"/>
      <c r="L1507" s="170">
        <v>45909</v>
      </c>
      <c r="M1507" s="116">
        <v>266.14999999999998</v>
      </c>
      <c r="N1507" s="116">
        <v>270.60000000000002</v>
      </c>
      <c r="O1507" s="116">
        <v>262.60000000000002</v>
      </c>
      <c r="P1507" s="116">
        <v>266</v>
      </c>
      <c r="Q1507" s="116">
        <v>266.14999999999998</v>
      </c>
      <c r="R1507">
        <v>1728010</v>
      </c>
    </row>
    <row r="1508" spans="1:18" x14ac:dyDescent="0.25">
      <c r="A1508" s="170">
        <v>45910</v>
      </c>
      <c r="B1508" s="116">
        <v>281.89999999999998</v>
      </c>
      <c r="C1508" s="116">
        <v>270.14999999999998</v>
      </c>
      <c r="D1508" s="116">
        <v>267.25</v>
      </c>
      <c r="E1508" s="116">
        <v>275</v>
      </c>
      <c r="F1508" s="116">
        <v>270.14999999999998</v>
      </c>
      <c r="G1508">
        <v>868636</v>
      </c>
      <c r="H1508" s="116"/>
      <c r="I1508" s="116"/>
      <c r="L1508" s="170">
        <v>45910</v>
      </c>
      <c r="M1508" s="116">
        <v>270.05</v>
      </c>
      <c r="N1508" s="116">
        <v>281.7</v>
      </c>
      <c r="O1508" s="116">
        <v>267.10000000000002</v>
      </c>
      <c r="P1508" s="116">
        <v>274</v>
      </c>
      <c r="Q1508" s="116">
        <v>270.05</v>
      </c>
      <c r="R1508">
        <v>8192718</v>
      </c>
    </row>
    <row r="1509" spans="1:18" x14ac:dyDescent="0.25">
      <c r="A1509" s="170">
        <v>45911</v>
      </c>
      <c r="B1509" s="116">
        <v>271.60000000000002</v>
      </c>
      <c r="C1509" s="116">
        <v>267.5</v>
      </c>
      <c r="D1509" s="116">
        <v>267</v>
      </c>
      <c r="E1509" s="116">
        <v>271</v>
      </c>
      <c r="F1509" s="116">
        <v>267.5</v>
      </c>
      <c r="G1509">
        <v>229546</v>
      </c>
      <c r="H1509" s="116"/>
      <c r="I1509" s="116"/>
      <c r="L1509" s="170">
        <v>45911</v>
      </c>
      <c r="M1509" s="116">
        <v>267.39999999999998</v>
      </c>
      <c r="N1509" s="116">
        <v>272</v>
      </c>
      <c r="O1509" s="116">
        <v>266.64999999999998</v>
      </c>
      <c r="P1509" s="116">
        <v>271.05</v>
      </c>
      <c r="Q1509" s="116">
        <v>267.39999999999998</v>
      </c>
      <c r="R1509">
        <v>1664941</v>
      </c>
    </row>
    <row r="1510" spans="1:18" x14ac:dyDescent="0.25">
      <c r="A1510" s="170">
        <v>45912</v>
      </c>
      <c r="B1510" s="116">
        <v>269.85000000000002</v>
      </c>
      <c r="C1510" s="116">
        <v>264</v>
      </c>
      <c r="D1510" s="116">
        <v>263.3</v>
      </c>
      <c r="E1510" s="116">
        <v>269.85000000000002</v>
      </c>
      <c r="F1510" s="116">
        <v>264</v>
      </c>
      <c r="G1510">
        <v>196223</v>
      </c>
      <c r="H1510" s="116"/>
      <c r="I1510" s="116"/>
      <c r="L1510" s="170">
        <v>45912</v>
      </c>
      <c r="M1510" s="116">
        <v>263.95</v>
      </c>
      <c r="N1510" s="116">
        <v>269.64999999999998</v>
      </c>
      <c r="O1510" s="116">
        <v>263.10000000000002</v>
      </c>
      <c r="P1510" s="116">
        <v>269</v>
      </c>
      <c r="Q1510" s="116">
        <v>263.95</v>
      </c>
      <c r="R1510">
        <v>1581381</v>
      </c>
    </row>
    <row r="1511" spans="1:18" x14ac:dyDescent="0.25">
      <c r="A1511" s="170">
        <v>45915</v>
      </c>
      <c r="B1511" s="116">
        <v>268.60000000000002</v>
      </c>
      <c r="C1511" s="116">
        <v>265.95</v>
      </c>
      <c r="D1511" s="116">
        <v>264.85000000000002</v>
      </c>
      <c r="E1511" s="116">
        <v>265.55</v>
      </c>
      <c r="F1511" s="116">
        <v>265.95</v>
      </c>
      <c r="G1511">
        <v>218410</v>
      </c>
      <c r="H1511" s="116"/>
      <c r="I1511" s="116"/>
      <c r="L1511" s="170">
        <v>45915</v>
      </c>
      <c r="M1511" s="116">
        <v>265.89999999999998</v>
      </c>
      <c r="N1511" s="116">
        <v>268.60000000000002</v>
      </c>
      <c r="O1511" s="116">
        <v>264.8</v>
      </c>
      <c r="P1511" s="116">
        <v>265</v>
      </c>
      <c r="Q1511" s="116">
        <v>265.89999999999998</v>
      </c>
      <c r="R1511">
        <v>1264075</v>
      </c>
    </row>
    <row r="1512" spans="1:18" x14ac:dyDescent="0.25">
      <c r="A1512" s="170">
        <v>45916</v>
      </c>
      <c r="B1512" s="116">
        <v>267.5</v>
      </c>
      <c r="C1512" s="116">
        <v>266.55</v>
      </c>
      <c r="D1512" s="116">
        <v>265.14999999999998</v>
      </c>
      <c r="E1512" s="116">
        <v>267.5</v>
      </c>
      <c r="F1512" s="116">
        <v>266.55</v>
      </c>
      <c r="G1512">
        <v>228150</v>
      </c>
      <c r="H1512" s="116"/>
      <c r="I1512" s="116"/>
      <c r="L1512" s="170">
        <v>45916</v>
      </c>
      <c r="M1512" s="116">
        <v>266.60000000000002</v>
      </c>
      <c r="N1512" s="116">
        <v>267.7</v>
      </c>
      <c r="O1512" s="116">
        <v>265.05</v>
      </c>
      <c r="P1512" s="116">
        <v>267.2</v>
      </c>
      <c r="Q1512" s="116">
        <v>266.60000000000002</v>
      </c>
      <c r="R1512">
        <v>961448</v>
      </c>
    </row>
    <row r="1513" spans="1:18" x14ac:dyDescent="0.25">
      <c r="A1513" s="170">
        <v>45917</v>
      </c>
      <c r="B1513" s="116">
        <v>272.39999999999998</v>
      </c>
      <c r="C1513" s="116">
        <v>268.3</v>
      </c>
      <c r="D1513" s="116">
        <v>266.60000000000002</v>
      </c>
      <c r="E1513" s="116">
        <v>268.5</v>
      </c>
      <c r="F1513" s="116">
        <v>268.3</v>
      </c>
      <c r="G1513">
        <v>123494</v>
      </c>
      <c r="H1513" s="116"/>
      <c r="I1513" s="116"/>
      <c r="L1513" s="170">
        <v>45917</v>
      </c>
      <c r="M1513" s="116">
        <v>268.14999999999998</v>
      </c>
      <c r="N1513" s="116">
        <v>272.5</v>
      </c>
      <c r="O1513" s="116">
        <v>267.5</v>
      </c>
      <c r="P1513" s="116">
        <v>267.60000000000002</v>
      </c>
      <c r="Q1513" s="116">
        <v>268.14999999999998</v>
      </c>
      <c r="R1513">
        <v>1400764</v>
      </c>
    </row>
    <row r="1514" spans="1:18" x14ac:dyDescent="0.25">
      <c r="A1514" s="170">
        <v>45918</v>
      </c>
      <c r="B1514" s="116">
        <v>270.5</v>
      </c>
      <c r="C1514" s="116">
        <v>266.64999999999998</v>
      </c>
      <c r="D1514" s="116">
        <v>265.64999999999998</v>
      </c>
      <c r="E1514" s="116">
        <v>268.64999999999998</v>
      </c>
      <c r="F1514" s="116">
        <v>266.64999999999998</v>
      </c>
      <c r="G1514">
        <v>182627</v>
      </c>
      <c r="H1514" s="116"/>
      <c r="I1514" s="116"/>
      <c r="L1514" s="170">
        <v>45918</v>
      </c>
      <c r="M1514" s="116">
        <v>266.7</v>
      </c>
      <c r="N1514" s="116">
        <v>270.55</v>
      </c>
      <c r="O1514" s="116">
        <v>265.7</v>
      </c>
      <c r="P1514" s="116">
        <v>269.5</v>
      </c>
      <c r="Q1514" s="116">
        <v>266.7</v>
      </c>
      <c r="R1514">
        <v>1087190</v>
      </c>
    </row>
    <row r="1515" spans="1:18" x14ac:dyDescent="0.25">
      <c r="A1515" s="170">
        <v>45919</v>
      </c>
      <c r="B1515" s="116">
        <v>272.75</v>
      </c>
      <c r="C1515" s="116">
        <v>270.85000000000002</v>
      </c>
      <c r="D1515" s="116">
        <v>264.8</v>
      </c>
      <c r="E1515" s="116">
        <v>265.14999999999998</v>
      </c>
      <c r="F1515" s="116">
        <v>270.85000000000002</v>
      </c>
      <c r="G1515">
        <v>166467</v>
      </c>
      <c r="H1515" s="116"/>
      <c r="I1515" s="116"/>
      <c r="L1515" s="170">
        <v>45919</v>
      </c>
      <c r="M1515" s="116">
        <v>270.89999999999998</v>
      </c>
      <c r="N1515" s="116">
        <v>272.60000000000002</v>
      </c>
      <c r="O1515" s="116">
        <v>264.5</v>
      </c>
      <c r="P1515" s="116">
        <v>266</v>
      </c>
      <c r="Q1515" s="116">
        <v>270.89999999999998</v>
      </c>
      <c r="R1515">
        <v>2271254</v>
      </c>
    </row>
    <row r="1516" spans="1:18" x14ac:dyDescent="0.25">
      <c r="A1516" s="170">
        <v>45922</v>
      </c>
      <c r="B1516" s="116">
        <v>272.8</v>
      </c>
      <c r="C1516" s="116">
        <v>265.45</v>
      </c>
      <c r="D1516" s="116">
        <v>265</v>
      </c>
      <c r="E1516" s="116">
        <v>271.8</v>
      </c>
      <c r="F1516" s="116">
        <v>265.45</v>
      </c>
      <c r="G1516">
        <v>122751</v>
      </c>
      <c r="H1516" s="116"/>
      <c r="I1516" s="116"/>
      <c r="L1516" s="170">
        <v>45922</v>
      </c>
      <c r="M1516" s="116">
        <v>265.3</v>
      </c>
      <c r="N1516" s="116">
        <v>272.8</v>
      </c>
      <c r="O1516" s="116">
        <v>264.75</v>
      </c>
      <c r="P1516" s="116">
        <v>270.45</v>
      </c>
      <c r="Q1516" s="116">
        <v>265.3</v>
      </c>
      <c r="R1516">
        <v>2538863</v>
      </c>
    </row>
    <row r="1517" spans="1:18" x14ac:dyDescent="0.25">
      <c r="A1517" s="170">
        <v>45923</v>
      </c>
      <c r="B1517" s="116">
        <v>266.5</v>
      </c>
      <c r="C1517" s="116">
        <v>260.5</v>
      </c>
      <c r="D1517" s="116">
        <v>260</v>
      </c>
      <c r="E1517" s="116">
        <v>266.5</v>
      </c>
      <c r="F1517" s="116">
        <v>260.5</v>
      </c>
      <c r="G1517">
        <v>213323</v>
      </c>
      <c r="H1517" s="116"/>
      <c r="I1517" s="116"/>
      <c r="L1517" s="170">
        <v>45923</v>
      </c>
      <c r="M1517" s="116">
        <v>260.39999999999998</v>
      </c>
      <c r="N1517" s="116">
        <v>266.5</v>
      </c>
      <c r="O1517" s="116">
        <v>260</v>
      </c>
      <c r="P1517" s="116">
        <v>266.5</v>
      </c>
      <c r="Q1517" s="116">
        <v>260.39999999999998</v>
      </c>
      <c r="R1517">
        <v>1612269</v>
      </c>
    </row>
    <row r="1518" spans="1:18" x14ac:dyDescent="0.25">
      <c r="A1518" s="170">
        <v>45924</v>
      </c>
      <c r="B1518" s="116">
        <v>261.05</v>
      </c>
      <c r="C1518" s="116">
        <v>258.05</v>
      </c>
      <c r="D1518" s="116">
        <v>257.14999999999998</v>
      </c>
      <c r="E1518" s="116">
        <v>260.14999999999998</v>
      </c>
      <c r="F1518" s="116">
        <v>258.05</v>
      </c>
      <c r="G1518">
        <v>183368</v>
      </c>
      <c r="H1518" s="116"/>
      <c r="I1518" s="116"/>
      <c r="L1518" s="170">
        <v>45924</v>
      </c>
      <c r="M1518" s="116">
        <v>258.14999999999998</v>
      </c>
      <c r="N1518" s="116">
        <v>261</v>
      </c>
      <c r="O1518" s="116">
        <v>257.2</v>
      </c>
      <c r="P1518" s="116">
        <v>260.39999999999998</v>
      </c>
      <c r="Q1518" s="116">
        <v>258.14999999999998</v>
      </c>
      <c r="R1518">
        <v>1098233</v>
      </c>
    </row>
    <row r="1519" spans="1:18" x14ac:dyDescent="0.25">
      <c r="A1519" s="170">
        <v>45925</v>
      </c>
      <c r="B1519" s="116">
        <v>260.89999999999998</v>
      </c>
      <c r="C1519" s="116">
        <v>251.75</v>
      </c>
      <c r="D1519" s="116">
        <v>251.1</v>
      </c>
      <c r="E1519" s="116">
        <v>258.05</v>
      </c>
      <c r="F1519" s="116">
        <v>251.75</v>
      </c>
      <c r="G1519">
        <v>78689</v>
      </c>
      <c r="H1519" s="116"/>
      <c r="I1519" s="116"/>
      <c r="L1519" s="170">
        <v>45925</v>
      </c>
      <c r="M1519" s="116">
        <v>251.7</v>
      </c>
      <c r="N1519" s="116">
        <v>260.95</v>
      </c>
      <c r="O1519" s="116">
        <v>251</v>
      </c>
      <c r="P1519" s="116">
        <v>257.14999999999998</v>
      </c>
      <c r="Q1519" s="116">
        <v>251.7</v>
      </c>
      <c r="R1519">
        <v>1166808</v>
      </c>
    </row>
    <row r="1520" spans="1:18" x14ac:dyDescent="0.25">
      <c r="A1520" s="170">
        <v>45926</v>
      </c>
      <c r="B1520" s="116">
        <v>252.15</v>
      </c>
      <c r="C1520" s="116">
        <v>242.75</v>
      </c>
      <c r="D1520" s="116">
        <v>241.4</v>
      </c>
      <c r="E1520" s="116">
        <v>251.45</v>
      </c>
      <c r="F1520" s="116">
        <v>242.75</v>
      </c>
      <c r="G1520">
        <v>449863</v>
      </c>
      <c r="H1520" s="116"/>
      <c r="I1520" s="116"/>
      <c r="L1520" s="170">
        <v>45926</v>
      </c>
      <c r="M1520" s="116">
        <v>242.55</v>
      </c>
      <c r="N1520" s="116">
        <v>252.55</v>
      </c>
      <c r="O1520" s="116">
        <v>241.45</v>
      </c>
      <c r="P1520" s="116">
        <v>251.8</v>
      </c>
      <c r="Q1520" s="116">
        <v>242.55</v>
      </c>
      <c r="R1520">
        <v>1634205</v>
      </c>
    </row>
    <row r="1521" spans="1:18" x14ac:dyDescent="0.25">
      <c r="A1521" s="170">
        <v>45929</v>
      </c>
      <c r="B1521" s="116">
        <v>250.2</v>
      </c>
      <c r="C1521" s="116">
        <v>241.45</v>
      </c>
      <c r="D1521" s="116">
        <v>235</v>
      </c>
      <c r="E1521" s="116">
        <v>242.95</v>
      </c>
      <c r="F1521" s="116">
        <v>241.45</v>
      </c>
      <c r="G1521">
        <v>326365</v>
      </c>
      <c r="H1521" s="116"/>
      <c r="I1521" s="116"/>
      <c r="L1521" s="170">
        <v>45929</v>
      </c>
      <c r="M1521" s="116">
        <v>241.45</v>
      </c>
      <c r="N1521" s="116">
        <v>250.45</v>
      </c>
      <c r="O1521" s="116">
        <v>234.95</v>
      </c>
      <c r="P1521" s="116">
        <v>244.4</v>
      </c>
      <c r="Q1521" s="116">
        <v>241.45</v>
      </c>
      <c r="R1521">
        <v>3148076</v>
      </c>
    </row>
    <row r="1522" spans="1:18" x14ac:dyDescent="0.25">
      <c r="A1522" s="170">
        <v>45930</v>
      </c>
      <c r="B1522" s="116">
        <v>243.85</v>
      </c>
      <c r="C1522" s="116">
        <v>242.4</v>
      </c>
      <c r="D1522" s="116">
        <v>239.25</v>
      </c>
      <c r="E1522" s="116">
        <v>242</v>
      </c>
      <c r="F1522" s="116">
        <v>242.4</v>
      </c>
      <c r="G1522">
        <v>171619</v>
      </c>
      <c r="H1522" s="116"/>
      <c r="I1522" s="116"/>
      <c r="L1522" s="170">
        <v>45930</v>
      </c>
      <c r="M1522" s="116">
        <v>242.15</v>
      </c>
      <c r="N1522" s="116">
        <v>243.9</v>
      </c>
      <c r="O1522" s="116">
        <v>239.4</v>
      </c>
      <c r="P1522" s="116">
        <v>242</v>
      </c>
      <c r="Q1522" s="116">
        <v>242.15</v>
      </c>
      <c r="R1522">
        <v>861532</v>
      </c>
    </row>
    <row r="1523" spans="1:18" x14ac:dyDescent="0.25">
      <c r="A1523" s="170">
        <v>45931</v>
      </c>
      <c r="B1523" s="116">
        <v>246.7</v>
      </c>
      <c r="C1523" s="116">
        <v>244.95</v>
      </c>
      <c r="D1523" s="116">
        <v>241.1</v>
      </c>
      <c r="E1523" s="116">
        <v>241.55</v>
      </c>
      <c r="F1523" s="116">
        <v>244.95</v>
      </c>
      <c r="G1523">
        <v>155289</v>
      </c>
      <c r="H1523" s="116"/>
      <c r="I1523" s="116"/>
      <c r="L1523" s="170">
        <v>45931</v>
      </c>
      <c r="M1523" s="116">
        <v>244.95</v>
      </c>
      <c r="N1523" s="116">
        <v>247</v>
      </c>
      <c r="O1523" s="116">
        <v>241.15</v>
      </c>
      <c r="P1523" s="116">
        <v>242.29</v>
      </c>
      <c r="Q1523" s="116">
        <v>244.95</v>
      </c>
      <c r="R1523">
        <v>949606</v>
      </c>
    </row>
    <row r="1524" spans="1:18" x14ac:dyDescent="0.25">
      <c r="A1524" s="170">
        <v>45933</v>
      </c>
      <c r="B1524" s="116">
        <v>248.75</v>
      </c>
      <c r="C1524" s="116">
        <v>246.1</v>
      </c>
      <c r="D1524" s="116">
        <v>245.05</v>
      </c>
      <c r="E1524" s="116">
        <v>246.45</v>
      </c>
      <c r="F1524" s="116">
        <v>246.1</v>
      </c>
      <c r="G1524">
        <v>173562</v>
      </c>
      <c r="H1524" s="116"/>
      <c r="I1524" s="116"/>
      <c r="L1524" s="170">
        <v>45933</v>
      </c>
      <c r="M1524" s="116">
        <v>245.93</v>
      </c>
      <c r="N1524" s="116">
        <v>248.7</v>
      </c>
      <c r="O1524" s="116">
        <v>245.05</v>
      </c>
      <c r="P1524" s="116">
        <v>245.9</v>
      </c>
      <c r="Q1524" s="116">
        <v>245.93</v>
      </c>
      <c r="R1524">
        <v>946837</v>
      </c>
    </row>
    <row r="1525" spans="1:18" x14ac:dyDescent="0.25">
      <c r="A1525" s="170">
        <v>45936</v>
      </c>
      <c r="B1525" s="116">
        <v>247.95</v>
      </c>
      <c r="C1525" s="116">
        <v>242</v>
      </c>
      <c r="D1525" s="116">
        <v>241.6</v>
      </c>
      <c r="E1525" s="116">
        <v>246.2</v>
      </c>
      <c r="F1525" s="116">
        <v>242</v>
      </c>
      <c r="G1525">
        <v>124573</v>
      </c>
      <c r="H1525" s="116"/>
      <c r="I1525" s="116"/>
      <c r="L1525" s="170">
        <v>45936</v>
      </c>
      <c r="M1525" s="116">
        <v>242.02</v>
      </c>
      <c r="N1525" s="116">
        <v>248</v>
      </c>
      <c r="O1525" s="116">
        <v>241.5</v>
      </c>
      <c r="P1525" s="116">
        <v>246.99</v>
      </c>
      <c r="Q1525" s="116">
        <v>242.02</v>
      </c>
      <c r="R1525">
        <v>980368</v>
      </c>
    </row>
    <row r="1526" spans="1:18" x14ac:dyDescent="0.25">
      <c r="A1526" s="170">
        <v>45937</v>
      </c>
      <c r="B1526" s="116">
        <v>243.25</v>
      </c>
      <c r="C1526" s="116">
        <v>238.3</v>
      </c>
      <c r="D1526" s="116">
        <v>237.6</v>
      </c>
      <c r="E1526" s="116">
        <v>242.35</v>
      </c>
      <c r="F1526" s="116">
        <v>238.3</v>
      </c>
      <c r="G1526">
        <v>76708</v>
      </c>
      <c r="H1526" s="116"/>
      <c r="I1526" s="116"/>
      <c r="L1526" s="170">
        <v>45937</v>
      </c>
      <c r="M1526" s="116">
        <v>238.28</v>
      </c>
      <c r="N1526" s="116">
        <v>243.15</v>
      </c>
      <c r="O1526" s="116">
        <v>237.5</v>
      </c>
      <c r="P1526" s="116">
        <v>242.9</v>
      </c>
      <c r="Q1526" s="116">
        <v>238.28</v>
      </c>
      <c r="R1526">
        <v>1248349</v>
      </c>
    </row>
    <row r="1527" spans="1:18" x14ac:dyDescent="0.25">
      <c r="A1527" s="170">
        <v>45938</v>
      </c>
      <c r="B1527" s="116">
        <v>242.8</v>
      </c>
      <c r="C1527" s="116">
        <v>241.8</v>
      </c>
      <c r="D1527" s="116">
        <v>237.5</v>
      </c>
      <c r="E1527" s="116">
        <v>239.9</v>
      </c>
      <c r="F1527" s="116">
        <v>241.8</v>
      </c>
      <c r="G1527">
        <v>211599</v>
      </c>
      <c r="H1527" s="116"/>
      <c r="I1527" s="116"/>
      <c r="L1527" s="170">
        <v>45938</v>
      </c>
      <c r="M1527" s="116">
        <v>241.61</v>
      </c>
      <c r="N1527" s="116">
        <v>242.7</v>
      </c>
      <c r="O1527" s="116">
        <v>237.52</v>
      </c>
      <c r="P1527" s="116">
        <v>238.8</v>
      </c>
      <c r="Q1527" s="116">
        <v>241.61</v>
      </c>
      <c r="R1527">
        <v>1166355</v>
      </c>
    </row>
    <row r="1528" spans="1:18" x14ac:dyDescent="0.25">
      <c r="A1528" s="170">
        <v>45939</v>
      </c>
      <c r="B1528" s="116">
        <v>242</v>
      </c>
      <c r="C1528" s="116">
        <v>239.45</v>
      </c>
      <c r="D1528" s="116">
        <v>238.1</v>
      </c>
      <c r="E1528" s="116">
        <v>242</v>
      </c>
      <c r="F1528" s="116">
        <v>239.45</v>
      </c>
      <c r="G1528">
        <v>172558</v>
      </c>
      <c r="H1528" s="116"/>
      <c r="I1528" s="116"/>
      <c r="L1528" s="170">
        <v>45939</v>
      </c>
      <c r="M1528" s="116">
        <v>239.47</v>
      </c>
      <c r="N1528" s="116">
        <v>242</v>
      </c>
      <c r="O1528" s="116">
        <v>238</v>
      </c>
      <c r="P1528" s="116">
        <v>241.72</v>
      </c>
      <c r="Q1528" s="116">
        <v>239.47</v>
      </c>
      <c r="R1528">
        <v>737783</v>
      </c>
    </row>
    <row r="1529" spans="1:18" x14ac:dyDescent="0.25">
      <c r="A1529" s="170">
        <v>45940</v>
      </c>
      <c r="B1529" s="116">
        <v>250.5</v>
      </c>
      <c r="C1529" s="116">
        <v>249.45</v>
      </c>
      <c r="D1529" s="116">
        <v>239.1</v>
      </c>
      <c r="E1529" s="116">
        <v>239.1</v>
      </c>
      <c r="F1529" s="116">
        <v>249.45</v>
      </c>
      <c r="G1529">
        <v>285438</v>
      </c>
      <c r="H1529" s="116"/>
      <c r="I1529" s="116"/>
      <c r="L1529" s="170">
        <v>45940</v>
      </c>
      <c r="M1529" s="116">
        <v>249.51</v>
      </c>
      <c r="N1529" s="116">
        <v>250.58</v>
      </c>
      <c r="O1529" s="116">
        <v>239.47</v>
      </c>
      <c r="P1529" s="116">
        <v>239.47</v>
      </c>
      <c r="Q1529" s="116">
        <v>249.51</v>
      </c>
      <c r="R1529">
        <v>3168683</v>
      </c>
    </row>
    <row r="1530" spans="1:18" x14ac:dyDescent="0.25">
      <c r="A1530" s="170">
        <v>45943</v>
      </c>
      <c r="B1530" s="116">
        <v>253</v>
      </c>
      <c r="C1530" s="116">
        <v>250.25</v>
      </c>
      <c r="D1530" s="116">
        <v>246.2</v>
      </c>
      <c r="E1530" s="116">
        <v>248.95</v>
      </c>
      <c r="F1530" s="116">
        <v>250.25</v>
      </c>
      <c r="G1530">
        <v>188944</v>
      </c>
      <c r="H1530" s="116"/>
      <c r="I1530" s="116"/>
      <c r="L1530" s="170">
        <v>45943</v>
      </c>
      <c r="M1530" s="116">
        <v>249.99</v>
      </c>
      <c r="N1530" s="116">
        <v>253.23</v>
      </c>
      <c r="O1530" s="116">
        <v>246.33</v>
      </c>
      <c r="P1530" s="116">
        <v>248.32</v>
      </c>
      <c r="Q1530" s="116">
        <v>249.99</v>
      </c>
      <c r="R1530">
        <v>1785960</v>
      </c>
    </row>
    <row r="1531" spans="1:18" x14ac:dyDescent="0.25">
      <c r="A1531" s="170">
        <v>45944</v>
      </c>
      <c r="B1531" s="116">
        <v>250.75</v>
      </c>
      <c r="C1531" s="116">
        <v>244</v>
      </c>
      <c r="D1531" s="116">
        <v>242.6</v>
      </c>
      <c r="E1531" s="116">
        <v>250.05</v>
      </c>
      <c r="F1531" s="116">
        <v>244</v>
      </c>
      <c r="G1531">
        <v>166880</v>
      </c>
      <c r="H1531" s="116"/>
      <c r="I1531" s="116"/>
      <c r="L1531" s="170">
        <v>45944</v>
      </c>
      <c r="M1531" s="116">
        <v>243.9</v>
      </c>
      <c r="N1531" s="116">
        <v>251</v>
      </c>
      <c r="O1531" s="116">
        <v>242.25</v>
      </c>
      <c r="P1531" s="116">
        <v>250.7</v>
      </c>
      <c r="Q1531" s="116">
        <v>243.9</v>
      </c>
      <c r="R1531">
        <v>912918</v>
      </c>
    </row>
    <row r="1532" spans="1:18" x14ac:dyDescent="0.25">
      <c r="A1532" s="170">
        <v>45945</v>
      </c>
      <c r="B1532" s="116">
        <v>245.25</v>
      </c>
      <c r="C1532" s="116">
        <v>243.55</v>
      </c>
      <c r="D1532" s="116">
        <v>242.4</v>
      </c>
      <c r="E1532" s="116">
        <v>244</v>
      </c>
      <c r="F1532" s="116">
        <v>243.55</v>
      </c>
      <c r="G1532">
        <v>98975</v>
      </c>
      <c r="H1532" s="116"/>
      <c r="I1532" s="116"/>
      <c r="L1532" s="170">
        <v>45945</v>
      </c>
      <c r="M1532" s="116">
        <v>243.49</v>
      </c>
      <c r="N1532" s="116">
        <v>245.54</v>
      </c>
      <c r="O1532" s="116">
        <v>242.15</v>
      </c>
      <c r="P1532" s="116">
        <v>244</v>
      </c>
      <c r="Q1532" s="116">
        <v>243.49</v>
      </c>
      <c r="R1532">
        <v>850537</v>
      </c>
    </row>
    <row r="1533" spans="1:18" x14ac:dyDescent="0.25">
      <c r="A1533" s="170">
        <v>45946</v>
      </c>
      <c r="B1533" s="116">
        <v>246.75</v>
      </c>
      <c r="C1533" s="116">
        <v>243.1</v>
      </c>
      <c r="D1533" s="116">
        <v>241.95</v>
      </c>
      <c r="E1533" s="116">
        <v>243.1</v>
      </c>
      <c r="F1533" s="116">
        <v>243.1</v>
      </c>
      <c r="G1533">
        <v>104523</v>
      </c>
      <c r="H1533" s="116"/>
      <c r="I1533" s="116"/>
      <c r="L1533" s="170">
        <v>45946</v>
      </c>
      <c r="M1533" s="116">
        <v>243.07</v>
      </c>
      <c r="N1533" s="116">
        <v>246.9</v>
      </c>
      <c r="O1533" s="116">
        <v>241.9</v>
      </c>
      <c r="P1533" s="116">
        <v>244</v>
      </c>
      <c r="Q1533" s="116">
        <v>243.07</v>
      </c>
      <c r="R1533">
        <v>843744</v>
      </c>
    </row>
    <row r="1534" spans="1:18" x14ac:dyDescent="0.25">
      <c r="A1534" s="170">
        <v>45947</v>
      </c>
      <c r="B1534" s="116">
        <v>247.45</v>
      </c>
      <c r="C1534" s="116">
        <v>226.8</v>
      </c>
      <c r="D1534" s="116">
        <v>223.55</v>
      </c>
      <c r="E1534" s="116">
        <v>244.2</v>
      </c>
      <c r="F1534" s="116">
        <v>226.8</v>
      </c>
      <c r="G1534">
        <v>1241451</v>
      </c>
      <c r="H1534" s="116"/>
      <c r="I1534" s="116"/>
      <c r="L1534" s="170">
        <v>45947</v>
      </c>
      <c r="M1534" s="116">
        <v>226.47</v>
      </c>
      <c r="N1534" s="116">
        <v>247.54</v>
      </c>
      <c r="O1534" s="116">
        <v>223.52</v>
      </c>
      <c r="P1534" s="116">
        <v>244</v>
      </c>
      <c r="Q1534" s="116">
        <v>226.47</v>
      </c>
      <c r="R1534">
        <v>7066770</v>
      </c>
    </row>
    <row r="1535" spans="1:18" x14ac:dyDescent="0.25">
      <c r="A1535" s="170">
        <v>45950</v>
      </c>
      <c r="B1535" s="116">
        <v>228.4</v>
      </c>
      <c r="C1535" s="116">
        <v>225.05</v>
      </c>
      <c r="D1535" s="116">
        <v>219.65</v>
      </c>
      <c r="E1535" s="116">
        <v>227.05</v>
      </c>
      <c r="F1535" s="116">
        <v>225.05</v>
      </c>
      <c r="G1535">
        <v>581003</v>
      </c>
      <c r="H1535" s="116"/>
      <c r="I1535" s="116"/>
      <c r="L1535" s="170">
        <v>45950</v>
      </c>
      <c r="M1535" s="116">
        <v>224.81</v>
      </c>
      <c r="N1535" s="116">
        <v>228.48</v>
      </c>
      <c r="O1535" s="116">
        <v>219.43</v>
      </c>
      <c r="P1535" s="116">
        <v>228.07</v>
      </c>
      <c r="Q1535" s="116">
        <v>224.81</v>
      </c>
      <c r="R1535">
        <v>4417823</v>
      </c>
    </row>
    <row r="1536" spans="1:18" x14ac:dyDescent="0.25">
      <c r="A1536" s="170">
        <v>45951</v>
      </c>
      <c r="B1536" s="116">
        <v>232</v>
      </c>
      <c r="C1536" s="116">
        <v>230.45</v>
      </c>
      <c r="D1536" s="116">
        <v>225.7</v>
      </c>
      <c r="E1536" s="116">
        <v>225.7</v>
      </c>
      <c r="F1536" s="116">
        <v>230.45</v>
      </c>
      <c r="G1536">
        <v>168648</v>
      </c>
      <c r="H1536" s="116"/>
      <c r="I1536" s="116"/>
      <c r="L1536" s="170">
        <v>45951</v>
      </c>
      <c r="M1536" s="116">
        <v>230.46</v>
      </c>
      <c r="N1536" s="116">
        <v>232.29</v>
      </c>
      <c r="O1536" s="116">
        <v>226.6</v>
      </c>
      <c r="P1536" s="116">
        <v>226.6</v>
      </c>
      <c r="Q1536" s="116">
        <v>230.46</v>
      </c>
      <c r="R1536">
        <v>915767</v>
      </c>
    </row>
    <row r="1537" spans="1:18" x14ac:dyDescent="0.25">
      <c r="A1537" s="170">
        <v>45953</v>
      </c>
      <c r="B1537" s="116">
        <v>233.1</v>
      </c>
      <c r="C1537" s="116">
        <v>228.25</v>
      </c>
      <c r="D1537" s="116">
        <v>227</v>
      </c>
      <c r="E1537" s="116">
        <v>232.8</v>
      </c>
      <c r="F1537" s="116">
        <v>228.25</v>
      </c>
      <c r="G1537">
        <v>86282</v>
      </c>
      <c r="H1537" s="116"/>
      <c r="I1537" s="116"/>
      <c r="L1537" s="170">
        <v>45953</v>
      </c>
      <c r="M1537" s="116">
        <v>228.41</v>
      </c>
      <c r="N1537" s="116">
        <v>233.5</v>
      </c>
      <c r="O1537" s="116">
        <v>227.17</v>
      </c>
      <c r="P1537" s="116">
        <v>233.26</v>
      </c>
      <c r="Q1537" s="116">
        <v>228.41</v>
      </c>
      <c r="R1537">
        <v>1311974</v>
      </c>
    </row>
    <row r="1538" spans="1:18" x14ac:dyDescent="0.25">
      <c r="A1538" s="170">
        <v>45954</v>
      </c>
      <c r="B1538" s="116">
        <v>229.5</v>
      </c>
      <c r="C1538" s="116">
        <v>226.45</v>
      </c>
      <c r="D1538" s="116">
        <v>224.6</v>
      </c>
      <c r="E1538" s="116">
        <v>229.5</v>
      </c>
      <c r="F1538" s="116">
        <v>226.45</v>
      </c>
      <c r="G1538">
        <v>64415</v>
      </c>
      <c r="H1538" s="116"/>
      <c r="I1538" s="116"/>
      <c r="L1538" s="170">
        <v>45954</v>
      </c>
      <c r="M1538" s="116">
        <v>226.45</v>
      </c>
      <c r="N1538" s="116">
        <v>229.75</v>
      </c>
      <c r="O1538" s="116">
        <v>224.65</v>
      </c>
      <c r="P1538" s="116">
        <v>229.75</v>
      </c>
      <c r="Q1538" s="116">
        <v>226.45</v>
      </c>
      <c r="R1538">
        <v>1056396</v>
      </c>
    </row>
    <row r="1539" spans="1:18" x14ac:dyDescent="0.25">
      <c r="A1539" s="170">
        <v>45957</v>
      </c>
      <c r="B1539" s="116">
        <v>232.95</v>
      </c>
      <c r="C1539" s="116">
        <v>231.75</v>
      </c>
      <c r="D1539" s="116">
        <v>225.7</v>
      </c>
      <c r="E1539" s="116">
        <v>227.45</v>
      </c>
      <c r="F1539" s="116">
        <v>231.75</v>
      </c>
      <c r="G1539">
        <v>231622</v>
      </c>
      <c r="H1539" s="116"/>
      <c r="I1539" s="116"/>
      <c r="L1539" s="170">
        <v>45957</v>
      </c>
      <c r="M1539" s="116">
        <v>231.62</v>
      </c>
      <c r="N1539" s="116">
        <v>233</v>
      </c>
      <c r="O1539" s="116">
        <v>225.61</v>
      </c>
      <c r="P1539" s="116">
        <v>227.2</v>
      </c>
      <c r="Q1539" s="116">
        <v>231.62</v>
      </c>
      <c r="R1539">
        <v>1545057</v>
      </c>
    </row>
    <row r="1540" spans="1:18" x14ac:dyDescent="0.25">
      <c r="A1540" s="170">
        <v>45958</v>
      </c>
      <c r="B1540" s="116">
        <v>233.8</v>
      </c>
      <c r="C1540" s="116">
        <v>222.05</v>
      </c>
      <c r="D1540" s="116">
        <v>220.55</v>
      </c>
      <c r="E1540" s="116">
        <v>232</v>
      </c>
      <c r="F1540" s="116">
        <v>222.05</v>
      </c>
      <c r="G1540">
        <v>370614</v>
      </c>
      <c r="H1540" s="116"/>
      <c r="I1540" s="116"/>
      <c r="L1540" s="170">
        <v>45958</v>
      </c>
      <c r="M1540" s="116">
        <v>221.89</v>
      </c>
      <c r="N1540" s="116">
        <v>233.81</v>
      </c>
      <c r="O1540" s="116">
        <v>220</v>
      </c>
      <c r="P1540" s="116">
        <v>232.4</v>
      </c>
      <c r="Q1540" s="116">
        <v>221.89</v>
      </c>
      <c r="R1540">
        <v>3398454</v>
      </c>
    </row>
    <row r="1541" spans="1:18" x14ac:dyDescent="0.25">
      <c r="A1541" s="170">
        <v>45959</v>
      </c>
      <c r="B1541" s="116">
        <v>227</v>
      </c>
      <c r="C1541" s="116">
        <v>224.55</v>
      </c>
      <c r="D1541" s="116">
        <v>221.2</v>
      </c>
      <c r="E1541" s="116">
        <v>223.7</v>
      </c>
      <c r="F1541" s="116">
        <v>224.55</v>
      </c>
      <c r="G1541">
        <v>329284</v>
      </c>
      <c r="H1541" s="116"/>
      <c r="I1541" s="116"/>
      <c r="L1541" s="170">
        <v>45959</v>
      </c>
      <c r="M1541" s="116">
        <v>224.64</v>
      </c>
      <c r="N1541" s="116">
        <v>226.95</v>
      </c>
      <c r="O1541" s="116">
        <v>221.1</v>
      </c>
      <c r="P1541" s="116">
        <v>222.98</v>
      </c>
      <c r="Q1541" s="116">
        <v>224.64</v>
      </c>
      <c r="R1541">
        <v>3338845</v>
      </c>
    </row>
    <row r="1542" spans="1:18" x14ac:dyDescent="0.25">
      <c r="A1542" s="170">
        <v>45960</v>
      </c>
      <c r="B1542" s="116">
        <v>226.85</v>
      </c>
      <c r="C1542" s="116">
        <v>222.7</v>
      </c>
      <c r="D1542" s="116">
        <v>221.65</v>
      </c>
      <c r="E1542" s="116">
        <v>224.65</v>
      </c>
      <c r="F1542" s="116">
        <v>222.7</v>
      </c>
      <c r="G1542">
        <v>69735</v>
      </c>
      <c r="H1542" s="116"/>
      <c r="I1542" s="116"/>
      <c r="L1542" s="170">
        <v>45960</v>
      </c>
      <c r="M1542" s="116">
        <v>222.7</v>
      </c>
      <c r="N1542" s="116">
        <v>226.9</v>
      </c>
      <c r="O1542" s="116">
        <v>221.5</v>
      </c>
      <c r="P1542" s="116">
        <v>224.64</v>
      </c>
      <c r="Q1542" s="116">
        <v>222.7</v>
      </c>
      <c r="R1542">
        <v>1036993</v>
      </c>
    </row>
    <row r="1543" spans="1:18" x14ac:dyDescent="0.25">
      <c r="A1543" s="170">
        <v>45961</v>
      </c>
      <c r="B1543" s="116">
        <v>223.9</v>
      </c>
      <c r="C1543" s="116">
        <v>219.9</v>
      </c>
      <c r="D1543" s="116">
        <v>219.05</v>
      </c>
      <c r="E1543" s="116">
        <v>223</v>
      </c>
      <c r="F1543" s="116">
        <v>219.9</v>
      </c>
      <c r="G1543">
        <v>176690</v>
      </c>
      <c r="H1543" s="116"/>
      <c r="I1543" s="116"/>
      <c r="L1543" s="170">
        <v>45961</v>
      </c>
      <c r="M1543" s="116">
        <v>219.93</v>
      </c>
      <c r="N1543" s="116">
        <v>223.74</v>
      </c>
      <c r="O1543" s="116">
        <v>219.12</v>
      </c>
      <c r="P1543" s="116">
        <v>222.8</v>
      </c>
      <c r="Q1543" s="116">
        <v>219.93</v>
      </c>
      <c r="R1543">
        <v>1422500</v>
      </c>
    </row>
    <row r="1544" spans="1:18" x14ac:dyDescent="0.25">
      <c r="A1544" s="170">
        <v>45964</v>
      </c>
      <c r="B1544" s="116">
        <v>246</v>
      </c>
      <c r="C1544" s="116">
        <v>238.7</v>
      </c>
      <c r="D1544" s="116">
        <v>219.8</v>
      </c>
      <c r="E1544" s="116">
        <v>220.3</v>
      </c>
      <c r="F1544" s="116">
        <v>238.7</v>
      </c>
      <c r="G1544">
        <v>1474748</v>
      </c>
      <c r="H1544" s="116"/>
      <c r="I1544" s="116"/>
      <c r="L1544" s="170">
        <v>45964</v>
      </c>
      <c r="M1544" s="116">
        <v>238.7</v>
      </c>
      <c r="N1544" s="116">
        <v>245.8</v>
      </c>
      <c r="O1544" s="116">
        <v>219.61</v>
      </c>
      <c r="P1544" s="116">
        <v>220.9</v>
      </c>
      <c r="Q1544" s="116">
        <v>238.7</v>
      </c>
      <c r="R1544">
        <v>23477739</v>
      </c>
    </row>
    <row r="1545" spans="1:18" x14ac:dyDescent="0.25">
      <c r="A1545" s="170">
        <v>45965</v>
      </c>
      <c r="B1545" s="116">
        <v>241.9</v>
      </c>
      <c r="C1545" s="116">
        <v>234.75</v>
      </c>
      <c r="D1545" s="116">
        <v>233</v>
      </c>
      <c r="E1545" s="116">
        <v>239.8</v>
      </c>
      <c r="F1545" s="116">
        <v>234.75</v>
      </c>
      <c r="G1545">
        <v>337058</v>
      </c>
      <c r="H1545" s="116"/>
      <c r="I1545" s="116"/>
      <c r="L1545" s="170">
        <v>45965</v>
      </c>
      <c r="M1545" s="116">
        <v>234.61</v>
      </c>
      <c r="N1545" s="116">
        <v>241.91</v>
      </c>
      <c r="O1545" s="116">
        <v>233.1</v>
      </c>
      <c r="P1545" s="116">
        <v>240.01</v>
      </c>
      <c r="Q1545" s="116">
        <v>234.61</v>
      </c>
      <c r="R1545">
        <v>2027566</v>
      </c>
    </row>
    <row r="1546" spans="1:18" x14ac:dyDescent="0.25">
      <c r="A1546" s="170">
        <v>45967</v>
      </c>
      <c r="B1546" s="116">
        <v>235.6</v>
      </c>
      <c r="C1546" s="116">
        <v>232</v>
      </c>
      <c r="D1546" s="116">
        <v>227.1</v>
      </c>
      <c r="E1546" s="116">
        <v>235.45</v>
      </c>
      <c r="F1546" s="116">
        <v>232</v>
      </c>
      <c r="G1546">
        <v>323462</v>
      </c>
      <c r="H1546" s="116"/>
      <c r="I1546" s="116"/>
      <c r="L1546" s="170">
        <v>45967</v>
      </c>
      <c r="M1546" s="116">
        <v>231.72</v>
      </c>
      <c r="N1546" s="116">
        <v>235.73</v>
      </c>
      <c r="O1546" s="116">
        <v>227.01</v>
      </c>
      <c r="P1546" s="116">
        <v>235.2</v>
      </c>
      <c r="Q1546" s="116">
        <v>231.72</v>
      </c>
      <c r="R1546">
        <v>1755895</v>
      </c>
    </row>
    <row r="1547" spans="1:18" x14ac:dyDescent="0.25">
      <c r="A1547" s="170">
        <v>45968</v>
      </c>
      <c r="B1547" s="116">
        <v>231.5</v>
      </c>
      <c r="C1547" s="116">
        <v>229.75</v>
      </c>
      <c r="D1547" s="116">
        <v>227.1</v>
      </c>
      <c r="E1547" s="116">
        <v>230</v>
      </c>
      <c r="F1547" s="116">
        <v>229.75</v>
      </c>
      <c r="G1547">
        <v>177889</v>
      </c>
      <c r="H1547" s="116"/>
      <c r="I1547" s="116"/>
      <c r="L1547" s="170">
        <v>45968</v>
      </c>
      <c r="M1547" s="116">
        <v>229.87</v>
      </c>
      <c r="N1547" s="116">
        <v>231.5</v>
      </c>
      <c r="O1547" s="116">
        <v>227.11</v>
      </c>
      <c r="P1547" s="116">
        <v>230</v>
      </c>
      <c r="Q1547" s="116">
        <v>229.87</v>
      </c>
      <c r="R1547">
        <v>862591</v>
      </c>
    </row>
    <row r="1548" spans="1:18" x14ac:dyDescent="0.25">
      <c r="A1548" s="170">
        <v>45971</v>
      </c>
      <c r="B1548" s="116">
        <v>241.85</v>
      </c>
      <c r="C1548" s="116">
        <v>231.2</v>
      </c>
      <c r="D1548" s="116">
        <v>230</v>
      </c>
      <c r="E1548" s="116">
        <v>230.35</v>
      </c>
      <c r="F1548" s="116">
        <v>231.2</v>
      </c>
      <c r="G1548">
        <v>229206</v>
      </c>
      <c r="H1548" s="116"/>
      <c r="I1548" s="116"/>
      <c r="L1548" s="170">
        <v>45971</v>
      </c>
      <c r="M1548" s="116">
        <v>230.97</v>
      </c>
      <c r="N1548" s="116">
        <v>241.9</v>
      </c>
      <c r="O1548" s="116">
        <v>230.15</v>
      </c>
      <c r="P1548" s="116">
        <v>230.88</v>
      </c>
      <c r="Q1548" s="116">
        <v>230.97</v>
      </c>
      <c r="R1548">
        <v>3031141</v>
      </c>
    </row>
    <row r="1549" spans="1:18" x14ac:dyDescent="0.25">
      <c r="A1549" s="170">
        <v>45972</v>
      </c>
      <c r="B1549" s="116">
        <v>232.2</v>
      </c>
      <c r="C1549" s="116">
        <v>230.6</v>
      </c>
      <c r="D1549" s="116">
        <v>227</v>
      </c>
      <c r="E1549" s="116">
        <v>231.35</v>
      </c>
      <c r="F1549" s="116">
        <v>230.6</v>
      </c>
      <c r="G1549">
        <v>147215</v>
      </c>
      <c r="H1549" s="116"/>
      <c r="I1549" s="116"/>
      <c r="L1549" s="170">
        <v>45972</v>
      </c>
      <c r="M1549" s="116">
        <v>230.53</v>
      </c>
      <c r="N1549" s="116">
        <v>232.08</v>
      </c>
      <c r="O1549" s="116">
        <v>227</v>
      </c>
      <c r="P1549" s="116">
        <v>231.49</v>
      </c>
      <c r="Q1549" s="116">
        <v>230.53</v>
      </c>
      <c r="R1549">
        <v>966342</v>
      </c>
    </row>
    <row r="1550" spans="1:18" x14ac:dyDescent="0.25">
      <c r="A1550" s="170">
        <v>45973</v>
      </c>
      <c r="B1550" s="116">
        <v>235.05</v>
      </c>
      <c r="C1550" s="116">
        <v>233.65</v>
      </c>
      <c r="D1550" s="116">
        <v>229.55</v>
      </c>
      <c r="E1550" s="116">
        <v>233</v>
      </c>
      <c r="F1550" s="116">
        <v>233.65</v>
      </c>
      <c r="G1550">
        <v>178752</v>
      </c>
      <c r="H1550" s="116"/>
      <c r="I1550" s="116"/>
      <c r="L1550" s="170">
        <v>45973</v>
      </c>
      <c r="M1550" s="116">
        <v>233.58</v>
      </c>
      <c r="N1550" s="116">
        <v>235.2</v>
      </c>
      <c r="O1550" s="116">
        <v>229.66</v>
      </c>
      <c r="P1550" s="116">
        <v>232.86</v>
      </c>
      <c r="Q1550" s="116">
        <v>233.58</v>
      </c>
      <c r="R1550">
        <v>1375832</v>
      </c>
    </row>
    <row r="1551" spans="1:18" x14ac:dyDescent="0.25">
      <c r="A1551" s="170">
        <v>45974</v>
      </c>
      <c r="B1551" s="116">
        <v>235</v>
      </c>
      <c r="C1551" s="116">
        <v>231.85</v>
      </c>
      <c r="D1551" s="116">
        <v>231.35</v>
      </c>
      <c r="E1551" s="116">
        <v>232.3</v>
      </c>
      <c r="F1551" s="116">
        <v>231.85</v>
      </c>
      <c r="G1551">
        <v>172357</v>
      </c>
      <c r="H1551" s="116"/>
      <c r="I1551" s="116"/>
      <c r="L1551" s="170">
        <v>45974</v>
      </c>
      <c r="M1551" s="116">
        <v>231.8</v>
      </c>
      <c r="N1551" s="116">
        <v>235</v>
      </c>
      <c r="O1551" s="116">
        <v>231.48</v>
      </c>
      <c r="P1551" s="116">
        <v>232.58</v>
      </c>
      <c r="Q1551" s="116">
        <v>231.8</v>
      </c>
      <c r="R1551">
        <v>1083669</v>
      </c>
    </row>
    <row r="1552" spans="1:18" x14ac:dyDescent="0.25">
      <c r="A1552" s="170">
        <v>45975</v>
      </c>
      <c r="B1552" s="116">
        <v>233.2</v>
      </c>
      <c r="C1552" s="116">
        <v>229.4</v>
      </c>
      <c r="D1552" s="116">
        <v>228.75</v>
      </c>
      <c r="E1552" s="116">
        <v>229.15</v>
      </c>
      <c r="F1552" s="116">
        <v>229.4</v>
      </c>
      <c r="G1552">
        <v>142711</v>
      </c>
      <c r="H1552" s="116"/>
      <c r="I1552" s="116"/>
      <c r="L1552" s="170">
        <v>45975</v>
      </c>
      <c r="M1552" s="116">
        <v>229.58</v>
      </c>
      <c r="N1552" s="116">
        <v>233.32</v>
      </c>
      <c r="O1552" s="116">
        <v>228.62</v>
      </c>
      <c r="P1552" s="116">
        <v>231.5</v>
      </c>
      <c r="Q1552" s="116">
        <v>229.58</v>
      </c>
      <c r="R1552">
        <v>982896</v>
      </c>
    </row>
    <row r="1553" spans="1:18" x14ac:dyDescent="0.25">
      <c r="A1553" s="170">
        <v>45978</v>
      </c>
      <c r="B1553" s="116">
        <v>235.6</v>
      </c>
      <c r="C1553" s="116">
        <v>232.85</v>
      </c>
      <c r="D1553" s="116">
        <v>230.4</v>
      </c>
      <c r="E1553" s="116">
        <v>232.15</v>
      </c>
      <c r="F1553" s="116">
        <v>232.85</v>
      </c>
      <c r="G1553">
        <v>74950</v>
      </c>
      <c r="H1553" s="116"/>
      <c r="I1553" s="116"/>
      <c r="L1553" s="170">
        <v>45978</v>
      </c>
      <c r="M1553" s="116">
        <v>232.87</v>
      </c>
      <c r="N1553" s="116">
        <v>235.63</v>
      </c>
      <c r="O1553" s="116">
        <v>230.31</v>
      </c>
      <c r="P1553" s="116">
        <v>231.8</v>
      </c>
      <c r="Q1553" s="116">
        <v>232.87</v>
      </c>
      <c r="R1553">
        <v>1293301</v>
      </c>
    </row>
    <row r="1554" spans="1:18" x14ac:dyDescent="0.25">
      <c r="A1554" s="170">
        <v>45979</v>
      </c>
      <c r="B1554" s="116">
        <v>233.1</v>
      </c>
      <c r="C1554" s="116">
        <v>229.25</v>
      </c>
      <c r="D1554" s="116">
        <v>228.5</v>
      </c>
      <c r="E1554" s="116">
        <v>232.85</v>
      </c>
      <c r="F1554" s="116">
        <v>229.25</v>
      </c>
      <c r="G1554">
        <v>35035</v>
      </c>
      <c r="H1554" s="116"/>
      <c r="I1554" s="116"/>
      <c r="L1554" s="170">
        <v>45979</v>
      </c>
      <c r="M1554" s="116">
        <v>229.39</v>
      </c>
      <c r="N1554" s="116">
        <v>233.38</v>
      </c>
      <c r="O1554" s="116">
        <v>228.68</v>
      </c>
      <c r="P1554" s="116">
        <v>232.51</v>
      </c>
      <c r="Q1554" s="116">
        <v>229.39</v>
      </c>
      <c r="R1554">
        <v>799423</v>
      </c>
    </row>
    <row r="1555" spans="1:18" x14ac:dyDescent="0.25">
      <c r="A1555" s="170">
        <v>45980</v>
      </c>
      <c r="B1555" s="116">
        <v>229.95</v>
      </c>
      <c r="C1555" s="116">
        <v>228.35</v>
      </c>
      <c r="D1555" s="116">
        <v>227.05</v>
      </c>
      <c r="E1555" s="116">
        <v>229.95</v>
      </c>
      <c r="F1555" s="116">
        <v>228.35</v>
      </c>
      <c r="G1555">
        <v>53531</v>
      </c>
      <c r="H1555" s="116"/>
      <c r="I1555" s="116"/>
      <c r="L1555" s="170">
        <v>45980</v>
      </c>
      <c r="M1555" s="116">
        <v>228.25</v>
      </c>
      <c r="N1555" s="116">
        <v>229.39</v>
      </c>
      <c r="O1555" s="116">
        <v>227</v>
      </c>
      <c r="P1555" s="116">
        <v>228.7</v>
      </c>
      <c r="Q1555" s="116">
        <v>228.25</v>
      </c>
      <c r="R1555">
        <v>604239</v>
      </c>
    </row>
    <row r="1556" spans="1:18" x14ac:dyDescent="0.25">
      <c r="A1556" s="170">
        <v>45981</v>
      </c>
      <c r="B1556" s="116">
        <v>238</v>
      </c>
      <c r="C1556" s="116">
        <v>231.65</v>
      </c>
      <c r="D1556" s="116">
        <v>227.5</v>
      </c>
      <c r="E1556" s="116">
        <v>228.05</v>
      </c>
      <c r="F1556" s="116">
        <v>231.65</v>
      </c>
      <c r="G1556">
        <v>181332</v>
      </c>
      <c r="H1556" s="116"/>
      <c r="I1556" s="116"/>
      <c r="L1556" s="170">
        <v>45981</v>
      </c>
      <c r="M1556" s="116">
        <v>231.59</v>
      </c>
      <c r="N1556" s="116">
        <v>238.19</v>
      </c>
      <c r="O1556" s="116">
        <v>227.5</v>
      </c>
      <c r="P1556" s="116">
        <v>229</v>
      </c>
      <c r="Q1556" s="116">
        <v>231.59</v>
      </c>
      <c r="R1556">
        <v>1703548</v>
      </c>
    </row>
    <row r="1557" spans="1:18" x14ac:dyDescent="0.25">
      <c r="A1557" s="170">
        <v>45982</v>
      </c>
      <c r="B1557" s="116">
        <v>232.4</v>
      </c>
      <c r="C1557" s="116">
        <v>228.5</v>
      </c>
      <c r="D1557" s="116">
        <v>227.15</v>
      </c>
      <c r="E1557" s="116">
        <v>229.85</v>
      </c>
      <c r="F1557" s="116">
        <v>228.5</v>
      </c>
      <c r="G1557">
        <v>129820</v>
      </c>
      <c r="H1557" s="116"/>
      <c r="I1557" s="116"/>
      <c r="L1557" s="170">
        <v>45982</v>
      </c>
      <c r="M1557" s="116">
        <v>228.48</v>
      </c>
      <c r="N1557" s="116">
        <v>232.5</v>
      </c>
      <c r="O1557" s="116">
        <v>227.05</v>
      </c>
      <c r="P1557" s="116">
        <v>231.1</v>
      </c>
      <c r="Q1557" s="116">
        <v>228.48</v>
      </c>
      <c r="R1557">
        <v>993919</v>
      </c>
    </row>
    <row r="1558" spans="1:18" x14ac:dyDescent="0.25">
      <c r="A1558" s="170">
        <v>45985</v>
      </c>
      <c r="B1558" s="116">
        <v>231</v>
      </c>
      <c r="C1558" s="116">
        <v>224.75</v>
      </c>
      <c r="D1558" s="116">
        <v>223.9</v>
      </c>
      <c r="E1558" s="116">
        <v>229.6</v>
      </c>
      <c r="F1558" s="116">
        <v>224.75</v>
      </c>
      <c r="G1558">
        <v>131731</v>
      </c>
      <c r="H1558" s="116"/>
      <c r="I1558" s="116"/>
      <c r="L1558" s="170">
        <v>45985</v>
      </c>
      <c r="M1558" s="116">
        <v>225</v>
      </c>
      <c r="N1558" s="116">
        <v>231.04</v>
      </c>
      <c r="O1558" s="116">
        <v>224</v>
      </c>
      <c r="P1558" s="116">
        <v>229</v>
      </c>
      <c r="Q1558" s="116">
        <v>225</v>
      </c>
      <c r="R1558">
        <v>995885</v>
      </c>
    </row>
    <row r="1559" spans="1:18" x14ac:dyDescent="0.25">
      <c r="A1559" s="170">
        <v>45986</v>
      </c>
      <c r="B1559" s="116">
        <v>227.1</v>
      </c>
      <c r="C1559" s="116">
        <v>224.75</v>
      </c>
      <c r="D1559" s="116">
        <v>223.8</v>
      </c>
      <c r="E1559" s="116">
        <v>225.1</v>
      </c>
      <c r="F1559" s="116">
        <v>224.75</v>
      </c>
      <c r="G1559">
        <v>82258</v>
      </c>
      <c r="H1559" s="116"/>
      <c r="I1559" s="116"/>
      <c r="L1559" s="170">
        <v>45986</v>
      </c>
      <c r="M1559" s="116">
        <v>224.81</v>
      </c>
      <c r="N1559" s="116">
        <v>227.19</v>
      </c>
      <c r="O1559" s="116">
        <v>223.2</v>
      </c>
      <c r="P1559" s="116">
        <v>225</v>
      </c>
      <c r="Q1559" s="116">
        <v>224.81</v>
      </c>
      <c r="R1559">
        <v>658872</v>
      </c>
    </row>
    <row r="1560" spans="1:18" x14ac:dyDescent="0.25">
      <c r="A1560" s="170">
        <v>45987</v>
      </c>
      <c r="B1560" s="116">
        <v>230.35</v>
      </c>
      <c r="C1560" s="116">
        <v>225.95</v>
      </c>
      <c r="D1560" s="116">
        <v>225.2</v>
      </c>
      <c r="E1560" s="116">
        <v>227.2</v>
      </c>
      <c r="F1560" s="116">
        <v>225.95</v>
      </c>
      <c r="G1560">
        <v>42774</v>
      </c>
      <c r="H1560" s="116"/>
      <c r="I1560" s="116"/>
      <c r="L1560" s="170">
        <v>45987</v>
      </c>
      <c r="M1560" s="116">
        <v>225.91</v>
      </c>
      <c r="N1560" s="116">
        <v>230.38</v>
      </c>
      <c r="O1560" s="116">
        <v>225.1</v>
      </c>
      <c r="P1560" s="116">
        <v>227</v>
      </c>
      <c r="Q1560" s="116">
        <v>225.91</v>
      </c>
      <c r="R1560">
        <v>943472</v>
      </c>
    </row>
    <row r="1561" spans="1:18" x14ac:dyDescent="0.25">
      <c r="A1561" s="170">
        <v>45988</v>
      </c>
      <c r="B1561" s="116">
        <v>237.85</v>
      </c>
      <c r="C1561" s="116">
        <v>228.35</v>
      </c>
      <c r="D1561" s="116">
        <v>227.5</v>
      </c>
      <c r="E1561" s="116">
        <v>232.05</v>
      </c>
      <c r="F1561" s="116">
        <v>228.35</v>
      </c>
      <c r="G1561">
        <v>287283</v>
      </c>
      <c r="H1561" s="116"/>
      <c r="I1561" s="116"/>
      <c r="L1561" s="170">
        <v>45988</v>
      </c>
      <c r="M1561" s="116">
        <v>228.51</v>
      </c>
      <c r="N1561" s="116">
        <v>238</v>
      </c>
      <c r="O1561" s="116">
        <v>227.28</v>
      </c>
      <c r="P1561" s="116">
        <v>233</v>
      </c>
      <c r="Q1561" s="116">
        <v>228.51</v>
      </c>
      <c r="R1561">
        <v>2826421</v>
      </c>
    </row>
    <row r="1562" spans="1:18" x14ac:dyDescent="0.25">
      <c r="A1562" s="170">
        <v>45989</v>
      </c>
      <c r="B1562" s="116">
        <v>230</v>
      </c>
      <c r="C1562" s="116">
        <v>225.95</v>
      </c>
      <c r="D1562" s="116">
        <v>225.3</v>
      </c>
      <c r="E1562" s="116">
        <v>228.4</v>
      </c>
      <c r="F1562" s="116">
        <v>225.95</v>
      </c>
      <c r="G1562">
        <v>99329</v>
      </c>
      <c r="H1562" s="116"/>
      <c r="I1562" s="116"/>
      <c r="L1562" s="170">
        <v>45989</v>
      </c>
      <c r="M1562" s="116">
        <v>225.96</v>
      </c>
      <c r="N1562" s="116">
        <v>230.1</v>
      </c>
      <c r="O1562" s="116">
        <v>225.21</v>
      </c>
      <c r="P1562" s="116">
        <v>229.94</v>
      </c>
      <c r="Q1562" s="116">
        <v>225.96</v>
      </c>
      <c r="R1562">
        <v>1000984</v>
      </c>
    </row>
    <row r="1563" spans="1:18" x14ac:dyDescent="0.25">
      <c r="A1563" s="170">
        <v>45992</v>
      </c>
      <c r="B1563" s="116">
        <v>238.35</v>
      </c>
      <c r="C1563" s="116">
        <v>229.25</v>
      </c>
      <c r="D1563" s="116">
        <v>228</v>
      </c>
      <c r="E1563" s="116">
        <v>232.5</v>
      </c>
      <c r="F1563" s="116">
        <v>229.25</v>
      </c>
      <c r="G1563">
        <v>396149</v>
      </c>
      <c r="H1563" s="116"/>
      <c r="I1563" s="116"/>
      <c r="L1563" s="170">
        <v>45992</v>
      </c>
      <c r="M1563" s="116">
        <v>229.47</v>
      </c>
      <c r="N1563" s="116">
        <v>238.5</v>
      </c>
      <c r="O1563" s="116">
        <v>228.1</v>
      </c>
      <c r="P1563" s="116">
        <v>233</v>
      </c>
      <c r="Q1563" s="116">
        <v>229.47</v>
      </c>
      <c r="R1563">
        <v>6003427</v>
      </c>
    </row>
    <row r="1564" spans="1:18" x14ac:dyDescent="0.25">
      <c r="A1564" s="170">
        <v>45993</v>
      </c>
      <c r="B1564" s="116">
        <v>234.2</v>
      </c>
      <c r="C1564" s="116">
        <v>232</v>
      </c>
      <c r="D1564" s="116">
        <v>225.9</v>
      </c>
      <c r="E1564" s="116">
        <v>230.75</v>
      </c>
      <c r="F1564" s="116">
        <v>232</v>
      </c>
      <c r="G1564">
        <v>136937</v>
      </c>
      <c r="H1564" s="116"/>
      <c r="I1564" s="116"/>
      <c r="L1564" s="170">
        <v>45993</v>
      </c>
      <c r="M1564" s="116">
        <v>232.14</v>
      </c>
      <c r="N1564" s="116">
        <v>234.2</v>
      </c>
      <c r="O1564" s="116">
        <v>226.07</v>
      </c>
      <c r="P1564" s="116">
        <v>229.39</v>
      </c>
      <c r="Q1564" s="116">
        <v>232.14</v>
      </c>
      <c r="R1564">
        <v>2154113</v>
      </c>
    </row>
    <row r="1565" spans="1:18" x14ac:dyDescent="0.25">
      <c r="A1565" s="170">
        <v>45994</v>
      </c>
      <c r="B1565" s="116">
        <v>233.95</v>
      </c>
      <c r="C1565" s="116">
        <v>227.15</v>
      </c>
      <c r="D1565" s="116">
        <v>226.35</v>
      </c>
      <c r="E1565" s="116">
        <v>232.35</v>
      </c>
      <c r="F1565" s="116">
        <v>227.15</v>
      </c>
      <c r="G1565">
        <v>52742</v>
      </c>
      <c r="H1565" s="116"/>
      <c r="I1565" s="116"/>
      <c r="L1565" s="170">
        <v>45994</v>
      </c>
      <c r="M1565" s="116">
        <v>227.15</v>
      </c>
      <c r="N1565" s="116">
        <v>232.11</v>
      </c>
      <c r="O1565" s="116">
        <v>226.1</v>
      </c>
      <c r="P1565" s="116">
        <v>232.11</v>
      </c>
      <c r="Q1565" s="116">
        <v>227.15</v>
      </c>
      <c r="R1565">
        <v>1027618</v>
      </c>
    </row>
    <row r="1566" spans="1:18" x14ac:dyDescent="0.25">
      <c r="A1566" s="170">
        <v>45995</v>
      </c>
      <c r="B1566" s="116">
        <v>226.85</v>
      </c>
      <c r="C1566" s="116">
        <v>224.5</v>
      </c>
      <c r="D1566" s="116">
        <v>223</v>
      </c>
      <c r="E1566" s="116">
        <v>226.8</v>
      </c>
      <c r="F1566" s="116">
        <v>224.5</v>
      </c>
      <c r="G1566">
        <v>109854</v>
      </c>
      <c r="H1566" s="116"/>
      <c r="I1566" s="116"/>
      <c r="L1566" s="170">
        <v>45995</v>
      </c>
      <c r="M1566" s="116">
        <v>224.58</v>
      </c>
      <c r="N1566" s="116">
        <v>227.16</v>
      </c>
      <c r="O1566" s="116">
        <v>223.15</v>
      </c>
      <c r="P1566" s="116">
        <v>227.1</v>
      </c>
      <c r="Q1566" s="116">
        <v>224.58</v>
      </c>
      <c r="R1566">
        <v>960287</v>
      </c>
    </row>
    <row r="1567" spans="1:18" x14ac:dyDescent="0.25">
      <c r="A1567" s="170">
        <v>45996</v>
      </c>
      <c r="B1567" s="116">
        <v>225.3</v>
      </c>
      <c r="C1567" s="116">
        <v>221.1</v>
      </c>
      <c r="D1567" s="116">
        <v>220.2</v>
      </c>
      <c r="E1567" s="116">
        <v>224.05</v>
      </c>
      <c r="F1567" s="116">
        <v>221.1</v>
      </c>
      <c r="G1567">
        <v>73053</v>
      </c>
      <c r="H1567" s="116"/>
      <c r="I1567" s="116"/>
      <c r="L1567" s="170">
        <v>45996</v>
      </c>
      <c r="M1567" s="116">
        <v>220.85</v>
      </c>
      <c r="N1567" s="116">
        <v>225.35</v>
      </c>
      <c r="O1567" s="116">
        <v>220.24</v>
      </c>
      <c r="P1567" s="116">
        <v>224.58</v>
      </c>
      <c r="Q1567" s="116">
        <v>220.85</v>
      </c>
      <c r="R1567">
        <v>1011742</v>
      </c>
    </row>
    <row r="1568" spans="1:18" x14ac:dyDescent="0.25">
      <c r="A1568" s="170">
        <v>45999</v>
      </c>
      <c r="B1568" s="116">
        <v>221</v>
      </c>
      <c r="C1568" s="116">
        <v>203.35</v>
      </c>
      <c r="D1568" s="116">
        <v>202.05</v>
      </c>
      <c r="E1568" s="116">
        <v>220.05</v>
      </c>
      <c r="F1568" s="116">
        <v>203.35</v>
      </c>
      <c r="G1568">
        <v>534918</v>
      </c>
      <c r="H1568" s="116"/>
      <c r="I1568" s="116"/>
      <c r="L1568" s="170">
        <v>45999</v>
      </c>
      <c r="M1568" s="116">
        <v>203.3</v>
      </c>
      <c r="N1568" s="116">
        <v>221.01</v>
      </c>
      <c r="O1568" s="116">
        <v>201.7</v>
      </c>
      <c r="P1568" s="116">
        <v>221</v>
      </c>
      <c r="Q1568" s="116">
        <v>203.3</v>
      </c>
      <c r="R1568">
        <v>3494471</v>
      </c>
    </row>
    <row r="1569" spans="1:18" x14ac:dyDescent="0.25">
      <c r="A1569" s="170">
        <v>46000</v>
      </c>
      <c r="B1569" s="116">
        <v>208</v>
      </c>
      <c r="C1569" s="116">
        <v>206.6</v>
      </c>
      <c r="D1569" s="116">
        <v>197.85</v>
      </c>
      <c r="E1569" s="116">
        <v>203</v>
      </c>
      <c r="F1569" s="116">
        <v>206.6</v>
      </c>
      <c r="G1569">
        <v>869620</v>
      </c>
      <c r="H1569" s="116"/>
      <c r="I1569" s="116"/>
      <c r="L1569" s="170">
        <v>46000</v>
      </c>
      <c r="M1569" s="116">
        <v>206.71</v>
      </c>
      <c r="N1569" s="116">
        <v>208.31</v>
      </c>
      <c r="O1569" s="116">
        <v>197.64</v>
      </c>
      <c r="P1569" s="116">
        <v>202.8</v>
      </c>
      <c r="Q1569" s="116">
        <v>206.71</v>
      </c>
      <c r="R1569">
        <v>2619946</v>
      </c>
    </row>
    <row r="1570" spans="1:18" x14ac:dyDescent="0.25">
      <c r="A1570" s="170">
        <v>46001</v>
      </c>
      <c r="B1570" s="116">
        <v>209.1</v>
      </c>
      <c r="C1570" s="116">
        <v>202.55</v>
      </c>
      <c r="D1570" s="116">
        <v>201</v>
      </c>
      <c r="E1570" s="116">
        <v>206.25</v>
      </c>
      <c r="F1570" s="116">
        <v>202.55</v>
      </c>
      <c r="G1570">
        <v>83546</v>
      </c>
      <c r="H1570" s="116"/>
      <c r="I1570" s="116"/>
      <c r="L1570" s="170">
        <v>46001</v>
      </c>
      <c r="M1570" s="116">
        <v>202.32</v>
      </c>
      <c r="N1570" s="116">
        <v>209.33</v>
      </c>
      <c r="O1570" s="116">
        <v>200.15</v>
      </c>
      <c r="P1570" s="116">
        <v>206.5</v>
      </c>
      <c r="Q1570" s="116">
        <v>202.32</v>
      </c>
      <c r="R1570">
        <v>1116879</v>
      </c>
    </row>
    <row r="1571" spans="1:18" x14ac:dyDescent="0.25">
      <c r="A1571" s="170">
        <v>46002</v>
      </c>
      <c r="B1571" s="116">
        <v>217.6</v>
      </c>
      <c r="C1571" s="116">
        <v>215</v>
      </c>
      <c r="D1571" s="116">
        <v>196.55</v>
      </c>
      <c r="E1571" s="116">
        <v>202</v>
      </c>
      <c r="F1571" s="116">
        <v>215</v>
      </c>
      <c r="G1571">
        <v>344401</v>
      </c>
      <c r="H1571" s="116"/>
      <c r="I1571" s="116"/>
      <c r="L1571" s="170">
        <v>46002</v>
      </c>
      <c r="M1571" s="116">
        <v>214.89</v>
      </c>
      <c r="N1571" s="116">
        <v>217.5</v>
      </c>
      <c r="O1571" s="116">
        <v>196.6</v>
      </c>
      <c r="P1571" s="116">
        <v>201.9</v>
      </c>
      <c r="Q1571" s="116">
        <v>214.89</v>
      </c>
      <c r="R1571">
        <v>3747172</v>
      </c>
    </row>
    <row r="1572" spans="1:18" x14ac:dyDescent="0.25">
      <c r="A1572" s="170">
        <v>46003</v>
      </c>
      <c r="B1572" s="116">
        <v>220.9</v>
      </c>
      <c r="C1572" s="116">
        <v>217.55</v>
      </c>
      <c r="D1572" s="116">
        <v>213.85</v>
      </c>
      <c r="E1572" s="116">
        <v>215.2</v>
      </c>
      <c r="F1572" s="116">
        <v>217.55</v>
      </c>
      <c r="G1572">
        <v>212165</v>
      </c>
      <c r="H1572" s="116"/>
      <c r="I1572" s="116"/>
      <c r="L1572" s="170">
        <v>46003</v>
      </c>
      <c r="M1572" s="116">
        <v>217.86</v>
      </c>
      <c r="N1572" s="116">
        <v>220.88</v>
      </c>
      <c r="O1572" s="116">
        <v>213.45</v>
      </c>
      <c r="P1572" s="116">
        <v>215</v>
      </c>
      <c r="Q1572" s="116">
        <v>217.86</v>
      </c>
      <c r="R1572">
        <v>2102266</v>
      </c>
    </row>
    <row r="1573" spans="1:18" x14ac:dyDescent="0.25">
      <c r="A1573" s="170">
        <v>46006</v>
      </c>
      <c r="B1573" s="116">
        <v>217</v>
      </c>
      <c r="C1573" s="116">
        <v>212.55</v>
      </c>
      <c r="D1573" s="116">
        <v>211.5</v>
      </c>
      <c r="E1573" s="116">
        <v>217</v>
      </c>
      <c r="F1573" s="116">
        <v>212.55</v>
      </c>
      <c r="G1573">
        <v>136183</v>
      </c>
      <c r="H1573" s="116"/>
      <c r="I1573" s="116"/>
      <c r="L1573" s="170">
        <v>46006</v>
      </c>
      <c r="M1573" s="116">
        <v>212.32</v>
      </c>
      <c r="N1573" s="116">
        <v>217</v>
      </c>
      <c r="O1573" s="116">
        <v>211.1</v>
      </c>
      <c r="P1573" s="116">
        <v>216.52</v>
      </c>
      <c r="Q1573" s="116">
        <v>212.32</v>
      </c>
      <c r="R1573">
        <v>1017134</v>
      </c>
    </row>
    <row r="1574" spans="1:18" x14ac:dyDescent="0.25">
      <c r="A1574" s="170">
        <v>46007</v>
      </c>
      <c r="B1574" s="116">
        <v>213</v>
      </c>
      <c r="C1574" s="116">
        <v>210.55</v>
      </c>
      <c r="D1574" s="116">
        <v>208.55</v>
      </c>
      <c r="E1574" s="116">
        <v>211.25</v>
      </c>
      <c r="F1574" s="116">
        <v>210.55</v>
      </c>
      <c r="G1574">
        <v>69223</v>
      </c>
      <c r="H1574" s="116"/>
      <c r="I1574" s="116"/>
      <c r="L1574" s="170">
        <v>46007</v>
      </c>
      <c r="M1574" s="116">
        <v>210.48</v>
      </c>
      <c r="N1574" s="116">
        <v>213.3</v>
      </c>
      <c r="O1574" s="116">
        <v>208.5</v>
      </c>
      <c r="P1574" s="116">
        <v>211.25</v>
      </c>
      <c r="Q1574" s="116">
        <v>210.48</v>
      </c>
      <c r="R1574">
        <v>956932</v>
      </c>
    </row>
    <row r="1575" spans="1:18" x14ac:dyDescent="0.25">
      <c r="A1575" s="170">
        <v>46008</v>
      </c>
      <c r="B1575" s="116">
        <v>210.25</v>
      </c>
      <c r="C1575" s="116">
        <v>204.6</v>
      </c>
      <c r="D1575" s="116">
        <v>203.65</v>
      </c>
      <c r="E1575" s="116">
        <v>210.25</v>
      </c>
      <c r="F1575" s="116">
        <v>204.6</v>
      </c>
      <c r="G1575">
        <v>54226</v>
      </c>
      <c r="H1575" s="116"/>
      <c r="I1575" s="116"/>
      <c r="L1575" s="170">
        <v>46008</v>
      </c>
      <c r="M1575" s="116">
        <v>204.57</v>
      </c>
      <c r="N1575" s="116">
        <v>210.7</v>
      </c>
      <c r="O1575" s="116">
        <v>203.15</v>
      </c>
      <c r="P1575" s="116">
        <v>210.15</v>
      </c>
      <c r="Q1575" s="116">
        <v>204.57</v>
      </c>
      <c r="R1575">
        <v>959884</v>
      </c>
    </row>
    <row r="1576" spans="1:18" x14ac:dyDescent="0.25">
      <c r="A1576" s="170">
        <v>46009</v>
      </c>
      <c r="B1576" s="116">
        <v>214.4</v>
      </c>
      <c r="C1576" s="116">
        <v>210.9</v>
      </c>
      <c r="D1576" s="116">
        <v>202</v>
      </c>
      <c r="E1576" s="116">
        <v>204.6</v>
      </c>
      <c r="F1576" s="116">
        <v>210.9</v>
      </c>
      <c r="G1576">
        <v>135710</v>
      </c>
      <c r="H1576" s="116"/>
      <c r="I1576" s="116"/>
      <c r="L1576" s="170">
        <v>46009</v>
      </c>
      <c r="M1576" s="116">
        <v>210.86</v>
      </c>
      <c r="N1576" s="116">
        <v>214.4</v>
      </c>
      <c r="O1576" s="116">
        <v>202.01</v>
      </c>
      <c r="P1576" s="116">
        <v>204.57</v>
      </c>
      <c r="Q1576" s="116">
        <v>210.86</v>
      </c>
      <c r="R1576">
        <v>2042539</v>
      </c>
    </row>
    <row r="1577" spans="1:18" x14ac:dyDescent="0.25">
      <c r="A1577" s="170">
        <v>46010</v>
      </c>
      <c r="B1577" s="116">
        <v>215.55</v>
      </c>
      <c r="C1577" s="116">
        <v>214.15</v>
      </c>
      <c r="D1577" s="116">
        <v>208</v>
      </c>
      <c r="E1577" s="116">
        <v>210.9</v>
      </c>
      <c r="F1577" s="116">
        <v>214.15</v>
      </c>
      <c r="G1577">
        <v>71508</v>
      </c>
      <c r="H1577" s="116"/>
      <c r="I1577" s="116"/>
      <c r="L1577" s="170">
        <v>46010</v>
      </c>
      <c r="M1577" s="116">
        <v>213.82</v>
      </c>
      <c r="N1577" s="116">
        <v>215.47</v>
      </c>
      <c r="O1577" s="116">
        <v>208.1</v>
      </c>
      <c r="P1577" s="116">
        <v>211.4</v>
      </c>
      <c r="Q1577" s="116">
        <v>213.82</v>
      </c>
      <c r="R1577">
        <v>1181549</v>
      </c>
    </row>
    <row r="1578" spans="1:18" x14ac:dyDescent="0.25">
      <c r="A1578" s="170">
        <v>46013</v>
      </c>
      <c r="B1578" s="116">
        <v>220.5</v>
      </c>
      <c r="C1578" s="116">
        <v>217.6</v>
      </c>
      <c r="D1578" s="116">
        <v>214.9</v>
      </c>
      <c r="E1578" s="116">
        <v>215.05</v>
      </c>
      <c r="F1578" s="116">
        <v>217.6</v>
      </c>
      <c r="G1578">
        <v>109370</v>
      </c>
      <c r="H1578" s="116"/>
      <c r="I1578" s="116"/>
      <c r="L1578" s="170">
        <v>46013</v>
      </c>
      <c r="M1578" s="116">
        <v>217.48</v>
      </c>
      <c r="N1578" s="116">
        <v>220.77</v>
      </c>
      <c r="O1578" s="116">
        <v>215</v>
      </c>
      <c r="P1578" s="116">
        <v>216.55</v>
      </c>
      <c r="Q1578" s="116">
        <v>217.48</v>
      </c>
      <c r="R1578">
        <v>1230589</v>
      </c>
    </row>
    <row r="1579" spans="1:18" x14ac:dyDescent="0.25">
      <c r="A1579" s="170">
        <v>46014</v>
      </c>
      <c r="B1579" s="116">
        <v>222.6</v>
      </c>
      <c r="C1579" s="116">
        <v>219.4</v>
      </c>
      <c r="D1579" s="116">
        <v>216.65</v>
      </c>
      <c r="E1579" s="116">
        <v>219.05</v>
      </c>
      <c r="F1579" s="116">
        <v>219.4</v>
      </c>
      <c r="G1579">
        <v>73491</v>
      </c>
      <c r="H1579" s="116"/>
      <c r="I1579" s="116"/>
      <c r="L1579" s="170">
        <v>46014</v>
      </c>
      <c r="M1579" s="116">
        <v>219.78</v>
      </c>
      <c r="N1579" s="116">
        <v>222.4</v>
      </c>
      <c r="O1579" s="116">
        <v>216.66</v>
      </c>
      <c r="P1579" s="116">
        <v>219.5</v>
      </c>
      <c r="Q1579" s="116">
        <v>219.78</v>
      </c>
      <c r="R1579">
        <v>1045461</v>
      </c>
    </row>
    <row r="1580" spans="1:18" x14ac:dyDescent="0.25">
      <c r="A1580" s="170">
        <v>46015</v>
      </c>
      <c r="B1580" s="116">
        <v>226.95</v>
      </c>
      <c r="C1580" s="116">
        <v>219.85</v>
      </c>
      <c r="D1580" s="116">
        <v>218</v>
      </c>
      <c r="E1580" s="116">
        <v>218.75</v>
      </c>
      <c r="F1580" s="116">
        <v>219.85</v>
      </c>
      <c r="G1580">
        <v>120273</v>
      </c>
      <c r="H1580" s="116"/>
      <c r="I1580" s="116"/>
      <c r="L1580" s="170">
        <v>46015</v>
      </c>
      <c r="M1580" s="116">
        <v>219.99</v>
      </c>
      <c r="N1580" s="116">
        <v>226.99</v>
      </c>
      <c r="O1580" s="116">
        <v>218.1</v>
      </c>
      <c r="P1580" s="116">
        <v>219</v>
      </c>
      <c r="Q1580" s="116">
        <v>219.99</v>
      </c>
      <c r="R1580">
        <v>1474790</v>
      </c>
    </row>
    <row r="1581" spans="1:18" x14ac:dyDescent="0.25">
      <c r="A1581" s="170">
        <v>46017</v>
      </c>
      <c r="B1581" s="116">
        <v>221.1</v>
      </c>
      <c r="C1581" s="116">
        <v>215.75</v>
      </c>
      <c r="D1581" s="116">
        <v>215.15</v>
      </c>
      <c r="E1581" s="116">
        <v>219.25</v>
      </c>
      <c r="F1581" s="116">
        <v>215.75</v>
      </c>
      <c r="G1581">
        <v>83438</v>
      </c>
      <c r="H1581" s="116"/>
      <c r="I1581" s="116"/>
      <c r="L1581" s="170">
        <v>46017</v>
      </c>
      <c r="M1581" s="116">
        <v>215.66</v>
      </c>
      <c r="N1581" s="116">
        <v>221.07</v>
      </c>
      <c r="O1581" s="116">
        <v>214.2</v>
      </c>
      <c r="P1581" s="116">
        <v>218.97</v>
      </c>
      <c r="Q1581" s="116">
        <v>215.66</v>
      </c>
      <c r="R1581">
        <v>762977</v>
      </c>
    </row>
    <row r="1582" spans="1:18" x14ac:dyDescent="0.25">
      <c r="A1582" s="170">
        <v>46020</v>
      </c>
      <c r="B1582" s="116">
        <v>217.25</v>
      </c>
      <c r="C1582" s="116">
        <v>212.75</v>
      </c>
      <c r="D1582" s="116">
        <v>211.2</v>
      </c>
      <c r="E1582" s="116">
        <v>215.55</v>
      </c>
      <c r="F1582" s="116">
        <v>212.75</v>
      </c>
      <c r="G1582">
        <v>40668</v>
      </c>
      <c r="H1582" s="116"/>
      <c r="I1582" s="116"/>
      <c r="L1582" s="170">
        <v>46020</v>
      </c>
      <c r="M1582" s="116">
        <v>212.73</v>
      </c>
      <c r="N1582" s="116">
        <v>216.59</v>
      </c>
      <c r="O1582" s="116">
        <v>211.2</v>
      </c>
      <c r="P1582" s="116">
        <v>216.3</v>
      </c>
      <c r="Q1582" s="116">
        <v>212.73</v>
      </c>
      <c r="R1582">
        <v>730105</v>
      </c>
    </row>
    <row r="1583" spans="1:18" x14ac:dyDescent="0.25">
      <c r="A1583" s="170">
        <v>46021</v>
      </c>
      <c r="B1583" s="116">
        <v>212.5</v>
      </c>
      <c r="C1583" s="116">
        <v>209.65</v>
      </c>
      <c r="D1583" s="116">
        <v>208.8</v>
      </c>
      <c r="E1583" s="116">
        <v>212.5</v>
      </c>
      <c r="F1583" s="116">
        <v>209.65</v>
      </c>
      <c r="G1583">
        <v>41468</v>
      </c>
      <c r="H1583" s="116"/>
      <c r="I1583" s="116"/>
      <c r="L1583" s="170">
        <v>46021</v>
      </c>
      <c r="M1583" s="116">
        <v>209.44</v>
      </c>
      <c r="N1583" s="116">
        <v>212.75</v>
      </c>
      <c r="O1583" s="116">
        <v>208.66</v>
      </c>
      <c r="P1583" s="116">
        <v>212.75</v>
      </c>
      <c r="Q1583" s="116">
        <v>209.44</v>
      </c>
      <c r="R1583">
        <v>636619</v>
      </c>
    </row>
    <row r="1584" spans="1:18" x14ac:dyDescent="0.25">
      <c r="A1584" s="170">
        <v>46022</v>
      </c>
      <c r="B1584" s="116">
        <v>217.05</v>
      </c>
      <c r="C1584" s="116">
        <v>214.3</v>
      </c>
      <c r="D1584" s="116">
        <v>209.65</v>
      </c>
      <c r="E1584" s="116">
        <v>210</v>
      </c>
      <c r="F1584" s="116">
        <v>214.3</v>
      </c>
      <c r="G1584">
        <v>105640</v>
      </c>
      <c r="H1584" s="116"/>
      <c r="I1584" s="116"/>
      <c r="L1584" s="170">
        <v>46022</v>
      </c>
      <c r="M1584" s="116">
        <v>214.18</v>
      </c>
      <c r="N1584" s="116">
        <v>217.19</v>
      </c>
      <c r="O1584" s="116">
        <v>209.6</v>
      </c>
      <c r="P1584" s="116">
        <v>210.39</v>
      </c>
      <c r="Q1584" s="116">
        <v>214.18</v>
      </c>
      <c r="R1584">
        <v>1126379</v>
      </c>
    </row>
    <row r="1585" spans="1:18" x14ac:dyDescent="0.25">
      <c r="A1585" s="170">
        <v>46023</v>
      </c>
      <c r="B1585" s="116">
        <v>216.9</v>
      </c>
      <c r="C1585" s="116">
        <v>215</v>
      </c>
      <c r="D1585" s="116">
        <v>214.15</v>
      </c>
      <c r="E1585" s="116">
        <v>214.25</v>
      </c>
      <c r="F1585" s="116">
        <v>215</v>
      </c>
      <c r="G1585">
        <v>42795</v>
      </c>
      <c r="H1585" s="116"/>
      <c r="I1585" s="116"/>
      <c r="L1585" s="170">
        <v>46023</v>
      </c>
      <c r="M1585" s="116">
        <v>215.01</v>
      </c>
      <c r="N1585" s="116">
        <v>217</v>
      </c>
      <c r="O1585" s="116">
        <v>213.98</v>
      </c>
      <c r="P1585" s="116">
        <v>214</v>
      </c>
      <c r="Q1585" s="116">
        <v>215.01</v>
      </c>
      <c r="R1585">
        <v>542316</v>
      </c>
    </row>
    <row r="1586" spans="1:18" x14ac:dyDescent="0.25">
      <c r="A1586" s="170">
        <v>46024</v>
      </c>
      <c r="B1586" s="116">
        <v>221.25</v>
      </c>
      <c r="C1586" s="116">
        <v>219.65</v>
      </c>
      <c r="D1586" s="116">
        <v>212.8</v>
      </c>
      <c r="E1586" s="116">
        <v>215.1</v>
      </c>
      <c r="F1586" s="116">
        <v>219.65</v>
      </c>
      <c r="G1586">
        <v>109083</v>
      </c>
      <c r="H1586" s="116"/>
      <c r="I1586" s="116"/>
      <c r="L1586" s="170">
        <v>46024</v>
      </c>
      <c r="M1586" s="116">
        <v>217.96</v>
      </c>
      <c r="N1586" s="116">
        <v>218.7</v>
      </c>
      <c r="O1586" s="116">
        <v>212.59</v>
      </c>
      <c r="P1586" s="116">
        <v>215</v>
      </c>
      <c r="Q1586" s="116">
        <v>217.96</v>
      </c>
      <c r="R1586">
        <v>1025887</v>
      </c>
    </row>
    <row r="1587" spans="1:18" x14ac:dyDescent="0.25">
      <c r="A1587" s="170">
        <v>46027</v>
      </c>
      <c r="B1587" s="116">
        <v>220.65</v>
      </c>
      <c r="C1587" s="116">
        <v>215.8</v>
      </c>
      <c r="D1587" s="116">
        <v>214.55</v>
      </c>
      <c r="E1587" s="116">
        <v>218.85</v>
      </c>
      <c r="F1587" s="116">
        <v>215.8</v>
      </c>
      <c r="G1587">
        <v>116848</v>
      </c>
      <c r="H1587" s="116"/>
      <c r="I1587" s="116"/>
      <c r="L1587" s="170">
        <v>46027</v>
      </c>
      <c r="M1587" s="116">
        <v>215.47</v>
      </c>
      <c r="N1587" s="116">
        <v>220.95</v>
      </c>
      <c r="O1587" s="116">
        <v>214.5</v>
      </c>
      <c r="P1587" s="116">
        <v>218.04</v>
      </c>
      <c r="Q1587" s="116">
        <v>215.47</v>
      </c>
      <c r="R1587">
        <v>879064</v>
      </c>
    </row>
    <row r="1588" spans="1:18" x14ac:dyDescent="0.25">
      <c r="A1588" s="170">
        <v>46028</v>
      </c>
      <c r="B1588" s="116">
        <v>215.8</v>
      </c>
      <c r="C1588" s="116">
        <v>211.3</v>
      </c>
      <c r="D1588" s="116">
        <v>210.65</v>
      </c>
      <c r="E1588" s="116">
        <v>215.05</v>
      </c>
      <c r="F1588" s="116">
        <v>211.3</v>
      </c>
      <c r="G1588">
        <v>59806</v>
      </c>
      <c r="H1588" s="116"/>
      <c r="I1588" s="116"/>
      <c r="L1588" s="170">
        <v>46028</v>
      </c>
      <c r="M1588" s="116">
        <v>211.28</v>
      </c>
      <c r="N1588" s="116">
        <v>216.24</v>
      </c>
      <c r="O1588" s="116">
        <v>210.1</v>
      </c>
      <c r="P1588" s="116">
        <v>215.99</v>
      </c>
      <c r="Q1588" s="116">
        <v>211.28</v>
      </c>
      <c r="R1588">
        <v>680069</v>
      </c>
    </row>
    <row r="1589" spans="1:18" x14ac:dyDescent="0.25">
      <c r="A1589" s="170">
        <v>46029</v>
      </c>
      <c r="B1589" s="116">
        <v>213.6</v>
      </c>
      <c r="C1589" s="116">
        <v>212.2</v>
      </c>
      <c r="D1589" s="116">
        <v>209.25</v>
      </c>
      <c r="E1589" s="116">
        <v>209.25</v>
      </c>
      <c r="F1589" s="116">
        <v>212.2</v>
      </c>
      <c r="G1589">
        <v>50984</v>
      </c>
      <c r="H1589" s="116"/>
      <c r="I1589" s="116"/>
      <c r="L1589" s="170">
        <v>46029</v>
      </c>
      <c r="M1589" s="116">
        <v>212.19</v>
      </c>
      <c r="N1589" s="116">
        <v>213.85</v>
      </c>
      <c r="O1589" s="116">
        <v>209.5</v>
      </c>
      <c r="P1589" s="116">
        <v>211</v>
      </c>
      <c r="Q1589" s="116">
        <v>212.19</v>
      </c>
      <c r="R1589">
        <v>558632</v>
      </c>
    </row>
    <row r="1590" spans="1:18" x14ac:dyDescent="0.25">
      <c r="A1590" s="170">
        <v>46030</v>
      </c>
      <c r="B1590" s="116">
        <v>213.45</v>
      </c>
      <c r="C1590" s="116">
        <v>204</v>
      </c>
      <c r="D1590" s="116">
        <v>203</v>
      </c>
      <c r="E1590" s="116">
        <v>210.55</v>
      </c>
      <c r="F1590" s="116">
        <v>204</v>
      </c>
      <c r="G1590">
        <v>81204</v>
      </c>
      <c r="H1590" s="116"/>
      <c r="I1590" s="116"/>
      <c r="L1590" s="170">
        <v>46030</v>
      </c>
      <c r="M1590" s="116">
        <v>204.23</v>
      </c>
      <c r="N1590" s="116">
        <v>213.5</v>
      </c>
      <c r="O1590" s="116">
        <v>202.6</v>
      </c>
      <c r="P1590" s="116">
        <v>212.19</v>
      </c>
      <c r="Q1590" s="116">
        <v>204.23</v>
      </c>
      <c r="R1590">
        <v>1368019</v>
      </c>
    </row>
    <row r="1591" spans="1:18" x14ac:dyDescent="0.25">
      <c r="A1591" s="170">
        <v>46031</v>
      </c>
      <c r="B1591" s="116">
        <v>205.05</v>
      </c>
      <c r="C1591" s="116">
        <v>198.65</v>
      </c>
      <c r="D1591" s="116">
        <v>197</v>
      </c>
      <c r="E1591" s="116">
        <v>202.75</v>
      </c>
      <c r="F1591" s="116">
        <v>198.65</v>
      </c>
      <c r="G1591">
        <v>104495</v>
      </c>
      <c r="H1591" s="116"/>
      <c r="I1591" s="116"/>
      <c r="L1591" s="170">
        <v>46031</v>
      </c>
      <c r="M1591" s="116">
        <v>198.53</v>
      </c>
      <c r="N1591" s="116">
        <v>205</v>
      </c>
      <c r="O1591" s="116">
        <v>196.08</v>
      </c>
      <c r="P1591" s="116">
        <v>204</v>
      </c>
      <c r="Q1591" s="116">
        <v>198.53</v>
      </c>
      <c r="R1591">
        <v>1429565</v>
      </c>
    </row>
    <row r="1592" spans="1:18" x14ac:dyDescent="0.25">
      <c r="A1592" s="170">
        <v>46034</v>
      </c>
      <c r="B1592" s="116">
        <v>200.35</v>
      </c>
      <c r="C1592" s="116">
        <v>196.35</v>
      </c>
      <c r="D1592" s="116">
        <v>192</v>
      </c>
      <c r="E1592" s="116">
        <v>198.7</v>
      </c>
      <c r="F1592" s="116">
        <v>196.35</v>
      </c>
      <c r="G1592">
        <v>84440</v>
      </c>
      <c r="H1592" s="116"/>
      <c r="I1592" s="116"/>
      <c r="L1592" s="170">
        <v>46034</v>
      </c>
      <c r="M1592" s="116">
        <v>196.26</v>
      </c>
      <c r="N1592" s="116">
        <v>199.01</v>
      </c>
      <c r="O1592" s="116">
        <v>191.7</v>
      </c>
      <c r="P1592" s="116">
        <v>199</v>
      </c>
      <c r="Q1592" s="116">
        <v>196.26</v>
      </c>
      <c r="R1592">
        <v>1461396</v>
      </c>
    </row>
    <row r="1593" spans="1:18" x14ac:dyDescent="0.25">
      <c r="A1593" s="170">
        <v>46035</v>
      </c>
      <c r="B1593" s="116">
        <v>203.95</v>
      </c>
      <c r="C1593" s="116">
        <v>202.65</v>
      </c>
      <c r="D1593" s="116">
        <v>195.9</v>
      </c>
      <c r="E1593" s="116">
        <v>196.65</v>
      </c>
      <c r="F1593" s="116">
        <v>202.65</v>
      </c>
      <c r="G1593">
        <v>143908</v>
      </c>
      <c r="H1593" s="116"/>
      <c r="I1593" s="116"/>
      <c r="L1593" s="170">
        <v>46035</v>
      </c>
      <c r="M1593" s="116">
        <v>202.63</v>
      </c>
      <c r="N1593" s="116">
        <v>203.94</v>
      </c>
      <c r="O1593" s="116">
        <v>195.35</v>
      </c>
      <c r="P1593" s="116">
        <v>197</v>
      </c>
      <c r="Q1593" s="116">
        <v>202.63</v>
      </c>
      <c r="R1593">
        <v>1617150</v>
      </c>
    </row>
    <row r="1594" spans="1:18" x14ac:dyDescent="0.25">
      <c r="A1594" s="170">
        <v>46036</v>
      </c>
      <c r="B1594" s="116">
        <v>207.5</v>
      </c>
      <c r="C1594" s="116">
        <v>198.15</v>
      </c>
      <c r="D1594" s="116">
        <v>197.5</v>
      </c>
      <c r="E1594" s="116">
        <v>202.65</v>
      </c>
      <c r="F1594" s="116">
        <v>198.15</v>
      </c>
      <c r="G1594">
        <v>105457</v>
      </c>
      <c r="H1594" s="116"/>
      <c r="I1594" s="116"/>
      <c r="L1594" s="170">
        <v>46036</v>
      </c>
      <c r="M1594" s="116">
        <v>198.09</v>
      </c>
      <c r="N1594" s="116">
        <v>207.55</v>
      </c>
      <c r="O1594" s="116">
        <v>197.25</v>
      </c>
      <c r="P1594" s="116">
        <v>202.5</v>
      </c>
      <c r="Q1594" s="116">
        <v>198.09</v>
      </c>
      <c r="R1594">
        <v>1241542</v>
      </c>
    </row>
    <row r="1595" spans="1:18" x14ac:dyDescent="0.25">
      <c r="A1595" s="170">
        <v>46038</v>
      </c>
      <c r="B1595" s="116">
        <v>223.6</v>
      </c>
      <c r="C1595" s="116">
        <v>209.85</v>
      </c>
      <c r="D1595" s="116">
        <v>195</v>
      </c>
      <c r="E1595" s="116">
        <v>196.55</v>
      </c>
      <c r="F1595" s="116">
        <v>209.85</v>
      </c>
      <c r="G1595">
        <v>1035453</v>
      </c>
      <c r="H1595" s="116"/>
      <c r="I1595" s="116"/>
      <c r="L1595" s="170">
        <v>46038</v>
      </c>
      <c r="M1595" s="116">
        <v>209.93</v>
      </c>
      <c r="N1595" s="116">
        <v>223.7</v>
      </c>
      <c r="O1595" s="116">
        <v>194.67</v>
      </c>
      <c r="P1595" s="116">
        <v>197</v>
      </c>
      <c r="Q1595" s="116">
        <v>209.93</v>
      </c>
      <c r="R1595">
        <v>17263202</v>
      </c>
    </row>
    <row r="1596" spans="1:18" x14ac:dyDescent="0.25">
      <c r="A1596" s="170">
        <v>46041</v>
      </c>
      <c r="B1596" s="116">
        <v>209.8</v>
      </c>
      <c r="C1596" s="116">
        <v>200.85</v>
      </c>
      <c r="D1596" s="116">
        <v>199.5</v>
      </c>
      <c r="E1596" s="116">
        <v>209.8</v>
      </c>
      <c r="F1596" s="116">
        <v>200.85</v>
      </c>
      <c r="G1596">
        <v>114844</v>
      </c>
      <c r="H1596" s="116"/>
      <c r="I1596" s="116"/>
      <c r="L1596" s="170">
        <v>46041</v>
      </c>
      <c r="M1596" s="116">
        <v>200.76</v>
      </c>
      <c r="N1596" s="116">
        <v>209.8</v>
      </c>
      <c r="O1596" s="116">
        <v>199.01</v>
      </c>
      <c r="P1596" s="116">
        <v>209.8</v>
      </c>
      <c r="Q1596" s="116">
        <v>200.76</v>
      </c>
      <c r="R1596">
        <v>1986320</v>
      </c>
    </row>
    <row r="1597" spans="1:18" x14ac:dyDescent="0.25">
      <c r="A1597" s="170">
        <v>46042</v>
      </c>
      <c r="B1597" s="116">
        <v>200.75</v>
      </c>
      <c r="C1597" s="116">
        <v>192.25</v>
      </c>
      <c r="D1597" s="116">
        <v>191.5</v>
      </c>
      <c r="E1597" s="116">
        <v>200.75</v>
      </c>
      <c r="F1597" s="116">
        <v>192.25</v>
      </c>
      <c r="G1597">
        <v>109435</v>
      </c>
      <c r="H1597" s="116"/>
      <c r="I1597" s="116"/>
      <c r="L1597" s="170">
        <v>46042</v>
      </c>
      <c r="M1597" s="116">
        <v>192.04</v>
      </c>
      <c r="N1597" s="116">
        <v>200.5</v>
      </c>
      <c r="O1597" s="116">
        <v>191</v>
      </c>
      <c r="P1597" s="116">
        <v>200.5</v>
      </c>
      <c r="Q1597" s="116">
        <v>192.04</v>
      </c>
      <c r="R1597">
        <v>1968733</v>
      </c>
    </row>
    <row r="1598" spans="1:18" x14ac:dyDescent="0.25">
      <c r="A1598" s="170">
        <v>46043</v>
      </c>
      <c r="B1598" s="116">
        <v>193</v>
      </c>
      <c r="C1598" s="116">
        <v>189.1</v>
      </c>
      <c r="D1598" s="116">
        <v>185.5</v>
      </c>
      <c r="E1598" s="116">
        <v>188.75</v>
      </c>
      <c r="F1598" s="116">
        <v>189.1</v>
      </c>
      <c r="G1598">
        <v>170021</v>
      </c>
      <c r="H1598" s="116"/>
      <c r="I1598" s="116"/>
      <c r="L1598" s="170">
        <v>46043</v>
      </c>
      <c r="M1598" s="116">
        <v>189.1</v>
      </c>
      <c r="N1598" s="116">
        <v>193.8</v>
      </c>
      <c r="O1598" s="116">
        <v>185.5</v>
      </c>
      <c r="P1598" s="116">
        <v>191.99</v>
      </c>
      <c r="Q1598" s="116">
        <v>189.1</v>
      </c>
      <c r="R1598">
        <v>2982372</v>
      </c>
    </row>
    <row r="1599" spans="1:18" x14ac:dyDescent="0.25">
      <c r="A1599" s="170">
        <v>46044</v>
      </c>
      <c r="B1599" s="116">
        <v>195.95</v>
      </c>
      <c r="C1599" s="116">
        <v>190.4</v>
      </c>
      <c r="D1599" s="116">
        <v>189.45</v>
      </c>
      <c r="E1599" s="116">
        <v>191.05</v>
      </c>
      <c r="F1599" s="116">
        <v>190.4</v>
      </c>
      <c r="G1599">
        <v>134013</v>
      </c>
      <c r="H1599" s="116"/>
      <c r="I1599" s="116"/>
      <c r="L1599" s="170">
        <v>46044</v>
      </c>
      <c r="M1599" s="116">
        <v>190.63</v>
      </c>
      <c r="N1599" s="116">
        <v>195.99</v>
      </c>
      <c r="O1599" s="116">
        <v>188</v>
      </c>
      <c r="P1599" s="116">
        <v>192</v>
      </c>
      <c r="Q1599" s="116">
        <v>190.63</v>
      </c>
      <c r="R1599">
        <v>2000626</v>
      </c>
    </row>
    <row r="1600" spans="1:18" x14ac:dyDescent="0.25">
      <c r="A1600" s="170">
        <v>46045</v>
      </c>
      <c r="B1600" s="116">
        <v>191.5</v>
      </c>
      <c r="C1600" s="116">
        <v>185.6</v>
      </c>
      <c r="D1600" s="116">
        <v>184</v>
      </c>
      <c r="E1600" s="116">
        <v>191.5</v>
      </c>
      <c r="F1600" s="116">
        <v>185.6</v>
      </c>
      <c r="G1600">
        <v>147833</v>
      </c>
      <c r="H1600" s="116"/>
      <c r="I1600" s="116"/>
      <c r="L1600" s="170">
        <v>46045</v>
      </c>
      <c r="M1600" s="116">
        <v>184.94</v>
      </c>
      <c r="N1600" s="116">
        <v>191.6</v>
      </c>
      <c r="O1600" s="116">
        <v>183.91</v>
      </c>
      <c r="P1600" s="116">
        <v>191.5</v>
      </c>
      <c r="Q1600" s="116">
        <v>184.94</v>
      </c>
      <c r="R1600">
        <v>2738137</v>
      </c>
    </row>
    <row r="1601" spans="1:18" x14ac:dyDescent="0.25">
      <c r="A1601" s="170">
        <v>46049</v>
      </c>
      <c r="B1601" s="116">
        <v>187.85</v>
      </c>
      <c r="C1601" s="116">
        <v>183.6</v>
      </c>
      <c r="D1601" s="116">
        <v>180.1</v>
      </c>
      <c r="E1601" s="116">
        <v>183.8</v>
      </c>
      <c r="F1601" s="116">
        <v>183.6</v>
      </c>
      <c r="G1601">
        <v>214015</v>
      </c>
      <c r="H1601" s="116"/>
      <c r="I1601" s="116"/>
      <c r="L1601" s="170">
        <v>46049</v>
      </c>
      <c r="M1601" s="116">
        <v>183.52</v>
      </c>
      <c r="N1601" s="116">
        <v>188</v>
      </c>
      <c r="O1601" s="116">
        <v>180.42</v>
      </c>
      <c r="P1601" s="116">
        <v>185.54</v>
      </c>
      <c r="Q1601" s="116">
        <v>183.52</v>
      </c>
      <c r="R1601">
        <v>3658168</v>
      </c>
    </row>
    <row r="1602" spans="1:18" x14ac:dyDescent="0.25">
      <c r="A1602" s="170">
        <v>46050</v>
      </c>
      <c r="B1602" s="116">
        <v>191.6</v>
      </c>
      <c r="C1602" s="116">
        <v>189.2</v>
      </c>
      <c r="D1602" s="116">
        <v>184.5</v>
      </c>
      <c r="E1602" s="116">
        <v>184.5</v>
      </c>
      <c r="F1602" s="116">
        <v>189.2</v>
      </c>
      <c r="G1602">
        <v>97192</v>
      </c>
      <c r="H1602" s="116"/>
      <c r="I1602" s="116"/>
      <c r="L1602" s="170">
        <v>46050</v>
      </c>
      <c r="M1602" s="116">
        <v>189.12</v>
      </c>
      <c r="N1602" s="116">
        <v>191.02</v>
      </c>
      <c r="O1602" s="116">
        <v>184.5</v>
      </c>
      <c r="P1602" s="116">
        <v>184.69</v>
      </c>
      <c r="Q1602" s="116">
        <v>189.12</v>
      </c>
      <c r="R1602">
        <v>1398472</v>
      </c>
    </row>
    <row r="1603" spans="1:18" x14ac:dyDescent="0.25">
      <c r="A1603" s="170">
        <v>46051</v>
      </c>
      <c r="B1603" s="116">
        <v>189.3</v>
      </c>
      <c r="C1603" s="116">
        <v>182.15</v>
      </c>
      <c r="D1603" s="116">
        <v>181.55</v>
      </c>
      <c r="E1603" s="116">
        <v>189.3</v>
      </c>
      <c r="F1603" s="116">
        <v>182.15</v>
      </c>
      <c r="G1603">
        <v>101221</v>
      </c>
      <c r="H1603" s="116"/>
      <c r="I1603" s="116"/>
      <c r="L1603" s="170">
        <v>46051</v>
      </c>
      <c r="M1603" s="116">
        <v>182.06</v>
      </c>
      <c r="N1603" s="116">
        <v>189.81</v>
      </c>
      <c r="O1603" s="116">
        <v>181.4</v>
      </c>
      <c r="P1603" s="116">
        <v>189.65</v>
      </c>
      <c r="Q1603" s="116">
        <v>182.06</v>
      </c>
      <c r="R1603">
        <v>1590889</v>
      </c>
    </row>
    <row r="1604" spans="1:18" x14ac:dyDescent="0.25">
      <c r="A1604" s="170">
        <v>46052</v>
      </c>
      <c r="B1604" s="116">
        <v>186</v>
      </c>
      <c r="C1604" s="116">
        <v>185.15</v>
      </c>
      <c r="D1604" s="116">
        <v>176.65</v>
      </c>
      <c r="E1604" s="116">
        <v>178</v>
      </c>
      <c r="F1604" s="116">
        <v>185.15</v>
      </c>
      <c r="G1604">
        <v>109001</v>
      </c>
      <c r="H1604" s="116"/>
      <c r="I1604" s="116"/>
      <c r="L1604" s="170">
        <v>46052</v>
      </c>
      <c r="M1604" s="116">
        <v>185</v>
      </c>
      <c r="N1604" s="116">
        <v>186.35</v>
      </c>
      <c r="O1604" s="116">
        <v>176.6</v>
      </c>
      <c r="P1604" s="116">
        <v>177.17</v>
      </c>
      <c r="Q1604" s="116">
        <v>185</v>
      </c>
      <c r="R1604">
        <v>1590601</v>
      </c>
    </row>
    <row r="1605" spans="1:18" x14ac:dyDescent="0.25">
      <c r="A1605" s="170">
        <v>46054</v>
      </c>
      <c r="B1605" s="116">
        <v>194.7</v>
      </c>
      <c r="C1605" s="116">
        <v>185.5</v>
      </c>
      <c r="D1605" s="116">
        <v>181.35</v>
      </c>
      <c r="E1605" s="116">
        <v>185.8</v>
      </c>
      <c r="F1605" s="116">
        <v>185.5</v>
      </c>
      <c r="G1605">
        <v>135631</v>
      </c>
      <c r="H1605" s="116"/>
      <c r="I1605" s="116"/>
      <c r="L1605" s="170">
        <v>46054</v>
      </c>
      <c r="M1605" s="116">
        <v>185.53</v>
      </c>
      <c r="N1605" s="116">
        <v>194.8</v>
      </c>
      <c r="O1605" s="116">
        <v>181.6</v>
      </c>
      <c r="P1605" s="116">
        <v>187</v>
      </c>
      <c r="Q1605" s="116">
        <v>185.53</v>
      </c>
      <c r="R1605">
        <v>1956217</v>
      </c>
    </row>
    <row r="1606" spans="1:18" x14ac:dyDescent="0.25">
      <c r="A1606" s="170">
        <v>46055</v>
      </c>
      <c r="B1606" s="116">
        <v>186</v>
      </c>
      <c r="C1606" s="116">
        <v>184.65</v>
      </c>
      <c r="D1606" s="116">
        <v>179.1</v>
      </c>
      <c r="E1606" s="116">
        <v>184</v>
      </c>
      <c r="F1606" s="116">
        <v>184.65</v>
      </c>
      <c r="G1606">
        <v>160427</v>
      </c>
      <c r="H1606" s="116"/>
      <c r="I1606" s="116"/>
      <c r="L1606" s="170">
        <v>46055</v>
      </c>
      <c r="M1606" s="116">
        <v>184.59</v>
      </c>
      <c r="N1606" s="116">
        <v>186.3</v>
      </c>
      <c r="O1606" s="116">
        <v>179.01</v>
      </c>
      <c r="P1606" s="116">
        <v>183.58</v>
      </c>
      <c r="Q1606" s="116">
        <v>184.59</v>
      </c>
      <c r="R1606">
        <v>1197547</v>
      </c>
    </row>
    <row r="1607" spans="1:18" x14ac:dyDescent="0.25">
      <c r="A1607" s="170">
        <v>46056</v>
      </c>
      <c r="B1607" s="116">
        <v>198</v>
      </c>
      <c r="C1607" s="116">
        <v>193.1</v>
      </c>
      <c r="D1607" s="116">
        <v>187.8</v>
      </c>
      <c r="E1607" s="116">
        <v>195.25</v>
      </c>
      <c r="F1607" s="116">
        <v>193.1</v>
      </c>
      <c r="G1607">
        <v>196945</v>
      </c>
      <c r="H1607" s="116"/>
      <c r="I1607" s="116"/>
      <c r="L1607" s="170">
        <v>46056</v>
      </c>
      <c r="M1607" s="116">
        <v>192.98</v>
      </c>
      <c r="N1607" s="116">
        <v>199.01</v>
      </c>
      <c r="O1607" s="116">
        <v>187.6</v>
      </c>
      <c r="P1607" s="116">
        <v>197.99</v>
      </c>
      <c r="Q1607" s="116">
        <v>192.98</v>
      </c>
      <c r="R1607">
        <v>2766261</v>
      </c>
    </row>
    <row r="1608" spans="1:18" x14ac:dyDescent="0.25">
      <c r="A1608" s="170">
        <v>46057</v>
      </c>
      <c r="B1608" s="116">
        <v>201.95</v>
      </c>
      <c r="C1608" s="116">
        <v>198.65</v>
      </c>
      <c r="D1608" s="116">
        <v>192.85</v>
      </c>
      <c r="E1608" s="116">
        <v>196.85</v>
      </c>
      <c r="F1608" s="116">
        <v>198.65</v>
      </c>
      <c r="G1608">
        <v>148848</v>
      </c>
      <c r="H1608" s="116"/>
      <c r="I1608" s="116"/>
      <c r="L1608" s="170">
        <v>46057</v>
      </c>
      <c r="M1608" s="116">
        <v>198.18</v>
      </c>
      <c r="N1608" s="116">
        <v>201.9</v>
      </c>
      <c r="O1608" s="116">
        <v>193</v>
      </c>
      <c r="P1608" s="116">
        <v>193.01</v>
      </c>
      <c r="Q1608" s="116">
        <v>198.18</v>
      </c>
      <c r="R1608">
        <v>2550726</v>
      </c>
    </row>
    <row r="1609" spans="1:18" x14ac:dyDescent="0.25">
      <c r="A1609" s="170">
        <v>46058</v>
      </c>
      <c r="B1609" s="116">
        <v>200.6</v>
      </c>
      <c r="C1609" s="116">
        <v>194.7</v>
      </c>
      <c r="D1609" s="116">
        <v>188.75</v>
      </c>
      <c r="E1609" s="116">
        <v>198.7</v>
      </c>
      <c r="F1609" s="116">
        <v>194.7</v>
      </c>
      <c r="G1609">
        <v>152305</v>
      </c>
      <c r="H1609" s="116"/>
      <c r="I1609" s="116"/>
      <c r="L1609" s="170">
        <v>46058</v>
      </c>
      <c r="M1609" s="116">
        <v>194.76</v>
      </c>
      <c r="N1609" s="116">
        <v>200.07</v>
      </c>
      <c r="O1609" s="116">
        <v>188.76</v>
      </c>
      <c r="P1609" s="116">
        <v>199.95</v>
      </c>
      <c r="Q1609" s="116">
        <v>194.76</v>
      </c>
      <c r="R1609">
        <v>2430813</v>
      </c>
    </row>
    <row r="1610" spans="1:18" x14ac:dyDescent="0.25">
      <c r="A1610" s="170">
        <v>46059</v>
      </c>
      <c r="B1610" s="116">
        <v>194.8</v>
      </c>
      <c r="C1610" s="116">
        <v>190.2</v>
      </c>
      <c r="D1610" s="116">
        <v>188</v>
      </c>
      <c r="E1610" s="116">
        <v>194.8</v>
      </c>
      <c r="F1610" s="116">
        <v>190.2</v>
      </c>
      <c r="G1610">
        <v>99470</v>
      </c>
      <c r="H1610" s="116"/>
      <c r="I1610" s="116"/>
      <c r="L1610" s="170">
        <v>46059</v>
      </c>
      <c r="M1610" s="116">
        <v>189.68</v>
      </c>
      <c r="N1610" s="116">
        <v>194.75</v>
      </c>
      <c r="O1610" s="116">
        <v>187.3</v>
      </c>
      <c r="P1610" s="116">
        <v>192.95</v>
      </c>
      <c r="Q1610" s="116">
        <v>189.68</v>
      </c>
      <c r="R1610">
        <v>1332150</v>
      </c>
    </row>
    <row r="1611" spans="1:18" x14ac:dyDescent="0.25">
      <c r="A1611" s="170">
        <v>46062</v>
      </c>
      <c r="B1611" s="116">
        <v>204.55</v>
      </c>
      <c r="C1611" s="116">
        <v>203.1</v>
      </c>
      <c r="D1611" s="116">
        <v>191.15</v>
      </c>
      <c r="E1611" s="116">
        <v>191.15</v>
      </c>
      <c r="F1611" s="116">
        <v>203.1</v>
      </c>
      <c r="G1611">
        <v>142916</v>
      </c>
      <c r="H1611" s="116"/>
      <c r="I1611" s="116"/>
      <c r="L1611" s="170">
        <v>46062</v>
      </c>
      <c r="M1611" s="116">
        <v>203.04</v>
      </c>
      <c r="N1611" s="116">
        <v>204.5</v>
      </c>
      <c r="O1611" s="116">
        <v>191.63</v>
      </c>
      <c r="P1611" s="116">
        <v>191.63</v>
      </c>
      <c r="Q1611" s="116">
        <v>203.04</v>
      </c>
      <c r="R1611">
        <v>2347825</v>
      </c>
    </row>
    <row r="1612" spans="1:18" x14ac:dyDescent="0.25">
      <c r="A1612" s="170">
        <v>46063</v>
      </c>
      <c r="B1612" s="116">
        <v>213.35</v>
      </c>
      <c r="C1612" s="116">
        <v>209.8</v>
      </c>
      <c r="D1612" s="116">
        <v>204.9</v>
      </c>
      <c r="E1612" s="116">
        <v>206.35</v>
      </c>
      <c r="F1612" s="116">
        <v>209.8</v>
      </c>
      <c r="G1612">
        <v>234418</v>
      </c>
      <c r="H1612" s="116"/>
      <c r="I1612" s="116"/>
      <c r="L1612" s="170">
        <v>46063</v>
      </c>
      <c r="M1612" s="116">
        <v>209.6</v>
      </c>
      <c r="N1612" s="116">
        <v>213.4</v>
      </c>
      <c r="O1612" s="116">
        <v>204.35</v>
      </c>
      <c r="P1612" s="116">
        <v>206.8</v>
      </c>
      <c r="Q1612" s="116">
        <v>209.6</v>
      </c>
      <c r="R1612">
        <v>3282448</v>
      </c>
    </row>
    <row r="1613" spans="1:18" x14ac:dyDescent="0.25">
      <c r="A1613" s="170">
        <v>46064</v>
      </c>
      <c r="B1613" s="116">
        <v>210.1</v>
      </c>
      <c r="C1613" s="116">
        <v>202.5</v>
      </c>
      <c r="D1613" s="116">
        <v>201.5</v>
      </c>
      <c r="E1613" s="116">
        <v>210.1</v>
      </c>
      <c r="F1613" s="116">
        <v>202.5</v>
      </c>
      <c r="G1613">
        <v>79233</v>
      </c>
      <c r="H1613" s="116"/>
      <c r="I1613" s="116"/>
      <c r="L1613" s="170">
        <v>46064</v>
      </c>
      <c r="M1613" s="116">
        <v>202.39</v>
      </c>
      <c r="N1613" s="116">
        <v>210.7</v>
      </c>
      <c r="O1613" s="116">
        <v>200.65</v>
      </c>
      <c r="P1613" s="116">
        <v>210.7</v>
      </c>
      <c r="Q1613" s="116">
        <v>202.39</v>
      </c>
      <c r="R1613">
        <v>1314516</v>
      </c>
    </row>
    <row r="1614" spans="1:18" x14ac:dyDescent="0.25">
      <c r="A1614" s="170">
        <v>46065</v>
      </c>
      <c r="B1614" s="116">
        <v>202.6</v>
      </c>
      <c r="C1614" s="116">
        <v>199.8</v>
      </c>
      <c r="D1614" s="116">
        <v>197.75</v>
      </c>
      <c r="E1614" s="116">
        <v>202.6</v>
      </c>
      <c r="F1614" s="116">
        <v>199.8</v>
      </c>
      <c r="G1614">
        <v>45318</v>
      </c>
      <c r="H1614" s="116"/>
      <c r="I1614" s="116"/>
      <c r="L1614" s="170">
        <v>46065</v>
      </c>
      <c r="M1614" s="116">
        <v>199.66</v>
      </c>
      <c r="N1614" s="116">
        <v>202.38</v>
      </c>
      <c r="O1614" s="116">
        <v>197.75</v>
      </c>
      <c r="P1614" s="116">
        <v>202.35</v>
      </c>
      <c r="Q1614" s="116">
        <v>199.66</v>
      </c>
      <c r="R1614">
        <v>867478</v>
      </c>
    </row>
    <row r="1615" spans="1:18" x14ac:dyDescent="0.25">
      <c r="A1615" s="170">
        <v>46066</v>
      </c>
      <c r="B1615" s="116">
        <v>200.3</v>
      </c>
      <c r="C1615" s="116">
        <v>195.9</v>
      </c>
      <c r="D1615" s="116">
        <v>194.5</v>
      </c>
      <c r="E1615" s="116">
        <v>195.35</v>
      </c>
      <c r="F1615" s="116">
        <v>195.9</v>
      </c>
      <c r="G1615">
        <v>92977</v>
      </c>
      <c r="H1615" s="116"/>
      <c r="I1615" s="116"/>
      <c r="L1615" s="170">
        <v>46066</v>
      </c>
      <c r="M1615" s="116">
        <v>195.79</v>
      </c>
      <c r="N1615" s="116">
        <v>201.32</v>
      </c>
      <c r="O1615" s="116">
        <v>194.43</v>
      </c>
      <c r="P1615" s="116">
        <v>198.8</v>
      </c>
      <c r="Q1615" s="116">
        <v>195.79</v>
      </c>
      <c r="R1615">
        <v>1031853</v>
      </c>
    </row>
    <row r="1616" spans="1:18" x14ac:dyDescent="0.25">
      <c r="A1616" s="170">
        <v>46069</v>
      </c>
      <c r="B1616" s="116">
        <v>202.95</v>
      </c>
      <c r="C1616" s="116">
        <v>202.15</v>
      </c>
      <c r="D1616" s="116">
        <v>190.45</v>
      </c>
      <c r="E1616" s="116">
        <v>190.45</v>
      </c>
      <c r="F1616" s="116">
        <v>202.15</v>
      </c>
      <c r="G1616">
        <v>100959</v>
      </c>
      <c r="H1616" s="116"/>
      <c r="I1616" s="116"/>
      <c r="L1616" s="170">
        <v>46069</v>
      </c>
      <c r="M1616" s="116">
        <v>202.02</v>
      </c>
      <c r="N1616" s="116">
        <v>202.9</v>
      </c>
      <c r="O1616" s="116">
        <v>193.02</v>
      </c>
      <c r="P1616" s="116">
        <v>195.6</v>
      </c>
      <c r="Q1616" s="116">
        <v>202.02</v>
      </c>
      <c r="R1616">
        <v>1297288</v>
      </c>
    </row>
    <row r="1617" spans="1:18" x14ac:dyDescent="0.25">
      <c r="A1617" s="170">
        <v>46070</v>
      </c>
      <c r="B1617" s="116">
        <v>222.2</v>
      </c>
      <c r="C1617" s="116">
        <v>216.85</v>
      </c>
      <c r="D1617" s="116">
        <v>202.4</v>
      </c>
      <c r="E1617" s="116">
        <v>202.4</v>
      </c>
      <c r="F1617" s="116">
        <v>216.85</v>
      </c>
      <c r="G1617">
        <v>375388</v>
      </c>
      <c r="H1617" s="116"/>
      <c r="I1617" s="116"/>
      <c r="L1617" s="170">
        <v>46070</v>
      </c>
      <c r="M1617" s="116">
        <v>216.99</v>
      </c>
      <c r="N1617" s="116">
        <v>222.25</v>
      </c>
      <c r="O1617" s="116">
        <v>202.76</v>
      </c>
      <c r="P1617" s="116">
        <v>203</v>
      </c>
      <c r="Q1617" s="116">
        <v>216.99</v>
      </c>
      <c r="R1617">
        <v>6740158</v>
      </c>
    </row>
    <row r="1618" spans="1:18" x14ac:dyDescent="0.25">
      <c r="A1618" s="170">
        <v>46071</v>
      </c>
      <c r="B1618" s="116">
        <v>218.5</v>
      </c>
      <c r="C1618" s="116">
        <v>214.3</v>
      </c>
      <c r="D1618" s="116">
        <v>212.2</v>
      </c>
      <c r="E1618" s="116">
        <v>216.3</v>
      </c>
      <c r="F1618" s="116">
        <v>214.3</v>
      </c>
      <c r="G1618">
        <v>143869</v>
      </c>
      <c r="H1618" s="116"/>
      <c r="I1618" s="116"/>
      <c r="L1618" s="170">
        <v>46071</v>
      </c>
      <c r="M1618" s="116">
        <v>214.32</v>
      </c>
      <c r="N1618" s="116">
        <v>218.56</v>
      </c>
      <c r="O1618" s="116">
        <v>212.1</v>
      </c>
      <c r="P1618" s="116">
        <v>215</v>
      </c>
      <c r="Q1618" s="116">
        <v>214.32</v>
      </c>
      <c r="R1618">
        <v>1745743</v>
      </c>
    </row>
    <row r="1619" spans="1:18" x14ac:dyDescent="0.25">
      <c r="A1619" s="170">
        <v>46072</v>
      </c>
      <c r="B1619" s="116">
        <v>215.55</v>
      </c>
      <c r="C1619" s="116">
        <v>209.75</v>
      </c>
      <c r="D1619" s="116">
        <v>208.5</v>
      </c>
      <c r="E1619" s="116">
        <v>214.3</v>
      </c>
      <c r="F1619" s="116">
        <v>209.75</v>
      </c>
      <c r="G1619">
        <v>100680</v>
      </c>
      <c r="H1619" s="116"/>
      <c r="I1619" s="116"/>
      <c r="L1619" s="170">
        <v>46072</v>
      </c>
      <c r="M1619" s="116">
        <v>209.69</v>
      </c>
      <c r="N1619" s="116">
        <v>215.62</v>
      </c>
      <c r="O1619" s="116">
        <v>208.1</v>
      </c>
      <c r="P1619" s="116">
        <v>214.2</v>
      </c>
      <c r="Q1619" s="116">
        <v>209.69</v>
      </c>
      <c r="R1619">
        <v>1167440</v>
      </c>
    </row>
    <row r="1620" spans="1:18" x14ac:dyDescent="0.25">
      <c r="A1620" s="170">
        <v>46073</v>
      </c>
      <c r="B1620" s="116">
        <v>210.1</v>
      </c>
      <c r="C1620" s="116">
        <v>205.85</v>
      </c>
      <c r="D1620" s="116">
        <v>205.05</v>
      </c>
      <c r="E1620" s="116">
        <v>209.5</v>
      </c>
      <c r="F1620" s="116">
        <v>205.85</v>
      </c>
      <c r="G1620">
        <v>49888</v>
      </c>
      <c r="H1620" s="116"/>
      <c r="I1620" s="116"/>
      <c r="L1620" s="170">
        <v>46073</v>
      </c>
      <c r="M1620" s="116">
        <v>205.84</v>
      </c>
      <c r="N1620" s="116">
        <v>210.03</v>
      </c>
      <c r="O1620" s="116">
        <v>205.1</v>
      </c>
      <c r="P1620" s="116">
        <v>209.2</v>
      </c>
      <c r="Q1620" s="116">
        <v>205.84</v>
      </c>
      <c r="R1620">
        <v>853024</v>
      </c>
    </row>
    <row r="1621" spans="1:18" x14ac:dyDescent="0.25">
      <c r="A1621" s="170">
        <v>46076</v>
      </c>
      <c r="B1621" s="116">
        <v>213.95</v>
      </c>
      <c r="C1621" s="116">
        <v>211.6</v>
      </c>
      <c r="D1621" s="116">
        <v>206.45</v>
      </c>
      <c r="E1621" s="116">
        <v>206.45</v>
      </c>
      <c r="F1621" s="116">
        <v>211.6</v>
      </c>
      <c r="G1621">
        <v>166282</v>
      </c>
      <c r="H1621" s="116"/>
      <c r="I1621" s="116"/>
      <c r="L1621" s="170">
        <v>46076</v>
      </c>
      <c r="M1621" s="116">
        <v>211.43</v>
      </c>
      <c r="N1621" s="116">
        <v>213.99</v>
      </c>
      <c r="O1621" s="116">
        <v>207</v>
      </c>
      <c r="P1621" s="116">
        <v>207</v>
      </c>
      <c r="Q1621" s="116">
        <v>211.43</v>
      </c>
      <c r="R1621">
        <v>1505404</v>
      </c>
    </row>
    <row r="1622" spans="1:18" x14ac:dyDescent="0.25">
      <c r="A1622" s="170">
        <v>46077</v>
      </c>
      <c r="B1622" s="116">
        <v>210.5</v>
      </c>
      <c r="C1622" s="116">
        <v>204.75</v>
      </c>
      <c r="D1622" s="116">
        <v>202.55</v>
      </c>
      <c r="E1622" s="116">
        <v>210</v>
      </c>
      <c r="F1622" s="116">
        <v>204.75</v>
      </c>
      <c r="G1622">
        <v>80536</v>
      </c>
      <c r="H1622" s="116"/>
      <c r="I1622" s="116"/>
      <c r="L1622" s="170">
        <v>46077</v>
      </c>
      <c r="M1622" s="116">
        <v>204.51</v>
      </c>
      <c r="N1622" s="116">
        <v>211</v>
      </c>
      <c r="O1622" s="116">
        <v>202.5</v>
      </c>
      <c r="P1622" s="116">
        <v>210</v>
      </c>
      <c r="Q1622" s="116">
        <v>204.51</v>
      </c>
      <c r="R1622">
        <v>1007463</v>
      </c>
    </row>
    <row r="1623" spans="1:18" x14ac:dyDescent="0.25">
      <c r="A1623" s="170">
        <v>46078</v>
      </c>
      <c r="B1623" s="116">
        <v>206.5</v>
      </c>
      <c r="C1623" s="116">
        <v>201.65</v>
      </c>
      <c r="D1623" s="116">
        <v>199.9</v>
      </c>
      <c r="E1623" s="116">
        <v>204.55</v>
      </c>
      <c r="F1623" s="116">
        <v>201.65</v>
      </c>
      <c r="G1623">
        <v>87517</v>
      </c>
      <c r="H1623" s="116"/>
      <c r="I1623" s="116"/>
      <c r="L1623" s="170">
        <v>46078</v>
      </c>
      <c r="M1623" s="116">
        <v>201.8</v>
      </c>
      <c r="N1623" s="116">
        <v>206.64</v>
      </c>
      <c r="O1623" s="116">
        <v>199.7</v>
      </c>
      <c r="P1623" s="116">
        <v>205.1</v>
      </c>
      <c r="Q1623" s="116">
        <v>201.8</v>
      </c>
      <c r="R1623">
        <v>1227365</v>
      </c>
    </row>
    <row r="1624" spans="1:18" x14ac:dyDescent="0.25">
      <c r="A1624" s="170">
        <v>46079</v>
      </c>
      <c r="B1624" s="116">
        <v>206</v>
      </c>
      <c r="C1624" s="116">
        <v>200.8</v>
      </c>
      <c r="D1624" s="116">
        <v>199.9</v>
      </c>
      <c r="E1624" s="116">
        <v>200.5</v>
      </c>
      <c r="F1624" s="116">
        <v>200.8</v>
      </c>
      <c r="G1624">
        <v>116708</v>
      </c>
      <c r="H1624" s="116"/>
      <c r="I1624" s="116"/>
      <c r="L1624" s="170">
        <v>46079</v>
      </c>
      <c r="M1624" s="116">
        <v>200.86</v>
      </c>
      <c r="N1624" s="116">
        <v>206.2</v>
      </c>
      <c r="O1624" s="116">
        <v>199.66</v>
      </c>
      <c r="P1624" s="116">
        <v>201.5</v>
      </c>
      <c r="Q1624" s="116">
        <v>200.86</v>
      </c>
      <c r="R1624">
        <v>933682</v>
      </c>
    </row>
    <row r="1625" spans="1:18" x14ac:dyDescent="0.25">
      <c r="A1625" s="170">
        <v>46080</v>
      </c>
      <c r="B1625" s="116">
        <v>201.75</v>
      </c>
      <c r="C1625" s="116">
        <v>197.85</v>
      </c>
      <c r="D1625" s="116">
        <v>196.45</v>
      </c>
      <c r="E1625" s="116">
        <v>200.85</v>
      </c>
      <c r="F1625" s="116">
        <v>197.85</v>
      </c>
      <c r="G1625">
        <v>57795</v>
      </c>
      <c r="H1625" s="116"/>
      <c r="I1625" s="116"/>
      <c r="L1625" s="170">
        <v>46080</v>
      </c>
      <c r="M1625" s="116">
        <v>197.99</v>
      </c>
      <c r="N1625" s="116">
        <v>201.7</v>
      </c>
      <c r="O1625" s="116">
        <v>196.37</v>
      </c>
      <c r="P1625" s="116">
        <v>200.56</v>
      </c>
      <c r="Q1625" s="116">
        <v>197.99</v>
      </c>
      <c r="R1625">
        <v>1253986</v>
      </c>
    </row>
    <row r="1626" spans="1:18" x14ac:dyDescent="0.25">
      <c r="A1626" s="170">
        <v>46083</v>
      </c>
      <c r="B1626" s="116">
        <v>195.3</v>
      </c>
      <c r="C1626" s="116">
        <v>189.8</v>
      </c>
      <c r="D1626" s="116">
        <v>175</v>
      </c>
      <c r="E1626" s="116">
        <v>175</v>
      </c>
      <c r="F1626" s="116">
        <v>189.8</v>
      </c>
      <c r="G1626">
        <v>149610</v>
      </c>
      <c r="H1626" s="116"/>
      <c r="I1626" s="116"/>
      <c r="L1626" s="170">
        <v>46083</v>
      </c>
      <c r="M1626" s="116">
        <v>189.98</v>
      </c>
      <c r="N1626" s="116">
        <v>195.5</v>
      </c>
      <c r="O1626" s="116">
        <v>184</v>
      </c>
      <c r="P1626" s="116">
        <v>184</v>
      </c>
      <c r="Q1626" s="116">
        <v>189.98</v>
      </c>
      <c r="R1626">
        <v>1541897</v>
      </c>
    </row>
    <row r="1627" spans="1:18" x14ac:dyDescent="0.25">
      <c r="A1627" s="170">
        <v>46085</v>
      </c>
      <c r="B1627" s="116">
        <v>187</v>
      </c>
      <c r="C1627" s="116">
        <v>181.7</v>
      </c>
      <c r="D1627" s="116">
        <v>181.15</v>
      </c>
      <c r="E1627" s="116">
        <v>185.3</v>
      </c>
      <c r="F1627" s="116">
        <v>181.7</v>
      </c>
      <c r="G1627">
        <v>155668</v>
      </c>
      <c r="H1627" s="116"/>
      <c r="I1627" s="116"/>
      <c r="L1627" s="170">
        <v>46085</v>
      </c>
      <c r="M1627" s="116">
        <v>181.66</v>
      </c>
      <c r="N1627" s="116">
        <v>186.28</v>
      </c>
      <c r="O1627" s="116">
        <v>181</v>
      </c>
      <c r="P1627" s="116">
        <v>186</v>
      </c>
      <c r="Q1627" s="116">
        <v>181.66</v>
      </c>
      <c r="R1627">
        <v>1276208</v>
      </c>
    </row>
    <row r="1628" spans="1:18" x14ac:dyDescent="0.25">
      <c r="A1628" s="170">
        <v>46086</v>
      </c>
      <c r="B1628" s="116">
        <v>185</v>
      </c>
      <c r="C1628" s="116">
        <v>180.15</v>
      </c>
      <c r="D1628" s="116">
        <v>175.7</v>
      </c>
      <c r="E1628" s="116">
        <v>182.35</v>
      </c>
      <c r="F1628" s="116">
        <v>180.15</v>
      </c>
      <c r="G1628">
        <v>179502</v>
      </c>
      <c r="H1628" s="116"/>
      <c r="I1628" s="116"/>
      <c r="L1628" s="170">
        <v>46086</v>
      </c>
      <c r="M1628" s="116">
        <v>180.15</v>
      </c>
      <c r="N1628" s="116">
        <v>186</v>
      </c>
      <c r="O1628" s="116">
        <v>175.74</v>
      </c>
      <c r="P1628" s="116">
        <v>182.97</v>
      </c>
      <c r="Q1628" s="116">
        <v>180.15</v>
      </c>
      <c r="R1628">
        <v>2052553</v>
      </c>
    </row>
    <row r="1629" spans="1:18" x14ac:dyDescent="0.25">
      <c r="A1629" s="170">
        <v>46087</v>
      </c>
      <c r="B1629" s="116">
        <v>185.85</v>
      </c>
      <c r="C1629" s="116">
        <v>181.5</v>
      </c>
      <c r="D1629" s="116">
        <v>176.15</v>
      </c>
      <c r="E1629" s="116">
        <v>176.15</v>
      </c>
      <c r="F1629" s="116">
        <v>181.5</v>
      </c>
      <c r="G1629">
        <v>373851</v>
      </c>
      <c r="H1629" s="116"/>
      <c r="I1629" s="116"/>
      <c r="L1629" s="170">
        <v>46087</v>
      </c>
      <c r="M1629" s="116">
        <v>181.78</v>
      </c>
      <c r="N1629" s="116">
        <v>186</v>
      </c>
      <c r="O1629" s="116">
        <v>177.5</v>
      </c>
      <c r="P1629" s="116">
        <v>178</v>
      </c>
      <c r="Q1629" s="116">
        <v>181.78</v>
      </c>
      <c r="R1629">
        <v>1825292</v>
      </c>
    </row>
    <row r="1630" spans="1:18" x14ac:dyDescent="0.25">
      <c r="A1630" s="170">
        <v>46090</v>
      </c>
      <c r="B1630" s="116">
        <v>179.3</v>
      </c>
      <c r="C1630" s="116">
        <v>174.2</v>
      </c>
      <c r="D1630" s="116">
        <v>172.25</v>
      </c>
      <c r="E1630" s="116">
        <v>175.45</v>
      </c>
      <c r="F1630" s="116">
        <v>174.2</v>
      </c>
      <c r="G1630">
        <v>167219</v>
      </c>
      <c r="H1630" s="116"/>
      <c r="I1630" s="116"/>
      <c r="L1630" s="170">
        <v>46090</v>
      </c>
      <c r="M1630" s="116">
        <v>173.93</v>
      </c>
      <c r="N1630" s="116">
        <v>178.9</v>
      </c>
      <c r="O1630" s="116">
        <v>172.22</v>
      </c>
      <c r="P1630" s="116">
        <v>175</v>
      </c>
      <c r="Q1630" s="116">
        <v>173.93</v>
      </c>
      <c r="R1630">
        <v>1936104</v>
      </c>
    </row>
    <row r="1631" spans="1:18" x14ac:dyDescent="0.25">
      <c r="A1631" s="170">
        <v>46091</v>
      </c>
      <c r="B1631" s="116">
        <v>178.6</v>
      </c>
      <c r="C1631" s="116">
        <v>177.45</v>
      </c>
      <c r="D1631" s="116">
        <v>174</v>
      </c>
      <c r="E1631" s="116">
        <v>177.2</v>
      </c>
      <c r="F1631" s="116">
        <v>177.45</v>
      </c>
      <c r="G1631">
        <v>185105</v>
      </c>
      <c r="H1631" s="116"/>
      <c r="I1631" s="116"/>
      <c r="L1631" s="170">
        <v>46091</v>
      </c>
      <c r="M1631" s="116">
        <v>177.82</v>
      </c>
      <c r="N1631" s="116">
        <v>179</v>
      </c>
      <c r="O1631" s="116">
        <v>173.56</v>
      </c>
      <c r="P1631" s="116">
        <v>177</v>
      </c>
      <c r="Q1631" s="116">
        <v>177.82</v>
      </c>
      <c r="R1631">
        <v>1790111</v>
      </c>
    </row>
    <row r="1632" spans="1:18" x14ac:dyDescent="0.25">
      <c r="A1632" s="170">
        <v>46092</v>
      </c>
      <c r="B1632" s="116">
        <v>183.6</v>
      </c>
      <c r="C1632" s="116">
        <v>178.7</v>
      </c>
      <c r="D1632" s="116">
        <v>177.75</v>
      </c>
      <c r="E1632" s="116">
        <v>178.75</v>
      </c>
      <c r="F1632" s="116">
        <v>178.7</v>
      </c>
      <c r="G1632">
        <v>132817</v>
      </c>
      <c r="H1632" s="116"/>
      <c r="I1632" s="116"/>
      <c r="L1632" s="170">
        <v>46092</v>
      </c>
      <c r="M1632" s="116">
        <v>178.57</v>
      </c>
      <c r="N1632" s="116">
        <v>183.5</v>
      </c>
      <c r="O1632" s="116">
        <v>177</v>
      </c>
      <c r="P1632" s="116">
        <v>179.13</v>
      </c>
      <c r="Q1632" s="116">
        <v>178.57</v>
      </c>
      <c r="R1632">
        <v>1476704</v>
      </c>
    </row>
    <row r="1633" spans="1:18" x14ac:dyDescent="0.25">
      <c r="A1633" s="170">
        <v>46093</v>
      </c>
      <c r="B1633" s="116">
        <v>182.3</v>
      </c>
      <c r="C1633" s="116">
        <v>179.5</v>
      </c>
      <c r="D1633" s="116">
        <v>172.95</v>
      </c>
      <c r="E1633" s="116">
        <v>176.45</v>
      </c>
      <c r="F1633" s="116">
        <v>179.5</v>
      </c>
      <c r="G1633">
        <v>314320</v>
      </c>
      <c r="H1633" s="116"/>
      <c r="I1633" s="116"/>
      <c r="L1633" s="170">
        <v>46093</v>
      </c>
      <c r="M1633" s="116">
        <v>179.31</v>
      </c>
      <c r="N1633" s="116">
        <v>182.49</v>
      </c>
      <c r="O1633" s="116">
        <v>172.9</v>
      </c>
      <c r="P1633" s="116">
        <v>175.9</v>
      </c>
      <c r="Q1633" s="116">
        <v>179.31</v>
      </c>
      <c r="R1633">
        <v>1947712</v>
      </c>
    </row>
    <row r="1634" spans="1:18" x14ac:dyDescent="0.25">
      <c r="A1634" s="170">
        <v>46094</v>
      </c>
      <c r="B1634" s="116">
        <v>178</v>
      </c>
      <c r="C1634" s="116">
        <v>169.15</v>
      </c>
      <c r="D1634" s="116">
        <v>168.55</v>
      </c>
      <c r="E1634" s="116">
        <v>178</v>
      </c>
      <c r="F1634" s="116">
        <v>169.15</v>
      </c>
      <c r="G1634">
        <v>222837</v>
      </c>
      <c r="H1634" s="116"/>
      <c r="I1634" s="116"/>
      <c r="L1634" s="170">
        <v>46094</v>
      </c>
      <c r="M1634" s="116">
        <v>169.25</v>
      </c>
      <c r="N1634" s="116">
        <v>178.69</v>
      </c>
      <c r="O1634" s="116">
        <v>168.68</v>
      </c>
      <c r="P1634" s="116">
        <v>178</v>
      </c>
      <c r="Q1634" s="116">
        <v>169.25</v>
      </c>
      <c r="R1634">
        <v>2016666</v>
      </c>
    </row>
    <row r="1635" spans="1:18" x14ac:dyDescent="0.25">
      <c r="A1635" s="170">
        <v>46097</v>
      </c>
      <c r="B1635" s="116">
        <v>173.5</v>
      </c>
      <c r="C1635" s="116">
        <v>171.15</v>
      </c>
      <c r="D1635" s="116">
        <v>165.4</v>
      </c>
      <c r="E1635" s="116">
        <v>169.5</v>
      </c>
      <c r="F1635" s="116">
        <v>171.15</v>
      </c>
      <c r="G1635">
        <v>136507</v>
      </c>
      <c r="H1635" s="116"/>
      <c r="I1635" s="116"/>
      <c r="L1635" s="170">
        <v>46097</v>
      </c>
      <c r="M1635" s="116">
        <v>171.25</v>
      </c>
      <c r="N1635" s="116">
        <v>173.5</v>
      </c>
      <c r="O1635" s="116">
        <v>165.3</v>
      </c>
      <c r="P1635" s="116">
        <v>170.48</v>
      </c>
      <c r="Q1635" s="116">
        <v>171.25</v>
      </c>
      <c r="R1635">
        <v>2032016</v>
      </c>
    </row>
    <row r="1636" spans="1:18" x14ac:dyDescent="0.25">
      <c r="A1636" s="170">
        <v>46098</v>
      </c>
      <c r="B1636" s="116">
        <v>172.5</v>
      </c>
      <c r="C1636" s="116">
        <v>168.9</v>
      </c>
      <c r="D1636" s="116">
        <v>167.8</v>
      </c>
      <c r="E1636" s="116">
        <v>172</v>
      </c>
      <c r="F1636" s="116">
        <v>168.9</v>
      </c>
      <c r="G1636">
        <v>99251</v>
      </c>
      <c r="H1636" s="116"/>
      <c r="I1636" s="116"/>
      <c r="L1636" s="170">
        <v>46098</v>
      </c>
      <c r="M1636" s="116">
        <v>168.95</v>
      </c>
      <c r="N1636" s="116">
        <v>172.67</v>
      </c>
      <c r="O1636" s="116">
        <v>167.7</v>
      </c>
      <c r="P1636" s="116">
        <v>171.49</v>
      </c>
      <c r="Q1636" s="116">
        <v>168.95</v>
      </c>
      <c r="R1636">
        <v>1424514</v>
      </c>
    </row>
    <row r="1637" spans="1:18" x14ac:dyDescent="0.25">
      <c r="A1637" s="170">
        <v>46099</v>
      </c>
      <c r="B1637" s="116">
        <v>177.45</v>
      </c>
      <c r="C1637" s="116">
        <v>175.3</v>
      </c>
      <c r="D1637" s="116">
        <v>169.55</v>
      </c>
      <c r="E1637" s="116">
        <v>169.55</v>
      </c>
      <c r="F1637" s="116">
        <v>175.3</v>
      </c>
      <c r="G1637">
        <v>196968</v>
      </c>
      <c r="H1637" s="116"/>
      <c r="I1637" s="116"/>
      <c r="L1637" s="170">
        <v>46099</v>
      </c>
      <c r="M1637" s="116">
        <v>175.17</v>
      </c>
      <c r="N1637" s="116">
        <v>177.58</v>
      </c>
      <c r="O1637" s="116">
        <v>169.09</v>
      </c>
      <c r="P1637" s="116">
        <v>169.09</v>
      </c>
      <c r="Q1637" s="116">
        <v>175.17</v>
      </c>
      <c r="R1637">
        <v>1748510</v>
      </c>
    </row>
    <row r="1638" spans="1:18" x14ac:dyDescent="0.25">
      <c r="A1638" s="170">
        <v>46100</v>
      </c>
      <c r="B1638" s="116">
        <v>175.15</v>
      </c>
      <c r="C1638" s="116">
        <v>169.15</v>
      </c>
      <c r="D1638" s="116">
        <v>169.05</v>
      </c>
      <c r="E1638" s="116">
        <v>169.8</v>
      </c>
      <c r="F1638" s="116">
        <v>169.15</v>
      </c>
      <c r="G1638">
        <v>123527</v>
      </c>
      <c r="H1638" s="116"/>
      <c r="I1638" s="116"/>
      <c r="L1638" s="170">
        <v>46100</v>
      </c>
      <c r="M1638" s="116">
        <v>169.27</v>
      </c>
      <c r="N1638" s="116">
        <v>175.2</v>
      </c>
      <c r="O1638" s="116">
        <v>169</v>
      </c>
      <c r="P1638" s="116">
        <v>170</v>
      </c>
      <c r="Q1638" s="116">
        <v>169.27</v>
      </c>
      <c r="R1638">
        <v>1214426</v>
      </c>
    </row>
    <row r="1639" spans="1:18" x14ac:dyDescent="0.25">
      <c r="A1639" s="170">
        <v>46101</v>
      </c>
      <c r="B1639" s="116">
        <v>176.35</v>
      </c>
      <c r="C1639" s="116">
        <v>171.7</v>
      </c>
      <c r="D1639" s="116">
        <v>170.5</v>
      </c>
      <c r="E1639" s="116">
        <v>172.05</v>
      </c>
      <c r="F1639" s="116">
        <v>171.7</v>
      </c>
      <c r="G1639">
        <v>140925</v>
      </c>
      <c r="H1639" s="116"/>
      <c r="I1639" s="116"/>
      <c r="L1639" s="170">
        <v>46101</v>
      </c>
      <c r="M1639" s="116">
        <v>171.65</v>
      </c>
      <c r="N1639" s="116">
        <v>176.4</v>
      </c>
      <c r="O1639" s="116">
        <v>170.48</v>
      </c>
      <c r="P1639" s="116">
        <v>172.12</v>
      </c>
      <c r="Q1639" s="116">
        <v>171.65</v>
      </c>
      <c r="R1639">
        <v>1370218</v>
      </c>
    </row>
    <row r="1640" spans="1:18" x14ac:dyDescent="0.25">
      <c r="A1640" s="170">
        <v>46104</v>
      </c>
      <c r="B1640" s="116">
        <v>169.05</v>
      </c>
      <c r="C1640" s="116">
        <v>158.65</v>
      </c>
      <c r="D1640" s="116">
        <v>158.1</v>
      </c>
      <c r="E1640" s="116">
        <v>168.25</v>
      </c>
      <c r="F1640" s="116">
        <v>158.65</v>
      </c>
      <c r="G1640">
        <v>178893</v>
      </c>
      <c r="H1640" s="116"/>
      <c r="I1640" s="116"/>
      <c r="L1640" s="170">
        <v>46104</v>
      </c>
      <c r="M1640" s="116">
        <v>158.58000000000001</v>
      </c>
      <c r="N1640" s="116">
        <v>169.5</v>
      </c>
      <c r="O1640" s="116">
        <v>158.02000000000001</v>
      </c>
      <c r="P1640" s="116">
        <v>168.51</v>
      </c>
      <c r="Q1640" s="116">
        <v>158.58000000000001</v>
      </c>
      <c r="R1640">
        <v>2331548</v>
      </c>
    </row>
    <row r="1641" spans="1:18" x14ac:dyDescent="0.25">
      <c r="A1641" s="170">
        <v>46105</v>
      </c>
      <c r="B1641" s="116">
        <v>167.9</v>
      </c>
      <c r="C1641" s="116">
        <v>162.75</v>
      </c>
      <c r="D1641" s="116">
        <v>158.9</v>
      </c>
      <c r="E1641" s="116">
        <v>167.9</v>
      </c>
      <c r="F1641" s="116">
        <v>162.75</v>
      </c>
      <c r="G1641">
        <v>207377</v>
      </c>
      <c r="H1641" s="116"/>
      <c r="I1641" s="116"/>
      <c r="L1641" s="170">
        <v>46105</v>
      </c>
      <c r="M1641" s="116">
        <v>162.72</v>
      </c>
      <c r="N1641" s="116">
        <v>165.85</v>
      </c>
      <c r="O1641" s="116">
        <v>158.88</v>
      </c>
      <c r="P1641" s="116">
        <v>164.62</v>
      </c>
      <c r="Q1641" s="116">
        <v>162.72</v>
      </c>
      <c r="R1641">
        <v>1838612</v>
      </c>
    </row>
    <row r="1642" spans="1:18" x14ac:dyDescent="0.25">
      <c r="A1642" s="170">
        <v>46106</v>
      </c>
      <c r="B1642" s="116">
        <v>171</v>
      </c>
      <c r="C1642" s="116">
        <v>167.05</v>
      </c>
      <c r="D1642" s="116">
        <v>163.55000000000001</v>
      </c>
      <c r="E1642" s="116">
        <v>163.69999999999999</v>
      </c>
      <c r="F1642" s="116">
        <v>167.05</v>
      </c>
      <c r="G1642">
        <v>369867</v>
      </c>
      <c r="H1642" s="116"/>
      <c r="I1642" s="116"/>
      <c r="L1642" s="170">
        <v>46106</v>
      </c>
      <c r="M1642" s="116">
        <v>167.03</v>
      </c>
      <c r="N1642" s="116">
        <v>171.02</v>
      </c>
      <c r="O1642" s="116">
        <v>163.02000000000001</v>
      </c>
      <c r="P1642" s="116">
        <v>163.9</v>
      </c>
      <c r="Q1642" s="116">
        <v>167.03</v>
      </c>
      <c r="R1642">
        <v>1912900</v>
      </c>
    </row>
    <row r="1643" spans="1:18" x14ac:dyDescent="0.25">
      <c r="A1643" s="170">
        <v>46108</v>
      </c>
      <c r="B1643" s="116">
        <v>165.5</v>
      </c>
      <c r="C1643" s="116">
        <v>158.15</v>
      </c>
      <c r="D1643" s="116">
        <v>157</v>
      </c>
      <c r="E1643" s="116">
        <v>165.05</v>
      </c>
      <c r="F1643" s="116">
        <v>158.15</v>
      </c>
      <c r="G1643">
        <v>337328</v>
      </c>
      <c r="H1643" s="116"/>
      <c r="I1643" s="116"/>
      <c r="L1643" s="170">
        <v>46108</v>
      </c>
      <c r="M1643" s="116">
        <v>158.15</v>
      </c>
      <c r="N1643" s="116">
        <v>165.95</v>
      </c>
      <c r="O1643" s="116">
        <v>157.15</v>
      </c>
      <c r="P1643" s="116">
        <v>165.1</v>
      </c>
      <c r="Q1643" s="116">
        <v>158.15</v>
      </c>
      <c r="R1643">
        <v>4187071</v>
      </c>
    </row>
    <row r="1644" spans="1:18" x14ac:dyDescent="0.25">
      <c r="A1644" s="170">
        <v>46111</v>
      </c>
      <c r="B1644" s="116">
        <v>159.9</v>
      </c>
      <c r="C1644" s="116">
        <v>148.94999999999999</v>
      </c>
      <c r="D1644" s="116">
        <v>148.30000000000001</v>
      </c>
      <c r="E1644" s="116">
        <v>156.35</v>
      </c>
      <c r="F1644" s="116">
        <v>148.94999999999999</v>
      </c>
      <c r="G1644">
        <v>306354</v>
      </c>
      <c r="H1644" s="116"/>
      <c r="I1644" s="116"/>
      <c r="L1644" s="170">
        <v>46111</v>
      </c>
      <c r="M1644" s="116">
        <v>148.88</v>
      </c>
      <c r="N1644" s="116">
        <v>159.91999999999999</v>
      </c>
      <c r="O1644" s="116">
        <v>148</v>
      </c>
      <c r="P1644" s="116">
        <v>156.30000000000001</v>
      </c>
      <c r="Q1644" s="116">
        <v>148.88</v>
      </c>
      <c r="R1644">
        <v>4030200</v>
      </c>
    </row>
    <row r="1645" spans="1:18" x14ac:dyDescent="0.25">
      <c r="A1645" s="170">
        <v>46113</v>
      </c>
      <c r="B1645" s="116">
        <v>164.55</v>
      </c>
      <c r="C1645" s="116">
        <v>163.44999999999999</v>
      </c>
      <c r="D1645" s="116">
        <v>152.55000000000001</v>
      </c>
      <c r="E1645" s="116">
        <v>152.55000000000001</v>
      </c>
      <c r="F1645" s="116">
        <v>163.44999999999999</v>
      </c>
      <c r="G1645">
        <v>268309</v>
      </c>
      <c r="H1645" s="116"/>
      <c r="I1645" s="116"/>
      <c r="L1645" s="170">
        <v>46113</v>
      </c>
      <c r="M1645" s="116">
        <v>163.6</v>
      </c>
      <c r="N1645" s="116">
        <v>164.78</v>
      </c>
      <c r="O1645" s="116">
        <v>153.69999999999999</v>
      </c>
      <c r="P1645" s="116">
        <v>154.30000000000001</v>
      </c>
      <c r="Q1645" s="116">
        <v>163.6</v>
      </c>
      <c r="R1645">
        <v>2156438</v>
      </c>
    </row>
    <row r="1646" spans="1:18" x14ac:dyDescent="0.25">
      <c r="A1646" s="170">
        <v>46114</v>
      </c>
      <c r="B1646" s="116">
        <v>167.35</v>
      </c>
      <c r="C1646" s="116">
        <v>165.8</v>
      </c>
      <c r="D1646" s="116">
        <v>155.25</v>
      </c>
      <c r="E1646" s="116">
        <v>157.35</v>
      </c>
      <c r="F1646" s="116">
        <v>165.8</v>
      </c>
      <c r="G1646">
        <v>393748</v>
      </c>
      <c r="H1646" s="116"/>
      <c r="I1646" s="116"/>
      <c r="L1646" s="170">
        <v>46114</v>
      </c>
      <c r="M1646" s="116">
        <v>165.46</v>
      </c>
      <c r="N1646" s="116">
        <v>167.23</v>
      </c>
      <c r="O1646" s="116">
        <v>155.15</v>
      </c>
      <c r="P1646" s="116">
        <v>158</v>
      </c>
      <c r="Q1646" s="116">
        <v>165.46</v>
      </c>
      <c r="R1646">
        <v>2028160</v>
      </c>
    </row>
    <row r="1647" spans="1:18" x14ac:dyDescent="0.25">
      <c r="A1647" s="170">
        <v>46118</v>
      </c>
      <c r="B1647" s="116">
        <v>167.5</v>
      </c>
      <c r="C1647" s="116">
        <v>166.45</v>
      </c>
      <c r="D1647" s="116">
        <v>160</v>
      </c>
      <c r="E1647" s="116">
        <v>165.85</v>
      </c>
      <c r="F1647" s="116">
        <v>166.45</v>
      </c>
      <c r="G1647">
        <v>105099</v>
      </c>
      <c r="H1647" s="116"/>
      <c r="I1647" s="116"/>
      <c r="L1647" s="170">
        <v>46118</v>
      </c>
      <c r="M1647" s="116">
        <v>166.43</v>
      </c>
      <c r="N1647" s="116">
        <v>168.01</v>
      </c>
      <c r="O1647" s="116">
        <v>159.69999999999999</v>
      </c>
      <c r="P1647" s="116">
        <v>166.69</v>
      </c>
      <c r="Q1647" s="116">
        <v>166.43</v>
      </c>
      <c r="R1647">
        <v>1479029</v>
      </c>
    </row>
    <row r="1648" spans="1:18" x14ac:dyDescent="0.25">
      <c r="A1648" s="170">
        <v>46119</v>
      </c>
      <c r="B1648" s="116">
        <v>168.7</v>
      </c>
      <c r="C1648" s="116">
        <v>165.45</v>
      </c>
      <c r="D1648" s="116">
        <v>164.55</v>
      </c>
      <c r="E1648" s="116">
        <v>165.55</v>
      </c>
      <c r="F1648" s="116">
        <v>165.45</v>
      </c>
      <c r="G1648">
        <v>69316</v>
      </c>
      <c r="H1648" s="116"/>
      <c r="I1648" s="116"/>
      <c r="L1648" s="170">
        <v>46119</v>
      </c>
      <c r="M1648" s="116">
        <v>165.43</v>
      </c>
      <c r="N1648" s="116">
        <v>168.85</v>
      </c>
      <c r="O1648" s="116">
        <v>164</v>
      </c>
      <c r="P1648" s="116">
        <v>165.88</v>
      </c>
      <c r="Q1648" s="116">
        <v>165.43</v>
      </c>
      <c r="R1648">
        <v>756524</v>
      </c>
    </row>
    <row r="1649" spans="1:18" x14ac:dyDescent="0.25">
      <c r="A1649" s="170">
        <v>46120</v>
      </c>
      <c r="B1649" s="116">
        <v>179.15</v>
      </c>
      <c r="C1649" s="116">
        <v>177.85</v>
      </c>
      <c r="D1649" s="116">
        <v>170.2</v>
      </c>
      <c r="E1649" s="116">
        <v>171.25</v>
      </c>
      <c r="F1649" s="116">
        <v>177.85</v>
      </c>
      <c r="G1649">
        <v>213622</v>
      </c>
      <c r="H1649" s="116"/>
      <c r="I1649" s="116"/>
      <c r="L1649" s="170">
        <v>46120</v>
      </c>
      <c r="M1649" s="116">
        <v>177.38</v>
      </c>
      <c r="N1649" s="116">
        <v>178.1</v>
      </c>
      <c r="O1649" s="116">
        <v>170.1</v>
      </c>
      <c r="P1649" s="116">
        <v>173</v>
      </c>
      <c r="Q1649" s="116">
        <v>177.38</v>
      </c>
      <c r="R1649">
        <v>2196507</v>
      </c>
    </row>
    <row r="1650" spans="1:18" x14ac:dyDescent="0.25">
      <c r="A1650" s="170">
        <v>46121</v>
      </c>
      <c r="B1650" s="116">
        <v>180.25</v>
      </c>
      <c r="C1650" s="116">
        <v>175.4</v>
      </c>
      <c r="D1650" s="116">
        <v>173.5</v>
      </c>
      <c r="E1650" s="116">
        <v>178.5</v>
      </c>
      <c r="F1650" s="116">
        <v>175.4</v>
      </c>
      <c r="G1650">
        <v>95435</v>
      </c>
      <c r="H1650" s="116"/>
      <c r="I1650" s="116"/>
      <c r="L1650" s="170">
        <v>46121</v>
      </c>
      <c r="M1650" s="116">
        <v>175.3</v>
      </c>
      <c r="N1650" s="116">
        <v>180.44</v>
      </c>
      <c r="O1650" s="116">
        <v>173.26</v>
      </c>
      <c r="P1650" s="116">
        <v>177.4</v>
      </c>
      <c r="Q1650" s="116">
        <v>175.3</v>
      </c>
      <c r="R1650">
        <v>1275329</v>
      </c>
    </row>
    <row r="1651" spans="1:18" x14ac:dyDescent="0.25">
      <c r="A1651" s="170">
        <v>46122</v>
      </c>
      <c r="B1651" s="116">
        <v>183.45</v>
      </c>
      <c r="C1651" s="116">
        <v>181.4</v>
      </c>
      <c r="D1651" s="116">
        <v>176.05</v>
      </c>
      <c r="E1651" s="116">
        <v>176.05</v>
      </c>
      <c r="F1651" s="116">
        <v>181.4</v>
      </c>
      <c r="G1651">
        <v>107775</v>
      </c>
      <c r="H1651" s="116"/>
      <c r="I1651" s="116"/>
      <c r="L1651" s="170">
        <v>46122</v>
      </c>
      <c r="M1651" s="116">
        <v>181.46</v>
      </c>
      <c r="N1651" s="116">
        <v>183.35</v>
      </c>
      <c r="O1651" s="116">
        <v>176.2</v>
      </c>
      <c r="P1651" s="116">
        <v>176.4</v>
      </c>
      <c r="Q1651" s="116">
        <v>181.46</v>
      </c>
      <c r="R1651">
        <v>1670095</v>
      </c>
    </row>
    <row r="1652" spans="1:18" x14ac:dyDescent="0.25">
      <c r="A1652" s="170">
        <v>46125</v>
      </c>
      <c r="B1652" s="116">
        <v>181.65</v>
      </c>
      <c r="C1652" s="116">
        <v>178.6</v>
      </c>
      <c r="D1652" s="116">
        <v>173.75</v>
      </c>
      <c r="E1652" s="116">
        <v>175</v>
      </c>
      <c r="F1652" s="116">
        <v>178.6</v>
      </c>
      <c r="G1652">
        <v>71954</v>
      </c>
      <c r="H1652" s="116"/>
      <c r="I1652" s="116"/>
      <c r="L1652" s="170">
        <v>46125</v>
      </c>
      <c r="M1652" s="116">
        <v>178.53</v>
      </c>
      <c r="N1652" s="116">
        <v>181.7</v>
      </c>
      <c r="O1652" s="116">
        <v>173.67</v>
      </c>
      <c r="P1652" s="116">
        <v>175.5</v>
      </c>
      <c r="Q1652" s="116">
        <v>178.53</v>
      </c>
      <c r="R1652">
        <v>1695047</v>
      </c>
    </row>
    <row r="1653" spans="1:18" x14ac:dyDescent="0.25">
      <c r="A1653" s="170">
        <v>46127</v>
      </c>
      <c r="B1653" s="116">
        <v>190.3</v>
      </c>
      <c r="C1653" s="116">
        <v>188.75</v>
      </c>
      <c r="D1653" s="116">
        <v>182.95</v>
      </c>
      <c r="E1653" s="116">
        <v>183</v>
      </c>
      <c r="F1653" s="116">
        <v>188.75</v>
      </c>
      <c r="G1653">
        <v>194193</v>
      </c>
      <c r="H1653" s="116"/>
      <c r="I1653" s="116"/>
      <c r="L1653" s="170">
        <v>46127</v>
      </c>
      <c r="M1653" s="116">
        <v>188.71</v>
      </c>
      <c r="N1653" s="116">
        <v>190.45</v>
      </c>
      <c r="O1653" s="116">
        <v>182.4</v>
      </c>
      <c r="P1653" s="116">
        <v>184.3</v>
      </c>
      <c r="Q1653" s="116">
        <v>188.71</v>
      </c>
      <c r="R1653">
        <v>2111737</v>
      </c>
    </row>
    <row r="1654" spans="1:18" x14ac:dyDescent="0.25">
      <c r="A1654" s="170">
        <v>46128</v>
      </c>
      <c r="B1654" s="116">
        <v>195.4</v>
      </c>
      <c r="C1654" s="116">
        <v>193.5</v>
      </c>
      <c r="D1654" s="116">
        <v>189.2</v>
      </c>
      <c r="E1654" s="116">
        <v>190.8</v>
      </c>
      <c r="F1654" s="116">
        <v>193.5</v>
      </c>
      <c r="G1654">
        <v>96260</v>
      </c>
      <c r="H1654" s="116"/>
      <c r="I1654" s="116"/>
      <c r="L1654" s="170">
        <v>46128</v>
      </c>
      <c r="M1654" s="116">
        <v>193.46</v>
      </c>
      <c r="N1654" s="116">
        <v>195.24</v>
      </c>
      <c r="O1654" s="116">
        <v>189.11</v>
      </c>
      <c r="P1654" s="116">
        <v>191</v>
      </c>
      <c r="Q1654" s="116">
        <v>193.46</v>
      </c>
      <c r="R1654">
        <v>1981424</v>
      </c>
    </row>
    <row r="1655" spans="1:18" x14ac:dyDescent="0.25">
      <c r="A1655" s="170">
        <v>46129</v>
      </c>
      <c r="B1655" s="116">
        <v>197.75</v>
      </c>
      <c r="C1655" s="116">
        <v>194.3</v>
      </c>
      <c r="D1655" s="116">
        <v>193</v>
      </c>
      <c r="E1655" s="116">
        <v>194.25</v>
      </c>
      <c r="F1655" s="116">
        <v>194.3</v>
      </c>
      <c r="G1655">
        <v>72946</v>
      </c>
      <c r="H1655" s="116"/>
      <c r="I1655" s="116"/>
      <c r="L1655" s="170">
        <v>46129</v>
      </c>
      <c r="M1655" s="116">
        <v>193.97</v>
      </c>
      <c r="N1655" s="116">
        <v>197.71</v>
      </c>
      <c r="O1655" s="116">
        <v>192.1</v>
      </c>
      <c r="P1655" s="116">
        <v>194.5</v>
      </c>
      <c r="Q1655" s="116">
        <v>193.97</v>
      </c>
      <c r="R1655">
        <v>1473030</v>
      </c>
    </row>
    <row r="1656" spans="1:18" x14ac:dyDescent="0.25">
      <c r="A1656" s="170">
        <v>46132</v>
      </c>
      <c r="B1656" s="116">
        <v>227.1</v>
      </c>
      <c r="C1656" s="116">
        <v>211.95</v>
      </c>
      <c r="D1656" s="116">
        <v>189.6</v>
      </c>
      <c r="E1656" s="116">
        <v>194.35</v>
      </c>
      <c r="F1656" s="116">
        <v>211.95</v>
      </c>
      <c r="G1656">
        <v>2348328</v>
      </c>
      <c r="H1656" s="116"/>
      <c r="I1656" s="116"/>
      <c r="L1656" s="170">
        <v>46132</v>
      </c>
      <c r="M1656" s="116">
        <v>212.08</v>
      </c>
      <c r="N1656" s="116">
        <v>226.9</v>
      </c>
      <c r="O1656" s="116">
        <v>189.72</v>
      </c>
      <c r="P1656" s="116">
        <v>194.88</v>
      </c>
      <c r="Q1656" s="116">
        <v>212.08</v>
      </c>
      <c r="R1656">
        <v>70921408</v>
      </c>
    </row>
    <row r="1657" spans="1:18" x14ac:dyDescent="0.25">
      <c r="A1657" s="170">
        <v>46133</v>
      </c>
      <c r="B1657" s="116">
        <v>221.8</v>
      </c>
      <c r="C1657" s="116">
        <v>209.65</v>
      </c>
      <c r="D1657" s="116">
        <v>207.45</v>
      </c>
      <c r="E1657" s="116">
        <v>216.15</v>
      </c>
      <c r="F1657" s="116">
        <v>209.65</v>
      </c>
      <c r="G1657">
        <v>983181</v>
      </c>
      <c r="H1657" s="116"/>
      <c r="I1657" s="116"/>
      <c r="L1657" s="170">
        <v>46133</v>
      </c>
      <c r="M1657" s="116">
        <v>209.52</v>
      </c>
      <c r="N1657" s="116">
        <v>221.77</v>
      </c>
      <c r="O1657" s="116">
        <v>207.37</v>
      </c>
      <c r="P1657" s="116">
        <v>214</v>
      </c>
      <c r="Q1657" s="116">
        <v>209.52</v>
      </c>
      <c r="R1657">
        <v>16813447</v>
      </c>
    </row>
    <row r="1658" spans="1:18" x14ac:dyDescent="0.25">
      <c r="A1658" s="170">
        <v>46134</v>
      </c>
      <c r="B1658" s="116">
        <v>220</v>
      </c>
      <c r="C1658" s="116">
        <v>218.6</v>
      </c>
      <c r="D1658" s="116">
        <v>206.4</v>
      </c>
      <c r="E1658" s="116">
        <v>209.55</v>
      </c>
      <c r="F1658" s="116">
        <v>218.6</v>
      </c>
      <c r="G1658">
        <v>593028</v>
      </c>
      <c r="H1658" s="116"/>
      <c r="I1658" s="116"/>
      <c r="L1658" s="170">
        <v>46134</v>
      </c>
      <c r="M1658" s="116">
        <v>218.65</v>
      </c>
      <c r="N1658" s="116">
        <v>220</v>
      </c>
      <c r="O1658" s="116">
        <v>206.34</v>
      </c>
      <c r="P1658" s="116">
        <v>209.85</v>
      </c>
      <c r="Q1658" s="116">
        <v>218.65</v>
      </c>
      <c r="R1658">
        <v>6952381</v>
      </c>
    </row>
    <row r="1659" spans="1:18" x14ac:dyDescent="0.25">
      <c r="A1659" s="170">
        <v>46135</v>
      </c>
      <c r="B1659" s="116">
        <v>232.15</v>
      </c>
      <c r="C1659" s="116">
        <v>220.35</v>
      </c>
      <c r="D1659" s="116">
        <v>215.8</v>
      </c>
      <c r="E1659" s="116">
        <v>219.95</v>
      </c>
      <c r="F1659" s="116">
        <v>220.35</v>
      </c>
      <c r="G1659">
        <v>1383406</v>
      </c>
      <c r="H1659" s="116"/>
      <c r="I1659" s="116"/>
      <c r="L1659" s="170">
        <v>46135</v>
      </c>
      <c r="M1659" s="116">
        <v>219.65</v>
      </c>
      <c r="N1659" s="116">
        <v>232</v>
      </c>
      <c r="O1659" s="116">
        <v>215.26</v>
      </c>
      <c r="P1659" s="116">
        <v>219.1</v>
      </c>
      <c r="Q1659" s="116">
        <v>219.65</v>
      </c>
      <c r="R1659">
        <v>21872145</v>
      </c>
    </row>
    <row r="1660" spans="1:18" x14ac:dyDescent="0.25">
      <c r="A1660" s="170">
        <v>46136</v>
      </c>
      <c r="B1660" s="116">
        <v>224.05</v>
      </c>
      <c r="C1660" s="116">
        <v>213.65</v>
      </c>
      <c r="D1660" s="116">
        <v>211.25</v>
      </c>
      <c r="E1660" s="116">
        <v>222.05</v>
      </c>
      <c r="F1660" s="116">
        <v>213.65</v>
      </c>
      <c r="G1660">
        <v>466443</v>
      </c>
      <c r="H1660" s="116"/>
      <c r="I1660" s="116"/>
      <c r="L1660" s="170">
        <v>46136</v>
      </c>
      <c r="M1660" s="116">
        <v>213.31</v>
      </c>
      <c r="N1660" s="116">
        <v>223.9</v>
      </c>
      <c r="O1660" s="116">
        <v>210</v>
      </c>
      <c r="P1660" s="116">
        <v>222</v>
      </c>
      <c r="Q1660" s="116">
        <v>213.31</v>
      </c>
      <c r="R1660">
        <v>5620592</v>
      </c>
    </row>
    <row r="1661" spans="1:18" x14ac:dyDescent="0.25">
      <c r="A1661" s="170">
        <v>46139</v>
      </c>
      <c r="B1661" s="116">
        <v>219.6</v>
      </c>
      <c r="C1661" s="116">
        <v>216.25</v>
      </c>
      <c r="D1661" s="116">
        <v>213.35</v>
      </c>
      <c r="E1661" s="116">
        <v>216.05</v>
      </c>
      <c r="F1661" s="116">
        <v>216.25</v>
      </c>
      <c r="G1661">
        <v>241170</v>
      </c>
      <c r="H1661" s="116"/>
      <c r="I1661" s="116"/>
      <c r="L1661" s="170">
        <v>46139</v>
      </c>
      <c r="M1661" s="116">
        <v>216.01</v>
      </c>
      <c r="N1661" s="116">
        <v>219.8</v>
      </c>
      <c r="O1661" s="116">
        <v>213.16</v>
      </c>
      <c r="P1661" s="116">
        <v>216.3</v>
      </c>
      <c r="Q1661" s="116">
        <v>216.01</v>
      </c>
      <c r="R1661">
        <v>3185349</v>
      </c>
    </row>
    <row r="1662" spans="1:18" x14ac:dyDescent="0.25">
      <c r="A1662" s="170">
        <v>46140</v>
      </c>
      <c r="B1662" s="116">
        <v>219</v>
      </c>
      <c r="C1662" s="116">
        <v>213.45</v>
      </c>
      <c r="D1662" s="116">
        <v>212.55</v>
      </c>
      <c r="E1662" s="116">
        <v>216.35</v>
      </c>
      <c r="F1662" s="116">
        <v>213.45</v>
      </c>
      <c r="G1662">
        <v>148402</v>
      </c>
      <c r="H1662" s="116"/>
      <c r="I1662" s="116"/>
      <c r="L1662" s="170">
        <v>46140</v>
      </c>
      <c r="M1662" s="116">
        <v>213.31</v>
      </c>
      <c r="N1662" s="116">
        <v>218.9</v>
      </c>
      <c r="O1662" s="116">
        <v>212.5</v>
      </c>
      <c r="P1662" s="116">
        <v>217.08</v>
      </c>
      <c r="Q1662" s="116">
        <v>213.31</v>
      </c>
      <c r="R1662">
        <v>1700893</v>
      </c>
    </row>
    <row r="1663" spans="1:18" x14ac:dyDescent="0.25">
      <c r="A1663" s="170">
        <v>46141</v>
      </c>
      <c r="B1663" s="116">
        <v>216.55</v>
      </c>
      <c r="C1663" s="116">
        <v>211.85</v>
      </c>
      <c r="D1663" s="116">
        <v>210.3</v>
      </c>
      <c r="E1663" s="116">
        <v>214.65</v>
      </c>
      <c r="F1663" s="116">
        <v>211.85</v>
      </c>
      <c r="G1663">
        <v>134486</v>
      </c>
      <c r="H1663" s="116"/>
      <c r="I1663" s="116"/>
      <c r="L1663" s="170">
        <v>46141</v>
      </c>
      <c r="M1663" s="116">
        <v>211.98</v>
      </c>
      <c r="N1663" s="116">
        <v>216.38</v>
      </c>
      <c r="O1663" s="116">
        <v>210.42</v>
      </c>
      <c r="P1663" s="116">
        <v>214.99</v>
      </c>
      <c r="Q1663" s="116">
        <v>211.98</v>
      </c>
      <c r="R1663">
        <v>1861862</v>
      </c>
    </row>
    <row r="1664" spans="1:18" x14ac:dyDescent="0.25">
      <c r="A1664" s="170">
        <v>46142</v>
      </c>
      <c r="B1664" s="116">
        <v>212</v>
      </c>
      <c r="C1664" s="116">
        <v>208.35</v>
      </c>
      <c r="D1664" s="116">
        <v>205.35</v>
      </c>
      <c r="E1664" s="116">
        <v>210.9</v>
      </c>
      <c r="F1664" s="116">
        <v>208.35</v>
      </c>
      <c r="G1664">
        <v>89195</v>
      </c>
      <c r="H1664" s="116"/>
      <c r="I1664" s="116"/>
      <c r="L1664" s="170">
        <v>46142</v>
      </c>
      <c r="M1664" s="116">
        <v>208.34</v>
      </c>
      <c r="N1664" s="116">
        <v>211.98</v>
      </c>
      <c r="O1664" s="116">
        <v>205.23</v>
      </c>
      <c r="P1664" s="116">
        <v>210.3</v>
      </c>
      <c r="Q1664" s="116">
        <v>208.34</v>
      </c>
      <c r="R1664">
        <v>1661944</v>
      </c>
    </row>
    <row r="1665" spans="1:18" x14ac:dyDescent="0.25">
      <c r="A1665" s="170">
        <v>46146</v>
      </c>
      <c r="B1665" s="116">
        <v>215.75</v>
      </c>
      <c r="C1665" s="116">
        <v>212.05</v>
      </c>
      <c r="D1665" s="116">
        <v>208</v>
      </c>
      <c r="E1665" s="116">
        <v>209.2</v>
      </c>
      <c r="F1665" s="116">
        <v>212.05</v>
      </c>
      <c r="G1665">
        <v>122036</v>
      </c>
      <c r="H1665" s="116"/>
      <c r="I1665" s="116"/>
      <c r="L1665" s="170">
        <v>46146</v>
      </c>
      <c r="M1665" s="116">
        <v>212.07</v>
      </c>
      <c r="N1665" s="116">
        <v>215.92</v>
      </c>
      <c r="O1665" s="116">
        <v>207.99</v>
      </c>
      <c r="P1665" s="116">
        <v>210</v>
      </c>
      <c r="Q1665" s="116">
        <v>212.07</v>
      </c>
      <c r="R1665">
        <v>1992534</v>
      </c>
    </row>
    <row r="1666" spans="1:18" x14ac:dyDescent="0.25">
      <c r="A1666" s="170">
        <v>46147</v>
      </c>
      <c r="B1666" s="116">
        <v>216.45</v>
      </c>
      <c r="C1666" s="116">
        <v>210.5</v>
      </c>
      <c r="D1666" s="116">
        <v>209.45</v>
      </c>
      <c r="E1666" s="116">
        <v>212.45</v>
      </c>
      <c r="F1666" s="116">
        <v>210.5</v>
      </c>
      <c r="G1666">
        <v>76248</v>
      </c>
      <c r="H1666" s="116"/>
      <c r="I1666" s="116"/>
      <c r="L1666" s="170">
        <v>46147</v>
      </c>
      <c r="M1666" s="116">
        <v>210.5</v>
      </c>
      <c r="N1666" s="116">
        <v>216.4</v>
      </c>
      <c r="O1666" s="116">
        <v>209.61</v>
      </c>
      <c r="P1666" s="116">
        <v>212</v>
      </c>
      <c r="Q1666" s="116">
        <v>210.5</v>
      </c>
      <c r="R1666">
        <v>1424664</v>
      </c>
    </row>
    <row r="1667" spans="1:18" x14ac:dyDescent="0.25">
      <c r="A1667" s="170">
        <v>46148</v>
      </c>
      <c r="B1667" s="116">
        <v>216.75</v>
      </c>
      <c r="C1667" s="116">
        <v>215.7</v>
      </c>
      <c r="D1667" s="116">
        <v>211.05</v>
      </c>
      <c r="E1667" s="116">
        <v>213.75</v>
      </c>
      <c r="F1667" s="116">
        <v>215.7</v>
      </c>
      <c r="G1667">
        <v>93708</v>
      </c>
      <c r="H1667" s="116"/>
      <c r="I1667" s="116"/>
      <c r="L1667" s="170">
        <v>46148</v>
      </c>
      <c r="M1667" s="116">
        <v>215.79</v>
      </c>
      <c r="N1667" s="116">
        <v>216.9</v>
      </c>
      <c r="O1667" s="116">
        <v>211</v>
      </c>
      <c r="P1667" s="116">
        <v>212.3</v>
      </c>
      <c r="Q1667" s="116">
        <v>215.79</v>
      </c>
      <c r="R1667">
        <v>1563611</v>
      </c>
    </row>
    <row r="1668" spans="1:18" x14ac:dyDescent="0.25">
      <c r="A1668" s="170">
        <v>46149</v>
      </c>
      <c r="B1668" s="116">
        <v>222.5</v>
      </c>
      <c r="C1668" s="116">
        <v>219.3</v>
      </c>
      <c r="D1668" s="116">
        <v>214</v>
      </c>
      <c r="E1668" s="116">
        <v>217.5</v>
      </c>
      <c r="F1668" s="116">
        <v>219.3</v>
      </c>
      <c r="G1668">
        <v>157775</v>
      </c>
      <c r="H1668" s="116"/>
      <c r="I1668" s="116"/>
      <c r="L1668" s="170">
        <v>46149</v>
      </c>
      <c r="M1668" s="116">
        <v>219.34</v>
      </c>
      <c r="N1668" s="116">
        <v>223.25</v>
      </c>
      <c r="O1668" s="116">
        <v>213.95</v>
      </c>
      <c r="P1668" s="116">
        <v>217.25</v>
      </c>
      <c r="Q1668" s="116">
        <v>219.34</v>
      </c>
      <c r="R1668">
        <v>2805920</v>
      </c>
    </row>
    <row r="1669" spans="1:18" x14ac:dyDescent="0.25">
      <c r="A1669" s="170">
        <v>46150</v>
      </c>
      <c r="B1669" s="116">
        <v>224.5</v>
      </c>
      <c r="C1669" s="116">
        <v>218.15</v>
      </c>
      <c r="D1669" s="116">
        <v>216.35</v>
      </c>
      <c r="E1669" s="116">
        <v>221.8</v>
      </c>
      <c r="F1669" s="116">
        <v>218.15</v>
      </c>
      <c r="G1669">
        <v>121765</v>
      </c>
      <c r="H1669" s="116"/>
      <c r="I1669" s="116"/>
      <c r="L1669" s="170">
        <v>46150</v>
      </c>
      <c r="M1669" s="116">
        <v>217.26</v>
      </c>
      <c r="N1669" s="116">
        <v>224.7</v>
      </c>
      <c r="O1669" s="116">
        <v>216.25</v>
      </c>
      <c r="P1669" s="116">
        <v>219.3</v>
      </c>
      <c r="Q1669" s="116">
        <v>217.26</v>
      </c>
      <c r="R1669">
        <v>1949676</v>
      </c>
    </row>
    <row r="1670" spans="1:18" x14ac:dyDescent="0.25">
      <c r="A1670" s="170">
        <v>46153</v>
      </c>
      <c r="B1670" s="116">
        <v>216</v>
      </c>
      <c r="C1670" s="116">
        <v>212.3</v>
      </c>
      <c r="D1670" s="116">
        <v>210.55</v>
      </c>
      <c r="E1670" s="116">
        <v>215.95</v>
      </c>
      <c r="F1670" s="116">
        <v>212.3</v>
      </c>
      <c r="G1670">
        <v>190090</v>
      </c>
      <c r="H1670" s="116"/>
      <c r="I1670" s="116"/>
      <c r="L1670" s="170">
        <v>46153</v>
      </c>
      <c r="M1670" s="116">
        <v>212.4</v>
      </c>
      <c r="N1670" s="116">
        <v>216.7</v>
      </c>
      <c r="O1670" s="116">
        <v>210.69</v>
      </c>
      <c r="P1670" s="116">
        <v>216.7</v>
      </c>
      <c r="Q1670" s="116">
        <v>212.4</v>
      </c>
      <c r="R1670">
        <v>1422478</v>
      </c>
    </row>
    <row r="1671" spans="1:18" x14ac:dyDescent="0.25">
      <c r="A1671" s="170">
        <v>46154</v>
      </c>
      <c r="B1671" s="116">
        <v>213.35</v>
      </c>
      <c r="C1671" s="116">
        <v>202.55</v>
      </c>
      <c r="D1671" s="116">
        <v>201.5</v>
      </c>
      <c r="E1671" s="116">
        <v>210.8</v>
      </c>
      <c r="F1671" s="116">
        <v>202.55</v>
      </c>
      <c r="G1671">
        <v>99924</v>
      </c>
      <c r="H1671" s="116"/>
      <c r="I1671" s="116"/>
      <c r="L1671" s="170">
        <v>46154</v>
      </c>
      <c r="M1671" s="116">
        <v>202.49</v>
      </c>
      <c r="N1671" s="116">
        <v>213.42</v>
      </c>
      <c r="O1671" s="116">
        <v>201.29</v>
      </c>
      <c r="P1671" s="116">
        <v>212</v>
      </c>
      <c r="Q1671" s="116">
        <v>202.49</v>
      </c>
      <c r="R1671">
        <v>1634088</v>
      </c>
    </row>
    <row r="1672" spans="1:18" x14ac:dyDescent="0.25">
      <c r="A1672" s="170">
        <v>46155</v>
      </c>
      <c r="B1672" s="116">
        <v>205.95</v>
      </c>
      <c r="C1672" s="116">
        <v>203.6</v>
      </c>
      <c r="D1672" s="116">
        <v>201.85</v>
      </c>
      <c r="E1672" s="116">
        <v>202.45</v>
      </c>
      <c r="F1672" s="116">
        <v>203.6</v>
      </c>
      <c r="G1672">
        <v>54279</v>
      </c>
      <c r="H1672" s="116"/>
      <c r="I1672" s="116"/>
      <c r="L1672" s="170">
        <v>46155</v>
      </c>
      <c r="M1672" s="116">
        <v>203.57</v>
      </c>
      <c r="N1672" s="116">
        <v>206</v>
      </c>
      <c r="O1672" s="116">
        <v>201.76</v>
      </c>
      <c r="P1672" s="116">
        <v>202.5</v>
      </c>
      <c r="Q1672" s="116">
        <v>203.57</v>
      </c>
      <c r="R1672">
        <v>1079194</v>
      </c>
    </row>
    <row r="1673" spans="1:18" x14ac:dyDescent="0.25">
      <c r="A1673" s="170">
        <v>46156</v>
      </c>
      <c r="B1673" s="116">
        <v>205.9</v>
      </c>
      <c r="C1673" s="116">
        <v>203.35</v>
      </c>
      <c r="D1673" s="116">
        <v>198.2</v>
      </c>
      <c r="E1673" s="116">
        <v>205</v>
      </c>
      <c r="F1673" s="116">
        <v>203.35</v>
      </c>
      <c r="G1673">
        <v>85280</v>
      </c>
      <c r="H1673" s="116"/>
      <c r="I1673" s="116"/>
      <c r="L1673" s="170">
        <v>46156</v>
      </c>
      <c r="M1673" s="116">
        <v>203.08</v>
      </c>
      <c r="N1673" s="116">
        <v>205.95</v>
      </c>
      <c r="O1673" s="116">
        <v>198.31</v>
      </c>
      <c r="P1673" s="116">
        <v>205.17</v>
      </c>
      <c r="Q1673" s="116">
        <v>203.08</v>
      </c>
      <c r="R1673">
        <v>1097851</v>
      </c>
    </row>
    <row r="1674" spans="1:18" x14ac:dyDescent="0.25">
      <c r="A1674" s="170">
        <v>46157</v>
      </c>
      <c r="B1674" s="116">
        <v>203.4</v>
      </c>
      <c r="C1674" s="116">
        <v>199.45</v>
      </c>
      <c r="D1674" s="116">
        <v>198.25</v>
      </c>
      <c r="E1674" s="116">
        <v>203.4</v>
      </c>
      <c r="F1674" s="116">
        <v>199.45</v>
      </c>
      <c r="G1674">
        <v>66824</v>
      </c>
      <c r="H1674" s="116"/>
      <c r="I1674" s="116"/>
      <c r="L1674" s="170">
        <v>46157</v>
      </c>
      <c r="M1674" s="116">
        <v>199.78</v>
      </c>
      <c r="N1674" s="116">
        <v>204.29</v>
      </c>
      <c r="O1674" s="116">
        <v>198.6</v>
      </c>
      <c r="P1674" s="116">
        <v>204</v>
      </c>
      <c r="Q1674" s="116">
        <v>199.78</v>
      </c>
      <c r="R1674">
        <v>797285</v>
      </c>
    </row>
    <row r="1675" spans="1:18" x14ac:dyDescent="0.25">
      <c r="A1675" s="170">
        <v>46160</v>
      </c>
      <c r="B1675" s="116">
        <v>197.45</v>
      </c>
      <c r="C1675" s="116">
        <v>195.25</v>
      </c>
      <c r="D1675" s="116">
        <v>191.3</v>
      </c>
      <c r="E1675" s="116">
        <v>197.4</v>
      </c>
      <c r="F1675" s="116">
        <v>195.25</v>
      </c>
      <c r="G1675">
        <v>125703</v>
      </c>
      <c r="H1675" s="116"/>
      <c r="I1675" s="116"/>
      <c r="L1675" s="170">
        <v>46160</v>
      </c>
      <c r="M1675" s="116">
        <v>195.16</v>
      </c>
      <c r="N1675" s="116">
        <v>197.56</v>
      </c>
      <c r="O1675" s="116">
        <v>191.3</v>
      </c>
      <c r="P1675" s="116">
        <v>197</v>
      </c>
      <c r="Q1675" s="116">
        <v>195.16</v>
      </c>
      <c r="R1675">
        <v>2245057</v>
      </c>
    </row>
    <row r="1676" spans="1:18" x14ac:dyDescent="0.25">
      <c r="A1676" s="170">
        <v>46161</v>
      </c>
      <c r="B1676" s="116">
        <v>201.5</v>
      </c>
      <c r="C1676" s="116">
        <v>197.95</v>
      </c>
      <c r="D1676" s="116">
        <v>194.8</v>
      </c>
      <c r="E1676" s="116">
        <v>195.15</v>
      </c>
      <c r="F1676" s="116">
        <v>197.95</v>
      </c>
      <c r="G1676">
        <v>64950</v>
      </c>
      <c r="H1676" s="116"/>
      <c r="I1676" s="116"/>
      <c r="L1676" s="170">
        <v>46161</v>
      </c>
      <c r="M1676" s="116">
        <v>197.8</v>
      </c>
      <c r="N1676" s="116">
        <v>201.49</v>
      </c>
      <c r="O1676" s="116">
        <v>195</v>
      </c>
      <c r="P1676" s="116">
        <v>195</v>
      </c>
      <c r="Q1676" s="116">
        <v>197.8</v>
      </c>
      <c r="R1676">
        <v>1007329</v>
      </c>
    </row>
    <row r="1677" spans="1:18" x14ac:dyDescent="0.25">
      <c r="A1677" s="170">
        <v>46162</v>
      </c>
      <c r="B1677" s="116">
        <v>197</v>
      </c>
      <c r="C1677" s="116">
        <v>195.5</v>
      </c>
      <c r="D1677" s="116">
        <v>193.5</v>
      </c>
      <c r="E1677" s="116">
        <v>196.9</v>
      </c>
      <c r="F1677" s="116">
        <v>195.5</v>
      </c>
      <c r="G1677">
        <v>61264</v>
      </c>
      <c r="H1677" s="116"/>
      <c r="I1677" s="116"/>
      <c r="L1677" s="170">
        <v>46162</v>
      </c>
      <c r="M1677" s="116">
        <v>195.33</v>
      </c>
      <c r="N1677" s="116">
        <v>196.82</v>
      </c>
      <c r="O1677" s="116">
        <v>193.52</v>
      </c>
      <c r="P1677" s="116">
        <v>196.82</v>
      </c>
      <c r="Q1677" s="116">
        <v>195.33</v>
      </c>
      <c r="R1677">
        <v>671822</v>
      </c>
    </row>
    <row r="1678" spans="1:18" x14ac:dyDescent="0.25">
      <c r="A1678" s="170">
        <v>46163</v>
      </c>
      <c r="B1678" s="116">
        <v>199.9</v>
      </c>
      <c r="C1678" s="116">
        <v>196.7</v>
      </c>
      <c r="D1678" s="116">
        <v>195.35</v>
      </c>
      <c r="E1678" s="116">
        <v>195.75</v>
      </c>
      <c r="F1678" s="116">
        <v>196.7</v>
      </c>
      <c r="G1678">
        <v>68085</v>
      </c>
      <c r="H1678" s="116"/>
      <c r="I1678" s="116"/>
      <c r="L1678" s="170">
        <v>46163</v>
      </c>
      <c r="M1678" s="116">
        <v>196.54</v>
      </c>
      <c r="N1678" s="116">
        <v>199.9</v>
      </c>
      <c r="O1678" s="116">
        <v>195.22</v>
      </c>
      <c r="P1678" s="116">
        <v>196.9</v>
      </c>
      <c r="Q1678" s="116">
        <v>196.54</v>
      </c>
      <c r="R1678">
        <v>982798</v>
      </c>
    </row>
    <row r="1679" spans="1:18" x14ac:dyDescent="0.25">
      <c r="A1679" s="170">
        <v>46164</v>
      </c>
      <c r="B1679" s="116">
        <v>199.8</v>
      </c>
      <c r="C1679" s="116">
        <v>198.15</v>
      </c>
      <c r="D1679" s="116">
        <v>196.3</v>
      </c>
      <c r="E1679" s="116">
        <v>197.95</v>
      </c>
      <c r="F1679" s="116">
        <v>198.15</v>
      </c>
      <c r="G1679">
        <v>53290</v>
      </c>
      <c r="H1679" s="116"/>
      <c r="I1679" s="116"/>
      <c r="L1679" s="170">
        <v>46164</v>
      </c>
      <c r="M1679" s="116">
        <v>198.04</v>
      </c>
      <c r="N1679" s="116">
        <v>199.92</v>
      </c>
      <c r="O1679" s="116">
        <v>196.25</v>
      </c>
      <c r="P1679" s="116">
        <v>197.5</v>
      </c>
      <c r="Q1679" s="116">
        <v>198.04</v>
      </c>
      <c r="R1679">
        <v>814329</v>
      </c>
    </row>
    <row r="1680" spans="1:18" x14ac:dyDescent="0.25">
      <c r="A1680" s="170">
        <v>46167</v>
      </c>
      <c r="B1680" s="116">
        <v>201.95</v>
      </c>
      <c r="C1680" s="116">
        <v>197.1</v>
      </c>
      <c r="D1680" s="116">
        <v>196.55</v>
      </c>
      <c r="E1680" s="116">
        <v>198.75</v>
      </c>
      <c r="F1680" s="116">
        <v>197.1</v>
      </c>
      <c r="G1680">
        <v>91833</v>
      </c>
      <c r="H1680" s="116"/>
      <c r="I1680" s="116"/>
      <c r="L1680" s="170">
        <v>46167</v>
      </c>
      <c r="M1680" s="116">
        <v>197.05</v>
      </c>
      <c r="N1680" s="116">
        <v>201.76</v>
      </c>
      <c r="O1680" s="116">
        <v>196.35</v>
      </c>
      <c r="P1680" s="116">
        <v>199.68</v>
      </c>
      <c r="Q1680" s="116">
        <v>197.05</v>
      </c>
      <c r="R1680">
        <v>1363428</v>
      </c>
    </row>
    <row r="1681" spans="1:18" x14ac:dyDescent="0.25">
      <c r="A1681" s="170">
        <v>46168</v>
      </c>
      <c r="B1681" s="116">
        <v>197</v>
      </c>
      <c r="C1681" s="116">
        <v>191.6</v>
      </c>
      <c r="D1681" s="116">
        <v>191.05</v>
      </c>
      <c r="E1681" s="116">
        <v>196.25</v>
      </c>
      <c r="F1681" s="116">
        <v>191.6</v>
      </c>
      <c r="G1681">
        <v>105396</v>
      </c>
      <c r="H1681" s="116"/>
      <c r="I1681" s="116"/>
      <c r="L1681" s="170">
        <v>46168</v>
      </c>
      <c r="M1681" s="116">
        <v>191.79</v>
      </c>
      <c r="N1681" s="116">
        <v>197.99</v>
      </c>
      <c r="O1681" s="116">
        <v>191</v>
      </c>
      <c r="P1681" s="116">
        <v>197.6</v>
      </c>
      <c r="Q1681" s="116">
        <v>191.79</v>
      </c>
      <c r="R1681">
        <v>1910698</v>
      </c>
    </row>
    <row r="1682" spans="1:18" x14ac:dyDescent="0.25">
      <c r="A1682" s="170">
        <v>46169</v>
      </c>
      <c r="B1682" s="116">
        <v>193.7</v>
      </c>
      <c r="C1682" s="116">
        <v>191</v>
      </c>
      <c r="D1682" s="116">
        <v>189.5</v>
      </c>
      <c r="E1682" s="116">
        <v>192.2</v>
      </c>
      <c r="F1682" s="116">
        <v>191</v>
      </c>
      <c r="G1682">
        <v>76806</v>
      </c>
      <c r="H1682" s="116"/>
      <c r="I1682" s="116"/>
      <c r="L1682" s="170">
        <v>46169</v>
      </c>
      <c r="M1682" s="116">
        <v>191.07</v>
      </c>
      <c r="N1682" s="116">
        <v>193.99</v>
      </c>
      <c r="O1682" s="116">
        <v>189.41</v>
      </c>
      <c r="P1682" s="116">
        <v>192</v>
      </c>
      <c r="Q1682" s="116">
        <v>191.07</v>
      </c>
      <c r="R1682">
        <v>1604643</v>
      </c>
    </row>
    <row r="1683" spans="1:18" x14ac:dyDescent="0.25">
      <c r="A1683" s="170">
        <v>46171</v>
      </c>
      <c r="B1683" s="116">
        <v>195.6</v>
      </c>
      <c r="C1683" s="116">
        <v>187.85</v>
      </c>
      <c r="D1683" s="116">
        <v>185.85</v>
      </c>
      <c r="E1683" s="116">
        <v>191.5</v>
      </c>
      <c r="F1683" s="116">
        <v>187.85</v>
      </c>
      <c r="G1683">
        <v>115630</v>
      </c>
      <c r="H1683" s="116"/>
      <c r="I1683" s="116"/>
      <c r="L1683" s="170">
        <v>46171</v>
      </c>
      <c r="M1683" s="116">
        <v>187.58</v>
      </c>
      <c r="N1683" s="116">
        <v>195.4</v>
      </c>
      <c r="O1683" s="116">
        <v>186</v>
      </c>
      <c r="P1683" s="116">
        <v>191.1</v>
      </c>
      <c r="Q1683" s="116">
        <v>187.58</v>
      </c>
      <c r="R1683">
        <v>4349792</v>
      </c>
    </row>
    <row r="1684" spans="1:18" x14ac:dyDescent="0.25">
      <c r="A1684" s="170">
        <v>46174</v>
      </c>
      <c r="B1684" s="116">
        <v>188.55</v>
      </c>
      <c r="C1684" s="116">
        <v>182.75</v>
      </c>
      <c r="D1684" s="116">
        <v>180.05</v>
      </c>
      <c r="E1684" s="116">
        <v>188.55</v>
      </c>
      <c r="F1684" s="116">
        <v>182.75</v>
      </c>
      <c r="G1684">
        <v>125773</v>
      </c>
      <c r="H1684" s="116"/>
      <c r="I1684" s="116"/>
      <c r="L1684" s="170">
        <v>46174</v>
      </c>
      <c r="M1684" s="116">
        <v>182.01</v>
      </c>
      <c r="N1684" s="116">
        <v>188.9</v>
      </c>
      <c r="O1684" s="116">
        <v>180</v>
      </c>
      <c r="P1684" s="116">
        <v>187.95</v>
      </c>
      <c r="Q1684" s="116">
        <v>182.01</v>
      </c>
      <c r="R1684">
        <v>1900829</v>
      </c>
    </row>
    <row r="1685" spans="1:18" x14ac:dyDescent="0.25">
      <c r="A1685" s="170">
        <v>46175</v>
      </c>
      <c r="B1685" s="116">
        <v>193</v>
      </c>
      <c r="C1685" s="116">
        <v>191.6</v>
      </c>
      <c r="D1685" s="116">
        <v>176.9</v>
      </c>
      <c r="E1685" s="116">
        <v>181.3</v>
      </c>
      <c r="F1685" s="116">
        <v>191.6</v>
      </c>
      <c r="G1685">
        <v>159529</v>
      </c>
      <c r="H1685" s="116"/>
      <c r="I1685" s="116"/>
      <c r="L1685" s="170">
        <v>46175</v>
      </c>
      <c r="M1685" s="116">
        <v>191.59</v>
      </c>
      <c r="N1685" s="116">
        <v>193</v>
      </c>
      <c r="O1685" s="116">
        <v>177.15</v>
      </c>
      <c r="P1685" s="116">
        <v>181.1</v>
      </c>
      <c r="Q1685" s="116">
        <v>191.59</v>
      </c>
      <c r="R1685">
        <v>3739999</v>
      </c>
    </row>
    <row r="1686" spans="1:18" x14ac:dyDescent="0.25">
      <c r="A1686" s="170">
        <v>46176</v>
      </c>
      <c r="B1686" s="116">
        <v>196.8</v>
      </c>
      <c r="C1686" s="116">
        <v>194.25</v>
      </c>
      <c r="D1686" s="116">
        <v>180.9</v>
      </c>
      <c r="E1686" s="116">
        <v>191.65</v>
      </c>
      <c r="F1686" s="116">
        <v>194.25</v>
      </c>
      <c r="G1686">
        <v>304934</v>
      </c>
      <c r="H1686" s="116"/>
      <c r="I1686" s="116"/>
      <c r="L1686" s="170">
        <v>46176</v>
      </c>
      <c r="M1686" s="116">
        <v>194.75</v>
      </c>
      <c r="N1686" s="116">
        <v>196.9</v>
      </c>
      <c r="O1686" s="116">
        <v>180</v>
      </c>
      <c r="P1686" s="116">
        <v>192</v>
      </c>
      <c r="Q1686" s="116">
        <v>194.75</v>
      </c>
      <c r="R1686">
        <v>4006488</v>
      </c>
    </row>
    <row r="1687" spans="1:18" x14ac:dyDescent="0.25">
      <c r="A1687" s="170">
        <v>46177</v>
      </c>
      <c r="B1687" s="116">
        <v>204.35</v>
      </c>
      <c r="C1687" s="116">
        <v>200.4</v>
      </c>
      <c r="D1687" s="116">
        <v>191.85</v>
      </c>
      <c r="E1687" s="116">
        <v>192.55</v>
      </c>
      <c r="F1687" s="116">
        <v>200.4</v>
      </c>
      <c r="G1687">
        <v>289631</v>
      </c>
      <c r="H1687" s="116"/>
      <c r="I1687" s="116"/>
      <c r="L1687" s="170">
        <v>46177</v>
      </c>
      <c r="M1687" s="116">
        <v>200.53</v>
      </c>
      <c r="N1687" s="116">
        <v>204.3</v>
      </c>
      <c r="O1687" s="116">
        <v>191.55</v>
      </c>
      <c r="P1687" s="116">
        <v>192.85</v>
      </c>
      <c r="Q1687" s="116">
        <v>200.53</v>
      </c>
      <c r="R1687">
        <v>3231770</v>
      </c>
    </row>
    <row r="1688" spans="1:18" x14ac:dyDescent="0.25">
      <c r="A1688" s="170">
        <v>46178</v>
      </c>
      <c r="B1688" s="116">
        <v>206</v>
      </c>
      <c r="C1688" s="116">
        <v>203.7</v>
      </c>
      <c r="D1688" s="116">
        <v>199.2</v>
      </c>
      <c r="E1688" s="116">
        <v>202.25</v>
      </c>
      <c r="F1688" s="116">
        <v>203.7</v>
      </c>
      <c r="G1688">
        <v>105916</v>
      </c>
      <c r="H1688" s="116"/>
      <c r="I1688" s="116"/>
      <c r="L1688" s="170">
        <v>46178</v>
      </c>
      <c r="M1688" s="116">
        <v>203.67</v>
      </c>
      <c r="N1688" s="116">
        <v>205.8</v>
      </c>
      <c r="O1688" s="116">
        <v>199.2</v>
      </c>
      <c r="P1688" s="116">
        <v>202</v>
      </c>
      <c r="Q1688" s="116">
        <v>203.67</v>
      </c>
      <c r="R1688">
        <v>2303767</v>
      </c>
    </row>
    <row r="1689" spans="1:18" x14ac:dyDescent="0.25">
      <c r="A1689" s="170">
        <v>46181</v>
      </c>
      <c r="B1689" s="116">
        <v>201.45</v>
      </c>
      <c r="C1689" s="116">
        <v>196.6</v>
      </c>
      <c r="D1689" s="116">
        <v>192.75</v>
      </c>
      <c r="E1689" s="116">
        <v>199.85</v>
      </c>
      <c r="F1689" s="116">
        <v>196.6</v>
      </c>
      <c r="G1689">
        <v>110805</v>
      </c>
      <c r="H1689" s="116"/>
      <c r="I1689" s="116"/>
      <c r="L1689" s="170">
        <v>46181</v>
      </c>
      <c r="M1689" s="116">
        <v>196.67</v>
      </c>
      <c r="N1689" s="116">
        <v>201.5</v>
      </c>
      <c r="O1689" s="116">
        <v>192.61</v>
      </c>
      <c r="P1689" s="116">
        <v>200.1</v>
      </c>
      <c r="Q1689" s="116">
        <v>196.67</v>
      </c>
      <c r="R1689">
        <v>1998856</v>
      </c>
    </row>
    <row r="1690" spans="1:18" x14ac:dyDescent="0.25">
      <c r="A1690" s="170">
        <v>46182</v>
      </c>
      <c r="B1690" s="116">
        <v>203.5</v>
      </c>
      <c r="C1690" s="116">
        <v>200.65</v>
      </c>
      <c r="D1690" s="116">
        <v>197.05</v>
      </c>
      <c r="E1690" s="116">
        <v>197.05</v>
      </c>
      <c r="F1690" s="116">
        <v>200.65</v>
      </c>
      <c r="G1690">
        <v>151216</v>
      </c>
      <c r="H1690" s="116"/>
      <c r="I1690" s="116"/>
      <c r="L1690" s="170">
        <v>46182</v>
      </c>
      <c r="M1690" s="116">
        <v>200.94</v>
      </c>
      <c r="N1690" s="116">
        <v>203.5</v>
      </c>
      <c r="O1690" s="116">
        <v>197.02</v>
      </c>
      <c r="P1690" s="116">
        <v>198</v>
      </c>
      <c r="Q1690" s="116">
        <v>200.94</v>
      </c>
      <c r="R1690">
        <v>1411515</v>
      </c>
    </row>
    <row r="1691" spans="1:18" x14ac:dyDescent="0.25">
      <c r="A1691" s="170">
        <v>46183</v>
      </c>
      <c r="B1691" s="116">
        <v>203.55</v>
      </c>
      <c r="C1691" s="116">
        <v>199.35</v>
      </c>
      <c r="D1691" s="116">
        <v>196.45</v>
      </c>
      <c r="E1691" s="116">
        <v>201.45</v>
      </c>
      <c r="F1691" s="116">
        <v>199.35</v>
      </c>
      <c r="G1691">
        <v>77392</v>
      </c>
      <c r="H1691" s="116"/>
      <c r="I1691" s="116"/>
      <c r="L1691" s="170">
        <v>46183</v>
      </c>
      <c r="M1691" s="116">
        <v>199.53</v>
      </c>
      <c r="N1691" s="116">
        <v>203.5</v>
      </c>
      <c r="O1691" s="116">
        <v>196.01</v>
      </c>
      <c r="P1691" s="116">
        <v>201</v>
      </c>
      <c r="Q1691" s="116">
        <v>199.53</v>
      </c>
      <c r="R1691">
        <v>1819952</v>
      </c>
    </row>
    <row r="1692" spans="1:18" x14ac:dyDescent="0.25">
      <c r="A1692" s="170">
        <v>46184</v>
      </c>
      <c r="B1692" s="116">
        <v>203.15</v>
      </c>
      <c r="C1692" s="116">
        <v>193.15</v>
      </c>
      <c r="D1692" s="116">
        <v>191.95</v>
      </c>
      <c r="E1692" s="116">
        <v>199.35</v>
      </c>
      <c r="F1692" s="116">
        <v>193.15</v>
      </c>
      <c r="G1692">
        <v>128308</v>
      </c>
      <c r="H1692" s="116"/>
      <c r="I1692" s="116"/>
      <c r="L1692" s="170">
        <v>46184</v>
      </c>
      <c r="M1692" s="116">
        <v>193.14</v>
      </c>
      <c r="N1692" s="116">
        <v>203.2</v>
      </c>
      <c r="O1692" s="116">
        <v>191.2</v>
      </c>
      <c r="P1692" s="116">
        <v>199</v>
      </c>
      <c r="Q1692" s="116">
        <v>193.14</v>
      </c>
      <c r="R1692">
        <v>1637729</v>
      </c>
    </row>
    <row r="1693" spans="1:18" x14ac:dyDescent="0.25">
      <c r="A1693" s="170">
        <v>46185</v>
      </c>
      <c r="B1693" s="116">
        <v>211.35</v>
      </c>
      <c r="C1693" s="116">
        <v>208</v>
      </c>
      <c r="D1693" s="116">
        <v>195.35</v>
      </c>
      <c r="E1693" s="116">
        <v>195.65</v>
      </c>
      <c r="F1693" s="116">
        <v>208</v>
      </c>
      <c r="G1693">
        <v>317558</v>
      </c>
      <c r="H1693" s="116"/>
      <c r="I1693" s="116"/>
      <c r="L1693" s="170">
        <v>46185</v>
      </c>
      <c r="M1693" s="116">
        <v>208.23</v>
      </c>
      <c r="N1693" s="116">
        <v>211.5</v>
      </c>
      <c r="O1693" s="116">
        <v>195.2</v>
      </c>
      <c r="P1693" s="116">
        <v>196.5</v>
      </c>
      <c r="Q1693" s="116">
        <v>208.23</v>
      </c>
      <c r="R1693">
        <v>3838284</v>
      </c>
    </row>
    <row r="1694" spans="1:18" x14ac:dyDescent="0.25">
      <c r="A1694" s="170">
        <v>46188</v>
      </c>
      <c r="B1694" s="116">
        <v>217</v>
      </c>
      <c r="C1694" s="116">
        <v>211.05</v>
      </c>
      <c r="D1694" s="116">
        <v>210</v>
      </c>
      <c r="E1694" s="116">
        <v>211.9</v>
      </c>
      <c r="F1694" s="116">
        <v>211.05</v>
      </c>
      <c r="G1694">
        <v>271407</v>
      </c>
      <c r="H1694" s="116"/>
      <c r="I1694" s="116"/>
      <c r="L1694" s="170">
        <v>46188</v>
      </c>
      <c r="M1694" s="116">
        <v>210.99</v>
      </c>
      <c r="N1694" s="116">
        <v>216.99</v>
      </c>
      <c r="O1694" s="116">
        <v>210</v>
      </c>
      <c r="P1694" s="116">
        <v>211.9</v>
      </c>
      <c r="Q1694" s="116">
        <v>210.99</v>
      </c>
      <c r="R1694">
        <v>2750788</v>
      </c>
    </row>
    <row r="1695" spans="1:18" x14ac:dyDescent="0.25">
      <c r="A1695" s="170">
        <v>46189</v>
      </c>
      <c r="B1695" s="116">
        <v>215.65</v>
      </c>
      <c r="C1695" s="116">
        <v>214.1</v>
      </c>
      <c r="D1695" s="116">
        <v>211.1</v>
      </c>
      <c r="E1695" s="116">
        <v>211.2</v>
      </c>
      <c r="F1695" s="116">
        <v>214.1</v>
      </c>
      <c r="G1695">
        <v>122422</v>
      </c>
      <c r="H1695" s="116"/>
      <c r="I1695" s="116"/>
      <c r="L1695" s="170">
        <v>46189</v>
      </c>
      <c r="M1695" s="116">
        <v>214.17</v>
      </c>
      <c r="N1695" s="116">
        <v>215.84</v>
      </c>
      <c r="O1695" s="116">
        <v>211</v>
      </c>
      <c r="P1695" s="116">
        <v>213</v>
      </c>
      <c r="Q1695" s="116">
        <v>214.17</v>
      </c>
      <c r="R1695">
        <v>1387611</v>
      </c>
    </row>
    <row r="1696" spans="1:18" x14ac:dyDescent="0.25">
      <c r="A1696" s="170">
        <v>46190</v>
      </c>
      <c r="B1696" s="116">
        <v>221</v>
      </c>
      <c r="C1696" s="116">
        <v>217.65</v>
      </c>
      <c r="D1696" s="116">
        <v>212.05</v>
      </c>
      <c r="E1696" s="116">
        <v>215.7</v>
      </c>
      <c r="F1696" s="116">
        <v>217.65</v>
      </c>
      <c r="G1696">
        <v>174745</v>
      </c>
      <c r="H1696" s="116"/>
      <c r="I1696" s="116"/>
      <c r="L1696" s="170">
        <v>46190</v>
      </c>
      <c r="M1696" s="116">
        <v>218.27</v>
      </c>
      <c r="N1696" s="116">
        <v>221</v>
      </c>
      <c r="O1696" s="116">
        <v>212.3</v>
      </c>
      <c r="P1696" s="116">
        <v>215.43</v>
      </c>
      <c r="Q1696" s="116">
        <v>218.27</v>
      </c>
      <c r="R1696">
        <v>1951385</v>
      </c>
    </row>
    <row r="1697" spans="1:12" x14ac:dyDescent="0.25">
      <c r="A1697" s="170"/>
      <c r="B1697" s="116"/>
      <c r="C1697" s="116"/>
      <c r="D1697" s="116"/>
      <c r="E1697" s="116"/>
      <c r="F1697" s="116"/>
      <c r="H1697" s="116"/>
      <c r="I1697" s="116"/>
      <c r="L1697" s="170"/>
    </row>
    <row r="1698" spans="1:12" x14ac:dyDescent="0.25">
      <c r="A1698" s="170"/>
      <c r="B1698" s="116"/>
      <c r="C1698" s="116"/>
      <c r="D1698" s="116"/>
      <c r="E1698" s="116"/>
      <c r="F1698" s="116"/>
      <c r="H1698" s="116"/>
      <c r="I1698" s="116"/>
      <c r="L1698" s="170"/>
    </row>
    <row r="1699" spans="1:12" x14ac:dyDescent="0.25">
      <c r="A1699" s="170"/>
      <c r="B1699" s="116"/>
      <c r="C1699" s="116"/>
      <c r="D1699" s="116"/>
      <c r="E1699" s="116"/>
      <c r="F1699" s="116"/>
      <c r="H1699" s="116"/>
      <c r="I1699" s="116"/>
      <c r="L1699" s="170"/>
    </row>
    <row r="1700" spans="1:12" x14ac:dyDescent="0.25">
      <c r="A1700" s="170"/>
      <c r="B1700" s="116"/>
      <c r="C1700" s="116"/>
      <c r="D1700" s="116"/>
      <c r="E1700" s="116"/>
      <c r="F1700" s="116"/>
      <c r="H1700" s="116"/>
      <c r="I1700" s="116"/>
      <c r="L1700" s="170"/>
    </row>
    <row r="1701" spans="1:12" x14ac:dyDescent="0.25">
      <c r="A1701" s="170"/>
      <c r="B1701" s="116"/>
      <c r="C1701" s="116"/>
      <c r="D1701" s="116"/>
      <c r="E1701" s="116"/>
      <c r="F1701" s="116"/>
      <c r="H1701" s="116"/>
      <c r="I1701" s="116"/>
      <c r="L1701" s="170"/>
    </row>
    <row r="1702" spans="1:12" x14ac:dyDescent="0.25">
      <c r="A1702" s="170"/>
      <c r="B1702" s="116"/>
      <c r="C1702" s="116"/>
      <c r="D1702" s="116"/>
      <c r="E1702" s="116"/>
      <c r="F1702" s="116"/>
      <c r="H1702" s="116"/>
      <c r="I1702" s="116"/>
      <c r="L1702" s="170"/>
    </row>
    <row r="1703" spans="1:12" x14ac:dyDescent="0.25">
      <c r="A1703" s="170"/>
      <c r="B1703" s="116"/>
      <c r="C1703" s="116"/>
      <c r="D1703" s="116"/>
      <c r="E1703" s="116"/>
      <c r="F1703" s="116"/>
      <c r="H1703" s="116"/>
      <c r="I1703" s="116"/>
      <c r="L1703" s="170"/>
    </row>
    <row r="1704" spans="1:12" x14ac:dyDescent="0.25">
      <c r="A1704" s="170"/>
      <c r="B1704" s="116"/>
      <c r="C1704" s="116"/>
      <c r="D1704" s="116"/>
      <c r="E1704" s="116"/>
      <c r="F1704" s="116"/>
      <c r="H1704" s="116"/>
      <c r="I1704" s="116"/>
      <c r="L1704" s="170"/>
    </row>
    <row r="1705" spans="1:12" x14ac:dyDescent="0.25">
      <c r="A1705" s="170"/>
      <c r="B1705" s="116"/>
      <c r="C1705" s="116"/>
      <c r="D1705" s="116"/>
      <c r="E1705" s="116"/>
      <c r="F1705" s="116"/>
      <c r="H1705" s="116"/>
      <c r="I1705" s="116"/>
      <c r="L1705" s="170"/>
    </row>
    <row r="1706" spans="1:12" x14ac:dyDescent="0.25">
      <c r="A1706" s="170"/>
      <c r="B1706" s="116"/>
      <c r="C1706" s="116"/>
      <c r="D1706" s="116"/>
      <c r="E1706" s="116"/>
      <c r="F1706" s="116"/>
      <c r="H1706" s="116"/>
      <c r="I1706" s="116"/>
      <c r="L1706" s="170"/>
    </row>
    <row r="1707" spans="1:12" x14ac:dyDescent="0.25">
      <c r="A1707" s="170"/>
      <c r="B1707" s="116"/>
      <c r="C1707" s="116"/>
      <c r="D1707" s="116"/>
      <c r="E1707" s="116"/>
      <c r="F1707" s="116"/>
      <c r="H1707" s="116"/>
      <c r="I1707" s="116"/>
      <c r="L1707" s="170"/>
    </row>
    <row r="1708" spans="1:12" x14ac:dyDescent="0.25">
      <c r="A1708" s="170"/>
      <c r="B1708" s="116"/>
      <c r="C1708" s="116"/>
      <c r="D1708" s="116"/>
      <c r="E1708" s="116"/>
      <c r="F1708" s="116"/>
      <c r="H1708" s="116"/>
      <c r="I1708" s="116"/>
      <c r="L1708" s="170"/>
    </row>
    <row r="1709" spans="1:12" x14ac:dyDescent="0.25">
      <c r="A1709" s="170"/>
      <c r="B1709" s="116"/>
      <c r="C1709" s="116"/>
      <c r="D1709" s="116"/>
      <c r="E1709" s="116"/>
      <c r="F1709" s="116"/>
      <c r="H1709" s="116"/>
      <c r="I1709" s="116"/>
      <c r="L1709" s="170"/>
    </row>
    <row r="1710" spans="1:12" x14ac:dyDescent="0.25">
      <c r="A1710" s="170"/>
      <c r="B1710" s="116"/>
      <c r="C1710" s="116"/>
      <c r="D1710" s="116"/>
      <c r="E1710" s="116"/>
      <c r="F1710" s="116"/>
      <c r="H1710" s="116"/>
      <c r="I1710" s="116"/>
      <c r="L1710" s="170"/>
    </row>
    <row r="1711" spans="1:12" x14ac:dyDescent="0.25">
      <c r="A1711" s="170"/>
      <c r="B1711" s="116"/>
      <c r="C1711" s="116"/>
      <c r="D1711" s="116"/>
      <c r="E1711" s="116"/>
      <c r="F1711" s="116"/>
      <c r="H1711" s="116"/>
      <c r="I1711" s="116"/>
      <c r="L1711" s="170"/>
    </row>
    <row r="1712" spans="1:12" x14ac:dyDescent="0.25">
      <c r="A1712" s="170"/>
      <c r="B1712" s="116"/>
      <c r="C1712" s="116"/>
      <c r="D1712" s="116"/>
      <c r="E1712" s="116"/>
      <c r="F1712" s="116"/>
      <c r="H1712" s="116"/>
      <c r="I1712" s="116"/>
      <c r="L1712" s="170"/>
    </row>
    <row r="1713" spans="1:12" x14ac:dyDescent="0.25">
      <c r="A1713" s="170"/>
      <c r="B1713" s="116"/>
      <c r="C1713" s="116"/>
      <c r="D1713" s="116"/>
      <c r="E1713" s="116"/>
      <c r="F1713" s="116"/>
      <c r="H1713" s="116"/>
      <c r="I1713" s="116"/>
      <c r="L1713" s="170"/>
    </row>
    <row r="1714" spans="1:12" x14ac:dyDescent="0.25">
      <c r="A1714" s="170"/>
      <c r="B1714" s="116"/>
      <c r="C1714" s="116"/>
      <c r="D1714" s="116"/>
      <c r="E1714" s="116"/>
      <c r="F1714" s="116"/>
      <c r="H1714" s="116"/>
      <c r="I1714" s="116"/>
      <c r="L1714" s="170"/>
    </row>
    <row r="1715" spans="1:12" x14ac:dyDescent="0.25">
      <c r="A1715" s="170"/>
      <c r="B1715" s="116"/>
      <c r="C1715" s="116"/>
      <c r="D1715" s="116"/>
      <c r="E1715" s="116"/>
      <c r="F1715" s="116"/>
      <c r="H1715" s="116"/>
      <c r="I1715" s="116"/>
      <c r="L1715" s="170"/>
    </row>
    <row r="1716" spans="1:12" x14ac:dyDescent="0.25">
      <c r="A1716" s="170"/>
      <c r="B1716" s="116"/>
      <c r="C1716" s="116"/>
      <c r="D1716" s="116"/>
      <c r="E1716" s="116"/>
      <c r="F1716" s="116"/>
      <c r="H1716" s="116"/>
      <c r="I1716" s="116"/>
      <c r="L1716" s="170"/>
    </row>
    <row r="1717" spans="1:12" x14ac:dyDescent="0.25">
      <c r="A1717" s="170"/>
      <c r="B1717" s="116"/>
      <c r="C1717" s="116"/>
      <c r="D1717" s="116"/>
      <c r="E1717" s="116"/>
      <c r="F1717" s="116"/>
      <c r="H1717" s="116"/>
      <c r="I1717" s="116"/>
      <c r="L1717" s="170"/>
    </row>
    <row r="1718" spans="1:12" x14ac:dyDescent="0.25">
      <c r="A1718" s="170"/>
      <c r="B1718" s="116"/>
      <c r="C1718" s="116"/>
      <c r="D1718" s="116"/>
      <c r="E1718" s="116"/>
      <c r="F1718" s="116"/>
      <c r="H1718" s="116"/>
      <c r="I1718" s="116"/>
      <c r="L1718" s="170"/>
    </row>
    <row r="1719" spans="1:12" x14ac:dyDescent="0.25">
      <c r="A1719" s="170"/>
      <c r="B1719" s="116"/>
      <c r="C1719" s="116"/>
      <c r="D1719" s="116"/>
      <c r="E1719" s="116"/>
      <c r="F1719" s="116"/>
      <c r="H1719" s="116"/>
      <c r="I1719" s="116"/>
      <c r="L1719" s="170"/>
    </row>
    <row r="1720" spans="1:12" x14ac:dyDescent="0.25">
      <c r="A1720" s="170"/>
      <c r="B1720" s="116"/>
      <c r="C1720" s="116"/>
      <c r="D1720" s="116"/>
      <c r="E1720" s="116"/>
      <c r="F1720" s="116"/>
      <c r="H1720" s="116"/>
      <c r="I1720" s="116"/>
      <c r="L1720" s="170"/>
    </row>
    <row r="1721" spans="1:12" x14ac:dyDescent="0.25">
      <c r="A1721" s="170"/>
      <c r="B1721" s="116"/>
      <c r="C1721" s="116"/>
      <c r="D1721" s="116"/>
      <c r="E1721" s="116"/>
      <c r="F1721" s="116"/>
      <c r="H1721" s="116"/>
      <c r="I1721" s="116"/>
      <c r="L1721" s="170"/>
    </row>
    <row r="1722" spans="1:12" x14ac:dyDescent="0.25">
      <c r="A1722" s="170"/>
      <c r="B1722" s="116"/>
      <c r="C1722" s="116"/>
      <c r="D1722" s="116"/>
      <c r="E1722" s="116"/>
      <c r="F1722" s="116"/>
      <c r="H1722" s="116"/>
      <c r="I1722" s="116"/>
      <c r="L1722" s="170"/>
    </row>
    <row r="1723" spans="1:12" x14ac:dyDescent="0.25">
      <c r="A1723" s="170"/>
      <c r="B1723" s="116"/>
      <c r="C1723" s="116"/>
      <c r="D1723" s="116"/>
      <c r="E1723" s="116"/>
      <c r="F1723" s="116"/>
      <c r="H1723" s="116"/>
      <c r="I1723" s="116"/>
      <c r="L1723" s="170"/>
    </row>
    <row r="1724" spans="1:12" x14ac:dyDescent="0.25">
      <c r="A1724" s="170"/>
      <c r="B1724" s="116"/>
      <c r="C1724" s="116"/>
      <c r="D1724" s="116"/>
      <c r="E1724" s="116"/>
      <c r="F1724" s="116"/>
      <c r="H1724" s="116"/>
      <c r="I1724" s="116"/>
      <c r="L1724" s="170"/>
    </row>
    <row r="1725" spans="1:12" x14ac:dyDescent="0.25">
      <c r="A1725" s="170"/>
      <c r="B1725" s="116"/>
      <c r="C1725" s="116"/>
      <c r="D1725" s="116"/>
      <c r="E1725" s="116"/>
      <c r="F1725" s="116"/>
      <c r="H1725" s="116"/>
      <c r="I1725" s="116"/>
      <c r="L1725" s="170"/>
    </row>
    <row r="1726" spans="1:12" x14ac:dyDescent="0.25">
      <c r="A1726" s="170"/>
      <c r="B1726" s="116"/>
      <c r="C1726" s="116"/>
      <c r="D1726" s="116"/>
      <c r="E1726" s="116"/>
      <c r="F1726" s="116"/>
      <c r="H1726" s="116"/>
      <c r="I1726" s="116"/>
      <c r="L1726" s="170"/>
    </row>
    <row r="1727" spans="1:12" x14ac:dyDescent="0.25">
      <c r="A1727" s="170"/>
      <c r="B1727" s="116"/>
      <c r="C1727" s="116"/>
      <c r="D1727" s="116"/>
      <c r="E1727" s="116"/>
      <c r="F1727" s="116"/>
      <c r="H1727" s="116"/>
      <c r="I1727" s="116"/>
      <c r="L1727" s="170"/>
    </row>
    <row r="1728" spans="1:12" x14ac:dyDescent="0.25">
      <c r="A1728" s="170"/>
      <c r="B1728" s="116"/>
      <c r="C1728" s="116"/>
      <c r="D1728" s="116"/>
      <c r="E1728" s="116"/>
      <c r="F1728" s="116"/>
      <c r="H1728" s="116"/>
      <c r="I1728" s="116"/>
      <c r="L1728" s="170"/>
    </row>
    <row r="1729" spans="1:12" x14ac:dyDescent="0.25">
      <c r="A1729" s="170"/>
      <c r="B1729" s="116"/>
      <c r="C1729" s="116"/>
      <c r="D1729" s="116"/>
      <c r="E1729" s="116"/>
      <c r="F1729" s="116"/>
      <c r="H1729" s="116"/>
      <c r="I1729" s="116"/>
      <c r="L1729" s="170"/>
    </row>
    <row r="1730" spans="1:12" x14ac:dyDescent="0.25">
      <c r="A1730" s="170"/>
      <c r="B1730" s="116"/>
      <c r="C1730" s="116"/>
      <c r="D1730" s="116"/>
      <c r="E1730" s="116"/>
      <c r="F1730" s="116"/>
      <c r="H1730" s="116"/>
      <c r="I1730" s="116"/>
      <c r="L1730" s="170"/>
    </row>
    <row r="1731" spans="1:12" x14ac:dyDescent="0.25">
      <c r="A1731" s="170"/>
      <c r="B1731" s="116"/>
      <c r="C1731" s="116"/>
      <c r="D1731" s="116"/>
      <c r="E1731" s="116"/>
      <c r="F1731" s="116"/>
      <c r="H1731" s="116"/>
      <c r="I1731" s="116"/>
      <c r="L1731" s="170"/>
    </row>
    <row r="1732" spans="1:12" x14ac:dyDescent="0.25">
      <c r="A1732" s="170"/>
      <c r="B1732" s="116"/>
      <c r="C1732" s="116"/>
      <c r="D1732" s="116"/>
      <c r="E1732" s="116"/>
      <c r="F1732" s="116"/>
      <c r="H1732" s="116"/>
      <c r="I1732" s="116"/>
      <c r="L1732" s="170"/>
    </row>
    <row r="1733" spans="1:12" x14ac:dyDescent="0.25">
      <c r="A1733" s="170"/>
      <c r="B1733" s="116"/>
      <c r="C1733" s="116"/>
      <c r="D1733" s="116"/>
      <c r="E1733" s="116"/>
      <c r="F1733" s="116"/>
      <c r="H1733" s="116"/>
      <c r="I1733" s="116"/>
      <c r="L1733" s="170"/>
    </row>
    <row r="1734" spans="1:12" x14ac:dyDescent="0.25">
      <c r="A1734" s="170"/>
      <c r="B1734" s="116"/>
      <c r="C1734" s="116"/>
      <c r="D1734" s="116"/>
      <c r="E1734" s="116"/>
      <c r="F1734" s="116"/>
      <c r="H1734" s="116"/>
      <c r="I1734" s="116"/>
      <c r="L1734" s="170"/>
    </row>
    <row r="1735" spans="1:12" x14ac:dyDescent="0.25">
      <c r="A1735" s="170"/>
      <c r="B1735" s="116"/>
      <c r="C1735" s="116"/>
      <c r="D1735" s="116"/>
      <c r="E1735" s="116"/>
      <c r="F1735" s="116"/>
      <c r="H1735" s="116"/>
      <c r="I1735" s="116"/>
      <c r="L1735" s="170"/>
    </row>
    <row r="1736" spans="1:12" x14ac:dyDescent="0.25">
      <c r="A1736" s="170"/>
      <c r="B1736" s="116"/>
      <c r="C1736" s="116"/>
      <c r="D1736" s="116"/>
      <c r="E1736" s="116"/>
      <c r="F1736" s="116"/>
      <c r="H1736" s="116"/>
      <c r="I1736" s="116"/>
      <c r="L1736" s="170"/>
    </row>
    <row r="1737" spans="1:12" x14ac:dyDescent="0.25">
      <c r="A1737" s="170"/>
      <c r="B1737" s="116"/>
      <c r="C1737" s="116"/>
      <c r="D1737" s="116"/>
      <c r="E1737" s="116"/>
      <c r="F1737" s="116"/>
      <c r="H1737" s="116"/>
      <c r="I1737" s="116"/>
      <c r="L1737" s="170"/>
    </row>
    <row r="1738" spans="1:12" x14ac:dyDescent="0.25">
      <c r="A1738" s="170"/>
      <c r="B1738" s="116"/>
      <c r="C1738" s="116"/>
      <c r="D1738" s="116"/>
      <c r="E1738" s="116"/>
      <c r="F1738" s="116"/>
      <c r="H1738" s="116"/>
      <c r="I1738" s="116"/>
      <c r="L1738" s="170"/>
    </row>
    <row r="1739" spans="1:12" x14ac:dyDescent="0.25">
      <c r="A1739" s="170"/>
      <c r="B1739" s="116"/>
      <c r="C1739" s="116"/>
      <c r="D1739" s="116"/>
      <c r="E1739" s="116"/>
      <c r="F1739" s="116"/>
      <c r="H1739" s="116"/>
      <c r="I1739" s="116"/>
      <c r="L1739" s="170"/>
    </row>
    <row r="1740" spans="1:12" x14ac:dyDescent="0.25">
      <c r="A1740" s="170"/>
      <c r="B1740" s="116"/>
      <c r="C1740" s="116"/>
      <c r="D1740" s="116"/>
      <c r="E1740" s="116"/>
      <c r="F1740" s="116"/>
      <c r="H1740" s="116"/>
      <c r="I1740" s="116"/>
      <c r="L1740" s="170"/>
    </row>
    <row r="1741" spans="1:12" x14ac:dyDescent="0.25">
      <c r="A1741" s="170"/>
      <c r="B1741" s="116"/>
      <c r="C1741" s="116"/>
      <c r="D1741" s="116"/>
      <c r="E1741" s="116"/>
      <c r="F1741" s="116"/>
      <c r="H1741" s="116"/>
      <c r="I1741" s="116"/>
      <c r="L1741" s="170"/>
    </row>
    <row r="1742" spans="1:12" x14ac:dyDescent="0.25">
      <c r="A1742" s="170"/>
      <c r="B1742" s="116"/>
      <c r="C1742" s="116"/>
      <c r="D1742" s="116"/>
      <c r="E1742" s="116"/>
      <c r="F1742" s="116"/>
      <c r="H1742" s="116"/>
      <c r="I1742" s="116"/>
      <c r="L1742" s="170"/>
    </row>
    <row r="1743" spans="1:12" x14ac:dyDescent="0.25">
      <c r="A1743" s="170"/>
      <c r="B1743" s="116"/>
      <c r="C1743" s="116"/>
      <c r="D1743" s="116"/>
      <c r="E1743" s="116"/>
      <c r="F1743" s="116"/>
      <c r="H1743" s="116"/>
      <c r="I1743" s="116"/>
      <c r="L1743" s="170"/>
    </row>
    <row r="1744" spans="1:12" x14ac:dyDescent="0.25">
      <c r="A1744" s="170"/>
      <c r="B1744" s="116"/>
      <c r="C1744" s="116"/>
      <c r="D1744" s="116"/>
      <c r="E1744" s="116"/>
      <c r="F1744" s="116"/>
      <c r="H1744" s="116"/>
      <c r="I1744" s="116"/>
      <c r="L1744" s="170"/>
    </row>
    <row r="1745" spans="1:12" x14ac:dyDescent="0.25">
      <c r="A1745" s="170"/>
      <c r="B1745" s="116"/>
      <c r="C1745" s="116"/>
      <c r="D1745" s="116"/>
      <c r="E1745" s="116"/>
      <c r="F1745" s="116"/>
      <c r="H1745" s="116"/>
      <c r="I1745" s="116"/>
      <c r="L1745" s="170"/>
    </row>
    <row r="1746" spans="1:12" x14ac:dyDescent="0.25">
      <c r="A1746" s="170"/>
      <c r="B1746" s="116"/>
      <c r="C1746" s="116"/>
      <c r="D1746" s="116"/>
      <c r="E1746" s="116"/>
      <c r="F1746" s="116"/>
      <c r="H1746" s="116"/>
      <c r="I1746" s="116"/>
      <c r="L1746" s="170"/>
    </row>
    <row r="1747" spans="1:12" x14ac:dyDescent="0.25">
      <c r="A1747" s="170"/>
      <c r="B1747" s="116"/>
      <c r="C1747" s="116"/>
      <c r="D1747" s="116"/>
      <c r="E1747" s="116"/>
      <c r="F1747" s="116"/>
      <c r="H1747" s="116"/>
      <c r="I1747" s="116"/>
      <c r="L1747" s="170"/>
    </row>
    <row r="1748" spans="1:12" x14ac:dyDescent="0.25">
      <c r="A1748" s="170"/>
      <c r="B1748" s="116"/>
      <c r="C1748" s="116"/>
      <c r="D1748" s="116"/>
      <c r="E1748" s="116"/>
      <c r="F1748" s="116"/>
      <c r="H1748" s="116"/>
      <c r="I1748" s="116"/>
      <c r="L1748" s="170"/>
    </row>
    <row r="1749" spans="1:12" x14ac:dyDescent="0.25">
      <c r="A1749" s="170"/>
      <c r="B1749" s="116"/>
      <c r="C1749" s="116"/>
      <c r="D1749" s="116"/>
      <c r="E1749" s="116"/>
      <c r="F1749" s="116"/>
      <c r="H1749" s="116"/>
      <c r="I1749" s="116"/>
      <c r="L1749" s="170"/>
    </row>
    <row r="1750" spans="1:12" x14ac:dyDescent="0.25">
      <c r="A1750" s="170"/>
      <c r="B1750" s="116"/>
      <c r="C1750" s="116"/>
      <c r="D1750" s="116"/>
      <c r="E1750" s="116"/>
      <c r="F1750" s="116"/>
      <c r="H1750" s="116"/>
      <c r="I1750" s="116"/>
      <c r="L1750" s="170"/>
    </row>
    <row r="1751" spans="1:12" x14ac:dyDescent="0.25">
      <c r="A1751" s="170"/>
      <c r="B1751" s="116"/>
      <c r="C1751" s="116"/>
      <c r="D1751" s="116"/>
      <c r="E1751" s="116"/>
      <c r="F1751" s="116"/>
      <c r="H1751" s="116"/>
      <c r="I1751" s="116"/>
      <c r="L1751" s="170"/>
    </row>
    <row r="1752" spans="1:12" x14ac:dyDescent="0.25">
      <c r="A1752" s="170"/>
      <c r="B1752" s="116"/>
      <c r="C1752" s="116"/>
      <c r="D1752" s="116"/>
      <c r="E1752" s="116"/>
      <c r="F1752" s="116"/>
      <c r="H1752" s="116"/>
      <c r="I1752" s="116"/>
      <c r="L1752" s="170"/>
    </row>
    <row r="1753" spans="1:12" x14ac:dyDescent="0.25">
      <c r="A1753" s="170"/>
      <c r="B1753" s="116"/>
      <c r="C1753" s="116"/>
      <c r="D1753" s="116"/>
      <c r="E1753" s="116"/>
      <c r="F1753" s="116"/>
      <c r="H1753" s="116"/>
      <c r="I1753" s="116"/>
      <c r="L1753" s="170"/>
    </row>
    <row r="1754" spans="1:12" x14ac:dyDescent="0.25">
      <c r="A1754" s="170"/>
      <c r="B1754" s="116"/>
      <c r="C1754" s="116"/>
      <c r="D1754" s="116"/>
      <c r="E1754" s="116"/>
      <c r="F1754" s="116"/>
      <c r="H1754" s="116"/>
      <c r="I1754" s="116"/>
      <c r="L1754" s="170"/>
    </row>
    <row r="1755" spans="1:12" x14ac:dyDescent="0.25">
      <c r="A1755" s="170"/>
      <c r="B1755" s="116"/>
      <c r="C1755" s="116"/>
      <c r="D1755" s="116"/>
      <c r="E1755" s="116"/>
      <c r="F1755" s="116"/>
      <c r="H1755" s="116"/>
      <c r="I1755" s="116"/>
      <c r="L1755" s="170"/>
    </row>
    <row r="1756" spans="1:12" x14ac:dyDescent="0.25">
      <c r="A1756" s="170"/>
      <c r="B1756" s="116"/>
      <c r="C1756" s="116"/>
      <c r="D1756" s="116"/>
      <c r="E1756" s="116"/>
      <c r="F1756" s="116"/>
      <c r="H1756" s="116"/>
      <c r="I1756" s="116"/>
      <c r="L1756" s="170"/>
    </row>
    <row r="1757" spans="1:12" x14ac:dyDescent="0.25">
      <c r="A1757" s="170"/>
      <c r="B1757" s="116"/>
      <c r="C1757" s="116"/>
      <c r="D1757" s="116"/>
      <c r="E1757" s="116"/>
      <c r="F1757" s="116"/>
      <c r="H1757" s="116"/>
      <c r="I1757" s="116"/>
      <c r="L1757" s="170"/>
    </row>
    <row r="1758" spans="1:12" x14ac:dyDescent="0.25">
      <c r="A1758" s="170"/>
      <c r="B1758" s="116"/>
      <c r="C1758" s="116"/>
      <c r="D1758" s="116"/>
      <c r="E1758" s="116"/>
      <c r="F1758" s="116"/>
      <c r="H1758" s="116"/>
      <c r="I1758" s="116"/>
      <c r="L1758" s="170"/>
    </row>
    <row r="1759" spans="1:12" x14ac:dyDescent="0.25">
      <c r="A1759" s="170"/>
      <c r="B1759" s="116"/>
      <c r="C1759" s="116"/>
      <c r="D1759" s="116"/>
      <c r="E1759" s="116"/>
      <c r="F1759" s="116"/>
      <c r="H1759" s="116"/>
      <c r="I1759" s="116"/>
      <c r="L1759" s="170"/>
    </row>
    <row r="1760" spans="1:12" x14ac:dyDescent="0.25">
      <c r="A1760" s="170"/>
      <c r="B1760" s="116"/>
      <c r="C1760" s="116"/>
      <c r="D1760" s="116"/>
      <c r="E1760" s="116"/>
      <c r="F1760" s="116"/>
      <c r="H1760" s="116"/>
      <c r="I1760" s="116"/>
      <c r="L1760" s="170"/>
    </row>
    <row r="1761" spans="1:12" x14ac:dyDescent="0.25">
      <c r="A1761" s="170"/>
      <c r="B1761" s="116"/>
      <c r="C1761" s="116"/>
      <c r="D1761" s="116"/>
      <c r="E1761" s="116"/>
      <c r="F1761" s="116"/>
      <c r="H1761" s="116"/>
      <c r="I1761" s="116"/>
      <c r="L1761" s="170"/>
    </row>
    <row r="1762" spans="1:12" x14ac:dyDescent="0.25">
      <c r="A1762" s="170"/>
      <c r="B1762" s="116"/>
      <c r="C1762" s="116"/>
      <c r="D1762" s="116"/>
      <c r="E1762" s="116"/>
      <c r="F1762" s="116"/>
      <c r="H1762" s="116"/>
      <c r="I1762" s="116"/>
      <c r="L1762" s="170"/>
    </row>
    <row r="1763" spans="1:12" x14ac:dyDescent="0.25">
      <c r="A1763" s="170"/>
      <c r="B1763" s="116"/>
      <c r="C1763" s="116"/>
      <c r="D1763" s="116"/>
      <c r="E1763" s="116"/>
      <c r="F1763" s="116"/>
      <c r="H1763" s="116"/>
      <c r="I1763" s="116"/>
      <c r="L1763" s="170"/>
    </row>
    <row r="1764" spans="1:12" x14ac:dyDescent="0.25">
      <c r="A1764" s="170"/>
      <c r="B1764" s="116"/>
      <c r="C1764" s="116"/>
      <c r="D1764" s="116"/>
      <c r="E1764" s="116"/>
      <c r="F1764" s="116"/>
      <c r="H1764" s="116"/>
      <c r="I1764" s="116"/>
      <c r="L1764" s="170"/>
    </row>
    <row r="1765" spans="1:12" x14ac:dyDescent="0.25">
      <c r="A1765" s="170"/>
      <c r="B1765" s="116"/>
      <c r="C1765" s="116"/>
      <c r="D1765" s="116"/>
      <c r="E1765" s="116"/>
      <c r="F1765" s="116"/>
      <c r="H1765" s="116"/>
      <c r="I1765" s="116"/>
      <c r="L1765" s="170"/>
    </row>
    <row r="1766" spans="1:12" x14ac:dyDescent="0.25">
      <c r="A1766" s="170"/>
      <c r="B1766" s="116"/>
      <c r="C1766" s="116"/>
      <c r="D1766" s="116"/>
      <c r="E1766" s="116"/>
      <c r="F1766" s="116"/>
      <c r="H1766" s="116"/>
      <c r="I1766" s="116"/>
      <c r="L1766" s="170"/>
    </row>
    <row r="1767" spans="1:12" x14ac:dyDescent="0.25">
      <c r="A1767" s="170"/>
      <c r="B1767" s="116"/>
      <c r="C1767" s="116"/>
      <c r="D1767" s="116"/>
      <c r="E1767" s="116"/>
      <c r="F1767" s="116"/>
      <c r="H1767" s="116"/>
      <c r="I1767" s="116"/>
      <c r="L1767" s="170"/>
    </row>
    <row r="1768" spans="1:12" x14ac:dyDescent="0.25">
      <c r="A1768" s="170"/>
      <c r="B1768" s="116"/>
      <c r="C1768" s="116"/>
      <c r="D1768" s="116"/>
      <c r="E1768" s="116"/>
      <c r="F1768" s="116"/>
      <c r="H1768" s="116"/>
      <c r="I1768" s="116"/>
      <c r="L1768" s="170"/>
    </row>
    <row r="1769" spans="1:12" x14ac:dyDescent="0.25">
      <c r="A1769" s="170"/>
      <c r="B1769" s="116"/>
      <c r="C1769" s="116"/>
      <c r="D1769" s="116"/>
      <c r="E1769" s="116"/>
      <c r="F1769" s="116"/>
      <c r="H1769" s="116"/>
      <c r="I1769" s="116"/>
      <c r="L1769" s="170"/>
    </row>
    <row r="1770" spans="1:12" x14ac:dyDescent="0.25">
      <c r="A1770" s="170"/>
      <c r="B1770" s="116"/>
      <c r="C1770" s="116"/>
      <c r="D1770" s="116"/>
      <c r="E1770" s="116"/>
      <c r="F1770" s="116"/>
      <c r="H1770" s="116"/>
      <c r="I1770" s="116"/>
      <c r="L1770" s="170"/>
    </row>
    <row r="1771" spans="1:12" x14ac:dyDescent="0.25">
      <c r="A1771" s="170"/>
      <c r="B1771" s="116"/>
      <c r="C1771" s="116"/>
      <c r="D1771" s="116"/>
      <c r="E1771" s="116"/>
      <c r="F1771" s="116"/>
      <c r="H1771" s="116"/>
      <c r="I1771" s="116"/>
      <c r="L1771" s="170"/>
    </row>
    <row r="1772" spans="1:12" x14ac:dyDescent="0.25">
      <c r="A1772" s="170"/>
      <c r="B1772" s="116"/>
      <c r="C1772" s="116"/>
      <c r="D1772" s="116"/>
      <c r="E1772" s="116"/>
      <c r="F1772" s="116"/>
      <c r="H1772" s="116"/>
      <c r="I1772" s="116"/>
      <c r="L1772" s="170"/>
    </row>
    <row r="1773" spans="1:12" x14ac:dyDescent="0.25">
      <c r="A1773" s="170"/>
      <c r="B1773" s="116"/>
      <c r="C1773" s="116"/>
      <c r="D1773" s="116"/>
      <c r="E1773" s="116"/>
      <c r="F1773" s="116"/>
      <c r="H1773" s="116"/>
      <c r="I1773" s="116"/>
      <c r="L1773" s="170"/>
    </row>
    <row r="1774" spans="1:12" x14ac:dyDescent="0.25">
      <c r="A1774" s="170"/>
      <c r="B1774" s="116"/>
      <c r="C1774" s="116"/>
      <c r="D1774" s="116"/>
      <c r="E1774" s="116"/>
      <c r="F1774" s="116"/>
      <c r="H1774" s="116"/>
      <c r="I1774" s="116"/>
      <c r="L1774" s="170"/>
    </row>
    <row r="1775" spans="1:12" x14ac:dyDescent="0.25">
      <c r="A1775" s="170"/>
      <c r="B1775" s="116"/>
      <c r="C1775" s="116"/>
      <c r="D1775" s="116"/>
      <c r="E1775" s="116"/>
      <c r="F1775" s="116"/>
      <c r="H1775" s="116"/>
      <c r="I1775" s="116"/>
      <c r="L1775" s="170"/>
    </row>
    <row r="1776" spans="1:12" x14ac:dyDescent="0.25">
      <c r="A1776" s="170"/>
      <c r="B1776" s="116"/>
      <c r="C1776" s="116"/>
      <c r="D1776" s="116"/>
      <c r="E1776" s="116"/>
      <c r="F1776" s="116"/>
      <c r="H1776" s="116"/>
      <c r="I1776" s="116"/>
      <c r="L1776" s="170"/>
    </row>
    <row r="1777" spans="1:12" x14ac:dyDescent="0.25">
      <c r="A1777" s="170"/>
      <c r="B1777" s="116"/>
      <c r="C1777" s="116"/>
      <c r="D1777" s="116"/>
      <c r="E1777" s="116"/>
      <c r="F1777" s="116"/>
      <c r="H1777" s="116"/>
      <c r="I1777" s="116"/>
      <c r="L1777" s="170"/>
    </row>
    <row r="1778" spans="1:12" x14ac:dyDescent="0.25">
      <c r="A1778" s="170"/>
      <c r="B1778" s="116"/>
      <c r="C1778" s="116"/>
      <c r="D1778" s="116"/>
      <c r="E1778" s="116"/>
      <c r="F1778" s="116"/>
      <c r="H1778" s="116"/>
      <c r="I1778" s="116"/>
      <c r="L1778" s="170"/>
    </row>
    <row r="1779" spans="1:12" x14ac:dyDescent="0.25">
      <c r="A1779" s="170"/>
      <c r="B1779" s="116"/>
      <c r="C1779" s="116"/>
      <c r="D1779" s="116"/>
      <c r="E1779" s="116"/>
      <c r="F1779" s="116"/>
      <c r="H1779" s="116"/>
      <c r="I1779" s="116"/>
      <c r="L1779" s="170"/>
    </row>
    <row r="1780" spans="1:12" x14ac:dyDescent="0.25">
      <c r="A1780" s="170"/>
      <c r="B1780" s="116"/>
      <c r="C1780" s="116"/>
      <c r="D1780" s="116"/>
      <c r="E1780" s="116"/>
      <c r="F1780" s="116"/>
      <c r="H1780" s="116"/>
      <c r="I1780" s="116"/>
      <c r="L1780" s="170"/>
    </row>
    <row r="1781" spans="1:12" x14ac:dyDescent="0.25">
      <c r="A1781" s="170"/>
      <c r="B1781" s="116"/>
      <c r="C1781" s="116"/>
      <c r="D1781" s="116"/>
      <c r="E1781" s="116"/>
      <c r="F1781" s="116"/>
      <c r="H1781" s="116"/>
      <c r="I1781" s="116"/>
      <c r="L1781" s="170"/>
    </row>
    <row r="1782" spans="1:12" x14ac:dyDescent="0.25">
      <c r="A1782" s="170"/>
      <c r="B1782" s="116"/>
      <c r="C1782" s="116"/>
      <c r="D1782" s="116"/>
      <c r="E1782" s="116"/>
      <c r="F1782" s="116"/>
      <c r="H1782" s="116"/>
      <c r="I1782" s="116"/>
      <c r="L1782" s="170"/>
    </row>
    <row r="1783" spans="1:12" x14ac:dyDescent="0.25">
      <c r="A1783" s="170"/>
      <c r="B1783" s="116"/>
      <c r="C1783" s="116"/>
      <c r="D1783" s="116"/>
      <c r="E1783" s="116"/>
      <c r="F1783" s="116"/>
      <c r="H1783" s="116"/>
      <c r="I1783" s="116"/>
      <c r="L1783" s="170"/>
    </row>
    <row r="1784" spans="1:12" x14ac:dyDescent="0.25">
      <c r="A1784" s="170"/>
      <c r="B1784" s="116"/>
      <c r="C1784" s="116"/>
      <c r="D1784" s="116"/>
      <c r="E1784" s="116"/>
      <c r="F1784" s="116"/>
      <c r="H1784" s="116"/>
      <c r="I1784" s="116"/>
      <c r="L1784" s="170"/>
    </row>
    <row r="1785" spans="1:12" x14ac:dyDescent="0.25">
      <c r="A1785" s="170"/>
      <c r="B1785" s="116"/>
      <c r="C1785" s="116"/>
      <c r="D1785" s="116"/>
      <c r="E1785" s="116"/>
      <c r="F1785" s="116"/>
      <c r="H1785" s="116"/>
      <c r="I1785" s="116"/>
      <c r="L1785" s="170"/>
    </row>
    <row r="1786" spans="1:12" x14ac:dyDescent="0.25">
      <c r="A1786" s="170"/>
      <c r="B1786" s="116"/>
      <c r="C1786" s="116"/>
      <c r="D1786" s="116"/>
      <c r="E1786" s="116"/>
      <c r="F1786" s="116"/>
      <c r="H1786" s="116"/>
      <c r="I1786" s="116"/>
      <c r="L1786" s="170"/>
    </row>
    <row r="1787" spans="1:12" x14ac:dyDescent="0.25">
      <c r="A1787" s="170"/>
      <c r="B1787" s="116"/>
      <c r="C1787" s="116"/>
      <c r="D1787" s="116"/>
      <c r="E1787" s="116"/>
      <c r="F1787" s="116"/>
      <c r="H1787" s="116"/>
      <c r="I1787" s="116"/>
      <c r="L1787" s="170"/>
    </row>
    <row r="1788" spans="1:12" x14ac:dyDescent="0.25">
      <c r="A1788" s="170"/>
      <c r="B1788" s="116"/>
      <c r="C1788" s="116"/>
      <c r="D1788" s="116"/>
      <c r="E1788" s="116"/>
      <c r="F1788" s="116"/>
      <c r="H1788" s="116"/>
      <c r="I1788" s="116"/>
      <c r="L1788" s="170"/>
    </row>
    <row r="1789" spans="1:12" x14ac:dyDescent="0.25">
      <c r="A1789" s="170"/>
      <c r="B1789" s="116"/>
      <c r="C1789" s="116"/>
      <c r="D1789" s="116"/>
      <c r="E1789" s="116"/>
      <c r="F1789" s="116"/>
      <c r="H1789" s="116"/>
      <c r="I1789" s="116"/>
      <c r="L1789" s="170"/>
    </row>
    <row r="1790" spans="1:12" x14ac:dyDescent="0.25">
      <c r="A1790" s="170"/>
      <c r="B1790" s="116"/>
      <c r="C1790" s="116"/>
      <c r="D1790" s="116"/>
      <c r="E1790" s="116"/>
      <c r="F1790" s="116"/>
      <c r="H1790" s="116"/>
      <c r="I1790" s="116"/>
      <c r="L1790" s="170"/>
    </row>
    <row r="1791" spans="1:12" x14ac:dyDescent="0.25">
      <c r="A1791" s="170"/>
      <c r="B1791" s="116"/>
      <c r="C1791" s="116"/>
      <c r="D1791" s="116"/>
      <c r="E1791" s="116"/>
      <c r="F1791" s="116"/>
      <c r="H1791" s="116"/>
      <c r="I1791" s="116"/>
      <c r="L1791" s="170"/>
    </row>
    <row r="1792" spans="1:12" x14ac:dyDescent="0.25">
      <c r="A1792" s="170"/>
      <c r="B1792" s="116"/>
      <c r="C1792" s="116"/>
      <c r="D1792" s="116"/>
      <c r="E1792" s="116"/>
      <c r="F1792" s="116"/>
      <c r="H1792" s="116"/>
      <c r="I1792" s="116"/>
      <c r="L1792" s="170"/>
    </row>
    <row r="1793" spans="1:12" x14ac:dyDescent="0.25">
      <c r="A1793" s="170"/>
      <c r="B1793" s="116"/>
      <c r="C1793" s="116"/>
      <c r="D1793" s="116"/>
      <c r="E1793" s="116"/>
      <c r="F1793" s="116"/>
      <c r="H1793" s="116"/>
      <c r="I1793" s="116"/>
      <c r="L1793" s="170"/>
    </row>
    <row r="1794" spans="1:12" x14ac:dyDescent="0.25">
      <c r="A1794" s="170"/>
      <c r="B1794" s="116"/>
      <c r="C1794" s="116"/>
      <c r="D1794" s="116"/>
      <c r="E1794" s="116"/>
      <c r="F1794" s="116"/>
      <c r="H1794" s="116"/>
      <c r="I1794" s="116"/>
      <c r="L1794" s="170"/>
    </row>
    <row r="1795" spans="1:12" x14ac:dyDescent="0.25">
      <c r="A1795" s="170"/>
      <c r="B1795" s="116"/>
      <c r="C1795" s="116"/>
      <c r="D1795" s="116"/>
      <c r="E1795" s="116"/>
      <c r="F1795" s="116"/>
      <c r="H1795" s="116"/>
      <c r="I1795" s="116"/>
      <c r="L1795" s="170"/>
    </row>
    <row r="1796" spans="1:12" x14ac:dyDescent="0.25">
      <c r="A1796" s="170"/>
      <c r="B1796" s="116"/>
      <c r="C1796" s="116"/>
      <c r="D1796" s="116"/>
      <c r="E1796" s="116"/>
      <c r="F1796" s="116"/>
      <c r="H1796" s="116"/>
      <c r="I1796" s="116"/>
      <c r="L1796" s="170"/>
    </row>
    <row r="1797" spans="1:12" x14ac:dyDescent="0.25">
      <c r="A1797" s="170"/>
      <c r="B1797" s="116"/>
      <c r="C1797" s="116"/>
      <c r="D1797" s="116"/>
      <c r="E1797" s="116"/>
      <c r="F1797" s="116"/>
      <c r="H1797" s="116"/>
      <c r="I1797" s="116"/>
      <c r="L1797" s="170"/>
    </row>
    <row r="1798" spans="1:12" x14ac:dyDescent="0.25">
      <c r="A1798" s="170"/>
      <c r="B1798" s="116"/>
      <c r="C1798" s="116"/>
      <c r="D1798" s="116"/>
      <c r="E1798" s="116"/>
      <c r="F1798" s="116"/>
      <c r="H1798" s="116"/>
      <c r="I1798" s="116"/>
      <c r="L1798" s="170"/>
    </row>
    <row r="1799" spans="1:12" x14ac:dyDescent="0.25">
      <c r="A1799" s="170"/>
      <c r="B1799" s="116"/>
      <c r="C1799" s="116"/>
      <c r="D1799" s="116"/>
      <c r="E1799" s="116"/>
      <c r="F1799" s="116"/>
      <c r="H1799" s="116"/>
      <c r="I1799" s="116"/>
      <c r="L1799" s="170"/>
    </row>
    <row r="1800" spans="1:12" x14ac:dyDescent="0.25">
      <c r="A1800" s="170"/>
      <c r="B1800" s="116"/>
      <c r="C1800" s="116"/>
      <c r="D1800" s="116"/>
      <c r="E1800" s="116"/>
      <c r="F1800" s="116"/>
      <c r="H1800" s="116"/>
      <c r="I1800" s="116"/>
      <c r="L1800" s="170"/>
    </row>
    <row r="1801" spans="1:12" x14ac:dyDescent="0.25">
      <c r="A1801" s="170"/>
      <c r="B1801" s="116"/>
      <c r="C1801" s="116"/>
      <c r="D1801" s="116"/>
      <c r="E1801" s="116"/>
      <c r="F1801" s="116"/>
      <c r="H1801" s="116"/>
      <c r="I1801" s="116"/>
      <c r="L1801" s="170"/>
    </row>
    <row r="1802" spans="1:12" x14ac:dyDescent="0.25">
      <c r="A1802" s="170"/>
      <c r="B1802" s="116"/>
      <c r="C1802" s="116"/>
      <c r="D1802" s="116"/>
      <c r="E1802" s="116"/>
      <c r="F1802" s="116"/>
      <c r="H1802" s="116"/>
      <c r="I1802" s="116"/>
      <c r="L1802" s="170"/>
    </row>
    <row r="1803" spans="1:12" x14ac:dyDescent="0.25">
      <c r="A1803" s="170"/>
      <c r="B1803" s="116"/>
      <c r="C1803" s="116"/>
      <c r="D1803" s="116"/>
      <c r="E1803" s="116"/>
      <c r="F1803" s="116"/>
      <c r="H1803" s="116"/>
      <c r="I1803" s="116"/>
      <c r="L1803" s="170"/>
    </row>
    <row r="1804" spans="1:12" x14ac:dyDescent="0.25">
      <c r="A1804" s="170"/>
      <c r="B1804" s="116"/>
      <c r="C1804" s="116"/>
      <c r="D1804" s="116"/>
      <c r="E1804" s="116"/>
      <c r="F1804" s="116"/>
      <c r="H1804" s="116"/>
      <c r="I1804" s="116"/>
      <c r="L1804" s="170"/>
    </row>
    <row r="1805" spans="1:12" x14ac:dyDescent="0.25">
      <c r="A1805" s="170"/>
      <c r="B1805" s="116"/>
      <c r="C1805" s="116"/>
      <c r="D1805" s="116"/>
      <c r="E1805" s="116"/>
      <c r="F1805" s="116"/>
      <c r="H1805" s="116"/>
      <c r="I1805" s="116"/>
      <c r="L1805" s="170"/>
    </row>
    <row r="1806" spans="1:12" x14ac:dyDescent="0.25">
      <c r="A1806" s="170"/>
      <c r="B1806" s="116"/>
      <c r="C1806" s="116"/>
      <c r="D1806" s="116"/>
      <c r="E1806" s="116"/>
      <c r="F1806" s="116"/>
      <c r="H1806" s="116"/>
      <c r="I1806" s="116"/>
      <c r="L1806" s="170"/>
    </row>
    <row r="1807" spans="1:12" x14ac:dyDescent="0.25">
      <c r="A1807" s="170"/>
      <c r="B1807" s="116"/>
      <c r="C1807" s="116"/>
      <c r="D1807" s="116"/>
      <c r="E1807" s="116"/>
      <c r="F1807" s="116"/>
      <c r="H1807" s="116"/>
      <c r="I1807" s="116"/>
      <c r="L1807" s="170"/>
    </row>
    <row r="1808" spans="1:12" x14ac:dyDescent="0.25">
      <c r="A1808" s="170"/>
      <c r="B1808" s="116"/>
      <c r="C1808" s="116"/>
      <c r="D1808" s="116"/>
      <c r="E1808" s="116"/>
      <c r="F1808" s="116"/>
      <c r="H1808" s="116"/>
      <c r="I1808" s="116"/>
      <c r="L1808" s="170"/>
    </row>
    <row r="1809" spans="1:12" x14ac:dyDescent="0.25">
      <c r="A1809" s="170"/>
      <c r="B1809" s="116"/>
      <c r="C1809" s="116"/>
      <c r="D1809" s="116"/>
      <c r="E1809" s="116"/>
      <c r="F1809" s="116"/>
      <c r="H1809" s="116"/>
      <c r="I1809" s="116"/>
      <c r="L1809" s="170"/>
    </row>
    <row r="1810" spans="1:12" x14ac:dyDescent="0.25">
      <c r="A1810" s="170"/>
      <c r="B1810" s="116"/>
      <c r="C1810" s="116"/>
      <c r="D1810" s="116"/>
      <c r="E1810" s="116"/>
      <c r="F1810" s="116"/>
      <c r="H1810" s="116"/>
      <c r="I1810" s="116"/>
      <c r="L1810" s="170"/>
    </row>
    <row r="1811" spans="1:12" x14ac:dyDescent="0.25">
      <c r="A1811" s="170"/>
      <c r="B1811" s="116"/>
      <c r="C1811" s="116"/>
      <c r="D1811" s="116"/>
      <c r="E1811" s="116"/>
      <c r="F1811" s="116"/>
      <c r="H1811" s="116"/>
      <c r="I1811" s="116"/>
      <c r="L1811" s="170"/>
    </row>
    <row r="1812" spans="1:12" x14ac:dyDescent="0.25">
      <c r="A1812" s="170"/>
      <c r="B1812" s="116"/>
      <c r="C1812" s="116"/>
      <c r="D1812" s="116"/>
      <c r="E1812" s="116"/>
      <c r="F1812" s="116"/>
      <c r="H1812" s="116"/>
      <c r="I1812" s="116"/>
      <c r="L1812" s="170"/>
    </row>
    <row r="1813" spans="1:12" x14ac:dyDescent="0.25">
      <c r="A1813" s="170"/>
      <c r="B1813" s="116"/>
      <c r="C1813" s="116"/>
      <c r="D1813" s="116"/>
      <c r="E1813" s="116"/>
      <c r="F1813" s="116"/>
      <c r="H1813" s="116"/>
      <c r="I1813" s="116"/>
      <c r="L1813" s="170"/>
    </row>
    <row r="1814" spans="1:12" x14ac:dyDescent="0.25">
      <c r="A1814" s="170"/>
      <c r="B1814" s="116"/>
      <c r="C1814" s="116"/>
      <c r="D1814" s="116"/>
      <c r="E1814" s="116"/>
      <c r="F1814" s="116"/>
      <c r="H1814" s="116"/>
      <c r="I1814" s="116"/>
      <c r="L1814" s="170"/>
    </row>
    <row r="1815" spans="1:12" x14ac:dyDescent="0.25">
      <c r="A1815" s="170"/>
      <c r="B1815" s="116"/>
      <c r="C1815" s="116"/>
      <c r="D1815" s="116"/>
      <c r="E1815" s="116"/>
      <c r="F1815" s="116"/>
      <c r="H1815" s="116"/>
      <c r="I1815" s="116"/>
      <c r="L1815" s="170"/>
    </row>
    <row r="1816" spans="1:12" x14ac:dyDescent="0.25">
      <c r="A1816" s="170"/>
      <c r="B1816" s="116"/>
      <c r="C1816" s="116"/>
      <c r="D1816" s="116"/>
      <c r="E1816" s="116"/>
      <c r="F1816" s="116"/>
      <c r="H1816" s="116"/>
      <c r="I1816" s="116"/>
      <c r="L1816" s="170"/>
    </row>
    <row r="1817" spans="1:12" x14ac:dyDescent="0.25">
      <c r="A1817" s="170"/>
      <c r="B1817" s="116"/>
      <c r="C1817" s="116"/>
      <c r="D1817" s="116"/>
      <c r="E1817" s="116"/>
      <c r="F1817" s="116"/>
      <c r="H1817" s="116"/>
      <c r="I1817" s="116"/>
      <c r="L1817" s="170"/>
    </row>
    <row r="1818" spans="1:12" x14ac:dyDescent="0.25">
      <c r="A1818" s="170"/>
      <c r="B1818" s="116"/>
      <c r="C1818" s="116"/>
      <c r="D1818" s="116"/>
      <c r="E1818" s="116"/>
      <c r="F1818" s="116"/>
      <c r="H1818" s="116"/>
      <c r="I1818" s="116"/>
      <c r="L1818" s="170"/>
    </row>
    <row r="1819" spans="1:12" x14ac:dyDescent="0.25">
      <c r="A1819" s="170"/>
      <c r="B1819" s="116"/>
      <c r="C1819" s="116"/>
      <c r="D1819" s="116"/>
      <c r="E1819" s="116"/>
      <c r="F1819" s="116"/>
      <c r="H1819" s="116"/>
      <c r="I1819" s="116"/>
      <c r="L1819" s="170"/>
    </row>
    <row r="1820" spans="1:12" x14ac:dyDescent="0.25">
      <c r="A1820" s="170"/>
      <c r="B1820" s="116"/>
      <c r="C1820" s="116"/>
      <c r="D1820" s="116"/>
      <c r="E1820" s="116"/>
      <c r="F1820" s="116"/>
      <c r="H1820" s="116"/>
      <c r="I1820" s="116"/>
      <c r="L1820" s="170"/>
    </row>
    <row r="1821" spans="1:12" x14ac:dyDescent="0.25">
      <c r="A1821" s="170"/>
      <c r="B1821" s="116"/>
      <c r="C1821" s="116"/>
      <c r="D1821" s="116"/>
      <c r="E1821" s="116"/>
      <c r="F1821" s="116"/>
      <c r="H1821" s="116"/>
      <c r="I1821" s="116"/>
      <c r="L1821" s="170"/>
    </row>
    <row r="1822" spans="1:12" x14ac:dyDescent="0.25">
      <c r="A1822" s="170"/>
      <c r="B1822" s="116"/>
      <c r="C1822" s="116"/>
      <c r="D1822" s="116"/>
      <c r="E1822" s="116"/>
      <c r="F1822" s="116"/>
      <c r="H1822" s="116"/>
      <c r="I1822" s="116"/>
      <c r="L1822" s="170"/>
    </row>
    <row r="1823" spans="1:12" x14ac:dyDescent="0.25">
      <c r="A1823" s="170"/>
      <c r="B1823" s="116"/>
      <c r="C1823" s="116"/>
      <c r="D1823" s="116"/>
      <c r="E1823" s="116"/>
      <c r="F1823" s="116"/>
      <c r="H1823" s="116"/>
      <c r="I1823" s="116"/>
      <c r="L1823" s="170"/>
    </row>
    <row r="1824" spans="1:12" x14ac:dyDescent="0.25">
      <c r="A1824" s="170"/>
      <c r="B1824" s="116"/>
      <c r="C1824" s="116"/>
      <c r="D1824" s="116"/>
      <c r="E1824" s="116"/>
      <c r="F1824" s="116"/>
      <c r="H1824" s="116"/>
      <c r="I1824" s="116"/>
      <c r="L1824" s="170"/>
    </row>
    <row r="1825" spans="1:12" x14ac:dyDescent="0.25">
      <c r="A1825" s="170"/>
      <c r="B1825" s="116"/>
      <c r="C1825" s="116"/>
      <c r="D1825" s="116"/>
      <c r="E1825" s="116"/>
      <c r="F1825" s="116"/>
      <c r="H1825" s="116"/>
      <c r="I1825" s="116"/>
      <c r="L1825" s="170"/>
    </row>
    <row r="1826" spans="1:12" x14ac:dyDescent="0.25">
      <c r="A1826" s="170"/>
      <c r="B1826" s="116"/>
      <c r="C1826" s="116"/>
      <c r="D1826" s="116"/>
      <c r="E1826" s="116"/>
      <c r="F1826" s="116"/>
      <c r="H1826" s="116"/>
      <c r="I1826" s="116"/>
      <c r="L1826" s="170"/>
    </row>
    <row r="1827" spans="1:12" x14ac:dyDescent="0.25">
      <c r="A1827" s="170"/>
      <c r="B1827" s="116"/>
      <c r="C1827" s="116"/>
      <c r="D1827" s="116"/>
      <c r="E1827" s="116"/>
      <c r="F1827" s="116"/>
      <c r="H1827" s="116"/>
      <c r="I1827" s="116"/>
      <c r="L1827" s="170"/>
    </row>
    <row r="1828" spans="1:12" x14ac:dyDescent="0.25">
      <c r="A1828" s="170"/>
      <c r="B1828" s="116"/>
      <c r="C1828" s="116"/>
      <c r="D1828" s="116"/>
      <c r="E1828" s="116"/>
      <c r="F1828" s="116"/>
      <c r="H1828" s="116"/>
      <c r="I1828" s="116"/>
      <c r="L1828" s="170"/>
    </row>
    <row r="1829" spans="1:12" x14ac:dyDescent="0.25">
      <c r="A1829" s="170"/>
      <c r="B1829" s="116"/>
      <c r="C1829" s="116"/>
      <c r="D1829" s="116"/>
      <c r="E1829" s="116"/>
      <c r="F1829" s="116"/>
      <c r="H1829" s="116"/>
      <c r="I1829" s="116"/>
      <c r="L1829" s="170"/>
    </row>
    <row r="1830" spans="1:12" x14ac:dyDescent="0.25">
      <c r="A1830" s="170"/>
      <c r="B1830" s="116"/>
      <c r="C1830" s="116"/>
      <c r="D1830" s="116"/>
      <c r="E1830" s="116"/>
      <c r="F1830" s="116"/>
      <c r="H1830" s="116"/>
      <c r="I1830" s="116"/>
      <c r="L1830" s="170"/>
    </row>
    <row r="1831" spans="1:12" x14ac:dyDescent="0.25">
      <c r="A1831" s="170"/>
      <c r="B1831" s="116"/>
      <c r="C1831" s="116"/>
      <c r="D1831" s="116"/>
      <c r="E1831" s="116"/>
      <c r="F1831" s="116"/>
      <c r="H1831" s="116"/>
      <c r="I1831" s="116"/>
      <c r="L1831" s="170"/>
    </row>
    <row r="1832" spans="1:12" x14ac:dyDescent="0.25">
      <c r="A1832" s="170"/>
      <c r="B1832" s="116"/>
      <c r="C1832" s="116"/>
      <c r="D1832" s="116"/>
      <c r="E1832" s="116"/>
      <c r="F1832" s="116"/>
      <c r="H1832" s="116"/>
      <c r="I1832" s="116"/>
      <c r="L1832" s="170"/>
    </row>
    <row r="1833" spans="1:12" x14ac:dyDescent="0.25">
      <c r="A1833" s="170"/>
      <c r="B1833" s="116"/>
      <c r="C1833" s="116"/>
      <c r="D1833" s="116"/>
      <c r="E1833" s="116"/>
      <c r="F1833" s="116"/>
      <c r="H1833" s="116"/>
      <c r="I1833" s="116"/>
      <c r="L1833" s="170"/>
    </row>
    <row r="1834" spans="1:12" x14ac:dyDescent="0.25">
      <c r="A1834" s="170"/>
      <c r="B1834" s="116"/>
      <c r="C1834" s="116"/>
      <c r="D1834" s="116"/>
      <c r="E1834" s="116"/>
      <c r="F1834" s="116"/>
      <c r="H1834" s="116"/>
      <c r="I1834" s="116"/>
      <c r="L1834" s="170"/>
    </row>
    <row r="1835" spans="1:12" x14ac:dyDescent="0.25">
      <c r="A1835" s="170"/>
      <c r="B1835" s="116"/>
      <c r="C1835" s="116"/>
      <c r="D1835" s="116"/>
      <c r="E1835" s="116"/>
      <c r="F1835" s="116"/>
      <c r="H1835" s="116"/>
      <c r="I1835" s="116"/>
      <c r="L1835" s="170"/>
    </row>
    <row r="1836" spans="1:12" x14ac:dyDescent="0.25">
      <c r="A1836" s="170"/>
      <c r="B1836" s="116"/>
      <c r="C1836" s="116"/>
      <c r="D1836" s="116"/>
      <c r="E1836" s="116"/>
      <c r="F1836" s="116"/>
      <c r="H1836" s="116"/>
      <c r="I1836" s="116"/>
      <c r="L1836" s="170"/>
    </row>
    <row r="1837" spans="1:12" x14ac:dyDescent="0.25">
      <c r="A1837" s="170"/>
      <c r="B1837" s="116"/>
      <c r="C1837" s="116"/>
      <c r="D1837" s="116"/>
      <c r="E1837" s="116"/>
      <c r="F1837" s="116"/>
      <c r="H1837" s="116"/>
      <c r="I1837" s="116"/>
      <c r="L1837" s="170"/>
    </row>
    <row r="1838" spans="1:12" x14ac:dyDescent="0.25">
      <c r="A1838" s="170"/>
      <c r="B1838" s="116"/>
      <c r="C1838" s="116"/>
      <c r="D1838" s="116"/>
      <c r="E1838" s="116"/>
      <c r="F1838" s="116"/>
      <c r="H1838" s="116"/>
      <c r="I1838" s="116"/>
      <c r="L1838" s="170"/>
    </row>
    <row r="1839" spans="1:12" x14ac:dyDescent="0.25">
      <c r="A1839" s="170"/>
      <c r="B1839" s="116"/>
      <c r="C1839" s="116"/>
      <c r="D1839" s="116"/>
      <c r="E1839" s="116"/>
      <c r="F1839" s="116"/>
      <c r="H1839" s="116"/>
      <c r="I1839" s="116"/>
      <c r="L1839" s="170"/>
    </row>
    <row r="1840" spans="1:12" x14ac:dyDescent="0.25">
      <c r="A1840" s="170"/>
      <c r="B1840" s="116"/>
      <c r="C1840" s="116"/>
      <c r="D1840" s="116"/>
      <c r="E1840" s="116"/>
      <c r="F1840" s="116"/>
      <c r="H1840" s="116"/>
      <c r="I1840" s="116"/>
      <c r="L1840" s="170"/>
    </row>
    <row r="1841" spans="1:18" x14ac:dyDescent="0.25">
      <c r="A1841" s="170"/>
      <c r="B1841" s="116"/>
      <c r="C1841" s="116"/>
      <c r="D1841" s="116"/>
      <c r="E1841" s="116"/>
      <c r="F1841" s="116"/>
      <c r="H1841" s="116"/>
      <c r="I1841" s="116"/>
      <c r="L1841" s="170"/>
    </row>
    <row r="1842" spans="1:18" x14ac:dyDescent="0.25">
      <c r="A1842" s="170"/>
      <c r="B1842" s="116"/>
      <c r="C1842" s="116"/>
      <c r="D1842" s="116"/>
      <c r="E1842" s="116"/>
      <c r="F1842" s="116"/>
      <c r="H1842" s="116"/>
      <c r="I1842" s="116"/>
      <c r="L1842" s="170"/>
    </row>
    <row r="1843" spans="1:18" x14ac:dyDescent="0.25">
      <c r="A1843" s="170"/>
      <c r="B1843" s="116"/>
      <c r="C1843" s="116"/>
      <c r="D1843" s="116"/>
      <c r="E1843" s="116"/>
      <c r="F1843" s="116"/>
      <c r="H1843" s="116"/>
      <c r="I1843" s="116"/>
      <c r="L1843" s="170"/>
    </row>
    <row r="1844" spans="1:18" x14ac:dyDescent="0.25">
      <c r="A1844" s="170"/>
      <c r="B1844" s="116"/>
      <c r="C1844" s="116"/>
      <c r="D1844" s="116"/>
      <c r="E1844" s="116"/>
      <c r="F1844" s="116"/>
      <c r="H1844" s="116"/>
      <c r="I1844" s="116"/>
      <c r="L1844" s="170"/>
    </row>
    <row r="1845" spans="1:18" x14ac:dyDescent="0.25">
      <c r="A1845" s="170"/>
      <c r="B1845" s="116"/>
      <c r="C1845" s="116"/>
      <c r="D1845" s="116"/>
      <c r="E1845" s="116"/>
      <c r="F1845" s="116"/>
      <c r="H1845" s="116"/>
      <c r="I1845" s="116"/>
      <c r="L1845" s="170"/>
    </row>
    <row r="1846" spans="1:18" x14ac:dyDescent="0.25">
      <c r="A1846" s="170"/>
      <c r="B1846" s="116"/>
      <c r="C1846" s="116"/>
      <c r="D1846" s="116"/>
      <c r="E1846" s="116"/>
      <c r="F1846" s="116"/>
      <c r="H1846" s="116"/>
      <c r="I1846" s="116"/>
      <c r="L1846" s="170"/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2026-06-17T16:35:49Z</dcterms:modified>
  <cp:category/>
  <cp:contentStatus/>
</cp:coreProperties>
</file>