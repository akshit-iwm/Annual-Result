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DD2A359-8ACF-40EA-A024-E7DC0359A5F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0" i="1" l="1"/>
  <c r="CL250" i="1"/>
  <c r="Y15" i="1"/>
  <c r="Z14" i="1"/>
  <c r="Z13" i="1"/>
  <c r="Z12" i="1"/>
  <c r="CK15" i="1"/>
  <c r="CJ15" i="1"/>
  <c r="CI15" i="1"/>
  <c r="CH15" i="1"/>
  <c r="CG15" i="1"/>
  <c r="CF15" i="1"/>
  <c r="CE15" i="1"/>
  <c r="CD15" i="1"/>
  <c r="CE8" i="1"/>
  <c r="CF8" i="1"/>
  <c r="CG8" i="1"/>
  <c r="CH8" i="1"/>
  <c r="CI8" i="1"/>
  <c r="CJ8" i="1"/>
  <c r="CK8" i="1"/>
  <c r="CD8" i="1"/>
  <c r="Y8" i="1"/>
  <c r="Z6" i="1"/>
  <c r="Z7" i="1"/>
  <c r="Z5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7" i="1"/>
  <c r="AB20" i="1"/>
  <c r="AC20" i="1"/>
  <c r="AD20" i="1"/>
  <c r="AE20" i="1"/>
  <c r="AB33" i="1"/>
  <c r="AC33" i="1"/>
  <c r="AD33" i="1"/>
  <c r="AE33" i="1"/>
  <c r="AE32" i="1"/>
  <c r="AD32" i="1"/>
  <c r="AC32" i="1"/>
  <c r="AB32" i="1"/>
  <c r="AJ220" i="1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9" i="2"/>
  <c r="AE93" i="2"/>
  <c r="AE109" i="2"/>
  <c r="AD45" i="2"/>
  <c r="AD5" i="2"/>
  <c r="AD111" i="2" s="1"/>
  <c r="AD40" i="2"/>
  <c r="AF65" i="2"/>
  <c r="AF81" i="2"/>
  <c r="AE25" i="2"/>
  <c r="AC91" i="2"/>
  <c r="AC47" i="2"/>
  <c r="AE75" i="2"/>
  <c r="AD81" i="2"/>
  <c r="AD8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70" i="2"/>
  <c r="AC94" i="2"/>
  <c r="AE86" i="2"/>
  <c r="AD65" i="2"/>
  <c r="AF70" i="2"/>
  <c r="AE61" i="2"/>
  <c r="AC36" i="2"/>
  <c r="AB74" i="2"/>
  <c r="AB110" i="2"/>
  <c r="AE97" i="2"/>
  <c r="AF16" i="2"/>
  <c r="AF51" i="2"/>
  <c r="AB63" i="2"/>
  <c r="AB79" i="2"/>
  <c r="AB87" i="2"/>
  <c r="AB107" i="2"/>
  <c r="AC97" i="2"/>
  <c r="AD23" i="2"/>
  <c r="AD58" i="2"/>
  <c r="AC63" i="2"/>
  <c r="AC87" i="2"/>
  <c r="AE110" i="2"/>
  <c r="AC12" i="2"/>
  <c r="AD87" i="2"/>
  <c r="AC8" i="2"/>
  <c r="AD11" i="2"/>
  <c r="AE71" i="2"/>
  <c r="AE58" i="2"/>
  <c r="AC106" i="2"/>
  <c r="AB109" i="2"/>
  <c r="AC49" i="2"/>
  <c r="AE90" i="2"/>
  <c r="AF49" i="2"/>
  <c r="AC72" i="2"/>
  <c r="AF80" i="2"/>
  <c r="AE81" i="2"/>
  <c r="AD34" i="2"/>
  <c r="AF57" i="2"/>
  <c r="AE107" i="2"/>
  <c r="AC62" i="2"/>
  <c r="AD36" i="2"/>
  <c r="AC35" i="2"/>
  <c r="AC50" i="2"/>
  <c r="AF67" i="2"/>
  <c r="AF83" i="2"/>
  <c r="AC6" i="2"/>
  <c r="AE70" i="2"/>
  <c r="AF60" i="2"/>
  <c r="AB96" i="2"/>
  <c r="AD85" i="2"/>
  <c r="AE36" i="2"/>
  <c r="AD76" i="2"/>
  <c r="AB12" i="2"/>
  <c r="AC59" i="2"/>
  <c r="AF8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C107" i="2"/>
  <c r="AD35" i="2"/>
  <c r="AF86" i="2"/>
  <c r="AF106" i="2"/>
  <c r="AC88" i="2"/>
  <c r="AB90" i="2"/>
  <c r="AE73" i="2"/>
  <c r="AE55" i="2"/>
  <c r="AF32" i="2"/>
  <c r="AB71" i="2"/>
  <c r="AB95" i="2"/>
  <c r="AE17" i="2"/>
  <c r="AE44" i="2"/>
  <c r="AC75" i="2"/>
  <c r="AF41" i="2"/>
  <c r="AD71" i="2"/>
  <c r="AD107" i="2"/>
  <c r="AE67" i="2"/>
  <c r="AE91" i="2"/>
  <c r="AE42" i="2"/>
  <c r="AF92" i="2"/>
  <c r="AC74" i="2"/>
  <c r="AC98" i="2"/>
  <c r="AD46" i="2"/>
  <c r="AF90" i="2"/>
  <c r="AF110" i="2"/>
  <c r="AC78" i="2"/>
  <c r="AB97" i="2"/>
  <c r="AF62" i="2"/>
  <c r="AE66" i="2"/>
  <c r="AD18" i="2"/>
  <c r="AD53" i="2"/>
  <c r="AE20" i="2"/>
  <c r="AF109" i="2"/>
  <c r="AD63" i="2"/>
  <c r="AC67" i="2"/>
  <c r="AB16" i="2"/>
  <c r="AB92" i="2"/>
  <c r="AE99" i="2"/>
  <c r="AD97" i="2"/>
  <c r="AC82" i="2"/>
  <c r="AB27" i="2"/>
  <c r="AB54" i="2"/>
  <c r="AD44" i="2"/>
  <c r="AE51" i="2"/>
  <c r="AD92" i="2"/>
  <c r="AE9" i="2"/>
  <c r="AC71" i="2"/>
  <c r="AD61" i="2"/>
  <c r="AE83" i="2"/>
  <c r="AB106" i="2"/>
  <c r="AF7" i="2"/>
  <c r="AF15" i="2"/>
  <c r="AF23" i="2"/>
  <c r="AF31" i="2"/>
  <c r="AF42" i="2"/>
  <c r="AF50" i="2"/>
  <c r="AF58" i="2"/>
  <c r="AE16" i="2"/>
  <c r="AE28" i="2"/>
  <c r="AE43" i="2"/>
  <c r="AF76" i="2"/>
  <c r="AB78" i="2"/>
  <c r="AD91" i="2"/>
  <c r="AF96" i="2"/>
  <c r="AB45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68" i="2"/>
  <c r="AC92" i="2"/>
  <c r="AC55" i="2"/>
  <c r="AD77" i="2"/>
  <c r="AD93" i="2"/>
  <c r="AE11" i="2"/>
  <c r="AE77" i="2"/>
  <c r="AE105" i="2"/>
  <c r="AD88" i="2"/>
  <c r="AB60" i="2"/>
  <c r="AE48" i="2"/>
  <c r="AC77" i="2"/>
  <c r="AC28" i="2"/>
  <c r="AE95" i="2"/>
  <c r="AC24" i="2"/>
  <c r="AB81" i="2"/>
  <c r="AE108" i="2"/>
  <c r="AC22" i="2"/>
  <c r="AD75" i="2"/>
  <c r="AC96" i="2"/>
  <c r="AD26" i="2"/>
  <c r="AF34" i="2"/>
  <c r="AC79" i="2"/>
  <c r="AB51" i="2"/>
  <c r="AB11" i="2"/>
  <c r="AB46" i="2"/>
  <c r="AC9" i="2"/>
  <c r="AB6" i="2"/>
  <c r="AD82" i="2"/>
  <c r="AD98" i="2"/>
  <c r="AC26" i="2"/>
  <c r="AB82" i="2"/>
  <c r="AB91" i="2"/>
  <c r="AE5" i="2"/>
  <c r="AF22" i="2"/>
  <c r="AD95" i="2"/>
  <c r="AD47" i="2"/>
  <c r="AD25" i="2"/>
  <c r="AF45" i="2"/>
  <c r="AE82" i="2"/>
  <c r="AB5" i="2"/>
  <c r="AB112" i="2" s="1"/>
  <c r="AB40" i="2"/>
  <c r="AB56" i="2"/>
  <c r="AD68" i="2"/>
  <c r="AB113" i="2"/>
  <c r="AE33" i="2"/>
  <c r="AD27" i="2"/>
  <c r="AE35" i="2"/>
  <c r="AB70" i="2"/>
  <c r="AC90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96" i="2"/>
  <c r="AD108" i="2"/>
  <c r="AC105" i="2"/>
  <c r="AB28" i="2"/>
  <c r="AE21" i="2"/>
  <c r="AC65" i="2"/>
  <c r="AC89" i="2"/>
  <c r="AF74" i="2"/>
  <c r="AB94" i="2"/>
  <c r="AB89" i="2"/>
  <c r="AE78" i="2"/>
  <c r="AE31" i="2"/>
  <c r="AC60" i="2"/>
  <c r="AE27" i="2"/>
  <c r="AF89" i="2"/>
  <c r="AE52" i="2"/>
  <c r="AB76" i="2"/>
  <c r="AE63" i="2"/>
  <c r="AC43" i="2"/>
  <c r="AB19" i="2"/>
  <c r="AC21" i="2"/>
  <c r="AC48" i="2"/>
  <c r="AB41" i="2"/>
  <c r="AB57" i="2"/>
  <c r="AD74" i="2"/>
  <c r="AD90" i="2"/>
  <c r="AF6" i="2"/>
  <c r="AB64" i="2"/>
  <c r="AE68" i="2"/>
  <c r="AD19" i="2"/>
  <c r="AF78" i="2"/>
  <c r="AF94" i="2"/>
  <c r="AC104" i="2"/>
  <c r="AB98" i="2"/>
  <c r="AE46" i="2"/>
  <c r="AB75" i="2"/>
  <c r="AD7" i="2"/>
  <c r="AC69" i="2"/>
  <c r="AE59" i="2"/>
  <c r="AE79" i="2"/>
  <c r="AF104" i="2"/>
  <c r="AD28" i="2"/>
  <c r="AD9" i="2"/>
  <c r="AC57" i="2"/>
  <c r="AC64" i="2"/>
  <c r="AC32" i="2"/>
  <c r="AC108" i="2"/>
  <c r="AD105" i="2"/>
  <c r="AE89" i="2"/>
  <c r="AB21" i="2"/>
  <c r="AB48" i="2"/>
  <c r="AE12" i="2"/>
  <c r="AB10" i="2"/>
  <c r="AD60" i="2"/>
  <c r="AD104" i="2"/>
  <c r="AB47" i="2"/>
  <c r="AC83" i="2"/>
  <c r="AF66" i="2"/>
  <c r="AB8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D31" i="2"/>
  <c r="AF14" i="2"/>
  <c r="AD10" i="2"/>
  <c r="AE8" i="2"/>
  <c r="AE32" i="2"/>
  <c r="AE47" i="2"/>
  <c r="AD21" i="2"/>
  <c r="AD56" i="2"/>
  <c r="AF73" i="2"/>
  <c r="AF97" i="2"/>
  <c r="AC109" i="2"/>
  <c r="AC110" i="2"/>
  <c r="AB35" i="2"/>
  <c r="AC33" i="2"/>
  <c r="AB22" i="2"/>
  <c r="AD66" i="2"/>
  <c r="AD110" i="2"/>
  <c r="AB36" i="2"/>
  <c r="AC53" i="2"/>
  <c r="AE92" i="2"/>
  <c r="AD54" i="2"/>
  <c r="AE50" i="2"/>
  <c r="AC16" i="2"/>
  <c r="AB66" i="2"/>
  <c r="AE85" i="2"/>
  <c r="AB99" i="2"/>
  <c r="AE29" i="2"/>
  <c r="AC81" i="2"/>
  <c r="AC86" i="2"/>
  <c r="AD55" i="2"/>
  <c r="AC23" i="2"/>
  <c r="AF59" i="2"/>
  <c r="AF99" i="2"/>
  <c r="AC95" i="2"/>
  <c r="AD69" i="2"/>
  <c r="AB29" i="2"/>
  <c r="AE24" i="2"/>
  <c r="AB26" i="2"/>
  <c r="AF98" i="2"/>
  <c r="AC66" i="2"/>
  <c r="AE80" i="2"/>
  <c r="AC76" i="2"/>
  <c r="AD42" i="2"/>
  <c r="AE94" i="2"/>
  <c r="AD79" i="2"/>
  <c r="AF84" i="2"/>
  <c r="AD12" i="2"/>
  <c r="AC11" i="2"/>
  <c r="AF75" i="2"/>
  <c r="AF91" i="2"/>
  <c r="AF10" i="2"/>
  <c r="AC30" i="2"/>
  <c r="AB24" i="2"/>
  <c r="AB80" i="2"/>
  <c r="AC80" i="2"/>
  <c r="AE65" i="2"/>
  <c r="AB13" i="2"/>
  <c r="AE98" i="2"/>
  <c r="AE7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83" i="2"/>
  <c r="AB111" i="2"/>
  <c r="AE56" i="2"/>
  <c r="AE19" i="2"/>
  <c r="AF68" i="2"/>
  <c r="AD20" i="2"/>
  <c r="AA128" i="1" l="1"/>
  <c r="AA56" i="1"/>
  <c r="AA156" i="1"/>
  <c r="AA144" i="1"/>
  <c r="AA138" i="1"/>
  <c r="AA136" i="1"/>
  <c r="AA130" i="1"/>
  <c r="AA89" i="1"/>
  <c r="AA85" i="1"/>
  <c r="AA62" i="1"/>
  <c r="AA57" i="1"/>
  <c r="AA50" i="1"/>
  <c r="AA43" i="1"/>
  <c r="AA34" i="1"/>
  <c r="AA31" i="1"/>
  <c r="AA24" i="1"/>
  <c r="AA133" i="1"/>
  <c r="AA46" i="1"/>
  <c r="AA33" i="1"/>
  <c r="AA26" i="1"/>
  <c r="AA19" i="1"/>
  <c r="AA183" i="1"/>
  <c r="AA182" i="1"/>
  <c r="AA181" i="1"/>
  <c r="AA175" i="1"/>
  <c r="AA174" i="1"/>
  <c r="AA171" i="1"/>
  <c r="AA170" i="1"/>
  <c r="AA166" i="1"/>
  <c r="AA164" i="1"/>
  <c r="AA162" i="1"/>
  <c r="AA161" i="1"/>
  <c r="AA160" i="1"/>
  <c r="AA158" i="1"/>
  <c r="AA157" i="1"/>
  <c r="AA155" i="1"/>
  <c r="AA154" i="1"/>
  <c r="AA153" i="1"/>
  <c r="AA151" i="1"/>
  <c r="AA148" i="1"/>
  <c r="AA147" i="1"/>
  <c r="AA146" i="1"/>
  <c r="AA143" i="1"/>
  <c r="AA137" i="1"/>
  <c r="AA135" i="1"/>
  <c r="AA129" i="1"/>
  <c r="AA90" i="1"/>
  <c r="AA88" i="1"/>
  <c r="AA84" i="1"/>
  <c r="AA78" i="1"/>
  <c r="AA58" i="1"/>
  <c r="AA47" i="1"/>
  <c r="AA36" i="1"/>
  <c r="AA35" i="1"/>
  <c r="AA32" i="1"/>
  <c r="AA20" i="1"/>
  <c r="AA159" i="1"/>
  <c r="AA165" i="1"/>
  <c r="AA37" i="1"/>
  <c r="AA264" i="1"/>
  <c r="AA263" i="1"/>
  <c r="AF113" i="2"/>
  <c r="Z8" i="1"/>
  <c r="Z15" i="1"/>
  <c r="B1" i="9"/>
  <c r="AE111" i="2"/>
  <c r="AC113" i="2"/>
  <c r="AE112" i="2"/>
  <c r="AE113" i="2"/>
  <c r="AF112" i="2"/>
  <c r="AD112" i="2"/>
  <c r="AC111" i="2"/>
  <c r="AD113" i="2"/>
  <c r="A1" i="9"/>
  <c r="AC112" i="2"/>
  <c r="L1" i="9"/>
  <c r="AA21" i="1" l="1"/>
  <c r="AA38" i="1" s="1"/>
  <c r="AA142" i="1"/>
  <c r="AA145" i="1" s="1"/>
  <c r="AA149" i="1" s="1"/>
  <c r="AA242" i="1"/>
  <c r="AA205" i="1"/>
  <c r="AA194" i="1"/>
  <c r="AA191" i="1"/>
  <c r="AA190" i="1"/>
  <c r="AA184" i="1"/>
  <c r="AA172" i="1"/>
  <c r="AA139" i="1"/>
  <c r="AA131" i="1"/>
  <c r="AA44" i="1"/>
  <c r="AA48" i="1"/>
  <c r="AA193" i="1"/>
  <c r="AA27" i="1"/>
  <c r="AA109" i="1"/>
  <c r="AA255" i="1"/>
  <c r="AA259" i="1"/>
  <c r="AA179" i="1"/>
  <c r="AA120" i="1" s="1"/>
  <c r="AA140" i="1"/>
  <c r="AA186" i="1"/>
  <c r="AA167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K250" i="1"/>
  <c r="CK147" i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H163" i="1"/>
  <c r="CJ250" i="1"/>
  <c r="Z250" i="1"/>
  <c r="AA257" i="1" l="1"/>
  <c r="AA192" i="1"/>
  <c r="AA28" i="1"/>
  <c r="AA39" i="1"/>
  <c r="AA196" i="1"/>
  <c r="AA195" i="1" s="1"/>
  <c r="AA168" i="1"/>
  <c r="AA176" i="1" s="1"/>
  <c r="AA177" i="1" s="1"/>
  <c r="CI250" i="1"/>
  <c r="CG147" i="1"/>
  <c r="CG250" i="1"/>
  <c r="CH250" i="1"/>
  <c r="AB24" i="1"/>
  <c r="AC24" i="1"/>
  <c r="AD24" i="1"/>
  <c r="AE24" i="1"/>
  <c r="AB25" i="1"/>
  <c r="AC25" i="1"/>
  <c r="AD25" i="1"/>
  <c r="AE25" i="1"/>
  <c r="AB35" i="1"/>
  <c r="AC35" i="1"/>
  <c r="AD35" i="1"/>
  <c r="AE35" i="1"/>
  <c r="AB36" i="1"/>
  <c r="AC36" i="1"/>
  <c r="AD36" i="1"/>
  <c r="AE36" i="1"/>
  <c r="AB58" i="1"/>
  <c r="AC58" i="1"/>
  <c r="AD58" i="1"/>
  <c r="AE58" i="1"/>
  <c r="AB170" i="1"/>
  <c r="AC170" i="1"/>
  <c r="AD170" i="1"/>
  <c r="AE170" i="1"/>
  <c r="AB184" i="1"/>
  <c r="AC184" i="1"/>
  <c r="AD184" i="1"/>
  <c r="AE184" i="1"/>
  <c r="CE147" i="1"/>
  <c r="CE250" i="1"/>
  <c r="CF250" i="1"/>
  <c r="AI208" i="1"/>
  <c r="AI213" i="1"/>
  <c r="AI217" i="1"/>
  <c r="AI220" i="1"/>
  <c r="AI250" i="1"/>
  <c r="Y250" i="1"/>
  <c r="AM147" i="1"/>
  <c r="AO147" i="1"/>
  <c r="AQ147" i="1"/>
  <c r="AS147" i="1"/>
  <c r="AU147" i="1"/>
  <c r="AW147" i="1"/>
  <c r="AY147" i="1"/>
  <c r="BA147" i="1"/>
  <c r="BC147" i="1"/>
  <c r="BE147" i="1"/>
  <c r="BG147" i="1"/>
  <c r="BI147" i="1"/>
  <c r="BK147" i="1"/>
  <c r="BM147" i="1"/>
  <c r="BO147" i="1"/>
  <c r="BQ147" i="1"/>
  <c r="BS147" i="1"/>
  <c r="BU147" i="1"/>
  <c r="BW147" i="1"/>
  <c r="BY147" i="1"/>
  <c r="CA147" i="1"/>
  <c r="CC147" i="1"/>
  <c r="CD250" i="1"/>
  <c r="CC250" i="1"/>
  <c r="AJ250" i="1"/>
  <c r="AK250" i="1"/>
  <c r="AL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3" i="1" l="1"/>
  <c r="AA244" i="1" s="1"/>
  <c r="AA40" i="1"/>
  <c r="AA123" i="1"/>
  <c r="AA45" i="1"/>
  <c r="AA197" i="1"/>
  <c r="Y1" i="1"/>
  <c r="Z1" i="1" s="1"/>
  <c r="AA66" i="1" l="1"/>
  <c r="AA49" i="1"/>
  <c r="AA1" i="1"/>
  <c r="AB1" i="1" s="1"/>
  <c r="AC1" i="1" s="1"/>
  <c r="AD1" i="1" s="1"/>
  <c r="AE1" i="1" s="1"/>
  <c r="AA51" i="1" l="1"/>
  <c r="AA52" i="1"/>
  <c r="A1" i="3"/>
  <c r="AA59" i="1" l="1"/>
  <c r="AA53" i="1"/>
  <c r="AA256" i="1" s="1"/>
  <c r="AA245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26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Y55" i="2"/>
  <c r="Z45" i="2"/>
  <c r="BB27" i="3"/>
  <c r="Y48" i="2"/>
  <c r="BB31" i="3"/>
  <c r="BA18" i="3"/>
  <c r="Y95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0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25" i="1" s="1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32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30" i="2"/>
  <c r="BB13" i="3"/>
  <c r="Z16" i="2"/>
  <c r="BD12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6" i="3"/>
  <c r="CL19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E8" i="3"/>
  <c r="BL27" i="3"/>
  <c r="BH9" i="3"/>
  <c r="BF40" i="3"/>
  <c r="BT30" i="3"/>
  <c r="BG30" i="3"/>
  <c r="BJ5" i="3"/>
  <c r="BF39" i="3"/>
  <c r="BK15" i="3"/>
  <c r="BK31" i="3"/>
  <c r="BN22" i="3"/>
  <c r="BK45" i="3"/>
  <c r="AA55" i="2"/>
  <c r="AA24" i="2"/>
  <c r="BD32" i="3"/>
  <c r="BA31" i="3"/>
  <c r="Y42" i="2"/>
  <c r="Y98" i="2"/>
  <c r="Y15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3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I28" i="3"/>
  <c r="BJ28" i="3"/>
  <c r="BJ6" i="3"/>
  <c r="BJ30" i="3"/>
  <c r="BH22" i="3"/>
  <c r="AA72" i="2"/>
  <c r="Y68" i="2"/>
  <c r="Z109" i="2"/>
  <c r="AA93" i="2"/>
  <c r="BA9" i="3"/>
  <c r="BA22" i="3"/>
  <c r="Z47" i="2"/>
  <c r="AA36" i="2"/>
  <c r="Z96" i="2"/>
  <c r="Z68" i="2"/>
  <c r="BC14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4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56" i="1" s="1"/>
  <c r="BN10" i="3"/>
  <c r="BF30" i="3"/>
  <c r="BN12" i="3"/>
  <c r="BM46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46" i="1" s="1"/>
  <c r="BG5" i="3"/>
  <c r="BK25" i="3"/>
  <c r="BF18" i="3"/>
  <c r="CL36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62" i="1" s="1"/>
  <c r="BJ12" i="3"/>
  <c r="BL31" i="3"/>
  <c r="BH19" i="3"/>
  <c r="BL17" i="3"/>
  <c r="BP6" i="3"/>
  <c r="BP8" i="3"/>
  <c r="BG32" i="3"/>
  <c r="BL8" i="3"/>
  <c r="BF25" i="3"/>
  <c r="CL47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AA9" i="2"/>
  <c r="AA86" i="2"/>
  <c r="AA63" i="2"/>
  <c r="Y71" i="2"/>
  <c r="BC28" i="3"/>
  <c r="Y96" i="2"/>
  <c r="AA98" i="2"/>
  <c r="AA46" i="2"/>
  <c r="Y90" i="2"/>
  <c r="Z105" i="2"/>
  <c r="BA8" i="3"/>
  <c r="BA33" i="3"/>
  <c r="Z65" i="2"/>
  <c r="BD16" i="3"/>
  <c r="Z27" i="2"/>
  <c r="Y79" i="2"/>
  <c r="BC40" i="3"/>
  <c r="FC14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58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4" i="1" s="1"/>
  <c r="BH33" i="3"/>
  <c r="BL25" i="3"/>
  <c r="BF24" i="3"/>
  <c r="BT9" i="3"/>
  <c r="BP14" i="3"/>
  <c r="BI33" i="3"/>
  <c r="BN9" i="3"/>
  <c r="BH26" i="3"/>
  <c r="BF45" i="3"/>
  <c r="CL74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79" i="2"/>
  <c r="BC7" i="3"/>
  <c r="BC29" i="3"/>
  <c r="BB46" i="3"/>
  <c r="Y8" i="2"/>
  <c r="BD38" i="3"/>
  <c r="Y27" i="2"/>
  <c r="Y105" i="2"/>
  <c r="Y63" i="2"/>
  <c r="Y53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50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35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75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31" i="1" s="1"/>
  <c r="BT25" i="3"/>
  <c r="BQ10" i="3"/>
  <c r="BH28" i="3"/>
  <c r="BS24" i="3"/>
  <c r="BP29" i="3"/>
  <c r="BL16" i="3"/>
  <c r="BJ36" i="3"/>
  <c r="BM25" i="3"/>
  <c r="BF35" i="3"/>
  <c r="CL57" i="1" s="1"/>
  <c r="BJ8" i="3"/>
  <c r="Z76" i="2"/>
  <c r="Y21" i="2"/>
  <c r="AA47" i="2"/>
  <c r="BC41" i="3"/>
  <c r="Z25" i="2"/>
  <c r="Y80" i="2"/>
  <c r="Y106" i="2"/>
  <c r="BA36" i="3"/>
  <c r="AA88" i="2"/>
  <c r="BQ16" i="3"/>
  <c r="BI10" i="3"/>
  <c r="BS30" i="3"/>
  <c r="BI5" i="3"/>
  <c r="BJ23" i="3"/>
  <c r="BN42" i="3"/>
  <c r="BE31" i="3"/>
  <c r="BL40" i="3"/>
  <c r="BH29" i="3"/>
  <c r="Y22" i="2"/>
  <c r="Y10" i="2"/>
  <c r="Y35" i="2"/>
  <c r="BC8" i="3"/>
  <c r="Z20" i="2"/>
  <c r="Y33" i="2"/>
  <c r="Z19" i="2"/>
  <c r="BD8" i="3"/>
  <c r="Z6" i="2"/>
  <c r="Z92" i="2"/>
  <c r="AA99" i="2"/>
  <c r="X6" i="2"/>
  <c r="BB7" i="3"/>
  <c r="BC34" i="3"/>
  <c r="BD31" i="3"/>
  <c r="Z8" i="2"/>
  <c r="Y89" i="2"/>
  <c r="Z17" i="2"/>
  <c r="BB11" i="3"/>
  <c r="FA7" i="4" a="1"/>
  <c r="EY13" i="4" a="1"/>
  <c r="FB9" i="4" a="1"/>
  <c r="EY15" i="4" a="1"/>
  <c r="FE11" i="4" a="1"/>
  <c r="FD9" i="4" a="1"/>
  <c r="Z60" i="2"/>
  <c r="Y29" i="2"/>
  <c r="BB34" i="3"/>
  <c r="EZ8" i="4" a="1"/>
  <c r="FF11" i="4" a="1"/>
  <c r="EZ16" i="4" a="1"/>
  <c r="FF8" i="4" a="1"/>
  <c r="EY16" i="4" a="1"/>
  <c r="FB16" i="4" a="1"/>
  <c r="FE12" i="4" a="1"/>
  <c r="FB12" i="4" a="1"/>
  <c r="Y64" i="2"/>
  <c r="BB28" i="3"/>
  <c r="BQ22" i="3"/>
  <c r="BG31" i="3"/>
  <c r="BS38" i="3"/>
  <c r="BK8" i="3"/>
  <c r="BN35" i="3"/>
  <c r="BJ38" i="3"/>
  <c r="BM35" i="3"/>
  <c r="BI6" i="3"/>
  <c r="BH7" i="3"/>
  <c r="AA18" i="2"/>
  <c r="Z108" i="2"/>
  <c r="Z72" i="2"/>
  <c r="BB25" i="3"/>
  <c r="Y43" i="2"/>
  <c r="Y65" i="2"/>
  <c r="Y61" i="2"/>
  <c r="BB19" i="3"/>
  <c r="AA28" i="2"/>
  <c r="AA85" i="2"/>
  <c r="AA65" i="2"/>
  <c r="AA33" i="2"/>
  <c r="BA24" i="3"/>
  <c r="BD25" i="3"/>
  <c r="BD17" i="3"/>
  <c r="BA25" i="3"/>
  <c r="AA107" i="2"/>
  <c r="FD5" i="4" a="1"/>
  <c r="BQ28" i="3"/>
  <c r="BN38" i="3"/>
  <c r="BT33" i="3"/>
  <c r="BG10" i="3"/>
  <c r="BL42" i="3"/>
  <c r="BN20" i="3"/>
  <c r="BE37" i="3"/>
  <c r="BK7" i="3"/>
  <c r="BL13" i="3"/>
  <c r="AA19" i="2"/>
  <c r="AA51" i="2"/>
  <c r="BC20" i="3"/>
  <c r="BD39" i="3"/>
  <c r="Y17" i="2"/>
  <c r="Z44" i="2"/>
  <c r="Z12" i="2"/>
  <c r="BD30" i="3"/>
  <c r="AA73" i="2"/>
  <c r="Z106" i="2"/>
  <c r="AA70" i="2"/>
  <c r="BD41" i="3"/>
  <c r="Y56" i="2"/>
  <c r="BB42" i="3"/>
  <c r="BB10" i="3"/>
  <c r="BB23" i="3"/>
  <c r="BA30" i="3"/>
  <c r="Z42" i="2"/>
  <c r="FF13" i="4" a="1"/>
  <c r="EZ11" i="4" a="1"/>
  <c r="FC5" i="4" a="1"/>
  <c r="FE6" i="4" a="1"/>
  <c r="FB6" i="4" a="1"/>
  <c r="EX8" i="4" a="1"/>
  <c r="EY6" i="4" a="1"/>
  <c r="AA108" i="2"/>
  <c r="Y11" i="2"/>
  <c r="Y77" i="2"/>
  <c r="BC31" i="3"/>
  <c r="BB35" i="3"/>
  <c r="BC26" i="3"/>
  <c r="AA59" i="2"/>
  <c r="FD14" i="4" a="1"/>
  <c r="EX9" i="4" a="1"/>
  <c r="FC11" i="4" a="1"/>
  <c r="Y110" i="2"/>
  <c r="FD8" i="4" a="1"/>
  <c r="BF13" i="3"/>
  <c r="Y72" i="2"/>
  <c r="Y78" i="2"/>
  <c r="BC42" i="3"/>
  <c r="AA32" i="2"/>
  <c r="Z83" i="2"/>
  <c r="Y52" i="2"/>
  <c r="Z43" i="2"/>
  <c r="BD20" i="3"/>
  <c r="FA8" i="4" a="1"/>
  <c r="FB7" i="4" a="1"/>
  <c r="FB5" i="4" a="1"/>
  <c r="EX12" i="4" a="1"/>
  <c r="BI38" i="3"/>
  <c r="AA26" i="2"/>
  <c r="AA52" i="2"/>
  <c r="Z24" i="2"/>
  <c r="Y97" i="2"/>
  <c r="EX13" i="4" a="1"/>
  <c r="FC15" i="4" a="1"/>
  <c r="BQ34" i="3"/>
  <c r="BV16" i="3"/>
  <c r="BG26" i="3"/>
  <c r="BI13" i="3"/>
  <c r="BI16" i="3"/>
  <c r="BL9" i="3"/>
  <c r="BI41" i="3"/>
  <c r="BG11" i="3"/>
  <c r="BF28" i="3"/>
  <c r="CL43" i="1" s="1"/>
  <c r="Z48" i="2"/>
  <c r="AA7" i="2"/>
  <c r="BD33" i="3"/>
  <c r="BA16" i="3"/>
  <c r="AA106" i="2"/>
  <c r="AA50" i="2"/>
  <c r="Z21" i="2"/>
  <c r="BA40" i="3"/>
  <c r="AA31" i="2"/>
  <c r="Z28" i="2"/>
  <c r="BD40" i="3"/>
  <c r="FF15" i="4" a="1"/>
  <c r="FD12" i="4" a="1"/>
  <c r="EX6" i="4" a="1"/>
  <c r="Z93" i="2"/>
  <c r="FC7" i="4" a="1"/>
  <c r="FB11" i="4" a="1"/>
  <c r="EZ13" i="4" a="1"/>
  <c r="BG45" i="3"/>
  <c r="BE22" i="3"/>
  <c r="Y51" i="2"/>
  <c r="BB45" i="3"/>
  <c r="Y19" i="2"/>
  <c r="AA20" i="2"/>
  <c r="AV10" i="3"/>
  <c r="BA10" i="3"/>
  <c r="BA46" i="3"/>
  <c r="BL28" i="3"/>
  <c r="BB32" i="3"/>
  <c r="AA8" i="2"/>
  <c r="BB12" i="3"/>
  <c r="AA83" i="2"/>
  <c r="BQ40" i="3"/>
  <c r="BV22" i="3"/>
  <c r="BN7" i="3"/>
  <c r="BE15" i="3"/>
  <c r="BG23" i="3"/>
  <c r="BH35" i="3"/>
  <c r="BF7" i="3"/>
  <c r="BM16" i="3"/>
  <c r="Y104" i="2"/>
  <c r="Z54" i="2"/>
  <c r="BC37" i="3"/>
  <c r="BA29" i="3"/>
  <c r="Y44" i="2"/>
  <c r="AA81" i="2"/>
  <c r="Y25" i="2"/>
  <c r="BA42" i="3"/>
  <c r="Z57" i="2"/>
  <c r="Z46" i="2"/>
  <c r="Y84" i="2"/>
  <c r="BA14" i="3"/>
  <c r="Y7" i="2"/>
  <c r="BA21" i="3"/>
  <c r="Y69" i="2"/>
  <c r="BB39" i="3"/>
  <c r="FC12" i="4" a="1"/>
  <c r="FE14" i="4" a="1"/>
  <c r="BC10" i="3"/>
  <c r="AA35" i="2"/>
  <c r="Z94" i="2"/>
  <c r="BR5" i="3"/>
  <c r="BV28" i="3"/>
  <c r="BF31" i="3"/>
  <c r="BG18" i="3"/>
  <c r="BM36" i="3"/>
  <c r="BR11" i="3"/>
  <c r="BV34" i="3"/>
  <c r="BK9" i="3"/>
  <c r="BM19" i="3"/>
  <c r="BN6" i="3"/>
  <c r="BT19" i="3"/>
  <c r="BN13" i="3"/>
  <c r="BK23" i="3"/>
  <c r="Z66" i="2"/>
  <c r="V6" i="2"/>
  <c r="AA78" i="2"/>
  <c r="BA17" i="3"/>
  <c r="BD23" i="3"/>
  <c r="W6" i="2"/>
  <c r="Z81" i="2"/>
  <c r="BC13" i="3"/>
  <c r="BA28" i="3"/>
  <c r="AA42" i="2"/>
  <c r="Y5" i="2"/>
  <c r="AA89" i="2"/>
  <c r="BD9" i="3"/>
  <c r="Y67" i="2"/>
  <c r="BC6" i="3"/>
  <c r="Z52" i="2"/>
  <c r="BB36" i="3"/>
  <c r="Z82" i="2"/>
  <c r="BB29" i="3"/>
  <c r="EY11" i="4" a="1"/>
  <c r="EZ14" i="4" a="1"/>
  <c r="FC16" i="4" a="1"/>
  <c r="EY12" i="4" a="1"/>
  <c r="FD13" i="4" a="1"/>
  <c r="FF5" i="4" a="1"/>
  <c r="BB40" i="3"/>
  <c r="EY14" i="4" a="1"/>
  <c r="FD15" i="4" a="1"/>
  <c r="FD6" i="4" a="1"/>
  <c r="FF6" i="4" a="1"/>
  <c r="EY9" i="4" a="1"/>
  <c r="FB15" i="4" a="1"/>
  <c r="FB8" i="4" a="1"/>
  <c r="FD11" i="4" a="1"/>
  <c r="FE7" i="4" a="1"/>
  <c r="FF7" i="4" a="1"/>
  <c r="BM29" i="3"/>
  <c r="BT20" i="3"/>
  <c r="BP26" i="3"/>
  <c r="Y13" i="2"/>
  <c r="BB38" i="3"/>
  <c r="BA39" i="3"/>
  <c r="AA84" i="2"/>
  <c r="BS41" i="3"/>
  <c r="BV40" i="3"/>
  <c r="BM30" i="3"/>
  <c r="BE23" i="3"/>
  <c r="BL21" i="3"/>
  <c r="BT45" i="3"/>
  <c r="BL18" i="3"/>
  <c r="BE28" i="3"/>
  <c r="AA109" i="2"/>
  <c r="AA77" i="2"/>
  <c r="Y99" i="2"/>
  <c r="BA26" i="3"/>
  <c r="BB37" i="3"/>
  <c r="Y108" i="2"/>
  <c r="Z79" i="2"/>
  <c r="BB16" i="3"/>
  <c r="BA5" i="3"/>
  <c r="Z59" i="2"/>
  <c r="Y31" i="2"/>
  <c r="AA92" i="2"/>
  <c r="BD46" i="3"/>
  <c r="Z88" i="2"/>
  <c r="BA23" i="3"/>
  <c r="AA49" i="2"/>
  <c r="BA38" i="3"/>
  <c r="Z63" i="2"/>
  <c r="AA15" i="2"/>
  <c r="FA6" i="4" a="1"/>
  <c r="FE8" i="4" a="1"/>
  <c r="FB13" i="4" a="1"/>
  <c r="BT6" i="3"/>
  <c r="BS6" i="3"/>
  <c r="BH37" i="3"/>
  <c r="BK24" i="3"/>
  <c r="BJ29" i="3"/>
  <c r="BT42" i="3"/>
  <c r="BN23" i="3"/>
  <c r="BG33" i="3"/>
  <c r="AA54" i="2"/>
  <c r="AA14" i="2"/>
  <c r="Z50" i="2"/>
  <c r="BB17" i="3"/>
  <c r="BD29" i="3"/>
  <c r="AA10" i="2"/>
  <c r="Z70" i="2"/>
  <c r="BC17" i="3"/>
  <c r="BB18" i="3"/>
  <c r="AA74" i="2"/>
  <c r="Z74" i="2"/>
  <c r="Y82" i="2"/>
  <c r="BB26" i="3"/>
  <c r="Z32" i="2"/>
  <c r="BC30" i="3"/>
  <c r="Z34" i="2"/>
  <c r="BD5" i="3"/>
  <c r="Z51" i="2"/>
  <c r="BS12" i="3"/>
  <c r="BG38" i="3"/>
  <c r="BH17" i="3"/>
  <c r="Z62" i="2"/>
  <c r="BD45" i="3"/>
  <c r="BF9" i="3"/>
  <c r="BS18" i="3"/>
  <c r="BP21" i="3"/>
  <c r="BK46" i="3"/>
  <c r="BL23" i="3"/>
  <c r="BP28" i="3"/>
  <c r="BL30" i="3"/>
  <c r="BE40" i="3"/>
  <c r="Y94" i="2"/>
  <c r="AA80" i="2"/>
  <c r="Y32" i="2"/>
  <c r="BD21" i="3"/>
  <c r="BD36" i="3"/>
  <c r="Z5" i="2"/>
  <c r="AA76" i="2"/>
  <c r="BD6" i="3"/>
  <c r="BA35" i="3"/>
  <c r="AA104" i="2"/>
  <c r="AA96" i="2"/>
  <c r="AA34" i="2"/>
  <c r="BC9" i="3"/>
  <c r="Y86" i="2"/>
  <c r="AA43" i="2"/>
  <c r="AA25" i="2"/>
  <c r="Y18" i="2"/>
  <c r="Z7" i="2"/>
  <c r="AA45" i="2"/>
  <c r="FF16" i="4" a="1"/>
  <c r="EX5" i="4" a="1"/>
  <c r="FA16" i="4" a="1"/>
  <c r="EX15" i="4" a="1"/>
  <c r="EX14" i="4" a="1"/>
  <c r="FA14" i="4" a="1"/>
  <c r="Y47" i="2"/>
  <c r="AA13" i="2"/>
  <c r="AA82" i="2"/>
  <c r="BC36" i="3"/>
  <c r="BC33" i="3"/>
  <c r="BC5" i="3"/>
  <c r="Y107" i="2"/>
  <c r="Z78" i="2"/>
  <c r="Z41" i="2"/>
  <c r="BC46" i="3"/>
  <c r="EX11" i="4" a="1"/>
  <c r="FA15" i="4" a="1"/>
  <c r="EY5" i="4" a="1"/>
  <c r="EX7" i="4" a="1"/>
  <c r="FC13" i="4" a="1"/>
  <c r="EZ6" i="4" a="1"/>
  <c r="Z18" i="2"/>
  <c r="Z87" i="2"/>
  <c r="FC9" i="4" a="1"/>
  <c r="EZ15" i="4" a="1"/>
  <c r="BP60" i="3"/>
  <c r="BP92" i="3" l="1"/>
  <c r="BU66" i="3"/>
  <c r="AA63" i="1"/>
  <c r="AA204" i="1"/>
  <c r="AA206" i="1" s="1"/>
  <c r="AA65" i="1"/>
  <c r="BQ56" i="3"/>
  <c r="BQ62" i="3"/>
  <c r="CL37" i="1"/>
  <c r="CL21" i="1"/>
  <c r="CL242" i="1"/>
  <c r="CL263" i="1"/>
  <c r="CL264" i="1"/>
  <c r="CL205" i="1"/>
  <c r="CL76" i="1"/>
  <c r="CK43" i="1"/>
  <c r="CK46" i="1"/>
  <c r="CK35" i="1"/>
  <c r="CK75" i="1"/>
  <c r="CK25" i="1"/>
  <c r="CK57" i="1"/>
  <c r="CK74" i="1"/>
  <c r="CK36" i="1"/>
  <c r="CK32" i="1"/>
  <c r="CK58" i="1"/>
  <c r="CK24" i="1"/>
  <c r="CK33" i="1"/>
  <c r="CK50" i="1"/>
  <c r="CK19" i="1"/>
  <c r="CK9" i="1" s="1"/>
  <c r="CK26" i="1"/>
  <c r="CK47" i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CK62" i="1"/>
  <c r="CK31" i="1"/>
  <c r="CK20" i="1"/>
  <c r="CK34" i="1"/>
  <c r="CK56" i="1"/>
  <c r="CK21" i="1"/>
  <c r="CL23" i="1" s="1"/>
  <c r="Z58" i="1"/>
  <c r="CH56" i="1"/>
  <c r="CH26" i="1"/>
  <c r="X137" i="1"/>
  <c r="X165" i="1" s="1"/>
  <c r="Z133" i="1"/>
  <c r="CH133" i="1" s="1"/>
  <c r="CI133" i="1" s="1"/>
  <c r="Z34" i="1"/>
  <c r="Z166" i="1"/>
  <c r="CH166" i="1" s="1"/>
  <c r="CH50" i="1"/>
  <c r="CJ56" i="1"/>
  <c r="CJ20" i="1"/>
  <c r="X78" i="1"/>
  <c r="Y129" i="1"/>
  <c r="X58" i="1"/>
  <c r="Y32" i="1"/>
  <c r="X143" i="1"/>
  <c r="X128" i="1"/>
  <c r="Y128" i="1"/>
  <c r="Y20" i="1"/>
  <c r="Z182" i="1"/>
  <c r="Z89" i="1"/>
  <c r="Y161" i="1"/>
  <c r="Y143" i="1"/>
  <c r="X164" i="1"/>
  <c r="Y130" i="1"/>
  <c r="Y183" i="1"/>
  <c r="CI57" i="1"/>
  <c r="Y171" i="1"/>
  <c r="Z170" i="1"/>
  <c r="X36" i="1"/>
  <c r="CH43" i="1"/>
  <c r="CH205" i="1" s="1"/>
  <c r="CJ34" i="1"/>
  <c r="CI58" i="1"/>
  <c r="CJ35" i="1"/>
  <c r="CH46" i="1"/>
  <c r="CG47" i="1"/>
  <c r="X157" i="1"/>
  <c r="Y138" i="1"/>
  <c r="X89" i="1"/>
  <c r="Z47" i="1"/>
  <c r="Z175" i="1"/>
  <c r="CH175" i="1" s="1"/>
  <c r="CI175" i="1" s="1"/>
  <c r="X182" i="1"/>
  <c r="Y57" i="1"/>
  <c r="Z174" i="1"/>
  <c r="CH174" i="1" s="1"/>
  <c r="CI174" i="1" s="1"/>
  <c r="Y162" i="1"/>
  <c r="X162" i="1"/>
  <c r="X43" i="1"/>
  <c r="Z148" i="1"/>
  <c r="CH148" i="1" s="1"/>
  <c r="CI148" i="1" s="1"/>
  <c r="CH24" i="1"/>
  <c r="CG36" i="1"/>
  <c r="CJ32" i="1"/>
  <c r="Y43" i="1"/>
  <c r="Y151" i="1"/>
  <c r="Z130" i="1"/>
  <c r="CH130" i="1" s="1"/>
  <c r="CJ25" i="1"/>
  <c r="CG56" i="1"/>
  <c r="CG46" i="1"/>
  <c r="CI19" i="1"/>
  <c r="CG24" i="1"/>
  <c r="CG33" i="1"/>
  <c r="CH57" i="1"/>
  <c r="CH19" i="1"/>
  <c r="CH9" i="1" s="1"/>
  <c r="CH62" i="1"/>
  <c r="CG26" i="1"/>
  <c r="CJ47" i="1"/>
  <c r="CI56" i="1"/>
  <c r="CJ31" i="1"/>
  <c r="CN31" i="1" s="1"/>
  <c r="CR31" i="1" s="1"/>
  <c r="CV31" i="1" s="1"/>
  <c r="CZ31" i="1" s="1"/>
  <c r="X146" i="1"/>
  <c r="X142" i="1" s="1"/>
  <c r="Y137" i="1"/>
  <c r="Y165" i="1" s="1"/>
  <c r="Z46" i="1"/>
  <c r="Y56" i="1"/>
  <c r="X148" i="1"/>
  <c r="Y175" i="1"/>
  <c r="X20" i="1"/>
  <c r="X183" i="1"/>
  <c r="Z43" i="1"/>
  <c r="X138" i="1"/>
  <c r="X136" i="1"/>
  <c r="CI46" i="1"/>
  <c r="CH25" i="1"/>
  <c r="CI33" i="1"/>
  <c r="CH58" i="1"/>
  <c r="CJ75" i="1"/>
  <c r="CI75" i="1" s="1"/>
  <c r="CH75" i="1" s="1"/>
  <c r="CG75" i="1" s="1"/>
  <c r="CF75" i="1" s="1"/>
  <c r="CE75" i="1" s="1"/>
  <c r="CD75" i="1" s="1"/>
  <c r="CC75" i="1" s="1"/>
  <c r="CB75" i="1" s="1"/>
  <c r="CA75" i="1" s="1"/>
  <c r="BZ75" i="1" s="1"/>
  <c r="BY75" i="1" s="1"/>
  <c r="BX75" i="1" s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K75" i="1" s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AK75" i="1" s="1"/>
  <c r="AJ75" i="1" s="1"/>
  <c r="AI75" i="1" s="1"/>
  <c r="CG34" i="1"/>
  <c r="CJ43" i="1"/>
  <c r="CG25" i="1"/>
  <c r="Z57" i="1"/>
  <c r="Z162" i="1"/>
  <c r="CH162" i="1" s="1"/>
  <c r="X50" i="1"/>
  <c r="Z56" i="1"/>
  <c r="X156" i="1"/>
  <c r="Y133" i="1"/>
  <c r="X166" i="1"/>
  <c r="Z35" i="1"/>
  <c r="X133" i="1"/>
  <c r="Z144" i="1"/>
  <c r="CH144" i="1" s="1"/>
  <c r="CI144" i="1" s="1"/>
  <c r="Z151" i="1"/>
  <c r="Z26" i="1"/>
  <c r="X24" i="1"/>
  <c r="Y88" i="1"/>
  <c r="Y181" i="1"/>
  <c r="Z181" i="1"/>
  <c r="X135" i="1"/>
  <c r="Y62" i="1"/>
  <c r="Y36" i="1"/>
  <c r="Y170" i="1"/>
  <c r="Z129" i="1"/>
  <c r="CH129" i="1" s="1"/>
  <c r="CI129" i="1" s="1"/>
  <c r="Y46" i="1"/>
  <c r="Y166" i="1"/>
  <c r="Z90" i="1"/>
  <c r="Z154" i="1"/>
  <c r="Z138" i="1"/>
  <c r="CH138" i="1" s="1"/>
  <c r="CI138" i="1" s="1"/>
  <c r="Y154" i="1"/>
  <c r="Y19" i="1"/>
  <c r="Y9" i="1" s="1"/>
  <c r="CG57" i="1"/>
  <c r="CJ74" i="1"/>
  <c r="CI74" i="1" s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H36" i="1"/>
  <c r="CH33" i="1"/>
  <c r="CJ57" i="1"/>
  <c r="CG43" i="1"/>
  <c r="CI62" i="1"/>
  <c r="CI50" i="1"/>
  <c r="CG62" i="1"/>
  <c r="CH34" i="1"/>
  <c r="CJ19" i="1"/>
  <c r="CJ9" i="1" s="1"/>
  <c r="CI34" i="1"/>
  <c r="CJ26" i="1"/>
  <c r="CJ24" i="1"/>
  <c r="CG19" i="1"/>
  <c r="CI32" i="1"/>
  <c r="CH31" i="1"/>
  <c r="CP31" i="1" s="1"/>
  <c r="CT31" i="1" s="1"/>
  <c r="CX31" i="1" s="1"/>
  <c r="DB31" i="1" s="1"/>
  <c r="CI43" i="1"/>
  <c r="CI205" i="1" s="1"/>
  <c r="CG35" i="1"/>
  <c r="X171" i="1"/>
  <c r="Y147" i="1"/>
  <c r="Y34" i="1"/>
  <c r="Z128" i="1"/>
  <c r="X47" i="1"/>
  <c r="Y146" i="1"/>
  <c r="Y142" i="1" s="1"/>
  <c r="Y58" i="1"/>
  <c r="Y26" i="1"/>
  <c r="X151" i="1"/>
  <c r="Y33" i="1"/>
  <c r="X34" i="1"/>
  <c r="X160" i="1"/>
  <c r="X88" i="1"/>
  <c r="Y158" i="1"/>
  <c r="Y182" i="1"/>
  <c r="Z155" i="1"/>
  <c r="Z143" i="1"/>
  <c r="CH143" i="1" s="1"/>
  <c r="Y157" i="1"/>
  <c r="Z24" i="1"/>
  <c r="Z19" i="1"/>
  <c r="Z9" i="1" s="1"/>
  <c r="Y156" i="1"/>
  <c r="Z62" i="1"/>
  <c r="Z160" i="1"/>
  <c r="CH160" i="1" s="1"/>
  <c r="Z146" i="1"/>
  <c r="Y24" i="1"/>
  <c r="Y174" i="1"/>
  <c r="X57" i="1"/>
  <c r="X158" i="1"/>
  <c r="Z157" i="1"/>
  <c r="CH157" i="1" s="1"/>
  <c r="Z50" i="1"/>
  <c r="Y31" i="1"/>
  <c r="X174" i="1"/>
  <c r="Z136" i="1"/>
  <c r="CH136" i="1" s="1"/>
  <c r="CI136" i="1" s="1"/>
  <c r="X90" i="1"/>
  <c r="X33" i="1"/>
  <c r="X129" i="1"/>
  <c r="Y78" i="1"/>
  <c r="Z88" i="1"/>
  <c r="X32" i="1"/>
  <c r="X130" i="1"/>
  <c r="Y89" i="1"/>
  <c r="Z137" i="1"/>
  <c r="CH137" i="1" s="1"/>
  <c r="CI137" i="1" s="1"/>
  <c r="Y47" i="1"/>
  <c r="Y135" i="1"/>
  <c r="X19" i="1"/>
  <c r="CI35" i="1"/>
  <c r="CJ50" i="1"/>
  <c r="CH35" i="1"/>
  <c r="CI25" i="1"/>
  <c r="CJ46" i="1"/>
  <c r="CI26" i="1"/>
  <c r="CI24" i="1"/>
  <c r="CG50" i="1"/>
  <c r="CG31" i="1"/>
  <c r="CH47" i="1"/>
  <c r="CI47" i="1"/>
  <c r="CI31" i="1"/>
  <c r="CM31" i="1" s="1"/>
  <c r="CQ31" i="1" s="1"/>
  <c r="CU31" i="1" s="1"/>
  <c r="CY31" i="1" s="1"/>
  <c r="CJ33" i="1"/>
  <c r="CJ36" i="1"/>
  <c r="CH32" i="1"/>
  <c r="CE50" i="1"/>
  <c r="CG58" i="1"/>
  <c r="CJ58" i="1"/>
  <c r="CG20" i="1"/>
  <c r="CG32" i="1"/>
  <c r="CI36" i="1"/>
  <c r="CJ62" i="1"/>
  <c r="CH20" i="1"/>
  <c r="CI20" i="1"/>
  <c r="Y153" i="1"/>
  <c r="X62" i="1"/>
  <c r="Z135" i="1"/>
  <c r="CH135" i="1" s="1"/>
  <c r="CI135" i="1" s="1"/>
  <c r="Y144" i="1"/>
  <c r="Y35" i="1"/>
  <c r="X56" i="1"/>
  <c r="Z183" i="1"/>
  <c r="X26" i="1"/>
  <c r="Y160" i="1"/>
  <c r="Z171" i="1"/>
  <c r="CH171" i="1" s="1"/>
  <c r="X153" i="1"/>
  <c r="Y164" i="1"/>
  <c r="Y50" i="1"/>
  <c r="Z20" i="1"/>
  <c r="Z161" i="1"/>
  <c r="CH161" i="1" s="1"/>
  <c r="Y90" i="1"/>
  <c r="X46" i="1"/>
  <c r="X147" i="1"/>
  <c r="Z147" i="1"/>
  <c r="CH147" i="1" s="1"/>
  <c r="CI147" i="1" s="1"/>
  <c r="Z158" i="1"/>
  <c r="CH158" i="1" s="1"/>
  <c r="X144" i="1"/>
  <c r="Z31" i="1"/>
  <c r="Z156" i="1"/>
  <c r="Z153" i="1"/>
  <c r="CH153" i="1" s="1"/>
  <c r="X170" i="1"/>
  <c r="X161" i="1"/>
  <c r="Y136" i="1"/>
  <c r="Z32" i="1"/>
  <c r="Z33" i="1"/>
  <c r="Z78" i="1"/>
  <c r="Z36" i="1"/>
  <c r="X155" i="1"/>
  <c r="X190" i="1" s="1"/>
  <c r="Y148" i="1"/>
  <c r="Y155" i="1"/>
  <c r="X175" i="1"/>
  <c r="X35" i="1"/>
  <c r="X31" i="1"/>
  <c r="Z164" i="1"/>
  <c r="CH164" i="1" s="1"/>
  <c r="X154" i="1"/>
  <c r="X181" i="1"/>
  <c r="X242" i="1"/>
  <c r="CH156" i="1"/>
  <c r="JP9" i="4" s="1"/>
  <c r="JP16" i="4" s="1"/>
  <c r="JO16" i="4" s="1"/>
  <c r="JO9" i="4" s="1"/>
  <c r="JN9" i="4" s="1"/>
  <c r="JN16" i="4" s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6" i="1" s="1"/>
  <c r="BB92" i="3"/>
  <c r="BB85" i="3"/>
  <c r="BB89" i="3"/>
  <c r="BG93" i="3"/>
  <c r="BH76" i="3"/>
  <c r="BF90" i="3"/>
  <c r="CL137" i="1" s="1"/>
  <c r="BD62" i="3"/>
  <c r="BU55" i="3"/>
  <c r="BU58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3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60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BK70" i="3"/>
  <c r="BF87" i="3"/>
  <c r="CL163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H62" i="3"/>
  <c r="BP67" i="3"/>
  <c r="BF79" i="3"/>
  <c r="CL154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65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V48" i="3"/>
  <c r="BP77" i="3"/>
  <c r="BJ56" i="3"/>
  <c r="BA72" i="3"/>
  <c r="BA91" i="3"/>
  <c r="BQ59" i="3"/>
  <c r="BH47" i="3"/>
  <c r="BL86" i="3"/>
  <c r="BK84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G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55" i="1" s="1"/>
  <c r="CL190" i="1" s="1"/>
  <c r="Y111" i="2"/>
  <c r="BO83" i="3"/>
  <c r="BS81" i="3"/>
  <c r="BG48" i="3"/>
  <c r="BL73" i="3"/>
  <c r="BE69" i="3"/>
  <c r="BI87" i="3"/>
  <c r="BM63" i="3"/>
  <c r="BF56" i="3"/>
  <c r="CL128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4" i="1" s="1"/>
  <c r="CL194" i="1" s="1"/>
  <c r="BF66" i="3"/>
  <c r="CL162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85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BT4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51" i="1" s="1"/>
  <c r="BO48" i="3"/>
  <c r="BO91" i="3"/>
  <c r="BH59" i="3"/>
  <c r="BH96" i="3"/>
  <c r="BG78" i="3"/>
  <c r="BF83" i="3"/>
  <c r="CL171" i="1" s="1"/>
  <c r="BG77" i="3"/>
  <c r="BU54" i="3"/>
  <c r="BB75" i="3"/>
  <c r="BQ60" i="3"/>
  <c r="BL93" i="3"/>
  <c r="BL69" i="3"/>
  <c r="BE92" i="3"/>
  <c r="BF92" i="3"/>
  <c r="CL166" i="1" s="1"/>
  <c r="BQ74" i="3"/>
  <c r="BU87" i="3"/>
  <c r="BV83" i="3"/>
  <c r="BO63" i="3"/>
  <c r="BO87" i="3"/>
  <c r="BS97" i="3"/>
  <c r="BU62" i="3"/>
  <c r="BU97" i="3"/>
  <c r="BR47" i="3"/>
  <c r="BV79" i="3"/>
  <c r="BV86" i="3"/>
  <c r="BT88" i="3"/>
  <c r="BT89" i="3"/>
  <c r="BN90" i="3"/>
  <c r="BN83" i="3"/>
  <c r="BF75" i="3"/>
  <c r="BO96" i="3"/>
  <c r="BG82" i="3"/>
  <c r="BE79" i="3"/>
  <c r="BI75" i="3"/>
  <c r="BM83" i="3"/>
  <c r="BJ82" i="3"/>
  <c r="BJ97" i="3"/>
  <c r="BJ67" i="3"/>
  <c r="BK83" i="3"/>
  <c r="BK92" i="3"/>
  <c r="BK93" i="3"/>
  <c r="HF7" i="4" a="1"/>
  <c r="FG9" i="4" a="1"/>
  <c r="HE8" i="4" a="1"/>
  <c r="GA5" i="4" a="1"/>
  <c r="GE8" i="4" a="1"/>
  <c r="HB9" i="4" a="1"/>
  <c r="GS9" i="4" a="1"/>
  <c r="GV7" i="4" a="1"/>
  <c r="FJ9" i="4" a="1"/>
  <c r="FI7" i="4" a="1"/>
  <c r="FH7" i="4" a="1"/>
  <c r="GF8" i="4" a="1"/>
  <c r="GV14" i="4" a="1"/>
  <c r="GT6" i="4" a="1"/>
  <c r="GV8" i="4" a="1"/>
  <c r="GE6" i="4" a="1"/>
  <c r="FP7" i="4" a="1"/>
  <c r="HG8" i="4" a="1"/>
  <c r="GV5" i="4" a="1"/>
  <c r="GV11" i="4" a="1"/>
  <c r="GX12" i="4" a="1"/>
  <c r="GZ13" i="4" a="1"/>
  <c r="HB11" i="4" a="1"/>
  <c r="HD12" i="4" a="1"/>
  <c r="FI14" i="4" a="1"/>
  <c r="FO6" i="4" a="1"/>
  <c r="FU13" i="4" a="1"/>
  <c r="GH15" i="4" a="1"/>
  <c r="FH16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BJ91" i="3"/>
  <c r="GH5" i="4" a="1"/>
  <c r="GD7" i="4" a="1"/>
  <c r="GC8" i="4" a="1"/>
  <c r="FI9" i="4" a="1"/>
  <c r="GW9" i="4" a="1"/>
  <c r="HF12" i="4" a="1"/>
  <c r="FH12" i="4" a="1"/>
  <c r="FQ14" i="4" a="1"/>
  <c r="GL15" i="4" a="1"/>
  <c r="GL16" i="4" a="1"/>
  <c r="HG9" i="4" a="1"/>
  <c r="GL12" i="4" a="1"/>
  <c r="BC76" i="3"/>
  <c r="FT16" i="4" a="1"/>
  <c r="HF6" i="4" a="1"/>
  <c r="HC15" i="4" a="1"/>
  <c r="BC86" i="3"/>
  <c r="GM13" i="4" a="1"/>
  <c r="GX16" i="4" a="1"/>
  <c r="GT12" i="4" a="1"/>
  <c r="GG15" i="4" a="1"/>
  <c r="GA16" i="4" a="1"/>
  <c r="GY16" i="4" a="1"/>
  <c r="BC64" i="3"/>
  <c r="BN69" i="3"/>
  <c r="BK79" i="3"/>
  <c r="GV12" i="4" a="1"/>
  <c r="FV8" i="4" a="1"/>
  <c r="BQ57" i="3"/>
  <c r="BO82" i="3"/>
  <c r="FK16" i="4" a="1"/>
  <c r="BH70" i="3"/>
  <c r="BG76" i="3"/>
  <c r="Z111" i="2"/>
  <c r="BG95" i="3"/>
  <c r="BP58" i="3"/>
  <c r="BA76" i="3"/>
  <c r="BH83" i="3"/>
  <c r="BL66" i="3"/>
  <c r="BE63" i="3"/>
  <c r="BI68" i="3"/>
  <c r="BF59" i="3"/>
  <c r="BQ90" i="3"/>
  <c r="BR65" i="3"/>
  <c r="BT61" i="3"/>
  <c r="BO75" i="3"/>
  <c r="BS48" i="3"/>
  <c r="BS93" i="3"/>
  <c r="BU71" i="3"/>
  <c r="BU65" i="3"/>
  <c r="BR85" i="3"/>
  <c r="BV54" i="3"/>
  <c r="BV96" i="3"/>
  <c r="BT96" i="3"/>
  <c r="BT95" i="3"/>
  <c r="BN48" i="3"/>
  <c r="BN85" i="3"/>
  <c r="AA111" i="2"/>
  <c r="BS62" i="3"/>
  <c r="BG68" i="3"/>
  <c r="BE54" i="3"/>
  <c r="BI79" i="3"/>
  <c r="BM55" i="3"/>
  <c r="BJ84" i="3"/>
  <c r="BJ87" i="3"/>
  <c r="BJ73" i="3"/>
  <c r="BK75" i="3"/>
  <c r="BK94" i="3"/>
  <c r="FK15" i="4" a="1"/>
  <c r="GR5" i="4" a="1"/>
  <c r="GE9" i="4" a="1"/>
  <c r="FT12" i="4" a="1"/>
  <c r="FH5" i="4" a="1"/>
  <c r="GQ8" i="4" a="1"/>
  <c r="GJ6" i="4" a="1"/>
  <c r="FG5" i="4" a="1"/>
  <c r="FQ8" i="4" a="1"/>
  <c r="FJ11" i="4" a="1"/>
  <c r="GP8" i="4" a="1"/>
  <c r="GK7" i="4" a="1"/>
  <c r="GT9" i="4" a="1"/>
  <c r="FZ15" i="4" a="1"/>
  <c r="FM7" i="4" a="1"/>
  <c r="HD9" i="4" a="1"/>
  <c r="FZ8" i="4" a="1"/>
  <c r="GN7" i="4" a="1"/>
  <c r="FH11" i="4" a="1"/>
  <c r="FR8" i="4" a="1"/>
  <c r="HA11" i="4" a="1"/>
  <c r="HC12" i="4" a="1"/>
  <c r="FN7" i="4" a="1"/>
  <c r="HG11" i="4" a="1"/>
  <c r="FG13" i="4" a="1"/>
  <c r="FL14" i="4" a="1"/>
  <c r="FY7" i="4" a="1"/>
  <c r="HA13" i="4" a="1"/>
  <c r="GJ15" i="4" a="1"/>
  <c r="FJ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GH6" i="4" a="1"/>
  <c r="GG5" i="4" a="1"/>
  <c r="FV11" i="4" a="1"/>
  <c r="HD7" i="4" a="1"/>
  <c r="HF9" i="4" a="1"/>
  <c r="FK5" i="4" a="1"/>
  <c r="FO13" i="4" a="1"/>
  <c r="FJ14" i="4" a="1"/>
  <c r="FL16" i="4" a="1"/>
  <c r="GO11" i="4" a="1"/>
  <c r="GC13" i="4" a="1"/>
  <c r="GU15" i="4" a="1"/>
  <c r="FQ16" i="4" a="1"/>
  <c r="GO16" i="4" a="1"/>
  <c r="BC95" i="3"/>
  <c r="GI12" i="4" a="1"/>
  <c r="GN13" i="4" a="1"/>
  <c r="BD91" i="3"/>
  <c r="GF9" i="4" a="1"/>
  <c r="GG11" i="4" a="1"/>
  <c r="FM15" i="4" a="1"/>
  <c r="GD8" i="4" a="1"/>
  <c r="Z112" i="2"/>
  <c r="GO7" i="4" a="1"/>
  <c r="FK8" i="4" a="1"/>
  <c r="GX13" i="4" a="1"/>
  <c r="BC87" i="3"/>
  <c r="BB57" i="3"/>
  <c r="BF47" i="3"/>
  <c r="BQ63" i="3"/>
  <c r="BV60" i="3"/>
  <c r="BS77" i="3"/>
  <c r="BR60" i="3"/>
  <c r="BT62" i="3"/>
  <c r="BG86" i="3"/>
  <c r="BC49" i="3"/>
  <c r="BG83" i="3"/>
  <c r="BB55" i="3"/>
  <c r="BH64" i="3"/>
  <c r="BI69" i="3"/>
  <c r="BA78" i="3"/>
  <c r="BH71" i="3"/>
  <c r="BL60" i="3"/>
  <c r="BE83" i="3"/>
  <c r="BI62" i="3"/>
  <c r="BF78" i="3"/>
  <c r="CL153" i="1" s="1"/>
  <c r="BQ67" i="3"/>
  <c r="BR92" i="3"/>
  <c r="BT50" i="3"/>
  <c r="BO76" i="3"/>
  <c r="BS71" i="3"/>
  <c r="BS91" i="3"/>
  <c r="BU67" i="3"/>
  <c r="BU64" i="3"/>
  <c r="BR66" i="3"/>
  <c r="BV95" i="3"/>
  <c r="BV63" i="3"/>
  <c r="BT64" i="3"/>
  <c r="BT66" i="3"/>
  <c r="BN58" i="3"/>
  <c r="BP54" i="3"/>
  <c r="AA113" i="2"/>
  <c r="BS67" i="3"/>
  <c r="BG47" i="3"/>
  <c r="BE58" i="3"/>
  <c r="BI77" i="3"/>
  <c r="BF68" i="3"/>
  <c r="CL145" i="1" s="1"/>
  <c r="BJ58" i="3"/>
  <c r="BJ75" i="3"/>
  <c r="BK67" i="3"/>
  <c r="BK56" i="3"/>
  <c r="GE15" i="4" a="1"/>
  <c r="GL6" i="4" a="1"/>
  <c r="GJ12" i="4" a="1"/>
  <c r="HC8" i="4" a="1"/>
  <c r="FI5" i="4" a="1"/>
  <c r="GF7" i="4" a="1"/>
  <c r="FN11" i="4" a="1"/>
  <c r="FJ8" i="4" a="1"/>
  <c r="FT11" i="4" a="1"/>
  <c r="HD11" i="4" a="1"/>
  <c r="GI7" i="4" a="1"/>
  <c r="FN8" i="4" a="1"/>
  <c r="GA14" i="4" a="1"/>
  <c r="HC14" i="4" a="1"/>
  <c r="GY9" i="4" a="1"/>
  <c r="BC61" i="3"/>
  <c r="BD97" i="3"/>
  <c r="BD66" i="3"/>
  <c r="BA65" i="3"/>
  <c r="GF12" i="4" a="1"/>
  <c r="BD48" i="3"/>
  <c r="BO64" i="3"/>
  <c r="BG63" i="3"/>
  <c r="BC71" i="3"/>
  <c r="BG65" i="3"/>
  <c r="BB65" i="3"/>
  <c r="BH68" i="3"/>
  <c r="BI73" i="3"/>
  <c r="BA74" i="3"/>
  <c r="BH58" i="3"/>
  <c r="BL62" i="3"/>
  <c r="BE86" i="3"/>
  <c r="BI70" i="3"/>
  <c r="BF49" i="3"/>
  <c r="CL84" i="1" s="1"/>
  <c r="BQ64" i="3"/>
  <c r="BR93" i="3"/>
  <c r="BT94" i="3"/>
  <c r="BO80" i="3"/>
  <c r="BS80" i="3"/>
  <c r="BS86" i="3"/>
  <c r="BU82" i="3"/>
  <c r="BU70" i="3"/>
  <c r="BR84" i="3"/>
  <c r="BV67" i="3"/>
  <c r="BV55" i="3"/>
  <c r="BT56" i="3"/>
  <c r="BN57" i="3"/>
  <c r="BN62" i="3"/>
  <c r="BP69" i="3"/>
  <c r="Y112" i="2"/>
  <c r="BS74" i="3"/>
  <c r="BG84" i="3"/>
  <c r="BE91" i="3"/>
  <c r="BI60" i="3"/>
  <c r="BF74" i="3"/>
  <c r="CL148" i="1" s="1"/>
  <c r="BJ60" i="3"/>
  <c r="BJ54" i="3"/>
  <c r="BJ77" i="3"/>
  <c r="BK58" i="3"/>
  <c r="BK95" i="3"/>
  <c r="FM5" i="4" a="1"/>
  <c r="GY6" i="4" a="1"/>
  <c r="FQ7" i="4" a="1"/>
  <c r="HE12" i="4" a="1"/>
  <c r="HB5" i="4" a="1"/>
  <c r="HC5" i="4" a="1"/>
  <c r="FX9" i="4" a="1"/>
  <c r="FX5" i="4" a="1"/>
  <c r="GM8" i="4" a="1"/>
  <c r="GS5" i="4" a="1"/>
  <c r="FY5" i="4" a="1"/>
  <c r="FU8" i="4" a="1"/>
  <c r="FP11" i="4" a="1"/>
  <c r="FQ5" i="4" a="1"/>
  <c r="FG8" i="4" a="1"/>
  <c r="GF11" i="4" a="1"/>
  <c r="FW5" i="4" a="1"/>
  <c r="GA8" i="4" a="1"/>
  <c r="GD11" i="4" a="1"/>
  <c r="HE9" i="4" a="1"/>
  <c r="FG12" i="4" a="1"/>
  <c r="FL13" i="4" a="1"/>
  <c r="GT7" i="4" a="1"/>
  <c r="FM12" i="4" a="1"/>
  <c r="FR13" i="4" a="1"/>
  <c r="FT14" i="4" a="1"/>
  <c r="FQ9" i="4" a="1"/>
  <c r="FO14" i="4" a="1"/>
  <c r="GN15" i="4" a="1"/>
  <c r="FN16" i="4" a="1"/>
  <c r="GN16" i="4" a="1"/>
  <c r="FS12" i="4" a="1"/>
  <c r="FU11" i="4" a="1"/>
  <c r="GL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FW11" i="4" a="1"/>
  <c r="HE15" i="4" a="1"/>
  <c r="FS14" i="4" a="1"/>
  <c r="BD57" i="3"/>
  <c r="BN93" i="3"/>
  <c r="FI8" i="4" a="1"/>
  <c r="HC7" i="4" a="1"/>
  <c r="FL8" i="4" a="1"/>
  <c r="GK11" i="4" a="1"/>
  <c r="GD16" i="4" a="1"/>
  <c r="GS13" i="4" a="1"/>
  <c r="BC96" i="3"/>
  <c r="BE88" i="3"/>
  <c r="BF55" i="3"/>
  <c r="BI56" i="3"/>
  <c r="BK89" i="3"/>
  <c r="GX8" i="4" a="1"/>
  <c r="GU12" i="4" a="1"/>
  <c r="HB12" i="4" a="1"/>
  <c r="FY11" i="4" a="1"/>
  <c r="BD74" i="3"/>
  <c r="BA67" i="3"/>
  <c r="BC82" i="3"/>
  <c r="BG80" i="3"/>
  <c r="BB58" i="3"/>
  <c r="BM81" i="3"/>
  <c r="BI83" i="3"/>
  <c r="BA79" i="3"/>
  <c r="BH69" i="3"/>
  <c r="BL80" i="3"/>
  <c r="BE72" i="3"/>
  <c r="BI47" i="3"/>
  <c r="BF82" i="3"/>
  <c r="CL156" i="1" s="1"/>
  <c r="CL191" i="1" s="1"/>
  <c r="BQ81" i="3"/>
  <c r="BR63" i="3"/>
  <c r="BT80" i="3"/>
  <c r="BO89" i="3"/>
  <c r="BS85" i="3"/>
  <c r="BS82" i="3"/>
  <c r="BU73" i="3"/>
  <c r="BR81" i="3"/>
  <c r="BR69" i="3"/>
  <c r="BV93" i="3"/>
  <c r="BV69" i="3"/>
  <c r="BT55" i="3"/>
  <c r="BN86" i="3"/>
  <c r="BN94" i="3"/>
  <c r="BP95" i="3"/>
  <c r="BO69" i="3"/>
  <c r="BS76" i="3"/>
  <c r="BG90" i="3"/>
  <c r="BE65" i="3"/>
  <c r="BI61" i="3"/>
  <c r="BF58" i="3"/>
  <c r="CL130" i="1" s="1"/>
  <c r="BJ66" i="3"/>
  <c r="BJ62" i="3"/>
  <c r="BJ79" i="3"/>
  <c r="BK48" i="3"/>
  <c r="BK49" i="3"/>
  <c r="FS5" i="4" a="1"/>
  <c r="FU7" i="4" a="1"/>
  <c r="GZ8" i="4" a="1"/>
  <c r="GA13" i="4" a="1"/>
  <c r="GC6" i="4" a="1"/>
  <c r="GA7" i="4" a="1"/>
  <c r="GU11" i="4" a="1"/>
  <c r="GL5" i="4" a="1"/>
  <c r="FQ6" i="4" a="1"/>
  <c r="GK5" i="4" a="1"/>
  <c r="GI5" i="4" a="1"/>
  <c r="GP5" i="4" a="1"/>
  <c r="FX11" i="4" a="1"/>
  <c r="GE5" i="4" a="1"/>
  <c r="GW8" i="4" a="1"/>
  <c r="GZ6" i="4" a="1"/>
  <c r="FJ5" i="4" a="1"/>
  <c r="HF5" i="4" a="1"/>
  <c r="GO6" i="4" a="1"/>
  <c r="FG11" i="4" a="1"/>
  <c r="FJ12" i="4" a="1"/>
  <c r="FQ13" i="4" a="1"/>
  <c r="FM8" i="4" a="1"/>
  <c r="FU12" i="4" a="1"/>
  <c r="FW13" i="4" a="1"/>
  <c r="FY14" i="4" a="1"/>
  <c r="GL9" i="4" a="1"/>
  <c r="FZ14" i="4" a="1"/>
  <c r="GR15" i="4" a="1"/>
  <c r="FP16" i="4" a="1"/>
  <c r="GP16" i="4" a="1"/>
  <c r="FH13" i="4" a="1"/>
  <c r="GJ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Y113" i="2"/>
  <c r="BK97" i="3"/>
  <c r="GF14" i="4" a="1"/>
  <c r="GE7" i="4" a="1"/>
  <c r="GJ9" i="4" a="1"/>
  <c r="FK13" i="4" a="1"/>
  <c r="FV7" i="4" a="1"/>
  <c r="GF5" i="4" a="1"/>
  <c r="FR6" i="4" a="1"/>
  <c r="FT6" i="4" a="1"/>
  <c r="FW12" i="4" a="1"/>
  <c r="GA9" i="4" a="1"/>
  <c r="GC12" i="4" a="1"/>
  <c r="GE13" i="4" a="1"/>
  <c r="FQ11" i="4" a="1"/>
  <c r="GU14" i="4" a="1"/>
  <c r="GV15" i="4" a="1"/>
  <c r="GB15" i="4" a="1"/>
  <c r="BD47" i="3"/>
  <c r="GO14" i="4" a="1"/>
  <c r="BC79" i="3"/>
  <c r="BT60" i="3"/>
  <c r="GS14" i="4" a="1"/>
  <c r="FS15" i="4" a="1"/>
  <c r="BG55" i="3"/>
  <c r="BU76" i="3"/>
  <c r="BU56" i="3"/>
  <c r="BV50" i="3"/>
  <c r="BJ93" i="3"/>
  <c r="FO5" i="4" a="1"/>
  <c r="GN8" i="4" a="1"/>
  <c r="GD6" i="4" a="1"/>
  <c r="FV6" i="4" a="1"/>
  <c r="FG15" i="4" a="1"/>
  <c r="HA12" i="4" a="1"/>
  <c r="GF16" i="4" a="1"/>
  <c r="HH13" i="4" a="1"/>
  <c r="GI16" i="4" a="1"/>
  <c r="BC93" i="3"/>
  <c r="BD96" i="3"/>
  <c r="BA48" i="3"/>
  <c r="BR56" i="3"/>
  <c r="BE62" i="3"/>
  <c r="BB69" i="3"/>
  <c r="BF86" i="3"/>
  <c r="BI72" i="3"/>
  <c r="BA61" i="3"/>
  <c r="BH94" i="3"/>
  <c r="BL82" i="3"/>
  <c r="BE80" i="3"/>
  <c r="BI57" i="3"/>
  <c r="BF93" i="3"/>
  <c r="BQ82" i="3"/>
  <c r="BR54" i="3"/>
  <c r="BT84" i="3"/>
  <c r="BO94" i="3"/>
  <c r="BS73" i="3"/>
  <c r="BS61" i="3"/>
  <c r="BU86" i="3"/>
  <c r="BR86" i="3"/>
  <c r="BR96" i="3"/>
  <c r="BV68" i="3"/>
  <c r="BV73" i="3"/>
  <c r="BT78" i="3"/>
  <c r="BN89" i="3"/>
  <c r="BN71" i="3"/>
  <c r="BP75" i="3"/>
  <c r="BO54" i="3"/>
  <c r="BS79" i="3"/>
  <c r="BH97" i="3"/>
  <c r="BE59" i="3"/>
  <c r="BI50" i="3"/>
  <c r="BF62" i="3"/>
  <c r="CL135" i="1" s="1"/>
  <c r="BJ68" i="3"/>
  <c r="BJ64" i="3"/>
  <c r="BJ83" i="3"/>
  <c r="BK85" i="3"/>
  <c r="BK65" i="3"/>
  <c r="FL5" i="4" a="1"/>
  <c r="GS7" i="4" a="1"/>
  <c r="FR9" i="4" a="1"/>
  <c r="FH14" i="4" a="1"/>
  <c r="HD6" i="4" a="1"/>
  <c r="FL9" i="4" a="1"/>
  <c r="GO12" i="4" a="1"/>
  <c r="FH6" i="4" a="1"/>
  <c r="GB6" i="4" a="1"/>
  <c r="GH11" i="4" a="1"/>
  <c r="FT5" i="4" a="1"/>
  <c r="FL6" i="4" a="1"/>
  <c r="GU6" i="4" a="1"/>
  <c r="FN5" i="4" a="1"/>
  <c r="GU5" i="4" a="1"/>
  <c r="GN9" i="4" a="1"/>
  <c r="FR5" i="4" a="1"/>
  <c r="GN5" i="4" a="1"/>
  <c r="FS9" i="4" a="1"/>
  <c r="FK11" i="4" a="1"/>
  <c r="FR12" i="4" a="1"/>
  <c r="FT13" i="4" a="1"/>
  <c r="FK9" i="4" a="1"/>
  <c r="FX12" i="4" a="1"/>
  <c r="FZ13" i="4" a="1"/>
  <c r="GG14" i="4" a="1"/>
  <c r="HC9" i="4" a="1"/>
  <c r="GE14" i="4" a="1"/>
  <c r="GT15" i="4" a="1"/>
  <c r="FR16" i="4" a="1"/>
  <c r="GR16" i="4" a="1"/>
  <c r="FN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BJ70" i="3"/>
  <c r="BJ92" i="3"/>
  <c r="BJ85" i="3"/>
  <c r="BK80" i="3"/>
  <c r="FP5" i="4" a="1"/>
  <c r="FO8" i="4" a="1"/>
  <c r="GH9" i="4" a="1"/>
  <c r="GF6" i="4" a="1"/>
  <c r="HF11" i="4" a="1"/>
  <c r="FZ5" i="4" a="1"/>
  <c r="GT16" i="4" a="1"/>
  <c r="FI15" i="4" a="1"/>
  <c r="GV13" i="4" a="1"/>
  <c r="FY16" i="4" a="1"/>
  <c r="GW16" i="4" a="1"/>
  <c r="BC63" i="3"/>
  <c r="GB13" i="4" a="1"/>
  <c r="HF14" i="4" a="1"/>
  <c r="FV16" i="4" a="1"/>
  <c r="BD81" i="3"/>
  <c r="BI65" i="3"/>
  <c r="BK86" i="3"/>
  <c r="FG6" i="4" a="1"/>
  <c r="GC7" i="4" a="1"/>
  <c r="FM9" i="4" a="1"/>
  <c r="FP8" i="4" a="1"/>
  <c r="HF15" i="4" a="1"/>
  <c r="GA15" i="4" a="1"/>
  <c r="HF16" i="4" a="1"/>
  <c r="BE85" i="3"/>
  <c r="BA70" i="3"/>
  <c r="BR61" i="3"/>
  <c r="BE56" i="3"/>
  <c r="BB74" i="3"/>
  <c r="BF88" i="3"/>
  <c r="CL138" i="1" s="1"/>
  <c r="BI74" i="3"/>
  <c r="BC57" i="3"/>
  <c r="BH80" i="3"/>
  <c r="BL92" i="3"/>
  <c r="BE93" i="3"/>
  <c r="BI54" i="3"/>
  <c r="BF85" i="3"/>
  <c r="CL158" i="1" s="1"/>
  <c r="BQ83" i="3"/>
  <c r="BR57" i="3"/>
  <c r="BT91" i="3"/>
  <c r="BO50" i="3"/>
  <c r="BS88" i="3"/>
  <c r="BS57" i="3"/>
  <c r="BU83" i="3"/>
  <c r="BR49" i="3"/>
  <c r="BR90" i="3"/>
  <c r="BV84" i="3"/>
  <c r="BV87" i="3"/>
  <c r="BT81" i="3"/>
  <c r="BN67" i="3"/>
  <c r="BN96" i="3"/>
  <c r="BP79" i="3"/>
  <c r="BO85" i="3"/>
  <c r="BS89" i="3"/>
  <c r="BH91" i="3"/>
  <c r="BE67" i="3"/>
  <c r="BM69" i="3"/>
  <c r="BF57" i="3"/>
  <c r="CL129" i="1" s="1"/>
  <c r="FH9" i="4" a="1"/>
  <c r="HC11" i="4" a="1"/>
  <c r="GD5" i="4" a="1"/>
  <c r="GW6" i="4" a="1"/>
  <c r="GP11" i="4" a="1"/>
  <c r="FO11" i="4" a="1"/>
  <c r="FY13" i="4" a="1"/>
  <c r="GJ14" i="4" a="1"/>
  <c r="GY14" i="4" a="1"/>
  <c r="BD68" i="3"/>
  <c r="FZ12" i="4" a="1"/>
  <c r="GX15" i="4" a="1"/>
  <c r="FV15" i="4" a="1"/>
  <c r="HD13" i="4" a="1"/>
  <c r="BF69" i="3"/>
  <c r="FJ7" i="4" a="1"/>
  <c r="HC6" i="4" a="1"/>
  <c r="GP12" i="4" a="1"/>
  <c r="GQ12" i="4" a="1"/>
  <c r="GM15" i="4" a="1"/>
  <c r="BC78" i="3"/>
  <c r="BL79" i="3"/>
  <c r="BV82" i="3"/>
  <c r="BN75" i="3"/>
  <c r="BN81" i="3"/>
  <c r="BO93" i="3"/>
  <c r="BJ74" i="3"/>
  <c r="GH7" i="4" a="1"/>
  <c r="FJ15" i="4" a="1"/>
  <c r="BA50" i="3"/>
  <c r="BM60" i="3"/>
  <c r="BM95" i="3"/>
  <c r="BB66" i="3"/>
  <c r="BP97" i="3"/>
  <c r="BI97" i="3"/>
  <c r="BC60" i="3"/>
  <c r="BH82" i="3"/>
  <c r="BL48" i="3"/>
  <c r="BE68" i="3"/>
  <c r="BI66" i="3"/>
  <c r="BQ89" i="3"/>
  <c r="BQ87" i="3"/>
  <c r="BV75" i="3"/>
  <c r="BN78" i="3"/>
  <c r="BO65" i="3"/>
  <c r="BS59" i="3"/>
  <c r="BS56" i="3"/>
  <c r="BU89" i="3"/>
  <c r="BR78" i="3"/>
  <c r="BR97" i="3"/>
  <c r="BV80" i="3"/>
  <c r="BV66" i="3"/>
  <c r="BT65" i="3"/>
  <c r="BN95" i="3"/>
  <c r="BN68" i="3"/>
  <c r="BP82" i="3"/>
  <c r="BO73" i="3"/>
  <c r="BS49" i="3"/>
  <c r="BL54" i="3"/>
  <c r="BE77" i="3"/>
  <c r="BM75" i="3"/>
  <c r="BF96" i="3"/>
  <c r="CL174" i="1" s="1"/>
  <c r="BJ78" i="3"/>
  <c r="BJ94" i="3"/>
  <c r="BK73" i="3"/>
  <c r="BK87" i="3"/>
  <c r="BK47" i="3"/>
  <c r="GB5" i="4" a="1"/>
  <c r="GU8" i="4" a="1"/>
  <c r="GX9" i="4" a="1"/>
  <c r="HA14" i="4" a="1"/>
  <c r="FS6" i="4" a="1"/>
  <c r="GX6" i="4" a="1"/>
  <c r="GI13" i="4" a="1"/>
  <c r="GU7" i="4" a="1"/>
  <c r="HF8" i="4" a="1"/>
  <c r="GB12" i="4" a="1"/>
  <c r="GV6" i="4" a="1"/>
  <c r="FK7" i="4" a="1"/>
  <c r="GM11" i="4" a="1"/>
  <c r="GK6" i="4" a="1"/>
  <c r="GR6" i="4" a="1"/>
  <c r="FY12" i="4" a="1"/>
  <c r="GS6" i="4" a="1"/>
  <c r="HB7" i="4" a="1"/>
  <c r="FL12" i="4" a="1"/>
  <c r="BK55" i="3"/>
  <c r="BP73" i="3"/>
  <c r="BL64" i="3"/>
  <c r="BO59" i="3"/>
  <c r="BE47" i="3"/>
  <c r="BK88" i="3"/>
  <c r="FS8" i="4" a="1"/>
  <c r="FX8" i="4" a="1"/>
  <c r="GA6" i="4" a="1"/>
  <c r="GN11" i="4" a="1"/>
  <c r="HH14" i="4" a="1"/>
  <c r="BC90" i="3"/>
  <c r="BA63" i="3"/>
  <c r="BN49" i="3"/>
  <c r="BM48" i="3"/>
  <c r="BB87" i="3"/>
  <c r="BD70" i="3"/>
  <c r="BI84" i="3"/>
  <c r="BD92" i="3"/>
  <c r="BH84" i="3"/>
  <c r="BL91" i="3"/>
  <c r="BE87" i="3"/>
  <c r="BI85" i="3"/>
  <c r="BQ70" i="3"/>
  <c r="BQ96" i="3"/>
  <c r="BV56" i="3"/>
  <c r="BN92" i="3"/>
  <c r="BO67" i="3"/>
  <c r="BS65" i="3"/>
  <c r="BF95" i="3"/>
  <c r="CL175" i="1" s="1"/>
  <c r="BU90" i="3"/>
  <c r="BR76" i="3"/>
  <c r="BR79" i="3"/>
  <c r="BV76" i="3"/>
  <c r="BT58" i="3"/>
  <c r="BT83" i="3"/>
  <c r="BN80" i="3"/>
  <c r="BN70" i="3"/>
  <c r="BP85" i="3"/>
  <c r="BO61" i="3"/>
  <c r="BS54" i="3"/>
  <c r="BL95" i="3"/>
  <c r="BE81" i="3"/>
  <c r="BM54" i="3"/>
  <c r="BF72" i="3"/>
  <c r="CL146" i="1" s="1"/>
  <c r="BJ80" i="3"/>
  <c r="BJ57" i="3"/>
  <c r="BK81" i="3"/>
  <c r="BK62" i="3"/>
  <c r="BK63" i="3"/>
  <c r="GQ5" i="4" a="1"/>
  <c r="GM5" i="4" a="1"/>
  <c r="FR11" i="4" a="1"/>
  <c r="FR15" i="4" a="1"/>
  <c r="GQ6" i="4" a="1"/>
  <c r="FT8" i="4" a="1"/>
  <c r="HG13" i="4" a="1"/>
  <c r="GO5" i="4" a="1"/>
  <c r="GM6" i="4" a="1"/>
  <c r="GW12" i="4" a="1"/>
  <c r="FO7" i="4" a="1"/>
  <c r="FW9" i="4" a="1"/>
  <c r="FI12" i="4" a="1"/>
  <c r="FG7" i="4" a="1"/>
  <c r="FO9" i="4" a="1"/>
  <c r="GZ12" i="4" a="1"/>
  <c r="FR7" i="4" a="1"/>
  <c r="GM9" i="4" a="1"/>
  <c r="GR12" i="4" a="1"/>
  <c r="GA11" i="4" a="1"/>
  <c r="GE12" i="4" a="1"/>
  <c r="GJ13" i="4" a="1"/>
  <c r="GI11" i="4" a="1"/>
  <c r="GK12" i="4" a="1"/>
  <c r="GP13" i="4" a="1"/>
  <c r="GR14" i="4" a="1"/>
  <c r="FK12" i="4" a="1"/>
  <c r="FL15" i="4" a="1"/>
  <c r="GZ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U49" i="3"/>
  <c r="BT67" i="3"/>
  <c r="BP55" i="3"/>
  <c r="BJ49" i="3"/>
  <c r="HA9" i="4" a="1"/>
  <c r="GR13" i="4" a="1"/>
  <c r="HD16" i="4" a="1"/>
  <c r="FI11" i="4" a="1"/>
  <c r="GG16" i="4" a="1"/>
  <c r="BD63" i="3"/>
  <c r="BU48" i="3"/>
  <c r="BU95" i="3"/>
  <c r="BT76" i="3"/>
  <c r="BP65" i="3"/>
  <c r="BJ65" i="3"/>
  <c r="FZ6" i="4" a="1"/>
  <c r="BG66" i="3"/>
  <c r="BA55" i="3"/>
  <c r="BN84" i="3"/>
  <c r="BM59" i="3"/>
  <c r="BB78" i="3"/>
  <c r="BD49" i="3"/>
  <c r="BB81" i="3"/>
  <c r="BD73" i="3"/>
  <c r="BL58" i="3"/>
  <c r="BL75" i="3"/>
  <c r="BE57" i="3"/>
  <c r="BI76" i="3"/>
  <c r="BQ86" i="3"/>
  <c r="BQ95" i="3"/>
  <c r="BV77" i="3"/>
  <c r="BN65" i="3"/>
  <c r="BO70" i="3"/>
  <c r="BS95" i="3"/>
  <c r="BF97" i="3"/>
  <c r="BU91" i="3"/>
  <c r="BR72" i="3"/>
  <c r="BR83" i="3"/>
  <c r="BV61" i="3"/>
  <c r="BT59" i="3"/>
  <c r="BT85" i="3"/>
  <c r="BN54" i="3"/>
  <c r="BN72" i="3"/>
  <c r="BF73" i="3"/>
  <c r="BO86" i="3"/>
  <c r="BS94" i="3"/>
  <c r="BL85" i="3"/>
  <c r="BI63" i="3"/>
  <c r="BM85" i="3"/>
  <c r="BF70" i="3"/>
  <c r="CL144" i="1" s="1"/>
  <c r="BJ96" i="3"/>
  <c r="BJ61" i="3"/>
  <c r="BK69" i="3"/>
  <c r="BK76" i="3"/>
  <c r="BK71" i="3"/>
  <c r="HG5" i="4" a="1"/>
  <c r="FI6" i="4" a="1"/>
  <c r="FZ11" i="4" a="1"/>
  <c r="FT7" i="4" a="1"/>
  <c r="HG6" i="4" a="1"/>
  <c r="GR8" i="4" a="1"/>
  <c r="GC14" i="4" a="1"/>
  <c r="FK6" i="4" a="1"/>
  <c r="GB7" i="4" a="1"/>
  <c r="FS13" i="4" a="1"/>
  <c r="GP7" i="4" a="1"/>
  <c r="HA5" i="4" a="1"/>
  <c r="GG12" i="4" a="1"/>
  <c r="FZ7" i="4" a="1"/>
  <c r="FJ6" i="4" a="1"/>
  <c r="FV13" i="4" a="1"/>
  <c r="GM7" i="4" a="1"/>
  <c r="FL7" i="4" a="1"/>
  <c r="FN13" i="4" a="1"/>
  <c r="GE11" i="4" a="1"/>
  <c r="GH12" i="4" a="1"/>
  <c r="GO13" i="4" a="1"/>
  <c r="GL11" i="4" a="1"/>
  <c r="GS12" i="4" a="1"/>
  <c r="GU13" i="4" a="1"/>
  <c r="GW14" i="4" a="1"/>
  <c r="FV12" i="4" a="1"/>
  <c r="FP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V78" i="3"/>
  <c r="BM87" i="3"/>
  <c r="FW6" i="4" a="1"/>
  <c r="GG7" i="4" a="1"/>
  <c r="FI16" i="4" a="1"/>
  <c r="BF84" i="3"/>
  <c r="CL157" i="1" s="1"/>
  <c r="BM58" i="3"/>
  <c r="GQ7" i="4" a="1"/>
  <c r="GP9" i="4" a="1"/>
  <c r="FX7" i="4" a="1"/>
  <c r="FO15" i="4" a="1"/>
  <c r="GW7" i="4" a="1"/>
  <c r="GW13" i="4" a="1"/>
  <c r="HC13" i="4" a="1"/>
  <c r="GF15" i="4" a="1"/>
  <c r="GD15" i="4" a="1"/>
  <c r="GO15" i="4" a="1"/>
  <c r="BC88" i="3"/>
  <c r="BP56" i="3"/>
  <c r="BP76" i="3"/>
  <c r="BM62" i="3"/>
  <c r="BB83" i="3"/>
  <c r="BD89" i="3"/>
  <c r="BB82" i="3"/>
  <c r="BQ55" i="3"/>
  <c r="BL55" i="3"/>
  <c r="BL87" i="3"/>
  <c r="BE70" i="3"/>
  <c r="BF65" i="3"/>
  <c r="CL161" i="1" s="1"/>
  <c r="BQ72" i="3"/>
  <c r="BU75" i="3"/>
  <c r="BV81" i="3"/>
  <c r="BO55" i="3"/>
  <c r="BO79" i="3"/>
  <c r="BS47" i="3"/>
  <c r="BU93" i="3"/>
  <c r="BR59" i="3"/>
  <c r="BR87" i="3"/>
  <c r="BE49" i="3"/>
  <c r="BJ95" i="3"/>
  <c r="BJ63" i="3"/>
  <c r="GI6" i="4" a="1"/>
  <c r="HB13" i="4" a="1"/>
  <c r="GN14" i="4" a="1"/>
  <c r="GK14" i="4" a="1"/>
  <c r="GQ11" i="4" a="1"/>
  <c r="HE14" i="4" a="1"/>
  <c r="FW14" i="4" a="1"/>
  <c r="HE16" i="4" a="1"/>
  <c r="BD60" i="3"/>
  <c r="BG94" i="3"/>
  <c r="BK57" i="3"/>
  <c r="FX14" i="4" a="1"/>
  <c r="GJ8" i="4" a="1"/>
  <c r="GY11" i="4" a="1"/>
  <c r="HH15" i="4" a="1"/>
  <c r="HB8" i="4" a="1"/>
  <c r="GH14" i="4" a="1"/>
  <c r="HG16" i="4" a="1"/>
  <c r="CH151" i="1" l="1"/>
  <c r="CI151" i="1" s="1"/>
  <c r="AA213" i="1"/>
  <c r="CL109" i="1"/>
  <c r="CL110" i="1" s="1"/>
  <c r="CL38" i="1"/>
  <c r="CL27" i="1"/>
  <c r="CO31" i="1"/>
  <c r="CS31" i="1" s="1"/>
  <c r="CL172" i="1"/>
  <c r="CL167" i="1"/>
  <c r="CL196" i="1" s="1"/>
  <c r="CL195" i="1" s="1"/>
  <c r="CL131" i="1"/>
  <c r="CL159" i="1"/>
  <c r="CL149" i="1"/>
  <c r="CL139" i="1"/>
  <c r="CK27" i="1"/>
  <c r="CK37" i="1"/>
  <c r="CK38" i="1" s="1"/>
  <c r="CJ133" i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KG16" i="4" s="1"/>
  <c r="CK84" i="1"/>
  <c r="CJ164" i="1"/>
  <c r="CJ194" i="1" s="1"/>
  <c r="CK194" i="1" s="1"/>
  <c r="KB9" i="4" s="1"/>
  <c r="JQ16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KF16" i="4" s="1"/>
  <c r="CJ84" i="1"/>
  <c r="CJ136" i="1"/>
  <c r="CK136" i="1" s="1"/>
  <c r="JY16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CJ130" i="1"/>
  <c r="CJ157" i="1"/>
  <c r="KA9" i="4" s="1"/>
  <c r="JS9" i="4" s="1"/>
  <c r="CJ166" i="1"/>
  <c r="CJ144" i="1"/>
  <c r="CK144" i="1" s="1"/>
  <c r="CM144" i="1" s="1"/>
  <c r="CN144" i="1" s="1"/>
  <c r="CO144" i="1" s="1"/>
  <c r="CP144" i="1" s="1"/>
  <c r="CG85" i="1"/>
  <c r="CJ145" i="1"/>
  <c r="CK44" i="1" s="1"/>
  <c r="KH15" i="4" s="1"/>
  <c r="CJ155" i="1"/>
  <c r="CJ190" i="1" s="1"/>
  <c r="CK190" i="1" s="1"/>
  <c r="CJ160" i="1"/>
  <c r="JT16" i="4" s="1"/>
  <c r="CJ174" i="1"/>
  <c r="CK174" i="1" s="1"/>
  <c r="CM174" i="1" s="1"/>
  <c r="CN174" i="1" s="1"/>
  <c r="CO174" i="1" s="1"/>
  <c r="CP174" i="1" s="1"/>
  <c r="CQ174" i="1" s="1"/>
  <c r="CR174" i="1" s="1"/>
  <c r="CS174" i="1" s="1"/>
  <c r="CT174" i="1" s="1"/>
  <c r="CU174" i="1" s="1"/>
  <c r="CV174" i="1" s="1"/>
  <c r="CW174" i="1" s="1"/>
  <c r="JW9" i="4" s="1"/>
  <c r="JZ9" i="4" s="1"/>
  <c r="CJ170" i="1"/>
  <c r="CJ161" i="1"/>
  <c r="KC16" i="4" s="1"/>
  <c r="JU16" i="4" s="1"/>
  <c r="KB16" i="4" s="1"/>
  <c r="CJ148" i="1"/>
  <c r="CK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JX16" i="4" s="1"/>
  <c r="CJ129" i="1"/>
  <c r="CK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CJ151" i="1"/>
  <c r="CJ128" i="1"/>
  <c r="CK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JZ14" i="4" s="1"/>
  <c r="KG9" i="4" s="1"/>
  <c r="JV9" i="4" s="1"/>
  <c r="X84" i="1"/>
  <c r="CJ162" i="1"/>
  <c r="KE9" i="4" s="1"/>
  <c r="JY7" i="4" s="1"/>
  <c r="Z85" i="1"/>
  <c r="CI84" i="1"/>
  <c r="CJ165" i="1"/>
  <c r="JR16" i="4" s="1"/>
  <c r="CJ154" i="1"/>
  <c r="JY9" i="4" s="1"/>
  <c r="KA16" i="4" s="1"/>
  <c r="CJ163" i="1"/>
  <c r="KA8" i="4" s="1"/>
  <c r="KH16" i="4" s="1"/>
  <c r="JT7" i="4" s="1"/>
  <c r="KC9" i="4" s="1"/>
  <c r="KF9" i="4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KD9" i="4" s="1"/>
  <c r="CJ156" i="1"/>
  <c r="CH85" i="1"/>
  <c r="KC14" i="4" s="1"/>
  <c r="KD16" i="4" s="1"/>
  <c r="CJ158" i="1"/>
  <c r="Y85" i="1"/>
  <c r="CI85" i="1"/>
  <c r="Z84" i="1"/>
  <c r="CJ171" i="1"/>
  <c r="CK85" i="1"/>
  <c r="CJ153" i="1"/>
  <c r="CH84" i="1"/>
  <c r="JX9" i="4" s="1"/>
  <c r="JX21" i="4" s="1"/>
  <c r="KH9" i="4" s="1"/>
  <c r="CJ85" i="1"/>
  <c r="CJ135" i="1"/>
  <c r="CK135" i="1" s="1"/>
  <c r="CG84" i="1"/>
  <c r="CI9" i="1"/>
  <c r="CK76" i="1"/>
  <c r="CG242" i="1"/>
  <c r="CG9" i="1"/>
  <c r="Z165" i="1"/>
  <c r="CH165" i="1" s="1"/>
  <c r="CH167" i="1" s="1"/>
  <c r="CH196" i="1" s="1"/>
  <c r="CM46" i="1"/>
  <c r="Y172" i="1"/>
  <c r="Z220" i="1" s="1"/>
  <c r="X194" i="1"/>
  <c r="Y159" i="1"/>
  <c r="Z263" i="1"/>
  <c r="CK109" i="1"/>
  <c r="X21" i="1"/>
  <c r="X109" i="1" s="1"/>
  <c r="X263" i="1"/>
  <c r="Y145" i="1"/>
  <c r="Y149" i="1" s="1"/>
  <c r="Y190" i="1"/>
  <c r="CH170" i="1"/>
  <c r="CH172" i="1" s="1"/>
  <c r="CI220" i="1" s="1"/>
  <c r="Z172" i="1"/>
  <c r="AA220" i="1" s="1"/>
  <c r="X205" i="1"/>
  <c r="X264" i="1"/>
  <c r="Y205" i="1"/>
  <c r="Y264" i="1"/>
  <c r="Z264" i="1"/>
  <c r="Z205" i="1"/>
  <c r="X159" i="1"/>
  <c r="X191" i="1"/>
  <c r="CH154" i="1"/>
  <c r="Z159" i="1"/>
  <c r="Y263" i="1"/>
  <c r="Y21" i="1"/>
  <c r="Y242" i="1"/>
  <c r="Y194" i="1"/>
  <c r="Z131" i="1"/>
  <c r="CH128" i="1"/>
  <c r="CH155" i="1"/>
  <c r="CH190" i="1" s="1"/>
  <c r="CI190" i="1" s="1"/>
  <c r="Z190" i="1"/>
  <c r="Z242" i="1"/>
  <c r="Z194" i="1"/>
  <c r="Z191" i="1"/>
  <c r="CH146" i="1"/>
  <c r="CI146" i="1" s="1"/>
  <c r="Z142" i="1"/>
  <c r="Y37" i="1"/>
  <c r="Y184" i="1"/>
  <c r="X184" i="1"/>
  <c r="CG205" i="1"/>
  <c r="CG264" i="1"/>
  <c r="Y167" i="1"/>
  <c r="CH264" i="1"/>
  <c r="CG263" i="1"/>
  <c r="X145" i="1"/>
  <c r="CI242" i="1"/>
  <c r="CI21" i="1"/>
  <c r="KB21" i="4"/>
  <c r="CJ109" i="1"/>
  <c r="Y213" i="1"/>
  <c r="Y191" i="1"/>
  <c r="CG21" i="1"/>
  <c r="CK22" i="1" s="1"/>
  <c r="Z184" i="1"/>
  <c r="Z21" i="1"/>
  <c r="X167" i="1"/>
  <c r="Y131" i="1"/>
  <c r="X139" i="1"/>
  <c r="X172" i="1"/>
  <c r="X131" i="1"/>
  <c r="X186" i="1" s="1"/>
  <c r="Y139" i="1"/>
  <c r="Z37" i="1"/>
  <c r="X37" i="1"/>
  <c r="JW8" i="4"/>
  <c r="JS14" i="4"/>
  <c r="KF14" i="4"/>
  <c r="JS15" i="4"/>
  <c r="CI143" i="1"/>
  <c r="CJ143" i="1" s="1"/>
  <c r="CH263" i="1"/>
  <c r="CJ37" i="1"/>
  <c r="CI139" i="1"/>
  <c r="CG37" i="1"/>
  <c r="CH21" i="1"/>
  <c r="CH37" i="1"/>
  <c r="CI263" i="1"/>
  <c r="CJ264" i="1"/>
  <c r="CH242" i="1"/>
  <c r="CJ242" i="1"/>
  <c r="CI264" i="1"/>
  <c r="CH191" i="1"/>
  <c r="CI191" i="1" s="1"/>
  <c r="CH194" i="1"/>
  <c r="CI194" i="1" s="1"/>
  <c r="CJ263" i="1"/>
  <c r="CJ21" i="1"/>
  <c r="CK23" i="1" s="1"/>
  <c r="Y84" i="1"/>
  <c r="X85" i="1"/>
  <c r="Z213" i="1"/>
  <c r="CI37" i="1"/>
  <c r="CI76" i="1"/>
  <c r="CJ205" i="1"/>
  <c r="Z139" i="1"/>
  <c r="CH76" i="1"/>
  <c r="CG76" i="1"/>
  <c r="CI213" i="1"/>
  <c r="CJ76" i="1"/>
  <c r="CH139" i="1"/>
  <c r="JP15" i="4"/>
  <c r="JP14" i="4"/>
  <c r="JP8" i="4"/>
  <c r="JP7" i="4"/>
  <c r="CM135" i="1"/>
  <c r="JP21" i="4"/>
  <c r="CJ88" i="1" s="1"/>
  <c r="JO21" i="4"/>
  <c r="CI88" i="1" s="1"/>
  <c r="JO7" i="4"/>
  <c r="JO15" i="4"/>
  <c r="JO14" i="4"/>
  <c r="JO8" i="4"/>
  <c r="JN21" i="4"/>
  <c r="CH88" i="1" s="1"/>
  <c r="JN15" i="4"/>
  <c r="JN14" i="4"/>
  <c r="JN7" i="4"/>
  <c r="JN8" i="4"/>
  <c r="CB24" i="1"/>
  <c r="KA21" i="4" l="1"/>
  <c r="JS16" i="4" s="1"/>
  <c r="JS21" i="4" s="1"/>
  <c r="KE14" i="4" s="1"/>
  <c r="JZ16" i="4" s="1"/>
  <c r="JS7" i="4" s="1"/>
  <c r="KC8" i="4" s="1"/>
  <c r="KE16" i="4" s="1"/>
  <c r="JW16" i="4" s="1"/>
  <c r="JW21" i="4" s="1"/>
  <c r="KA15" i="4" s="1"/>
  <c r="JQ9" i="4" s="1"/>
  <c r="JX7" i="4" s="1"/>
  <c r="CW31" i="1"/>
  <c r="DA31" i="1" s="1"/>
  <c r="KD21" i="4"/>
  <c r="JV16" i="4" s="1"/>
  <c r="JU9" i="4" s="1"/>
  <c r="CJ191" i="1"/>
  <c r="CK191" i="1" s="1"/>
  <c r="CH159" i="1"/>
  <c r="CH193" i="1" s="1"/>
  <c r="Z167" i="1"/>
  <c r="AA208" i="1" s="1"/>
  <c r="Z193" i="1"/>
  <c r="AA207" i="1"/>
  <c r="Z186" i="1"/>
  <c r="AA218" i="1"/>
  <c r="AA22" i="1"/>
  <c r="AA199" i="1"/>
  <c r="AA217" i="1"/>
  <c r="AA260" i="1"/>
  <c r="CK39" i="1"/>
  <c r="JY21" i="4"/>
  <c r="CJ172" i="1"/>
  <c r="CJ142" i="1"/>
  <c r="CK142" i="1" s="1"/>
  <c r="CJ159" i="1"/>
  <c r="CK151" i="1"/>
  <c r="CL213" i="1" s="1"/>
  <c r="CJ213" i="1"/>
  <c r="KH21" i="4"/>
  <c r="JQ7" i="4"/>
  <c r="JV15" i="4"/>
  <c r="KF7" i="4"/>
  <c r="KF19" i="4" s="1"/>
  <c r="CL39" i="1"/>
  <c r="CL28" i="1"/>
  <c r="CL259" i="1"/>
  <c r="CL257" i="1"/>
  <c r="CL103" i="1"/>
  <c r="CL193" i="1"/>
  <c r="CL168" i="1"/>
  <c r="CL176" i="1" s="1"/>
  <c r="CL179" i="1"/>
  <c r="CL120" i="1" s="1"/>
  <c r="CL140" i="1"/>
  <c r="JV14" i="4"/>
  <c r="KG21" i="4"/>
  <c r="JX15" i="4"/>
  <c r="JQ21" i="4"/>
  <c r="CK88" i="1" s="1"/>
  <c r="KF21" i="4"/>
  <c r="JR7" i="4"/>
  <c r="JR15" i="4"/>
  <c r="JZ7" i="4"/>
  <c r="JZ19" i="4" s="1"/>
  <c r="KE8" i="4"/>
  <c r="KF8" i="4"/>
  <c r="KG7" i="4"/>
  <c r="KG8" i="4"/>
  <c r="JU14" i="4"/>
  <c r="KB7" i="4"/>
  <c r="KC7" i="4"/>
  <c r="KC19" i="4" s="1"/>
  <c r="JU15" i="4"/>
  <c r="KB14" i="4"/>
  <c r="KB19" i="4" s="1"/>
  <c r="JV7" i="4"/>
  <c r="JU21" i="4"/>
  <c r="KA14" i="4"/>
  <c r="KC15" i="4"/>
  <c r="KC20" i="4" s="1"/>
  <c r="KA7" i="4"/>
  <c r="JY8" i="4"/>
  <c r="JT14" i="4"/>
  <c r="JT19" i="4" s="1"/>
  <c r="JZ8" i="4"/>
  <c r="JX8" i="4"/>
  <c r="KE7" i="4"/>
  <c r="CK28" i="1"/>
  <c r="CL30" i="1"/>
  <c r="CI27" i="1"/>
  <c r="CL255" i="1"/>
  <c r="CL236" i="1"/>
  <c r="CL199" i="1"/>
  <c r="CL22" i="1"/>
  <c r="CJ139" i="1"/>
  <c r="JZ15" i="4"/>
  <c r="JV8" i="4"/>
  <c r="KB8" i="4"/>
  <c r="JS8" i="4"/>
  <c r="JS20" i="4" s="1"/>
  <c r="JQ15" i="4"/>
  <c r="JW15" i="4"/>
  <c r="JW20" i="4" s="1"/>
  <c r="KH8" i="4"/>
  <c r="KH20" i="4" s="1"/>
  <c r="JT15" i="4"/>
  <c r="CJ167" i="1"/>
  <c r="CJ196" i="1" s="1"/>
  <c r="CJ195" i="1" s="1"/>
  <c r="CK195" i="1" s="1"/>
  <c r="KG15" i="4"/>
  <c r="JR8" i="4"/>
  <c r="KE15" i="4"/>
  <c r="KC21" i="4"/>
  <c r="JQ14" i="4"/>
  <c r="JQ19" i="4" s="1"/>
  <c r="CK89" i="1" s="1"/>
  <c r="KH7" i="4"/>
  <c r="JT8" i="4"/>
  <c r="JY15" i="4"/>
  <c r="JW14" i="4"/>
  <c r="KD14" i="4"/>
  <c r="KF15" i="4"/>
  <c r="JW7" i="4"/>
  <c r="JR14" i="4"/>
  <c r="JQ8" i="4"/>
  <c r="JU7" i="4"/>
  <c r="KB15" i="4"/>
  <c r="KB20" i="4" s="1"/>
  <c r="JX14" i="4"/>
  <c r="KD8" i="4"/>
  <c r="KG14" i="4"/>
  <c r="KD15" i="4"/>
  <c r="KH14" i="4"/>
  <c r="KD7" i="4"/>
  <c r="JU8" i="4"/>
  <c r="CJ131" i="1"/>
  <c r="CJ149" i="1"/>
  <c r="CK110" i="1"/>
  <c r="X27" i="1"/>
  <c r="Z259" i="1"/>
  <c r="X38" i="1"/>
  <c r="CN46" i="1"/>
  <c r="Y44" i="1"/>
  <c r="X168" i="1"/>
  <c r="Y193" i="1"/>
  <c r="Y192" i="1" s="1"/>
  <c r="Z207" i="1"/>
  <c r="X193" i="1"/>
  <c r="X192" i="1" s="1"/>
  <c r="Y207" i="1"/>
  <c r="Y22" i="1"/>
  <c r="Y109" i="1"/>
  <c r="Y199" i="1"/>
  <c r="Y38" i="1"/>
  <c r="Y27" i="1"/>
  <c r="CI128" i="1"/>
  <c r="CH131" i="1"/>
  <c r="CH103" i="1" s="1"/>
  <c r="CH105" i="1" s="1"/>
  <c r="Z145" i="1"/>
  <c r="CH142" i="1"/>
  <c r="CH145" i="1" s="1"/>
  <c r="KA20" i="4"/>
  <c r="Z38" i="1"/>
  <c r="AB144" i="1"/>
  <c r="CQ144" i="1"/>
  <c r="CR144" i="1" s="1"/>
  <c r="CS144" i="1" s="1"/>
  <c r="CT144" i="1" s="1"/>
  <c r="CG38" i="1"/>
  <c r="CG27" i="1"/>
  <c r="CK29" i="1" s="1"/>
  <c r="X140" i="1"/>
  <c r="CI38" i="1"/>
  <c r="Y196" i="1"/>
  <c r="Y168" i="1"/>
  <c r="Y176" i="1" s="1"/>
  <c r="X149" i="1"/>
  <c r="X44" i="1"/>
  <c r="CH195" i="1"/>
  <c r="CI195" i="1" s="1"/>
  <c r="X259" i="1"/>
  <c r="Y220" i="1"/>
  <c r="Z199" i="1"/>
  <c r="Z22" i="1"/>
  <c r="Z27" i="1"/>
  <c r="AA29" i="1" s="1"/>
  <c r="Z109" i="1"/>
  <c r="Y186" i="1"/>
  <c r="Y259" i="1"/>
  <c r="X48" i="1"/>
  <c r="X179" i="1"/>
  <c r="X120" i="1" s="1"/>
  <c r="CI217" i="1"/>
  <c r="X196" i="1"/>
  <c r="Y208" i="1"/>
  <c r="Y260" i="1"/>
  <c r="Y217" i="1"/>
  <c r="Y179" i="1"/>
  <c r="Y120" i="1" s="1"/>
  <c r="CK139" i="1"/>
  <c r="JS19" i="4"/>
  <c r="Y48" i="1"/>
  <c r="Y140" i="1"/>
  <c r="Z179" i="1"/>
  <c r="Z120" i="1" s="1"/>
  <c r="Z217" i="1"/>
  <c r="CI23" i="1"/>
  <c r="CJ27" i="1"/>
  <c r="CK30" i="1" s="1"/>
  <c r="CJ110" i="1"/>
  <c r="CJ113" i="1" s="1"/>
  <c r="CH38" i="1"/>
  <c r="CJ236" i="1"/>
  <c r="CJ23" i="1"/>
  <c r="CJ38" i="1"/>
  <c r="CH27" i="1"/>
  <c r="CL29" i="1" s="1"/>
  <c r="CH23" i="1"/>
  <c r="Z140" i="1"/>
  <c r="Z48" i="1"/>
  <c r="Z260" i="1"/>
  <c r="Y257" i="1"/>
  <c r="Y255" i="1"/>
  <c r="CH179" i="1"/>
  <c r="CI260" i="1"/>
  <c r="CM190" i="1"/>
  <c r="CN135" i="1"/>
  <c r="CM191" i="1"/>
  <c r="CM194" i="1"/>
  <c r="CX174" i="1"/>
  <c r="CX128" i="1"/>
  <c r="JP20" i="4"/>
  <c r="CJ90" i="1" s="1"/>
  <c r="JP19" i="4"/>
  <c r="CJ89" i="1" s="1"/>
  <c r="JO19" i="4"/>
  <c r="CI89" i="1" s="1"/>
  <c r="JO20" i="4"/>
  <c r="CI90" i="1" s="1"/>
  <c r="JN20" i="4"/>
  <c r="CH90" i="1" s="1"/>
  <c r="JN19" i="4"/>
  <c r="CH89" i="1" s="1"/>
  <c r="KE19" i="4" l="1"/>
  <c r="JV20" i="4"/>
  <c r="KE21" i="4"/>
  <c r="JV21" i="4"/>
  <c r="JX19" i="4"/>
  <c r="JZ21" i="4"/>
  <c r="Z192" i="1"/>
  <c r="CK40" i="1"/>
  <c r="CK45" i="1"/>
  <c r="CK49" i="1" s="1"/>
  <c r="CK220" i="1"/>
  <c r="CK213" i="1"/>
  <c r="CJ193" i="1"/>
  <c r="CH168" i="1"/>
  <c r="Z196" i="1"/>
  <c r="Z168" i="1"/>
  <c r="Z208" i="1"/>
  <c r="CH192" i="1"/>
  <c r="CI192" i="1" s="1"/>
  <c r="CH197" i="1"/>
  <c r="AA209" i="1"/>
  <c r="AA210" i="1" s="1"/>
  <c r="AA216" i="1"/>
  <c r="JV19" i="4"/>
  <c r="JR19" i="4"/>
  <c r="CL89" i="1" s="1"/>
  <c r="JR20" i="4"/>
  <c r="CL90" i="1" s="1"/>
  <c r="JU19" i="4"/>
  <c r="JU20" i="4"/>
  <c r="JQ20" i="4"/>
  <c r="CK90" i="1" s="1"/>
  <c r="CL217" i="1"/>
  <c r="CL260" i="1"/>
  <c r="JX20" i="4"/>
  <c r="KE20" i="4"/>
  <c r="JY20" i="4"/>
  <c r="KD19" i="4"/>
  <c r="KF20" i="4"/>
  <c r="KG19" i="4"/>
  <c r="CK113" i="1"/>
  <c r="CL177" i="1"/>
  <c r="KA19" i="4"/>
  <c r="JZ20" i="4"/>
  <c r="CI28" i="1"/>
  <c r="CI39" i="1"/>
  <c r="CJ140" i="1"/>
  <c r="CJ260" i="1"/>
  <c r="CJ217" i="1"/>
  <c r="CL42" i="1"/>
  <c r="CL243" i="1"/>
  <c r="CL244" i="1" s="1"/>
  <c r="CL40" i="1"/>
  <c r="CL261" i="1"/>
  <c r="CL45" i="1"/>
  <c r="CL49" i="1" s="1"/>
  <c r="CL192" i="1"/>
  <c r="CL197" i="1"/>
  <c r="JT20" i="4"/>
  <c r="KG20" i="4"/>
  <c r="JW19" i="4"/>
  <c r="KD20" i="4"/>
  <c r="KH19" i="4"/>
  <c r="CJ259" i="1"/>
  <c r="CJ103" i="1"/>
  <c r="CJ255" i="1"/>
  <c r="CJ257" i="1"/>
  <c r="X39" i="1"/>
  <c r="X28" i="1"/>
  <c r="CJ168" i="1"/>
  <c r="CJ176" i="1" s="1"/>
  <c r="CI142" i="1"/>
  <c r="CI145" i="1" s="1"/>
  <c r="CJ44" i="1" s="1"/>
  <c r="CO46" i="1"/>
  <c r="Y209" i="1"/>
  <c r="CK51" i="1"/>
  <c r="CK52" i="1"/>
  <c r="Y29" i="1"/>
  <c r="Y39" i="1"/>
  <c r="Y28" i="1"/>
  <c r="CH259" i="1"/>
  <c r="CH140" i="1"/>
  <c r="Z149" i="1"/>
  <c r="Z44" i="1"/>
  <c r="Z29" i="1"/>
  <c r="Z28" i="1"/>
  <c r="Z39" i="1"/>
  <c r="CK114" i="1"/>
  <c r="CK118" i="1"/>
  <c r="CU144" i="1"/>
  <c r="CV144" i="1" s="1"/>
  <c r="CW144" i="1" s="1"/>
  <c r="CX144" i="1" s="1"/>
  <c r="AC144" i="1"/>
  <c r="X255" i="1"/>
  <c r="X257" i="1"/>
  <c r="X176" i="1"/>
  <c r="X177" i="1" s="1"/>
  <c r="Y214" i="1"/>
  <c r="Y212" i="1" s="1"/>
  <c r="CH107" i="1"/>
  <c r="CG39" i="1"/>
  <c r="CK41" i="1" s="1"/>
  <c r="CG28" i="1"/>
  <c r="CK196" i="1"/>
  <c r="Y195" i="1"/>
  <c r="Y197" i="1"/>
  <c r="CI196" i="1"/>
  <c r="CI163" i="1"/>
  <c r="CM151" i="1"/>
  <c r="Y177" i="1"/>
  <c r="CH106" i="1"/>
  <c r="CI30" i="1"/>
  <c r="CH28" i="1"/>
  <c r="X195" i="1"/>
  <c r="X197" i="1"/>
  <c r="CM136" i="1"/>
  <c r="CJ30" i="1"/>
  <c r="CJ39" i="1"/>
  <c r="CK42" i="1" s="1"/>
  <c r="CJ28" i="1"/>
  <c r="CK217" i="1"/>
  <c r="CK260" i="1"/>
  <c r="CH39" i="1"/>
  <c r="CL41" i="1" s="1"/>
  <c r="CH30" i="1"/>
  <c r="CI48" i="1"/>
  <c r="CH120" i="1"/>
  <c r="CI44" i="1"/>
  <c r="CH149" i="1"/>
  <c r="CM38" i="1"/>
  <c r="CJ119" i="1"/>
  <c r="CJ115" i="1"/>
  <c r="CH119" i="1"/>
  <c r="CI118" i="1"/>
  <c r="CH118" i="1"/>
  <c r="CI119" i="1"/>
  <c r="CJ118" i="1"/>
  <c r="CJ114" i="1"/>
  <c r="CN191" i="1"/>
  <c r="CO135" i="1"/>
  <c r="CN194" i="1"/>
  <c r="CN190" i="1"/>
  <c r="CY128" i="1"/>
  <c r="CY174" i="1"/>
  <c r="CL200" i="1" l="1"/>
  <c r="Z209" i="1"/>
  <c r="CJ192" i="1"/>
  <c r="CK192" i="1" s="1"/>
  <c r="CJ197" i="1"/>
  <c r="Z197" i="1"/>
  <c r="AA200" i="1" s="1"/>
  <c r="AA201" i="1" s="1"/>
  <c r="Z195" i="1"/>
  <c r="CI193" i="1"/>
  <c r="CI157" i="1"/>
  <c r="Z214" i="1"/>
  <c r="Z212" i="1" s="1"/>
  <c r="AA214" i="1"/>
  <c r="AA212" i="1" s="1"/>
  <c r="AA41" i="1"/>
  <c r="AA261" i="1"/>
  <c r="AA262" i="1" s="1"/>
  <c r="CL262" i="1"/>
  <c r="CL114" i="1"/>
  <c r="CL118" i="1"/>
  <c r="CL121" i="1" s="1"/>
  <c r="CL106" i="1"/>
  <c r="CL115" i="1"/>
  <c r="CL119" i="1"/>
  <c r="CL122" i="1" s="1"/>
  <c r="CL107" i="1"/>
  <c r="CL123" i="1"/>
  <c r="CL237" i="1"/>
  <c r="CJ177" i="1"/>
  <c r="CK115" i="1"/>
  <c r="CK119" i="1"/>
  <c r="Z200" i="1"/>
  <c r="Z201" i="1" s="1"/>
  <c r="CI45" i="1"/>
  <c r="CI243" i="1"/>
  <c r="CI244" i="1" s="1"/>
  <c r="CI40" i="1"/>
  <c r="CL51" i="1"/>
  <c r="CL52" i="1"/>
  <c r="CL125" i="1"/>
  <c r="CJ105" i="1"/>
  <c r="CJ107" i="1"/>
  <c r="CJ106" i="1"/>
  <c r="X243" i="1"/>
  <c r="X244" i="1" s="1"/>
  <c r="X45" i="1"/>
  <c r="X123" i="1"/>
  <c r="X40" i="1"/>
  <c r="CI149" i="1"/>
  <c r="CP46" i="1"/>
  <c r="CK53" i="1"/>
  <c r="CK59" i="1"/>
  <c r="Y261" i="1"/>
  <c r="Y262" i="1" s="1"/>
  <c r="Y41" i="1"/>
  <c r="Y123" i="1"/>
  <c r="Y45" i="1"/>
  <c r="Y66" i="1" s="1"/>
  <c r="Y40" i="1"/>
  <c r="Y243" i="1"/>
  <c r="Y244" i="1" s="1"/>
  <c r="Z41" i="1"/>
  <c r="Z176" i="1"/>
  <c r="Z177" i="1" s="1"/>
  <c r="Z257" i="1"/>
  <c r="Z255" i="1"/>
  <c r="Z261" i="1"/>
  <c r="Z262" i="1" s="1"/>
  <c r="Z45" i="1"/>
  <c r="Z123" i="1"/>
  <c r="Z40" i="1"/>
  <c r="Z243" i="1"/>
  <c r="Z244" i="1" s="1"/>
  <c r="CI261" i="1"/>
  <c r="CI262" i="1" s="1"/>
  <c r="CK123" i="1"/>
  <c r="CM28" i="1"/>
  <c r="CG40" i="1"/>
  <c r="CG45" i="1"/>
  <c r="CG49" i="1" s="1"/>
  <c r="CG243" i="1"/>
  <c r="CG244" i="1" s="1"/>
  <c r="Y200" i="1"/>
  <c r="Y201" i="1" s="1"/>
  <c r="CY144" i="1"/>
  <c r="CZ144" i="1" s="1"/>
  <c r="DA144" i="1" s="1"/>
  <c r="DB144" i="1" s="1"/>
  <c r="AE144" i="1" s="1"/>
  <c r="AD144" i="1"/>
  <c r="CM213" i="1"/>
  <c r="CN151" i="1"/>
  <c r="CM195" i="1"/>
  <c r="CJ42" i="1"/>
  <c r="CJ261" i="1"/>
  <c r="CJ262" i="1" s="1"/>
  <c r="CJ243" i="1"/>
  <c r="CJ244" i="1" s="1"/>
  <c r="CH40" i="1"/>
  <c r="CH45" i="1"/>
  <c r="CH49" i="1" s="1"/>
  <c r="CH42" i="1"/>
  <c r="CH261" i="1"/>
  <c r="CI42" i="1"/>
  <c r="CH243" i="1"/>
  <c r="CH244" i="1" s="1"/>
  <c r="CJ237" i="1"/>
  <c r="CJ123" i="1"/>
  <c r="CJ40" i="1"/>
  <c r="CJ45" i="1"/>
  <c r="CN136" i="1"/>
  <c r="CM139" i="1"/>
  <c r="CM260" i="1" s="1"/>
  <c r="CH121" i="1"/>
  <c r="CH122" i="1"/>
  <c r="CK205" i="1"/>
  <c r="CK143" i="1"/>
  <c r="CH257" i="1"/>
  <c r="CH176" i="1"/>
  <c r="CH177" i="1" s="1"/>
  <c r="CN38" i="1"/>
  <c r="CO38" i="1" s="1"/>
  <c r="CP135" i="1"/>
  <c r="CO190" i="1"/>
  <c r="CO191" i="1"/>
  <c r="CO194" i="1"/>
  <c r="CZ174" i="1"/>
  <c r="CZ128" i="1"/>
  <c r="CM56" i="1"/>
  <c r="CN56" i="1" s="1"/>
  <c r="CO56" i="1" s="1"/>
  <c r="CP56" i="1" s="1"/>
  <c r="CQ56" i="1" s="1"/>
  <c r="CR56" i="1" s="1"/>
  <c r="CS56" i="1" s="1"/>
  <c r="CT56" i="1" s="1"/>
  <c r="CU56" i="1" s="1"/>
  <c r="CM57" i="1"/>
  <c r="CL124" i="1" l="1"/>
  <c r="CK193" i="1"/>
  <c r="CK197" i="1" s="1"/>
  <c r="AA221" i="1"/>
  <c r="AA222" i="1" s="1"/>
  <c r="AA224" i="1"/>
  <c r="CI49" i="1"/>
  <c r="CI52" i="1"/>
  <c r="CI51" i="1"/>
  <c r="Z66" i="1"/>
  <c r="Z49" i="1"/>
  <c r="CJ49" i="1"/>
  <c r="CL66" i="1"/>
  <c r="CL55" i="1"/>
  <c r="CL59" i="1"/>
  <c r="CL53" i="1"/>
  <c r="CL256" i="1" s="1"/>
  <c r="CL245" i="1"/>
  <c r="X49" i="1"/>
  <c r="X66" i="1"/>
  <c r="CJ214" i="1"/>
  <c r="CJ212" i="1" s="1"/>
  <c r="CI214" i="1"/>
  <c r="CI212" i="1" s="1"/>
  <c r="CK145" i="1"/>
  <c r="CL143" i="1"/>
  <c r="CL142" i="1" s="1"/>
  <c r="Y49" i="1"/>
  <c r="CQ46" i="1"/>
  <c r="CK63" i="1"/>
  <c r="CK77" i="1"/>
  <c r="CG52" i="1"/>
  <c r="CK54" i="1" s="1"/>
  <c r="CG51" i="1"/>
  <c r="CH52" i="1"/>
  <c r="CL54" i="1" s="1"/>
  <c r="CH51" i="1"/>
  <c r="CN213" i="1"/>
  <c r="CO151" i="1"/>
  <c r="CN195" i="1"/>
  <c r="CM196" i="1"/>
  <c r="CM192" i="1"/>
  <c r="CO136" i="1"/>
  <c r="CN139" i="1"/>
  <c r="CN260" i="1" s="1"/>
  <c r="CM217" i="1"/>
  <c r="CP38" i="1"/>
  <c r="CQ38" i="1" s="1"/>
  <c r="CR38" i="1" s="1"/>
  <c r="CS38" i="1" s="1"/>
  <c r="CN28" i="1"/>
  <c r="CP194" i="1"/>
  <c r="CP191" i="1"/>
  <c r="CP190" i="1"/>
  <c r="CQ135" i="1"/>
  <c r="DA128" i="1"/>
  <c r="DA174" i="1"/>
  <c r="CE76" i="1"/>
  <c r="AB56" i="1"/>
  <c r="CI53" i="1"/>
  <c r="CI256" i="1" s="1"/>
  <c r="AC56" i="1"/>
  <c r="CV56" i="1"/>
  <c r="CW56" i="1" s="1"/>
  <c r="CX56" i="1" s="1"/>
  <c r="CY56" i="1" s="1"/>
  <c r="AB46" i="1"/>
  <c r="CN57" i="1"/>
  <c r="CO57" i="1" s="1"/>
  <c r="CP57" i="1" s="1"/>
  <c r="CQ57" i="1" s="1"/>
  <c r="CJ52" i="1" l="1"/>
  <c r="CJ51" i="1"/>
  <c r="CI245" i="1"/>
  <c r="CI59" i="1"/>
  <c r="Z52" i="1"/>
  <c r="AA54" i="1" s="1"/>
  <c r="Z51" i="1"/>
  <c r="X51" i="1"/>
  <c r="X52" i="1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CK149" i="1"/>
  <c r="Y51" i="1"/>
  <c r="Y52" i="1"/>
  <c r="CL204" i="1"/>
  <c r="CL206" i="1" s="1"/>
  <c r="CL77" i="1"/>
  <c r="CL63" i="1"/>
  <c r="CM142" i="1"/>
  <c r="CN142" i="1" s="1"/>
  <c r="CO142" i="1" s="1"/>
  <c r="CP142" i="1" s="1"/>
  <c r="CJ245" i="1"/>
  <c r="CL238" i="1"/>
  <c r="CK214" i="1"/>
  <c r="CK212" i="1" s="1"/>
  <c r="CL214" i="1"/>
  <c r="CL212" i="1" s="1"/>
  <c r="CI130" i="1"/>
  <c r="CJ59" i="1"/>
  <c r="CL65" i="1" s="1"/>
  <c r="CM51" i="1"/>
  <c r="CN51" i="1" s="1"/>
  <c r="CR46" i="1"/>
  <c r="CJ55" i="1"/>
  <c r="CJ238" i="1"/>
  <c r="CJ53" i="1"/>
  <c r="CJ256" i="1" s="1"/>
  <c r="CK55" i="1"/>
  <c r="CO213" i="1"/>
  <c r="CP151" i="1"/>
  <c r="CP213" i="1" s="1"/>
  <c r="CG53" i="1"/>
  <c r="CG256" i="1" s="1"/>
  <c r="CG245" i="1"/>
  <c r="CG59" i="1"/>
  <c r="CG204" i="1" s="1"/>
  <c r="CG206" i="1" s="1"/>
  <c r="CH55" i="1"/>
  <c r="CI55" i="1"/>
  <c r="CH59" i="1"/>
  <c r="CH204" i="1" s="1"/>
  <c r="CH206" i="1" s="1"/>
  <c r="CH53" i="1"/>
  <c r="CH256" i="1" s="1"/>
  <c r="CH245" i="1"/>
  <c r="CN196" i="1"/>
  <c r="CO195" i="1"/>
  <c r="CM193" i="1"/>
  <c r="CM197" i="1" s="1"/>
  <c r="CN192" i="1"/>
  <c r="CP136" i="1"/>
  <c r="CO139" i="1"/>
  <c r="CO260" i="1" s="1"/>
  <c r="CN217" i="1"/>
  <c r="X245" i="1"/>
  <c r="X53" i="1"/>
  <c r="X256" i="1" s="1"/>
  <c r="Y54" i="1"/>
  <c r="X59" i="1"/>
  <c r="Y245" i="1"/>
  <c r="Z54" i="1"/>
  <c r="Y53" i="1"/>
  <c r="Y256" i="1" s="1"/>
  <c r="Y59" i="1"/>
  <c r="Z59" i="1"/>
  <c r="Z53" i="1"/>
  <c r="Z256" i="1" s="1"/>
  <c r="Z245" i="1"/>
  <c r="CO28" i="1"/>
  <c r="CP28" i="1" s="1"/>
  <c r="CT38" i="1"/>
  <c r="CB76" i="1"/>
  <c r="BL76" i="1"/>
  <c r="CR135" i="1"/>
  <c r="CQ190" i="1"/>
  <c r="CQ194" i="1"/>
  <c r="CC76" i="1"/>
  <c r="CQ191" i="1"/>
  <c r="DB128" i="1"/>
  <c r="DB174" i="1"/>
  <c r="AL76" i="1"/>
  <c r="CF76" i="1"/>
  <c r="CD76" i="1"/>
  <c r="BY76" i="1"/>
  <c r="BZ76" i="1"/>
  <c r="CA76" i="1"/>
  <c r="CJ77" i="1"/>
  <c r="CJ204" i="1"/>
  <c r="CJ206" i="1" s="1"/>
  <c r="CJ63" i="1"/>
  <c r="CI131" i="1"/>
  <c r="CI63" i="1"/>
  <c r="CI77" i="1"/>
  <c r="CI204" i="1"/>
  <c r="CI206" i="1" s="1"/>
  <c r="CG63" i="1"/>
  <c r="AD56" i="1"/>
  <c r="AB57" i="1"/>
  <c r="CZ56" i="1"/>
  <c r="DA56" i="1" s="1"/>
  <c r="DB56" i="1" s="1"/>
  <c r="AE56" i="1" s="1"/>
  <c r="CR57" i="1"/>
  <c r="CS57" i="1" s="1"/>
  <c r="CT57" i="1" s="1"/>
  <c r="CU57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T34" i="3"/>
  <c r="AS42" i="3"/>
  <c r="EP5" i="4" a="1"/>
  <c r="EN14" i="4" a="1"/>
  <c r="EW12" i="4" a="1"/>
  <c r="EU15" i="4" a="1"/>
  <c r="EV5" i="4" a="1"/>
  <c r="AW20" i="3"/>
  <c r="AV34" i="3"/>
  <c r="J5" i="6" a="1"/>
  <c r="AX18" i="3"/>
  <c r="ES9" i="4" a="1"/>
  <c r="AZ17" i="3"/>
  <c r="AX20" i="3"/>
  <c r="EM6" i="4" a="1"/>
  <c r="EP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X6" i="6" a="1"/>
  <c r="ER13" i="4" a="1"/>
  <c r="EQ5" i="4" a="1"/>
  <c r="EU16" i="4" a="1"/>
  <c r="EO13" i="4" a="1"/>
  <c r="EL7" i="4" a="1"/>
  <c r="ES11" i="4" a="1"/>
  <c r="AS9" i="3"/>
  <c r="G5" i="6" a="1"/>
  <c r="AS16" i="3"/>
  <c r="AC6" i="6" a="1"/>
  <c r="Y5" i="6" a="1"/>
  <c r="AX41" i="3"/>
  <c r="AZ21" i="3"/>
  <c r="AZ15" i="3"/>
  <c r="AW29" i="3"/>
  <c r="AS11" i="3"/>
  <c r="ER6" i="4" a="1"/>
  <c r="ET15" i="4" a="1"/>
  <c r="EW9" i="4" a="1"/>
  <c r="EM7" i="4" a="1"/>
  <c r="ET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EV6" i="4" a="1"/>
  <c r="EP7" i="4" a="1"/>
  <c r="EM16" i="4" a="1"/>
  <c r="EP6" i="4" a="1"/>
  <c r="ER15" i="4" a="1"/>
  <c r="EU5" i="4" a="1"/>
  <c r="AY40" i="3"/>
  <c r="O6" i="6" a="1"/>
  <c r="I5" i="6" a="1"/>
  <c r="AW21" i="3"/>
  <c r="AS5" i="6" a="1"/>
  <c r="AT33" i="3"/>
  <c r="EV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S14" i="4" a="1"/>
  <c r="ET5" i="4" a="1"/>
  <c r="EP14" i="4" a="1"/>
  <c r="EN13" i="4" a="1"/>
  <c r="AF38" i="3"/>
  <c r="EQ6" i="4" a="1"/>
  <c r="AU28" i="3"/>
  <c r="AM6" i="6" a="1"/>
  <c r="AT26" i="3"/>
  <c r="AX5" i="6" a="1"/>
  <c r="AX13" i="3"/>
  <c r="EU7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EU13" i="4" a="1"/>
  <c r="EW7" i="4" a="1"/>
  <c r="EV14" i="4" a="1"/>
  <c r="EW11" i="4" a="1"/>
  <c r="EU6" i="4" a="1"/>
  <c r="EM8" i="4" a="1"/>
  <c r="AU25" i="3"/>
  <c r="AI6" i="6" a="1"/>
  <c r="AS45" i="3"/>
  <c r="Z6" i="6" a="1"/>
  <c r="AZ5" i="3"/>
  <c r="AV35" i="3"/>
  <c r="AF15" i="3"/>
  <c r="D5" i="6" a="1"/>
  <c r="EQ7" i="4" a="1"/>
  <c r="AF19" i="3"/>
  <c r="AX26" i="3"/>
  <c r="AF45" i="3"/>
  <c r="AX31" i="3"/>
  <c r="M6" i="6" a="1"/>
  <c r="AS28" i="3"/>
  <c r="AW15" i="3"/>
  <c r="EL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E5" i="6" a="1"/>
  <c r="AD5" i="6" a="1"/>
  <c r="T6" i="6" a="1"/>
  <c r="AL6" i="6" a="1"/>
  <c r="AW24" i="3"/>
  <c r="M5" i="6" a="1"/>
  <c r="AZ13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Y9" i="3"/>
  <c r="AV9" i="3"/>
  <c r="AS33" i="3"/>
  <c r="AU14" i="3"/>
  <c r="AW18" i="3"/>
  <c r="AT12" i="3"/>
  <c r="AX14" i="3"/>
  <c r="AV19" i="3"/>
  <c r="AX37" i="3"/>
  <c r="AS21" i="3"/>
  <c r="AR5" i="6" a="1"/>
  <c r="EW16" i="4" a="1"/>
  <c r="C6" i="4" a="1"/>
  <c r="EU11" i="4" a="1"/>
  <c r="EL8" i="4" a="1"/>
  <c r="EN9" i="4" a="1"/>
  <c r="EN12" i="4" a="1"/>
  <c r="AT7" i="3"/>
  <c r="AU17" i="3"/>
  <c r="AL5" i="6" a="1"/>
  <c r="AX23" i="3"/>
  <c r="AW31" i="3"/>
  <c r="AV7" i="3"/>
  <c r="AN5" i="6" a="1"/>
  <c r="AS31" i="3"/>
  <c r="EN5" i="4" a="1"/>
  <c r="ET6" i="4" a="1"/>
  <c r="EW8" i="4" a="1"/>
  <c r="EN6" i="4" a="1"/>
  <c r="EO8" i="4" a="1"/>
  <c r="EO15" i="4" a="1"/>
  <c r="EW6" i="4" a="1"/>
  <c r="AV11" i="3"/>
  <c r="AW40" i="3"/>
  <c r="AT17" i="3"/>
  <c r="AX32" i="3"/>
  <c r="AF37" i="3"/>
  <c r="AU20" i="3"/>
  <c r="AV18" i="3"/>
  <c r="AF42" i="3"/>
  <c r="F46" i="3"/>
  <c r="AZ25" i="3"/>
  <c r="ES5" i="4" a="1"/>
  <c r="ER7" i="4" a="1"/>
  <c r="EL12" i="4" a="1"/>
  <c r="EV11" i="4" a="1"/>
  <c r="EO6" i="4" a="1"/>
  <c r="EQ8" i="4" a="1"/>
  <c r="ER12" i="4" a="1"/>
  <c r="EW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AY24" i="3"/>
  <c r="AV42" i="3"/>
  <c r="AZ42" i="3"/>
  <c r="C5" i="6" a="1"/>
  <c r="AR6" i="6" a="1"/>
  <c r="AZ8" i="3"/>
  <c r="AV46" i="3"/>
  <c r="AS23" i="3"/>
  <c r="AT19" i="3"/>
  <c r="AY39" i="3"/>
  <c r="ER14" i="4" a="1"/>
  <c r="AT8" i="3"/>
  <c r="AB6" i="6" a="1"/>
  <c r="AZ22" i="3"/>
  <c r="AX34" i="3"/>
  <c r="AF24" i="3"/>
  <c r="AY5" i="6" a="1"/>
  <c r="AU45" i="3"/>
  <c r="EO12" i="4" a="1"/>
  <c r="EP11" i="4" a="1"/>
  <c r="ES12" i="4" a="1"/>
  <c r="EL13" i="4" a="1"/>
  <c r="ES13" i="4" a="1"/>
  <c r="ES8" i="4" a="1"/>
  <c r="ET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CQ142" i="1" l="1"/>
  <c r="CR142" i="1" s="1"/>
  <c r="CS142" i="1" s="1"/>
  <c r="CT142" i="1" s="1"/>
  <c r="AB142" i="1"/>
  <c r="CL80" i="1"/>
  <c r="CG77" i="1"/>
  <c r="CH63" i="1"/>
  <c r="CH77" i="1"/>
  <c r="CK80" i="1" s="1"/>
  <c r="CQ151" i="1"/>
  <c r="CQ213" i="1" s="1"/>
  <c r="CS46" i="1"/>
  <c r="CK98" i="1"/>
  <c r="CK97" i="1"/>
  <c r="CJ65" i="1"/>
  <c r="CP195" i="1"/>
  <c r="CO196" i="1"/>
  <c r="CN193" i="1"/>
  <c r="CN197" i="1" s="1"/>
  <c r="CO192" i="1"/>
  <c r="CQ136" i="1"/>
  <c r="CP139" i="1"/>
  <c r="CP260" i="1" s="1"/>
  <c r="CO217" i="1"/>
  <c r="BY33" i="1"/>
  <c r="CA20" i="1"/>
  <c r="CE33" i="1"/>
  <c r="CA33" i="1"/>
  <c r="CF33" i="1"/>
  <c r="CD33" i="1"/>
  <c r="BZ33" i="1"/>
  <c r="BL33" i="1"/>
  <c r="CC33" i="1"/>
  <c r="CB33" i="1"/>
  <c r="CF20" i="1"/>
  <c r="CD20" i="1"/>
  <c r="BY20" i="1"/>
  <c r="CE20" i="1"/>
  <c r="BZ20" i="1"/>
  <c r="CC20" i="1"/>
  <c r="CB20" i="1"/>
  <c r="BL20" i="1"/>
  <c r="Y204" i="1"/>
  <c r="Y206" i="1" s="1"/>
  <c r="Y210" i="1" s="1"/>
  <c r="Y224" i="1" s="1"/>
  <c r="Y218" i="1"/>
  <c r="Y216" i="1" s="1"/>
  <c r="Y65" i="1"/>
  <c r="Y63" i="1"/>
  <c r="X204" i="1"/>
  <c r="X206" i="1" s="1"/>
  <c r="X63" i="1"/>
  <c r="X65" i="1"/>
  <c r="Z204" i="1"/>
  <c r="Z206" i="1" s="1"/>
  <c r="Z210" i="1" s="1"/>
  <c r="Z224" i="1" s="1"/>
  <c r="Z218" i="1"/>
  <c r="Z216" i="1" s="1"/>
  <c r="Z65" i="1"/>
  <c r="Z63" i="1"/>
  <c r="CD36" i="1"/>
  <c r="CC56" i="1"/>
  <c r="CA19" i="1"/>
  <c r="CA242" i="1" s="1"/>
  <c r="CD50" i="1"/>
  <c r="AH7" i="6" s="1"/>
  <c r="CD46" i="1"/>
  <c r="CF47" i="1"/>
  <c r="BY56" i="1"/>
  <c r="BL56" i="1"/>
  <c r="CD57" i="1"/>
  <c r="AV7" i="6" s="1"/>
  <c r="CB31" i="1"/>
  <c r="R7" i="6" s="1"/>
  <c r="X7" i="6" s="1"/>
  <c r="CD56" i="1"/>
  <c r="CD26" i="1"/>
  <c r="V7" i="6" s="1"/>
  <c r="BY26" i="1"/>
  <c r="CB19" i="1"/>
  <c r="CB242" i="1" s="1"/>
  <c r="BY62" i="1"/>
  <c r="BL19" i="1"/>
  <c r="AW7" i="6" s="1"/>
  <c r="BY32" i="1"/>
  <c r="CA24" i="1"/>
  <c r="CB34" i="1"/>
  <c r="BZ47" i="1"/>
  <c r="O7" i="6" s="1"/>
  <c r="BL58" i="1"/>
  <c r="AQ7" i="6" s="1"/>
  <c r="CF19" i="1"/>
  <c r="CF9" i="1" s="1"/>
  <c r="JJ9" i="4" s="1"/>
  <c r="BY57" i="1"/>
  <c r="AM7" i="6" s="1"/>
  <c r="JM16" i="4" s="1"/>
  <c r="CF58" i="1"/>
  <c r="CA35" i="1"/>
  <c r="BL34" i="1"/>
  <c r="BL57" i="1"/>
  <c r="CF46" i="1"/>
  <c r="BL47" i="1"/>
  <c r="BZ56" i="1"/>
  <c r="CC36" i="1"/>
  <c r="CC32" i="1"/>
  <c r="JM9" i="4" s="1"/>
  <c r="CA32" i="1"/>
  <c r="JL16" i="4" s="1"/>
  <c r="BZ35" i="1"/>
  <c r="CB32" i="1"/>
  <c r="CC24" i="1"/>
  <c r="JK16" i="4" s="1"/>
  <c r="CA62" i="1"/>
  <c r="BZ25" i="1"/>
  <c r="CE26" i="1"/>
  <c r="CC25" i="1"/>
  <c r="C7" i="6" s="1"/>
  <c r="T7" i="6" s="1"/>
  <c r="BY35" i="1"/>
  <c r="CC57" i="1"/>
  <c r="CC19" i="1"/>
  <c r="CC242" i="1" s="1"/>
  <c r="CB46" i="1"/>
  <c r="JL9" i="4" s="1"/>
  <c r="CF50" i="1"/>
  <c r="AL7" i="6" s="1"/>
  <c r="BZ43" i="1"/>
  <c r="BZ205" i="1" s="1"/>
  <c r="BZ46" i="1"/>
  <c r="J7" i="6" s="1"/>
  <c r="BY58" i="1"/>
  <c r="Z7" i="6" s="1"/>
  <c r="BL31" i="1"/>
  <c r="CF24" i="1"/>
  <c r="CF34" i="1"/>
  <c r="BZ24" i="1"/>
  <c r="CA26" i="1"/>
  <c r="CD25" i="1"/>
  <c r="BL32" i="1"/>
  <c r="BY25" i="1"/>
  <c r="CE43" i="1"/>
  <c r="CE205" i="1" s="1"/>
  <c r="AD7" i="6" s="1"/>
  <c r="CF36" i="1"/>
  <c r="CE31" i="1"/>
  <c r="CA58" i="1"/>
  <c r="CD47" i="1"/>
  <c r="CB35" i="1"/>
  <c r="CD58" i="1"/>
  <c r="AP7" i="6" s="1"/>
  <c r="Y7" i="6" s="1"/>
  <c r="CA36" i="1"/>
  <c r="AA7" i="6" s="1"/>
  <c r="AJ7" i="6" s="1"/>
  <c r="BY19" i="1"/>
  <c r="BY34" i="1"/>
  <c r="CB50" i="1"/>
  <c r="CE36" i="1"/>
  <c r="I7" i="6" s="1"/>
  <c r="AK7" i="6" s="1"/>
  <c r="CE25" i="1"/>
  <c r="K7" i="6" s="1"/>
  <c r="F7" i="6" s="1"/>
  <c r="CB56" i="1"/>
  <c r="CF35" i="1"/>
  <c r="AC7" i="6" s="1"/>
  <c r="AE7" i="6" s="1"/>
  <c r="M7" i="6" s="1"/>
  <c r="Q7" i="6" s="1"/>
  <c r="CA57" i="1"/>
  <c r="BZ57" i="1"/>
  <c r="CA47" i="1"/>
  <c r="CF57" i="1"/>
  <c r="AU7" i="6" s="1"/>
  <c r="BL26" i="1"/>
  <c r="CE35" i="1"/>
  <c r="CB43" i="1"/>
  <c r="CB205" i="1" s="1"/>
  <c r="CC58" i="1"/>
  <c r="CC62" i="1"/>
  <c r="AX7" i="6" s="1"/>
  <c r="BZ34" i="1"/>
  <c r="AT7" i="6" s="1"/>
  <c r="S7" i="6" s="1"/>
  <c r="BY24" i="1"/>
  <c r="CE46" i="1"/>
  <c r="CA56" i="1"/>
  <c r="CB58" i="1"/>
  <c r="CA46" i="1"/>
  <c r="CF62" i="1"/>
  <c r="CF32" i="1"/>
  <c r="CA31" i="1"/>
  <c r="AN7" i="6" s="1"/>
  <c r="CE57" i="1"/>
  <c r="CC26" i="1"/>
  <c r="CE62" i="1"/>
  <c r="CF26" i="1"/>
  <c r="G7" i="6" s="1"/>
  <c r="BL43" i="1"/>
  <c r="AF7" i="6" s="1"/>
  <c r="CC31" i="1"/>
  <c r="CD31" i="1"/>
  <c r="JJ16" i="4" s="1"/>
  <c r="BY36" i="1"/>
  <c r="CB57" i="1"/>
  <c r="CE19" i="1"/>
  <c r="CE9" i="1" s="1"/>
  <c r="AB7" i="6" s="1"/>
  <c r="BL25" i="1"/>
  <c r="CD62" i="1"/>
  <c r="BY31" i="1"/>
  <c r="BZ26" i="1"/>
  <c r="CD32" i="1"/>
  <c r="L7" i="6" s="1"/>
  <c r="BL50" i="1"/>
  <c r="BZ19" i="1"/>
  <c r="BZ242" i="1" s="1"/>
  <c r="CA43" i="1"/>
  <c r="BZ50" i="1"/>
  <c r="BY43" i="1"/>
  <c r="BY205" i="1" s="1"/>
  <c r="AI7" i="6" s="1"/>
  <c r="CC50" i="1"/>
  <c r="D7" i="6" s="1"/>
  <c r="BZ32" i="1"/>
  <c r="AG7" i="6" s="1"/>
  <c r="BZ31" i="1"/>
  <c r="BL62" i="1"/>
  <c r="W7" i="6" s="1"/>
  <c r="CB62" i="1"/>
  <c r="CE58" i="1"/>
  <c r="CF31" i="1"/>
  <c r="CC34" i="1"/>
  <c r="CD34" i="1"/>
  <c r="CE24" i="1"/>
  <c r="BY46" i="1"/>
  <c r="CC46" i="1"/>
  <c r="BZ62" i="1"/>
  <c r="AS7" i="6" s="1"/>
  <c r="BZ58" i="1"/>
  <c r="CE47" i="1"/>
  <c r="CD24" i="1"/>
  <c r="BL46" i="1"/>
  <c r="CB25" i="1"/>
  <c r="CC43" i="1"/>
  <c r="CC205" i="1" s="1"/>
  <c r="BY50" i="1"/>
  <c r="H7" i="6" s="1"/>
  <c r="CA34" i="1"/>
  <c r="BZ36" i="1"/>
  <c r="CD19" i="1"/>
  <c r="AR7" i="6" s="1"/>
  <c r="CF25" i="1"/>
  <c r="BL24" i="1"/>
  <c r="BL35" i="1"/>
  <c r="JK9" i="4" s="1"/>
  <c r="AO7" i="6" s="1"/>
  <c r="CA50" i="1"/>
  <c r="BL36" i="1"/>
  <c r="CA25" i="1"/>
  <c r="CE56" i="1"/>
  <c r="CD35" i="1"/>
  <c r="P7" i="6" s="1"/>
  <c r="E7" i="6" s="1"/>
  <c r="U7" i="6" s="1"/>
  <c r="CC35" i="1"/>
  <c r="AY7" i="6" s="1"/>
  <c r="CD43" i="1"/>
  <c r="CB26" i="1"/>
  <c r="CC47" i="1"/>
  <c r="CB47" i="1"/>
  <c r="CE34" i="1"/>
  <c r="CE32" i="1"/>
  <c r="CF43" i="1"/>
  <c r="CF205" i="1" s="1"/>
  <c r="CB36" i="1"/>
  <c r="BY47" i="1"/>
  <c r="CF56" i="1"/>
  <c r="N7" i="6" s="1"/>
  <c r="CO51" i="1"/>
  <c r="CP51" i="1" s="1"/>
  <c r="CU38" i="1"/>
  <c r="CQ28" i="1"/>
  <c r="CI140" i="1"/>
  <c r="CI103" i="1"/>
  <c r="CS135" i="1"/>
  <c r="CR191" i="1"/>
  <c r="CR194" i="1"/>
  <c r="CR190" i="1"/>
  <c r="CJ80" i="1"/>
  <c r="CJ218" i="1"/>
  <c r="CJ216" i="1" s="1"/>
  <c r="CJ66" i="1"/>
  <c r="CI218" i="1"/>
  <c r="CI216" i="1" s="1"/>
  <c r="AC57" i="1"/>
  <c r="CV57" i="1"/>
  <c r="CW57" i="1" s="1"/>
  <c r="CX57" i="1" s="1"/>
  <c r="CY57" i="1" s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87" i="3"/>
  <c r="C70" i="3"/>
  <c r="AZ61" i="3"/>
  <c r="AW69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58" i="3"/>
  <c r="C93" i="3"/>
  <c r="AX49" i="3"/>
  <c r="AZ84" i="3"/>
  <c r="AX69" i="3"/>
  <c r="C5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V49" i="3"/>
  <c r="AV90" i="3"/>
  <c r="C80" i="3"/>
  <c r="AF89" i="3"/>
  <c r="AY54" i="3"/>
  <c r="AW95" i="3"/>
  <c r="AY96" i="3"/>
  <c r="AU94" i="3"/>
  <c r="AF65" i="3"/>
  <c r="AU90" i="3"/>
  <c r="AT50" i="3"/>
  <c r="AF71" i="3"/>
  <c r="C59" i="3"/>
  <c r="AU61" i="3"/>
  <c r="AF82" i="3"/>
  <c r="AV95" i="3"/>
  <c r="AZ56" i="3"/>
  <c r="AZ48" i="3"/>
  <c r="AT85" i="3"/>
  <c r="AS61" i="3"/>
  <c r="AU49" i="3"/>
  <c r="AU83" i="3"/>
  <c r="AS59" i="3"/>
  <c r="AU65" i="3"/>
  <c r="C65" i="3"/>
  <c r="AU87" i="3"/>
  <c r="AF56" i="3"/>
  <c r="AV70" i="3"/>
  <c r="AY47" i="3"/>
  <c r="AU66" i="3"/>
  <c r="AY93" i="3"/>
  <c r="AW72" i="3"/>
  <c r="AS84" i="3"/>
  <c r="C66" i="3"/>
  <c r="AV74" i="3"/>
  <c r="AZ70" i="3"/>
  <c r="AT89" i="3"/>
  <c r="AX81" i="3"/>
  <c r="AU80" i="3"/>
  <c r="AX63" i="3"/>
  <c r="AY68" i="3"/>
  <c r="AV77" i="3"/>
  <c r="AY76" i="3"/>
  <c r="AY94" i="3"/>
  <c r="AF86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T64" i="3"/>
  <c r="C79" i="3"/>
  <c r="AW90" i="3"/>
  <c r="AV69" i="3"/>
  <c r="AY69" i="3"/>
  <c r="AZ96" i="3"/>
  <c r="AW68" i="3"/>
  <c r="C83" i="3"/>
  <c r="AV68" i="3"/>
  <c r="AF67" i="3"/>
  <c r="AT90" i="3"/>
  <c r="AU78" i="3"/>
  <c r="C73" i="3"/>
  <c r="AF63" i="3"/>
  <c r="AZ60" i="3"/>
  <c r="AT61" i="3"/>
  <c r="AF62" i="3"/>
  <c r="AX97" i="3"/>
  <c r="C95" i="3"/>
  <c r="AX72" i="3"/>
  <c r="AZ91" i="3"/>
  <c r="AF75" i="3"/>
  <c r="AY92" i="3"/>
  <c r="AF96" i="3"/>
  <c r="AX94" i="3"/>
  <c r="AV63" i="3"/>
  <c r="AF79" i="3"/>
  <c r="AS81" i="3"/>
  <c r="AU64" i="3"/>
  <c r="AX87" i="3"/>
  <c r="AY77" i="3"/>
  <c r="C63" i="3"/>
  <c r="AZ95" i="3"/>
  <c r="AW80" i="3"/>
  <c r="AV65" i="3"/>
  <c r="AT82" i="3"/>
  <c r="AS66" i="3"/>
  <c r="AT67" i="3"/>
  <c r="AX71" i="3"/>
  <c r="AY78" i="3"/>
  <c r="AW78" i="3"/>
  <c r="AU56" i="3"/>
  <c r="AF80" i="3"/>
  <c r="AS67" i="3"/>
  <c r="AW76" i="3"/>
  <c r="AT96" i="3"/>
  <c r="AW63" i="3"/>
  <c r="AT71" i="3"/>
  <c r="AX89" i="3"/>
  <c r="AV93" i="3"/>
  <c r="AS54" i="3"/>
  <c r="AZ72" i="3"/>
  <c r="AF73" i="3"/>
  <c r="C75" i="3"/>
  <c r="AV72" i="3"/>
  <c r="AZ58" i="3"/>
  <c r="AU68" i="3"/>
  <c r="AF97" i="3"/>
  <c r="C50" i="3"/>
  <c r="AV48" i="3"/>
  <c r="AU55" i="3"/>
  <c r="AY95" i="3"/>
  <c r="AZ77" i="3"/>
  <c r="AV96" i="3"/>
  <c r="AU75" i="3"/>
  <c r="AT54" i="3"/>
  <c r="AW50" i="3"/>
  <c r="AV94" i="3"/>
  <c r="AY59" i="3"/>
  <c r="AS62" i="3"/>
  <c r="AY91" i="3"/>
  <c r="C58" i="3"/>
  <c r="AX83" i="3"/>
  <c r="AS64" i="3"/>
  <c r="AX76" i="3"/>
  <c r="C86" i="3"/>
  <c r="AY88" i="3"/>
  <c r="AT76" i="3"/>
  <c r="AZ64" i="3"/>
  <c r="AF91" i="3"/>
  <c r="AV59" i="3"/>
  <c r="C85" i="3"/>
  <c r="AU60" i="3"/>
  <c r="AV88" i="3"/>
  <c r="AT87" i="3"/>
  <c r="AT59" i="3"/>
  <c r="AY55" i="3"/>
  <c r="AU7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C69" i="3"/>
  <c r="AS94" i="3"/>
  <c r="AX95" i="3"/>
  <c r="C71" i="3"/>
  <c r="AW73" i="3"/>
  <c r="AW81" i="3"/>
  <c r="AU93" i="3"/>
  <c r="AT94" i="3"/>
  <c r="AS96" i="3"/>
  <c r="AF84" i="3"/>
  <c r="AZ57" i="3"/>
  <c r="AW83" i="3"/>
  <c r="AZ81" i="3"/>
  <c r="AT93" i="3"/>
  <c r="AU76" i="3"/>
  <c r="AX86" i="3"/>
  <c r="AV79" i="3"/>
  <c r="AF70" i="3"/>
  <c r="C87" i="3"/>
  <c r="AY60" i="3"/>
  <c r="AX78" i="3"/>
  <c r="AY86" i="3"/>
  <c r="AX59" i="3"/>
  <c r="AT95" i="3"/>
  <c r="AV86" i="3"/>
  <c r="C92" i="3"/>
  <c r="AV80" i="3"/>
  <c r="AT55" i="3"/>
  <c r="C78" i="3"/>
  <c r="AZ65" i="3"/>
  <c r="AF94" i="3"/>
  <c r="AX92" i="3"/>
  <c r="AV47" i="3"/>
  <c r="AW60" i="3"/>
  <c r="AW70" i="3"/>
  <c r="AS58" i="3"/>
  <c r="AW75" i="3"/>
  <c r="AU95" i="3"/>
  <c r="AS83" i="3"/>
  <c r="AW96" i="3"/>
  <c r="AS73" i="3"/>
  <c r="AY71" i="3"/>
  <c r="AF4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T88" i="3"/>
  <c r="AX61" i="3"/>
  <c r="AY67" i="3"/>
  <c r="AV50" i="3"/>
  <c r="AY74" i="3"/>
  <c r="AZ54" i="3"/>
  <c r="AX84" i="3"/>
  <c r="AX74" i="3"/>
  <c r="AW89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C62" i="3"/>
  <c r="AX93" i="3"/>
  <c r="AS74" i="3"/>
  <c r="AU92" i="3"/>
  <c r="AY89" i="3"/>
  <c r="AY62" i="3"/>
  <c r="AS86" i="3"/>
  <c r="AX66" i="3"/>
  <c r="CK96" i="1" l="1"/>
  <c r="AC142" i="1"/>
  <c r="CU142" i="1"/>
  <c r="CV142" i="1" s="1"/>
  <c r="CW142" i="1" s="1"/>
  <c r="CX142" i="1" s="1"/>
  <c r="CL97" i="1"/>
  <c r="CL98" i="1"/>
  <c r="CR151" i="1"/>
  <c r="CD242" i="1"/>
  <c r="CD9" i="1"/>
  <c r="CT46" i="1"/>
  <c r="AC46" i="1" s="1"/>
  <c r="CQ195" i="1"/>
  <c r="CP196" i="1"/>
  <c r="CO193" i="1"/>
  <c r="CO197" i="1" s="1"/>
  <c r="CP192" i="1"/>
  <c r="CR136" i="1"/>
  <c r="CQ139" i="1"/>
  <c r="CQ260" i="1" s="1"/>
  <c r="CP217" i="1"/>
  <c r="BZ136" i="1"/>
  <c r="CA136" i="1" s="1"/>
  <c r="BL84" i="1"/>
  <c r="CF85" i="1"/>
  <c r="CB157" i="1"/>
  <c r="CC157" i="1" s="1"/>
  <c r="CD164" i="1"/>
  <c r="CD194" i="1" s="1"/>
  <c r="CE194" i="1" s="1"/>
  <c r="CB175" i="1"/>
  <c r="CC175" i="1" s="1"/>
  <c r="BL135" i="1"/>
  <c r="BM135" i="1" s="1"/>
  <c r="CD144" i="1"/>
  <c r="CD135" i="1"/>
  <c r="CE135" i="1" s="1"/>
  <c r="CF138" i="1"/>
  <c r="CG138" i="1" s="1"/>
  <c r="CB138" i="1"/>
  <c r="CC138" i="1" s="1"/>
  <c r="CB163" i="1"/>
  <c r="CC163" i="1" s="1"/>
  <c r="CB155" i="1"/>
  <c r="CB190" i="1" s="1"/>
  <c r="CC190" i="1" s="1"/>
  <c r="BZ164" i="1"/>
  <c r="BZ194" i="1" s="1"/>
  <c r="CA194" i="1" s="1"/>
  <c r="BZ175" i="1"/>
  <c r="CA175" i="1" s="1"/>
  <c r="BZ165" i="1"/>
  <c r="CA165" i="1" s="1"/>
  <c r="BZ171" i="1"/>
  <c r="BZ161" i="1"/>
  <c r="CA161" i="1" s="1"/>
  <c r="BZ143" i="1"/>
  <c r="BL156" i="1"/>
  <c r="BL191" i="1" s="1"/>
  <c r="BM191" i="1" s="1"/>
  <c r="BL164" i="1"/>
  <c r="BL194" i="1" s="1"/>
  <c r="BM194" i="1" s="1"/>
  <c r="BL133" i="1"/>
  <c r="BM133" i="1" s="1"/>
  <c r="CA84" i="1"/>
  <c r="CF84" i="1"/>
  <c r="CF157" i="1"/>
  <c r="CG157" i="1" s="1"/>
  <c r="CF144" i="1"/>
  <c r="CB85" i="1"/>
  <c r="CF155" i="1"/>
  <c r="CF190" i="1" s="1"/>
  <c r="CG190" i="1" s="1"/>
  <c r="CG155" i="1" s="1"/>
  <c r="CF133" i="1"/>
  <c r="CG133" i="1" s="1"/>
  <c r="CB160" i="1"/>
  <c r="CC160" i="1" s="1"/>
  <c r="CF175" i="1"/>
  <c r="CG175" i="1" s="1"/>
  <c r="CB136" i="1"/>
  <c r="CC136" i="1" s="1"/>
  <c r="CB174" i="1"/>
  <c r="CC174" i="1" s="1"/>
  <c r="CD85" i="1"/>
  <c r="CB170" i="1"/>
  <c r="CD156" i="1"/>
  <c r="CD191" i="1" s="1"/>
  <c r="CE191" i="1" s="1"/>
  <c r="CD133" i="1"/>
  <c r="CE133" i="1" s="1"/>
  <c r="BL136" i="1"/>
  <c r="CD142" i="1"/>
  <c r="CD162" i="1"/>
  <c r="CE162" i="1" s="1"/>
  <c r="CD170" i="1"/>
  <c r="CD153" i="1"/>
  <c r="CE153" i="1" s="1"/>
  <c r="CF151" i="1"/>
  <c r="CF137" i="1"/>
  <c r="CG137" i="1" s="1"/>
  <c r="CB153" i="1"/>
  <c r="CC153" i="1" s="1"/>
  <c r="BL165" i="1"/>
  <c r="BM165" i="1" s="1"/>
  <c r="BL174" i="1"/>
  <c r="BM174" i="1" s="1"/>
  <c r="BL175" i="1"/>
  <c r="CB137" i="1"/>
  <c r="CC137" i="1" s="1"/>
  <c r="CE85" i="1"/>
  <c r="BZ170" i="1"/>
  <c r="BZ174" i="1"/>
  <c r="CA174" i="1" s="1"/>
  <c r="BZ130" i="1"/>
  <c r="BZ138" i="1"/>
  <c r="CA138" i="1" s="1"/>
  <c r="CF156" i="1"/>
  <c r="CF191" i="1" s="1"/>
  <c r="CG191" i="1" s="1"/>
  <c r="CG156" i="1" s="1"/>
  <c r="CF143" i="1"/>
  <c r="CF160" i="1"/>
  <c r="CB130" i="1"/>
  <c r="CB156" i="1"/>
  <c r="CB191" i="1" s="1"/>
  <c r="CC191" i="1" s="1"/>
  <c r="CD171" i="1"/>
  <c r="CD163" i="1"/>
  <c r="CE163" i="1" s="1"/>
  <c r="CB84" i="1"/>
  <c r="BZ166" i="1"/>
  <c r="CA166" i="1" s="1"/>
  <c r="BZ144" i="1"/>
  <c r="BZ128" i="1"/>
  <c r="BZ158" i="1"/>
  <c r="CA158" i="1" s="1"/>
  <c r="BZ85" i="1"/>
  <c r="BZ135" i="1"/>
  <c r="CA135" i="1" s="1"/>
  <c r="BZ137" i="1"/>
  <c r="CA137" i="1" s="1"/>
  <c r="BZ153" i="1"/>
  <c r="CA153" i="1" s="1"/>
  <c r="BZ142" i="1"/>
  <c r="BL144" i="1"/>
  <c r="BL160" i="1"/>
  <c r="BM160" i="1" s="1"/>
  <c r="CF135" i="1"/>
  <c r="CF164" i="1"/>
  <c r="CF194" i="1" s="1"/>
  <c r="CG194" i="1" s="1"/>
  <c r="CG164" i="1" s="1"/>
  <c r="CD165" i="1"/>
  <c r="CE165" i="1" s="1"/>
  <c r="CF165" i="1"/>
  <c r="CG165" i="1" s="1"/>
  <c r="CB142" i="1"/>
  <c r="CB165" i="1"/>
  <c r="CC165" i="1" s="1"/>
  <c r="BY85" i="1"/>
  <c r="CD174" i="1"/>
  <c r="CE174" i="1" s="1"/>
  <c r="CD146" i="1"/>
  <c r="CE146" i="1" s="1"/>
  <c r="BL171" i="1"/>
  <c r="CB164" i="1"/>
  <c r="CB194" i="1" s="1"/>
  <c r="CC194" i="1" s="1"/>
  <c r="CB129" i="1"/>
  <c r="CC129" i="1" s="1"/>
  <c r="BL161" i="1"/>
  <c r="BM161" i="1" s="1"/>
  <c r="CD138" i="1"/>
  <c r="CE138" i="1" s="1"/>
  <c r="CD158" i="1"/>
  <c r="CE158" i="1" s="1"/>
  <c r="CD130" i="1"/>
  <c r="CD157" i="1"/>
  <c r="CE157" i="1" s="1"/>
  <c r="CD166" i="1"/>
  <c r="CE166" i="1" s="1"/>
  <c r="CD151" i="1"/>
  <c r="CE151" i="1" s="1"/>
  <c r="CF128" i="1"/>
  <c r="CF129" i="1"/>
  <c r="CG129" i="1" s="1"/>
  <c r="CF162" i="1"/>
  <c r="CG162" i="1" s="1"/>
  <c r="CF174" i="1"/>
  <c r="CG174" i="1" s="1"/>
  <c r="CB171" i="1"/>
  <c r="CB151" i="1"/>
  <c r="AI85" i="1"/>
  <c r="BL158" i="1"/>
  <c r="BM158" i="1" s="1"/>
  <c r="BL146" i="1"/>
  <c r="BM146" i="1" s="1"/>
  <c r="BL137" i="1"/>
  <c r="BM137" i="1" s="1"/>
  <c r="CB135" i="1"/>
  <c r="CC135" i="1" s="1"/>
  <c r="BL157" i="1"/>
  <c r="BM157" i="1" s="1"/>
  <c r="BZ146" i="1"/>
  <c r="CA146" i="1" s="1"/>
  <c r="BZ84" i="1"/>
  <c r="BL163" i="1"/>
  <c r="BM163" i="1" s="1"/>
  <c r="CB143" i="1"/>
  <c r="CF158" i="1"/>
  <c r="CG158" i="1" s="1"/>
  <c r="CB158" i="1"/>
  <c r="CC158" i="1" s="1"/>
  <c r="CD84" i="1"/>
  <c r="CC85" i="1"/>
  <c r="CD129" i="1"/>
  <c r="CE129" i="1" s="1"/>
  <c r="BL130" i="1"/>
  <c r="CD136" i="1"/>
  <c r="CE136" i="1" s="1"/>
  <c r="CF170" i="1"/>
  <c r="CF163" i="1"/>
  <c r="CG163" i="1" s="1"/>
  <c r="CE84" i="1"/>
  <c r="BZ156" i="1"/>
  <c r="BZ191" i="1" s="1"/>
  <c r="CA191" i="1" s="1"/>
  <c r="BZ133" i="1"/>
  <c r="CA133" i="1" s="1"/>
  <c r="BZ155" i="1"/>
  <c r="BZ190" i="1" s="1"/>
  <c r="CA190" i="1" s="1"/>
  <c r="BZ129" i="1"/>
  <c r="CA129" i="1" s="1"/>
  <c r="BZ160" i="1"/>
  <c r="BZ162" i="1"/>
  <c r="CA162" i="1" s="1"/>
  <c r="BZ157" i="1"/>
  <c r="CA157" i="1" s="1"/>
  <c r="BZ151" i="1"/>
  <c r="CA151" i="1" s="1"/>
  <c r="BZ163" i="1"/>
  <c r="CA163" i="1" s="1"/>
  <c r="BL166" i="1"/>
  <c r="BM166" i="1" s="1"/>
  <c r="BL155" i="1"/>
  <c r="BL190" i="1" s="1"/>
  <c r="BM190" i="1" s="1"/>
  <c r="BL142" i="1"/>
  <c r="BL143" i="1"/>
  <c r="CA85" i="1"/>
  <c r="CF166" i="1"/>
  <c r="CG166" i="1" s="1"/>
  <c r="CF161" i="1"/>
  <c r="CG161" i="1" s="1"/>
  <c r="CF171" i="1"/>
  <c r="CB128" i="1"/>
  <c r="CC128" i="1" s="1"/>
  <c r="CF142" i="1"/>
  <c r="CF130" i="1"/>
  <c r="CG130" i="1" s="1"/>
  <c r="CF136" i="1"/>
  <c r="CG136" i="1" s="1"/>
  <c r="CD137" i="1"/>
  <c r="CE137" i="1" s="1"/>
  <c r="CB166" i="1"/>
  <c r="CC166" i="1" s="1"/>
  <c r="CB146" i="1"/>
  <c r="CC146" i="1" s="1"/>
  <c r="CB162" i="1"/>
  <c r="CC162" i="1" s="1"/>
  <c r="CD128" i="1"/>
  <c r="BL151" i="1"/>
  <c r="CB144" i="1"/>
  <c r="BL138" i="1"/>
  <c r="BM138" i="1" s="1"/>
  <c r="CD143" i="1"/>
  <c r="CD155" i="1"/>
  <c r="CD190" i="1" s="1"/>
  <c r="CE190" i="1" s="1"/>
  <c r="CD161" i="1"/>
  <c r="CE161" i="1" s="1"/>
  <c r="CD160" i="1"/>
  <c r="CE160" i="1" s="1"/>
  <c r="CD175" i="1"/>
  <c r="CE175" i="1" s="1"/>
  <c r="CF146" i="1"/>
  <c r="CG146" i="1" s="1"/>
  <c r="CF153" i="1"/>
  <c r="CG153" i="1" s="1"/>
  <c r="CC84" i="1"/>
  <c r="CB161" i="1"/>
  <c r="CC161" i="1" s="1"/>
  <c r="CB133" i="1"/>
  <c r="CC133" i="1" s="1"/>
  <c r="BL170" i="1"/>
  <c r="BL128" i="1"/>
  <c r="BM128" i="1" s="1"/>
  <c r="BL162" i="1"/>
  <c r="BM162" i="1" s="1"/>
  <c r="BL153" i="1"/>
  <c r="BM153" i="1" s="1"/>
  <c r="BL129" i="1"/>
  <c r="BM129" i="1" s="1"/>
  <c r="BL264" i="1"/>
  <c r="CH109" i="1"/>
  <c r="CH110" i="1" s="1"/>
  <c r="CB148" i="1"/>
  <c r="CC148" i="1" s="1"/>
  <c r="CF148" i="1"/>
  <c r="CG148" i="1" s="1"/>
  <c r="CD148" i="1"/>
  <c r="CE148" i="1" s="1"/>
  <c r="BL148" i="1"/>
  <c r="BM148" i="1" s="1"/>
  <c r="BZ148" i="1"/>
  <c r="CA148" i="1" s="1"/>
  <c r="BL154" i="1"/>
  <c r="CD154" i="1"/>
  <c r="CB154" i="1"/>
  <c r="CF154" i="1"/>
  <c r="BZ154" i="1"/>
  <c r="CA263" i="1"/>
  <c r="JJ21" i="4"/>
  <c r="CD88" i="1" s="1"/>
  <c r="CA21" i="1"/>
  <c r="CA27" i="1" s="1"/>
  <c r="CA28" i="1" s="1"/>
  <c r="JK14" i="4"/>
  <c r="BL21" i="1"/>
  <c r="BL27" i="1" s="1"/>
  <c r="BY21" i="1"/>
  <c r="BY27" i="1" s="1"/>
  <c r="BL205" i="1"/>
  <c r="CF21" i="1"/>
  <c r="AA69" i="1" s="1"/>
  <c r="CF263" i="1"/>
  <c r="JL21" i="4"/>
  <c r="CF88" i="1" s="1"/>
  <c r="Y221" i="1"/>
  <c r="Y222" i="1" s="1"/>
  <c r="CF109" i="1"/>
  <c r="CF110" i="1" s="1"/>
  <c r="CB37" i="1"/>
  <c r="CE242" i="1"/>
  <c r="CC264" i="1"/>
  <c r="CA37" i="1"/>
  <c r="CE263" i="1"/>
  <c r="CC263" i="1"/>
  <c r="JM7" i="4"/>
  <c r="CA264" i="1"/>
  <c r="JJ8" i="4"/>
  <c r="Z221" i="1"/>
  <c r="Z222" i="1" s="1"/>
  <c r="CF37" i="1"/>
  <c r="BZ263" i="1"/>
  <c r="BZ21" i="1"/>
  <c r="CA205" i="1"/>
  <c r="CD264" i="1"/>
  <c r="CB109" i="1"/>
  <c r="CB110" i="1" s="1"/>
  <c r="JK21" i="4"/>
  <c r="CE88" i="1" s="1"/>
  <c r="JK15" i="4"/>
  <c r="CD263" i="1"/>
  <c r="JL14" i="4"/>
  <c r="CC37" i="1"/>
  <c r="BY37" i="1"/>
  <c r="CI109" i="1"/>
  <c r="CI110" i="1" s="1"/>
  <c r="CI113" i="1" s="1"/>
  <c r="CF242" i="1"/>
  <c r="BY264" i="1"/>
  <c r="JL8" i="4"/>
  <c r="CE37" i="1"/>
  <c r="BL263" i="1"/>
  <c r="CE109" i="1"/>
  <c r="CE110" i="1" s="1"/>
  <c r="CD21" i="1"/>
  <c r="CD27" i="1" s="1"/>
  <c r="CH29" i="1" s="1"/>
  <c r="CC21" i="1"/>
  <c r="CD205" i="1"/>
  <c r="CE21" i="1"/>
  <c r="CG109" i="1"/>
  <c r="CG110" i="1" s="1"/>
  <c r="CD109" i="1"/>
  <c r="CD110" i="1" s="1"/>
  <c r="CB21" i="1"/>
  <c r="CB27" i="1" s="1"/>
  <c r="CB263" i="1"/>
  <c r="CC109" i="1"/>
  <c r="CC110" i="1" s="1"/>
  <c r="JJ15" i="4"/>
  <c r="CB264" i="1"/>
  <c r="BY263" i="1"/>
  <c r="CD37" i="1"/>
  <c r="JM8" i="4"/>
  <c r="JL7" i="4"/>
  <c r="CF264" i="1"/>
  <c r="JJ7" i="4"/>
  <c r="JK8" i="4"/>
  <c r="JM21" i="4"/>
  <c r="CG88" i="1" s="1"/>
  <c r="BZ264" i="1"/>
  <c r="CE264" i="1"/>
  <c r="JK7" i="4"/>
  <c r="BL37" i="1"/>
  <c r="JL15" i="4"/>
  <c r="BZ37" i="1"/>
  <c r="JM14" i="4"/>
  <c r="JM15" i="4"/>
  <c r="JJ14" i="4"/>
  <c r="CJ96" i="1"/>
  <c r="CQ51" i="1"/>
  <c r="CR51" i="1" s="1"/>
  <c r="CI105" i="1"/>
  <c r="CI107" i="1"/>
  <c r="CI106" i="1"/>
  <c r="CR28" i="1"/>
  <c r="CS28" i="1" s="1"/>
  <c r="CV38" i="1"/>
  <c r="CS191" i="1"/>
  <c r="CS194" i="1"/>
  <c r="CS190" i="1"/>
  <c r="CT135" i="1"/>
  <c r="CJ97" i="1"/>
  <c r="CJ98" i="1"/>
  <c r="AD57" i="1"/>
  <c r="CZ57" i="1"/>
  <c r="DA57" i="1" s="1"/>
  <c r="DB57" i="1" s="1"/>
  <c r="U19" i="1"/>
  <c r="V19" i="1"/>
  <c r="W19" i="1"/>
  <c r="CR213" i="1" l="1"/>
  <c r="CS151" i="1"/>
  <c r="AD142" i="1"/>
  <c r="CY142" i="1"/>
  <c r="CZ142" i="1" s="1"/>
  <c r="DA142" i="1" s="1"/>
  <c r="DB142" i="1" s="1"/>
  <c r="AE142" i="1" s="1"/>
  <c r="CU46" i="1"/>
  <c r="CR195" i="1"/>
  <c r="CQ196" i="1"/>
  <c r="CP193" i="1"/>
  <c r="CP197" i="1" s="1"/>
  <c r="CQ192" i="1"/>
  <c r="CS136" i="1"/>
  <c r="CR139" i="1"/>
  <c r="CR260" i="1" s="1"/>
  <c r="CQ217" i="1"/>
  <c r="BZ172" i="1"/>
  <c r="BL172" i="1"/>
  <c r="CB213" i="1"/>
  <c r="CA128" i="1"/>
  <c r="BZ131" i="1"/>
  <c r="BZ103" i="1" s="1"/>
  <c r="BL131" i="1"/>
  <c r="BL103" i="1" s="1"/>
  <c r="CB172" i="1"/>
  <c r="CC220" i="1" s="1"/>
  <c r="CG135" i="1"/>
  <c r="CG139" i="1" s="1"/>
  <c r="CF139" i="1"/>
  <c r="CD145" i="1"/>
  <c r="CE44" i="1" s="1"/>
  <c r="CC151" i="1"/>
  <c r="CE128" i="1"/>
  <c r="CD131" i="1"/>
  <c r="CD103" i="1" s="1"/>
  <c r="CD105" i="1" s="1"/>
  <c r="BM151" i="1"/>
  <c r="BM213" i="1" s="1"/>
  <c r="CD172" i="1"/>
  <c r="CF213" i="1"/>
  <c r="CE139" i="1"/>
  <c r="BM136" i="1"/>
  <c r="BM139" i="1" s="1"/>
  <c r="BL139" i="1"/>
  <c r="CG151" i="1"/>
  <c r="CG160" i="1"/>
  <c r="CG167" i="1" s="1"/>
  <c r="CF167" i="1"/>
  <c r="CF196" i="1" s="1"/>
  <c r="CF195" i="1" s="1"/>
  <c r="CG128" i="1"/>
  <c r="CG131" i="1" s="1"/>
  <c r="CF131" i="1"/>
  <c r="CF103" i="1" s="1"/>
  <c r="CF105" i="1" s="1"/>
  <c r="CA160" i="1"/>
  <c r="BZ167" i="1"/>
  <c r="BZ196" i="1" s="1"/>
  <c r="BZ195" i="1" s="1"/>
  <c r="BZ145" i="1"/>
  <c r="BZ149" i="1" s="1"/>
  <c r="CA139" i="1"/>
  <c r="CB145" i="1"/>
  <c r="CF172" i="1"/>
  <c r="BL145" i="1"/>
  <c r="CF145" i="1"/>
  <c r="CF149" i="1" s="1"/>
  <c r="CC139" i="1"/>
  <c r="CB139" i="1"/>
  <c r="CE213" i="1"/>
  <c r="BZ139" i="1"/>
  <c r="CB167" i="1"/>
  <c r="CB196" i="1" s="1"/>
  <c r="CB195" i="1" s="1"/>
  <c r="BL167" i="1"/>
  <c r="BL196" i="1" s="1"/>
  <c r="BL195" i="1" s="1"/>
  <c r="CD167" i="1"/>
  <c r="CD196" i="1" s="1"/>
  <c r="CD195" i="1" s="1"/>
  <c r="CB131" i="1"/>
  <c r="CD139" i="1"/>
  <c r="CH113" i="1"/>
  <c r="CH114" i="1"/>
  <c r="CH115" i="1"/>
  <c r="BM154" i="1"/>
  <c r="BL159" i="1"/>
  <c r="CE154" i="1"/>
  <c r="CD159" i="1"/>
  <c r="CC154" i="1"/>
  <c r="CB159" i="1"/>
  <c r="CG154" i="1"/>
  <c r="CG159" i="1" s="1"/>
  <c r="CG193" i="1" s="1"/>
  <c r="CG192" i="1" s="1"/>
  <c r="CF159" i="1"/>
  <c r="CA154" i="1"/>
  <c r="BZ159" i="1"/>
  <c r="CD113" i="1"/>
  <c r="CA38" i="1"/>
  <c r="CA23" i="1"/>
  <c r="JK19" i="4"/>
  <c r="CE89" i="1" s="1"/>
  <c r="BL38" i="1"/>
  <c r="CC22" i="1"/>
  <c r="CC38" i="1"/>
  <c r="CI236" i="1"/>
  <c r="CF27" i="1"/>
  <c r="CG23" i="1"/>
  <c r="CJ22" i="1"/>
  <c r="BY38" i="1"/>
  <c r="JL20" i="4"/>
  <c r="CF90" i="1" s="1"/>
  <c r="CF115" i="1" s="1"/>
  <c r="BZ27" i="1"/>
  <c r="CD29" i="1" s="1"/>
  <c r="CF38" i="1"/>
  <c r="Y69" i="1"/>
  <c r="JJ19" i="4"/>
  <c r="CD89" i="1" s="1"/>
  <c r="CD118" i="1" s="1"/>
  <c r="JM20" i="4"/>
  <c r="CG90" i="1" s="1"/>
  <c r="CD38" i="1"/>
  <c r="JM19" i="4"/>
  <c r="CG89" i="1" s="1"/>
  <c r="CE164" i="1"/>
  <c r="CE167" i="1" s="1"/>
  <c r="CE196" i="1" s="1"/>
  <c r="CE195" i="1" s="1"/>
  <c r="CF113" i="1"/>
  <c r="JJ20" i="4"/>
  <c r="CD90" i="1" s="1"/>
  <c r="CD119" i="1" s="1"/>
  <c r="JL19" i="4"/>
  <c r="CF89" i="1" s="1"/>
  <c r="JK20" i="4"/>
  <c r="CE90" i="1" s="1"/>
  <c r="CE119" i="1" s="1"/>
  <c r="CA39" i="1"/>
  <c r="CA243" i="1" s="1"/>
  <c r="CA244" i="1" s="1"/>
  <c r="CD199" i="1"/>
  <c r="CD22" i="1"/>
  <c r="BZ23" i="1"/>
  <c r="CD236" i="1"/>
  <c r="BZ38" i="1"/>
  <c r="CE155" i="1"/>
  <c r="CE199" i="1"/>
  <c r="CG199" i="1"/>
  <c r="CF22" i="1"/>
  <c r="CH236" i="1"/>
  <c r="CJ199" i="1"/>
  <c r="CE38" i="1"/>
  <c r="CC27" i="1"/>
  <c r="CC30" i="1" s="1"/>
  <c r="CF236" i="1"/>
  <c r="CB23" i="1"/>
  <c r="CH255" i="1"/>
  <c r="Z69" i="1"/>
  <c r="CE22" i="1"/>
  <c r="CG113" i="1"/>
  <c r="CE113" i="1"/>
  <c r="CG236" i="1"/>
  <c r="CF23" i="1"/>
  <c r="CF199" i="1"/>
  <c r="CE236" i="1"/>
  <c r="CC23" i="1"/>
  <c r="CC236" i="1"/>
  <c r="CE156" i="1"/>
  <c r="CB38" i="1"/>
  <c r="CB28" i="1"/>
  <c r="CB39" i="1"/>
  <c r="CB30" i="1"/>
  <c r="CD39" i="1"/>
  <c r="CH41" i="1" s="1"/>
  <c r="CD23" i="1"/>
  <c r="CH22" i="1"/>
  <c r="CI199" i="1"/>
  <c r="CI114" i="1"/>
  <c r="CE27" i="1"/>
  <c r="CE30" i="1" s="1"/>
  <c r="CI22" i="1"/>
  <c r="CD28" i="1"/>
  <c r="CI115" i="1"/>
  <c r="CG22" i="1"/>
  <c r="CE23" i="1"/>
  <c r="CH199" i="1"/>
  <c r="CA213" i="1"/>
  <c r="BL28" i="1"/>
  <c r="BL39" i="1"/>
  <c r="BY28" i="1"/>
  <c r="BY39" i="1"/>
  <c r="CS51" i="1"/>
  <c r="CT28" i="1"/>
  <c r="CU28" i="1" s="1"/>
  <c r="CW38" i="1"/>
  <c r="CX38" i="1" s="1"/>
  <c r="CT190" i="1"/>
  <c r="CT194" i="1"/>
  <c r="CU135" i="1"/>
  <c r="CT191" i="1"/>
  <c r="AE57" i="1"/>
  <c r="V242" i="1"/>
  <c r="W242" i="1"/>
  <c r="U242" i="1"/>
  <c r="CF39" i="1" l="1"/>
  <c r="AA71" i="1" s="1"/>
  <c r="AA70" i="1"/>
  <c r="CS213" i="1"/>
  <c r="CT151" i="1"/>
  <c r="CV46" i="1"/>
  <c r="CS195" i="1"/>
  <c r="CR196" i="1"/>
  <c r="CD213" i="1"/>
  <c r="CC213" i="1"/>
  <c r="CG260" i="1"/>
  <c r="CQ193" i="1"/>
  <c r="CQ197" i="1" s="1"/>
  <c r="CR192" i="1"/>
  <c r="CH213" i="1"/>
  <c r="CG213" i="1"/>
  <c r="CA220" i="1"/>
  <c r="BZ259" i="1"/>
  <c r="CT136" i="1"/>
  <c r="CS139" i="1"/>
  <c r="CS260" i="1" s="1"/>
  <c r="CD217" i="1"/>
  <c r="CF260" i="1"/>
  <c r="BM220" i="1"/>
  <c r="BL259" i="1"/>
  <c r="CF217" i="1"/>
  <c r="CF140" i="1"/>
  <c r="CR217" i="1"/>
  <c r="BL140" i="1"/>
  <c r="BL179" i="1"/>
  <c r="BL120" i="1" s="1"/>
  <c r="CA44" i="1"/>
  <c r="CA145" i="1"/>
  <c r="CB149" i="1"/>
  <c r="CC44" i="1"/>
  <c r="CC145" i="1"/>
  <c r="BZ179" i="1"/>
  <c r="BZ140" i="1"/>
  <c r="CF106" i="1"/>
  <c r="CD149" i="1"/>
  <c r="CE145" i="1"/>
  <c r="CE220" i="1"/>
  <c r="CD259" i="1"/>
  <c r="CA260" i="1"/>
  <c r="CA217" i="1"/>
  <c r="BM217" i="1"/>
  <c r="BM260" i="1"/>
  <c r="CH218" i="1"/>
  <c r="CG103" i="1"/>
  <c r="CG106" i="1" s="1"/>
  <c r="CG218" i="1"/>
  <c r="CG220" i="1"/>
  <c r="CF179" i="1"/>
  <c r="CF259" i="1"/>
  <c r="BM145" i="1"/>
  <c r="BM149" i="1" s="1"/>
  <c r="BL149" i="1"/>
  <c r="BL257" i="1" s="1"/>
  <c r="CG44" i="1"/>
  <c r="CG145" i="1"/>
  <c r="CH260" i="1"/>
  <c r="CH262" i="1" s="1"/>
  <c r="CH217" i="1"/>
  <c r="CG140" i="1"/>
  <c r="CG217" i="1"/>
  <c r="CB260" i="1"/>
  <c r="CB140" i="1"/>
  <c r="CB179" i="1"/>
  <c r="CB217" i="1"/>
  <c r="CB103" i="1"/>
  <c r="CB259" i="1"/>
  <c r="CC260" i="1"/>
  <c r="CC217" i="1"/>
  <c r="CE217" i="1"/>
  <c r="CD260" i="1"/>
  <c r="CD140" i="1"/>
  <c r="CD179" i="1"/>
  <c r="CE260" i="1"/>
  <c r="BL193" i="1"/>
  <c r="BL168" i="1"/>
  <c r="CD193" i="1"/>
  <c r="CD168" i="1"/>
  <c r="CB193" i="1"/>
  <c r="CB168" i="1"/>
  <c r="CF193" i="1"/>
  <c r="CF168" i="1"/>
  <c r="CF176" i="1" s="1"/>
  <c r="BZ193" i="1"/>
  <c r="BZ168" i="1"/>
  <c r="BZ176" i="1" s="1"/>
  <c r="CE114" i="1"/>
  <c r="CE118" i="1"/>
  <c r="BZ30" i="1"/>
  <c r="BZ39" i="1"/>
  <c r="BZ28" i="1"/>
  <c r="CA30" i="1"/>
  <c r="CG196" i="1"/>
  <c r="CH208" i="1"/>
  <c r="CG208" i="1"/>
  <c r="CJ29" i="1"/>
  <c r="CF28" i="1"/>
  <c r="CG30" i="1"/>
  <c r="CF29" i="1"/>
  <c r="BZ257" i="1"/>
  <c r="CF257" i="1"/>
  <c r="CF255" i="1"/>
  <c r="CF119" i="1"/>
  <c r="CF107" i="1"/>
  <c r="CG119" i="1"/>
  <c r="CG115" i="1"/>
  <c r="CG118" i="1"/>
  <c r="CG114" i="1"/>
  <c r="CF118" i="1"/>
  <c r="CF114" i="1"/>
  <c r="CG42" i="1"/>
  <c r="CI123" i="1"/>
  <c r="CG29" i="1"/>
  <c r="CC28" i="1"/>
  <c r="Y70" i="1"/>
  <c r="CC39" i="1"/>
  <c r="CC45" i="1" s="1"/>
  <c r="CC49" i="1" s="1"/>
  <c r="CD30" i="1"/>
  <c r="CC29" i="1"/>
  <c r="CD107" i="1"/>
  <c r="CD114" i="1"/>
  <c r="CE159" i="1"/>
  <c r="CD106" i="1"/>
  <c r="CE208" i="1"/>
  <c r="CG207" i="1"/>
  <c r="CD115" i="1"/>
  <c r="CF208" i="1"/>
  <c r="CA45" i="1"/>
  <c r="CA49" i="1" s="1"/>
  <c r="CA52" i="1" s="1"/>
  <c r="CA59" i="1" s="1"/>
  <c r="CA204" i="1" s="1"/>
  <c r="CA206" i="1" s="1"/>
  <c r="CI237" i="1"/>
  <c r="CA40" i="1"/>
  <c r="CG261" i="1"/>
  <c r="CE115" i="1"/>
  <c r="CF40" i="1"/>
  <c r="CF243" i="1"/>
  <c r="CF244" i="1" s="1"/>
  <c r="CJ41" i="1"/>
  <c r="CF45" i="1"/>
  <c r="CG168" i="1"/>
  <c r="CH207" i="1"/>
  <c r="CD40" i="1"/>
  <c r="CB40" i="1"/>
  <c r="CB243" i="1"/>
  <c r="CB244" i="1" s="1"/>
  <c r="CB45" i="1"/>
  <c r="CB49" i="1" s="1"/>
  <c r="CB42" i="1"/>
  <c r="CB261" i="1"/>
  <c r="CD243" i="1"/>
  <c r="CD244" i="1" s="1"/>
  <c r="CD45" i="1"/>
  <c r="CD49" i="1" s="1"/>
  <c r="CD52" i="1" s="1"/>
  <c r="CD245" i="1" s="1"/>
  <c r="CF30" i="1"/>
  <c r="CE29" i="1"/>
  <c r="CI29" i="1"/>
  <c r="Z70" i="1"/>
  <c r="CE39" i="1"/>
  <c r="CG237" i="1" s="1"/>
  <c r="CE28" i="1"/>
  <c r="BY45" i="1"/>
  <c r="BY49" i="1" s="1"/>
  <c r="BY40" i="1"/>
  <c r="BL45" i="1"/>
  <c r="BL49" i="1" s="1"/>
  <c r="BL40" i="1"/>
  <c r="CT51" i="1"/>
  <c r="CV28" i="1"/>
  <c r="CY38" i="1"/>
  <c r="CZ38" i="1" s="1"/>
  <c r="CU190" i="1"/>
  <c r="CV135" i="1"/>
  <c r="CU191" i="1"/>
  <c r="CU194" i="1"/>
  <c r="AB161" i="1"/>
  <c r="A1" i="1"/>
  <c r="CF41" i="1" l="1"/>
  <c r="CT213" i="1"/>
  <c r="CU151" i="1"/>
  <c r="CV151" i="1" s="1"/>
  <c r="CW46" i="1"/>
  <c r="CX46" i="1" s="1"/>
  <c r="CF177" i="1"/>
  <c r="CG262" i="1"/>
  <c r="CT195" i="1"/>
  <c r="CS196" i="1"/>
  <c r="CR193" i="1"/>
  <c r="CR197" i="1" s="1"/>
  <c r="CS192" i="1"/>
  <c r="CA149" i="1"/>
  <c r="CB44" i="1"/>
  <c r="CB176" i="1"/>
  <c r="CB177" i="1" s="1"/>
  <c r="CD176" i="1"/>
  <c r="CD177" i="1" s="1"/>
  <c r="CU136" i="1"/>
  <c r="CT139" i="1"/>
  <c r="CT260" i="1" s="1"/>
  <c r="CB257" i="1"/>
  <c r="CB255" i="1"/>
  <c r="CE149" i="1"/>
  <c r="CF44" i="1"/>
  <c r="CS217" i="1"/>
  <c r="CB262" i="1"/>
  <c r="CG216" i="1"/>
  <c r="BZ177" i="1"/>
  <c r="CD44" i="1"/>
  <c r="CC149" i="1"/>
  <c r="BZ120" i="1"/>
  <c r="CA48" i="1"/>
  <c r="CD255" i="1"/>
  <c r="CD257" i="1"/>
  <c r="CH216" i="1"/>
  <c r="CG105" i="1"/>
  <c r="CG107" i="1"/>
  <c r="CF120" i="1"/>
  <c r="CG48" i="1"/>
  <c r="CH44" i="1"/>
  <c r="CG149" i="1"/>
  <c r="CB120" i="1"/>
  <c r="CC48" i="1"/>
  <c r="CD120" i="1"/>
  <c r="CE48" i="1"/>
  <c r="CF192" i="1"/>
  <c r="CF197" i="1"/>
  <c r="CJ200" i="1" s="1"/>
  <c r="BL197" i="1"/>
  <c r="BL192" i="1"/>
  <c r="CD197" i="1"/>
  <c r="CD192" i="1"/>
  <c r="CB197" i="1"/>
  <c r="CB192" i="1"/>
  <c r="BZ192" i="1"/>
  <c r="BZ197" i="1"/>
  <c r="CG209" i="1"/>
  <c r="CG210" i="1" s="1"/>
  <c r="BZ40" i="1"/>
  <c r="BZ45" i="1"/>
  <c r="CA261" i="1"/>
  <c r="CA262" i="1" s="1"/>
  <c r="CA42" i="1"/>
  <c r="BZ243" i="1"/>
  <c r="BZ244" i="1" s="1"/>
  <c r="CD41" i="1"/>
  <c r="BZ42" i="1"/>
  <c r="BZ261" i="1"/>
  <c r="CB123" i="1"/>
  <c r="CH209" i="1"/>
  <c r="CH210" i="1" s="1"/>
  <c r="CD123" i="1"/>
  <c r="CC261" i="1"/>
  <c r="CC262" i="1" s="1"/>
  <c r="CE207" i="1"/>
  <c r="CE209" i="1" s="1"/>
  <c r="CE168" i="1"/>
  <c r="CG195" i="1"/>
  <c r="CG197" i="1"/>
  <c r="CC243" i="1"/>
  <c r="CC244" i="1" s="1"/>
  <c r="CG41" i="1"/>
  <c r="Y71" i="1"/>
  <c r="CC40" i="1"/>
  <c r="CC237" i="1"/>
  <c r="CD261" i="1"/>
  <c r="CD262" i="1" s="1"/>
  <c r="CC123" i="1"/>
  <c r="CD237" i="1"/>
  <c r="CC42" i="1"/>
  <c r="CD42" i="1"/>
  <c r="CC41" i="1"/>
  <c r="CC52" i="1"/>
  <c r="CC51" i="1"/>
  <c r="CF49" i="1"/>
  <c r="CI66" i="1"/>
  <c r="CE193" i="1"/>
  <c r="CF207" i="1"/>
  <c r="CF209" i="1" s="1"/>
  <c r="CA51" i="1"/>
  <c r="CA77" i="1"/>
  <c r="CA130" i="1"/>
  <c r="CA131" i="1" s="1"/>
  <c r="CA103" i="1" s="1"/>
  <c r="CH54" i="1"/>
  <c r="CD51" i="1"/>
  <c r="CA63" i="1"/>
  <c r="CA245" i="1"/>
  <c r="CA53" i="1"/>
  <c r="CA256" i="1" s="1"/>
  <c r="CD53" i="1"/>
  <c r="CD256" i="1" s="1"/>
  <c r="CF123" i="1"/>
  <c r="CD66" i="1"/>
  <c r="CD59" i="1"/>
  <c r="CD63" i="1" s="1"/>
  <c r="CE42" i="1"/>
  <c r="CE123" i="1"/>
  <c r="CE237" i="1"/>
  <c r="CB51" i="1"/>
  <c r="CB52" i="1"/>
  <c r="CE261" i="1"/>
  <c r="CE262" i="1" s="1"/>
  <c r="CF261" i="1"/>
  <c r="CF262" i="1" s="1"/>
  <c r="CE243" i="1"/>
  <c r="CE244" i="1" s="1"/>
  <c r="Z71" i="1"/>
  <c r="CE41" i="1"/>
  <c r="CH123" i="1"/>
  <c r="CE40" i="1"/>
  <c r="CG123" i="1"/>
  <c r="CE45" i="1"/>
  <c r="CH237" i="1"/>
  <c r="CF42" i="1"/>
  <c r="CI41" i="1"/>
  <c r="CF237" i="1"/>
  <c r="BL52" i="1"/>
  <c r="BL51" i="1"/>
  <c r="BY51" i="1"/>
  <c r="BY52" i="1"/>
  <c r="CU51" i="1"/>
  <c r="CV51" i="1" s="1"/>
  <c r="DA38" i="1"/>
  <c r="DB38" i="1" s="1"/>
  <c r="CW28" i="1"/>
  <c r="CX28" i="1" s="1"/>
  <c r="CW135" i="1"/>
  <c r="CV190" i="1"/>
  <c r="CV194" i="1"/>
  <c r="CU213" i="1"/>
  <c r="CV191" i="1"/>
  <c r="AC161" i="1"/>
  <c r="AD46" i="1" l="1"/>
  <c r="CY46" i="1"/>
  <c r="CT196" i="1"/>
  <c r="CU195" i="1"/>
  <c r="CD122" i="1"/>
  <c r="CD125" i="1" s="1"/>
  <c r="CD121" i="1"/>
  <c r="CD124" i="1" s="1"/>
  <c r="CS193" i="1"/>
  <c r="CS197" i="1" s="1"/>
  <c r="CT192" i="1"/>
  <c r="CA214" i="1"/>
  <c r="CA212" i="1" s="1"/>
  <c r="CB214" i="1"/>
  <c r="CB212" i="1" s="1"/>
  <c r="CE214" i="1"/>
  <c r="CE212" i="1" s="1"/>
  <c r="CF214" i="1"/>
  <c r="CF212" i="1" s="1"/>
  <c r="CH214" i="1"/>
  <c r="CH212" i="1" s="1"/>
  <c r="CH224" i="1" s="1"/>
  <c r="CG214" i="1"/>
  <c r="CG212" i="1" s="1"/>
  <c r="CG224" i="1" s="1"/>
  <c r="CV136" i="1"/>
  <c r="CU139" i="1"/>
  <c r="CU260" i="1" s="1"/>
  <c r="CT217" i="1"/>
  <c r="CD214" i="1"/>
  <c r="CD212" i="1" s="1"/>
  <c r="CC214" i="1"/>
  <c r="CC212" i="1" s="1"/>
  <c r="CF200" i="1"/>
  <c r="CF121" i="1"/>
  <c r="CF124" i="1" s="1"/>
  <c r="CF122" i="1"/>
  <c r="CF125" i="1" s="1"/>
  <c r="CD200" i="1"/>
  <c r="CH200" i="1"/>
  <c r="BZ49" i="1"/>
  <c r="CB66" i="1"/>
  <c r="CD238" i="1"/>
  <c r="CF52" i="1"/>
  <c r="CF51" i="1"/>
  <c r="CC54" i="1"/>
  <c r="CG54" i="1"/>
  <c r="CC245" i="1"/>
  <c r="CC59" i="1"/>
  <c r="CC53" i="1"/>
  <c r="CC256" i="1" s="1"/>
  <c r="CD55" i="1"/>
  <c r="CE192" i="1"/>
  <c r="CE197" i="1"/>
  <c r="CA218" i="1"/>
  <c r="CA216" i="1" s="1"/>
  <c r="CA140" i="1"/>
  <c r="CC55" i="1"/>
  <c r="CD204" i="1"/>
  <c r="CD206" i="1" s="1"/>
  <c r="Y72" i="1"/>
  <c r="CD77" i="1"/>
  <c r="CH124" i="1"/>
  <c r="CH125" i="1"/>
  <c r="CF66" i="1"/>
  <c r="CH66" i="1"/>
  <c r="CG66" i="1"/>
  <c r="CE49" i="1"/>
  <c r="CB59" i="1"/>
  <c r="CB55" i="1"/>
  <c r="CB245" i="1"/>
  <c r="CB53" i="1"/>
  <c r="CB256" i="1" s="1"/>
  <c r="BL59" i="1"/>
  <c r="BL53" i="1"/>
  <c r="BL256" i="1" s="1"/>
  <c r="CM75" i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BY53" i="1"/>
  <c r="BY256" i="1" s="1"/>
  <c r="BY59" i="1"/>
  <c r="CW51" i="1"/>
  <c r="CX51" i="1" s="1"/>
  <c r="CY28" i="1"/>
  <c r="CZ28" i="1" s="1"/>
  <c r="CX135" i="1"/>
  <c r="CW191" i="1"/>
  <c r="CW190" i="1"/>
  <c r="CW151" i="1"/>
  <c r="CW194" i="1"/>
  <c r="CV213" i="1"/>
  <c r="AE161" i="1"/>
  <c r="AD161" i="1"/>
  <c r="CF245" i="1" l="1"/>
  <c r="AA72" i="1"/>
  <c r="CG221" i="1"/>
  <c r="CG171" i="1" s="1"/>
  <c r="CG172" i="1" s="1"/>
  <c r="CG222" i="1" s="1"/>
  <c r="CZ46" i="1"/>
  <c r="DA46" i="1" s="1"/>
  <c r="CV195" i="1"/>
  <c r="CU196" i="1"/>
  <c r="CT193" i="1"/>
  <c r="CT197" i="1" s="1"/>
  <c r="CU192" i="1"/>
  <c r="CW136" i="1"/>
  <c r="CV139" i="1"/>
  <c r="CV260" i="1" s="1"/>
  <c r="CU217" i="1"/>
  <c r="CM19" i="1"/>
  <c r="CF54" i="1"/>
  <c r="CF53" i="1"/>
  <c r="CF256" i="1" s="1"/>
  <c r="BZ52" i="1"/>
  <c r="BZ51" i="1"/>
  <c r="CJ54" i="1"/>
  <c r="CG55" i="1"/>
  <c r="CI238" i="1"/>
  <c r="CF59" i="1"/>
  <c r="CD65" i="1"/>
  <c r="CC63" i="1"/>
  <c r="CC130" i="1"/>
  <c r="CC131" i="1" s="1"/>
  <c r="CC77" i="1"/>
  <c r="CC204" i="1"/>
  <c r="CC206" i="1" s="1"/>
  <c r="CB77" i="1"/>
  <c r="CB63" i="1"/>
  <c r="CB204" i="1"/>
  <c r="CB206" i="1" s="1"/>
  <c r="CB218" i="1"/>
  <c r="CB216" i="1" s="1"/>
  <c r="CE52" i="1"/>
  <c r="CE51" i="1"/>
  <c r="BY204" i="1"/>
  <c r="BY206" i="1" s="1"/>
  <c r="BY63" i="1"/>
  <c r="BY77" i="1"/>
  <c r="BL204" i="1"/>
  <c r="BL206" i="1" s="1"/>
  <c r="BL77" i="1"/>
  <c r="BL63" i="1"/>
  <c r="CY51" i="1"/>
  <c r="CZ51" i="1" s="1"/>
  <c r="DA28" i="1"/>
  <c r="DB28" i="1" s="1"/>
  <c r="CX194" i="1"/>
  <c r="CX191" i="1"/>
  <c r="CX190" i="1"/>
  <c r="CX151" i="1"/>
  <c r="CY135" i="1"/>
  <c r="CW213" i="1"/>
  <c r="AB137" i="1"/>
  <c r="AB147" i="1"/>
  <c r="AB146" i="1"/>
  <c r="AB138" i="1"/>
  <c r="AB133" i="1"/>
  <c r="AB162" i="1"/>
  <c r="AB154" i="1"/>
  <c r="AB129" i="1"/>
  <c r="CW195" i="1" l="1"/>
  <c r="CV196" i="1"/>
  <c r="DB46" i="1"/>
  <c r="AE46" i="1" s="1"/>
  <c r="CU193" i="1"/>
  <c r="CU197" i="1" s="1"/>
  <c r="CV192" i="1"/>
  <c r="CX136" i="1"/>
  <c r="CW139" i="1"/>
  <c r="CW260" i="1" s="1"/>
  <c r="CV217" i="1"/>
  <c r="CN19" i="1"/>
  <c r="CD80" i="1"/>
  <c r="CD97" i="1" s="1"/>
  <c r="BZ53" i="1"/>
  <c r="BZ256" i="1" s="1"/>
  <c r="BZ55" i="1"/>
  <c r="CC238" i="1"/>
  <c r="BZ59" i="1"/>
  <c r="CC65" i="1" s="1"/>
  <c r="BZ245" i="1"/>
  <c r="CD54" i="1"/>
  <c r="CA55" i="1"/>
  <c r="CG259" i="1"/>
  <c r="CH220" i="1"/>
  <c r="CH221" i="1" s="1"/>
  <c r="CH222" i="1" s="1"/>
  <c r="CG255" i="1"/>
  <c r="CG257" i="1"/>
  <c r="CG176" i="1"/>
  <c r="CG177" i="1" s="1"/>
  <c r="CG179" i="1"/>
  <c r="CF204" i="1"/>
  <c r="CF206" i="1" s="1"/>
  <c r="CF210" i="1" s="1"/>
  <c r="CF224" i="1" s="1"/>
  <c r="CF63" i="1"/>
  <c r="CF77" i="1"/>
  <c r="CI80" i="1" s="1"/>
  <c r="CI65" i="1"/>
  <c r="CC103" i="1"/>
  <c r="CC140" i="1"/>
  <c r="CC66" i="1" s="1"/>
  <c r="CC218" i="1"/>
  <c r="CC216" i="1" s="1"/>
  <c r="CD218" i="1"/>
  <c r="CD216" i="1" s="1"/>
  <c r="CG238" i="1"/>
  <c r="CI54" i="1"/>
  <c r="CH238" i="1"/>
  <c r="CE55" i="1"/>
  <c r="CE53" i="1"/>
  <c r="CE256" i="1" s="1"/>
  <c r="CE54" i="1"/>
  <c r="CF55" i="1"/>
  <c r="CE59" i="1"/>
  <c r="CF238" i="1"/>
  <c r="CE238" i="1"/>
  <c r="Z72" i="1"/>
  <c r="CE245" i="1"/>
  <c r="DA51" i="1"/>
  <c r="DB51" i="1" s="1"/>
  <c r="CY191" i="1"/>
  <c r="CZ135" i="1"/>
  <c r="CY190" i="1"/>
  <c r="CY151" i="1"/>
  <c r="CY213" i="1" s="1"/>
  <c r="CX213" i="1"/>
  <c r="CY194" i="1"/>
  <c r="AC147" i="1"/>
  <c r="AC137" i="1"/>
  <c r="AB175" i="1"/>
  <c r="AC133" i="1"/>
  <c r="AC162" i="1"/>
  <c r="AB158" i="1"/>
  <c r="AB165" i="1"/>
  <c r="AC154" i="1"/>
  <c r="AC138" i="1"/>
  <c r="AB166" i="1"/>
  <c r="AC129" i="1"/>
  <c r="AC146" i="1"/>
  <c r="CX195" i="1" l="1"/>
  <c r="CW196" i="1"/>
  <c r="CV193" i="1"/>
  <c r="CV197" i="1" s="1"/>
  <c r="CW192" i="1"/>
  <c r="CY136" i="1"/>
  <c r="CX139" i="1"/>
  <c r="CX260" i="1" s="1"/>
  <c r="CW217" i="1"/>
  <c r="CD96" i="1"/>
  <c r="CD98" i="1"/>
  <c r="CB65" i="1"/>
  <c r="BZ77" i="1"/>
  <c r="BZ63" i="1"/>
  <c r="BZ204" i="1"/>
  <c r="BZ206" i="1" s="1"/>
  <c r="CH48" i="1"/>
  <c r="CG120" i="1"/>
  <c r="CI98" i="1"/>
  <c r="CI96" i="1"/>
  <c r="CI97" i="1"/>
  <c r="CL101" i="1" s="1"/>
  <c r="CE63" i="1"/>
  <c r="CE130" i="1"/>
  <c r="CE131" i="1" s="1"/>
  <c r="CE65" i="1" s="1"/>
  <c r="CE204" i="1"/>
  <c r="CE206" i="1" s="1"/>
  <c r="CE210" i="1" s="1"/>
  <c r="CE224" i="1" s="1"/>
  <c r="CE77" i="1"/>
  <c r="CF65" i="1"/>
  <c r="CG65" i="1"/>
  <c r="CH65" i="1"/>
  <c r="DA135" i="1"/>
  <c r="CZ151" i="1"/>
  <c r="CZ213" i="1" s="1"/>
  <c r="CZ194" i="1"/>
  <c r="CZ191" i="1"/>
  <c r="CZ190" i="1"/>
  <c r="AE147" i="1"/>
  <c r="AD147" i="1"/>
  <c r="AE137" i="1"/>
  <c r="AD137" i="1"/>
  <c r="AC175" i="1"/>
  <c r="AE162" i="1"/>
  <c r="AD162" i="1"/>
  <c r="AE154" i="1"/>
  <c r="AD154" i="1"/>
  <c r="AD129" i="1"/>
  <c r="AE129" i="1"/>
  <c r="AC165" i="1"/>
  <c r="AE138" i="1"/>
  <c r="AD138" i="1"/>
  <c r="AE146" i="1"/>
  <c r="AD146" i="1"/>
  <c r="AC166" i="1"/>
  <c r="AC158" i="1"/>
  <c r="AE133" i="1"/>
  <c r="AD133" i="1"/>
  <c r="CY195" i="1" l="1"/>
  <c r="CX196" i="1"/>
  <c r="CW193" i="1"/>
  <c r="CW197" i="1" s="1"/>
  <c r="CX192" i="1"/>
  <c r="CZ136" i="1"/>
  <c r="CY139" i="1"/>
  <c r="CX217" i="1"/>
  <c r="CC80" i="1"/>
  <c r="CB80" i="1"/>
  <c r="CG122" i="1"/>
  <c r="CG125" i="1" s="1"/>
  <c r="CG121" i="1"/>
  <c r="CG124" i="1" s="1"/>
  <c r="CF80" i="1"/>
  <c r="CH80" i="1"/>
  <c r="CL81" i="1" s="1"/>
  <c r="CG80" i="1"/>
  <c r="CK81" i="1" s="1"/>
  <c r="CE80" i="1"/>
  <c r="CE103" i="1"/>
  <c r="CF218" i="1"/>
  <c r="CF216" i="1" s="1"/>
  <c r="CE140" i="1"/>
  <c r="CE66" i="1" s="1"/>
  <c r="CE218" i="1"/>
  <c r="CE216" i="1" s="1"/>
  <c r="CE221" i="1" s="1"/>
  <c r="CE171" i="1" s="1"/>
  <c r="CE172" i="1" s="1"/>
  <c r="CE176" i="1" s="1"/>
  <c r="DA190" i="1"/>
  <c r="DA191" i="1"/>
  <c r="DA151" i="1"/>
  <c r="DB151" i="1" s="1"/>
  <c r="DB213" i="1" s="1"/>
  <c r="DA194" i="1"/>
  <c r="DB135" i="1"/>
  <c r="AE175" i="1"/>
  <c r="AD175" i="1"/>
  <c r="AE165" i="1"/>
  <c r="AD165" i="1"/>
  <c r="AE166" i="1"/>
  <c r="AD166" i="1"/>
  <c r="AE158" i="1"/>
  <c r="AD158" i="1"/>
  <c r="BY242" i="1"/>
  <c r="CZ195" i="1" l="1"/>
  <c r="CY196" i="1"/>
  <c r="DA136" i="1"/>
  <c r="CZ139" i="1"/>
  <c r="CZ260" i="1" s="1"/>
  <c r="CY260" i="1"/>
  <c r="CX193" i="1"/>
  <c r="CX197" i="1" s="1"/>
  <c r="CY192" i="1"/>
  <c r="CY217" i="1"/>
  <c r="CE105" i="1"/>
  <c r="CE106" i="1"/>
  <c r="CE107" i="1"/>
  <c r="CE255" i="1"/>
  <c r="CE96" i="1"/>
  <c r="CE97" i="1"/>
  <c r="CI81" i="1"/>
  <c r="CE98" i="1"/>
  <c r="CE259" i="1"/>
  <c r="CG81" i="1"/>
  <c r="CG96" i="1"/>
  <c r="CG98" i="1"/>
  <c r="CG97" i="1"/>
  <c r="CE179" i="1"/>
  <c r="CE120" i="1" s="1"/>
  <c r="CE122" i="1" s="1"/>
  <c r="CE125" i="1" s="1"/>
  <c r="CF220" i="1"/>
  <c r="CF221" i="1" s="1"/>
  <c r="CF222" i="1" s="1"/>
  <c r="CE257" i="1"/>
  <c r="CH81" i="1"/>
  <c r="CH97" i="1"/>
  <c r="CK101" i="1" s="1"/>
  <c r="CH96" i="1"/>
  <c r="CH98" i="1"/>
  <c r="CE222" i="1"/>
  <c r="CF81" i="1"/>
  <c r="CJ81" i="1"/>
  <c r="CF98" i="1"/>
  <c r="CF96" i="1"/>
  <c r="CF97" i="1"/>
  <c r="DA213" i="1"/>
  <c r="DB191" i="1"/>
  <c r="DB190" i="1"/>
  <c r="DB194" i="1"/>
  <c r="CE177" i="1"/>
  <c r="AB31" i="1"/>
  <c r="CZ217" i="1" l="1"/>
  <c r="DA195" i="1"/>
  <c r="CZ196" i="1"/>
  <c r="DB136" i="1"/>
  <c r="DB139" i="1" s="1"/>
  <c r="DA139" i="1"/>
  <c r="CY193" i="1"/>
  <c r="CY197" i="1" s="1"/>
  <c r="CZ192" i="1"/>
  <c r="CJ101" i="1"/>
  <c r="CH101" i="1"/>
  <c r="CF48" i="1"/>
  <c r="CI101" i="1"/>
  <c r="CG101" i="1"/>
  <c r="CE121" i="1"/>
  <c r="CE124" i="1" s="1"/>
  <c r="AC31" i="1"/>
  <c r="BY243" i="1"/>
  <c r="BY244" i="1" s="1"/>
  <c r="DB195" i="1" l="1"/>
  <c r="DB196" i="1" s="1"/>
  <c r="DA196" i="1"/>
  <c r="DB217" i="1"/>
  <c r="DB260" i="1"/>
  <c r="DA217" i="1"/>
  <c r="DA260" i="1"/>
  <c r="CZ193" i="1"/>
  <c r="CZ197" i="1" s="1"/>
  <c r="DA192" i="1"/>
  <c r="AD31" i="1"/>
  <c r="BY245" i="1"/>
  <c r="DA193" i="1" l="1"/>
  <c r="DA197" i="1" s="1"/>
  <c r="DB192" i="1"/>
  <c r="DB193" i="1" s="1"/>
  <c r="DB197" i="1" s="1"/>
  <c r="AE31" i="1"/>
  <c r="BI76" i="1" l="1"/>
  <c r="AT76" i="1"/>
  <c r="BT76" i="1"/>
  <c r="AV76" i="1"/>
  <c r="AX76" i="1"/>
  <c r="AR76" i="1"/>
  <c r="AO76" i="1" l="1"/>
  <c r="BK76" i="1"/>
  <c r="AN76" i="1"/>
  <c r="AW76" i="1"/>
  <c r="BB76" i="1"/>
  <c r="BM76" i="1"/>
  <c r="BQ76" i="1"/>
  <c r="AJ76" i="1"/>
  <c r="BS76" i="1"/>
  <c r="BR76" i="1"/>
  <c r="BO76" i="1"/>
  <c r="AM76" i="1"/>
  <c r="AI76" i="1"/>
  <c r="AP76" i="1"/>
  <c r="AZ76" i="1"/>
  <c r="AS76" i="1"/>
  <c r="BN76" i="1"/>
  <c r="BU76" i="1"/>
  <c r="BA76" i="1"/>
  <c r="BC76" i="1"/>
  <c r="AU76" i="1"/>
  <c r="BW76" i="1"/>
  <c r="BP76" i="1"/>
  <c r="BJ76" i="1"/>
  <c r="BH76" i="1"/>
  <c r="BX76" i="1"/>
  <c r="BG76" i="1"/>
  <c r="AQ76" i="1"/>
  <c r="AY76" i="1"/>
  <c r="AK76" i="1"/>
  <c r="BE76" i="1"/>
  <c r="BD76" i="1"/>
  <c r="BV76" i="1"/>
  <c r="BF76" i="1"/>
  <c r="BL242" i="1" l="1"/>
  <c r="AB151" i="1" l="1"/>
  <c r="AB213" i="1" l="1"/>
  <c r="CM74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X28" i="2"/>
  <c r="C8" i="2"/>
  <c r="V34" i="2"/>
  <c r="O8" i="2"/>
  <c r="D16" i="2"/>
  <c r="Q58" i="2"/>
  <c r="U12" i="2"/>
  <c r="G16" i="2"/>
  <c r="M18" i="2"/>
  <c r="S25" i="2"/>
  <c r="W21" i="2"/>
  <c r="L12" i="2"/>
  <c r="M14" i="2"/>
  <c r="I14" i="2"/>
  <c r="D8" i="2"/>
  <c r="D20" i="2"/>
  <c r="I20" i="2"/>
  <c r="R21" i="2"/>
  <c r="C59" i="2"/>
  <c r="V36" i="2"/>
  <c r="L18" i="2"/>
  <c r="T14" i="2"/>
  <c r="W15" i="2"/>
  <c r="U26" i="2"/>
  <c r="N21" i="2"/>
  <c r="J5" i="2"/>
  <c r="J23" i="2"/>
  <c r="AR91" i="3"/>
  <c r="N20" i="2"/>
  <c r="J34" i="2"/>
  <c r="W45" i="3"/>
  <c r="G5" i="3"/>
  <c r="AN45" i="3"/>
  <c r="AR27" i="3"/>
  <c r="G21" i="3"/>
  <c r="D22" i="3"/>
  <c r="AR18" i="3"/>
  <c r="AR10" i="3"/>
  <c r="E8" i="3"/>
  <c r="DV16" i="4" a="1"/>
  <c r="CY6" i="4" a="1"/>
  <c r="CM12" i="4" a="1"/>
  <c r="AI16" i="4" a="1"/>
  <c r="BV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P9" i="4" a="1"/>
  <c r="BO12" i="4" a="1"/>
  <c r="AD7" i="4" a="1"/>
  <c r="AY9" i="4" a="1"/>
  <c r="EA13" i="4" a="1"/>
  <c r="AP16" i="4" a="1"/>
  <c r="BY15" i="4" a="1"/>
  <c r="CL9" i="4" a="1"/>
  <c r="DI13" i="4" a="1"/>
  <c r="CN15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T35" i="2"/>
  <c r="N9" i="2"/>
  <c r="I16" i="2"/>
  <c r="I9" i="2"/>
  <c r="F35" i="2"/>
  <c r="L32" i="2"/>
  <c r="Q8" i="2"/>
  <c r="T24" i="2"/>
  <c r="K9" i="2"/>
  <c r="F19" i="2"/>
  <c r="Q20" i="2"/>
  <c r="E23" i="2"/>
  <c r="R36" i="2"/>
  <c r="M24" i="2"/>
  <c r="C26" i="2"/>
  <c r="AR95" i="3"/>
  <c r="X29" i="2"/>
  <c r="AR86" i="3"/>
  <c r="H45" i="3"/>
  <c r="E26" i="3"/>
  <c r="W46" i="3"/>
  <c r="K46" i="3"/>
  <c r="G18" i="3"/>
  <c r="E31" i="3"/>
  <c r="E30" i="3"/>
  <c r="G20" i="3"/>
  <c r="G22" i="3"/>
  <c r="DO5" i="4" a="1"/>
  <c r="DM5" i="4" a="1"/>
  <c r="BC9" i="4" a="1"/>
  <c r="AI14" i="4" a="1"/>
  <c r="DT12" i="4" a="1"/>
  <c r="BQ7" i="4" a="1"/>
  <c r="D6" i="4" a="1"/>
  <c r="CQ14" i="4" a="1"/>
  <c r="T16" i="4" a="1"/>
  <c r="BN16" i="4" a="1"/>
  <c r="AQ12" i="4" a="1"/>
  <c r="CX6" i="4" a="1"/>
  <c r="DU8" i="4" a="1"/>
  <c r="BP11" i="4" a="1"/>
  <c r="CN14" i="4" a="1"/>
  <c r="BI6" i="4" a="1"/>
  <c r="CW7" i="4" a="1"/>
  <c r="F16" i="4" a="1"/>
  <c r="BH14" i="4" a="1"/>
  <c r="CM6" i="4" a="1"/>
  <c r="X6" i="4" a="1"/>
  <c r="AH15" i="4" a="1"/>
  <c r="EA8" i="4" a="1"/>
  <c r="CA9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Q69" i="2"/>
  <c r="F75" i="2"/>
  <c r="F6" i="2"/>
  <c r="U11" i="2"/>
  <c r="I19" i="2"/>
  <c r="N14" i="2"/>
  <c r="S15" i="2"/>
  <c r="U13" i="2"/>
  <c r="H27" i="2"/>
  <c r="P35" i="2"/>
  <c r="H15" i="2"/>
  <c r="U5" i="2"/>
  <c r="Q59" i="2"/>
  <c r="F26" i="2"/>
  <c r="R11" i="2"/>
  <c r="V19" i="2"/>
  <c r="H35" i="2"/>
  <c r="O14" i="2"/>
  <c r="F22" i="3"/>
  <c r="AA45" i="3"/>
  <c r="R46" i="3"/>
  <c r="AR15" i="3"/>
  <c r="AD46" i="3"/>
  <c r="AD12" i="3"/>
  <c r="E12" i="3"/>
  <c r="F7" i="3"/>
  <c r="F26" i="3"/>
  <c r="AZ15" i="4" a="1"/>
  <c r="DZ14" i="4" a="1"/>
  <c r="AI9" i="4" a="1"/>
  <c r="CM16" i="4" a="1"/>
  <c r="DK5" i="4" a="1"/>
  <c r="BD6" i="4" a="1"/>
  <c r="AB13" i="4" a="1"/>
  <c r="CS14" i="4" a="1"/>
  <c r="S15" i="4" a="1"/>
  <c r="K15" i="4" a="1"/>
  <c r="BE12" i="4" a="1"/>
  <c r="W5" i="4" a="1"/>
  <c r="CS8" i="4" a="1"/>
  <c r="P14" i="4" a="1"/>
  <c r="CV12" i="4" a="1"/>
  <c r="BY5" i="4" a="1"/>
  <c r="DX6" i="4" a="1"/>
  <c r="AK6" i="4" a="1"/>
  <c r="CF14" i="4" a="1"/>
  <c r="BK12" i="4" a="1"/>
  <c r="AK5" i="4" a="1"/>
  <c r="DG16" i="4" a="1"/>
  <c r="CQ8" i="4" a="1"/>
  <c r="BS16" i="4" a="1"/>
  <c r="BV15" i="4" a="1"/>
  <c r="DE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X19" i="2"/>
  <c r="D32" i="2"/>
  <c r="O15" i="2"/>
  <c r="V24" i="2"/>
  <c r="D24" i="2"/>
  <c r="R23" i="2"/>
  <c r="N19" i="2"/>
  <c r="V18" i="2"/>
  <c r="T19" i="2"/>
  <c r="H26" i="2"/>
  <c r="V9" i="2"/>
  <c r="T20" i="2"/>
  <c r="E17" i="2"/>
  <c r="K18" i="2"/>
  <c r="R22" i="2"/>
  <c r="V8" i="2"/>
  <c r="Q54" i="2"/>
  <c r="N15" i="2"/>
  <c r="D13" i="3"/>
  <c r="AC46" i="3"/>
  <c r="V45" i="3"/>
  <c r="C46" i="3"/>
  <c r="G15" i="3"/>
  <c r="G23" i="3"/>
  <c r="E29" i="3"/>
  <c r="D18" i="3"/>
  <c r="AK45" i="3"/>
  <c r="AZ14" i="4" a="1"/>
  <c r="EC15" i="4" a="1"/>
  <c r="DH14" i="4" a="1"/>
  <c r="BE15" i="4" a="1"/>
  <c r="BF7" i="4" a="1"/>
  <c r="C15" i="4" a="1"/>
  <c r="BV13" i="4" a="1"/>
  <c r="EI14" i="4" a="1"/>
  <c r="AC16" i="4" a="1"/>
  <c r="BZ5" i="4" a="1"/>
  <c r="BM15" i="4" a="1"/>
  <c r="BK6" i="4" a="1"/>
  <c r="BH12" i="4" a="1"/>
  <c r="AE7" i="4" a="1"/>
  <c r="DE15" i="4" a="1"/>
  <c r="Y8" i="4" a="1"/>
  <c r="AK7" i="4" a="1"/>
  <c r="DD13" i="4" a="1"/>
  <c r="O6" i="4" a="1"/>
  <c r="DB16" i="4" a="1"/>
  <c r="EI6" i="4" a="1"/>
  <c r="CS15" i="4" a="1"/>
  <c r="EA15" i="4" a="1"/>
  <c r="D15" i="4" a="1"/>
  <c r="CR9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T26" i="2"/>
  <c r="L17" i="2"/>
  <c r="Q30" i="2"/>
  <c r="G33" i="2"/>
  <c r="J15" i="2"/>
  <c r="S9" i="2"/>
  <c r="P28" i="2"/>
  <c r="X20" i="2"/>
  <c r="N7" i="2"/>
  <c r="I22" i="2"/>
  <c r="C18" i="2"/>
  <c r="T6" i="2"/>
  <c r="Q36" i="2"/>
  <c r="U28" i="2"/>
  <c r="C23" i="2"/>
  <c r="N8" i="2"/>
  <c r="H5" i="2"/>
  <c r="E45" i="2"/>
  <c r="G11" i="3"/>
  <c r="D26" i="3"/>
  <c r="N45" i="3"/>
  <c r="E42" i="3"/>
  <c r="D8" i="3"/>
  <c r="N46" i="3"/>
  <c r="D20" i="3"/>
  <c r="U46" i="3"/>
  <c r="AR16" i="3"/>
  <c r="AF7" i="4" a="1"/>
  <c r="Z8" i="4" a="1"/>
  <c r="AO12" i="4" a="1"/>
  <c r="BI13" i="4" a="1"/>
  <c r="BE11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M5" i="4" a="1"/>
  <c r="CU8" i="4" a="1"/>
  <c r="BQ9" i="4" a="1"/>
  <c r="BE7" i="4" a="1"/>
  <c r="DF13" i="4" a="1"/>
  <c r="BS12" i="4" a="1"/>
  <c r="EE12" i="4" a="1"/>
  <c r="Y6" i="4" a="1"/>
  <c r="F8" i="4" a="1"/>
  <c r="DV15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T5" i="2"/>
  <c r="Q16" i="2"/>
  <c r="I31" i="2"/>
  <c r="U34" i="2"/>
  <c r="W12" i="2"/>
  <c r="C22" i="2"/>
  <c r="V10" i="2"/>
  <c r="I24" i="2"/>
  <c r="L21" i="2"/>
  <c r="H11" i="2"/>
  <c r="G11" i="2"/>
  <c r="C14" i="2"/>
  <c r="T11" i="2"/>
  <c r="V20" i="2"/>
  <c r="C65" i="2"/>
  <c r="X26" i="2"/>
  <c r="I21" i="2"/>
  <c r="I26" i="2"/>
  <c r="E25" i="3"/>
  <c r="E20" i="3"/>
  <c r="AR40" i="3"/>
  <c r="O45" i="3"/>
  <c r="D27" i="3"/>
  <c r="D6" i="3"/>
  <c r="E34" i="3"/>
  <c r="D31" i="3"/>
  <c r="AD11" i="3"/>
  <c r="CX7" i="4" a="1"/>
  <c r="BK8" i="4" a="1"/>
  <c r="BX9" i="4" a="1"/>
  <c r="DL15" i="4" a="1"/>
  <c r="AK8" i="4" a="1"/>
  <c r="W11" i="4" a="1"/>
  <c r="AF16" i="4" a="1"/>
  <c r="DC9" i="4" a="1"/>
  <c r="DI14" i="4" a="1"/>
  <c r="BY13" i="4" a="1"/>
  <c r="AK13" i="4" a="1"/>
  <c r="BL12" i="4" a="1"/>
  <c r="AQ13" i="4" a="1"/>
  <c r="DA7" i="4" a="1"/>
  <c r="DG11" i="4" a="1"/>
  <c r="AY7" i="4" a="1"/>
  <c r="W13" i="4" a="1"/>
  <c r="BR13" i="4" a="1"/>
  <c r="BD5" i="4" a="1"/>
  <c r="CP13" i="4" a="1"/>
  <c r="V5" i="4" a="1"/>
  <c r="Q5" i="4" a="1"/>
  <c r="CM7" i="4" a="1"/>
  <c r="EF5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K26" i="2"/>
  <c r="P7" i="2"/>
  <c r="R29" i="2"/>
  <c r="K10" i="2"/>
  <c r="D7" i="2"/>
  <c r="G32" i="2"/>
  <c r="N31" i="2"/>
  <c r="G27" i="2"/>
  <c r="M32" i="2"/>
  <c r="X21" i="2"/>
  <c r="J20" i="2"/>
  <c r="J32" i="2"/>
  <c r="AR69" i="3"/>
  <c r="W70" i="2"/>
  <c r="M30" i="2"/>
  <c r="I11" i="2"/>
  <c r="E22" i="2"/>
  <c r="G7" i="3"/>
  <c r="AR12" i="3"/>
  <c r="AR33" i="3"/>
  <c r="D15" i="3"/>
  <c r="E35" i="3"/>
  <c r="F11" i="3"/>
  <c r="AJ45" i="3"/>
  <c r="G30" i="3"/>
  <c r="D7" i="3"/>
  <c r="AR35" i="3"/>
  <c r="AB12" i="4" a="1"/>
  <c r="BM8" i="4" a="1"/>
  <c r="EI16" i="4" a="1"/>
  <c r="DE11" i="4" a="1"/>
  <c r="BH5" i="4" a="1"/>
  <c r="I14" i="4" a="1"/>
  <c r="EC7" i="4" a="1"/>
  <c r="DQ16" i="4" a="1"/>
  <c r="DR5" i="4" a="1"/>
  <c r="CA15" i="4" a="1"/>
  <c r="J5" i="4" a="1"/>
  <c r="AC14" i="4" a="1"/>
  <c r="DC12" i="4" a="1"/>
  <c r="CZ15" i="4" a="1"/>
  <c r="AI13" i="4" a="1"/>
  <c r="X5" i="4" a="1"/>
  <c r="BZ9" i="4" a="1"/>
  <c r="DD9" i="4" a="1"/>
  <c r="EC11" i="4" a="1"/>
  <c r="EB8" i="4" a="1"/>
  <c r="DF11" i="4" a="1"/>
  <c r="AI8" i="4" a="1"/>
  <c r="AR12" i="4" a="1"/>
  <c r="BP8" i="4" a="1"/>
  <c r="BB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D19" i="2"/>
  <c r="Q56" i="2"/>
  <c r="I8" i="2"/>
  <c r="G31" i="2"/>
  <c r="T30" i="2"/>
  <c r="H6" i="2"/>
  <c r="P8" i="2"/>
  <c r="O11" i="2"/>
  <c r="G28" i="2"/>
  <c r="M36" i="2"/>
  <c r="G9" i="2"/>
  <c r="M11" i="2"/>
  <c r="AS49" i="3"/>
  <c r="X36" i="2"/>
  <c r="S24" i="2"/>
  <c r="W19" i="2"/>
  <c r="D25" i="2"/>
  <c r="AR34" i="3"/>
  <c r="AD10" i="3"/>
  <c r="F33" i="3"/>
  <c r="G45" i="3"/>
  <c r="E37" i="3"/>
  <c r="P45" i="3"/>
  <c r="D38" i="3"/>
  <c r="F15" i="3"/>
  <c r="AR23" i="3"/>
  <c r="F28" i="3"/>
  <c r="DO14" i="4" a="1"/>
  <c r="AK11" i="4" a="1"/>
  <c r="CF7" i="4" a="1"/>
  <c r="EG12" i="4" a="1"/>
  <c r="BD15" i="4" a="1"/>
  <c r="BP7" i="4" a="1"/>
  <c r="Q12" i="4" a="1"/>
  <c r="DH15" i="4" a="1"/>
  <c r="CG12" i="4" a="1"/>
  <c r="R13" i="4" a="1"/>
  <c r="U16" i="4" a="1"/>
  <c r="BT13" i="4" a="1"/>
  <c r="AO11" i="4" a="1"/>
  <c r="BH6" i="4" a="1"/>
  <c r="CC8" i="4" a="1"/>
  <c r="AC12" i="4" a="1"/>
  <c r="CI13" i="4" a="1"/>
  <c r="CU9" i="4" a="1"/>
  <c r="DP11" i="4" a="1"/>
  <c r="BI7" i="4" a="1"/>
  <c r="DK13" i="4" a="1"/>
  <c r="DP12" i="4" a="1"/>
  <c r="ED6" i="4" a="1"/>
  <c r="DA8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G23" i="2"/>
  <c r="O17" i="2"/>
  <c r="T12" i="2"/>
  <c r="P23" i="2"/>
  <c r="D28" i="2"/>
  <c r="O22" i="2"/>
  <c r="D10" i="2"/>
  <c r="G24" i="2"/>
  <c r="V22" i="2"/>
  <c r="N6" i="2"/>
  <c r="H10" i="2"/>
  <c r="J17" i="2"/>
  <c r="AR49" i="3"/>
  <c r="D11" i="2"/>
  <c r="R7" i="2"/>
  <c r="P21" i="2"/>
  <c r="U9" i="2"/>
  <c r="AA46" i="3"/>
  <c r="D24" i="3"/>
  <c r="AD18" i="3"/>
  <c r="E23" i="3"/>
  <c r="F6" i="3"/>
  <c r="P46" i="3"/>
  <c r="Z46" i="3"/>
  <c r="AR28" i="3"/>
  <c r="D35" i="3"/>
  <c r="F35" i="3"/>
  <c r="AL12" i="4" a="1"/>
  <c r="BF13" i="4" a="1"/>
  <c r="J9" i="4" a="1"/>
  <c r="AS6" i="4" a="1"/>
  <c r="AD8" i="4" a="1"/>
  <c r="AI11" i="4" a="1"/>
  <c r="DF5" i="4" a="1"/>
  <c r="BK13" i="4" a="1"/>
  <c r="EK5" i="4" a="1"/>
  <c r="EG16" i="4" a="1"/>
  <c r="R14" i="4" a="1"/>
  <c r="M5" i="4" a="1"/>
  <c r="CO9" i="4" a="1"/>
  <c r="BT9" i="4" a="1"/>
  <c r="CA8" i="4" a="1"/>
  <c r="J7" i="4" a="1"/>
  <c r="AD5" i="4" a="1"/>
  <c r="C7" i="4" a="1"/>
  <c r="AB9" i="4" a="1"/>
  <c r="BO5" i="4" a="1"/>
  <c r="DG5" i="4" a="1"/>
  <c r="CF12" i="4" a="1"/>
  <c r="BU13" i="4" a="1"/>
  <c r="CF6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G17" i="2"/>
  <c r="K33" i="2"/>
  <c r="V28" i="2"/>
  <c r="O12" i="2"/>
  <c r="W31" i="2"/>
  <c r="J19" i="2"/>
  <c r="K16" i="2"/>
  <c r="E10" i="2"/>
  <c r="D33" i="2"/>
  <c r="P32" i="2"/>
  <c r="L6" i="2"/>
  <c r="P25" i="2"/>
  <c r="AR55" i="3"/>
  <c r="R26" i="2"/>
  <c r="E20" i="2"/>
  <c r="M9" i="2"/>
  <c r="C30" i="2"/>
  <c r="AJ46" i="3"/>
  <c r="AR36" i="3"/>
  <c r="L46" i="3"/>
  <c r="G14" i="3"/>
  <c r="AR38" i="3"/>
  <c r="E13" i="3"/>
  <c r="AR14" i="3"/>
  <c r="AH45" i="3"/>
  <c r="D14" i="3"/>
  <c r="N9" i="4" a="1"/>
  <c r="BY7" i="4" a="1"/>
  <c r="J8" i="4" a="1"/>
  <c r="J16" i="4" a="1"/>
  <c r="D8" i="4" a="1"/>
  <c r="BO8" i="4" a="1"/>
  <c r="BL9" i="4" a="1"/>
  <c r="AM7" i="4" a="1"/>
  <c r="AZ7" i="4" a="1"/>
  <c r="BN11" i="4" a="1"/>
  <c r="AB11" i="4" a="1"/>
  <c r="DH8" i="4" a="1"/>
  <c r="CV9" i="4" a="1"/>
  <c r="V14" i="4" a="1"/>
  <c r="CJ9" i="4" a="1"/>
  <c r="DQ8" i="4" a="1"/>
  <c r="CX15" i="4" a="1"/>
  <c r="DL13" i="4" a="1"/>
  <c r="BF12" i="4" a="1"/>
  <c r="CN7" i="4" a="1"/>
  <c r="DQ11" i="4" a="1"/>
  <c r="EE11" i="4" a="1"/>
  <c r="CE5" i="4" a="1"/>
  <c r="AU13" i="4" a="1"/>
  <c r="DR12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Q6" i="2"/>
  <c r="K32" i="2"/>
  <c r="X8" i="2"/>
  <c r="K23" i="2"/>
  <c r="J25" i="2"/>
  <c r="S20" i="2"/>
  <c r="P6" i="2"/>
  <c r="X27" i="2"/>
  <c r="K59" i="2"/>
  <c r="S8" i="2"/>
  <c r="I25" i="2"/>
  <c r="R17" i="2"/>
  <c r="T8" i="2"/>
  <c r="E5" i="2"/>
  <c r="AR54" i="3"/>
  <c r="I34" i="2"/>
  <c r="L27" i="2"/>
  <c r="J46" i="3"/>
  <c r="F19" i="3"/>
  <c r="D29" i="3"/>
  <c r="AH46" i="3"/>
  <c r="Z45" i="3"/>
  <c r="AC45" i="3"/>
  <c r="AO46" i="3"/>
  <c r="AD16" i="3"/>
  <c r="I45" i="3"/>
  <c r="CI14" i="4" a="1"/>
  <c r="BF9" i="4" a="1"/>
  <c r="AG7" i="4" a="1"/>
  <c r="CB7" i="4" a="1"/>
  <c r="AC11" i="4" a="1"/>
  <c r="BZ15" i="4" a="1"/>
  <c r="CN11" i="4" a="1"/>
  <c r="BC12" i="4" a="1"/>
  <c r="DH12" i="4" a="1"/>
  <c r="EK15" i="4" a="1"/>
  <c r="AR11" i="4" a="1"/>
  <c r="AD11" i="4" a="1"/>
  <c r="AE16" i="4" a="1"/>
  <c r="DI8" i="4" a="1"/>
  <c r="CD8" i="4" a="1"/>
  <c r="CK14" i="4" a="1"/>
  <c r="BI5" i="4" a="1"/>
  <c r="AL5" i="4" a="1"/>
  <c r="X8" i="4" a="1"/>
  <c r="CM13" i="4" a="1"/>
  <c r="DN12" i="4" a="1"/>
  <c r="EJ7" i="4" a="1"/>
  <c r="DQ14" i="4" a="1"/>
  <c r="DS6" i="4" a="1"/>
  <c r="DP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N11" i="2"/>
  <c r="R33" i="2"/>
  <c r="U25" i="2"/>
  <c r="K17" i="2"/>
  <c r="N35" i="2"/>
  <c r="J7" i="2"/>
  <c r="X63" i="2"/>
  <c r="G25" i="2"/>
  <c r="E28" i="2"/>
  <c r="D31" i="2"/>
  <c r="M7" i="2"/>
  <c r="T21" i="2"/>
  <c r="E7" i="2"/>
  <c r="Q57" i="2"/>
  <c r="AR80" i="3"/>
  <c r="H33" i="2"/>
  <c r="X12" i="2"/>
  <c r="X46" i="3"/>
  <c r="F25" i="3"/>
  <c r="F12" i="3"/>
  <c r="AR32" i="3"/>
  <c r="AQ45" i="3"/>
  <c r="G10" i="3"/>
  <c r="F5" i="3"/>
  <c r="AR29" i="3"/>
  <c r="J45" i="3"/>
  <c r="ED16" i="4" a="1"/>
  <c r="CI7" i="4" a="1"/>
  <c r="AK9" i="4" a="1"/>
  <c r="AN7" i="4" a="1"/>
  <c r="CR8" i="4" a="1"/>
  <c r="DB14" i="4" a="1"/>
  <c r="DP14" i="4" a="1"/>
  <c r="CO6" i="4" a="1"/>
  <c r="CB13" i="4" a="1"/>
  <c r="CT8" i="4" a="1"/>
  <c r="EA5" i="4" a="1"/>
  <c r="BU8" i="4" a="1"/>
  <c r="BS7" i="4" a="1"/>
  <c r="D13" i="4" a="1"/>
  <c r="CH7" i="4" a="1"/>
  <c r="AG9" i="4" a="1"/>
  <c r="C8" i="4" a="1"/>
  <c r="DP16" i="4" a="1"/>
  <c r="DL11" i="4" a="1"/>
  <c r="EK8" i="4" a="1"/>
  <c r="DR11" i="4" a="1"/>
  <c r="AP15" i="4" a="1"/>
  <c r="AZ8" i="4" a="1"/>
  <c r="AY6" i="4" a="1"/>
  <c r="BK15" i="4" a="1"/>
  <c r="AM6" i="4" a="1"/>
  <c r="W8" i="4" a="1"/>
  <c r="AP11" i="4" a="1"/>
  <c r="DU11" i="4" a="1"/>
  <c r="BV16" i="4" a="1"/>
  <c r="DE8" i="4" a="1"/>
  <c r="BP12" i="4" a="1"/>
  <c r="BA15" i="4" a="1"/>
  <c r="DS13" i="4" a="1"/>
  <c r="AT5" i="4" a="1"/>
  <c r="E8" i="4" a="1"/>
  <c r="CO14" i="4" a="1"/>
  <c r="DJ7" i="4" a="1"/>
  <c r="CJ14" i="4" a="1"/>
  <c r="BT6" i="4" a="1"/>
  <c r="DU6" i="4" a="1"/>
  <c r="DS16" i="4" a="1"/>
  <c r="M9" i="4" a="1"/>
  <c r="S7" i="4" a="1"/>
  <c r="BL14" i="4" a="1"/>
  <c r="S5" i="4" a="1"/>
  <c r="AG13" i="4" a="1"/>
  <c r="Y14" i="4" a="1"/>
  <c r="EH6" i="4" a="1"/>
  <c r="EK9" i="4" a="1"/>
  <c r="BN12" i="4" a="1"/>
  <c r="BH15" i="4" a="1"/>
  <c r="DQ12" i="4" a="1"/>
  <c r="S14" i="4" a="1"/>
  <c r="BM11" i="4" a="1"/>
  <c r="CR15" i="4" a="1"/>
  <c r="CB6" i="4" a="1"/>
  <c r="CY5" i="4" a="1"/>
  <c r="AU6" i="4" a="1"/>
  <c r="DS15" i="4" a="1"/>
  <c r="DC6" i="4" a="1"/>
  <c r="AQ6" i="4" a="1"/>
  <c r="DT9" i="4" a="1"/>
  <c r="AO14" i="4" a="1"/>
  <c r="BI14" i="4" a="1"/>
  <c r="CA6" i="4" a="1"/>
  <c r="BO9" i="4" a="1"/>
  <c r="CD12" i="4" a="1"/>
  <c r="AU12" i="4" a="1"/>
  <c r="CQ12" i="4" a="1"/>
  <c r="BB9" i="4" a="1"/>
  <c r="AH7" i="4" a="1"/>
  <c r="AK16" i="4" a="1"/>
  <c r="BZ14" i="4" a="1"/>
  <c r="EE8" i="4" a="1"/>
  <c r="CX16" i="4" a="1"/>
  <c r="W9" i="4" a="1"/>
  <c r="DD8" i="4" a="1"/>
  <c r="BF5" i="4" a="1"/>
  <c r="R7" i="4" a="1"/>
  <c r="T5" i="4" a="1"/>
  <c r="DN7" i="4" a="1"/>
  <c r="DJ11" i="4" a="1"/>
  <c r="DV12" i="4" a="1"/>
  <c r="EI8" i="4" a="1"/>
  <c r="CG11" i="4" a="1"/>
  <c r="CS11" i="4" a="1"/>
  <c r="Q15" i="4" a="1"/>
  <c r="AR6" i="4" a="1"/>
  <c r="CE9" i="4" a="1"/>
  <c r="AF5" i="4" a="1"/>
  <c r="CF5" i="4" a="1"/>
  <c r="AO8" i="4" a="1"/>
  <c r="BD13" i="4" a="1"/>
  <c r="BS8" i="4" a="1"/>
  <c r="EB13" i="4" a="1"/>
  <c r="DB15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DN11" i="4" a="1"/>
  <c r="DO7" i="4" a="1"/>
  <c r="DT8" i="4" a="1"/>
  <c r="DK6" i="4" a="1"/>
  <c r="U15" i="4" a="1"/>
  <c r="CY12" i="4" a="1"/>
  <c r="V13" i="4" a="1"/>
  <c r="CR7" i="4" a="1"/>
  <c r="AG8" i="4" a="1"/>
  <c r="AZ11" i="4" a="1"/>
  <c r="BN5" i="4" a="1"/>
  <c r="E5" i="4" a="1"/>
  <c r="Y15" i="4" a="1"/>
  <c r="CW8" i="4" a="1"/>
  <c r="L12" i="4" a="1"/>
  <c r="CE12" i="4" a="1"/>
  <c r="K13" i="4" a="1"/>
  <c r="AD14" i="4" a="1"/>
  <c r="CR14" i="4" a="1"/>
  <c r="CO8" i="4" a="1"/>
  <c r="EJ9" i="4" a="1"/>
  <c r="DY13" i="4" a="1"/>
  <c r="AL15" i="4" a="1"/>
  <c r="DK14" i="4" a="1"/>
  <c r="BJ8" i="4" a="1"/>
  <c r="CD16" i="4" a="1"/>
  <c r="AU15" i="4" a="1"/>
  <c r="AL7" i="4" a="1"/>
  <c r="BW13" i="4" a="1"/>
  <c r="AQ9" i="4" a="1"/>
  <c r="CT6" i="4" a="1"/>
  <c r="DA13" i="4" a="1"/>
  <c r="CY13" i="4" a="1"/>
  <c r="DK9" i="4" a="1"/>
  <c r="CW5" i="4" a="1"/>
  <c r="AY13" i="4" a="1"/>
  <c r="EC13" i="4" a="1"/>
  <c r="AH6" i="4" a="1"/>
  <c r="BY16" i="4" a="1"/>
  <c r="DI15" i="4" a="1"/>
  <c r="T13" i="4" a="1"/>
  <c r="CP6" i="4" a="1"/>
  <c r="DJ5" i="4" a="1"/>
  <c r="DO13" i="4" a="1"/>
  <c r="EC16" i="4" a="1"/>
  <c r="DU13" i="4" a="1"/>
  <c r="BB7" i="4" a="1"/>
  <c r="BA11" i="4" a="1"/>
  <c r="AR14" i="4" a="1"/>
  <c r="AY15" i="4" a="1"/>
  <c r="CZ7" i="4" a="1"/>
  <c r="DW9" i="4" a="1"/>
  <c r="AH16" i="4" a="1"/>
  <c r="CL8" i="4" a="1"/>
  <c r="BU16" i="4" a="1"/>
  <c r="CX13" i="4" a="1"/>
  <c r="CC9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S6" i="4" a="1"/>
  <c r="AS12" i="4" a="1"/>
  <c r="U7" i="4" a="1"/>
  <c r="CJ7" i="4" a="1"/>
  <c r="R12" i="4" a="1"/>
  <c r="EH15" i="4" a="1"/>
  <c r="DV9" i="4" a="1"/>
  <c r="AO6" i="4" a="1"/>
  <c r="EK11" i="4" a="1"/>
  <c r="CH9" i="4" a="1"/>
  <c r="D5" i="4" a="1"/>
  <c r="DE7" i="4" a="1"/>
  <c r="CZ14" i="4" a="1"/>
  <c r="AW16" i="4" a="1"/>
  <c r="BQ5" i="4" a="1"/>
  <c r="EF12" i="4" a="1"/>
  <c r="AO15" i="4" a="1"/>
  <c r="BB14" i="4" a="1"/>
  <c r="BV8" i="4" a="1"/>
  <c r="N14" i="4" a="1"/>
  <c r="BT15" i="4" a="1"/>
  <c r="K12" i="4" a="1"/>
  <c r="ED11" i="4" a="1"/>
  <c r="AF11" i="4" a="1"/>
  <c r="BZ7" i="4" a="1"/>
  <c r="BL11" i="4" a="1"/>
  <c r="CW13" i="4" a="1"/>
  <c r="CG5" i="4" a="1"/>
  <c r="CI5" i="4" a="1"/>
  <c r="AY14" i="4" a="1"/>
  <c r="M12" i="4" a="1"/>
  <c r="DL7" i="4" a="1"/>
  <c r="G8" i="4" a="1"/>
  <c r="BH8" i="4" a="1"/>
  <c r="AR15" i="4" a="1"/>
  <c r="F14" i="4" a="1"/>
  <c r="CE14" i="4" a="1"/>
  <c r="BT12" i="4" a="1"/>
  <c r="DI9" i="4" a="1"/>
  <c r="CH11" i="4" a="1"/>
  <c r="DK15" i="4" a="1"/>
  <c r="F5" i="4" a="1"/>
  <c r="AM13" i="4" a="1"/>
  <c r="CK7" i="4" a="1"/>
  <c r="BW8" i="4" a="1"/>
  <c r="DU14" i="4" a="1"/>
  <c r="H11" i="4" a="1"/>
  <c r="P15" i="4" a="1"/>
  <c r="DD14" i="4" a="1"/>
  <c r="AN6" i="4" a="1"/>
  <c r="CA14" i="4" a="1"/>
  <c r="DE13" i="4" a="1"/>
  <c r="CK16" i="4" a="1"/>
  <c r="AJ11" i="4" a="1"/>
  <c r="DZ5" i="4" a="1"/>
  <c r="EC6" i="4" a="1"/>
  <c r="W16" i="4" a="1"/>
  <c r="CJ15" i="4" a="1"/>
  <c r="AJ15" i="4" a="1"/>
  <c r="DD16" i="4" a="1"/>
  <c r="DM7" i="4" a="1"/>
  <c r="CO16" i="4" a="1"/>
  <c r="DD5" i="4" a="1"/>
  <c r="BY9" i="4" a="1"/>
  <c r="BZ16" i="4" a="1"/>
  <c r="AW8" i="4" a="1"/>
  <c r="BU9" i="4" a="1"/>
  <c r="EG11" i="4" a="1"/>
  <c r="O15" i="4" a="1"/>
  <c r="CX11" i="4" a="1"/>
  <c r="AF6" i="4" a="1"/>
  <c r="BO6" i="4" a="1"/>
  <c r="AC7" i="4" a="1"/>
  <c r="AI12" i="4" a="1"/>
  <c r="AV13" i="4" a="1"/>
  <c r="AJ6" i="4" a="1"/>
  <c r="AH14" i="4" a="1"/>
  <c r="DN16" i="4" a="1"/>
  <c r="AN16" i="4" a="1"/>
  <c r="EG13" i="4" a="1"/>
  <c r="CM5" i="4" a="1"/>
  <c r="T11" i="4" a="1"/>
  <c r="Z7" i="4" a="1"/>
  <c r="AJ13" i="4" a="1"/>
  <c r="E6" i="4" a="1"/>
  <c r="CC14" i="4" a="1"/>
  <c r="CT13" i="4" a="1"/>
  <c r="EC12" i="4" a="1"/>
  <c r="DJ9" i="4" a="1"/>
  <c r="K6" i="4" a="1"/>
  <c r="AN12" i="4" a="1"/>
  <c r="CD14" i="4" a="1"/>
  <c r="I16" i="4" a="1"/>
  <c r="G14" i="4" a="1"/>
  <c r="DF6" i="4" a="1"/>
  <c r="CL11" i="4" a="1"/>
  <c r="BS11" i="4" a="1"/>
  <c r="L13" i="4" a="1"/>
  <c r="DN14" i="4" a="1"/>
  <c r="DO15" i="4" a="1"/>
  <c r="D16" i="4" a="1"/>
  <c r="DF9" i="4" a="1"/>
  <c r="CV7" i="4" a="1"/>
  <c r="Q8" i="4" a="1"/>
  <c r="DL12" i="4" a="1"/>
  <c r="DT14" i="4" a="1"/>
  <c r="CR12" i="4" a="1"/>
  <c r="CH5" i="4" a="1"/>
  <c r="BV6" i="4" a="1"/>
  <c r="DR9" i="4" a="1"/>
  <c r="CL5" i="4" a="1"/>
  <c r="E15" i="4" a="1"/>
  <c r="AX12" i="4" a="1"/>
  <c r="AY8" i="4" a="1"/>
  <c r="BR8" i="4" a="1"/>
  <c r="ED15" i="4" a="1"/>
  <c r="BR9" i="4" a="1"/>
  <c r="CP16" i="4" a="1"/>
  <c r="S8" i="4" a="1"/>
  <c r="CZ13" i="4" a="1"/>
  <c r="DH16" i="4" a="1"/>
  <c r="DZ15" i="4" a="1"/>
  <c r="AT11" i="4" a="1"/>
  <c r="CU15" i="4" a="1"/>
  <c r="Z12" i="4" a="1"/>
  <c r="AB8" i="4" a="1"/>
  <c r="DA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EA11" i="4" a="1"/>
  <c r="CB8" i="4" a="1"/>
  <c r="M8" i="4" a="1"/>
  <c r="BJ13" i="4" a="1"/>
  <c r="BX7" i="4" a="1"/>
  <c r="BO7" i="4" a="1"/>
  <c r="DE6" i="4" a="1"/>
  <c r="BE16" i="4" a="1"/>
  <c r="DB11" i="4" a="1"/>
  <c r="G15" i="4" a="1"/>
  <c r="CW15" i="4" a="1"/>
  <c r="BG9" i="4" a="1"/>
  <c r="BM16" i="4" a="1"/>
  <c r="CB14" i="4" a="1"/>
  <c r="DM11" i="4" a="1"/>
  <c r="DR6" i="4" a="1"/>
  <c r="AV5" i="4" a="1"/>
  <c r="DR14" i="4" a="1"/>
  <c r="V11" i="4" a="1"/>
  <c r="CN13" i="4" a="1"/>
  <c r="BT14" i="4" a="1"/>
  <c r="F6" i="4" a="1"/>
  <c r="DB6" i="4" a="1"/>
  <c r="CL15" i="4" a="1"/>
  <c r="AP5" i="4" a="1"/>
  <c r="DX15" i="4" a="1"/>
  <c r="S9" i="4" a="1"/>
  <c r="CV11" i="4" a="1"/>
  <c r="R9" i="4" a="1"/>
  <c r="AW11" i="4" a="1"/>
  <c r="AD13" i="4" a="1"/>
  <c r="AU9" i="4" a="1"/>
  <c r="DW11" i="4" a="1"/>
  <c r="CV16" i="4" a="1"/>
  <c r="EA12" i="4" a="1"/>
  <c r="H7" i="4" a="1"/>
  <c r="I6" i="4" a="1"/>
  <c r="K5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AP12" i="4" a="1"/>
  <c r="EI15" i="4" a="1"/>
  <c r="CL13" i="4" a="1"/>
  <c r="X12" i="4" a="1"/>
  <c r="AU14" i="4" a="1"/>
  <c r="AH11" i="4" a="1"/>
  <c r="BC11" i="4" a="1"/>
  <c r="BI11" i="4" a="1"/>
  <c r="Z16" i="4" a="1"/>
  <c r="AL8" i="4" a="1"/>
  <c r="DD12" i="4" a="1"/>
  <c r="C16" i="4" a="1"/>
  <c r="DP6" i="4" a="1"/>
  <c r="AF13" i="4" a="1"/>
  <c r="CG6" i="4" a="1"/>
  <c r="DW7" i="4" a="1"/>
  <c r="CC6" i="4" a="1"/>
  <c r="H12" i="4" a="1"/>
  <c r="K8" i="4" a="1"/>
  <c r="CU14" i="4" a="1"/>
  <c r="C11" i="4" a="1"/>
  <c r="P11" i="4" a="1"/>
  <c r="CS13" i="4" a="1"/>
  <c r="AW15" i="4" a="1"/>
  <c r="DU9" i="4" a="1"/>
  <c r="CH16" i="4" a="1"/>
  <c r="AO13" i="4" a="1"/>
  <c r="CU16" i="4" a="1"/>
  <c r="EG8" i="4" a="1"/>
  <c r="DR15" i="4" a="1"/>
  <c r="AU8" i="4" a="1"/>
  <c r="ED8" i="4" a="1"/>
  <c r="AL9" i="4" a="1"/>
  <c r="AF14" i="4" a="1"/>
  <c r="CU12" i="4" a="1"/>
  <c r="O5" i="4" a="1"/>
  <c r="Q7" i="4" a="1"/>
  <c r="H9" i="4" a="1"/>
  <c r="BA13" i="4" a="1"/>
  <c r="BQ12" i="4" a="1"/>
  <c r="CU13" i="4" a="1"/>
  <c r="BY6" i="4" a="1"/>
  <c r="CG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U12" i="4" a="1"/>
  <c r="BP13" i="4" a="1"/>
  <c r="C12" i="4" a="1"/>
  <c r="M15" i="4" a="1"/>
  <c r="DY12" i="4" a="1"/>
  <c r="AE5" i="4" a="1"/>
  <c r="BQ14" i="4" a="1"/>
  <c r="CL14" i="4" a="1"/>
  <c r="Z14" i="4" a="1"/>
  <c r="BW9" i="4" a="1"/>
  <c r="N16" i="4" a="1"/>
  <c r="DY15" i="4" a="1"/>
  <c r="O13" i="4" a="1"/>
  <c r="AN14" i="4" a="1"/>
  <c r="DI6" i="4" a="1"/>
  <c r="BM7" i="4" a="1"/>
  <c r="CO12" i="4" a="1"/>
  <c r="DI7" i="4" a="1"/>
  <c r="W6" i="4" a="1"/>
  <c r="AG16" i="4" a="1"/>
  <c r="AI15" i="4" a="1"/>
  <c r="T15" i="4" a="1"/>
  <c r="BM6" i="4" a="1"/>
  <c r="BZ6" i="4" a="1"/>
  <c r="BQ16" i="4" a="1"/>
  <c r="BR15" i="4" a="1"/>
  <c r="I9" i="4" a="1"/>
  <c r="Z9" i="4" a="1"/>
  <c r="AD6" i="4" a="1"/>
  <c r="DT5" i="4" a="1"/>
  <c r="M11" i="4" a="1"/>
  <c r="CE8" i="4" a="1"/>
  <c r="CJ6" i="4" a="1"/>
  <c r="CD13" i="4" a="1"/>
  <c r="BN15" i="4" a="1"/>
  <c r="EF8" i="4" a="1"/>
  <c r="DM14" i="4" a="1"/>
  <c r="AF12" i="4" a="1"/>
  <c r="EB12" i="4" a="1"/>
  <c r="BG13" i="4" a="1"/>
  <c r="EI11" i="4" a="1"/>
  <c r="BF16" i="4" a="1"/>
  <c r="BH13" i="4" a="1"/>
  <c r="BL15" i="4" a="1"/>
  <c r="H8" i="4" a="1"/>
  <c r="L8" i="4" a="1"/>
  <c r="CU7" i="4" a="1"/>
  <c r="DS7" i="4" a="1"/>
  <c r="BX15" i="4" a="1"/>
  <c r="BD8" i="4" a="1"/>
  <c r="EK6" i="4" a="1"/>
  <c r="EI13" i="4" a="1"/>
  <c r="BC6" i="4" a="1"/>
  <c r="DK12" i="4" a="1"/>
  <c r="DJ12" i="4" a="1"/>
  <c r="DE5" i="4" a="1"/>
  <c r="AV7" i="4" a="1"/>
  <c r="DA16" i="4" a="1"/>
  <c r="EG15" i="4" a="1"/>
  <c r="Q16" i="4" a="1"/>
  <c r="CN5" i="4" a="1"/>
  <c r="DH7" i="4" a="1"/>
  <c r="CX9" i="4" a="1"/>
  <c r="DJ13" i="4" a="1"/>
  <c r="AC8" i="4" a="1"/>
  <c r="BF15" i="4" a="1"/>
  <c r="DD15" i="4" a="1"/>
  <c r="E7" i="4" a="1"/>
  <c r="DR13" i="4" a="1"/>
  <c r="G5" i="4" a="1"/>
  <c r="AW7" i="4" a="1"/>
  <c r="AJ16" i="4" a="1"/>
  <c r="CH13" i="4" a="1"/>
  <c r="CN9" i="4" a="1"/>
  <c r="CF15" i="4" a="1"/>
  <c r="ED5" i="4" a="1"/>
  <c r="DC8" i="4" a="1"/>
  <c r="AS11" i="4" a="1"/>
  <c r="DZ7" i="4" a="1"/>
  <c r="AV14" i="4" a="1"/>
  <c r="DX14" i="4" a="1"/>
  <c r="CZ5" i="4" a="1"/>
  <c r="CV15" i="4" a="1"/>
  <c r="O12" i="4" a="1"/>
  <c r="BD9" i="4" a="1"/>
  <c r="AA14" i="4" a="1"/>
  <c r="AR7" i="4" a="1"/>
  <c r="CX8" i="4" a="1"/>
  <c r="L14" i="4" a="1"/>
  <c r="CZ11" i="4" a="1"/>
  <c r="EK7" i="4" a="1"/>
  <c r="BM12" i="4" a="1"/>
  <c r="DY7" i="4" a="1"/>
  <c r="CT16" i="4" a="1"/>
  <c r="CP5" i="4" a="1"/>
  <c r="AQ14" i="4" a="1"/>
  <c r="CW12" i="4" a="1"/>
  <c r="BQ13" i="4" a="1"/>
  <c r="BR16" i="4" a="1"/>
  <c r="ED13" i="4" a="1"/>
  <c r="BL5" i="4" a="1"/>
  <c r="BQ6" i="4" a="1"/>
  <c r="EI7" i="4" a="1"/>
  <c r="DI12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AR5" i="4" a="1"/>
  <c r="CF13" i="4" a="1"/>
  <c r="CO7" i="4" a="1"/>
  <c r="DT16" i="4" a="1"/>
  <c r="AN9" i="4" a="1"/>
  <c r="L7" i="4" a="1"/>
  <c r="R5" i="4" a="1"/>
  <c r="CE11" i="4" a="1"/>
  <c r="BR7" i="4" a="1"/>
  <c r="X14" i="4" a="1"/>
  <c r="H5" i="4" a="1"/>
  <c r="ED7" i="4" a="1"/>
  <c r="O9" i="4" a="1"/>
  <c r="BT8" i="4" a="1"/>
  <c r="BD14" i="4" a="1"/>
  <c r="BD16" i="4" a="1"/>
  <c r="DQ6" i="4" a="1"/>
  <c r="CA5" i="4" a="1"/>
  <c r="DC5" i="4" a="1"/>
  <c r="AW9" i="4" a="1"/>
  <c r="CG9" i="4" a="1"/>
  <c r="V7" i="4" a="1"/>
  <c r="Z6" i="4" a="1"/>
  <c r="DH9" i="4" a="1"/>
  <c r="AZ16" i="4" a="1"/>
  <c r="CW6" i="4" a="1"/>
  <c r="AC13" i="4" a="1"/>
  <c r="AM12" i="4" a="1"/>
  <c r="AA15" i="4" a="1"/>
  <c r="DN5" i="4" a="1"/>
  <c r="O16" i="4" a="1"/>
  <c r="DI11" i="4" a="1"/>
  <c r="BA8" i="4" a="1"/>
  <c r="L15" i="4" a="1"/>
  <c r="BP6" i="4" a="1"/>
  <c r="EJ15" i="4" a="1"/>
  <c r="DB5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DX7" i="4" a="1"/>
  <c r="AS13" i="4" a="1"/>
  <c r="DZ13" i="4" a="1"/>
  <c r="EE15" i="4" a="1"/>
  <c r="CT9" i="4" a="1"/>
  <c r="BK5" i="4" a="1"/>
  <c r="AS14" i="4" a="1"/>
  <c r="DR8" i="4" a="1"/>
  <c r="EF11" i="4" a="1"/>
  <c r="W7" i="4" a="1"/>
  <c r="X16" i="4" a="1"/>
  <c r="CX5" i="4" a="1"/>
  <c r="EC5" i="4" a="1"/>
  <c r="CH12" i="4" a="1"/>
  <c r="H16" i="4" a="1"/>
  <c r="AI6" i="4" a="1"/>
  <c r="AT9" i="4" a="1"/>
  <c r="CK8" i="4" a="1"/>
  <c r="F88" i="3"/>
  <c r="G86" i="3"/>
  <c r="D63" i="3"/>
  <c r="G81" i="3"/>
  <c r="D91" i="3"/>
  <c r="D79" i="3"/>
  <c r="G95" i="3"/>
  <c r="D96" i="3"/>
  <c r="F83" i="3"/>
  <c r="G71" i="3"/>
  <c r="D84" i="3"/>
  <c r="G87" i="3"/>
  <c r="D78" i="3"/>
  <c r="G74" i="3"/>
  <c r="D55" i="3"/>
  <c r="G88" i="3"/>
  <c r="D62" i="3"/>
  <c r="F94" i="3"/>
  <c r="G66" i="3"/>
  <c r="D85" i="3"/>
  <c r="F77" i="3"/>
  <c r="F69" i="3"/>
  <c r="G58" i="3"/>
  <c r="D58" i="3"/>
  <c r="G67" i="3"/>
  <c r="D87" i="3"/>
  <c r="G78" i="3"/>
  <c r="D97" i="3"/>
  <c r="F58" i="3"/>
  <c r="F82" i="3"/>
  <c r="G83" i="3"/>
  <c r="D89" i="3"/>
  <c r="D73" i="3"/>
  <c r="F62" i="3"/>
  <c r="G77" i="3"/>
  <c r="D83" i="3"/>
  <c r="F86" i="3"/>
  <c r="G82" i="3"/>
  <c r="D75" i="3"/>
  <c r="G72" i="3"/>
  <c r="F74" i="3"/>
  <c r="F64" i="3"/>
  <c r="D77" i="3"/>
  <c r="G56" i="3"/>
  <c r="F59" i="3"/>
  <c r="D82" i="3"/>
  <c r="F55" i="3"/>
  <c r="F60" i="3"/>
  <c r="G69" i="3"/>
  <c r="D64" i="3"/>
  <c r="D59" i="3"/>
  <c r="F95" i="3"/>
  <c r="G96" i="3"/>
  <c r="G73" i="3"/>
  <c r="G61" i="3"/>
  <c r="F68" i="3"/>
  <c r="G62" i="3"/>
  <c r="F67" i="3"/>
  <c r="F79" i="3"/>
  <c r="G55" i="3"/>
  <c r="G63" i="3"/>
  <c r="D57" i="3"/>
  <c r="G79" i="3"/>
  <c r="D74" i="3"/>
  <c r="F81" i="3"/>
  <c r="G91" i="3"/>
  <c r="G70" i="3"/>
  <c r="D71" i="3"/>
  <c r="D65" i="3"/>
  <c r="F63" i="3"/>
  <c r="G60" i="3"/>
  <c r="G94" i="3"/>
  <c r="G64" i="3"/>
  <c r="D56" i="3"/>
  <c r="D81" i="3"/>
  <c r="F80" i="3"/>
  <c r="G57" i="3"/>
  <c r="F54" i="3"/>
  <c r="D94" i="3"/>
  <c r="G97" i="3"/>
  <c r="F92" i="3"/>
  <c r="F76" i="3"/>
  <c r="D86" i="3"/>
  <c r="G68" i="3"/>
  <c r="G54" i="3"/>
  <c r="D66" i="3"/>
  <c r="D92" i="3"/>
  <c r="F73" i="3"/>
  <c r="G93" i="3"/>
  <c r="D54" i="3"/>
  <c r="D70" i="3"/>
  <c r="F87" i="3"/>
  <c r="G85" i="3"/>
  <c r="F96" i="3"/>
  <c r="F48" i="3"/>
  <c r="G84" i="3"/>
  <c r="D60" i="3"/>
  <c r="F50" i="3"/>
  <c r="G59" i="3"/>
  <c r="F84" i="3"/>
  <c r="F72" i="3"/>
  <c r="D69" i="3"/>
  <c r="F85" i="3"/>
  <c r="F57" i="3"/>
  <c r="F90" i="3"/>
  <c r="G75" i="3"/>
  <c r="F47" i="3"/>
  <c r="D76" i="3"/>
  <c r="D93" i="3"/>
  <c r="D90" i="3"/>
  <c r="F93" i="3"/>
  <c r="G65" i="3"/>
  <c r="F56" i="3"/>
  <c r="F71" i="3"/>
  <c r="G90" i="3"/>
  <c r="D61" i="3"/>
  <c r="F70" i="3"/>
  <c r="F75" i="3"/>
  <c r="F78" i="3"/>
  <c r="G92" i="3"/>
  <c r="D80" i="3"/>
  <c r="F97" i="3"/>
  <c r="F61" i="3"/>
  <c r="D68" i="3"/>
  <c r="F89" i="3"/>
  <c r="F66" i="3"/>
  <c r="D72" i="3"/>
  <c r="D67" i="3"/>
  <c r="F49" i="3"/>
  <c r="G80" i="3"/>
  <c r="F91" i="3"/>
  <c r="G76" i="3"/>
  <c r="F65" i="3"/>
  <c r="D95" i="3"/>
  <c r="D88" i="3"/>
  <c r="G89" i="3"/>
  <c r="HV16" i="4" s="1"/>
  <c r="HS16" i="4" s="1"/>
  <c r="HS9" i="4" s="1"/>
  <c r="HZ16" i="4" s="1"/>
  <c r="IV9" i="4" s="1"/>
  <c r="IW16" i="4" s="1"/>
  <c r="HQ9" i="4" s="1"/>
  <c r="IK16" i="4" s="1"/>
  <c r="HY16" i="4" s="1"/>
  <c r="IM9" i="4" s="1"/>
  <c r="IU16" i="4" s="1"/>
  <c r="HT9" i="4" s="1"/>
  <c r="IG16" i="4" s="1"/>
  <c r="II16" i="4" s="1"/>
  <c r="JF9" i="4" s="1"/>
  <c r="HQ16" i="4" s="1"/>
  <c r="HQ21" i="4" s="1"/>
  <c r="AK88" i="1" s="1"/>
  <c r="IZ9" i="4" s="1"/>
  <c r="IN16" i="4" s="1"/>
  <c r="IS16" i="4" s="1"/>
  <c r="IX16" i="4" s="1"/>
  <c r="JD9" i="4" s="1"/>
  <c r="IQ9" i="4" s="1"/>
  <c r="IO9" i="4" s="1"/>
  <c r="IA9" i="4" s="1"/>
  <c r="IV16" i="4" s="1"/>
  <c r="IF9" i="4" s="1"/>
  <c r="JI9" i="4" s="1"/>
  <c r="JC16" i="4" s="1"/>
  <c r="JB16" i="4" s="1"/>
  <c r="HY9" i="4" s="1"/>
  <c r="E80" i="3" l="1"/>
  <c r="AD56" i="3"/>
  <c r="AD73" i="3"/>
  <c r="E61" i="3"/>
  <c r="AD61" i="3"/>
  <c r="E56" i="3"/>
  <c r="AD93" i="3"/>
  <c r="E65" i="3"/>
  <c r="AD55" i="3"/>
  <c r="E78" i="3"/>
  <c r="E75" i="3"/>
  <c r="AD60" i="3"/>
  <c r="AD67" i="3"/>
  <c r="E83" i="3"/>
  <c r="AD87" i="3"/>
  <c r="E96" i="3"/>
  <c r="E77" i="3"/>
  <c r="AD80" i="3"/>
  <c r="AD71" i="3"/>
  <c r="E57" i="3"/>
  <c r="AD66" i="3"/>
  <c r="E69" i="3"/>
  <c r="AD77" i="3"/>
  <c r="AD90" i="3"/>
  <c r="E76" i="3"/>
  <c r="E91" i="3"/>
  <c r="AD76" i="3"/>
  <c r="E64" i="3"/>
  <c r="AD70" i="3"/>
  <c r="E81" i="3"/>
  <c r="AD54" i="3"/>
  <c r="E73" i="3"/>
  <c r="E87" i="3"/>
  <c r="AD65" i="3"/>
  <c r="E89" i="3"/>
  <c r="E97" i="3"/>
  <c r="AD95" i="3"/>
  <c r="E66" i="3"/>
  <c r="AD91" i="3"/>
  <c r="E88" i="3"/>
  <c r="AD96" i="3"/>
  <c r="AD85" i="3"/>
  <c r="AD88" i="3"/>
  <c r="AD74" i="3"/>
  <c r="E62" i="3"/>
  <c r="E71" i="3"/>
  <c r="AD86" i="3"/>
  <c r="E58" i="3"/>
  <c r="E86" i="3"/>
  <c r="E92" i="3"/>
  <c r="AD82" i="3"/>
  <c r="E63" i="3"/>
  <c r="AD75" i="3"/>
  <c r="AD89" i="3"/>
  <c r="AD68" i="3"/>
  <c r="AD62" i="3"/>
  <c r="AD64" i="3"/>
  <c r="E95" i="3"/>
  <c r="AD97" i="3"/>
  <c r="E59" i="3"/>
  <c r="AD59" i="3"/>
  <c r="E55" i="3"/>
  <c r="AD81" i="3"/>
  <c r="E70" i="3"/>
  <c r="AD57" i="3"/>
  <c r="E72" i="3"/>
  <c r="E79" i="3"/>
  <c r="AD92" i="3"/>
  <c r="AD94" i="3"/>
  <c r="E68" i="3"/>
  <c r="E90" i="3"/>
  <c r="AD84" i="3"/>
  <c r="AD69" i="3"/>
  <c r="E94" i="3"/>
  <c r="E54" i="3"/>
  <c r="E85" i="3"/>
  <c r="AD78" i="3"/>
  <c r="E60" i="3"/>
  <c r="AD83" i="3"/>
  <c r="AD58" i="3"/>
  <c r="E93" i="3"/>
  <c r="AD72" i="3"/>
  <c r="E74" i="3"/>
  <c r="AD79" i="3"/>
  <c r="E82" i="3"/>
  <c r="E67" i="3"/>
  <c r="AD63" i="3"/>
  <c r="E84" i="3"/>
  <c r="CN74" i="1"/>
  <c r="CM76" i="1"/>
  <c r="BX50" i="1"/>
  <c r="AM24" i="1"/>
  <c r="AL25" i="1"/>
  <c r="AL47" i="1"/>
  <c r="W26" i="1"/>
  <c r="G57" i="1"/>
  <c r="BX170" i="1"/>
  <c r="P166" i="1"/>
  <c r="D20" i="1"/>
  <c r="L20" i="1"/>
  <c r="F47" i="1"/>
  <c r="W143" i="1"/>
  <c r="I20" i="1"/>
  <c r="M62" i="1"/>
  <c r="J32" i="1"/>
  <c r="T47" i="1"/>
  <c r="Q57" i="1"/>
  <c r="M24" i="1"/>
  <c r="JE15" i="4" s="1"/>
  <c r="JI7" i="4" s="1"/>
  <c r="BJ31" i="1"/>
  <c r="AJ50" i="1"/>
  <c r="K43" i="1"/>
  <c r="Q32" i="1"/>
  <c r="H47" i="1"/>
  <c r="W43" i="1"/>
  <c r="O19" i="1"/>
  <c r="O242" i="1" s="1"/>
  <c r="I47" i="1"/>
  <c r="J46" i="1"/>
  <c r="J56" i="1"/>
  <c r="P19" i="1"/>
  <c r="AJ34" i="1"/>
  <c r="BX34" i="1"/>
  <c r="AM34" i="1"/>
  <c r="B50" i="1"/>
  <c r="O47" i="1"/>
  <c r="O263" i="1" s="1"/>
  <c r="K19" i="1"/>
  <c r="K242" i="1" s="1"/>
  <c r="O56" i="1"/>
  <c r="C57" i="1"/>
  <c r="I33" i="1"/>
  <c r="N26" i="1"/>
  <c r="J57" i="1"/>
  <c r="F32" i="1"/>
  <c r="JF7" i="4" s="1"/>
  <c r="JE9" i="4" s="1"/>
  <c r="JG9" i="4" s="1"/>
  <c r="JC9" i="4" s="1"/>
  <c r="IC16" i="4" s="1"/>
  <c r="AL57" i="1"/>
  <c r="AJ57" i="1"/>
  <c r="BX43" i="1"/>
  <c r="BX205" i="1" s="1"/>
  <c r="AL19" i="1"/>
  <c r="AK46" i="1"/>
  <c r="BJ36" i="1"/>
  <c r="Q20" i="1"/>
  <c r="C24" i="1"/>
  <c r="BX84" i="1"/>
  <c r="I32" i="1"/>
  <c r="M19" i="1"/>
  <c r="M242" i="1" s="1"/>
  <c r="O46" i="1"/>
  <c r="S26" i="1"/>
  <c r="N32" i="1"/>
  <c r="F46" i="1"/>
  <c r="JF16" i="4" s="1"/>
  <c r="IH16" i="4" s="1"/>
  <c r="IU9" i="4" s="1"/>
  <c r="HU16" i="4" s="1"/>
  <c r="AL43" i="1"/>
  <c r="BX46" i="1"/>
  <c r="AL35" i="1"/>
  <c r="BJ24" i="1"/>
  <c r="BX56" i="1"/>
  <c r="C47" i="1"/>
  <c r="V33" i="1"/>
  <c r="BY84" i="1"/>
  <c r="L24" i="1"/>
  <c r="N24" i="1"/>
  <c r="G19" i="1"/>
  <c r="S50" i="1"/>
  <c r="P138" i="1"/>
  <c r="C33" i="1"/>
  <c r="IG9" i="4" s="1"/>
  <c r="HP9" i="4" s="1"/>
  <c r="IQ16" i="4" s="1"/>
  <c r="IQ21" i="4" s="1"/>
  <c r="BK88" i="1" s="1"/>
  <c r="ID8" i="4" s="1"/>
  <c r="JG16" i="4" s="1"/>
  <c r="JG21" i="4" s="1"/>
  <c r="CA88" i="1" s="1"/>
  <c r="IK8" i="4" s="1"/>
  <c r="IX9" i="4" s="1"/>
  <c r="IN9" i="4" s="1"/>
  <c r="IW15" i="4" s="1"/>
  <c r="BX57" i="1"/>
  <c r="AL26" i="1"/>
  <c r="AK57" i="1"/>
  <c r="AJ35" i="1"/>
  <c r="BX25" i="1"/>
  <c r="H24" i="1"/>
  <c r="L50" i="1"/>
  <c r="BX143" i="1"/>
  <c r="I56" i="1"/>
  <c r="L56" i="1"/>
  <c r="F43" i="1"/>
  <c r="F205" i="1" s="1"/>
  <c r="F56" i="1"/>
  <c r="C20" i="1"/>
  <c r="Q58" i="1"/>
  <c r="O20" i="1"/>
  <c r="IW9" i="4" s="1"/>
  <c r="IW21" i="4" s="1"/>
  <c r="BQ88" i="1" s="1"/>
  <c r="JF15" i="4" s="1"/>
  <c r="IJ7" i="4" s="1"/>
  <c r="IL14" i="4" s="1"/>
  <c r="IG14" i="4" s="1"/>
  <c r="JA16" i="4" s="1"/>
  <c r="IP15" i="4" s="1"/>
  <c r="IW8" i="4" s="1"/>
  <c r="HX16" i="4" s="1"/>
  <c r="IW7" i="4" s="1"/>
  <c r="IA8" i="4" s="1"/>
  <c r="BJ26" i="1"/>
  <c r="AK56" i="1"/>
  <c r="AJ19" i="1"/>
  <c r="AK20" i="1"/>
  <c r="AK47" i="1"/>
  <c r="S24" i="1"/>
  <c r="B31" i="1"/>
  <c r="F24" i="1"/>
  <c r="G24" i="1"/>
  <c r="V26" i="1"/>
  <c r="IA16" i="4" s="1"/>
  <c r="IA21" i="4" s="1"/>
  <c r="AU88" i="1" s="1"/>
  <c r="IA14" i="4" s="1"/>
  <c r="JA9" i="4" s="1"/>
  <c r="HY14" i="4" s="1"/>
  <c r="IH9" i="4" s="1"/>
  <c r="JH9" i="4" s="1"/>
  <c r="IF15" i="4" s="1"/>
  <c r="II15" i="4" s="1"/>
  <c r="ID15" i="4" s="1"/>
  <c r="IM16" i="4" s="1"/>
  <c r="JH15" i="4" s="1"/>
  <c r="HV9" i="4" s="1"/>
  <c r="HP8" i="4" s="1"/>
  <c r="IK9" i="4" s="1"/>
  <c r="IH8" i="4" s="1"/>
  <c r="HR9" i="4" s="1"/>
  <c r="HW8" i="4" s="1"/>
  <c r="BX31" i="1"/>
  <c r="AJ20" i="1"/>
  <c r="AJ21" i="1" s="1"/>
  <c r="AK62" i="1"/>
  <c r="AJ58" i="1"/>
  <c r="AM26" i="1"/>
  <c r="D133" i="1"/>
  <c r="B46" i="1"/>
  <c r="S19" i="1"/>
  <c r="S242" i="1" s="1"/>
  <c r="B36" i="1"/>
  <c r="M20" i="1"/>
  <c r="I34" i="1"/>
  <c r="F57" i="1"/>
  <c r="P50" i="1"/>
  <c r="K32" i="1"/>
  <c r="IN14" i="4" s="1"/>
  <c r="IE16" i="4" s="1"/>
  <c r="IA15" i="4" s="1"/>
  <c r="IT9" i="4" s="1"/>
  <c r="AJ36" i="1"/>
  <c r="AK50" i="1"/>
  <c r="AM46" i="1"/>
  <c r="AM35" i="1"/>
  <c r="M34" i="1"/>
  <c r="P164" i="1"/>
  <c r="J36" i="1"/>
  <c r="D32" i="1"/>
  <c r="S33" i="1"/>
  <c r="U36" i="1"/>
  <c r="M33" i="1"/>
  <c r="Q46" i="1"/>
  <c r="N34" i="1"/>
  <c r="C56" i="1"/>
  <c r="W33" i="1"/>
  <c r="II9" i="4" s="1"/>
  <c r="II21" i="4" s="1"/>
  <c r="BC88" i="1" s="1"/>
  <c r="IY9" i="4" s="1"/>
  <c r="IT16" i="4" s="1"/>
  <c r="AL58" i="1"/>
  <c r="AK25" i="1"/>
  <c r="BJ25" i="1"/>
  <c r="BX35" i="1"/>
  <c r="N31" i="1"/>
  <c r="G62" i="1"/>
  <c r="U33" i="1"/>
  <c r="Q24" i="1"/>
  <c r="G34" i="1"/>
  <c r="O62" i="1"/>
  <c r="G43" i="1"/>
  <c r="T35" i="1"/>
  <c r="R34" i="1"/>
  <c r="M31" i="1"/>
  <c r="H33" i="1"/>
  <c r="T24" i="1"/>
  <c r="E19" i="1"/>
  <c r="E242" i="1" s="1"/>
  <c r="E170" i="1"/>
  <c r="IX14" i="4" s="1"/>
  <c r="HW9" i="4" s="1"/>
  <c r="IR16" i="4" s="1"/>
  <c r="IX8" i="4" s="1"/>
  <c r="JC15" i="4" s="1"/>
  <c r="HZ15" i="4" s="1"/>
  <c r="HP16" i="4" s="1"/>
  <c r="HP21" i="4" s="1"/>
  <c r="AJ88" i="1" s="1"/>
  <c r="JD8" i="4" s="1"/>
  <c r="IJ16" i="4" s="1"/>
  <c r="IK7" i="4" s="1"/>
  <c r="AM20" i="1"/>
  <c r="AM36" i="1"/>
  <c r="AK58" i="1"/>
  <c r="W58" i="1"/>
  <c r="BX175" i="1"/>
  <c r="BY175" i="1" s="1"/>
  <c r="D46" i="1"/>
  <c r="E33" i="1"/>
  <c r="K56" i="1"/>
  <c r="E62" i="1"/>
  <c r="S62" i="1"/>
  <c r="JI16" i="4" s="1"/>
  <c r="JI21" i="4" s="1"/>
  <c r="CC88" i="1" s="1"/>
  <c r="CC96" i="1" s="1"/>
  <c r="HP7" i="4" s="1"/>
  <c r="JE14" i="4" s="1"/>
  <c r="IC9" i="4" s="1"/>
  <c r="HX15" i="4" s="1"/>
  <c r="HT8" i="4" s="1"/>
  <c r="IR9" i="4" s="1"/>
  <c r="IB16" i="4" s="1"/>
  <c r="IE9" i="4" s="1"/>
  <c r="IE21" i="4" s="1"/>
  <c r="AY88" i="1" s="1"/>
  <c r="IC15" i="4" s="1"/>
  <c r="IY7" i="4" s="1"/>
  <c r="IP9" i="4" s="1"/>
  <c r="JD7" i="4" s="1"/>
  <c r="JD16" i="4" s="1"/>
  <c r="JD21" i="4" s="1"/>
  <c r="BX88" i="1" s="1"/>
  <c r="BX24" i="1"/>
  <c r="BX36" i="1"/>
  <c r="AM33" i="1"/>
  <c r="BX165" i="1"/>
  <c r="BY165" i="1" s="1"/>
  <c r="I46" i="1"/>
  <c r="V34" i="1"/>
  <c r="S31" i="1"/>
  <c r="K36" i="1"/>
  <c r="H31" i="1"/>
  <c r="L31" i="1"/>
  <c r="K26" i="1"/>
  <c r="R47" i="1"/>
  <c r="L36" i="1"/>
  <c r="T26" i="1"/>
  <c r="O35" i="1"/>
  <c r="F31" i="1"/>
  <c r="G46" i="1"/>
  <c r="S58" i="1"/>
  <c r="V50" i="1"/>
  <c r="M57" i="1"/>
  <c r="Q35" i="1"/>
  <c r="N47" i="1"/>
  <c r="S34" i="1"/>
  <c r="M43" i="1"/>
  <c r="M205" i="1" s="1"/>
  <c r="N33" i="1"/>
  <c r="V32" i="1"/>
  <c r="U62" i="1"/>
  <c r="N19" i="1"/>
  <c r="N242" i="1" s="1"/>
  <c r="N20" i="1"/>
  <c r="J24" i="1"/>
  <c r="P36" i="1"/>
  <c r="T33" i="1"/>
  <c r="E35" i="1"/>
  <c r="BJ35" i="1"/>
  <c r="AL20" i="1"/>
  <c r="U34" i="1"/>
  <c r="J34" i="1"/>
  <c r="C31" i="1"/>
  <c r="J43" i="1"/>
  <c r="J31" i="1"/>
  <c r="E56" i="1"/>
  <c r="Q33" i="1"/>
  <c r="T57" i="1"/>
  <c r="I24" i="1"/>
  <c r="BX133" i="1"/>
  <c r="BY133" i="1" s="1"/>
  <c r="U24" i="1"/>
  <c r="Q43" i="1"/>
  <c r="Q205" i="1" s="1"/>
  <c r="N46" i="1"/>
  <c r="D26" i="1"/>
  <c r="W50" i="1"/>
  <c r="E58" i="1"/>
  <c r="L35" i="1"/>
  <c r="Q31" i="1"/>
  <c r="F62" i="1"/>
  <c r="H32" i="1"/>
  <c r="H62" i="1"/>
  <c r="P43" i="1"/>
  <c r="R33" i="1"/>
  <c r="J20" i="1"/>
  <c r="K33" i="1"/>
  <c r="U46" i="1"/>
  <c r="V62" i="1"/>
  <c r="R32" i="1"/>
  <c r="P31" i="1"/>
  <c r="C58" i="1"/>
  <c r="K57" i="1"/>
  <c r="J35" i="1"/>
  <c r="D33" i="1"/>
  <c r="T50" i="1"/>
  <c r="R26" i="1"/>
  <c r="B19" i="1"/>
  <c r="B242" i="1" s="1"/>
  <c r="W24" i="1"/>
  <c r="K46" i="1"/>
  <c r="P171" i="1"/>
  <c r="N56" i="1"/>
  <c r="T58" i="1"/>
  <c r="T43" i="1"/>
  <c r="T205" i="1" s="1"/>
  <c r="E46" i="1"/>
  <c r="IF16" i="4" s="1"/>
  <c r="HU9" i="4" s="1"/>
  <c r="ID16" i="4" s="1"/>
  <c r="JI14" i="4" s="1"/>
  <c r="IY8" i="4"/>
  <c r="IO8" i="4"/>
  <c r="IE15" i="4"/>
  <c r="JC21" i="4"/>
  <c r="BW88" i="1" s="1"/>
  <c r="II8" i="4"/>
  <c r="HQ15" i="4"/>
  <c r="JF8" i="4"/>
  <c r="IM14" i="4"/>
  <c r="HR14" i="4"/>
  <c r="JF14" i="4"/>
  <c r="HV8" i="4"/>
  <c r="AL31" i="1"/>
  <c r="AL56" i="1"/>
  <c r="BX26" i="1"/>
  <c r="AJ25" i="1"/>
  <c r="AJ31" i="1"/>
  <c r="F36" i="1"/>
  <c r="B26" i="1"/>
  <c r="L19" i="1"/>
  <c r="E31" i="1"/>
  <c r="D43" i="1"/>
  <c r="D205" i="1" s="1"/>
  <c r="BX163" i="1"/>
  <c r="BY163" i="1" s="1"/>
  <c r="D36" i="1"/>
  <c r="P20" i="1"/>
  <c r="L32" i="1"/>
  <c r="H20" i="1"/>
  <c r="V20" i="1"/>
  <c r="V21" i="1" s="1"/>
  <c r="V109" i="1" s="1"/>
  <c r="C36" i="1"/>
  <c r="U35" i="1"/>
  <c r="P58" i="1"/>
  <c r="H50" i="1"/>
  <c r="R19" i="1"/>
  <c r="R242" i="1" s="1"/>
  <c r="S36" i="1"/>
  <c r="F50" i="1"/>
  <c r="C62" i="1"/>
  <c r="M32" i="1"/>
  <c r="C34" i="1"/>
  <c r="V56" i="1"/>
  <c r="O31" i="1"/>
  <c r="G174" i="1"/>
  <c r="T62" i="1"/>
  <c r="O34" i="1"/>
  <c r="V35" i="1"/>
  <c r="N62" i="1"/>
  <c r="F33" i="1"/>
  <c r="T34" i="1"/>
  <c r="F19" i="1"/>
  <c r="F242" i="1" s="1"/>
  <c r="D57" i="1"/>
  <c r="W20" i="1"/>
  <c r="W21" i="1" s="1"/>
  <c r="W199" i="1" s="1"/>
  <c r="IP16" i="4" s="1"/>
  <c r="AJ47" i="1"/>
  <c r="BJ34" i="1"/>
  <c r="AJ26" i="1"/>
  <c r="AK36" i="1"/>
  <c r="BJ32" i="1"/>
  <c r="BX155" i="1"/>
  <c r="G47" i="1"/>
  <c r="B24" i="1"/>
  <c r="O26" i="1"/>
  <c r="BX171" i="1"/>
  <c r="BX172" i="1" s="1"/>
  <c r="BY220" i="1" s="1"/>
  <c r="J33" i="1"/>
  <c r="G31" i="1"/>
  <c r="U32" i="1"/>
  <c r="O36" i="1"/>
  <c r="BX129" i="1"/>
  <c r="BY129" i="1" s="1"/>
  <c r="B20" i="1"/>
  <c r="B21" i="1" s="1"/>
  <c r="P56" i="1"/>
  <c r="V31" i="1"/>
  <c r="C35" i="1"/>
  <c r="D34" i="1"/>
  <c r="L34" i="1"/>
  <c r="R20" i="1"/>
  <c r="R21" i="1" s="1"/>
  <c r="R109" i="1" s="1"/>
  <c r="O50" i="1"/>
  <c r="G36" i="1"/>
  <c r="G20" i="1"/>
  <c r="S35" i="1"/>
  <c r="O57" i="1"/>
  <c r="V58" i="1"/>
  <c r="V24" i="1"/>
  <c r="T20" i="1"/>
  <c r="G164" i="1"/>
  <c r="G194" i="1" s="1"/>
  <c r="C26" i="1"/>
  <c r="G35" i="1"/>
  <c r="H34" i="1"/>
  <c r="P26" i="1"/>
  <c r="R35" i="1"/>
  <c r="E32" i="1"/>
  <c r="P57" i="1"/>
  <c r="T36" i="1"/>
  <c r="I57" i="1"/>
  <c r="F58" i="1"/>
  <c r="M36" i="1"/>
  <c r="T46" i="1"/>
  <c r="T31" i="1"/>
  <c r="P33" i="1"/>
  <c r="H46" i="1"/>
  <c r="U58" i="1"/>
  <c r="JE16" i="4" s="1"/>
  <c r="JE21" i="4" s="1"/>
  <c r="BY88" i="1" s="1"/>
  <c r="JB9" i="4" s="1"/>
  <c r="JB21" i="4" s="1"/>
  <c r="BV88" i="1" s="1"/>
  <c r="IY15" i="4" s="1"/>
  <c r="HP14" i="4" s="1"/>
  <c r="ID9" i="4" s="1"/>
  <c r="HT16" i="4" s="1"/>
  <c r="HT21" i="4" s="1"/>
  <c r="AN88" i="1" s="1"/>
  <c r="AK35" i="1"/>
  <c r="BX19" i="1"/>
  <c r="BX47" i="1"/>
  <c r="AJ33" i="1"/>
  <c r="AK34" i="1"/>
  <c r="AL50" i="1"/>
  <c r="BX174" i="1"/>
  <c r="BY174" i="1" s="1"/>
  <c r="U47" i="1"/>
  <c r="U263" i="1" s="1"/>
  <c r="S32" i="1"/>
  <c r="B34" i="1"/>
  <c r="BX157" i="1"/>
  <c r="BY157" i="1" s="1"/>
  <c r="W56" i="1"/>
  <c r="BX142" i="1"/>
  <c r="BX85" i="1"/>
  <c r="BX137" i="1"/>
  <c r="BY137" i="1" s="1"/>
  <c r="K24" i="1"/>
  <c r="BX164" i="1"/>
  <c r="B47" i="1"/>
  <c r="B62" i="1"/>
  <c r="V57" i="1"/>
  <c r="L26" i="1"/>
  <c r="K34" i="1"/>
  <c r="I26" i="1"/>
  <c r="D58" i="1"/>
  <c r="S20" i="1"/>
  <c r="N50" i="1"/>
  <c r="C32" i="1"/>
  <c r="D31" i="1"/>
  <c r="J58" i="1"/>
  <c r="B32" i="1"/>
  <c r="Q164" i="1"/>
  <c r="W46" i="1"/>
  <c r="C135" i="1"/>
  <c r="U26" i="1"/>
  <c r="T19" i="1"/>
  <c r="T242" i="1" s="1"/>
  <c r="W128" i="1"/>
  <c r="R62" i="1"/>
  <c r="BX58" i="1"/>
  <c r="BX32" i="1"/>
  <c r="BX62" i="1"/>
  <c r="AJ56" i="1"/>
  <c r="AK43" i="1"/>
  <c r="AK205" i="1" s="1"/>
  <c r="AL32" i="1"/>
  <c r="BX153" i="1"/>
  <c r="BY153" i="1" s="1"/>
  <c r="BX151" i="1"/>
  <c r="BY151" i="1" s="1"/>
  <c r="BZ213" i="1" s="1"/>
  <c r="I50" i="1"/>
  <c r="E34" i="1"/>
  <c r="B35" i="1"/>
  <c r="BX161" i="1"/>
  <c r="BY161" i="1" s="1"/>
  <c r="I31" i="1"/>
  <c r="S56" i="1"/>
  <c r="BX146" i="1"/>
  <c r="BY146" i="1" s="1"/>
  <c r="BX138" i="1"/>
  <c r="BY138" i="1" s="1"/>
  <c r="BX128" i="1"/>
  <c r="G56" i="1"/>
  <c r="K50" i="1"/>
  <c r="J19" i="1"/>
  <c r="J242" i="1" s="1"/>
  <c r="B56" i="1"/>
  <c r="E57" i="1"/>
  <c r="L58" i="1"/>
  <c r="Q34" i="1"/>
  <c r="S43" i="1"/>
  <c r="E47" i="1"/>
  <c r="W34" i="1"/>
  <c r="I19" i="1"/>
  <c r="E24" i="1"/>
  <c r="H56" i="1"/>
  <c r="U57" i="1"/>
  <c r="Q19" i="1"/>
  <c r="Q242" i="1" s="1"/>
  <c r="Q36" i="1"/>
  <c r="J26" i="1"/>
  <c r="E43" i="1"/>
  <c r="E205" i="1" s="1"/>
  <c r="O43" i="1"/>
  <c r="O205" i="1" s="1"/>
  <c r="U20" i="1"/>
  <c r="U21" i="1" s="1"/>
  <c r="G58" i="1"/>
  <c r="W31" i="1"/>
  <c r="R43" i="1"/>
  <c r="I36" i="1"/>
  <c r="H43" i="1"/>
  <c r="W57" i="1"/>
  <c r="IO16" i="4" s="1"/>
  <c r="IQ8" i="4" s="1"/>
  <c r="HT7" i="4" s="1"/>
  <c r="IY14" i="4" s="1"/>
  <c r="JH16" i="4" s="1"/>
  <c r="JH21" i="4" s="1"/>
  <c r="CB88" i="1" s="1"/>
  <c r="HR7" i="4" s="1"/>
  <c r="IL7" i="4" s="1"/>
  <c r="HX9" i="4" s="1"/>
  <c r="BJ19" i="1"/>
  <c r="BJ242" i="1" s="1"/>
  <c r="AL46" i="1"/>
  <c r="BX20" i="1"/>
  <c r="AJ46" i="1"/>
  <c r="AK19" i="1"/>
  <c r="AJ32" i="1"/>
  <c r="BX33" i="1"/>
  <c r="AL36" i="1"/>
  <c r="BX162" i="1"/>
  <c r="BY162" i="1" s="1"/>
  <c r="R24" i="1"/>
  <c r="U43" i="1"/>
  <c r="U264" i="1" s="1"/>
  <c r="B57" i="1"/>
  <c r="F26" i="1"/>
  <c r="C50" i="1"/>
  <c r="BX158" i="1"/>
  <c r="BY158" i="1" s="1"/>
  <c r="S47" i="1"/>
  <c r="BX166" i="1"/>
  <c r="BY166" i="1" s="1"/>
  <c r="BX160" i="1"/>
  <c r="BY160" i="1" s="1"/>
  <c r="L46" i="1"/>
  <c r="K47" i="1"/>
  <c r="K31" i="1"/>
  <c r="D19" i="1"/>
  <c r="D242" i="1" s="1"/>
  <c r="J130" i="1"/>
  <c r="D24" i="1"/>
  <c r="P46" i="1"/>
  <c r="V43" i="1"/>
  <c r="V205" i="1" s="1"/>
  <c r="E26" i="1"/>
  <c r="W36" i="1"/>
  <c r="W47" i="1"/>
  <c r="W263" i="1" s="1"/>
  <c r="E20" i="1"/>
  <c r="H58" i="1"/>
  <c r="R50" i="1"/>
  <c r="L43" i="1"/>
  <c r="V36" i="1"/>
  <c r="L47" i="1"/>
  <c r="D50" i="1"/>
  <c r="Q56" i="1"/>
  <c r="G33" i="1"/>
  <c r="V46" i="1"/>
  <c r="L33" i="1"/>
  <c r="W35" i="1"/>
  <c r="K62" i="1"/>
  <c r="Q26" i="1"/>
  <c r="Q47" i="1"/>
  <c r="R57" i="1"/>
  <c r="Q62" i="1"/>
  <c r="F34" i="1"/>
  <c r="T32" i="1"/>
  <c r="F20" i="1"/>
  <c r="R56" i="1"/>
  <c r="U56" i="1"/>
  <c r="JE8" i="4" s="1"/>
  <c r="JG14" i="4" s="1"/>
  <c r="IB9" i="4" s="1"/>
  <c r="AJ43" i="1"/>
  <c r="AJ205" i="1" s="1"/>
  <c r="AL33" i="1"/>
  <c r="AM25" i="1"/>
  <c r="AK31" i="1"/>
  <c r="AM19" i="1"/>
  <c r="AM242" i="1" s="1"/>
  <c r="AJ24" i="1"/>
  <c r="AK33" i="1"/>
  <c r="AL62" i="1"/>
  <c r="AM32" i="1"/>
  <c r="F35" i="1"/>
  <c r="BX156" i="1"/>
  <c r="T56" i="1"/>
  <c r="H35" i="1"/>
  <c r="M56" i="1"/>
  <c r="W62" i="1"/>
  <c r="BX154" i="1"/>
  <c r="BY154" i="1" s="1"/>
  <c r="BX130" i="1"/>
  <c r="BY130" i="1" s="1"/>
  <c r="BX148" i="1"/>
  <c r="BY148" i="1" s="1"/>
  <c r="H19" i="1"/>
  <c r="M35" i="1"/>
  <c r="BL85" i="1"/>
  <c r="BX144" i="1"/>
  <c r="R36" i="1"/>
  <c r="P47" i="1"/>
  <c r="I62" i="1"/>
  <c r="C43" i="1"/>
  <c r="C205" i="1" s="1"/>
  <c r="P35" i="1"/>
  <c r="M50" i="1"/>
  <c r="D47" i="1"/>
  <c r="O24" i="1"/>
  <c r="L62" i="1"/>
  <c r="O33" i="1"/>
  <c r="C46" i="1"/>
  <c r="J62" i="1"/>
  <c r="N36" i="1"/>
  <c r="B43" i="1"/>
  <c r="B33" i="1"/>
  <c r="L57" i="1"/>
  <c r="P32" i="1"/>
  <c r="N57" i="1"/>
  <c r="H36" i="1"/>
  <c r="G50" i="1"/>
  <c r="K20" i="1"/>
  <c r="P62" i="1"/>
  <c r="I35" i="1"/>
  <c r="D56" i="1"/>
  <c r="K58" i="1"/>
  <c r="N35" i="1"/>
  <c r="G32" i="1"/>
  <c r="AM47" i="1"/>
  <c r="AM50" i="1"/>
  <c r="AM31" i="1"/>
  <c r="AM43" i="1"/>
  <c r="AM205" i="1" s="1"/>
  <c r="AJ62" i="1"/>
  <c r="AK32" i="1"/>
  <c r="AL34" i="1"/>
  <c r="AK24" i="1"/>
  <c r="AK26" i="1"/>
  <c r="AL24" i="1"/>
  <c r="E36" i="1"/>
  <c r="E50" i="1"/>
  <c r="Q50" i="1"/>
  <c r="D35" i="1"/>
  <c r="BX136" i="1"/>
  <c r="BY136" i="1" s="1"/>
  <c r="R58" i="1"/>
  <c r="R31" i="1"/>
  <c r="U50" i="1"/>
  <c r="M26" i="1"/>
  <c r="I58" i="1"/>
  <c r="BX135" i="1"/>
  <c r="BY135" i="1" s="1"/>
  <c r="S46" i="1"/>
  <c r="M46" i="1"/>
  <c r="B58" i="1"/>
  <c r="W32" i="1"/>
  <c r="H57" i="1"/>
  <c r="O58" i="1"/>
  <c r="P34" i="1"/>
  <c r="N58" i="1"/>
  <c r="J50" i="1"/>
  <c r="O32" i="1"/>
  <c r="J47" i="1"/>
  <c r="D62" i="1"/>
  <c r="R46" i="1"/>
  <c r="U31" i="1"/>
  <c r="H26" i="1"/>
  <c r="S57" i="1"/>
  <c r="P24" i="1"/>
  <c r="M47" i="1"/>
  <c r="M58" i="1"/>
  <c r="N43" i="1"/>
  <c r="N205" i="1" s="1"/>
  <c r="K35" i="1"/>
  <c r="I43" i="1"/>
  <c r="I205" i="1" s="1"/>
  <c r="G26" i="1"/>
  <c r="C19" i="1"/>
  <c r="V47" i="1"/>
  <c r="V263" i="1" s="1"/>
  <c r="AL166" i="1"/>
  <c r="AM166" i="1" s="1"/>
  <c r="AL85" i="1"/>
  <c r="AJ135" i="1"/>
  <c r="AK135" i="1" s="1"/>
  <c r="AJ174" i="1"/>
  <c r="AK174" i="1" s="1"/>
  <c r="AJ138" i="1"/>
  <c r="AK138" i="1" s="1"/>
  <c r="AJ170" i="1"/>
  <c r="AJ133" i="1"/>
  <c r="AK133" i="1" s="1"/>
  <c r="AL156" i="1"/>
  <c r="AL161" i="1"/>
  <c r="AM161" i="1" s="1"/>
  <c r="AL153" i="1"/>
  <c r="AM153" i="1" s="1"/>
  <c r="AL142" i="1"/>
  <c r="AL136" i="1"/>
  <c r="AM136" i="1" s="1"/>
  <c r="AL175" i="1"/>
  <c r="AM175" i="1" s="1"/>
  <c r="AL160" i="1"/>
  <c r="AM160" i="1" s="1"/>
  <c r="AL130" i="1"/>
  <c r="AJ161" i="1"/>
  <c r="AK161" i="1" s="1"/>
  <c r="AJ164" i="1"/>
  <c r="AJ162" i="1"/>
  <c r="AK162" i="1" s="1"/>
  <c r="AL146" i="1"/>
  <c r="AM146" i="1" s="1"/>
  <c r="AJ160" i="1"/>
  <c r="AK160" i="1" s="1"/>
  <c r="AL144" i="1"/>
  <c r="AL174" i="1"/>
  <c r="AM174" i="1" s="1"/>
  <c r="AJ163" i="1"/>
  <c r="AK163" i="1" s="1"/>
  <c r="AJ153" i="1"/>
  <c r="AK153" i="1" s="1"/>
  <c r="AJ165" i="1"/>
  <c r="AK165" i="1" s="1"/>
  <c r="AL162" i="1"/>
  <c r="AM162" i="1" s="1"/>
  <c r="AL133" i="1"/>
  <c r="AM133" i="1" s="1"/>
  <c r="AL164" i="1"/>
  <c r="AL157" i="1"/>
  <c r="AM157" i="1" s="1"/>
  <c r="AL163" i="1"/>
  <c r="AM163" i="1" s="1"/>
  <c r="AL170" i="1"/>
  <c r="AL155" i="1"/>
  <c r="AJ144" i="1"/>
  <c r="AJ155" i="1"/>
  <c r="AJ156" i="1"/>
  <c r="AJ171" i="1"/>
  <c r="AJ130" i="1"/>
  <c r="AJ157" i="1"/>
  <c r="AK157" i="1" s="1"/>
  <c r="AJ136" i="1"/>
  <c r="AK136" i="1" s="1"/>
  <c r="AL165" i="1"/>
  <c r="AM165" i="1" s="1"/>
  <c r="AL128" i="1"/>
  <c r="AM128" i="1" s="1"/>
  <c r="AJ128" i="1"/>
  <c r="AK128" i="1" s="1"/>
  <c r="AL137" i="1"/>
  <c r="AM137" i="1" s="1"/>
  <c r="AL129" i="1"/>
  <c r="AM129" i="1" s="1"/>
  <c r="AL135" i="1"/>
  <c r="AM135" i="1" s="1"/>
  <c r="AL143" i="1"/>
  <c r="AL171" i="1"/>
  <c r="AL138" i="1"/>
  <c r="AM138" i="1" s="1"/>
  <c r="AL84" i="1"/>
  <c r="AL158" i="1"/>
  <c r="AM158" i="1" s="1"/>
  <c r="AJ175" i="1"/>
  <c r="AK175" i="1" s="1"/>
  <c r="AJ137" i="1"/>
  <c r="AK137" i="1" s="1"/>
  <c r="AJ143" i="1"/>
  <c r="AJ166" i="1"/>
  <c r="AK166" i="1" s="1"/>
  <c r="AJ129" i="1"/>
  <c r="AK129" i="1" s="1"/>
  <c r="AJ151" i="1"/>
  <c r="AK151" i="1" s="1"/>
  <c r="AL151" i="1"/>
  <c r="AM151" i="1" s="1"/>
  <c r="AM213" i="1" s="1"/>
  <c r="AJ142" i="1"/>
  <c r="AJ146" i="1"/>
  <c r="AK146" i="1" s="1"/>
  <c r="AJ158" i="1"/>
  <c r="AK158" i="1" s="1"/>
  <c r="AJ154" i="1"/>
  <c r="AK154" i="1" s="1"/>
  <c r="AJ148" i="1"/>
  <c r="AK148" i="1" s="1"/>
  <c r="AL148" i="1"/>
  <c r="AM148" i="1" s="1"/>
  <c r="AL154" i="1"/>
  <c r="HY21" i="4"/>
  <c r="AS88" i="1" s="1"/>
  <c r="HV7" i="4"/>
  <c r="HP15" i="4"/>
  <c r="IZ7" i="4"/>
  <c r="IU15" i="4"/>
  <c r="IR14" i="4"/>
  <c r="JI15" i="4"/>
  <c r="HU8" i="4"/>
  <c r="IR7" i="4"/>
  <c r="HX8" i="4"/>
  <c r="HQ14" i="4"/>
  <c r="JI8" i="4"/>
  <c r="JB15" i="4"/>
  <c r="IT15" i="4"/>
  <c r="IO14" i="4"/>
  <c r="IZ8" i="4"/>
  <c r="IJ8" i="4"/>
  <c r="HS21" i="4"/>
  <c r="AM88" i="1" s="1"/>
  <c r="IV7" i="4"/>
  <c r="JE7" i="4"/>
  <c r="ID14" i="4"/>
  <c r="JC14" i="4"/>
  <c r="JH8" i="4"/>
  <c r="HU15" i="4"/>
  <c r="IQ14" i="4"/>
  <c r="IT7" i="4"/>
  <c r="JD15" i="4"/>
  <c r="IH7" i="4"/>
  <c r="IP7" i="4"/>
  <c r="HW15" i="4"/>
  <c r="IC14" i="4"/>
  <c r="IV8" i="4"/>
  <c r="JG15" i="4"/>
  <c r="IL8" i="4"/>
  <c r="IB7" i="4"/>
  <c r="IQ7" i="4"/>
  <c r="II7" i="4"/>
  <c r="JA14" i="4"/>
  <c r="HV15" i="4"/>
  <c r="JC8" i="4"/>
  <c r="JG7" i="4"/>
  <c r="IC7" i="4"/>
  <c r="IV15" i="4"/>
  <c r="IE7" i="4"/>
  <c r="IH15" i="4"/>
  <c r="IU7" i="4"/>
  <c r="IJ15" i="4"/>
  <c r="HS8" i="4"/>
  <c r="JG8" i="4"/>
  <c r="HR8" i="4"/>
  <c r="IJ14" i="4"/>
  <c r="HQ7" i="4"/>
  <c r="IR15" i="4"/>
  <c r="JD14" i="4"/>
  <c r="IP14" i="4"/>
  <c r="IX21" i="4"/>
  <c r="BR88" i="1" s="1"/>
  <c r="HT15" i="4"/>
  <c r="IS7" i="4"/>
  <c r="IG7" i="4"/>
  <c r="JA7" i="4"/>
  <c r="IE14" i="4"/>
  <c r="IF14" i="4"/>
  <c r="IW14" i="4"/>
  <c r="HV14" i="4"/>
  <c r="ID7" i="4"/>
  <c r="JA8" i="4"/>
  <c r="IO21" i="4"/>
  <c r="BI88" i="1" s="1"/>
  <c r="IR8" i="4"/>
  <c r="HX14" i="4"/>
  <c r="II14" i="4"/>
  <c r="IX15" i="4"/>
  <c r="JB7" i="4"/>
  <c r="IV21" i="4"/>
  <c r="BP88" i="1" s="1"/>
  <c r="HZ7" i="4"/>
  <c r="HW14" i="4"/>
  <c r="IS14" i="4"/>
  <c r="IS19" i="4" s="1"/>
  <c r="BM89" i="1" s="1"/>
  <c r="BM118" i="1" s="1"/>
  <c r="IF8" i="4"/>
  <c r="IB15" i="4"/>
  <c r="IM8" i="4"/>
  <c r="IO7" i="4"/>
  <c r="IH14" i="4"/>
  <c r="HT14" i="4"/>
  <c r="HY15" i="4"/>
  <c r="JF21" i="4"/>
  <c r="BZ88" i="1" s="1"/>
  <c r="BZ105" i="1" s="1"/>
  <c r="IZ15" i="4"/>
  <c r="IG15" i="4"/>
  <c r="JB14" i="4"/>
  <c r="IK15" i="4"/>
  <c r="IX7" i="4"/>
  <c r="IO15" i="4"/>
  <c r="HZ8" i="4"/>
  <c r="JH7" i="4"/>
  <c r="JB8" i="4"/>
  <c r="HY7" i="4"/>
  <c r="HW7" i="4"/>
  <c r="IV14" i="4"/>
  <c r="HR15" i="4"/>
  <c r="IZ14" i="4"/>
  <c r="HS14" i="4"/>
  <c r="IM15" i="4"/>
  <c r="HZ14" i="4"/>
  <c r="IK14" i="4"/>
  <c r="JH14" i="4"/>
  <c r="IB8" i="4"/>
  <c r="IM7" i="4"/>
  <c r="IU14" i="4"/>
  <c r="IU8" i="4"/>
  <c r="IG8" i="4"/>
  <c r="IS8" i="4"/>
  <c r="HU7" i="4"/>
  <c r="IP8" i="4"/>
  <c r="IP20" i="4" s="1"/>
  <c r="BJ90" i="1" s="1"/>
  <c r="BJ119" i="1" s="1"/>
  <c r="IN15" i="4"/>
  <c r="HQ8" i="4"/>
  <c r="IB14" i="4"/>
  <c r="HU14" i="4"/>
  <c r="IC8" i="4"/>
  <c r="HY8" i="4"/>
  <c r="IL15" i="4"/>
  <c r="JC7" i="4"/>
  <c r="JA15" i="4"/>
  <c r="HX7" i="4"/>
  <c r="IE8" i="4"/>
  <c r="IQ15" i="4"/>
  <c r="HS7" i="4"/>
  <c r="HS19" i="4" s="1"/>
  <c r="AM89" i="1" s="1"/>
  <c r="IN8" i="4"/>
  <c r="IT14" i="4"/>
  <c r="ID20" i="4"/>
  <c r="AX90" i="1" s="1"/>
  <c r="AX119" i="1" s="1"/>
  <c r="IL20" i="4"/>
  <c r="BF90" i="1" s="1"/>
  <c r="BF119" i="1" s="1"/>
  <c r="HR20" i="4"/>
  <c r="AL90" i="1" s="1"/>
  <c r="CM43" i="1"/>
  <c r="AC151" i="1"/>
  <c r="CN76" i="1"/>
  <c r="CO74" i="1"/>
  <c r="BX190" i="1" l="1"/>
  <c r="BY190" i="1" s="1"/>
  <c r="HX21" i="4"/>
  <c r="AR88" i="1" s="1"/>
  <c r="S263" i="1"/>
  <c r="IH21" i="4"/>
  <c r="BB88" i="1" s="1"/>
  <c r="JA21" i="4"/>
  <c r="BU88" i="1" s="1"/>
  <c r="IE20" i="4"/>
  <c r="AY90" i="1" s="1"/>
  <c r="AY119" i="1" s="1"/>
  <c r="JF19" i="4"/>
  <c r="BZ89" i="1" s="1"/>
  <c r="IX19" i="4"/>
  <c r="BR89" i="1" s="1"/>
  <c r="BR118" i="1" s="1"/>
  <c r="AL21" i="1"/>
  <c r="B263" i="1"/>
  <c r="B264" i="1"/>
  <c r="AM263" i="1"/>
  <c r="J205" i="1"/>
  <c r="P205" i="1"/>
  <c r="L242" i="1"/>
  <c r="L21" i="1"/>
  <c r="S205" i="1"/>
  <c r="I242" i="1"/>
  <c r="I264" i="1"/>
  <c r="R205" i="1"/>
  <c r="R264" i="1"/>
  <c r="H205" i="1"/>
  <c r="H264" i="1"/>
  <c r="I21" i="1"/>
  <c r="M21" i="1"/>
  <c r="CA105" i="1"/>
  <c r="IP21" i="4"/>
  <c r="BJ88" i="1" s="1"/>
  <c r="G263" i="1"/>
  <c r="S21" i="1"/>
  <c r="E21" i="1"/>
  <c r="AL194" i="1"/>
  <c r="AM194" i="1" s="1"/>
  <c r="AL190" i="1"/>
  <c r="AM190" i="1" s="1"/>
  <c r="AL205" i="1"/>
  <c r="AL264" i="1"/>
  <c r="AJ242" i="1"/>
  <c r="AM109" i="1"/>
  <c r="AM110" i="1" s="1"/>
  <c r="J264" i="1"/>
  <c r="P264" i="1"/>
  <c r="BY128" i="1"/>
  <c r="BY131" i="1" s="1"/>
  <c r="BX131" i="1"/>
  <c r="BX103" i="1" s="1"/>
  <c r="S264" i="1"/>
  <c r="AK21" i="1"/>
  <c r="AK242" i="1"/>
  <c r="V27" i="1"/>
  <c r="V28" i="1" s="1"/>
  <c r="HV21" i="4"/>
  <c r="AP88" i="1" s="1"/>
  <c r="IK21" i="4"/>
  <c r="BE88" i="1" s="1"/>
  <c r="IM21" i="4"/>
  <c r="BG88" i="1" s="1"/>
  <c r="IU21" i="4"/>
  <c r="BO88" i="1" s="1"/>
  <c r="IG21" i="4"/>
  <c r="BA88" i="1" s="1"/>
  <c r="IN21" i="4"/>
  <c r="BH88" i="1" s="1"/>
  <c r="BX37" i="1"/>
  <c r="IX20" i="4"/>
  <c r="BR90" i="1" s="1"/>
  <c r="BR119" i="1" s="1"/>
  <c r="IR21" i="4"/>
  <c r="BL88" i="1" s="1"/>
  <c r="BL105" i="1" s="1"/>
  <c r="IC20" i="4"/>
  <c r="AW90" i="1" s="1"/>
  <c r="AW119" i="1" s="1"/>
  <c r="IT19" i="4"/>
  <c r="BN89" i="1" s="1"/>
  <c r="BN118" i="1" s="1"/>
  <c r="HX20" i="4"/>
  <c r="AR90" i="1" s="1"/>
  <c r="AR119" i="1" s="1"/>
  <c r="HP20" i="4"/>
  <c r="AJ90" i="1" s="1"/>
  <c r="IU20" i="4"/>
  <c r="BO90" i="1" s="1"/>
  <c r="BO119" i="1" s="1"/>
  <c r="BJ165" i="1"/>
  <c r="BK165" i="1" s="1"/>
  <c r="BJ166" i="1"/>
  <c r="BK166" i="1" s="1"/>
  <c r="BJ138" i="1"/>
  <c r="BK138" i="1" s="1"/>
  <c r="BJ160" i="1"/>
  <c r="BJ142" i="1"/>
  <c r="BJ130" i="1"/>
  <c r="BJ174" i="1"/>
  <c r="BK174" i="1" s="1"/>
  <c r="BJ170" i="1"/>
  <c r="BJ135" i="1"/>
  <c r="BJ158" i="1"/>
  <c r="BK158" i="1" s="1"/>
  <c r="BJ156" i="1"/>
  <c r="BJ191" i="1" s="1"/>
  <c r="BK191" i="1" s="1"/>
  <c r="BJ137" i="1"/>
  <c r="BK137" i="1" s="1"/>
  <c r="BJ151" i="1"/>
  <c r="BK151" i="1" s="1"/>
  <c r="BL213" i="1" s="1"/>
  <c r="BJ163" i="1"/>
  <c r="BK163" i="1" s="1"/>
  <c r="BJ146" i="1"/>
  <c r="BK146" i="1" s="1"/>
  <c r="BJ136" i="1"/>
  <c r="BK136" i="1" s="1"/>
  <c r="BJ153" i="1"/>
  <c r="BJ143" i="1"/>
  <c r="BJ157" i="1"/>
  <c r="BK157" i="1" s="1"/>
  <c r="BJ129" i="1"/>
  <c r="BK129" i="1" s="1"/>
  <c r="BJ164" i="1"/>
  <c r="BJ194" i="1" s="1"/>
  <c r="BK194" i="1" s="1"/>
  <c r="BJ161" i="1"/>
  <c r="BK161" i="1" s="1"/>
  <c r="BJ144" i="1"/>
  <c r="BJ162" i="1"/>
  <c r="BK162" i="1" s="1"/>
  <c r="BJ133" i="1"/>
  <c r="BK133" i="1" s="1"/>
  <c r="BJ128" i="1"/>
  <c r="BJ148" i="1"/>
  <c r="BK148" i="1" s="1"/>
  <c r="BJ154" i="1"/>
  <c r="BK154" i="1" s="1"/>
  <c r="M263" i="1"/>
  <c r="AL191" i="1"/>
  <c r="AM191" i="1" s="1"/>
  <c r="I263" i="1"/>
  <c r="I37" i="1"/>
  <c r="HT19" i="4"/>
  <c r="AN89" i="1" s="1"/>
  <c r="AN118" i="1" s="1"/>
  <c r="P194" i="1"/>
  <c r="X199" i="1"/>
  <c r="W22" i="1"/>
  <c r="AJ194" i="1"/>
  <c r="W27" i="1"/>
  <c r="X22" i="1"/>
  <c r="F264" i="1"/>
  <c r="K263" i="1"/>
  <c r="W109" i="1"/>
  <c r="O21" i="1"/>
  <c r="K21" i="1"/>
  <c r="IQ20" i="4"/>
  <c r="BK90" i="1" s="1"/>
  <c r="BK119" i="1" s="1"/>
  <c r="M264" i="1"/>
  <c r="O37" i="1"/>
  <c r="V22" i="1"/>
  <c r="B27" i="1"/>
  <c r="B28" i="1" s="1"/>
  <c r="F21" i="1"/>
  <c r="BX194" i="1"/>
  <c r="BY194" i="1" s="1"/>
  <c r="Q37" i="1"/>
  <c r="V37" i="1"/>
  <c r="V38" i="1" s="1"/>
  <c r="O264" i="1"/>
  <c r="BX139" i="1"/>
  <c r="B37" i="1"/>
  <c r="B38" i="1" s="1"/>
  <c r="BX264" i="1"/>
  <c r="U109" i="1"/>
  <c r="U27" i="1"/>
  <c r="V264" i="1"/>
  <c r="T264" i="1"/>
  <c r="T263" i="1"/>
  <c r="C264" i="1"/>
  <c r="AJ44" i="1"/>
  <c r="BX191" i="1"/>
  <c r="BY191" i="1" s="1"/>
  <c r="D21" i="1"/>
  <c r="L37" i="1"/>
  <c r="P37" i="1"/>
  <c r="J37" i="1"/>
  <c r="IB21" i="4"/>
  <c r="AV88" i="1" s="1"/>
  <c r="F263" i="1"/>
  <c r="U37" i="1"/>
  <c r="U205" i="1"/>
  <c r="BX242" i="1"/>
  <c r="CA109" i="1"/>
  <c r="CA110" i="1" s="1"/>
  <c r="R263" i="1"/>
  <c r="AJ27" i="1"/>
  <c r="AJ28" i="1" s="1"/>
  <c r="L205" i="1"/>
  <c r="AJ190" i="1"/>
  <c r="D263" i="1"/>
  <c r="Q264" i="1"/>
  <c r="Q263" i="1"/>
  <c r="BX263" i="1"/>
  <c r="J263" i="1"/>
  <c r="BX167" i="1"/>
  <c r="BX196" i="1" s="1"/>
  <c r="N21" i="1"/>
  <c r="N264" i="1"/>
  <c r="AM264" i="1"/>
  <c r="Q21" i="1"/>
  <c r="Q194" i="1"/>
  <c r="D264" i="1"/>
  <c r="J21" i="1"/>
  <c r="BX159" i="1"/>
  <c r="BX193" i="1" s="1"/>
  <c r="AJ172" i="1"/>
  <c r="AK220" i="1" s="1"/>
  <c r="AM139" i="1"/>
  <c r="AL172" i="1"/>
  <c r="AM220" i="1" s="1"/>
  <c r="AL145" i="1"/>
  <c r="AM145" i="1" s="1"/>
  <c r="AM149" i="1" s="1"/>
  <c r="AJ139" i="1"/>
  <c r="AL167" i="1"/>
  <c r="AL196" i="1" s="1"/>
  <c r="AL195" i="1" s="1"/>
  <c r="AJ213" i="1"/>
  <c r="AL131" i="1"/>
  <c r="AL139" i="1"/>
  <c r="AI207" i="1"/>
  <c r="AI209" i="1" s="1"/>
  <c r="AJ145" i="1"/>
  <c r="AK44" i="1" s="1"/>
  <c r="AJ159" i="1"/>
  <c r="AJ191" i="1"/>
  <c r="AK191" i="1" s="1"/>
  <c r="AK139" i="1"/>
  <c r="AJ131" i="1"/>
  <c r="AJ167" i="1"/>
  <c r="AM154" i="1"/>
  <c r="AL159" i="1"/>
  <c r="CB105" i="1"/>
  <c r="CB113" i="1"/>
  <c r="CB96" i="1"/>
  <c r="IL19" i="4"/>
  <c r="BF89" i="1" s="1"/>
  <c r="BF118" i="1" s="1"/>
  <c r="S109" i="1"/>
  <c r="S27" i="1"/>
  <c r="S28" i="1" s="1"/>
  <c r="L27" i="1"/>
  <c r="L109" i="1"/>
  <c r="BJ155" i="1"/>
  <c r="BJ190" i="1" s="1"/>
  <c r="BK190" i="1" s="1"/>
  <c r="BJ171" i="1"/>
  <c r="BJ175" i="1"/>
  <c r="K264" i="1"/>
  <c r="K205" i="1"/>
  <c r="W264" i="1"/>
  <c r="W205" i="1"/>
  <c r="P242" i="1"/>
  <c r="P263" i="1"/>
  <c r="HR16" i="4" s="1"/>
  <c r="AL242" i="1"/>
  <c r="AL263" i="1"/>
  <c r="G21" i="1"/>
  <c r="G242" i="1"/>
  <c r="IT21" i="4"/>
  <c r="BN88" i="1" s="1"/>
  <c r="IS15" i="4"/>
  <c r="G264" i="1"/>
  <c r="G205" i="1"/>
  <c r="H21" i="1"/>
  <c r="H242" i="1"/>
  <c r="C21" i="1"/>
  <c r="C242" i="1"/>
  <c r="H263" i="1"/>
  <c r="IC21" i="4"/>
  <c r="AW88" i="1" s="1"/>
  <c r="HS15" i="4" s="1"/>
  <c r="HU21" i="4"/>
  <c r="AO88" i="1" s="1"/>
  <c r="AM21" i="1"/>
  <c r="AM27" i="1" s="1"/>
  <c r="N263" i="1"/>
  <c r="C37" i="1"/>
  <c r="BY139" i="1"/>
  <c r="V199" i="1"/>
  <c r="BX21" i="1"/>
  <c r="K37" i="1"/>
  <c r="L264" i="1"/>
  <c r="L263" i="1"/>
  <c r="G37" i="1"/>
  <c r="C263" i="1"/>
  <c r="H37" i="1"/>
  <c r="AJ37" i="1"/>
  <c r="AJ38" i="1" s="1"/>
  <c r="D37" i="1"/>
  <c r="D38" i="1" s="1"/>
  <c r="IF21" i="4"/>
  <c r="AZ88" i="1" s="1"/>
  <c r="IZ19" i="4"/>
  <c r="BT89" i="1" s="1"/>
  <c r="BT118" i="1" s="1"/>
  <c r="ID21" i="4"/>
  <c r="AX88" i="1" s="1"/>
  <c r="HZ19" i="4"/>
  <c r="AT89" i="1" s="1"/>
  <c r="AT118" i="1" s="1"/>
  <c r="AL37" i="1"/>
  <c r="AL38" i="1" s="1"/>
  <c r="E37" i="1"/>
  <c r="E38" i="1" s="1"/>
  <c r="P21" i="1"/>
  <c r="M37" i="1"/>
  <c r="F37" i="1"/>
  <c r="AJ48" i="1"/>
  <c r="S37" i="1"/>
  <c r="T21" i="1"/>
  <c r="T37" i="1"/>
  <c r="AK37" i="1"/>
  <c r="AK38" i="1" s="1"/>
  <c r="AM37" i="1"/>
  <c r="AM38" i="1" s="1"/>
  <c r="R37" i="1"/>
  <c r="W37" i="1"/>
  <c r="W38" i="1" s="1"/>
  <c r="BX145" i="1"/>
  <c r="AL27" i="1"/>
  <c r="IU19" i="4"/>
  <c r="BO89" i="1" s="1"/>
  <c r="BO118" i="1" s="1"/>
  <c r="N37" i="1"/>
  <c r="HY20" i="4"/>
  <c r="AS90" i="1" s="1"/>
  <c r="AS119" i="1" s="1"/>
  <c r="JA20" i="4"/>
  <c r="BU90" i="1" s="1"/>
  <c r="BU119" i="1" s="1"/>
  <c r="HX19" i="4"/>
  <c r="AR89" i="1" s="1"/>
  <c r="AR118" i="1" s="1"/>
  <c r="M22" i="1"/>
  <c r="IB19" i="4"/>
  <c r="AV89" i="1" s="1"/>
  <c r="AV118" i="1" s="1"/>
  <c r="JA19" i="4"/>
  <c r="BU89" i="1" s="1"/>
  <c r="BU118" i="1" s="1"/>
  <c r="JD19" i="4"/>
  <c r="BX89" i="1" s="1"/>
  <c r="JE20" i="4"/>
  <c r="BY90" i="1" s="1"/>
  <c r="BY119" i="1" s="1"/>
  <c r="IW20" i="4"/>
  <c r="BQ90" i="1" s="1"/>
  <c r="BQ119" i="1" s="1"/>
  <c r="II19" i="4"/>
  <c r="BC89" i="1" s="1"/>
  <c r="BC118" i="1" s="1"/>
  <c r="JC20" i="4"/>
  <c r="BW90" i="1" s="1"/>
  <c r="BW119" i="1" s="1"/>
  <c r="JC19" i="4"/>
  <c r="BW89" i="1" s="1"/>
  <c r="BW118" i="1" s="1"/>
  <c r="II20" i="4"/>
  <c r="BC90" i="1" s="1"/>
  <c r="BC119" i="1" s="1"/>
  <c r="IC19" i="4"/>
  <c r="AW89" i="1" s="1"/>
  <c r="AW118" i="1" s="1"/>
  <c r="IR19" i="4"/>
  <c r="BL89" i="1" s="1"/>
  <c r="IH20" i="4"/>
  <c r="BB90" i="1" s="1"/>
  <c r="BB119" i="1" s="1"/>
  <c r="JG20" i="4"/>
  <c r="CA90" i="1" s="1"/>
  <c r="HQ20" i="4"/>
  <c r="AK90" i="1" s="1"/>
  <c r="HT20" i="4"/>
  <c r="AN90" i="1" s="1"/>
  <c r="AN119" i="1" s="1"/>
  <c r="HV20" i="4"/>
  <c r="AP90" i="1" s="1"/>
  <c r="AP119" i="1" s="1"/>
  <c r="JH19" i="4"/>
  <c r="CB89" i="1" s="1"/>
  <c r="I27" i="1"/>
  <c r="I109" i="1"/>
  <c r="N109" i="1"/>
  <c r="N27" i="1"/>
  <c r="IO20" i="4"/>
  <c r="BI90" i="1" s="1"/>
  <c r="BI119" i="1" s="1"/>
  <c r="JI19" i="4"/>
  <c r="CC89" i="1" s="1"/>
  <c r="IM20" i="4"/>
  <c r="BG90" i="1" s="1"/>
  <c r="BG119" i="1" s="1"/>
  <c r="JB20" i="4"/>
  <c r="BV90" i="1" s="1"/>
  <c r="BV119" i="1" s="1"/>
  <c r="IV19" i="4"/>
  <c r="BP89" i="1" s="1"/>
  <c r="BP118" i="1" s="1"/>
  <c r="JI20" i="4"/>
  <c r="CC90" i="1" s="1"/>
  <c r="HR19" i="4"/>
  <c r="AL89" i="1" s="1"/>
  <c r="HP19" i="4"/>
  <c r="AJ89" i="1" s="1"/>
  <c r="IJ20" i="4"/>
  <c r="BD90" i="1" s="1"/>
  <c r="BD119" i="1" s="1"/>
  <c r="JF20" i="4"/>
  <c r="BZ90" i="1" s="1"/>
  <c r="HV19" i="4"/>
  <c r="AP89" i="1" s="1"/>
  <c r="AP118" i="1" s="1"/>
  <c r="CC113" i="1"/>
  <c r="JH20" i="4"/>
  <c r="CB90" i="1" s="1"/>
  <c r="HU20" i="4"/>
  <c r="AO90" i="1" s="1"/>
  <c r="AO119" i="1" s="1"/>
  <c r="ID19" i="4"/>
  <c r="AX89" i="1" s="1"/>
  <c r="AX118" i="1" s="1"/>
  <c r="IV20" i="4"/>
  <c r="BP90" i="1" s="1"/>
  <c r="BP119" i="1" s="1"/>
  <c r="IE19" i="4"/>
  <c r="AY89" i="1" s="1"/>
  <c r="AY118" i="1" s="1"/>
  <c r="CC105" i="1"/>
  <c r="IG19" i="4"/>
  <c r="BA89" i="1" s="1"/>
  <c r="BA118" i="1" s="1"/>
  <c r="IK20" i="4"/>
  <c r="BE90" i="1" s="1"/>
  <c r="BE119" i="1" s="1"/>
  <c r="IP19" i="4"/>
  <c r="BJ89" i="1" s="1"/>
  <c r="BJ118" i="1" s="1"/>
  <c r="IY19" i="4"/>
  <c r="BS89" i="1" s="1"/>
  <c r="BS118" i="1" s="1"/>
  <c r="JG19" i="4"/>
  <c r="CA89" i="1" s="1"/>
  <c r="IW19" i="4"/>
  <c r="BQ89" i="1" s="1"/>
  <c r="BQ118" i="1" s="1"/>
  <c r="IY20" i="4"/>
  <c r="BS90" i="1" s="1"/>
  <c r="BS119" i="1" s="1"/>
  <c r="IF20" i="4"/>
  <c r="AZ90" i="1" s="1"/>
  <c r="AZ119" i="1" s="1"/>
  <c r="IQ19" i="4"/>
  <c r="BK89" i="1" s="1"/>
  <c r="BK118" i="1" s="1"/>
  <c r="IJ19" i="4"/>
  <c r="BD89" i="1" s="1"/>
  <c r="BD118" i="1" s="1"/>
  <c r="IZ20" i="4"/>
  <c r="BT90" i="1" s="1"/>
  <c r="BT119" i="1" s="1"/>
  <c r="IO19" i="4"/>
  <c r="BI89" i="1" s="1"/>
  <c r="BI118" i="1" s="1"/>
  <c r="HZ20" i="4"/>
  <c r="AT90" i="1" s="1"/>
  <c r="AT119" i="1" s="1"/>
  <c r="HY19" i="4"/>
  <c r="AS89" i="1" s="1"/>
  <c r="AS118" i="1" s="1"/>
  <c r="IB20" i="4"/>
  <c r="AV90" i="1" s="1"/>
  <c r="AV119" i="1" s="1"/>
  <c r="R27" i="1"/>
  <c r="IM19" i="4"/>
  <c r="BG89" i="1" s="1"/>
  <c r="BG118" i="1" s="1"/>
  <c r="HW19" i="4"/>
  <c r="AQ89" i="1" s="1"/>
  <c r="AQ118" i="1" s="1"/>
  <c r="JB19" i="4"/>
  <c r="BV89" i="1" s="1"/>
  <c r="BV118" i="1" s="1"/>
  <c r="HW20" i="4"/>
  <c r="AQ90" i="1" s="1"/>
  <c r="AQ119" i="1" s="1"/>
  <c r="HU19" i="4"/>
  <c r="AO89" i="1" s="1"/>
  <c r="AO118" i="1" s="1"/>
  <c r="HQ19" i="4"/>
  <c r="AK89" i="1" s="1"/>
  <c r="JE19" i="4"/>
  <c r="BY89" i="1" s="1"/>
  <c r="IR20" i="4"/>
  <c r="BL90" i="1" s="1"/>
  <c r="BL107" i="1" s="1"/>
  <c r="IK19" i="4"/>
  <c r="BE89" i="1" s="1"/>
  <c r="BE118" i="1" s="1"/>
  <c r="JD20" i="4"/>
  <c r="BX90" i="1" s="1"/>
  <c r="BX119" i="1" s="1"/>
  <c r="IH19" i="4"/>
  <c r="BB89" i="1" s="1"/>
  <c r="BB118" i="1" s="1"/>
  <c r="IA20" i="4"/>
  <c r="AU90" i="1" s="1"/>
  <c r="AU119" i="1" s="1"/>
  <c r="AL213" i="1"/>
  <c r="AK213" i="1"/>
  <c r="BY213" i="1"/>
  <c r="IG20" i="4"/>
  <c r="BA90" i="1" s="1"/>
  <c r="BA119" i="1" s="1"/>
  <c r="IN20" i="4"/>
  <c r="BH90" i="1" s="1"/>
  <c r="BH119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AL119" i="1"/>
  <c r="AM118" i="1"/>
  <c r="CM205" i="1"/>
  <c r="CM143" i="1"/>
  <c r="CM145" i="1" s="1"/>
  <c r="CM149" i="1" s="1"/>
  <c r="CM214" i="1" s="1"/>
  <c r="CM212" i="1" s="1"/>
  <c r="AC213" i="1"/>
  <c r="AB160" i="1"/>
  <c r="AB128" i="1"/>
  <c r="CO76" i="1"/>
  <c r="CP74" i="1"/>
  <c r="C38" i="1" l="1"/>
  <c r="X29" i="1"/>
  <c r="W28" i="1"/>
  <c r="BZ106" i="1"/>
  <c r="BZ100" i="1"/>
  <c r="BZ118" i="1"/>
  <c r="BZ121" i="1" s="1"/>
  <c r="S22" i="1"/>
  <c r="S199" i="1"/>
  <c r="AM113" i="1"/>
  <c r="AK23" i="1"/>
  <c r="BY103" i="1"/>
  <c r="BY218" i="1"/>
  <c r="BZ218" i="1"/>
  <c r="E199" i="1"/>
  <c r="E109" i="1"/>
  <c r="E22" i="1"/>
  <c r="F199" i="1"/>
  <c r="F22" i="1"/>
  <c r="BK213" i="1"/>
  <c r="M109" i="1"/>
  <c r="M199" i="1"/>
  <c r="M27" i="1"/>
  <c r="N199" i="1"/>
  <c r="N22" i="1"/>
  <c r="AJ140" i="1"/>
  <c r="AM114" i="1"/>
  <c r="BX105" i="1"/>
  <c r="W29" i="1"/>
  <c r="BX140" i="1"/>
  <c r="BX106" i="1"/>
  <c r="U22" i="1"/>
  <c r="U199" i="1"/>
  <c r="CA113" i="1"/>
  <c r="O27" i="1"/>
  <c r="O28" i="1" s="1"/>
  <c r="BX259" i="1"/>
  <c r="E27" i="1"/>
  <c r="U28" i="1"/>
  <c r="V29" i="1"/>
  <c r="AL23" i="1"/>
  <c r="AK27" i="1"/>
  <c r="K109" i="1"/>
  <c r="K27" i="1"/>
  <c r="L199" i="1"/>
  <c r="O199" i="1"/>
  <c r="D27" i="1"/>
  <c r="L22" i="1"/>
  <c r="O109" i="1"/>
  <c r="O22" i="1"/>
  <c r="F109" i="1"/>
  <c r="F27" i="1"/>
  <c r="Q27" i="1"/>
  <c r="Q28" i="1" s="1"/>
  <c r="R199" i="1"/>
  <c r="J109" i="1"/>
  <c r="K22" i="1"/>
  <c r="BX197" i="1"/>
  <c r="CB200" i="1" s="1"/>
  <c r="BX179" i="1"/>
  <c r="K199" i="1"/>
  <c r="J27" i="1"/>
  <c r="R22" i="1"/>
  <c r="B39" i="1"/>
  <c r="B40" i="1" s="1"/>
  <c r="Q109" i="1"/>
  <c r="J199" i="1"/>
  <c r="BX195" i="1"/>
  <c r="J22" i="1"/>
  <c r="V39" i="1"/>
  <c r="V243" i="1" s="1"/>
  <c r="V244" i="1" s="1"/>
  <c r="BX107" i="1"/>
  <c r="BY118" i="1"/>
  <c r="BY100" i="1"/>
  <c r="BK160" i="1"/>
  <c r="BJ167" i="1"/>
  <c r="BJ196" i="1" s="1"/>
  <c r="BJ195" i="1" s="1"/>
  <c r="BJ139" i="1"/>
  <c r="BK135" i="1"/>
  <c r="BK139" i="1" s="1"/>
  <c r="BJ159" i="1"/>
  <c r="BK153" i="1"/>
  <c r="BJ131" i="1"/>
  <c r="BJ103" i="1" s="1"/>
  <c r="BK128" i="1"/>
  <c r="BJ145" i="1"/>
  <c r="BJ172" i="1"/>
  <c r="BX192" i="1"/>
  <c r="BX168" i="1"/>
  <c r="AK217" i="1"/>
  <c r="AM260" i="1"/>
  <c r="AJ179" i="1"/>
  <c r="AK48" i="1" s="1"/>
  <c r="AJ217" i="1"/>
  <c r="AM44" i="1"/>
  <c r="AL149" i="1"/>
  <c r="AL103" i="1"/>
  <c r="AL107" i="1" s="1"/>
  <c r="AL259" i="1"/>
  <c r="AL217" i="1"/>
  <c r="AM217" i="1"/>
  <c r="AJ208" i="1"/>
  <c r="AJ196" i="1"/>
  <c r="AK145" i="1"/>
  <c r="AL179" i="1"/>
  <c r="AJ168" i="1"/>
  <c r="AJ149" i="1"/>
  <c r="AL260" i="1"/>
  <c r="AL140" i="1"/>
  <c r="AJ207" i="1"/>
  <c r="AJ193" i="1"/>
  <c r="AL193" i="1"/>
  <c r="AL168" i="1"/>
  <c r="L28" i="1"/>
  <c r="S29" i="1"/>
  <c r="R28" i="1"/>
  <c r="BL119" i="1"/>
  <c r="BL122" i="1" s="1"/>
  <c r="CA114" i="1"/>
  <c r="CA118" i="1"/>
  <c r="CA106" i="1"/>
  <c r="HR21" i="4"/>
  <c r="AL88" i="1" s="1"/>
  <c r="IL16" i="4"/>
  <c r="G22" i="1"/>
  <c r="G199" i="1"/>
  <c r="G27" i="1"/>
  <c r="G109" i="1"/>
  <c r="IS20" i="4"/>
  <c r="BM90" i="1" s="1"/>
  <c r="BM119" i="1" s="1"/>
  <c r="HW16" i="4"/>
  <c r="H27" i="1"/>
  <c r="H199" i="1"/>
  <c r="H22" i="1"/>
  <c r="H109" i="1"/>
  <c r="C22" i="1"/>
  <c r="C199" i="1"/>
  <c r="C27" i="1"/>
  <c r="HS20" i="4"/>
  <c r="AM90" i="1" s="1"/>
  <c r="IJ9" i="4"/>
  <c r="AM39" i="1"/>
  <c r="AM28" i="1"/>
  <c r="AM30" i="1"/>
  <c r="BZ217" i="1"/>
  <c r="BZ260" i="1"/>
  <c r="BZ262" i="1" s="1"/>
  <c r="BY140" i="1"/>
  <c r="BX27" i="1"/>
  <c r="CC199" i="1"/>
  <c r="CB22" i="1"/>
  <c r="BY23" i="1"/>
  <c r="P27" i="1"/>
  <c r="P109" i="1"/>
  <c r="P199" i="1"/>
  <c r="T109" i="1"/>
  <c r="T22" i="1"/>
  <c r="T27" i="1"/>
  <c r="T199" i="1"/>
  <c r="AL39" i="1"/>
  <c r="AL28" i="1"/>
  <c r="I199" i="1"/>
  <c r="I22" i="1"/>
  <c r="W39" i="1"/>
  <c r="BX38" i="1"/>
  <c r="AM23" i="1"/>
  <c r="AM236" i="1"/>
  <c r="D199" i="1"/>
  <c r="D22" i="1"/>
  <c r="BY145" i="1"/>
  <c r="BY44" i="1"/>
  <c r="BX149" i="1"/>
  <c r="P22" i="1"/>
  <c r="BY260" i="1"/>
  <c r="BY217" i="1"/>
  <c r="Q22" i="1"/>
  <c r="Q199" i="1"/>
  <c r="AJ39" i="1"/>
  <c r="I28" i="1"/>
  <c r="BX100" i="1"/>
  <c r="BX118" i="1"/>
  <c r="BL106" i="1"/>
  <c r="CA107" i="1"/>
  <c r="CA119" i="1"/>
  <c r="CA115" i="1"/>
  <c r="CB114" i="1"/>
  <c r="CB106" i="1"/>
  <c r="N28" i="1"/>
  <c r="CC106" i="1"/>
  <c r="CC118" i="1"/>
  <c r="CA236" i="1"/>
  <c r="BL118" i="1"/>
  <c r="BL121" i="1" s="1"/>
  <c r="CB97" i="1"/>
  <c r="CB118" i="1"/>
  <c r="CB121" i="1" s="1"/>
  <c r="CB124" i="1" s="1"/>
  <c r="CC114" i="1"/>
  <c r="CC97" i="1"/>
  <c r="CF101" i="1" s="1"/>
  <c r="CC107" i="1"/>
  <c r="CC115" i="1"/>
  <c r="CC119" i="1"/>
  <c r="AL118" i="1"/>
  <c r="BZ119" i="1"/>
  <c r="BZ122" i="1" s="1"/>
  <c r="BZ107" i="1"/>
  <c r="CB107" i="1"/>
  <c r="CB119" i="1"/>
  <c r="CB122" i="1" s="1"/>
  <c r="CB125" i="1" s="1"/>
  <c r="CC98" i="1"/>
  <c r="CB115" i="1"/>
  <c r="CB98" i="1"/>
  <c r="CN43" i="1"/>
  <c r="AB174" i="1"/>
  <c r="CP76" i="1"/>
  <c r="CQ74" i="1"/>
  <c r="AC128" i="1"/>
  <c r="AC160" i="1"/>
  <c r="CB236" i="1"/>
  <c r="BQ1" i="1"/>
  <c r="BR1" i="1" s="1"/>
  <c r="BS1" i="1" s="1"/>
  <c r="BT1" i="1" s="1"/>
  <c r="BY105" i="1" l="1"/>
  <c r="BY106" i="1"/>
  <c r="BY107" i="1"/>
  <c r="BZ216" i="1"/>
  <c r="BY216" i="1"/>
  <c r="N29" i="1"/>
  <c r="M28" i="1"/>
  <c r="M29" i="1"/>
  <c r="AJ176" i="1"/>
  <c r="AJ177" i="1" s="1"/>
  <c r="AJ209" i="1"/>
  <c r="BJ105" i="1"/>
  <c r="BJ106" i="1"/>
  <c r="BJ107" i="1"/>
  <c r="AK149" i="1"/>
  <c r="AL44" i="1"/>
  <c r="BZ44" i="1"/>
  <c r="BY149" i="1"/>
  <c r="BZ214" i="1" s="1"/>
  <c r="BZ212" i="1" s="1"/>
  <c r="BX257" i="1"/>
  <c r="BY214" i="1"/>
  <c r="BY212" i="1" s="1"/>
  <c r="AJ40" i="1"/>
  <c r="AJ45" i="1"/>
  <c r="AJ49" i="1" s="1"/>
  <c r="AJ243" i="1"/>
  <c r="AJ244" i="1" s="1"/>
  <c r="D28" i="1"/>
  <c r="E29" i="1"/>
  <c r="R29" i="1"/>
  <c r="AK28" i="1"/>
  <c r="AK30" i="1"/>
  <c r="K28" i="1"/>
  <c r="L29" i="1"/>
  <c r="E28" i="1"/>
  <c r="D39" i="1"/>
  <c r="E39" i="1"/>
  <c r="E40" i="1" s="1"/>
  <c r="AL30" i="1"/>
  <c r="AK39" i="1"/>
  <c r="BX176" i="1"/>
  <c r="BX177" i="1" s="1"/>
  <c r="BY48" i="1"/>
  <c r="O29" i="1"/>
  <c r="F28" i="1"/>
  <c r="F29" i="1"/>
  <c r="BX120" i="1"/>
  <c r="J28" i="1"/>
  <c r="K29" i="1"/>
  <c r="J29" i="1"/>
  <c r="V45" i="1"/>
  <c r="V49" i="1" s="1"/>
  <c r="W261" i="1"/>
  <c r="V123" i="1"/>
  <c r="B123" i="1"/>
  <c r="V40" i="1"/>
  <c r="W41" i="1"/>
  <c r="AL176" i="1"/>
  <c r="AL177" i="1" s="1"/>
  <c r="AM214" i="1"/>
  <c r="AM212" i="1" s="1"/>
  <c r="AL257" i="1"/>
  <c r="BJ179" i="1"/>
  <c r="BJ120" i="1" s="1"/>
  <c r="BJ140" i="1"/>
  <c r="BK217" i="1"/>
  <c r="BL260" i="1"/>
  <c r="BL217" i="1"/>
  <c r="BK260" i="1"/>
  <c r="BJ168" i="1"/>
  <c r="BJ193" i="1"/>
  <c r="BJ149" i="1"/>
  <c r="BJ257" i="1" s="1"/>
  <c r="BK145" i="1"/>
  <c r="BJ259" i="1"/>
  <c r="BK220" i="1"/>
  <c r="AL105" i="1"/>
  <c r="AL106" i="1"/>
  <c r="AL120" i="1"/>
  <c r="AM48" i="1"/>
  <c r="AJ214" i="1"/>
  <c r="AJ212" i="1" s="1"/>
  <c r="AL192" i="1"/>
  <c r="AL197" i="1"/>
  <c r="CE101" i="1"/>
  <c r="AL261" i="1"/>
  <c r="AL262" i="1" s="1"/>
  <c r="AM237" i="1"/>
  <c r="BX121" i="1"/>
  <c r="BX122" i="1"/>
  <c r="D40" i="1"/>
  <c r="D45" i="1"/>
  <c r="D49" i="1" s="1"/>
  <c r="D243" i="1"/>
  <c r="D244" i="1" s="1"/>
  <c r="E41" i="1"/>
  <c r="IF7" i="4"/>
  <c r="H29" i="1"/>
  <c r="G28" i="1"/>
  <c r="HW21" i="4"/>
  <c r="AQ88" i="1" s="1"/>
  <c r="IZ16" i="4"/>
  <c r="I29" i="1"/>
  <c r="H28" i="1"/>
  <c r="C39" i="1"/>
  <c r="C29" i="1"/>
  <c r="C28" i="1"/>
  <c r="D29" i="1"/>
  <c r="AM115" i="1"/>
  <c r="AM119" i="1"/>
  <c r="IJ21" i="4"/>
  <c r="BD88" i="1" s="1"/>
  <c r="IL9" i="4"/>
  <c r="IS9" i="4" s="1"/>
  <c r="IS21" i="4" s="1"/>
  <c r="BM88" i="1" s="1"/>
  <c r="AM261" i="1"/>
  <c r="AM262" i="1" s="1"/>
  <c r="AM45" i="1"/>
  <c r="AM49" i="1" s="1"/>
  <c r="AM243" i="1"/>
  <c r="AM244" i="1" s="1"/>
  <c r="AM40" i="1"/>
  <c r="CB29" i="1"/>
  <c r="BX28" i="1"/>
  <c r="BY30" i="1"/>
  <c r="BX39" i="1"/>
  <c r="Q29" i="1"/>
  <c r="P28" i="1"/>
  <c r="T29" i="1"/>
  <c r="T28" i="1"/>
  <c r="U29" i="1"/>
  <c r="AL40" i="1"/>
  <c r="AL243" i="1"/>
  <c r="AL244" i="1" s="1"/>
  <c r="AM42" i="1"/>
  <c r="AL45" i="1"/>
  <c r="AL49" i="1" s="1"/>
  <c r="W40" i="1"/>
  <c r="W45" i="1"/>
  <c r="W49" i="1" s="1"/>
  <c r="W243" i="1"/>
  <c r="W244" i="1" s="1"/>
  <c r="X261" i="1"/>
  <c r="W123" i="1"/>
  <c r="X41" i="1"/>
  <c r="P29" i="1"/>
  <c r="G29" i="1"/>
  <c r="AJ51" i="1"/>
  <c r="AJ52" i="1"/>
  <c r="AK214" i="1"/>
  <c r="AK212" i="1" s="1"/>
  <c r="AL214" i="1"/>
  <c r="AL212" i="1" s="1"/>
  <c r="AJ53" i="1"/>
  <c r="AJ59" i="1"/>
  <c r="AJ245" i="1"/>
  <c r="CN143" i="1"/>
  <c r="CN145" i="1" s="1"/>
  <c r="CO43" i="1" s="1"/>
  <c r="AB148" i="1"/>
  <c r="AD160" i="1"/>
  <c r="AE160" i="1"/>
  <c r="AD128" i="1"/>
  <c r="AE128" i="1"/>
  <c r="CQ76" i="1"/>
  <c r="CR74" i="1"/>
  <c r="AC174" i="1"/>
  <c r="BU1" i="1"/>
  <c r="Q38" i="1"/>
  <c r="P38" i="1"/>
  <c r="O38" i="1"/>
  <c r="I38" i="1"/>
  <c r="H38" i="1"/>
  <c r="G38" i="1"/>
  <c r="U38" i="1"/>
  <c r="T38" i="1"/>
  <c r="S38" i="1"/>
  <c r="R38" i="1"/>
  <c r="N38" i="1"/>
  <c r="M38" i="1"/>
  <c r="L38" i="1"/>
  <c r="K38" i="1"/>
  <c r="J38" i="1"/>
  <c r="F38" i="1"/>
  <c r="D123" i="1" l="1"/>
  <c r="AK243" i="1"/>
  <c r="AK244" i="1" s="1"/>
  <c r="AL42" i="1"/>
  <c r="AK40" i="1"/>
  <c r="AK45" i="1"/>
  <c r="AK49" i="1" s="1"/>
  <c r="AM123" i="1"/>
  <c r="AK42" i="1"/>
  <c r="V52" i="1"/>
  <c r="V51" i="1"/>
  <c r="AK52" i="1"/>
  <c r="AK51" i="1"/>
  <c r="D52" i="1"/>
  <c r="D51" i="1"/>
  <c r="BJ121" i="1"/>
  <c r="BJ122" i="1"/>
  <c r="BJ192" i="1"/>
  <c r="BJ197" i="1"/>
  <c r="BL44" i="1"/>
  <c r="BK149" i="1"/>
  <c r="BL214" i="1" s="1"/>
  <c r="BL212" i="1" s="1"/>
  <c r="AL122" i="1"/>
  <c r="AL121" i="1"/>
  <c r="IF19" i="4"/>
  <c r="AZ89" i="1" s="1"/>
  <c r="AZ118" i="1" s="1"/>
  <c r="IA7" i="4"/>
  <c r="IZ21" i="4"/>
  <c r="BT88" i="1" s="1"/>
  <c r="HZ9" i="4"/>
  <c r="D41" i="1"/>
  <c r="C40" i="1"/>
  <c r="C261" i="1"/>
  <c r="D261" i="1"/>
  <c r="C41" i="1"/>
  <c r="AM51" i="1"/>
  <c r="AM52" i="1"/>
  <c r="AM53" i="1" s="1"/>
  <c r="AM256" i="1" s="1"/>
  <c r="BX243" i="1"/>
  <c r="BX244" i="1" s="1"/>
  <c r="BX40" i="1"/>
  <c r="CB41" i="1"/>
  <c r="BY42" i="1"/>
  <c r="CA123" i="1"/>
  <c r="BX45" i="1"/>
  <c r="BY261" i="1"/>
  <c r="BY262" i="1" s="1"/>
  <c r="AL51" i="1"/>
  <c r="AL52" i="1"/>
  <c r="W51" i="1"/>
  <c r="W52" i="1"/>
  <c r="IL21" i="4"/>
  <c r="BF88" i="1" s="1"/>
  <c r="AJ204" i="1"/>
  <c r="AJ206" i="1" s="1"/>
  <c r="AJ210" i="1" s="1"/>
  <c r="AJ224" i="1" s="1"/>
  <c r="AJ218" i="1"/>
  <c r="AJ216" i="1" s="1"/>
  <c r="AJ63" i="1"/>
  <c r="AJ77" i="1"/>
  <c r="CO205" i="1"/>
  <c r="CO143" i="1"/>
  <c r="CN149" i="1"/>
  <c r="CN205" i="1"/>
  <c r="AD174" i="1"/>
  <c r="AE174" i="1"/>
  <c r="AD151" i="1"/>
  <c r="CR76" i="1"/>
  <c r="CS74" i="1"/>
  <c r="AC148" i="1"/>
  <c r="BV1" i="1"/>
  <c r="BW1" i="1" s="1"/>
  <c r="BX1" i="1" s="1"/>
  <c r="AM245" i="1"/>
  <c r="B243" i="1"/>
  <c r="B244" i="1" s="1"/>
  <c r="BL243" i="1"/>
  <c r="BL244" i="1" s="1"/>
  <c r="G39" i="1"/>
  <c r="O39" i="1"/>
  <c r="H39" i="1"/>
  <c r="P39" i="1"/>
  <c r="I39" i="1"/>
  <c r="Q39" i="1"/>
  <c r="J39" i="1"/>
  <c r="R39" i="1"/>
  <c r="K39" i="1"/>
  <c r="S39" i="1"/>
  <c r="L39" i="1"/>
  <c r="T39" i="1"/>
  <c r="M39" i="1"/>
  <c r="U39" i="1"/>
  <c r="F39" i="1"/>
  <c r="F261" i="1" s="1"/>
  <c r="N39" i="1"/>
  <c r="V59" i="1" l="1"/>
  <c r="V53" i="1"/>
  <c r="V256" i="1" s="1"/>
  <c r="AK53" i="1"/>
  <c r="D53" i="1"/>
  <c r="AK245" i="1"/>
  <c r="AK59" i="1"/>
  <c r="AK130" i="1" s="1"/>
  <c r="AK131" i="1" s="1"/>
  <c r="AK140" i="1" s="1"/>
  <c r="AK55" i="1"/>
  <c r="AL55" i="1"/>
  <c r="D245" i="1"/>
  <c r="D59" i="1"/>
  <c r="AM238" i="1"/>
  <c r="IA19" i="4"/>
  <c r="AU89" i="1" s="1"/>
  <c r="AU118" i="1" s="1"/>
  <c r="IN7" i="4"/>
  <c r="IN19" i="4" s="1"/>
  <c r="BH89" i="1" s="1"/>
  <c r="BH118" i="1" s="1"/>
  <c r="HZ21" i="4"/>
  <c r="AT88" i="1" s="1"/>
  <c r="IT8" i="4"/>
  <c r="CA66" i="1"/>
  <c r="BX49" i="1"/>
  <c r="AL53" i="1"/>
  <c r="AL256" i="1" s="1"/>
  <c r="AL59" i="1"/>
  <c r="AM55" i="1"/>
  <c r="AL245" i="1"/>
  <c r="X54" i="1"/>
  <c r="W53" i="1"/>
  <c r="W256" i="1" s="1"/>
  <c r="W245" i="1"/>
  <c r="W59" i="1"/>
  <c r="W63" i="1" s="1"/>
  <c r="W54" i="1"/>
  <c r="AJ221" i="1"/>
  <c r="AJ222" i="1" s="1"/>
  <c r="T261" i="1"/>
  <c r="P261" i="1"/>
  <c r="M261" i="1"/>
  <c r="R261" i="1"/>
  <c r="I261" i="1"/>
  <c r="K261" i="1"/>
  <c r="G261" i="1"/>
  <c r="H261" i="1"/>
  <c r="L261" i="1"/>
  <c r="S261" i="1"/>
  <c r="O261" i="1"/>
  <c r="J261" i="1"/>
  <c r="N261" i="1"/>
  <c r="U261" i="1"/>
  <c r="V261" i="1"/>
  <c r="Q261" i="1"/>
  <c r="R123" i="1"/>
  <c r="S41" i="1"/>
  <c r="T123" i="1"/>
  <c r="U41" i="1"/>
  <c r="U123" i="1"/>
  <c r="V41" i="1"/>
  <c r="P123" i="1"/>
  <c r="Q41" i="1"/>
  <c r="Q123" i="1"/>
  <c r="R41" i="1"/>
  <c r="I123" i="1"/>
  <c r="J41" i="1"/>
  <c r="S123" i="1"/>
  <c r="T41" i="1"/>
  <c r="H123" i="1"/>
  <c r="I41" i="1"/>
  <c r="E123" i="1"/>
  <c r="F41" i="1"/>
  <c r="L123" i="1"/>
  <c r="M41" i="1"/>
  <c r="O123" i="1"/>
  <c r="P41" i="1"/>
  <c r="N123" i="1"/>
  <c r="O41" i="1"/>
  <c r="K123" i="1"/>
  <c r="L41" i="1"/>
  <c r="F123" i="1"/>
  <c r="G41" i="1"/>
  <c r="G123" i="1"/>
  <c r="H41" i="1"/>
  <c r="M123" i="1"/>
  <c r="N41" i="1"/>
  <c r="J123" i="1"/>
  <c r="K41" i="1"/>
  <c r="CN214" i="1"/>
  <c r="CN212" i="1" s="1"/>
  <c r="CO145" i="1"/>
  <c r="AD213" i="1"/>
  <c r="AB153" i="1"/>
  <c r="AE148" i="1"/>
  <c r="AD148" i="1"/>
  <c r="CT74" i="1"/>
  <c r="CS76" i="1"/>
  <c r="C123" i="1"/>
  <c r="BY1" i="1"/>
  <c r="L40" i="1"/>
  <c r="N40" i="1"/>
  <c r="F40" i="1"/>
  <c r="O40" i="1"/>
  <c r="U45" i="1"/>
  <c r="U49" i="1" s="1"/>
  <c r="U40" i="1"/>
  <c r="G40" i="1"/>
  <c r="S40" i="1"/>
  <c r="M40" i="1"/>
  <c r="R40" i="1"/>
  <c r="J40" i="1"/>
  <c r="I40" i="1"/>
  <c r="P40" i="1"/>
  <c r="H40" i="1"/>
  <c r="K40" i="1"/>
  <c r="T40" i="1"/>
  <c r="Q40" i="1"/>
  <c r="T243" i="1"/>
  <c r="T244" i="1" s="1"/>
  <c r="Q243" i="1"/>
  <c r="Q244" i="1" s="1"/>
  <c r="K243" i="1"/>
  <c r="K244" i="1" s="1"/>
  <c r="O243" i="1"/>
  <c r="O244" i="1" s="1"/>
  <c r="U243" i="1"/>
  <c r="U244" i="1" s="1"/>
  <c r="L243" i="1"/>
  <c r="L244" i="1" s="1"/>
  <c r="C243" i="1"/>
  <c r="C244" i="1" s="1"/>
  <c r="I243" i="1"/>
  <c r="I244" i="1" s="1"/>
  <c r="G243" i="1"/>
  <c r="G244" i="1" s="1"/>
  <c r="R243" i="1"/>
  <c r="R244" i="1" s="1"/>
  <c r="P243" i="1"/>
  <c r="P244" i="1" s="1"/>
  <c r="F243" i="1"/>
  <c r="F244" i="1" s="1"/>
  <c r="M243" i="1"/>
  <c r="M244" i="1" s="1"/>
  <c r="N243" i="1"/>
  <c r="N244" i="1" s="1"/>
  <c r="E243" i="1"/>
  <c r="E244" i="1" s="1"/>
  <c r="S243" i="1"/>
  <c r="S244" i="1" s="1"/>
  <c r="J243" i="1"/>
  <c r="J244" i="1" s="1"/>
  <c r="H243" i="1"/>
  <c r="H244" i="1" s="1"/>
  <c r="B45" i="1"/>
  <c r="L45" i="1"/>
  <c r="Q45" i="1"/>
  <c r="T45" i="1"/>
  <c r="N45" i="1"/>
  <c r="S45" i="1"/>
  <c r="F45" i="1"/>
  <c r="K45" i="1"/>
  <c r="H45" i="1"/>
  <c r="I45" i="1"/>
  <c r="P45" i="1"/>
  <c r="C45" i="1"/>
  <c r="O45" i="1"/>
  <c r="R45" i="1"/>
  <c r="M45" i="1"/>
  <c r="G45" i="1"/>
  <c r="E45" i="1"/>
  <c r="J45" i="1"/>
  <c r="D204" i="1" l="1"/>
  <c r="D206" i="1" s="1"/>
  <c r="D63" i="1"/>
  <c r="AK204" i="1"/>
  <c r="AK206" i="1" s="1"/>
  <c r="AK77" i="1"/>
  <c r="AK63" i="1"/>
  <c r="IT20" i="4"/>
  <c r="BN90" i="1" s="1"/>
  <c r="BN119" i="1" s="1"/>
  <c r="IY16" i="4"/>
  <c r="IY21" i="4" s="1"/>
  <c r="BS88" i="1" s="1"/>
  <c r="BX52" i="1"/>
  <c r="BX51" i="1"/>
  <c r="AL77" i="1"/>
  <c r="AL63" i="1"/>
  <c r="AL204" i="1"/>
  <c r="AL206" i="1" s="1"/>
  <c r="AK218" i="1"/>
  <c r="AK216" i="1" s="1"/>
  <c r="AL218" i="1"/>
  <c r="AL216" i="1" s="1"/>
  <c r="BK175" i="1"/>
  <c r="BM175" i="1"/>
  <c r="CO149" i="1"/>
  <c r="CP43" i="1"/>
  <c r="AE151" i="1"/>
  <c r="AE213" i="1" s="1"/>
  <c r="CT76" i="1"/>
  <c r="CU74" i="1"/>
  <c r="BZ1" i="1"/>
  <c r="U52" i="1"/>
  <c r="V54" i="1" s="1"/>
  <c r="U51" i="1"/>
  <c r="P49" i="1"/>
  <c r="P52" i="1" s="1"/>
  <c r="R49" i="1"/>
  <c r="R52" i="1" s="1"/>
  <c r="E49" i="1"/>
  <c r="S49" i="1"/>
  <c r="S51" i="1" s="1"/>
  <c r="G49" i="1"/>
  <c r="G52" i="1" s="1"/>
  <c r="K49" i="1"/>
  <c r="K52" i="1" s="1"/>
  <c r="B49" i="1"/>
  <c r="O49" i="1"/>
  <c r="O52" i="1" s="1"/>
  <c r="H49" i="1"/>
  <c r="H52" i="1" s="1"/>
  <c r="N49" i="1"/>
  <c r="N52" i="1" s="1"/>
  <c r="L49" i="1"/>
  <c r="L51" i="1" s="1"/>
  <c r="C49" i="1"/>
  <c r="M49" i="1"/>
  <c r="M51" i="1" s="1"/>
  <c r="T49" i="1"/>
  <c r="T52" i="1" s="1"/>
  <c r="F49" i="1"/>
  <c r="F51" i="1" s="1"/>
  <c r="J49" i="1"/>
  <c r="J51" i="1" s="1"/>
  <c r="I49" i="1"/>
  <c r="I51" i="1" s="1"/>
  <c r="Q49" i="1"/>
  <c r="Q52" i="1" s="1"/>
  <c r="V245" i="1"/>
  <c r="BY55" i="1" l="1"/>
  <c r="BX59" i="1"/>
  <c r="BX53" i="1"/>
  <c r="BX256" i="1" s="1"/>
  <c r="BX245" i="1"/>
  <c r="CB54" i="1"/>
  <c r="R54" i="1"/>
  <c r="U54" i="1"/>
  <c r="O54" i="1"/>
  <c r="AB43" i="1"/>
  <c r="B52" i="1"/>
  <c r="B51" i="1"/>
  <c r="C52" i="1"/>
  <c r="C51" i="1"/>
  <c r="E52" i="1"/>
  <c r="E59" i="1" s="1"/>
  <c r="E51" i="1"/>
  <c r="P54" i="1"/>
  <c r="H54" i="1"/>
  <c r="Q54" i="1"/>
  <c r="BJ176" i="1"/>
  <c r="BJ177" i="1" s="1"/>
  <c r="BL176" i="1"/>
  <c r="BL177" i="1" s="1"/>
  <c r="CP205" i="1"/>
  <c r="CP143" i="1"/>
  <c r="CO214" i="1"/>
  <c r="CO212" i="1" s="1"/>
  <c r="CV74" i="1"/>
  <c r="CU76" i="1"/>
  <c r="CA1" i="1"/>
  <c r="CB1" i="1" s="1"/>
  <c r="O51" i="1"/>
  <c r="BL245" i="1"/>
  <c r="S52" i="1"/>
  <c r="U53" i="1"/>
  <c r="U256" i="1" s="1"/>
  <c r="P53" i="1"/>
  <c r="P256" i="1" s="1"/>
  <c r="Q59" i="1"/>
  <c r="Q53" i="1"/>
  <c r="Q256" i="1" s="1"/>
  <c r="L52" i="1"/>
  <c r="P51" i="1"/>
  <c r="H53" i="1"/>
  <c r="H256" i="1" s="1"/>
  <c r="G53" i="1"/>
  <c r="G256" i="1" s="1"/>
  <c r="U59" i="1"/>
  <c r="N53" i="1"/>
  <c r="N256" i="1" s="1"/>
  <c r="R53" i="1"/>
  <c r="R256" i="1" s="1"/>
  <c r="K53" i="1"/>
  <c r="K256" i="1" s="1"/>
  <c r="O59" i="1"/>
  <c r="O53" i="1"/>
  <c r="O256" i="1" s="1"/>
  <c r="T59" i="1"/>
  <c r="T53" i="1"/>
  <c r="T256" i="1" s="1"/>
  <c r="R51" i="1"/>
  <c r="K51" i="1"/>
  <c r="N51" i="1"/>
  <c r="G51" i="1"/>
  <c r="H51" i="1"/>
  <c r="J52" i="1"/>
  <c r="K54" i="1" s="1"/>
  <c r="M52" i="1"/>
  <c r="N54" i="1" s="1"/>
  <c r="T51" i="1"/>
  <c r="F52" i="1"/>
  <c r="G54" i="1" s="1"/>
  <c r="I52" i="1"/>
  <c r="I54" i="1" s="1"/>
  <c r="O245" i="1"/>
  <c r="Q51" i="1"/>
  <c r="P245" i="1"/>
  <c r="P59" i="1"/>
  <c r="K245" i="1"/>
  <c r="K59" i="1"/>
  <c r="H245" i="1"/>
  <c r="H59" i="1"/>
  <c r="R59" i="1"/>
  <c r="N59" i="1"/>
  <c r="G59" i="1"/>
  <c r="G245" i="1"/>
  <c r="R245" i="1"/>
  <c r="N245" i="1"/>
  <c r="Q245" i="1"/>
  <c r="U245" i="1"/>
  <c r="T245" i="1"/>
  <c r="V63" i="1"/>
  <c r="V204" i="1"/>
  <c r="V206" i="1" s="1"/>
  <c r="BX63" i="1" l="1"/>
  <c r="BX77" i="1"/>
  <c r="CA80" i="1" s="1"/>
  <c r="BX204" i="1"/>
  <c r="BX206" i="1" s="1"/>
  <c r="CA65" i="1"/>
  <c r="E245" i="1"/>
  <c r="AB205" i="1"/>
  <c r="E53" i="1"/>
  <c r="E256" i="1" s="1"/>
  <c r="E54" i="1"/>
  <c r="D54" i="1"/>
  <c r="C53" i="1"/>
  <c r="B53" i="1"/>
  <c r="C54" i="1"/>
  <c r="F54" i="1"/>
  <c r="M54" i="1"/>
  <c r="S53" i="1"/>
  <c r="S256" i="1" s="1"/>
  <c r="T54" i="1"/>
  <c r="L54" i="1"/>
  <c r="J54" i="1"/>
  <c r="S54" i="1"/>
  <c r="AB143" i="1"/>
  <c r="AB145" i="1" s="1"/>
  <c r="AB44" i="1" s="1"/>
  <c r="CP145" i="1"/>
  <c r="CV76" i="1"/>
  <c r="CW74" i="1"/>
  <c r="CC1" i="1"/>
  <c r="K63" i="1"/>
  <c r="G63" i="1"/>
  <c r="E63" i="1"/>
  <c r="S59" i="1"/>
  <c r="S245" i="1"/>
  <c r="L245" i="1"/>
  <c r="L59" i="1"/>
  <c r="O204" i="1"/>
  <c r="O206" i="1" s="1"/>
  <c r="O63" i="1"/>
  <c r="B245" i="1"/>
  <c r="B59" i="1"/>
  <c r="M59" i="1"/>
  <c r="M53" i="1"/>
  <c r="M256" i="1" s="1"/>
  <c r="C245" i="1"/>
  <c r="I59" i="1"/>
  <c r="I53" i="1"/>
  <c r="I256" i="1" s="1"/>
  <c r="J59" i="1"/>
  <c r="J53" i="1"/>
  <c r="J256" i="1" s="1"/>
  <c r="F59" i="1"/>
  <c r="F53" i="1"/>
  <c r="F256" i="1" s="1"/>
  <c r="L53" i="1"/>
  <c r="L256" i="1" s="1"/>
  <c r="J245" i="1"/>
  <c r="E204" i="1"/>
  <c r="E206" i="1" s="1"/>
  <c r="R204" i="1"/>
  <c r="R206" i="1" s="1"/>
  <c r="M245" i="1"/>
  <c r="R63" i="1"/>
  <c r="I245" i="1"/>
  <c r="H63" i="1"/>
  <c r="H204" i="1"/>
  <c r="H206" i="1" s="1"/>
  <c r="F245" i="1"/>
  <c r="C59" i="1"/>
  <c r="N204" i="1"/>
  <c r="N206" i="1" s="1"/>
  <c r="N63" i="1"/>
  <c r="G204" i="1"/>
  <c r="G206" i="1" s="1"/>
  <c r="P63" i="1"/>
  <c r="K204" i="1"/>
  <c r="K206" i="1" s="1"/>
  <c r="P204" i="1"/>
  <c r="P206" i="1" s="1"/>
  <c r="U63" i="1"/>
  <c r="U204" i="1"/>
  <c r="U206" i="1" s="1"/>
  <c r="Q63" i="1"/>
  <c r="Q204" i="1"/>
  <c r="Q206" i="1" s="1"/>
  <c r="T63" i="1"/>
  <c r="T204" i="1"/>
  <c r="T206" i="1" s="1"/>
  <c r="CA96" i="1" l="1"/>
  <c r="CA97" i="1"/>
  <c r="CD101" i="1" s="1"/>
  <c r="CE81" i="1"/>
  <c r="BW100" i="1"/>
  <c r="CA98" i="1"/>
  <c r="CP149" i="1"/>
  <c r="CP214" i="1" s="1"/>
  <c r="CP212" i="1" s="1"/>
  <c r="CQ43" i="1"/>
  <c r="AC153" i="1"/>
  <c r="CX74" i="1"/>
  <c r="CW76" i="1"/>
  <c r="CD1" i="1"/>
  <c r="CE1" i="1" s="1"/>
  <c r="CF1" i="1" s="1"/>
  <c r="CG1" i="1" s="1"/>
  <c r="CH1" i="1" s="1"/>
  <c r="CI1" i="1" s="1"/>
  <c r="CJ1" i="1" s="1"/>
  <c r="CK1" i="1" s="1"/>
  <c r="L204" i="1"/>
  <c r="L206" i="1" s="1"/>
  <c r="J204" i="1"/>
  <c r="J206" i="1" s="1"/>
  <c r="M204" i="1"/>
  <c r="M206" i="1" s="1"/>
  <c r="B63" i="1"/>
  <c r="F63" i="1"/>
  <c r="I63" i="1"/>
  <c r="C63" i="1"/>
  <c r="L63" i="1"/>
  <c r="S63" i="1"/>
  <c r="J63" i="1"/>
  <c r="S204" i="1"/>
  <c r="S206" i="1" s="1"/>
  <c r="M63" i="1"/>
  <c r="I204" i="1"/>
  <c r="I206" i="1" s="1"/>
  <c r="F204" i="1"/>
  <c r="F206" i="1" s="1"/>
  <c r="C204" i="1"/>
  <c r="C206" i="1" s="1"/>
  <c r="CQ205" i="1" l="1"/>
  <c r="CQ143" i="1"/>
  <c r="CX76" i="1"/>
  <c r="CY74" i="1"/>
  <c r="AB13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M40" i="2"/>
  <c r="G65" i="2"/>
  <c r="P90" i="2"/>
  <c r="O77" i="2"/>
  <c r="P84" i="2"/>
  <c r="U104" i="2"/>
  <c r="L86" i="2"/>
  <c r="Q53" i="2"/>
  <c r="D80" i="2"/>
  <c r="X59" i="2"/>
  <c r="D78" i="2"/>
  <c r="F50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C81" i="2"/>
  <c r="M91" i="2"/>
  <c r="L65" i="2"/>
  <c r="Q89" i="2"/>
  <c r="K74" i="2"/>
  <c r="I82" i="2"/>
  <c r="V73" i="2"/>
  <c r="E79" i="2"/>
  <c r="M78" i="2"/>
  <c r="N40" i="2"/>
  <c r="H85" i="2"/>
  <c r="Q93" i="2"/>
  <c r="G110" i="2"/>
  <c r="K66" i="2"/>
  <c r="I97" i="2"/>
  <c r="X89" i="2"/>
  <c r="P82" i="2"/>
  <c r="O110" i="2"/>
  <c r="U95" i="2"/>
  <c r="L98" i="2"/>
  <c r="O92" i="2"/>
  <c r="X76" i="2"/>
  <c r="G105" i="2"/>
  <c r="C68" i="2"/>
  <c r="O55" i="2"/>
  <c r="J69" i="2"/>
  <c r="N75" i="2"/>
  <c r="L99" i="2"/>
  <c r="N91" i="2"/>
  <c r="C90" i="2"/>
  <c r="M74" i="2"/>
  <c r="K57" i="2"/>
  <c r="J77" i="2"/>
  <c r="T96" i="2"/>
  <c r="M68" i="2"/>
  <c r="K85" i="2"/>
  <c r="R94" i="2"/>
  <c r="O67" i="2"/>
  <c r="N110" i="2"/>
  <c r="F45" i="2"/>
  <c r="X80" i="2"/>
  <c r="T49" i="2"/>
  <c r="T58" i="2"/>
  <c r="C51" i="2"/>
  <c r="N63" i="2"/>
  <c r="C79" i="2"/>
  <c r="H93" i="2"/>
  <c r="G51" i="2"/>
  <c r="U65" i="2"/>
  <c r="S64" i="2"/>
  <c r="O47" i="2"/>
  <c r="F69" i="2"/>
  <c r="U113" i="2"/>
  <c r="AB68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Q75" i="3" s="1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N64" i="2"/>
  <c r="G107" i="2"/>
  <c r="G73" i="2"/>
  <c r="M105" i="2"/>
  <c r="R79" i="2"/>
  <c r="X90" i="2"/>
  <c r="G84" i="2"/>
  <c r="X79" i="2"/>
  <c r="W95" i="2"/>
  <c r="X72" i="2"/>
  <c r="V105" i="2"/>
  <c r="C55" i="2"/>
  <c r="U83" i="2"/>
  <c r="S107" i="2"/>
  <c r="W69" i="2"/>
  <c r="C107" i="2"/>
  <c r="R80" i="2"/>
  <c r="S72" i="2"/>
  <c r="H96" i="2"/>
  <c r="G50" i="2"/>
  <c r="H92" i="2"/>
  <c r="O53" i="2"/>
  <c r="C54" i="2"/>
  <c r="E91" i="2"/>
  <c r="N99" i="2"/>
  <c r="N42" i="2"/>
  <c r="N113" i="2"/>
  <c r="L64" i="2"/>
  <c r="M109" i="2"/>
  <c r="U93" i="2"/>
  <c r="K55" i="2"/>
  <c r="F58" i="2"/>
  <c r="K112" i="2"/>
  <c r="J49" i="2"/>
  <c r="C44" i="2"/>
  <c r="C110" i="2"/>
  <c r="T109" i="2"/>
  <c r="U43" i="2"/>
  <c r="M56" i="2"/>
  <c r="P110" i="2"/>
  <c r="I93" i="2"/>
  <c r="E112" i="2"/>
  <c r="D41" i="2"/>
  <c r="K77" i="2"/>
  <c r="U107" i="2"/>
  <c r="K58" i="2"/>
  <c r="N98" i="2"/>
  <c r="J67" i="2"/>
  <c r="P45" i="2"/>
  <c r="O109" i="2"/>
  <c r="O108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I78" i="2"/>
  <c r="P46" i="2"/>
  <c r="V75" i="2"/>
  <c r="E64" i="2"/>
  <c r="P107" i="2"/>
  <c r="G89" i="2"/>
  <c r="F111" i="2"/>
  <c r="W68" i="2"/>
  <c r="X99" i="2"/>
  <c r="W105" i="2"/>
  <c r="W107" i="2"/>
  <c r="J79" i="2"/>
  <c r="U94" i="2"/>
  <c r="O86" i="2"/>
  <c r="R111" i="2"/>
  <c r="D87" i="2"/>
  <c r="W67" i="2"/>
  <c r="E54" i="2"/>
  <c r="T82" i="2"/>
  <c r="F112" i="2"/>
  <c r="T83" i="2"/>
  <c r="M81" i="2"/>
  <c r="H52" i="2"/>
  <c r="X105" i="2"/>
  <c r="L80" i="2"/>
  <c r="E44" i="2"/>
  <c r="I87" i="2"/>
  <c r="K71" i="2"/>
  <c r="D104" i="2"/>
  <c r="Q80" i="2"/>
  <c r="H61" i="2"/>
  <c r="E80" i="2"/>
  <c r="S59" i="2"/>
  <c r="X53" i="2"/>
  <c r="T61" i="2"/>
  <c r="V108" i="2"/>
  <c r="I110" i="2"/>
  <c r="T52" i="2"/>
  <c r="X97" i="2"/>
  <c r="J88" i="2"/>
  <c r="R68" i="2"/>
  <c r="G86" i="2"/>
  <c r="C66" i="2"/>
  <c r="G70" i="2"/>
  <c r="L46" i="2"/>
  <c r="U108" i="2"/>
  <c r="O50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T64" i="2"/>
  <c r="J56" i="2"/>
  <c r="J78" i="2"/>
  <c r="V40" i="2"/>
  <c r="T99" i="2"/>
  <c r="J75" i="2"/>
  <c r="V80" i="2"/>
  <c r="C42" i="2"/>
  <c r="I61" i="2"/>
  <c r="W92" i="2"/>
  <c r="L45" i="2"/>
  <c r="V62" i="2"/>
  <c r="F51" i="2"/>
  <c r="L108" i="2"/>
  <c r="G52" i="2"/>
  <c r="J68" i="2"/>
  <c r="W51" i="2"/>
  <c r="L60" i="2"/>
  <c r="E83" i="2"/>
  <c r="J70" i="2"/>
  <c r="V56" i="2"/>
  <c r="L96" i="2"/>
  <c r="W58" i="2"/>
  <c r="H69" i="2"/>
  <c r="X107" i="2"/>
  <c r="R96" i="2"/>
  <c r="D60" i="2"/>
  <c r="V81" i="2"/>
  <c r="E74" i="2"/>
  <c r="K65" i="2"/>
  <c r="H67" i="2"/>
  <c r="C104" i="2"/>
  <c r="G49" i="2"/>
  <c r="F98" i="2"/>
  <c r="P49" i="2"/>
  <c r="V77" i="2"/>
  <c r="H63" i="2"/>
  <c r="O91" i="2"/>
  <c r="N71" i="2"/>
  <c r="M64" i="2"/>
  <c r="R104" i="2"/>
  <c r="X78" i="2"/>
  <c r="T57" i="2"/>
  <c r="G79" i="2"/>
  <c r="D113" i="2"/>
  <c r="G62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I84" i="3" s="1"/>
  <c r="AM5" i="3"/>
  <c r="AM80" i="3" s="1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K50" i="2"/>
  <c r="P68" i="2"/>
  <c r="K62" i="2"/>
  <c r="K90" i="2"/>
  <c r="U68" i="2"/>
  <c r="X62" i="2"/>
  <c r="W62" i="2"/>
  <c r="E58" i="2"/>
  <c r="P98" i="2"/>
  <c r="U47" i="2"/>
  <c r="X110" i="2"/>
  <c r="K67" i="2"/>
  <c r="D54" i="2"/>
  <c r="W89" i="2"/>
  <c r="R84" i="2"/>
  <c r="R113" i="2"/>
  <c r="V99" i="2"/>
  <c r="U90" i="2"/>
  <c r="H71" i="2"/>
  <c r="X55" i="2"/>
  <c r="O60" i="2"/>
  <c r="V112" i="2"/>
  <c r="J44" i="2"/>
  <c r="K40" i="2"/>
  <c r="O112" i="2"/>
  <c r="M79" i="2"/>
  <c r="K89" i="2"/>
  <c r="U59" i="2"/>
  <c r="C75" i="2"/>
  <c r="H47" i="2"/>
  <c r="G87" i="2"/>
  <c r="R43" i="2"/>
  <c r="X111" i="2"/>
  <c r="W76" i="2"/>
  <c r="T93" i="2"/>
  <c r="K46" i="2"/>
  <c r="R45" i="2"/>
  <c r="E97" i="2"/>
  <c r="D106" i="2"/>
  <c r="K41" i="2"/>
  <c r="W104" i="2"/>
  <c r="K83" i="2"/>
  <c r="E87" i="2"/>
  <c r="R99" i="2"/>
  <c r="I58" i="2"/>
  <c r="X112" i="2"/>
  <c r="S66" i="2"/>
  <c r="G60" i="2"/>
  <c r="O61" i="2"/>
  <c r="U64" i="2"/>
  <c r="F67" i="2"/>
  <c r="C91" i="2"/>
  <c r="V95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AG57" i="3" s="1"/>
  <c r="K30" i="3"/>
  <c r="Q21" i="3"/>
  <c r="K14" i="3"/>
  <c r="Q42" i="3"/>
  <c r="K39" i="3"/>
  <c r="Y9" i="3"/>
  <c r="R22" i="3"/>
  <c r="X39" i="3"/>
  <c r="AK8" i="3"/>
  <c r="T77" i="2"/>
  <c r="W63" i="2"/>
  <c r="U82" i="2"/>
  <c r="M76" i="2"/>
  <c r="G81" i="2"/>
  <c r="F87" i="2"/>
  <c r="W87" i="2"/>
  <c r="N72" i="2"/>
  <c r="U62" i="2"/>
  <c r="N90" i="2"/>
  <c r="J63" i="2"/>
  <c r="S49" i="2"/>
  <c r="R89" i="2"/>
  <c r="Q94" i="2"/>
  <c r="J89" i="2"/>
  <c r="W106" i="2"/>
  <c r="L79" i="2"/>
  <c r="C86" i="2"/>
  <c r="U61" i="2"/>
  <c r="X58" i="2"/>
  <c r="E107" i="2"/>
  <c r="J64" i="2"/>
  <c r="M104" i="2"/>
  <c r="I106" i="2"/>
  <c r="I80" i="2"/>
  <c r="L112" i="2"/>
  <c r="X93" i="2"/>
  <c r="L50" i="2"/>
  <c r="M45" i="2"/>
  <c r="K88" i="2"/>
  <c r="C74" i="2"/>
  <c r="R51" i="2"/>
  <c r="V71" i="2"/>
  <c r="U63" i="2"/>
  <c r="V94" i="2"/>
  <c r="E111" i="2"/>
  <c r="V69" i="2"/>
  <c r="O63" i="2"/>
  <c r="J73" i="2"/>
  <c r="E98" i="2"/>
  <c r="D71" i="2"/>
  <c r="J105" i="2"/>
  <c r="J87" i="2"/>
  <c r="V104" i="2"/>
  <c r="R72" i="2"/>
  <c r="X56" i="2"/>
  <c r="J85" i="2"/>
  <c r="C52" i="2"/>
  <c r="Q61" i="2"/>
  <c r="J86" i="2"/>
  <c r="K69" i="2"/>
  <c r="O104" i="2"/>
  <c r="S47" i="2"/>
  <c r="X87" i="2"/>
  <c r="Q111" i="2"/>
  <c r="H80" i="2"/>
  <c r="Q86" i="2"/>
  <c r="D40" i="2"/>
  <c r="R107" i="2"/>
  <c r="E73" i="2"/>
  <c r="X86" i="2"/>
  <c r="G94" i="2"/>
  <c r="S111" i="2"/>
  <c r="P48" i="2"/>
  <c r="L61" i="2"/>
  <c r="W79" i="2"/>
  <c r="P77" i="2"/>
  <c r="V45" i="2"/>
  <c r="X109" i="2"/>
  <c r="E78" i="2"/>
  <c r="M111" i="2"/>
  <c r="X68" i="2"/>
  <c r="L109" i="2"/>
  <c r="R60" i="2"/>
  <c r="C63" i="2"/>
  <c r="AB58" i="3"/>
  <c r="AB55" i="3"/>
  <c r="AB92" i="3"/>
  <c r="AP79" i="3"/>
  <c r="AB62" i="3"/>
  <c r="AB56" i="3"/>
  <c r="AB69" i="3"/>
  <c r="AB84" i="3"/>
  <c r="W5" i="3"/>
  <c r="W71" i="3" s="1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H64" i="2"/>
  <c r="D70" i="2"/>
  <c r="W57" i="2"/>
  <c r="R106" i="2"/>
  <c r="R110" i="2"/>
  <c r="G48" i="2"/>
  <c r="P111" i="2"/>
  <c r="R91" i="2"/>
  <c r="H46" i="2"/>
  <c r="E92" i="2"/>
  <c r="V89" i="2"/>
  <c r="U87" i="2"/>
  <c r="O96" i="2"/>
  <c r="J76" i="2"/>
  <c r="P108" i="2"/>
  <c r="Q79" i="2"/>
  <c r="C62" i="2"/>
  <c r="K48" i="2"/>
  <c r="U77" i="2"/>
  <c r="W41" i="2"/>
  <c r="I43" i="2"/>
  <c r="R76" i="2"/>
  <c r="H62" i="2"/>
  <c r="O93" i="2"/>
  <c r="N69" i="2"/>
  <c r="Q107" i="2"/>
  <c r="M70" i="2"/>
  <c r="M90" i="2"/>
  <c r="R71" i="2"/>
  <c r="J48" i="2"/>
  <c r="O79" i="2"/>
  <c r="T91" i="2"/>
  <c r="D73" i="2"/>
  <c r="K78" i="2"/>
  <c r="D67" i="2"/>
  <c r="I51" i="2"/>
  <c r="U86" i="2"/>
  <c r="H57" i="2"/>
  <c r="S90" i="2"/>
  <c r="H88" i="2"/>
  <c r="I88" i="2"/>
  <c r="J45" i="2"/>
  <c r="N46" i="2"/>
  <c r="G76" i="2"/>
  <c r="I40" i="2"/>
  <c r="W52" i="2"/>
  <c r="P92" i="2"/>
  <c r="R50" i="2"/>
  <c r="C108" i="2"/>
  <c r="R86" i="2"/>
  <c r="T69" i="2"/>
  <c r="N58" i="2"/>
  <c r="K104" i="2"/>
  <c r="R56" i="2"/>
  <c r="Q76" i="2"/>
  <c r="I66" i="2"/>
  <c r="C69" i="2"/>
  <c r="L77" i="2"/>
  <c r="E85" i="2"/>
  <c r="U111" i="2"/>
  <c r="M94" i="2"/>
  <c r="W61" i="2"/>
  <c r="C60" i="2"/>
  <c r="X42" i="2"/>
  <c r="X67" i="2"/>
  <c r="L56" i="2"/>
  <c r="J40" i="2"/>
  <c r="P44" i="2"/>
  <c r="G88" i="2"/>
  <c r="V41" i="2"/>
  <c r="E93" i="2"/>
  <c r="J97" i="2"/>
  <c r="P89" i="2"/>
  <c r="M84" i="2"/>
  <c r="W53" i="2"/>
  <c r="S75" i="2"/>
  <c r="X61" i="2"/>
  <c r="T71" i="2"/>
  <c r="S113" i="2"/>
  <c r="S83" i="2"/>
  <c r="O97" i="2"/>
  <c r="V53" i="2"/>
  <c r="P60" i="2"/>
  <c r="Q60" i="2"/>
  <c r="S56" i="2"/>
  <c r="G85" i="2"/>
  <c r="O88" i="2"/>
  <c r="X104" i="2"/>
  <c r="J90" i="2"/>
  <c r="K73" i="2"/>
  <c r="X74" i="2"/>
  <c r="G78" i="2"/>
  <c r="E48" i="2"/>
  <c r="H77" i="2"/>
  <c r="N55" i="2"/>
  <c r="H76" i="2"/>
  <c r="C95" i="2"/>
  <c r="N57" i="2"/>
  <c r="L105" i="2"/>
  <c r="X84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P61" i="3" s="1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C72" i="3" s="1"/>
  <c r="AJ13" i="3"/>
  <c r="Z29" i="3"/>
  <c r="H10" i="3"/>
  <c r="R33" i="3"/>
  <c r="I6" i="3"/>
  <c r="AO16" i="3"/>
  <c r="M12" i="3"/>
  <c r="Z7" i="3"/>
  <c r="N9" i="3"/>
  <c r="AH28" i="3"/>
  <c r="X75" i="2"/>
  <c r="R78" i="2"/>
  <c r="S104" i="2"/>
  <c r="O81" i="2"/>
  <c r="K45" i="2"/>
  <c r="D110" i="2"/>
  <c r="N105" i="2"/>
  <c r="W44" i="2"/>
  <c r="P47" i="2"/>
  <c r="R105" i="2"/>
  <c r="R64" i="2"/>
  <c r="H111" i="2"/>
  <c r="E51" i="2"/>
  <c r="K51" i="2"/>
  <c r="W80" i="2"/>
  <c r="S71" i="2"/>
  <c r="K84" i="2"/>
  <c r="P43" i="2"/>
  <c r="I46" i="2"/>
  <c r="O44" i="2"/>
  <c r="N83" i="2"/>
  <c r="U89" i="2"/>
  <c r="O65" i="2"/>
  <c r="D64" i="2"/>
  <c r="M72" i="2"/>
  <c r="E56" i="2"/>
  <c r="V82" i="2"/>
  <c r="X48" i="2"/>
  <c r="Q42" i="2"/>
  <c r="H42" i="2"/>
  <c r="S52" i="2"/>
  <c r="C97" i="2"/>
  <c r="M51" i="2"/>
  <c r="W45" i="2"/>
  <c r="T86" i="2"/>
  <c r="F85" i="2"/>
  <c r="V91" i="2"/>
  <c r="S65" i="2"/>
  <c r="G67" i="2"/>
  <c r="H90" i="2"/>
  <c r="L42" i="2"/>
  <c r="S58" i="2"/>
  <c r="M67" i="2"/>
  <c r="G55" i="2"/>
  <c r="R40" i="2"/>
  <c r="R97" i="2"/>
  <c r="X54" i="2"/>
  <c r="S95" i="2"/>
  <c r="D107" i="2"/>
  <c r="X8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AJ73" i="3" s="1"/>
  <c r="L26" i="3"/>
  <c r="H35" i="3"/>
  <c r="AI19" i="3"/>
  <c r="AB6" i="3"/>
  <c r="W36" i="3"/>
  <c r="AM20" i="3"/>
  <c r="I35" i="3"/>
  <c r="AQ33" i="3"/>
  <c r="J21" i="3"/>
  <c r="W31" i="3"/>
  <c r="AO29" i="3"/>
  <c r="S74" i="2"/>
  <c r="N50" i="2"/>
  <c r="G99" i="2"/>
  <c r="F57" i="2"/>
  <c r="X98" i="2"/>
  <c r="O83" i="2"/>
  <c r="G82" i="2"/>
  <c r="E41" i="2"/>
  <c r="E81" i="2"/>
  <c r="K42" i="2"/>
  <c r="U67" i="2"/>
  <c r="E71" i="2"/>
  <c r="S93" i="2"/>
  <c r="N52" i="2"/>
  <c r="H89" i="2"/>
  <c r="N108" i="2"/>
  <c r="F44" i="2"/>
  <c r="N43" i="2"/>
  <c r="D112" i="2"/>
  <c r="F61" i="2"/>
  <c r="E50" i="2"/>
  <c r="J58" i="2"/>
  <c r="E72" i="2"/>
  <c r="N106" i="2"/>
  <c r="V93" i="2"/>
  <c r="U46" i="2"/>
  <c r="O64" i="2"/>
  <c r="T56" i="2"/>
  <c r="I55" i="2"/>
  <c r="N79" i="2"/>
  <c r="O111" i="2"/>
  <c r="S110" i="2"/>
  <c r="V46" i="2"/>
  <c r="H106" i="2"/>
  <c r="E113" i="2"/>
  <c r="C80" i="2"/>
  <c r="G74" i="2"/>
  <c r="I69" i="2"/>
  <c r="V97" i="2"/>
  <c r="I75" i="2"/>
  <c r="S42" i="2"/>
  <c r="D94" i="2"/>
  <c r="G64" i="2"/>
  <c r="J95" i="2"/>
  <c r="N70" i="2"/>
  <c r="K106" i="2"/>
  <c r="I79" i="2"/>
  <c r="H59" i="2"/>
  <c r="M108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U105" i="2"/>
  <c r="S77" i="2"/>
  <c r="T67" i="2"/>
  <c r="Q87" i="2"/>
  <c r="J55" i="2"/>
  <c r="U81" i="2"/>
  <c r="S63" i="2"/>
  <c r="T80" i="2"/>
  <c r="H44" i="2"/>
  <c r="R74" i="2"/>
  <c r="Q88" i="2"/>
  <c r="D91" i="2"/>
  <c r="H79" i="2"/>
  <c r="X51" i="2"/>
  <c r="U109" i="2"/>
  <c r="R83" i="2"/>
  <c r="C106" i="2"/>
  <c r="T41" i="2"/>
  <c r="J42" i="2"/>
  <c r="F43" i="2"/>
  <c r="J111" i="2"/>
  <c r="V47" i="2"/>
  <c r="M107" i="2"/>
  <c r="M95" i="2"/>
  <c r="E88" i="2"/>
  <c r="T60" i="2"/>
  <c r="I45" i="2"/>
  <c r="U106" i="2"/>
  <c r="G56" i="2"/>
  <c r="E40" i="2"/>
  <c r="V109" i="2"/>
  <c r="H68" i="2"/>
  <c r="I81" i="2"/>
  <c r="Q72" i="2"/>
  <c r="V59" i="2"/>
  <c r="W64" i="2"/>
  <c r="J51" i="2"/>
  <c r="F77" i="2"/>
  <c r="D75" i="2"/>
  <c r="O70" i="2"/>
  <c r="R65" i="2"/>
  <c r="T105" i="2"/>
  <c r="N67" i="2"/>
  <c r="U85" i="2"/>
  <c r="I44" i="2"/>
  <c r="G69" i="2"/>
  <c r="K64" i="2"/>
  <c r="N61" i="2"/>
  <c r="I73" i="2"/>
  <c r="K111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M43" i="2"/>
  <c r="I42" i="2"/>
  <c r="C78" i="2"/>
  <c r="Q47" i="2"/>
  <c r="AP86" i="3"/>
  <c r="AB85" i="3"/>
  <c r="T25" i="3"/>
  <c r="Z8" i="3"/>
  <c r="D77" i="2"/>
  <c r="V68" i="2"/>
  <c r="J81" i="2"/>
  <c r="AB48" i="3"/>
  <c r="AB95" i="3"/>
  <c r="AL41" i="3"/>
  <c r="AD35" i="3"/>
  <c r="O37" i="3"/>
  <c r="Y6" i="3"/>
  <c r="AE25" i="3"/>
  <c r="Z11" i="3"/>
  <c r="U41" i="3"/>
  <c r="AM14" i="3"/>
  <c r="AG27" i="3"/>
  <c r="AL9" i="3"/>
  <c r="R40" i="3"/>
  <c r="V33" i="3"/>
  <c r="AQ32" i="3"/>
  <c r="AL10" i="3"/>
  <c r="Z24" i="3"/>
  <c r="AJ20" i="3"/>
  <c r="AP15" i="3"/>
  <c r="AI23" i="3"/>
  <c r="AO31" i="3"/>
  <c r="Z31" i="3"/>
  <c r="AA5" i="3"/>
  <c r="D50" i="3"/>
  <c r="W27" i="3"/>
  <c r="AI42" i="3"/>
  <c r="AL21" i="3"/>
  <c r="R37" i="3"/>
  <c r="Y32" i="3"/>
  <c r="Z23" i="3"/>
  <c r="AA11" i="3"/>
  <c r="AD33" i="3"/>
  <c r="J23" i="3"/>
  <c r="U9" i="3"/>
  <c r="R21" i="3"/>
  <c r="Z38" i="3"/>
  <c r="U35" i="3"/>
  <c r="V6" i="3"/>
  <c r="C14" i="3"/>
  <c r="U34" i="3"/>
  <c r="O32" i="3"/>
  <c r="W23" i="3"/>
  <c r="AP42" i="3"/>
  <c r="AN16" i="3"/>
  <c r="AN42" i="3"/>
  <c r="Y12" i="3"/>
  <c r="AA22" i="3"/>
  <c r="AK32" i="3"/>
  <c r="K31" i="3"/>
  <c r="W20" i="3"/>
  <c r="AG12" i="3"/>
  <c r="AM19" i="3"/>
  <c r="AG16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M11" i="3"/>
  <c r="K42" i="3"/>
  <c r="AG36" i="3"/>
  <c r="M38" i="3"/>
  <c r="X32" i="3"/>
  <c r="Q15" i="3"/>
  <c r="AG19" i="3"/>
  <c r="M42" i="3"/>
  <c r="AI13" i="3"/>
  <c r="AG9" i="3"/>
  <c r="AM23" i="3"/>
  <c r="AA7" i="3"/>
  <c r="AK40" i="3"/>
  <c r="J33" i="3"/>
  <c r="T38" i="3"/>
  <c r="AM38" i="3"/>
  <c r="F79" i="2"/>
  <c r="L106" i="2"/>
  <c r="O62" i="2"/>
  <c r="AB90" i="3"/>
  <c r="Z30" i="3"/>
  <c r="AQ29" i="3"/>
  <c r="AE24" i="3"/>
  <c r="K40" i="3"/>
  <c r="AA12" i="3"/>
  <c r="AP13" i="3"/>
  <c r="M15" i="3"/>
  <c r="Y34" i="3"/>
  <c r="AC29" i="3"/>
  <c r="V9" i="3"/>
  <c r="N10" i="3"/>
  <c r="R30" i="3"/>
  <c r="N35" i="3"/>
  <c r="AJ14" i="3"/>
  <c r="T22" i="3"/>
  <c r="I25" i="3"/>
  <c r="C42" i="3"/>
  <c r="AN17" i="3"/>
  <c r="V38" i="3"/>
  <c r="AH10" i="3"/>
  <c r="AO10" i="3"/>
  <c r="Q22" i="3"/>
  <c r="Q9" i="3"/>
  <c r="G39" i="3"/>
  <c r="Z36" i="3"/>
  <c r="P19" i="3"/>
  <c r="N28" i="3"/>
  <c r="AH34" i="3"/>
  <c r="AJ12" i="3"/>
  <c r="V32" i="3"/>
  <c r="AD30" i="3"/>
  <c r="AL13" i="3"/>
  <c r="R23" i="3"/>
  <c r="AQ15" i="3"/>
  <c r="I33" i="3"/>
  <c r="Z13" i="3"/>
  <c r="AM17" i="3"/>
  <c r="AI25" i="3"/>
  <c r="C20" i="3"/>
  <c r="R27" i="3"/>
  <c r="Y14" i="3"/>
  <c r="AC21" i="3"/>
  <c r="Z18" i="3"/>
  <c r="Z42" i="3"/>
  <c r="AN11" i="3"/>
  <c r="AM28" i="3"/>
  <c r="O14" i="3"/>
  <c r="Z5" i="3"/>
  <c r="Z94" i="3" s="1"/>
  <c r="AN18" i="3"/>
  <c r="N16" i="3"/>
  <c r="Y15" i="3"/>
  <c r="V35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K39" i="3"/>
  <c r="T21" i="3"/>
  <c r="P11" i="3"/>
  <c r="G49" i="3"/>
  <c r="U25" i="3"/>
  <c r="AH25" i="3"/>
  <c r="U39" i="3"/>
  <c r="AB36" i="3"/>
  <c r="AI22" i="3"/>
  <c r="Z22" i="3"/>
  <c r="AL26" i="3"/>
  <c r="J6" i="3"/>
  <c r="J40" i="3"/>
  <c r="N13" i="3"/>
  <c r="AG20" i="3"/>
  <c r="O36" i="3"/>
  <c r="AM31" i="3"/>
  <c r="M28" i="3"/>
  <c r="Q13" i="3"/>
  <c r="K17" i="3"/>
  <c r="J28" i="3"/>
  <c r="V5" i="3"/>
  <c r="V74" i="3" s="1"/>
  <c r="S22" i="3"/>
  <c r="T42" i="3"/>
  <c r="N11" i="3"/>
  <c r="AC10" i="3"/>
  <c r="AB40" i="3"/>
  <c r="AP35" i="3"/>
  <c r="AK23" i="3"/>
  <c r="AM27" i="3"/>
  <c r="S20" i="3"/>
  <c r="H12" i="3"/>
  <c r="K9" i="3"/>
  <c r="AP38" i="3"/>
  <c r="AQ28" i="3"/>
  <c r="T13" i="3"/>
  <c r="Q10" i="3"/>
  <c r="AJ29" i="3"/>
  <c r="J11" i="3"/>
  <c r="AB17" i="3"/>
  <c r="AL11" i="3"/>
  <c r="AK15" i="3"/>
  <c r="C16" i="3"/>
  <c r="X19" i="3"/>
  <c r="AO37" i="3"/>
  <c r="Z33" i="3"/>
  <c r="AL40" i="3"/>
  <c r="AN10" i="3"/>
  <c r="Y26" i="3"/>
  <c r="AG33" i="3"/>
  <c r="AB8" i="3"/>
  <c r="K7" i="3"/>
  <c r="AB32" i="3"/>
  <c r="V36" i="3"/>
  <c r="P14" i="3"/>
  <c r="S18" i="3"/>
  <c r="AD39" i="3"/>
  <c r="AB41" i="3"/>
  <c r="V11" i="3"/>
  <c r="J20" i="3"/>
  <c r="AP20" i="3"/>
  <c r="AN21" i="3"/>
  <c r="K12" i="3"/>
  <c r="D49" i="3"/>
  <c r="T27" i="3"/>
  <c r="S14" i="3"/>
  <c r="AM42" i="3"/>
  <c r="AA19" i="3"/>
  <c r="Q27" i="3"/>
  <c r="AB18" i="3"/>
  <c r="AN6" i="3"/>
  <c r="AN24" i="3"/>
  <c r="AE38" i="3"/>
  <c r="Q37" i="3"/>
  <c r="AL24" i="3"/>
  <c r="AL35" i="3"/>
  <c r="AK18" i="3"/>
  <c r="U20" i="3"/>
  <c r="C93" i="2"/>
  <c r="V44" i="2"/>
  <c r="V83" i="2"/>
  <c r="AP55" i="3"/>
  <c r="P32" i="3"/>
  <c r="R24" i="3"/>
  <c r="AJ25" i="3"/>
  <c r="AA9" i="3"/>
  <c r="AM25" i="3"/>
  <c r="L29" i="3"/>
  <c r="W19" i="3"/>
  <c r="AE39" i="3"/>
  <c r="Z35" i="3"/>
  <c r="J25" i="3"/>
  <c r="AA31" i="3"/>
  <c r="AI10" i="3"/>
  <c r="N20" i="3"/>
  <c r="AK22" i="3"/>
  <c r="AE42" i="3"/>
  <c r="AC7" i="3"/>
  <c r="S27" i="3"/>
  <c r="AL39" i="3"/>
  <c r="AP11" i="3"/>
  <c r="AB42" i="3"/>
  <c r="I21" i="3"/>
  <c r="E50" i="3"/>
  <c r="L36" i="3"/>
  <c r="S24" i="3"/>
  <c r="Y7" i="3"/>
  <c r="AA23" i="3"/>
  <c r="AL38" i="3"/>
  <c r="L7" i="3"/>
  <c r="AM18" i="3"/>
  <c r="K28" i="3"/>
  <c r="O13" i="3"/>
  <c r="K41" i="3"/>
  <c r="AA26" i="3"/>
  <c r="AQ11" i="3"/>
  <c r="AA37" i="3"/>
  <c r="K5" i="3"/>
  <c r="L35" i="3"/>
  <c r="X18" i="3"/>
  <c r="AO8" i="3"/>
  <c r="AL23" i="3"/>
  <c r="K22" i="3"/>
  <c r="AH39" i="3"/>
  <c r="AB64" i="3"/>
  <c r="AQ21" i="3"/>
  <c r="AD31" i="3"/>
  <c r="C32" i="3"/>
  <c r="K15" i="3"/>
  <c r="AC31" i="3"/>
  <c r="S26" i="3"/>
  <c r="P31" i="3"/>
  <c r="Q6" i="3"/>
  <c r="N7" i="3"/>
  <c r="AM35" i="3"/>
  <c r="U7" i="3"/>
  <c r="Z16" i="3"/>
  <c r="Q32" i="3"/>
  <c r="AB15" i="3"/>
  <c r="U13" i="3"/>
  <c r="E59" i="2"/>
  <c r="D68" i="2"/>
  <c r="D42" i="2"/>
  <c r="AP57" i="3"/>
  <c r="AL33" i="3"/>
  <c r="E49" i="3"/>
  <c r="O28" i="3"/>
  <c r="H14" i="3"/>
  <c r="S32" i="3"/>
  <c r="P25" i="3"/>
  <c r="AH15" i="3"/>
  <c r="AM41" i="3"/>
  <c r="Z12" i="3"/>
  <c r="AM39" i="3"/>
  <c r="H40" i="3"/>
  <c r="P20" i="3"/>
  <c r="Q23" i="3"/>
  <c r="AG26" i="3"/>
  <c r="AP9" i="3"/>
  <c r="AE18" i="3"/>
  <c r="J15" i="3"/>
  <c r="T16" i="3"/>
  <c r="AN14" i="3"/>
  <c r="AG6" i="3"/>
  <c r="M6" i="3"/>
  <c r="AH29" i="3"/>
  <c r="AL34" i="3"/>
  <c r="AC14" i="3"/>
  <c r="O27" i="3"/>
  <c r="AE41" i="3"/>
  <c r="AE29" i="3"/>
  <c r="P23" i="3"/>
  <c r="AO30" i="3"/>
  <c r="AI20" i="3"/>
  <c r="AQ24" i="3"/>
  <c r="AE17" i="3"/>
  <c r="G38" i="3"/>
  <c r="J9" i="3"/>
  <c r="X40" i="3"/>
  <c r="AC28" i="3"/>
  <c r="J5" i="3"/>
  <c r="J56" i="3" s="1"/>
  <c r="AH26" i="3"/>
  <c r="Z32" i="3"/>
  <c r="T20" i="3"/>
  <c r="AI37" i="3"/>
  <c r="AM10" i="3"/>
  <c r="Y29" i="3"/>
  <c r="AK6" i="3"/>
  <c r="AQ25" i="3"/>
  <c r="Y5" i="3"/>
  <c r="Y81" i="3" s="1"/>
  <c r="S8" i="3"/>
  <c r="AA18" i="3"/>
  <c r="AC30" i="3"/>
  <c r="AQ35" i="3"/>
  <c r="Z39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I17" i="3"/>
  <c r="N27" i="3"/>
  <c r="K8" i="3"/>
  <c r="AQ7" i="3"/>
  <c r="M40" i="3"/>
  <c r="S37" i="3"/>
  <c r="AN41" i="3"/>
  <c r="S28" i="3"/>
  <c r="X20" i="3"/>
  <c r="AC24" i="3"/>
  <c r="AO13" i="3"/>
  <c r="R16" i="3"/>
  <c r="AG29" i="3"/>
  <c r="C35" i="3"/>
  <c r="AO12" i="3"/>
  <c r="T7" i="3"/>
  <c r="L12" i="3"/>
  <c r="AK38" i="3"/>
  <c r="Q11" i="3"/>
  <c r="AB73" i="3"/>
  <c r="H19" i="3"/>
  <c r="H18" i="3"/>
  <c r="P40" i="3"/>
  <c r="AC12" i="3"/>
  <c r="AN39" i="3"/>
  <c r="U38" i="3"/>
  <c r="R5" i="3"/>
  <c r="AJ21" i="3"/>
  <c r="Q25" i="3"/>
  <c r="AC15" i="3"/>
  <c r="N14" i="3"/>
  <c r="AP26" i="3"/>
  <c r="AQ19" i="3"/>
  <c r="M30" i="3"/>
  <c r="R39" i="3"/>
  <c r="T37" i="3"/>
  <c r="N109" i="2"/>
  <c r="T74" i="2"/>
  <c r="E96" i="2"/>
  <c r="AP63" i="3"/>
  <c r="C37" i="3"/>
  <c r="U30" i="3"/>
  <c r="AH16" i="3"/>
  <c r="E47" i="3"/>
  <c r="J37" i="3"/>
  <c r="K36" i="3"/>
  <c r="AL37" i="3"/>
  <c r="W15" i="3"/>
  <c r="AA17" i="3"/>
  <c r="AK29" i="3"/>
  <c r="M22" i="3"/>
  <c r="AC13" i="3"/>
  <c r="AN23" i="3"/>
  <c r="J27" i="3"/>
  <c r="M26" i="3"/>
  <c r="V25" i="3"/>
  <c r="AG21" i="3"/>
  <c r="AE8" i="3"/>
  <c r="X5" i="3"/>
  <c r="AC9" i="3"/>
  <c r="AB26" i="3"/>
  <c r="Y24" i="3"/>
  <c r="AM30" i="3"/>
  <c r="S41" i="3"/>
  <c r="Q40" i="3"/>
  <c r="Y36" i="3"/>
  <c r="W13" i="3"/>
  <c r="O26" i="3"/>
  <c r="AQ30" i="3"/>
  <c r="Y33" i="3"/>
  <c r="Z40" i="3"/>
  <c r="AN40" i="3"/>
  <c r="AB35" i="3"/>
  <c r="T19" i="3"/>
  <c r="P42" i="3"/>
  <c r="AD36" i="3"/>
  <c r="AM7" i="3"/>
  <c r="AM34" i="3"/>
  <c r="AE37" i="3"/>
  <c r="P37" i="3"/>
  <c r="Z41" i="3"/>
  <c r="AL28" i="3"/>
  <c r="U29" i="3"/>
  <c r="C29" i="3"/>
  <c r="U5" i="3"/>
  <c r="K11" i="3"/>
  <c r="L40" i="3"/>
  <c r="X8" i="3"/>
  <c r="AG41" i="3"/>
  <c r="J24" i="3"/>
  <c r="W25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I8" i="3"/>
  <c r="AQ5" i="3"/>
  <c r="AQ54" i="3" s="1"/>
  <c r="J30" i="3"/>
  <c r="C13" i="3"/>
  <c r="I11" i="3"/>
  <c r="Q20" i="3"/>
  <c r="AI40" i="3"/>
  <c r="N23" i="3"/>
  <c r="O40" i="3"/>
  <c r="G47" i="3"/>
  <c r="AN15" i="3"/>
  <c r="L21" i="3"/>
  <c r="Y41" i="3"/>
  <c r="AO5" i="3"/>
  <c r="J19" i="3"/>
  <c r="T31" i="3"/>
  <c r="H29" i="3"/>
  <c r="L41" i="3"/>
  <c r="AO26" i="3"/>
  <c r="V23" i="3"/>
  <c r="L24" i="3"/>
  <c r="AQ20" i="3"/>
  <c r="AG11" i="3"/>
  <c r="C11" i="3"/>
  <c r="AL25" i="3"/>
  <c r="V22" i="3"/>
  <c r="Y10" i="3"/>
  <c r="AO42" i="3"/>
  <c r="S54" i="2"/>
  <c r="L13" i="3"/>
  <c r="AI7" i="3"/>
  <c r="AK26" i="3"/>
  <c r="O34" i="3"/>
  <c r="V40" i="3"/>
  <c r="I39" i="3"/>
  <c r="V34" i="3"/>
  <c r="AG23" i="3"/>
  <c r="AP18" i="3"/>
  <c r="AH38" i="3"/>
  <c r="AQ34" i="3"/>
  <c r="R12" i="3"/>
  <c r="AG25" i="3"/>
  <c r="AD29" i="3"/>
  <c r="H33" i="3"/>
  <c r="F56" i="2"/>
  <c r="T62" i="2"/>
  <c r="U51" i="2"/>
  <c r="AP62" i="3"/>
  <c r="O39" i="3"/>
  <c r="O21" i="3"/>
  <c r="K38" i="3"/>
  <c r="P41" i="3"/>
  <c r="M11" i="3"/>
  <c r="Q33" i="3"/>
  <c r="I26" i="3"/>
  <c r="Y39" i="3"/>
  <c r="K35" i="3"/>
  <c r="AN35" i="3"/>
  <c r="AE11" i="3"/>
  <c r="H21" i="3"/>
  <c r="AO24" i="3"/>
  <c r="AK11" i="3"/>
  <c r="O20" i="3"/>
  <c r="AO34" i="3"/>
  <c r="R26" i="3"/>
  <c r="G50" i="3"/>
  <c r="AB24" i="3"/>
  <c r="T10" i="3"/>
  <c r="AB29" i="3"/>
  <c r="AB13" i="3"/>
  <c r="AP22" i="3"/>
  <c r="H7" i="3"/>
  <c r="S23" i="3"/>
  <c r="AO38" i="3"/>
  <c r="J29" i="3"/>
  <c r="AE28" i="3"/>
  <c r="Q28" i="3"/>
  <c r="H15" i="3"/>
  <c r="M8" i="3"/>
  <c r="AP39" i="3"/>
  <c r="AL36" i="3"/>
  <c r="O25" i="3"/>
  <c r="L42" i="3"/>
  <c r="W42" i="3"/>
  <c r="AG31" i="3"/>
  <c r="AA16" i="3"/>
  <c r="AQ26" i="3"/>
  <c r="AB14" i="3"/>
  <c r="X17" i="3"/>
  <c r="N38" i="3"/>
  <c r="AD27" i="3"/>
  <c r="W17" i="3"/>
  <c r="Y42" i="3"/>
  <c r="AC11" i="3"/>
  <c r="S15" i="3"/>
  <c r="AO19" i="3"/>
  <c r="AJ40" i="3"/>
  <c r="AJ27" i="3"/>
  <c r="AG40" i="3"/>
  <c r="V20" i="3"/>
  <c r="AD49" i="3"/>
  <c r="K16" i="3"/>
  <c r="AB9" i="3"/>
  <c r="R34" i="3"/>
  <c r="AN26" i="3"/>
  <c r="X34" i="3"/>
  <c r="AO21" i="3"/>
  <c r="S17" i="3"/>
  <c r="AM13" i="3"/>
  <c r="U28" i="3"/>
  <c r="R14" i="3"/>
  <c r="Y37" i="3"/>
  <c r="U23" i="3"/>
  <c r="V30" i="3"/>
  <c r="I20" i="3"/>
  <c r="AO35" i="3"/>
  <c r="C4" i="3"/>
  <c r="AM15" i="3"/>
  <c r="P33" i="3"/>
  <c r="S35" i="3"/>
  <c r="M7" i="3"/>
  <c r="P24" i="3"/>
  <c r="U14" i="3"/>
  <c r="M16" i="3"/>
  <c r="AA24" i="3"/>
  <c r="AN30" i="3"/>
  <c r="P93" i="2"/>
  <c r="H45" i="2"/>
  <c r="L78" i="2"/>
  <c r="AP82" i="3"/>
  <c r="AH23" i="3"/>
  <c r="R36" i="3"/>
  <c r="AP41" i="3"/>
  <c r="I36" i="3"/>
  <c r="N39" i="3"/>
  <c r="AE14" i="3"/>
  <c r="AI15" i="3"/>
  <c r="AK17" i="3"/>
  <c r="AH36" i="3"/>
  <c r="C22" i="3"/>
  <c r="AA42" i="3"/>
  <c r="K23" i="3"/>
  <c r="N21" i="3"/>
  <c r="J8" i="3"/>
  <c r="AC19" i="3"/>
  <c r="L16" i="3"/>
  <c r="AC33" i="3"/>
  <c r="AH35" i="3"/>
  <c r="K21" i="3"/>
  <c r="R42" i="3"/>
  <c r="U33" i="3"/>
  <c r="O30" i="3"/>
  <c r="U6" i="3"/>
  <c r="AD48" i="3"/>
  <c r="AI27" i="3"/>
  <c r="AQ42" i="3"/>
  <c r="AI36" i="3"/>
  <c r="P17" i="3"/>
  <c r="AN5" i="3"/>
  <c r="J32" i="3"/>
  <c r="Y20" i="3"/>
  <c r="S39" i="3"/>
  <c r="AD47" i="3"/>
  <c r="AL29" i="3"/>
  <c r="AK35" i="3"/>
  <c r="Y8" i="3"/>
  <c r="AI35" i="3"/>
  <c r="Z21" i="3"/>
  <c r="X9" i="3"/>
  <c r="Q12" i="3"/>
  <c r="AL18" i="3"/>
  <c r="U18" i="3"/>
  <c r="AA20" i="3"/>
  <c r="S5" i="3"/>
  <c r="AE35" i="3"/>
  <c r="AA29" i="3"/>
  <c r="P28" i="3"/>
  <c r="H30" i="3"/>
  <c r="H26" i="3"/>
  <c r="C10" i="3"/>
  <c r="T18" i="3"/>
  <c r="H31" i="3"/>
  <c r="AI29" i="3"/>
  <c r="AE16" i="3"/>
  <c r="M24" i="3"/>
  <c r="N33" i="3"/>
  <c r="S25" i="3"/>
  <c r="U42" i="3"/>
  <c r="AB31" i="3"/>
  <c r="P38" i="3"/>
  <c r="M41" i="3"/>
  <c r="AG35" i="3"/>
  <c r="Q98" i="2"/>
  <c r="P15" i="3"/>
  <c r="AO32" i="3"/>
  <c r="N42" i="3"/>
  <c r="AE15" i="3"/>
  <c r="R73" i="2"/>
  <c r="N44" i="2"/>
  <c r="F88" i="2"/>
  <c r="AP80" i="3"/>
  <c r="N26" i="3"/>
  <c r="AN31" i="3"/>
  <c r="AI41" i="3"/>
  <c r="L37" i="3"/>
  <c r="I16" i="3"/>
  <c r="U11" i="3"/>
  <c r="N5" i="3"/>
  <c r="R32" i="3"/>
  <c r="AG7" i="3"/>
  <c r="AC37" i="3"/>
  <c r="O15" i="3"/>
  <c r="Q29" i="3"/>
  <c r="AI38" i="3"/>
  <c r="AN34" i="3"/>
  <c r="U12" i="3"/>
  <c r="M31" i="3"/>
  <c r="Y31" i="3"/>
  <c r="P21" i="3"/>
  <c r="I29" i="3"/>
  <c r="O19" i="3"/>
  <c r="E48" i="3"/>
  <c r="AG18" i="3"/>
  <c r="I34" i="3"/>
  <c r="N29" i="3"/>
  <c r="AE20" i="3"/>
  <c r="AK10" i="3"/>
  <c r="R10" i="3"/>
  <c r="Q41" i="3"/>
  <c r="AA33" i="3"/>
  <c r="AL12" i="3"/>
  <c r="O10" i="3"/>
  <c r="I24" i="3"/>
  <c r="AN38" i="3"/>
  <c r="AJ18" i="3"/>
  <c r="AE36" i="3"/>
  <c r="AO18" i="3"/>
  <c r="L17" i="3"/>
  <c r="AQ27" i="3"/>
  <c r="I12" i="3"/>
  <c r="X33" i="3"/>
  <c r="N6" i="3"/>
  <c r="S29" i="3"/>
  <c r="I27" i="3"/>
  <c r="Y35" i="3"/>
  <c r="V26" i="3"/>
  <c r="R31" i="3"/>
  <c r="J39" i="3"/>
  <c r="AL32" i="3"/>
  <c r="AP29" i="3"/>
  <c r="AC32" i="3"/>
  <c r="AJ10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B27" i="3"/>
  <c r="AO9" i="3"/>
  <c r="H23" i="3"/>
  <c r="AN28" i="3"/>
  <c r="Q30" i="3"/>
  <c r="R13" i="3"/>
  <c r="U27" i="3"/>
  <c r="C31" i="3"/>
  <c r="T9" i="3"/>
  <c r="Q24" i="3"/>
  <c r="P7" i="3"/>
  <c r="N31" i="3"/>
  <c r="AP24" i="3"/>
  <c r="K27" i="3"/>
  <c r="T39" i="3"/>
  <c r="P26" i="3"/>
  <c r="AL5" i="3"/>
  <c r="AL76" i="3" s="1"/>
  <c r="K34" i="3"/>
  <c r="AG14" i="3"/>
  <c r="R11" i="3"/>
  <c r="AC40" i="3"/>
  <c r="Q8" i="3"/>
  <c r="X11" i="3"/>
  <c r="K32" i="3"/>
  <c r="J35" i="3"/>
  <c r="AA39" i="3"/>
  <c r="AQ17" i="3"/>
  <c r="S13" i="3"/>
  <c r="AD25" i="3"/>
  <c r="L15" i="3"/>
  <c r="AJ39" i="3"/>
  <c r="X37" i="3"/>
  <c r="V21" i="3"/>
  <c r="AC35" i="3"/>
  <c r="AH5" i="3"/>
  <c r="AH80" i="3" s="1"/>
  <c r="D47" i="3"/>
  <c r="I32" i="3"/>
  <c r="AH12" i="3"/>
  <c r="H5" i="3"/>
  <c r="H92" i="3" s="1"/>
  <c r="K25" i="3"/>
  <c r="AP34" i="3"/>
  <c r="AC16" i="3"/>
  <c r="V13" i="3"/>
  <c r="AB28" i="3"/>
  <c r="AJ35" i="3"/>
  <c r="T29" i="3"/>
  <c r="AC38" i="3"/>
  <c r="N37" i="3"/>
  <c r="H108" i="2"/>
  <c r="O66" i="2"/>
  <c r="AB65" i="3"/>
  <c r="AP76" i="3"/>
  <c r="G36" i="3"/>
  <c r="AO15" i="3"/>
  <c r="I19" i="3"/>
  <c r="AI11" i="3"/>
  <c r="W18" i="3"/>
  <c r="O5" i="3"/>
  <c r="O47" i="3" s="1"/>
  <c r="T34" i="3"/>
  <c r="AH24" i="3"/>
  <c r="AA36" i="3"/>
  <c r="Z28" i="3"/>
  <c r="Q26" i="3"/>
  <c r="V29" i="3"/>
  <c r="S40" i="3"/>
  <c r="AB30" i="3"/>
  <c r="W6" i="3"/>
  <c r="C15" i="3"/>
  <c r="Y16" i="3"/>
  <c r="AG8" i="3"/>
  <c r="S38" i="3"/>
  <c r="C40" i="3"/>
  <c r="X25" i="3"/>
  <c r="L38" i="3"/>
  <c r="X26" i="3"/>
  <c r="K18" i="3"/>
  <c r="AJ32" i="3"/>
  <c r="AQ40" i="3"/>
  <c r="L27" i="3"/>
  <c r="AE30" i="3"/>
  <c r="AC26" i="3"/>
  <c r="AO28" i="3"/>
  <c r="Z20" i="3"/>
  <c r="R41" i="3"/>
  <c r="AK42" i="3"/>
  <c r="AI39" i="3"/>
  <c r="AQ31" i="3"/>
  <c r="V14" i="3"/>
  <c r="P9" i="3"/>
  <c r="N25" i="3"/>
  <c r="L11" i="3"/>
  <c r="AC42" i="3"/>
  <c r="O8" i="3"/>
  <c r="L20" i="3"/>
  <c r="AA14" i="3"/>
  <c r="AJ26" i="3"/>
  <c r="AD42" i="3"/>
  <c r="Z14" i="3"/>
  <c r="AG22" i="3"/>
  <c r="W32" i="3"/>
  <c r="I8" i="3"/>
  <c r="Q14" i="3"/>
  <c r="AB16" i="3"/>
  <c r="W8" i="3"/>
  <c r="X42" i="3"/>
  <c r="D43" i="2"/>
  <c r="H97" i="2"/>
  <c r="AP56" i="3"/>
  <c r="AP89" i="3"/>
  <c r="J16" i="3"/>
  <c r="I28" i="3"/>
  <c r="I37" i="3"/>
  <c r="N40" i="3"/>
  <c r="AL30" i="3"/>
  <c r="X28" i="3"/>
  <c r="AM8" i="3"/>
  <c r="AB23" i="3"/>
  <c r="L5" i="3"/>
  <c r="AM26" i="3"/>
  <c r="AN27" i="3"/>
  <c r="G32" i="3"/>
  <c r="T41" i="3"/>
  <c r="AB10" i="3"/>
  <c r="AC8" i="3"/>
  <c r="AB12" i="3"/>
  <c r="AJ8" i="3"/>
  <c r="U22" i="3"/>
  <c r="AO25" i="3"/>
  <c r="O7" i="3"/>
  <c r="W11" i="3"/>
  <c r="I14" i="3"/>
  <c r="AK7" i="3"/>
  <c r="AK20" i="3"/>
  <c r="W41" i="3"/>
  <c r="M5" i="3"/>
  <c r="C39" i="3"/>
  <c r="S19" i="3"/>
  <c r="C6" i="3"/>
  <c r="I10" i="3"/>
  <c r="M27" i="3"/>
  <c r="L9" i="3"/>
  <c r="AK25" i="3"/>
  <c r="AK19" i="3"/>
  <c r="AP10" i="3"/>
  <c r="AB22" i="3"/>
  <c r="AK9" i="3"/>
  <c r="AK34" i="3"/>
  <c r="AQ37" i="3"/>
  <c r="M37" i="3"/>
  <c r="AH27" i="3"/>
  <c r="Z17" i="3"/>
  <c r="Z27" i="3"/>
  <c r="J14" i="3"/>
  <c r="M36" i="3"/>
  <c r="H25" i="3"/>
  <c r="AB7" i="3"/>
  <c r="AJ19" i="3"/>
  <c r="I31" i="3"/>
  <c r="AK69" i="3"/>
  <c r="O66" i="3"/>
  <c r="AM67" i="3"/>
  <c r="AK96" i="3"/>
  <c r="H76" i="3"/>
  <c r="J80" i="3"/>
  <c r="AE85" i="3"/>
  <c r="X54" i="3"/>
  <c r="V87" i="3"/>
  <c r="AK60" i="3"/>
  <c r="AK95" i="3"/>
  <c r="AI90" i="3"/>
  <c r="Z93" i="3"/>
  <c r="Z73" i="3"/>
  <c r="AO73" i="3"/>
  <c r="N96" i="3"/>
  <c r="Z47" i="3"/>
  <c r="H49" i="3"/>
  <c r="N49" i="3"/>
  <c r="AM47" i="3"/>
  <c r="L92" i="3"/>
  <c r="AI89" i="3"/>
  <c r="N94" i="3"/>
  <c r="AM59" i="3"/>
  <c r="L61" i="3"/>
  <c r="AE80" i="3"/>
  <c r="J68" i="3"/>
  <c r="I50" i="3"/>
  <c r="AI65" i="3"/>
  <c r="N69" i="3"/>
  <c r="L67" i="3"/>
  <c r="H64" i="3"/>
  <c r="AE64" i="3"/>
  <c r="AE61" i="3"/>
  <c r="AI85" i="3"/>
  <c r="AM84" i="3"/>
  <c r="AM83" i="3"/>
  <c r="AK77" i="3"/>
  <c r="H75" i="3"/>
  <c r="J91" i="3"/>
  <c r="AN64" i="3"/>
  <c r="AI76" i="3"/>
  <c r="Q58" i="3"/>
  <c r="Q85" i="3"/>
  <c r="L72" i="3"/>
  <c r="AE75" i="3"/>
  <c r="AN71" i="3"/>
  <c r="T49" i="3"/>
  <c r="AO59" i="3"/>
  <c r="T63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I60" i="3"/>
  <c r="O54" i="3"/>
  <c r="AL54" i="3"/>
  <c r="H97" i="3"/>
  <c r="O90" i="3"/>
  <c r="V57" i="3"/>
  <c r="Q96" i="3"/>
  <c r="S72" i="3"/>
  <c r="AO97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G56" i="3"/>
  <c r="S47" i="3"/>
  <c r="M92" i="3"/>
  <c r="S69" i="3"/>
  <c r="AK93" i="3"/>
  <c r="H69" i="3"/>
  <c r="R74" i="3"/>
  <c r="AI97" i="3"/>
  <c r="AM81" i="3"/>
  <c r="L94" i="3"/>
  <c r="H85" i="3"/>
  <c r="AE68" i="3"/>
  <c r="L63" i="3"/>
  <c r="J81" i="3"/>
  <c r="X89" i="3"/>
  <c r="H84" i="3"/>
  <c r="Y47" i="3"/>
  <c r="Q68" i="3"/>
  <c r="AO82" i="3"/>
  <c r="Z58" i="3"/>
  <c r="AQ94" i="3"/>
  <c r="N56" i="3"/>
  <c r="AM88" i="3"/>
  <c r="AG85" i="3"/>
  <c r="U58" i="3"/>
  <c r="AO62" i="3"/>
  <c r="K55" i="3"/>
  <c r="AH96" i="3"/>
  <c r="Y87" i="3"/>
  <c r="I49" i="3"/>
  <c r="K64" i="3"/>
  <c r="AO84" i="3"/>
  <c r="X94" i="3"/>
  <c r="AQ78" i="3"/>
  <c r="N48" i="3"/>
  <c r="K91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M57" i="3"/>
  <c r="AO78" i="3"/>
  <c r="Q94" i="3"/>
  <c r="K92" i="3"/>
  <c r="AK68" i="3"/>
  <c r="O60" i="3"/>
  <c r="O87" i="3"/>
  <c r="AE84" i="3"/>
  <c r="M91" i="3"/>
  <c r="AG62" i="3"/>
  <c r="Q70" i="3"/>
  <c r="U68" i="3"/>
  <c r="AO50" i="3"/>
  <c r="W56" i="3"/>
  <c r="AK89" i="3"/>
  <c r="AL89" i="3"/>
  <c r="AH56" i="3"/>
  <c r="AG49" i="3"/>
  <c r="Z76" i="3"/>
  <c r="AL61" i="3"/>
  <c r="AH64" i="3"/>
  <c r="Y84" i="3"/>
  <c r="R54" i="3"/>
  <c r="H47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O83" i="3"/>
  <c r="X49" i="3"/>
  <c r="H96" i="3"/>
  <c r="J90" i="3"/>
  <c r="O86" i="3"/>
  <c r="AI88" i="3"/>
  <c r="J60" i="3"/>
  <c r="AO58" i="3"/>
  <c r="Z48" i="3"/>
  <c r="W89" i="3"/>
  <c r="N91" i="3"/>
  <c r="AM91" i="3"/>
  <c r="AN94" i="3"/>
  <c r="AG70" i="3"/>
  <c r="U69" i="3"/>
  <c r="AO68" i="3"/>
  <c r="S65" i="3"/>
  <c r="AH70" i="3"/>
  <c r="Y64" i="3"/>
  <c r="I54" i="3"/>
  <c r="S93" i="3"/>
  <c r="V61" i="3"/>
  <c r="X65" i="3"/>
  <c r="AQ82" i="3"/>
  <c r="AE90" i="3"/>
  <c r="Q97" i="3"/>
  <c r="AG95" i="3"/>
  <c r="AE56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K94" i="3"/>
  <c r="Q89" i="3"/>
  <c r="J59" i="3"/>
  <c r="AH94" i="3"/>
  <c r="N70" i="3"/>
  <c r="R83" i="3"/>
  <c r="AM64" i="3"/>
  <c r="H93" i="3"/>
  <c r="J75" i="3"/>
  <c r="O70" i="3"/>
  <c r="M88" i="3"/>
  <c r="X76" i="3"/>
  <c r="AQ66" i="3"/>
  <c r="AL79" i="3"/>
  <c r="R49" i="3"/>
  <c r="AG94" i="3"/>
  <c r="U93" i="3"/>
  <c r="AH87" i="3"/>
  <c r="AO92" i="3"/>
  <c r="Q90" i="3"/>
  <c r="AO80" i="3"/>
  <c r="AQ60" i="3"/>
  <c r="L95" i="3"/>
  <c r="Y60" i="3"/>
  <c r="AG91" i="3"/>
  <c r="S60" i="3"/>
  <c r="AH58" i="3"/>
  <c r="T73" i="3"/>
  <c r="S83" i="3"/>
  <c r="J84" i="3"/>
  <c r="AM63" i="3"/>
  <c r="Y48" i="3"/>
  <c r="AE58" i="3"/>
  <c r="AN58" i="3"/>
  <c r="Y79" i="3"/>
  <c r="AK59" i="3"/>
  <c r="AN77" i="3"/>
  <c r="W62" i="3"/>
  <c r="AH61" i="3"/>
  <c r="J77" i="3"/>
  <c r="O55" i="3"/>
  <c r="AN84" i="3"/>
  <c r="X61" i="3"/>
  <c r="M66" i="3"/>
  <c r="U92" i="3"/>
  <c r="AH90" i="3"/>
  <c r="W47" i="3"/>
  <c r="AL47" i="3"/>
  <c r="X60" i="3"/>
  <c r="Y82" i="3"/>
  <c r="V77" i="3"/>
  <c r="AI61" i="3"/>
  <c r="H90" i="3"/>
  <c r="K47" i="3"/>
  <c r="W84" i="3"/>
  <c r="T93" i="3"/>
  <c r="T76" i="3"/>
  <c r="AQ75" i="3"/>
  <c r="M54" i="3"/>
  <c r="AG54" i="3"/>
  <c r="AN73" i="3"/>
  <c r="AQ55" i="3"/>
  <c r="O79" i="3"/>
  <c r="O56" i="3"/>
  <c r="W58" i="3"/>
  <c r="I89" i="3"/>
  <c r="AI86" i="3"/>
  <c r="AE86" i="3"/>
  <c r="AG79" i="3"/>
  <c r="X85" i="3"/>
  <c r="T89" i="3"/>
  <c r="X75" i="3"/>
  <c r="AO60" i="3"/>
  <c r="T90" i="3"/>
  <c r="K66" i="3"/>
  <c r="AM79" i="3"/>
  <c r="Z69" i="3"/>
  <c r="AM58" i="3"/>
  <c r="Y83" i="3"/>
  <c r="AN59" i="3"/>
  <c r="X83" i="3"/>
  <c r="I55" i="3"/>
  <c r="AG82" i="3"/>
  <c r="N86" i="3"/>
  <c r="AK56" i="3"/>
  <c r="H89" i="3"/>
  <c r="M96" i="3"/>
  <c r="U56" i="3"/>
  <c r="J87" i="3"/>
  <c r="Z80" i="3"/>
  <c r="K80" i="3"/>
  <c r="W96" i="3"/>
  <c r="AK85" i="3"/>
  <c r="AL96" i="3"/>
  <c r="AH66" i="3"/>
  <c r="S79" i="3"/>
  <c r="K72" i="3"/>
  <c r="AH71" i="3"/>
  <c r="Y94" i="3"/>
  <c r="R47" i="3"/>
  <c r="M69" i="3"/>
  <c r="O71" i="3"/>
  <c r="T58" i="3"/>
  <c r="AH77" i="3"/>
  <c r="V97" i="3"/>
  <c r="I57" i="3"/>
  <c r="W65" i="3"/>
  <c r="AN62" i="3"/>
  <c r="AH73" i="3"/>
  <c r="Y63" i="3"/>
  <c r="AI56" i="3"/>
  <c r="AI95" i="3"/>
  <c r="L64" i="3"/>
  <c r="AI57" i="3"/>
  <c r="H91" i="3"/>
  <c r="O57" i="3"/>
  <c r="O48" i="3"/>
  <c r="T75" i="3"/>
  <c r="M76" i="3"/>
  <c r="O62" i="3"/>
  <c r="AE69" i="3"/>
  <c r="S95" i="3"/>
  <c r="W81" i="3"/>
  <c r="N97" i="3"/>
  <c r="AM96" i="3"/>
  <c r="Z97" i="3"/>
  <c r="AG90" i="3"/>
  <c r="R78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J70" i="3"/>
  <c r="AI96" i="3"/>
  <c r="N64" i="3"/>
  <c r="L84" i="3"/>
  <c r="AN67" i="3"/>
  <c r="H67" i="3"/>
  <c r="X90" i="3"/>
  <c r="AO76" i="3"/>
  <c r="Y74" i="3"/>
  <c r="AN89" i="3"/>
  <c r="AH84" i="3"/>
  <c r="AL66" i="3"/>
  <c r="Z54" i="3"/>
  <c r="AI68" i="3"/>
  <c r="H55" i="3"/>
  <c r="V69" i="3"/>
  <c r="X97" i="3"/>
  <c r="Q93" i="3"/>
  <c r="R79" i="3"/>
  <c r="AH79" i="3"/>
  <c r="Z57" i="3"/>
  <c r="O92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X68" i="3"/>
  <c r="W97" i="3"/>
  <c r="L57" i="3"/>
  <c r="AE54" i="3"/>
  <c r="V88" i="3"/>
  <c r="U80" i="3"/>
  <c r="AQ85" i="3"/>
  <c r="AK86" i="3"/>
  <c r="M82" i="3"/>
  <c r="AE73" i="3"/>
  <c r="AE97" i="3"/>
  <c r="V84" i="3"/>
  <c r="V50" i="3"/>
  <c r="I75" i="3"/>
  <c r="AG80" i="3"/>
  <c r="K49" i="3"/>
  <c r="N68" i="3"/>
  <c r="R66" i="3"/>
  <c r="Z85" i="3"/>
  <c r="N61" i="3"/>
  <c r="I65" i="3"/>
  <c r="Q80" i="3"/>
  <c r="U78" i="3"/>
  <c r="AL90" i="3"/>
  <c r="N90" i="3"/>
  <c r="AQ77" i="3"/>
  <c r="N57" i="3"/>
  <c r="L49" i="3"/>
  <c r="AI79" i="3"/>
  <c r="AL84" i="3"/>
  <c r="AO61" i="3"/>
  <c r="AL49" i="3"/>
  <c r="K69" i="3"/>
  <c r="R94" i="3"/>
  <c r="N75" i="3"/>
  <c r="T71" i="3"/>
  <c r="AL74" i="3"/>
  <c r="U82" i="3"/>
  <c r="M79" i="3"/>
  <c r="T91" i="3"/>
  <c r="M81" i="3"/>
  <c r="I83" i="3"/>
  <c r="S67" i="3"/>
  <c r="K96" i="3"/>
  <c r="M97" i="3"/>
  <c r="O78" i="3"/>
  <c r="H58" i="3"/>
  <c r="AN96" i="3"/>
  <c r="V56" i="3"/>
  <c r="AI74" i="3"/>
  <c r="AE55" i="3"/>
  <c r="M59" i="3"/>
  <c r="K79" i="3"/>
  <c r="W48" i="3"/>
  <c r="AK48" i="3"/>
  <c r="J66" i="3"/>
  <c r="AL68" i="3"/>
  <c r="U60" i="3"/>
  <c r="Q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L56" i="3"/>
  <c r="Q55" i="3"/>
  <c r="H80" i="3"/>
  <c r="AE47" i="3"/>
  <c r="Q60" i="3"/>
  <c r="O84" i="3"/>
  <c r="AE49" i="3"/>
  <c r="U85" i="3"/>
  <c r="T65" i="3"/>
  <c r="W74" i="3"/>
  <c r="N84" i="3"/>
  <c r="AM75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W80" i="3"/>
  <c r="V71" i="3"/>
  <c r="Z86" i="3"/>
  <c r="Q61" i="3"/>
  <c r="AO89" i="3"/>
  <c r="AI83" i="3"/>
  <c r="AM62" i="3"/>
  <c r="L60" i="3"/>
  <c r="H65" i="3"/>
  <c r="H74" i="3"/>
  <c r="U83" i="3"/>
  <c r="H50" i="3"/>
  <c r="X50" i="3"/>
  <c r="AO95" i="3"/>
  <c r="I84" i="3"/>
  <c r="Z56" i="3"/>
  <c r="L76" i="3"/>
  <c r="AL69" i="3"/>
  <c r="Y93" i="3"/>
  <c r="I74" i="3"/>
  <c r="AQ48" i="3"/>
  <c r="AG55" i="3"/>
  <c r="N66" i="3"/>
  <c r="W61" i="3"/>
  <c r="AN66" i="3"/>
  <c r="Y92" i="3"/>
  <c r="K78" i="3"/>
  <c r="AL57" i="3"/>
  <c r="T78" i="3"/>
  <c r="AH60" i="3"/>
  <c r="J76" i="3"/>
  <c r="AH59" i="3"/>
  <c r="AI59" i="3"/>
  <c r="AL55" i="3"/>
  <c r="T83" i="3"/>
  <c r="AQ71" i="3"/>
  <c r="T68" i="3"/>
  <c r="X72" i="3"/>
  <c r="O58" i="3"/>
  <c r="AQ91" i="3"/>
  <c r="S63" i="3"/>
  <c r="O64" i="3"/>
  <c r="J74" i="3"/>
  <c r="H68" i="3"/>
  <c r="H81" i="3"/>
  <c r="Q87" i="3"/>
  <c r="H48" i="3"/>
  <c r="AG86" i="3"/>
  <c r="W82" i="3"/>
  <c r="AM71" i="3"/>
  <c r="AE93" i="3"/>
  <c r="K86" i="3"/>
  <c r="U74" i="3"/>
  <c r="Q81" i="3"/>
  <c r="K75" i="3"/>
  <c r="AH74" i="3"/>
  <c r="Y56" i="3"/>
  <c r="R86" i="3"/>
  <c r="AL85" i="3"/>
  <c r="AE65" i="3"/>
  <c r="AO63" i="3"/>
  <c r="I68" i="3"/>
  <c r="AQ57" i="3"/>
  <c r="V85" i="3"/>
  <c r="Z55" i="3"/>
  <c r="W85" i="3"/>
  <c r="AL77" i="3"/>
  <c r="AN63" i="3"/>
  <c r="U79" i="3"/>
  <c r="V49" i="3"/>
  <c r="N93" i="3"/>
  <c r="AE74" i="3"/>
  <c r="AM74" i="3"/>
  <c r="AK49" i="3"/>
  <c r="H72" i="3"/>
  <c r="J83" i="3"/>
  <c r="AI77" i="3"/>
  <c r="J79" i="3"/>
  <c r="H73" i="3"/>
  <c r="AE96" i="3"/>
  <c r="AN82" i="3"/>
  <c r="J94" i="3"/>
  <c r="M93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T94" i="3"/>
  <c r="AK94" i="3"/>
  <c r="AI50" i="3"/>
  <c r="M74" i="3"/>
  <c r="O94" i="3"/>
  <c r="M78" i="3"/>
  <c r="AL64" i="3"/>
  <c r="AO90" i="3"/>
  <c r="S86" i="3"/>
  <c r="AK79" i="3"/>
  <c r="M73" i="3"/>
  <c r="M84" i="3"/>
  <c r="O93" i="3"/>
  <c r="H94" i="3"/>
  <c r="V93" i="3"/>
  <c r="U90" i="3"/>
  <c r="AM77" i="3"/>
  <c r="AO91" i="3"/>
  <c r="AK73" i="3"/>
  <c r="AO57" i="3"/>
  <c r="AK88" i="3"/>
  <c r="AC49" i="3"/>
  <c r="I95" i="3"/>
  <c r="H54" i="3"/>
  <c r="AK78" i="3"/>
  <c r="AE78" i="3"/>
  <c r="AC88" i="3"/>
  <c r="AM89" i="3"/>
  <c r="I78" i="3"/>
  <c r="AJ61" i="3"/>
  <c r="J86" i="3"/>
  <c r="J85" i="3"/>
  <c r="M61" i="3"/>
  <c r="M67" i="3"/>
  <c r="O88" i="3"/>
  <c r="O81" i="3"/>
  <c r="AN60" i="3"/>
  <c r="J48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AE95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C70" i="3"/>
  <c r="V48" i="3"/>
  <c r="J78" i="3"/>
  <c r="AN80" i="3"/>
  <c r="Y97" i="3"/>
  <c r="AH63" i="3"/>
  <c r="V62" i="3"/>
  <c r="AH88" i="3"/>
  <c r="Z62" i="3"/>
  <c r="I72" i="3"/>
  <c r="AN68" i="3"/>
  <c r="R77" i="3"/>
  <c r="V75" i="3"/>
  <c r="Q49" i="3"/>
  <c r="AO85" i="3"/>
  <c r="K65" i="3"/>
  <c r="O61" i="3"/>
  <c r="M75" i="3"/>
  <c r="M56" i="3"/>
  <c r="AI81" i="3"/>
  <c r="S92" i="3"/>
  <c r="U49" i="3"/>
  <c r="AL48" i="3"/>
  <c r="AQ93" i="3"/>
  <c r="AH69" i="3"/>
  <c r="H60" i="3"/>
  <c r="AJ58" i="3"/>
  <c r="V47" i="3"/>
  <c r="AI58" i="3"/>
  <c r="X69" i="3"/>
  <c r="AE67" i="3"/>
  <c r="Q57" i="3"/>
  <c r="AE82" i="3"/>
  <c r="M87" i="3"/>
  <c r="O50" i="3"/>
  <c r="X63" i="3"/>
  <c r="X47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Q48" i="3"/>
  <c r="U61" i="3"/>
  <c r="N87" i="3"/>
  <c r="AG75" i="3"/>
  <c r="AC94" i="3"/>
  <c r="Y85" i="3"/>
  <c r="AN69" i="3"/>
  <c r="AQ96" i="3"/>
  <c r="H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O72" i="3"/>
  <c r="AI91" i="3"/>
  <c r="W88" i="3"/>
  <c r="AG77" i="3"/>
  <c r="S77" i="3"/>
  <c r="S68" i="3"/>
  <c r="AQ63" i="3"/>
  <c r="O80" i="3"/>
  <c r="T72" i="3"/>
  <c r="R67" i="3"/>
  <c r="W73" i="3"/>
  <c r="AO94" i="3"/>
  <c r="AE63" i="3"/>
  <c r="X71" i="3"/>
  <c r="AN47" i="3"/>
  <c r="AC92" i="3"/>
  <c r="AK76" i="3"/>
  <c r="Q77" i="3"/>
  <c r="Y71" i="3"/>
  <c r="V73" i="3"/>
  <c r="I73" i="3"/>
  <c r="V94" i="3"/>
  <c r="Q95" i="3"/>
  <c r="V76" i="3"/>
  <c r="W79" i="3"/>
  <c r="I58" i="3"/>
  <c r="H63" i="3"/>
  <c r="L80" i="3"/>
  <c r="AN75" i="3"/>
  <c r="AO66" i="3"/>
  <c r="X91" i="3"/>
  <c r="Q82" i="3"/>
  <c r="M95" i="3"/>
  <c r="Z49" i="3"/>
  <c r="Z92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AN92" i="3"/>
  <c r="M80" i="3"/>
  <c r="N95" i="3"/>
  <c r="AG92" i="3"/>
  <c r="AO77" i="3"/>
  <c r="AQ67" i="3"/>
  <c r="X79" i="3"/>
  <c r="R89" i="3"/>
  <c r="AM93" i="3"/>
  <c r="AI93" i="3"/>
  <c r="AK57" i="3"/>
  <c r="AJ91" i="3"/>
  <c r="M50" i="3"/>
  <c r="AN85" i="3"/>
  <c r="M65" i="3"/>
  <c r="AN65" i="3"/>
  <c r="M71" i="3"/>
  <c r="AN79" i="3"/>
  <c r="AO65" i="3"/>
  <c r="X73" i="3"/>
  <c r="V65" i="3"/>
  <c r="W66" i="3"/>
  <c r="AK71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X74" i="3"/>
  <c r="AG89" i="3"/>
  <c r="AO87" i="3"/>
  <c r="S62" i="3"/>
  <c r="AN56" i="3"/>
  <c r="AJ90" i="3"/>
  <c r="N55" i="3"/>
  <c r="H56" i="3"/>
  <c r="J63" i="3"/>
  <c r="R81" i="3"/>
  <c r="AJ92" i="3"/>
  <c r="AH93" i="3"/>
  <c r="AM49" i="3"/>
  <c r="AH54" i="3"/>
  <c r="AL72" i="3"/>
  <c r="V68" i="3"/>
  <c r="X66" i="3"/>
  <c r="AM54" i="3"/>
  <c r="U50" i="3"/>
  <c r="S50" i="3"/>
  <c r="R65" i="3"/>
  <c r="V58" i="3"/>
  <c r="Y50" i="3"/>
  <c r="AE60" i="3"/>
  <c r="AN97" i="3"/>
  <c r="K57" i="3"/>
  <c r="AH97" i="3"/>
  <c r="AC64" i="3"/>
  <c r="Y77" i="3"/>
  <c r="I60" i="3"/>
  <c r="M77" i="3"/>
  <c r="AI67" i="3"/>
  <c r="AM55" i="3"/>
  <c r="T85" i="3"/>
  <c r="N80" i="3"/>
  <c r="AL97" i="3"/>
  <c r="W63" i="3"/>
  <c r="M72" i="3"/>
  <c r="S70" i="3"/>
  <c r="O76" i="3"/>
  <c r="AK65" i="3"/>
  <c r="AJ88" i="3"/>
  <c r="V72" i="3"/>
  <c r="K58" i="3"/>
  <c r="AI78" i="3"/>
  <c r="H88" i="3"/>
  <c r="L68" i="3"/>
  <c r="AI70" i="3"/>
  <c r="H62" i="3"/>
  <c r="AC82" i="3"/>
  <c r="J95" i="3"/>
  <c r="AN90" i="3"/>
  <c r="AC56" i="3"/>
  <c r="Z74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AL62" i="3"/>
  <c r="AK74" i="3"/>
  <c r="AK83" i="3"/>
  <c r="AI73" i="3"/>
  <c r="Q56" i="3"/>
  <c r="M86" i="3"/>
  <c r="O67" i="3"/>
  <c r="T86" i="3"/>
  <c r="Z90" i="3"/>
  <c r="T64" i="3"/>
  <c r="N58" i="3"/>
  <c r="Z77" i="3"/>
  <c r="J50" i="3"/>
  <c r="K48" i="3"/>
  <c r="W60" i="3"/>
  <c r="AK82" i="3"/>
  <c r="AL92" i="3"/>
  <c r="AH67" i="3"/>
  <c r="S61" i="3"/>
  <c r="Z79" i="3"/>
  <c r="K74" i="3"/>
  <c r="AH86" i="3"/>
  <c r="Y95" i="3"/>
  <c r="R75" i="3"/>
  <c r="H95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AM94" i="3"/>
  <c r="AK7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I91" i="3"/>
  <c r="AJ78" i="3"/>
  <c r="Z95" i="3"/>
  <c r="AN87" i="3"/>
  <c r="J67" i="3"/>
  <c r="X87" i="3"/>
  <c r="W72" i="3"/>
  <c r="V59" i="3"/>
  <c r="S64" i="3"/>
  <c r="AE77" i="3"/>
  <c r="AM70" i="3"/>
  <c r="AQ50" i="3"/>
  <c r="T56" i="3"/>
  <c r="AL80" i="3"/>
  <c r="AJ62" i="3"/>
  <c r="AC62" i="3"/>
  <c r="U70" i="3"/>
  <c r="L55" i="3"/>
  <c r="T77" i="3"/>
  <c r="J65" i="3"/>
  <c r="AH78" i="3"/>
  <c r="U89" i="3"/>
  <c r="W95" i="3"/>
  <c r="Z91" i="3"/>
  <c r="AE76" i="3"/>
  <c r="T60" i="3"/>
  <c r="I70" i="3"/>
  <c r="O85" i="3"/>
  <c r="S91" i="3"/>
  <c r="AI75" i="3"/>
  <c r="O96" i="3"/>
  <c r="L69" i="3"/>
  <c r="L70" i="3"/>
  <c r="O69" i="3"/>
  <c r="H82" i="3"/>
  <c r="AE79" i="3"/>
  <c r="N85" i="3"/>
  <c r="T55" i="3"/>
  <c r="AC68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I62" i="3"/>
  <c r="AK84" i="3"/>
  <c r="H59" i="3"/>
  <c r="H83" i="3"/>
  <c r="L87" i="3"/>
  <c r="L71" i="3"/>
  <c r="AN93" i="3"/>
  <c r="O89" i="3"/>
  <c r="T81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R85" i="3"/>
  <c r="K76" i="3"/>
  <c r="X64" i="3"/>
  <c r="K95" i="3"/>
  <c r="Z71" i="3"/>
  <c r="R57" i="3"/>
  <c r="AQ68" i="3"/>
  <c r="R68" i="3"/>
  <c r="AI48" i="3"/>
  <c r="AI55" i="3"/>
  <c r="AK91" i="3"/>
  <c r="M70" i="3"/>
  <c r="V90" i="3"/>
  <c r="Y68" i="3"/>
  <c r="M90" i="3"/>
  <c r="K70" i="3"/>
  <c r="AE87" i="3"/>
  <c r="R97" i="3"/>
  <c r="AO88" i="3"/>
  <c r="Y67" i="3"/>
  <c r="K93" i="3"/>
  <c r="K85" i="3"/>
  <c r="AI64" i="3"/>
  <c r="M94" i="3"/>
  <c r="O95" i="3"/>
  <c r="L77" i="3"/>
  <c r="J72" i="3"/>
  <c r="AE72" i="3"/>
  <c r="AN78" i="3"/>
  <c r="M47" i="3"/>
  <c r="AO54" i="3"/>
  <c r="W55" i="3"/>
  <c r="N59" i="3"/>
  <c r="AM78" i="3"/>
  <c r="AO86" i="3"/>
  <c r="AG76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J49" i="3"/>
  <c r="N79" i="3"/>
  <c r="N73" i="3"/>
  <c r="AM66" i="3"/>
  <c r="L75" i="3"/>
  <c r="J89" i="3"/>
  <c r="J88" i="3"/>
  <c r="L50" i="3"/>
  <c r="AO64" i="3"/>
  <c r="M62" i="3"/>
  <c r="V70" i="3"/>
  <c r="X77" i="3"/>
  <c r="AG65" i="3"/>
  <c r="AM90" i="3"/>
  <c r="U81" i="3"/>
  <c r="Q79" i="3"/>
  <c r="T61" i="3"/>
  <c r="U71" i="3"/>
  <c r="I67" i="3"/>
  <c r="W83" i="3"/>
  <c r="AM65" i="3"/>
  <c r="AK92" i="3"/>
  <c r="O68" i="3"/>
  <c r="AC54" i="3" l="1"/>
  <c r="P63" i="3"/>
  <c r="AJ67" i="3"/>
  <c r="AA95" i="3"/>
  <c r="AC83" i="3"/>
  <c r="AA89" i="3"/>
  <c r="AA58" i="3"/>
  <c r="AA97" i="3"/>
  <c r="AA55" i="3"/>
  <c r="AJ57" i="3"/>
  <c r="P59" i="3"/>
  <c r="AA93" i="3"/>
  <c r="AC74" i="3"/>
  <c r="P60" i="3"/>
  <c r="AA88" i="3"/>
  <c r="P50" i="3"/>
  <c r="AJ47" i="3"/>
  <c r="AJ59" i="3"/>
  <c r="AJ75" i="3"/>
  <c r="AC57" i="3"/>
  <c r="AA85" i="3"/>
  <c r="AJ69" i="3"/>
  <c r="P92" i="3"/>
  <c r="AA87" i="3"/>
  <c r="P69" i="3"/>
  <c r="AC86" i="3"/>
  <c r="P88" i="3"/>
  <c r="P84" i="3"/>
  <c r="AC75" i="3"/>
  <c r="AJ66" i="3"/>
  <c r="AJ50" i="3"/>
  <c r="AJ48" i="3"/>
  <c r="AA63" i="3"/>
  <c r="AA86" i="3"/>
  <c r="P72" i="3"/>
  <c r="AA74" i="3"/>
  <c r="P80" i="3"/>
  <c r="AA48" i="3"/>
  <c r="AC87" i="3"/>
  <c r="AC48" i="3"/>
  <c r="AC67" i="3"/>
  <c r="AC85" i="3"/>
  <c r="AJ89" i="3"/>
  <c r="AJ64" i="3"/>
  <c r="AC81" i="3"/>
  <c r="AA70" i="3"/>
  <c r="P97" i="3"/>
  <c r="P70" i="3"/>
  <c r="AJ56" i="3"/>
  <c r="AA75" i="3"/>
  <c r="AC66" i="3"/>
  <c r="AA65" i="3"/>
  <c r="AJ72" i="3"/>
  <c r="AC78" i="3"/>
  <c r="AA76" i="3"/>
  <c r="AC65" i="3"/>
  <c r="AJ65" i="3"/>
  <c r="AJ54" i="3"/>
  <c r="AJ74" i="3"/>
  <c r="AC69" i="3"/>
  <c r="P87" i="3"/>
  <c r="AA83" i="3"/>
  <c r="P62" i="3"/>
  <c r="AA91" i="3"/>
  <c r="AC71" i="3"/>
  <c r="AJ76" i="3"/>
  <c r="P66" i="3"/>
  <c r="P47" i="3"/>
  <c r="P56" i="3"/>
  <c r="AJ82" i="3"/>
  <c r="AA81" i="3"/>
  <c r="AC79" i="3"/>
  <c r="AJ81" i="3"/>
  <c r="AA92" i="3"/>
  <c r="P85" i="3"/>
  <c r="P73" i="3"/>
  <c r="AA94" i="3"/>
  <c r="AC89" i="3"/>
  <c r="P58" i="3"/>
  <c r="AC76" i="3"/>
  <c r="AJ70" i="3"/>
  <c r="P79" i="3"/>
  <c r="AC58" i="3"/>
  <c r="AJ79" i="3"/>
  <c r="AJ55" i="3"/>
  <c r="AA56" i="3"/>
  <c r="P67" i="3"/>
  <c r="AA69" i="3"/>
  <c r="AC80" i="3"/>
  <c r="AJ95" i="3"/>
  <c r="AC97" i="3"/>
  <c r="P86" i="3"/>
  <c r="AJ94" i="3"/>
  <c r="AA59" i="3"/>
  <c r="AC73" i="3"/>
  <c r="P76" i="3"/>
  <c r="P94" i="3"/>
  <c r="P96" i="3"/>
  <c r="AJ60" i="3"/>
  <c r="AA72" i="3"/>
  <c r="AJ68" i="3"/>
  <c r="AA67" i="3"/>
  <c r="AC84" i="3"/>
  <c r="AC77" i="3"/>
  <c r="AA47" i="3"/>
  <c r="P54" i="3"/>
  <c r="AA82" i="3"/>
  <c r="P48" i="3"/>
  <c r="P93" i="3"/>
  <c r="AA79" i="3"/>
  <c r="AA64" i="3"/>
  <c r="P89" i="3"/>
  <c r="AA80" i="3"/>
  <c r="P78" i="3"/>
  <c r="AA66" i="3"/>
  <c r="AA73" i="3"/>
  <c r="AA49" i="3"/>
  <c r="AA84" i="3"/>
  <c r="P71" i="3"/>
  <c r="P68" i="3"/>
  <c r="AA57" i="3"/>
  <c r="P75" i="3"/>
  <c r="P57" i="3"/>
  <c r="AA50" i="3"/>
  <c r="AA54" i="3"/>
  <c r="AA71" i="3"/>
  <c r="P90" i="3"/>
  <c r="AA78" i="3"/>
  <c r="P65" i="3"/>
  <c r="P55" i="3"/>
  <c r="P82" i="3"/>
  <c r="AA96" i="3"/>
  <c r="AA90" i="3"/>
  <c r="AA61" i="3"/>
  <c r="P91" i="3"/>
  <c r="P83" i="3"/>
  <c r="P49" i="3"/>
  <c r="P95" i="3"/>
  <c r="P81" i="3"/>
  <c r="AA68" i="3"/>
  <c r="P74" i="3"/>
  <c r="P77" i="3"/>
  <c r="AA77" i="3"/>
  <c r="AA62" i="3"/>
  <c r="AA60" i="3"/>
  <c r="AH82" i="3"/>
  <c r="V91" i="3"/>
  <c r="P64" i="3"/>
  <c r="J64" i="3"/>
  <c r="J55" i="3"/>
  <c r="R64" i="3"/>
  <c r="K84" i="3"/>
  <c r="K68" i="3"/>
  <c r="L59" i="3"/>
  <c r="L66" i="3"/>
  <c r="AR162" i="1" s="1"/>
  <c r="AS162" i="1" s="1"/>
  <c r="L82" i="3"/>
  <c r="AR156" i="1" s="1"/>
  <c r="AN47" i="1"/>
  <c r="AP34" i="1"/>
  <c r="BF32" i="1"/>
  <c r="BQ56" i="1"/>
  <c r="BV24" i="1"/>
  <c r="BQ47" i="1"/>
  <c r="AO24" i="1"/>
  <c r="AI19" i="1"/>
  <c r="AL109" i="1" s="1"/>
  <c r="AL110" i="1" s="1"/>
  <c r="AL115" i="1" s="1"/>
  <c r="BQ20" i="1"/>
  <c r="AO34" i="1"/>
  <c r="BC26" i="1"/>
  <c r="BU47" i="1"/>
  <c r="BH25" i="1"/>
  <c r="BH24" i="1"/>
  <c r="AM58" i="1"/>
  <c r="BS58" i="1"/>
  <c r="BH46" i="1"/>
  <c r="BD43" i="1"/>
  <c r="BD205" i="1" s="1"/>
  <c r="AO43" i="1"/>
  <c r="AO205" i="1" s="1"/>
  <c r="AP31" i="1"/>
  <c r="BV164" i="1"/>
  <c r="BV128" i="1"/>
  <c r="BW128" i="1" s="1"/>
  <c r="C130" i="1"/>
  <c r="BD62" i="1"/>
  <c r="BH31" i="1"/>
  <c r="AW34" i="1"/>
  <c r="BF34" i="1"/>
  <c r="BJ62" i="1"/>
  <c r="BP58" i="1"/>
  <c r="BG34" i="1"/>
  <c r="AR20" i="1"/>
  <c r="BI62" i="1"/>
  <c r="AR26" i="1"/>
  <c r="AT47" i="1"/>
  <c r="BB34" i="1"/>
  <c r="BQ62" i="1"/>
  <c r="BF20" i="1"/>
  <c r="BU43" i="1"/>
  <c r="BI58" i="1"/>
  <c r="AQ36" i="1"/>
  <c r="BD58" i="1"/>
  <c r="BD47" i="1"/>
  <c r="BE31" i="1"/>
  <c r="AI35" i="1"/>
  <c r="BC19" i="1"/>
  <c r="BC242" i="1" s="1"/>
  <c r="BB50" i="1"/>
  <c r="AW58" i="1"/>
  <c r="BF43" i="1"/>
  <c r="BF205" i="1" s="1"/>
  <c r="AZ56" i="1"/>
  <c r="BC36" i="1"/>
  <c r="BO26" i="1"/>
  <c r="BU35" i="1"/>
  <c r="BH161" i="1"/>
  <c r="BI161" i="1" s="1"/>
  <c r="G90" i="1"/>
  <c r="AZ50" i="1"/>
  <c r="BP57" i="1"/>
  <c r="BH43" i="1"/>
  <c r="BH205" i="1" s="1"/>
  <c r="BI31" i="1"/>
  <c r="BV56" i="1"/>
  <c r="AQ47" i="1"/>
  <c r="BN25" i="1"/>
  <c r="BI57" i="1"/>
  <c r="BB33" i="1"/>
  <c r="AR35" i="1"/>
  <c r="BJ47" i="1"/>
  <c r="BJ263" i="1" s="1"/>
  <c r="BW32" i="1"/>
  <c r="AP57" i="1"/>
  <c r="BD26" i="1"/>
  <c r="AX26" i="1"/>
  <c r="BM34" i="1"/>
  <c r="AQ56" i="1"/>
  <c r="AV58" i="1"/>
  <c r="BT43" i="1"/>
  <c r="AN46" i="1"/>
  <c r="BG57" i="1"/>
  <c r="BV33" i="1"/>
  <c r="AI58" i="1"/>
  <c r="BA31" i="1"/>
  <c r="AQ58" i="1"/>
  <c r="BO34" i="1"/>
  <c r="BK25" i="1"/>
  <c r="AS33" i="1"/>
  <c r="BW31" i="1"/>
  <c r="BW24" i="1"/>
  <c r="AT25" i="1"/>
  <c r="BP24" i="1"/>
  <c r="BV50" i="1"/>
  <c r="BB58" i="1"/>
  <c r="BE57" i="1"/>
  <c r="AY50" i="1"/>
  <c r="AT19" i="1"/>
  <c r="AO25" i="1"/>
  <c r="AR32" i="1"/>
  <c r="BU36" i="1"/>
  <c r="BP36" i="1"/>
  <c r="AU24" i="1"/>
  <c r="BR25" i="1"/>
  <c r="AX24" i="1"/>
  <c r="BQ24" i="1"/>
  <c r="BK20" i="1"/>
  <c r="AT50" i="1"/>
  <c r="AO56" i="1"/>
  <c r="BM36" i="1"/>
  <c r="AO50" i="1"/>
  <c r="AV33" i="1"/>
  <c r="BA25" i="1"/>
  <c r="BT56" i="1"/>
  <c r="AW50" i="1"/>
  <c r="AU35" i="1"/>
  <c r="BA26" i="1"/>
  <c r="AO31" i="1"/>
  <c r="AT58" i="1"/>
  <c r="BV170" i="1"/>
  <c r="Q154" i="1"/>
  <c r="BK35" i="1"/>
  <c r="AT62" i="1"/>
  <c r="AV35" i="1"/>
  <c r="BM57" i="1"/>
  <c r="BA62" i="1"/>
  <c r="AY47" i="1"/>
  <c r="BK31" i="1"/>
  <c r="BO50" i="1"/>
  <c r="AZ36" i="1"/>
  <c r="AI24" i="1"/>
  <c r="AN58" i="1"/>
  <c r="AV43" i="1"/>
  <c r="AV205" i="1" s="1"/>
  <c r="BG50" i="1"/>
  <c r="BK57" i="1"/>
  <c r="BG20" i="1"/>
  <c r="BA36" i="1"/>
  <c r="BR36" i="1"/>
  <c r="AW25" i="1"/>
  <c r="BF33" i="1"/>
  <c r="BO57" i="1"/>
  <c r="BQ57" i="1"/>
  <c r="BR50" i="1"/>
  <c r="BE20" i="1"/>
  <c r="AV32" i="1"/>
  <c r="BW62" i="1"/>
  <c r="BA19" i="1"/>
  <c r="BA242" i="1" s="1"/>
  <c r="AX62" i="1"/>
  <c r="AQ33" i="1"/>
  <c r="BN57" i="1"/>
  <c r="AR31" i="1"/>
  <c r="AT33" i="1"/>
  <c r="AQ46" i="1"/>
  <c r="BG62" i="1"/>
  <c r="BQ32" i="1"/>
  <c r="BO35" i="1"/>
  <c r="BK34" i="1"/>
  <c r="BN46" i="1"/>
  <c r="BV156" i="1"/>
  <c r="K171" i="1"/>
  <c r="G133" i="1"/>
  <c r="O183" i="1"/>
  <c r="AS31" i="1"/>
  <c r="BA34" i="1"/>
  <c r="AY57" i="1"/>
  <c r="BS35" i="1"/>
  <c r="BU57" i="1"/>
  <c r="AO20" i="1"/>
  <c r="BA46" i="1"/>
  <c r="AX34" i="1"/>
  <c r="BA43" i="1"/>
  <c r="AY32" i="1"/>
  <c r="BU33" i="1"/>
  <c r="BD56" i="1"/>
  <c r="BT58" i="1"/>
  <c r="AX56" i="1"/>
  <c r="AQ31" i="1"/>
  <c r="BJ84" i="1"/>
  <c r="BB20" i="1"/>
  <c r="AY35" i="1"/>
  <c r="BI26" i="1"/>
  <c r="BE62" i="1"/>
  <c r="BC32" i="1"/>
  <c r="BD32" i="1"/>
  <c r="BH34" i="1"/>
  <c r="BW58" i="1"/>
  <c r="BG31" i="1"/>
  <c r="BC62" i="1"/>
  <c r="AR62" i="1"/>
  <c r="AU47" i="1"/>
  <c r="AN35" i="1"/>
  <c r="AW43" i="1"/>
  <c r="AW205" i="1" s="1"/>
  <c r="BK43" i="1"/>
  <c r="AP50" i="1"/>
  <c r="AY46" i="1"/>
  <c r="BH50" i="1"/>
  <c r="AZ24" i="1"/>
  <c r="AM85" i="1"/>
  <c r="AX58" i="1"/>
  <c r="BU56" i="1"/>
  <c r="AU20" i="1"/>
  <c r="BQ26" i="1"/>
  <c r="AN33" i="1"/>
  <c r="BK26" i="1"/>
  <c r="BT57" i="1"/>
  <c r="AQ57" i="1"/>
  <c r="AO58" i="1"/>
  <c r="AS26" i="1"/>
  <c r="AU33" i="1"/>
  <c r="BV135" i="1"/>
  <c r="BW135" i="1" s="1"/>
  <c r="T161" i="1"/>
  <c r="E138" i="1"/>
  <c r="BJ50" i="1"/>
  <c r="BM47" i="1"/>
  <c r="AX25" i="1"/>
  <c r="BW56" i="1"/>
  <c r="BV36" i="1"/>
  <c r="BM46" i="1"/>
  <c r="BB56" i="1"/>
  <c r="AU56" i="1"/>
  <c r="BQ58" i="1"/>
  <c r="R164" i="1"/>
  <c r="R194" i="1" s="1"/>
  <c r="BU62" i="1"/>
  <c r="BE24" i="1"/>
  <c r="BR47" i="1"/>
  <c r="AI26" i="1"/>
  <c r="BM26" i="1"/>
  <c r="BW20" i="1"/>
  <c r="BB46" i="1"/>
  <c r="BU58" i="1"/>
  <c r="AN50" i="1"/>
  <c r="AR33" i="1"/>
  <c r="BT35" i="1"/>
  <c r="AT46" i="1"/>
  <c r="AW20" i="1"/>
  <c r="AO26" i="1"/>
  <c r="BP19" i="1"/>
  <c r="BO58" i="1"/>
  <c r="BD46" i="1"/>
  <c r="BA32" i="1"/>
  <c r="BQ31" i="1"/>
  <c r="AS34" i="1"/>
  <c r="AI36" i="1"/>
  <c r="BB24" i="1"/>
  <c r="BB32" i="1"/>
  <c r="BJ56" i="1"/>
  <c r="BR34" i="1"/>
  <c r="BC47" i="1"/>
  <c r="BC263" i="1" s="1"/>
  <c r="AQ26" i="1"/>
  <c r="AI50" i="1"/>
  <c r="BA50" i="1"/>
  <c r="BR43" i="1"/>
  <c r="BS56" i="1"/>
  <c r="AV62" i="1"/>
  <c r="BH57" i="1"/>
  <c r="AU58" i="1"/>
  <c r="BH58" i="1"/>
  <c r="BM33" i="1"/>
  <c r="BB47" i="1"/>
  <c r="BB263" i="1" s="1"/>
  <c r="AS58" i="1"/>
  <c r="BT46" i="1"/>
  <c r="BQ50" i="1"/>
  <c r="BG32" i="1"/>
  <c r="BC35" i="1"/>
  <c r="BN31" i="1"/>
  <c r="BV136" i="1"/>
  <c r="BW136" i="1" s="1"/>
  <c r="BV58" i="1"/>
  <c r="AT34" i="1"/>
  <c r="BI35" i="1"/>
  <c r="AW47" i="1"/>
  <c r="BP33" i="1"/>
  <c r="BI25" i="1"/>
  <c r="AN36" i="1"/>
  <c r="AW26" i="1"/>
  <c r="AR25" i="1"/>
  <c r="BU25" i="1"/>
  <c r="AI57" i="1"/>
  <c r="BM50" i="1"/>
  <c r="AX31" i="1"/>
  <c r="BD20" i="1"/>
  <c r="AY43" i="1"/>
  <c r="AO32" i="1"/>
  <c r="BD19" i="1"/>
  <c r="BN19" i="1"/>
  <c r="BQ43" i="1"/>
  <c r="BE33" i="1"/>
  <c r="AZ19" i="1"/>
  <c r="AP58" i="1"/>
  <c r="AV25" i="1"/>
  <c r="AM56" i="1"/>
  <c r="BO32" i="1"/>
  <c r="BG35" i="1"/>
  <c r="AR56" i="1"/>
  <c r="AT32" i="1"/>
  <c r="BP62" i="1"/>
  <c r="BW57" i="1"/>
  <c r="BG36" i="1"/>
  <c r="BW47" i="1"/>
  <c r="BQ19" i="1"/>
  <c r="BE50" i="1"/>
  <c r="BS24" i="1"/>
  <c r="AZ20" i="1"/>
  <c r="BN58" i="1"/>
  <c r="BI43" i="1"/>
  <c r="BK32" i="1"/>
  <c r="BO20" i="1"/>
  <c r="AV46" i="1"/>
  <c r="BK50" i="1"/>
  <c r="BI34" i="1"/>
  <c r="BR56" i="1"/>
  <c r="BN50" i="1"/>
  <c r="AS19" i="1"/>
  <c r="BM19" i="1"/>
  <c r="BT34" i="1"/>
  <c r="AZ31" i="1"/>
  <c r="AP35" i="1"/>
  <c r="BK36" i="1"/>
  <c r="BM58" i="1"/>
  <c r="AW46" i="1"/>
  <c r="AV20" i="1"/>
  <c r="BF25" i="1"/>
  <c r="BN35" i="1"/>
  <c r="AV47" i="1"/>
  <c r="AN34" i="1"/>
  <c r="AU43" i="1"/>
  <c r="AK84" i="1"/>
  <c r="BV129" i="1"/>
  <c r="BW129" i="1" s="1"/>
  <c r="C129" i="1"/>
  <c r="C147" i="1"/>
  <c r="BH35" i="1"/>
  <c r="BF31" i="1"/>
  <c r="BS57" i="1"/>
  <c r="AW19" i="1"/>
  <c r="AY58" i="1"/>
  <c r="AQ35" i="1"/>
  <c r="BW33" i="1"/>
  <c r="BH160" i="1"/>
  <c r="BI160" i="1" s="1"/>
  <c r="BR46" i="1"/>
  <c r="BU19" i="1"/>
  <c r="BD36" i="1"/>
  <c r="AR57" i="1"/>
  <c r="BW26" i="1"/>
  <c r="BG58" i="1"/>
  <c r="AQ43" i="1"/>
  <c r="BS36" i="1"/>
  <c r="BG46" i="1"/>
  <c r="AK85" i="1"/>
  <c r="AO33" i="1"/>
  <c r="BH62" i="1"/>
  <c r="BV26" i="1"/>
  <c r="BK62" i="1"/>
  <c r="AT20" i="1"/>
  <c r="BO24" i="1"/>
  <c r="AP47" i="1"/>
  <c r="BF57" i="1"/>
  <c r="AR50" i="1"/>
  <c r="BS47" i="1"/>
  <c r="BP47" i="1"/>
  <c r="U175" i="1"/>
  <c r="B183" i="1"/>
  <c r="BA20" i="1"/>
  <c r="BQ36" i="1"/>
  <c r="BR57" i="1"/>
  <c r="BT19" i="1"/>
  <c r="BH36" i="1"/>
  <c r="BS62" i="1"/>
  <c r="AY34" i="1"/>
  <c r="AJ84" i="1"/>
  <c r="AQ25" i="1"/>
  <c r="BT33" i="1"/>
  <c r="BV20" i="1"/>
  <c r="AP20" i="1"/>
  <c r="BB26" i="1"/>
  <c r="AY36" i="1"/>
  <c r="AV34" i="1"/>
  <c r="BE58" i="1"/>
  <c r="BT24" i="1"/>
  <c r="AI31" i="1"/>
  <c r="BQ35" i="1"/>
  <c r="BR26" i="1"/>
  <c r="BH32" i="1"/>
  <c r="AP26" i="1"/>
  <c r="BP50" i="1"/>
  <c r="AW24" i="1"/>
  <c r="BW43" i="1"/>
  <c r="AN25" i="1"/>
  <c r="AY20" i="1"/>
  <c r="BQ46" i="1"/>
  <c r="BV57" i="1"/>
  <c r="BI24" i="1"/>
  <c r="AT26" i="1"/>
  <c r="AZ62" i="1"/>
  <c r="AP43" i="1"/>
  <c r="AQ32" i="1"/>
  <c r="AS43" i="1"/>
  <c r="BM20" i="1"/>
  <c r="AP19" i="1"/>
  <c r="BR58" i="1"/>
  <c r="BN47" i="1"/>
  <c r="BA47" i="1"/>
  <c r="BA263" i="1" s="1"/>
  <c r="AM84" i="1"/>
  <c r="AV26" i="1"/>
  <c r="AZ33" i="1"/>
  <c r="AS36" i="1"/>
  <c r="AR24" i="1"/>
  <c r="AT36" i="1"/>
  <c r="AP24" i="1"/>
  <c r="AW36" i="1"/>
  <c r="BI56" i="1"/>
  <c r="AY24" i="1"/>
  <c r="BG43" i="1"/>
  <c r="BB62" i="1"/>
  <c r="BB57" i="1"/>
  <c r="BE35" i="1"/>
  <c r="AT31" i="1"/>
  <c r="BT36" i="1"/>
  <c r="AU34" i="1"/>
  <c r="BS43" i="1"/>
  <c r="BT26" i="1"/>
  <c r="BF62" i="1"/>
  <c r="BF36" i="1"/>
  <c r="BI33" i="1"/>
  <c r="BE34" i="1"/>
  <c r="AI20" i="1"/>
  <c r="AI21" i="1" s="1"/>
  <c r="BO47" i="1"/>
  <c r="BS32" i="1"/>
  <c r="BW35" i="1"/>
  <c r="AX46" i="1"/>
  <c r="BP25" i="1"/>
  <c r="BN56" i="1"/>
  <c r="AT43" i="1"/>
  <c r="AT205" i="1" s="1"/>
  <c r="BU24" i="1"/>
  <c r="BN24" i="1"/>
  <c r="BT32" i="1"/>
  <c r="AI62" i="1"/>
  <c r="AO47" i="1"/>
  <c r="BP34" i="1"/>
  <c r="AT57" i="1"/>
  <c r="AT24" i="1"/>
  <c r="BI50" i="1"/>
  <c r="BE56" i="1"/>
  <c r="AS35" i="1"/>
  <c r="BG25" i="1"/>
  <c r="BW50" i="1"/>
  <c r="BH137" i="1"/>
  <c r="BI137" i="1" s="1"/>
  <c r="K88" i="1"/>
  <c r="E157" i="1"/>
  <c r="BS46" i="1"/>
  <c r="AS62" i="1"/>
  <c r="AW35" i="1"/>
  <c r="AQ62" i="1"/>
  <c r="BS26" i="1"/>
  <c r="AQ20" i="1"/>
  <c r="BB35" i="1"/>
  <c r="BN20" i="1"/>
  <c r="AW32" i="1"/>
  <c r="BC34" i="1"/>
  <c r="BJ46" i="1"/>
  <c r="BN36" i="1"/>
  <c r="AZ35" i="1"/>
  <c r="BS19" i="1"/>
  <c r="BS242" i="1" s="1"/>
  <c r="BK58" i="1"/>
  <c r="AU25" i="1"/>
  <c r="BB43" i="1"/>
  <c r="BM31" i="1"/>
  <c r="BM25" i="1"/>
  <c r="BC20" i="1"/>
  <c r="BE25" i="1"/>
  <c r="BT62" i="1"/>
  <c r="BT31" i="1"/>
  <c r="BV62" i="1"/>
  <c r="BC46" i="1"/>
  <c r="BA56" i="1"/>
  <c r="AI34" i="1"/>
  <c r="BB19" i="1"/>
  <c r="BA57" i="1"/>
  <c r="AX33" i="1"/>
  <c r="AP46" i="1"/>
  <c r="BG26" i="1"/>
  <c r="BF46" i="1"/>
  <c r="BR33" i="1"/>
  <c r="BO62" i="1"/>
  <c r="AJ85" i="1"/>
  <c r="BO46" i="1"/>
  <c r="BV35" i="1"/>
  <c r="BP20" i="1"/>
  <c r="BR24" i="1"/>
  <c r="BS34" i="1"/>
  <c r="BF26" i="1"/>
  <c r="BK47" i="1"/>
  <c r="BE19" i="1"/>
  <c r="BE242" i="1" s="1"/>
  <c r="BJ57" i="1"/>
  <c r="BH175" i="1"/>
  <c r="BI175" i="1" s="1"/>
  <c r="U147" i="1"/>
  <c r="C156" i="1"/>
  <c r="C191" i="1" s="1"/>
  <c r="AZ47" i="1"/>
  <c r="BH158" i="1"/>
  <c r="BI158" i="1" s="1"/>
  <c r="P135" i="1"/>
  <c r="B171" i="1"/>
  <c r="H129" i="1"/>
  <c r="L130" i="1"/>
  <c r="BN33" i="1"/>
  <c r="AS24" i="1"/>
  <c r="AZ32" i="1"/>
  <c r="AI43" i="1"/>
  <c r="AI205" i="1" s="1"/>
  <c r="BV84" i="1"/>
  <c r="BV130" i="1"/>
  <c r="BH155" i="1"/>
  <c r="M156" i="1"/>
  <c r="M191" i="1" s="1"/>
  <c r="F175" i="1"/>
  <c r="H154" i="1"/>
  <c r="J144" i="1"/>
  <c r="T181" i="1"/>
  <c r="M148" i="1"/>
  <c r="C170" i="1"/>
  <c r="E156" i="1"/>
  <c r="E191" i="1" s="1"/>
  <c r="I161" i="1"/>
  <c r="V144" i="1"/>
  <c r="P153" i="1"/>
  <c r="G147" i="1"/>
  <c r="F138" i="1"/>
  <c r="T88" i="1"/>
  <c r="H133" i="1"/>
  <c r="L182" i="1"/>
  <c r="L89" i="1"/>
  <c r="U135" i="1"/>
  <c r="E130" i="1"/>
  <c r="I129" i="1"/>
  <c r="S128" i="1"/>
  <c r="B88" i="1"/>
  <c r="Q175" i="1"/>
  <c r="W161" i="1"/>
  <c r="G157" i="1"/>
  <c r="S158" i="1"/>
  <c r="R143" i="1"/>
  <c r="P137" i="1"/>
  <c r="P165" i="1" s="1"/>
  <c r="S148" i="1"/>
  <c r="R156" i="1"/>
  <c r="R191" i="1" s="1"/>
  <c r="AP36" i="1"/>
  <c r="BU34" i="1"/>
  <c r="AS47" i="1"/>
  <c r="BD31" i="1"/>
  <c r="AM57" i="1"/>
  <c r="AS46" i="1"/>
  <c r="BV46" i="1"/>
  <c r="BN32" i="1"/>
  <c r="AX57" i="1"/>
  <c r="AM62" i="1"/>
  <c r="BJ85" i="1"/>
  <c r="AS32" i="1"/>
  <c r="AI46" i="1"/>
  <c r="AS57" i="1"/>
  <c r="BO19" i="1"/>
  <c r="BO242" i="1" s="1"/>
  <c r="AZ46" i="1"/>
  <c r="BH162" i="1"/>
  <c r="BI162" i="1" s="1"/>
  <c r="AI84" i="1"/>
  <c r="BH163" i="1"/>
  <c r="BI163" i="1" s="1"/>
  <c r="BV165" i="1"/>
  <c r="BW165" i="1" s="1"/>
  <c r="BV153" i="1"/>
  <c r="BW153" i="1" s="1"/>
  <c r="BH146" i="1"/>
  <c r="BI146" i="1" s="1"/>
  <c r="BH129" i="1"/>
  <c r="BI129" i="1" s="1"/>
  <c r="U157" i="1"/>
  <c r="S143" i="1"/>
  <c r="L90" i="1"/>
  <c r="H157" i="1"/>
  <c r="J88" i="1"/>
  <c r="I182" i="1"/>
  <c r="F144" i="1"/>
  <c r="R129" i="1"/>
  <c r="H170" i="1"/>
  <c r="B158" i="1"/>
  <c r="D85" i="1"/>
  <c r="G88" i="1"/>
  <c r="R78" i="1"/>
  <c r="M157" i="1"/>
  <c r="S138" i="1"/>
  <c r="N144" i="1"/>
  <c r="U183" i="1"/>
  <c r="M88" i="1"/>
  <c r="D153" i="1"/>
  <c r="D160" i="1"/>
  <c r="C84" i="1"/>
  <c r="M130" i="1"/>
  <c r="M90" i="1"/>
  <c r="M162" i="1"/>
  <c r="R183" i="1"/>
  <c r="D151" i="1"/>
  <c r="T148" i="1"/>
  <c r="J129" i="1"/>
  <c r="D128" i="1"/>
  <c r="N175" i="1"/>
  <c r="E166" i="1"/>
  <c r="M160" i="1"/>
  <c r="BU50" i="1"/>
  <c r="AP33" i="1"/>
  <c r="AO57" i="1"/>
  <c r="BS20" i="1"/>
  <c r="BS21" i="1" s="1"/>
  <c r="BH19" i="1"/>
  <c r="AN57" i="1"/>
  <c r="AR58" i="1"/>
  <c r="BW46" i="1"/>
  <c r="AR43" i="1"/>
  <c r="AR205" i="1" s="1"/>
  <c r="AV36" i="1"/>
  <c r="BH33" i="1"/>
  <c r="AP56" i="1"/>
  <c r="BH26" i="1"/>
  <c r="BV31" i="1"/>
  <c r="BB36" i="1"/>
  <c r="BN34" i="1"/>
  <c r="AZ57" i="1"/>
  <c r="BE36" i="1"/>
  <c r="BC25" i="1"/>
  <c r="BH56" i="1"/>
  <c r="AN19" i="1"/>
  <c r="BB25" i="1"/>
  <c r="AW31" i="1"/>
  <c r="BF35" i="1"/>
  <c r="BQ25" i="1"/>
  <c r="AV56" i="1"/>
  <c r="AT35" i="1"/>
  <c r="AN20" i="1"/>
  <c r="BH165" i="1"/>
  <c r="BI165" i="1" s="1"/>
  <c r="BV142" i="1"/>
  <c r="E183" i="1"/>
  <c r="W181" i="1"/>
  <c r="C89" i="1"/>
  <c r="R182" i="1"/>
  <c r="R184" i="1" s="1"/>
  <c r="W164" i="1"/>
  <c r="L148" i="1"/>
  <c r="K129" i="1"/>
  <c r="F148" i="1"/>
  <c r="E181" i="1"/>
  <c r="S146" i="1"/>
  <c r="S142" i="1" s="1"/>
  <c r="V133" i="1"/>
  <c r="L161" i="1"/>
  <c r="R162" i="1"/>
  <c r="G129" i="1"/>
  <c r="P129" i="1"/>
  <c r="W136" i="1"/>
  <c r="D138" i="1"/>
  <c r="L153" i="1"/>
  <c r="C144" i="1"/>
  <c r="M175" i="1"/>
  <c r="O130" i="1"/>
  <c r="R151" i="1"/>
  <c r="V158" i="1"/>
  <c r="J161" i="1"/>
  <c r="D161" i="1"/>
  <c r="Q144" i="1"/>
  <c r="O135" i="1"/>
  <c r="C78" i="1"/>
  <c r="J133" i="1"/>
  <c r="Q171" i="1"/>
  <c r="W170" i="1"/>
  <c r="BN43" i="1"/>
  <c r="BN44" i="1" s="1"/>
  <c r="AS25" i="1"/>
  <c r="BU31" i="1"/>
  <c r="AO19" i="1"/>
  <c r="AN24" i="1"/>
  <c r="BF50" i="1"/>
  <c r="AZ25" i="1"/>
  <c r="BC57" i="1"/>
  <c r="BI46" i="1"/>
  <c r="BO43" i="1"/>
  <c r="BO205" i="1" s="1"/>
  <c r="AU26" i="1"/>
  <c r="BG33" i="1"/>
  <c r="AX20" i="1"/>
  <c r="BM24" i="1"/>
  <c r="AU31" i="1"/>
  <c r="BT47" i="1"/>
  <c r="AP62" i="1"/>
  <c r="BE26" i="1"/>
  <c r="BS33" i="1"/>
  <c r="BK56" i="1"/>
  <c r="BD57" i="1"/>
  <c r="BA35" i="1"/>
  <c r="BG47" i="1"/>
  <c r="BF19" i="1"/>
  <c r="AX47" i="1"/>
  <c r="AW56" i="1"/>
  <c r="BH148" i="1"/>
  <c r="BI148" i="1" s="1"/>
  <c r="BH84" i="1"/>
  <c r="BV163" i="1"/>
  <c r="BW163" i="1" s="1"/>
  <c r="BH174" i="1"/>
  <c r="BI174" i="1" s="1"/>
  <c r="BH151" i="1"/>
  <c r="BV174" i="1"/>
  <c r="BW174" i="1" s="1"/>
  <c r="BH171" i="1"/>
  <c r="W133" i="1"/>
  <c r="M166" i="1"/>
  <c r="B182" i="1"/>
  <c r="G155" i="1"/>
  <c r="G190" i="1" s="1"/>
  <c r="G156" i="1"/>
  <c r="G191" i="1" s="1"/>
  <c r="D136" i="1"/>
  <c r="F171" i="1"/>
  <c r="J154" i="1"/>
  <c r="F181" i="1"/>
  <c r="R138" i="1"/>
  <c r="R175" i="1"/>
  <c r="R85" i="1"/>
  <c r="S151" i="1"/>
  <c r="R170" i="1"/>
  <c r="R172" i="1" s="1"/>
  <c r="D183" i="1"/>
  <c r="U128" i="1"/>
  <c r="K138" i="1"/>
  <c r="W148" i="1"/>
  <c r="W129" i="1"/>
  <c r="D181" i="1"/>
  <c r="K156" i="1"/>
  <c r="K191" i="1" s="1"/>
  <c r="P155" i="1"/>
  <c r="P190" i="1" s="1"/>
  <c r="Q138" i="1"/>
  <c r="Q146" i="1"/>
  <c r="Q142" i="1" s="1"/>
  <c r="B90" i="1"/>
  <c r="Q160" i="1"/>
  <c r="V162" i="1"/>
  <c r="F155" i="1"/>
  <c r="F190" i="1" s="1"/>
  <c r="I133" i="1"/>
  <c r="G166" i="1"/>
  <c r="T146" i="1"/>
  <c r="T142" i="1" s="1"/>
  <c r="H161" i="1"/>
  <c r="C148" i="1"/>
  <c r="J171" i="1"/>
  <c r="C154" i="1"/>
  <c r="N157" i="1"/>
  <c r="I136" i="1"/>
  <c r="Q151" i="1"/>
  <c r="P89" i="1"/>
  <c r="N183" i="1"/>
  <c r="Q155" i="1"/>
  <c r="Q190" i="1" s="1"/>
  <c r="H130" i="1"/>
  <c r="V128" i="1"/>
  <c r="T156" i="1"/>
  <c r="T191" i="1" s="1"/>
  <c r="J136" i="1"/>
  <c r="B142" i="1"/>
  <c r="P157" i="1"/>
  <c r="O90" i="1"/>
  <c r="I155" i="1"/>
  <c r="I190" i="1" s="1"/>
  <c r="T137" i="1"/>
  <c r="T165" i="1" s="1"/>
  <c r="F136" i="1"/>
  <c r="Q78" i="1"/>
  <c r="Q88" i="1"/>
  <c r="V166" i="1"/>
  <c r="G144" i="1"/>
  <c r="AQ24" i="1"/>
  <c r="BJ33" i="1"/>
  <c r="BJ37" i="1" s="1"/>
  <c r="BM56" i="1"/>
  <c r="AQ19" i="1"/>
  <c r="AQ242" i="1" s="1"/>
  <c r="BT50" i="1"/>
  <c r="AO36" i="1"/>
  <c r="BV32" i="1"/>
  <c r="AZ26" i="1"/>
  <c r="BI32" i="1"/>
  <c r="AN62" i="1"/>
  <c r="BO56" i="1"/>
  <c r="BR31" i="1"/>
  <c r="AX19" i="1"/>
  <c r="BG19" i="1"/>
  <c r="BN26" i="1"/>
  <c r="AI47" i="1"/>
  <c r="BV19" i="1"/>
  <c r="AS20" i="1"/>
  <c r="AS21" i="1" s="1"/>
  <c r="AY56" i="1"/>
  <c r="BN62" i="1"/>
  <c r="BW36" i="1"/>
  <c r="AT56" i="1"/>
  <c r="AQ50" i="1"/>
  <c r="BJ43" i="1"/>
  <c r="AS50" i="1"/>
  <c r="BH20" i="1"/>
  <c r="BQ33" i="1"/>
  <c r="AR47" i="1"/>
  <c r="BF24" i="1"/>
  <c r="BS31" i="1"/>
  <c r="BH157" i="1"/>
  <c r="BI157" i="1" s="1"/>
  <c r="BH143" i="1"/>
  <c r="BH128" i="1"/>
  <c r="BH135" i="1"/>
  <c r="BV154" i="1"/>
  <c r="BW154" i="1" s="1"/>
  <c r="BH166" i="1"/>
  <c r="BI166" i="1" s="1"/>
  <c r="BH130" i="1"/>
  <c r="B143" i="1"/>
  <c r="W147" i="1"/>
  <c r="D171" i="1"/>
  <c r="U133" i="1"/>
  <c r="O156" i="1"/>
  <c r="O191" i="1" s="1"/>
  <c r="V157" i="1"/>
  <c r="O136" i="1"/>
  <c r="W146" i="1"/>
  <c r="W142" i="1" s="1"/>
  <c r="D154" i="1"/>
  <c r="Q89" i="1"/>
  <c r="P146" i="1"/>
  <c r="P142" i="1" s="1"/>
  <c r="G158" i="1"/>
  <c r="W137" i="1"/>
  <c r="W165" i="1" s="1"/>
  <c r="R135" i="1"/>
  <c r="I146" i="1"/>
  <c r="I142" i="1" s="1"/>
  <c r="B162" i="1"/>
  <c r="I181" i="1"/>
  <c r="W138" i="1"/>
  <c r="Q153" i="1"/>
  <c r="I137" i="1"/>
  <c r="I165" i="1" s="1"/>
  <c r="C151" i="1"/>
  <c r="I154" i="1"/>
  <c r="N143" i="1"/>
  <c r="T143" i="1"/>
  <c r="U151" i="1"/>
  <c r="Q161" i="1"/>
  <c r="J137" i="1"/>
  <c r="J165" i="1" s="1"/>
  <c r="L133" i="1"/>
  <c r="K160" i="1"/>
  <c r="W183" i="1"/>
  <c r="K84" i="1"/>
  <c r="H158" i="1"/>
  <c r="H88" i="1"/>
  <c r="I144" i="1"/>
  <c r="D89" i="1"/>
  <c r="B146" i="1"/>
  <c r="K157" i="1"/>
  <c r="V88" i="1"/>
  <c r="R174" i="1"/>
  <c r="I143" i="1"/>
  <c r="M153" i="1"/>
  <c r="V137" i="1"/>
  <c r="V165" i="1" s="1"/>
  <c r="E137" i="1"/>
  <c r="E165" i="1" s="1"/>
  <c r="L155" i="1"/>
  <c r="L190" i="1" s="1"/>
  <c r="V143" i="1"/>
  <c r="S156" i="1"/>
  <c r="S191" i="1" s="1"/>
  <c r="AW62" i="1"/>
  <c r="AQ34" i="1"/>
  <c r="AW33" i="1"/>
  <c r="BA24" i="1"/>
  <c r="AY19" i="1"/>
  <c r="BQ34" i="1"/>
  <c r="BR19" i="1"/>
  <c r="BR242" i="1" s="1"/>
  <c r="BJ58" i="1"/>
  <c r="BR32" i="1"/>
  <c r="AN31" i="1"/>
  <c r="BK46" i="1"/>
  <c r="BU32" i="1"/>
  <c r="BE46" i="1"/>
  <c r="AV50" i="1"/>
  <c r="BG24" i="1"/>
  <c r="BC24" i="1"/>
  <c r="AR36" i="1"/>
  <c r="BP26" i="1"/>
  <c r="BR62" i="1"/>
  <c r="AV31" i="1"/>
  <c r="AZ58" i="1"/>
  <c r="BW25" i="1"/>
  <c r="AV57" i="1"/>
  <c r="AR46" i="1"/>
  <c r="BU26" i="1"/>
  <c r="AR34" i="1"/>
  <c r="AV19" i="1"/>
  <c r="AV242" i="1" s="1"/>
  <c r="AZ43" i="1"/>
  <c r="BP35" i="1"/>
  <c r="AU36" i="1"/>
  <c r="AR19" i="1"/>
  <c r="AR242" i="1" s="1"/>
  <c r="AU57" i="1"/>
  <c r="BD35" i="1"/>
  <c r="BD24" i="1"/>
  <c r="AN26" i="1"/>
  <c r="BW19" i="1"/>
  <c r="AW57" i="1"/>
  <c r="BU20" i="1"/>
  <c r="BC33" i="1"/>
  <c r="AU32" i="1"/>
  <c r="BF56" i="1"/>
  <c r="AS56" i="1"/>
  <c r="BI20" i="1"/>
  <c r="BI36" i="1"/>
  <c r="BV151" i="1"/>
  <c r="BW151" i="1" s="1"/>
  <c r="BX213" i="1" s="1"/>
  <c r="BV158" i="1"/>
  <c r="BW158" i="1" s="1"/>
  <c r="BV155" i="1"/>
  <c r="BV161" i="1"/>
  <c r="BW161" i="1" s="1"/>
  <c r="BH170" i="1"/>
  <c r="BH138" i="1"/>
  <c r="BI138" i="1" s="1"/>
  <c r="U182" i="1"/>
  <c r="E148" i="1"/>
  <c r="T144" i="1"/>
  <c r="W84" i="1"/>
  <c r="D137" i="1"/>
  <c r="D165" i="1" s="1"/>
  <c r="J175" i="1"/>
  <c r="J128" i="1"/>
  <c r="C88" i="1"/>
  <c r="Q133" i="1"/>
  <c r="S183" i="1"/>
  <c r="V155" i="1"/>
  <c r="V190" i="1" s="1"/>
  <c r="Q130" i="1"/>
  <c r="F137" i="1"/>
  <c r="F165" i="1" s="1"/>
  <c r="G135" i="1"/>
  <c r="B170" i="1"/>
  <c r="L157" i="1"/>
  <c r="N84" i="1"/>
  <c r="U84" i="1"/>
  <c r="G151" i="1"/>
  <c r="Q85" i="1"/>
  <c r="C164" i="1"/>
  <c r="C194" i="1" s="1"/>
  <c r="J148" i="1"/>
  <c r="W78" i="1"/>
  <c r="T135" i="1"/>
  <c r="T147" i="1"/>
  <c r="O147" i="1"/>
  <c r="J160" i="1"/>
  <c r="BD50" i="1"/>
  <c r="BU46" i="1"/>
  <c r="AZ34" i="1"/>
  <c r="BR35" i="1"/>
  <c r="AX43" i="1"/>
  <c r="AX205" i="1" s="1"/>
  <c r="AU19" i="1"/>
  <c r="BI47" i="1"/>
  <c r="AI56" i="1"/>
  <c r="BV43" i="1"/>
  <c r="BV205" i="1" s="1"/>
  <c r="AX32" i="1"/>
  <c r="AI32" i="1"/>
  <c r="BS25" i="1"/>
  <c r="BM35" i="1"/>
  <c r="BP31" i="1"/>
  <c r="BM43" i="1"/>
  <c r="BM44" i="1" s="1"/>
  <c r="BT25" i="1"/>
  <c r="BC50" i="1"/>
  <c r="BO33" i="1"/>
  <c r="BJ20" i="1"/>
  <c r="BJ21" i="1" s="1"/>
  <c r="BJ27" i="1" s="1"/>
  <c r="BM32" i="1"/>
  <c r="BK33" i="1"/>
  <c r="BO31" i="1"/>
  <c r="BD25" i="1"/>
  <c r="BE32" i="1"/>
  <c r="BK24" i="1"/>
  <c r="BR20" i="1"/>
  <c r="AX36" i="1"/>
  <c r="AX50" i="1"/>
  <c r="BV143" i="1"/>
  <c r="BH144" i="1"/>
  <c r="BV166" i="1"/>
  <c r="BW166" i="1" s="1"/>
  <c r="BH85" i="1"/>
  <c r="BV171" i="1"/>
  <c r="BV172" i="1" s="1"/>
  <c r="BW220" i="1" s="1"/>
  <c r="BH153" i="1"/>
  <c r="BI153" i="1" s="1"/>
  <c r="BV157" i="1"/>
  <c r="BW157" i="1" s="1"/>
  <c r="D129" i="1"/>
  <c r="S78" i="1"/>
  <c r="B138" i="1"/>
  <c r="J143" i="1"/>
  <c r="K148" i="1"/>
  <c r="C85" i="1"/>
  <c r="F157" i="1"/>
  <c r="S166" i="1"/>
  <c r="W171" i="1"/>
  <c r="L144" i="1"/>
  <c r="M151" i="1"/>
  <c r="G143" i="1"/>
  <c r="U156" i="1"/>
  <c r="U191" i="1" s="1"/>
  <c r="O174" i="1"/>
  <c r="F174" i="1"/>
  <c r="B74" i="1"/>
  <c r="G148" i="1"/>
  <c r="W89" i="1"/>
  <c r="U138" i="1"/>
  <c r="D175" i="1"/>
  <c r="V161" i="1"/>
  <c r="I147" i="1"/>
  <c r="F162" i="1"/>
  <c r="K90" i="1"/>
  <c r="E161" i="1"/>
  <c r="K133" i="1"/>
  <c r="B129" i="1"/>
  <c r="U158" i="1"/>
  <c r="I170" i="1"/>
  <c r="I171" i="1"/>
  <c r="I138" i="1"/>
  <c r="S144" i="1"/>
  <c r="BC58" i="1"/>
  <c r="BV47" i="1"/>
  <c r="BP32" i="1"/>
  <c r="BB31" i="1"/>
  <c r="BV25" i="1"/>
  <c r="AI33" i="1"/>
  <c r="BV133" i="1"/>
  <c r="BW133" i="1" s="1"/>
  <c r="BV146" i="1"/>
  <c r="BW146" i="1" s="1"/>
  <c r="BV148" i="1"/>
  <c r="BW148" i="1" s="1"/>
  <c r="BV137" i="1"/>
  <c r="BW137" i="1" s="1"/>
  <c r="BV162" i="1"/>
  <c r="BW162" i="1" s="1"/>
  <c r="BH164" i="1"/>
  <c r="K175" i="1"/>
  <c r="D156" i="1"/>
  <c r="D191" i="1" s="1"/>
  <c r="N160" i="1"/>
  <c r="T90" i="1"/>
  <c r="F146" i="1"/>
  <c r="F142" i="1" s="1"/>
  <c r="Q147" i="1"/>
  <c r="S162" i="1"/>
  <c r="H78" i="1"/>
  <c r="U90" i="1"/>
  <c r="D158" i="1"/>
  <c r="P158" i="1"/>
  <c r="C74" i="1"/>
  <c r="J151" i="1"/>
  <c r="H137" i="1"/>
  <c r="H165" i="1" s="1"/>
  <c r="K158" i="1"/>
  <c r="G162" i="1"/>
  <c r="S175" i="1"/>
  <c r="E84" i="1"/>
  <c r="D164" i="1"/>
  <c r="D194" i="1" s="1"/>
  <c r="V148" i="1"/>
  <c r="C137" i="1"/>
  <c r="C165" i="1" s="1"/>
  <c r="N146" i="1"/>
  <c r="N142" i="1" s="1"/>
  <c r="I157" i="1"/>
  <c r="V89" i="1"/>
  <c r="V147" i="1"/>
  <c r="O89" i="1"/>
  <c r="D144" i="1"/>
  <c r="U170" i="1"/>
  <c r="H171" i="1"/>
  <c r="AO46" i="1"/>
  <c r="AV24" i="1"/>
  <c r="BM62" i="1"/>
  <c r="AY31" i="1"/>
  <c r="AN32" i="1"/>
  <c r="BV175" i="1"/>
  <c r="BW175" i="1" s="1"/>
  <c r="BH136" i="1"/>
  <c r="BI136" i="1" s="1"/>
  <c r="BV138" i="1"/>
  <c r="BW138" i="1" s="1"/>
  <c r="BH133" i="1"/>
  <c r="BI133" i="1" s="1"/>
  <c r="M135" i="1"/>
  <c r="L135" i="1"/>
  <c r="N90" i="1"/>
  <c r="O133" i="1"/>
  <c r="I148" i="1"/>
  <c r="T89" i="1"/>
  <c r="J156" i="1"/>
  <c r="J191" i="1" s="1"/>
  <c r="C128" i="1"/>
  <c r="D84" i="1"/>
  <c r="H183" i="1"/>
  <c r="O78" i="1"/>
  <c r="L138" i="1"/>
  <c r="T130" i="1"/>
  <c r="B78" i="1"/>
  <c r="I174" i="1"/>
  <c r="J84" i="1"/>
  <c r="T183" i="1"/>
  <c r="K144" i="1"/>
  <c r="M85" i="1"/>
  <c r="M129" i="1"/>
  <c r="B164" i="1"/>
  <c r="B194" i="1" s="1"/>
  <c r="F160" i="1"/>
  <c r="R153" i="1"/>
  <c r="Q158" i="1"/>
  <c r="B89" i="1"/>
  <c r="R89" i="1"/>
  <c r="T175" i="1"/>
  <c r="W153" i="1"/>
  <c r="V182" i="1"/>
  <c r="W157" i="1"/>
  <c r="Q157" i="1"/>
  <c r="F154" i="1"/>
  <c r="F89" i="1"/>
  <c r="M144" i="1"/>
  <c r="BO36" i="1"/>
  <c r="BH47" i="1"/>
  <c r="BH263" i="1" s="1"/>
  <c r="BP43" i="1"/>
  <c r="BA58" i="1"/>
  <c r="BS50" i="1"/>
  <c r="BD33" i="1"/>
  <c r="AY33" i="1"/>
  <c r="BF58" i="1"/>
  <c r="BK19" i="1"/>
  <c r="BM109" i="1" s="1"/>
  <c r="BM110" i="1" s="1"/>
  <c r="AO62" i="1"/>
  <c r="BW34" i="1"/>
  <c r="BP56" i="1"/>
  <c r="BC31" i="1"/>
  <c r="BC37" i="1" s="1"/>
  <c r="BI19" i="1"/>
  <c r="AP32" i="1"/>
  <c r="BV34" i="1"/>
  <c r="AO35" i="1"/>
  <c r="BE43" i="1"/>
  <c r="BE205" i="1" s="1"/>
  <c r="BP46" i="1"/>
  <c r="AY26" i="1"/>
  <c r="AU62" i="1"/>
  <c r="AI25" i="1"/>
  <c r="BT20" i="1"/>
  <c r="BE47" i="1"/>
  <c r="BE263" i="1" s="1"/>
  <c r="AX35" i="1"/>
  <c r="AY62" i="1"/>
  <c r="BC56" i="1"/>
  <c r="BD34" i="1"/>
  <c r="BF47" i="1"/>
  <c r="AP25" i="1"/>
  <c r="BG56" i="1"/>
  <c r="AN43" i="1"/>
  <c r="AY25" i="1"/>
  <c r="AU50" i="1"/>
  <c r="BC43" i="1"/>
  <c r="BC205" i="1" s="1"/>
  <c r="AU46" i="1"/>
  <c r="BA33" i="1"/>
  <c r="BO25" i="1"/>
  <c r="AN56" i="1"/>
  <c r="BV160" i="1"/>
  <c r="BW160" i="1" s="1"/>
  <c r="BV85" i="1"/>
  <c r="BH156" i="1"/>
  <c r="BH154" i="1"/>
  <c r="BI154" i="1" s="1"/>
  <c r="BH142" i="1"/>
  <c r="T85" i="1"/>
  <c r="N135" i="1"/>
  <c r="R144" i="1"/>
  <c r="F161" i="1"/>
  <c r="G183" i="1"/>
  <c r="B157" i="1"/>
  <c r="M143" i="1"/>
  <c r="B161" i="1"/>
  <c r="S174" i="1"/>
  <c r="W158" i="1"/>
  <c r="E133" i="1"/>
  <c r="M78" i="1"/>
  <c r="N148" i="1"/>
  <c r="J181" i="1"/>
  <c r="L147" i="1"/>
  <c r="I156" i="1"/>
  <c r="I191" i="1" s="1"/>
  <c r="J166" i="1"/>
  <c r="M170" i="1"/>
  <c r="B147" i="1"/>
  <c r="W155" i="1"/>
  <c r="T182" i="1"/>
  <c r="N78" i="1"/>
  <c r="F78" i="1"/>
  <c r="P183" i="1"/>
  <c r="G181" i="1"/>
  <c r="L171" i="1"/>
  <c r="D157" i="1"/>
  <c r="U154" i="1"/>
  <c r="H135" i="1"/>
  <c r="E147" i="1"/>
  <c r="C155" i="1"/>
  <c r="C190" i="1" s="1"/>
  <c r="W85" i="1"/>
  <c r="T171" i="1"/>
  <c r="D148" i="1"/>
  <c r="E153" i="1"/>
  <c r="G128" i="1"/>
  <c r="R90" i="1"/>
  <c r="H89" i="1"/>
  <c r="G182" i="1"/>
  <c r="P147" i="1"/>
  <c r="O137" i="1"/>
  <c r="O165" i="1" s="1"/>
  <c r="I166" i="1"/>
  <c r="I135" i="1"/>
  <c r="B151" i="1"/>
  <c r="B153" i="1"/>
  <c r="E151" i="1"/>
  <c r="I158" i="1"/>
  <c r="H155" i="1"/>
  <c r="H190" i="1" s="1"/>
  <c r="R146" i="1"/>
  <c r="R142" i="1" s="1"/>
  <c r="V154" i="1"/>
  <c r="H175" i="1"/>
  <c r="G84" i="1"/>
  <c r="C160" i="1"/>
  <c r="N164" i="1"/>
  <c r="N194" i="1" s="1"/>
  <c r="W160" i="1"/>
  <c r="Q182" i="1"/>
  <c r="I160" i="1"/>
  <c r="J155" i="1"/>
  <c r="J190" i="1" s="1"/>
  <c r="N128" i="1"/>
  <c r="L78" i="1"/>
  <c r="U89" i="1"/>
  <c r="W154" i="1"/>
  <c r="K182" i="1"/>
  <c r="L183" i="1"/>
  <c r="H90" i="1"/>
  <c r="L136" i="1"/>
  <c r="S133" i="1"/>
  <c r="T166" i="1"/>
  <c r="V136" i="1"/>
  <c r="J153" i="1"/>
  <c r="S147" i="1"/>
  <c r="S136" i="1"/>
  <c r="H138" i="1"/>
  <c r="C157" i="1"/>
  <c r="S170" i="1"/>
  <c r="N137" i="1"/>
  <c r="N165" i="1" s="1"/>
  <c r="J182" i="1"/>
  <c r="V175" i="1"/>
  <c r="L146" i="1"/>
  <c r="L142" i="1" s="1"/>
  <c r="C153" i="1"/>
  <c r="D74" i="1"/>
  <c r="V170" i="1"/>
  <c r="B174" i="1"/>
  <c r="W90" i="1"/>
  <c r="E182" i="1"/>
  <c r="E128" i="1"/>
  <c r="C133" i="1"/>
  <c r="S129" i="1"/>
  <c r="T170" i="1"/>
  <c r="C90" i="1"/>
  <c r="F135" i="1"/>
  <c r="J162" i="1"/>
  <c r="C181" i="1"/>
  <c r="J174" i="1"/>
  <c r="K183" i="1"/>
  <c r="E85" i="1"/>
  <c r="N147" i="1"/>
  <c r="D162" i="1"/>
  <c r="O144" i="1"/>
  <c r="L181" i="1"/>
  <c r="H174" i="1"/>
  <c r="N182" i="1"/>
  <c r="H182" i="1"/>
  <c r="D88" i="1"/>
  <c r="D182" i="1"/>
  <c r="E160" i="1"/>
  <c r="C171" i="1"/>
  <c r="C158" i="1"/>
  <c r="K146" i="1"/>
  <c r="K142" i="1" s="1"/>
  <c r="N156" i="1"/>
  <c r="N191" i="1" s="1"/>
  <c r="K161" i="1"/>
  <c r="H85" i="1"/>
  <c r="N171" i="1"/>
  <c r="S160" i="1"/>
  <c r="C143" i="1"/>
  <c r="M84" i="1"/>
  <c r="S182" i="1"/>
  <c r="S130" i="1"/>
  <c r="L166" i="1"/>
  <c r="C142" i="1"/>
  <c r="O143" i="1"/>
  <c r="D146" i="1"/>
  <c r="S171" i="1"/>
  <c r="D142" i="1"/>
  <c r="V183" i="1"/>
  <c r="V90" i="1"/>
  <c r="T153" i="1"/>
  <c r="W175" i="1"/>
  <c r="I130" i="1"/>
  <c r="J164" i="1"/>
  <c r="J194" i="1" s="1"/>
  <c r="R88" i="1"/>
  <c r="S90" i="1"/>
  <c r="L151" i="1"/>
  <c r="U148" i="1"/>
  <c r="O160" i="1"/>
  <c r="G138" i="1"/>
  <c r="H146" i="1"/>
  <c r="H142" i="1" s="1"/>
  <c r="Q84" i="1"/>
  <c r="C146" i="1"/>
  <c r="V164" i="1"/>
  <c r="V194" i="1" s="1"/>
  <c r="V129" i="1"/>
  <c r="Q143" i="1"/>
  <c r="B135" i="1"/>
  <c r="E174" i="1"/>
  <c r="Q137" i="1"/>
  <c r="Q165" i="1" s="1"/>
  <c r="O128" i="1"/>
  <c r="K128" i="1"/>
  <c r="E88" i="1"/>
  <c r="N88" i="1"/>
  <c r="R157" i="1"/>
  <c r="E129" i="1"/>
  <c r="H156" i="1"/>
  <c r="H191" i="1" s="1"/>
  <c r="R130" i="1"/>
  <c r="K136" i="1"/>
  <c r="O129" i="1"/>
  <c r="Q136" i="1"/>
  <c r="J90" i="1"/>
  <c r="U153" i="1"/>
  <c r="B148" i="1"/>
  <c r="I183" i="1"/>
  <c r="P143" i="1"/>
  <c r="H181" i="1"/>
  <c r="I151" i="1"/>
  <c r="G78" i="1"/>
  <c r="U174" i="1"/>
  <c r="E90" i="1"/>
  <c r="B128" i="1"/>
  <c r="M133" i="1"/>
  <c r="P181" i="1"/>
  <c r="F151" i="1"/>
  <c r="T158" i="1"/>
  <c r="O155" i="1"/>
  <c r="O190" i="1" s="1"/>
  <c r="S155" i="1"/>
  <c r="S190" i="1" s="1"/>
  <c r="O175" i="1"/>
  <c r="R158" i="1"/>
  <c r="N85" i="1"/>
  <c r="D78" i="1"/>
  <c r="K181" i="1"/>
  <c r="M161" i="1"/>
  <c r="N136" i="1"/>
  <c r="Q148" i="1"/>
  <c r="U88" i="1"/>
  <c r="G89" i="1"/>
  <c r="V171" i="1"/>
  <c r="R128" i="1"/>
  <c r="T84" i="1"/>
  <c r="D75" i="1"/>
  <c r="E164" i="1"/>
  <c r="E194" i="1" s="1"/>
  <c r="M182" i="1"/>
  <c r="S137" i="1"/>
  <c r="S165" i="1" s="1"/>
  <c r="S88" i="1"/>
  <c r="R133" i="1"/>
  <c r="D90" i="1"/>
  <c r="U160" i="1"/>
  <c r="K166" i="1"/>
  <c r="W182" i="1"/>
  <c r="B133" i="1"/>
  <c r="R147" i="1"/>
  <c r="F84" i="1"/>
  <c r="G137" i="1"/>
  <c r="G165" i="1" s="1"/>
  <c r="K78" i="1"/>
  <c r="U78" i="1"/>
  <c r="V138" i="1"/>
  <c r="Q181" i="1"/>
  <c r="C75" i="1"/>
  <c r="P182" i="1"/>
  <c r="L85" i="1"/>
  <c r="T138" i="1"/>
  <c r="R84" i="1"/>
  <c r="P156" i="1"/>
  <c r="P191" i="1" s="1"/>
  <c r="E162" i="1"/>
  <c r="V156" i="1"/>
  <c r="V191" i="1" s="1"/>
  <c r="P174" i="1"/>
  <c r="C166" i="1"/>
  <c r="P148" i="1"/>
  <c r="U130" i="1"/>
  <c r="M171" i="1"/>
  <c r="K162" i="1"/>
  <c r="B181" i="1"/>
  <c r="R181" i="1"/>
  <c r="J157" i="1"/>
  <c r="E158" i="1"/>
  <c r="R161" i="1"/>
  <c r="J183" i="1"/>
  <c r="F156" i="1"/>
  <c r="F191" i="1" s="1"/>
  <c r="J146" i="1"/>
  <c r="J142" i="1" s="1"/>
  <c r="D143" i="1"/>
  <c r="R148" i="1"/>
  <c r="O154" i="1"/>
  <c r="F153" i="1"/>
  <c r="D170" i="1"/>
  <c r="O161" i="1"/>
  <c r="G161" i="1"/>
  <c r="T174" i="1"/>
  <c r="P130" i="1"/>
  <c r="J85" i="1"/>
  <c r="M164" i="1"/>
  <c r="M194" i="1" s="1"/>
  <c r="O162" i="1"/>
  <c r="T78" i="1"/>
  <c r="S84" i="1"/>
  <c r="L143" i="1"/>
  <c r="F158" i="1"/>
  <c r="B175" i="1"/>
  <c r="M174" i="1"/>
  <c r="O146" i="1"/>
  <c r="O142" i="1" s="1"/>
  <c r="L170" i="1"/>
  <c r="B156" i="1"/>
  <c r="B191" i="1" s="1"/>
  <c r="W162" i="1"/>
  <c r="F143" i="1"/>
  <c r="L175" i="1"/>
  <c r="E89" i="1"/>
  <c r="P170" i="1"/>
  <c r="P172" i="1" s="1"/>
  <c r="Q220" i="1" s="1"/>
  <c r="U143" i="1"/>
  <c r="D147" i="1"/>
  <c r="L84" i="1"/>
  <c r="F147" i="1"/>
  <c r="L128" i="1"/>
  <c r="U155" i="1"/>
  <c r="U190" i="1" s="1"/>
  <c r="G153" i="1"/>
  <c r="E136" i="1"/>
  <c r="S89" i="1"/>
  <c r="P88" i="1"/>
  <c r="Q156" i="1"/>
  <c r="Q191" i="1" s="1"/>
  <c r="C162" i="1"/>
  <c r="M155" i="1"/>
  <c r="M190" i="1" s="1"/>
  <c r="U85" i="1"/>
  <c r="V135" i="1"/>
  <c r="V139" i="1" s="1"/>
  <c r="V48" i="1" s="1"/>
  <c r="R171" i="1"/>
  <c r="K85" i="1"/>
  <c r="K153" i="1"/>
  <c r="J158" i="1"/>
  <c r="L164" i="1"/>
  <c r="L194" i="1" s="1"/>
  <c r="V151" i="1"/>
  <c r="V85" i="1"/>
  <c r="M89" i="1"/>
  <c r="O151" i="1"/>
  <c r="O148" i="1"/>
  <c r="C175" i="1"/>
  <c r="F133" i="1"/>
  <c r="N174" i="1"/>
  <c r="W174" i="1"/>
  <c r="N155" i="1"/>
  <c r="N190" i="1" s="1"/>
  <c r="H148" i="1"/>
  <c r="F88" i="1"/>
  <c r="I84" i="1"/>
  <c r="K170" i="1"/>
  <c r="K172" i="1" s="1"/>
  <c r="I89" i="1"/>
  <c r="T129" i="1"/>
  <c r="T157" i="1"/>
  <c r="J89" i="1"/>
  <c r="O181" i="1"/>
  <c r="P175" i="1"/>
  <c r="J170" i="1"/>
  <c r="N138" i="1"/>
  <c r="L88" i="1"/>
  <c r="BV144" i="1"/>
  <c r="B137" i="1"/>
  <c r="B165" i="1" s="1"/>
  <c r="L129" i="1"/>
  <c r="V84" i="1"/>
  <c r="P161" i="1"/>
  <c r="P154" i="1"/>
  <c r="O138" i="1"/>
  <c r="F129" i="1"/>
  <c r="O166" i="1"/>
  <c r="C138" i="1"/>
  <c r="P160" i="1"/>
  <c r="V146" i="1"/>
  <c r="V142" i="1" s="1"/>
  <c r="N162" i="1"/>
  <c r="V78" i="1"/>
  <c r="W130" i="1"/>
  <c r="F164" i="1"/>
  <c r="F194" i="1" s="1"/>
  <c r="E144" i="1"/>
  <c r="C182" i="1"/>
  <c r="M146" i="1"/>
  <c r="M142" i="1" s="1"/>
  <c r="J147" i="1"/>
  <c r="I85" i="1"/>
  <c r="B75" i="1"/>
  <c r="N161" i="1"/>
  <c r="S135" i="1"/>
  <c r="Q183" i="1"/>
  <c r="F183" i="1"/>
  <c r="R136" i="1"/>
  <c r="T154" i="1"/>
  <c r="B166" i="1"/>
  <c r="E146" i="1"/>
  <c r="E142" i="1" s="1"/>
  <c r="S157" i="1"/>
  <c r="B130" i="1"/>
  <c r="V174" i="1"/>
  <c r="F166" i="1"/>
  <c r="T133" i="1"/>
  <c r="W135" i="1"/>
  <c r="O153" i="1"/>
  <c r="Q166" i="1"/>
  <c r="G146" i="1"/>
  <c r="G142" i="1" s="1"/>
  <c r="T151" i="1"/>
  <c r="R154" i="1"/>
  <c r="D130" i="1"/>
  <c r="N166" i="1"/>
  <c r="I162" i="1"/>
  <c r="O157" i="1"/>
  <c r="H128" i="1"/>
  <c r="I128" i="1"/>
  <c r="N89" i="1"/>
  <c r="G85" i="1"/>
  <c r="P90" i="1"/>
  <c r="R166" i="1"/>
  <c r="N154" i="1"/>
  <c r="W88" i="1"/>
  <c r="U181" i="1"/>
  <c r="U184" i="1" s="1"/>
  <c r="C183" i="1"/>
  <c r="W151" i="1"/>
  <c r="X213" i="1" s="1"/>
  <c r="T164" i="1"/>
  <c r="T194" i="1" s="1"/>
  <c r="F130" i="1"/>
  <c r="K164" i="1"/>
  <c r="K194" i="1" s="1"/>
  <c r="U129" i="1"/>
  <c r="I164" i="1"/>
  <c r="I194" i="1" s="1"/>
  <c r="N158" i="1"/>
  <c r="P84" i="1"/>
  <c r="K154" i="1"/>
  <c r="K174" i="1"/>
  <c r="P144" i="1"/>
  <c r="Q135" i="1"/>
  <c r="R155" i="1"/>
  <c r="R190" i="1" s="1"/>
  <c r="D166" i="1"/>
  <c r="N133" i="1"/>
  <c r="K155" i="1"/>
  <c r="K190" i="1" s="1"/>
  <c r="T160" i="1"/>
  <c r="G154" i="1"/>
  <c r="U164" i="1"/>
  <c r="U194" i="1" s="1"/>
  <c r="H143" i="1"/>
  <c r="L174" i="1"/>
  <c r="V181" i="1"/>
  <c r="P136" i="1"/>
  <c r="Q170" i="1"/>
  <c r="Q172" i="1" s="1"/>
  <c r="I78" i="1"/>
  <c r="C174" i="1"/>
  <c r="Q90" i="1"/>
  <c r="V153" i="1"/>
  <c r="S181" i="1"/>
  <c r="J135" i="1"/>
  <c r="U161" i="1"/>
  <c r="M136" i="1"/>
  <c r="U171" i="1"/>
  <c r="U172" i="1" s="1"/>
  <c r="V220" i="1" s="1"/>
  <c r="O84" i="1"/>
  <c r="D135" i="1"/>
  <c r="D139" i="1" s="1"/>
  <c r="S153" i="1"/>
  <c r="E175" i="1"/>
  <c r="D174" i="1"/>
  <c r="K147" i="1"/>
  <c r="B154" i="1"/>
  <c r="W166" i="1"/>
  <c r="F85" i="1"/>
  <c r="C136" i="1"/>
  <c r="S161" i="1"/>
  <c r="H164" i="1"/>
  <c r="H194" i="1" s="1"/>
  <c r="U137" i="1"/>
  <c r="U165" i="1" s="1"/>
  <c r="L158" i="1"/>
  <c r="H136" i="1"/>
  <c r="L137" i="1"/>
  <c r="L165" i="1" s="1"/>
  <c r="B160" i="1"/>
  <c r="H147" i="1"/>
  <c r="G170" i="1"/>
  <c r="K89" i="1"/>
  <c r="M147" i="1"/>
  <c r="S154" i="1"/>
  <c r="H144" i="1"/>
  <c r="F90" i="1"/>
  <c r="H166" i="1"/>
  <c r="G130" i="1"/>
  <c r="P85" i="1"/>
  <c r="T162" i="1"/>
  <c r="G175" i="1"/>
  <c r="L154" i="1"/>
  <c r="H84" i="1"/>
  <c r="P128" i="1"/>
  <c r="P131" i="1" s="1"/>
  <c r="R160" i="1"/>
  <c r="M154" i="1"/>
  <c r="J78" i="1"/>
  <c r="L162" i="1"/>
  <c r="H160" i="1"/>
  <c r="I88" i="1"/>
  <c r="U136" i="1"/>
  <c r="U139" i="1" s="1"/>
  <c r="L156" i="1"/>
  <c r="L191" i="1" s="1"/>
  <c r="O158" i="1"/>
  <c r="K151" i="1"/>
  <c r="K135" i="1"/>
  <c r="E155" i="1"/>
  <c r="E190" i="1" s="1"/>
  <c r="N181" i="1"/>
  <c r="M128" i="1"/>
  <c r="O170" i="1"/>
  <c r="S164" i="1"/>
  <c r="S194" i="1" s="1"/>
  <c r="O88" i="1"/>
  <c r="O164" i="1"/>
  <c r="O194" i="1" s="1"/>
  <c r="N130" i="1"/>
  <c r="T136" i="1"/>
  <c r="Q129" i="1"/>
  <c r="P151" i="1"/>
  <c r="I175" i="1"/>
  <c r="V130" i="1"/>
  <c r="E143" i="1"/>
  <c r="H151" i="1"/>
  <c r="T155" i="1"/>
  <c r="T190" i="1" s="1"/>
  <c r="N170" i="1"/>
  <c r="U144" i="1"/>
  <c r="E78" i="1"/>
  <c r="M138" i="1"/>
  <c r="P78" i="1"/>
  <c r="Q162" i="1"/>
  <c r="M181" i="1"/>
  <c r="Q128" i="1"/>
  <c r="E154" i="1"/>
  <c r="R137" i="1"/>
  <c r="R165" i="1" s="1"/>
  <c r="F170" i="1"/>
  <c r="V160" i="1"/>
  <c r="P133" i="1"/>
  <c r="M137" i="1"/>
  <c r="M165" i="1" s="1"/>
  <c r="U166" i="1"/>
  <c r="Q174" i="1"/>
  <c r="F182" i="1"/>
  <c r="N153" i="1"/>
  <c r="M158" i="1"/>
  <c r="G160" i="1"/>
  <c r="I90" i="1"/>
  <c r="H153" i="1"/>
  <c r="B144" i="1"/>
  <c r="U146" i="1"/>
  <c r="U142" i="1" s="1"/>
  <c r="O171" i="1"/>
  <c r="B155" i="1"/>
  <c r="B190" i="1" s="1"/>
  <c r="N129" i="1"/>
  <c r="K130" i="1"/>
  <c r="U162" i="1"/>
  <c r="P162" i="1"/>
  <c r="N151" i="1"/>
  <c r="T128" i="1"/>
  <c r="H162" i="1"/>
  <c r="W144" i="1"/>
  <c r="G171" i="1"/>
  <c r="L160" i="1"/>
  <c r="M183" i="1"/>
  <c r="B136" i="1"/>
  <c r="G136" i="1"/>
  <c r="I153" i="1"/>
  <c r="E171" i="1"/>
  <c r="E172" i="1" s="1"/>
  <c r="F220" i="1" s="1"/>
  <c r="D155" i="1"/>
  <c r="D190" i="1" s="1"/>
  <c r="K137" i="1"/>
  <c r="K165" i="1" s="1"/>
  <c r="S85" i="1"/>
  <c r="E135" i="1"/>
  <c r="K143" i="1"/>
  <c r="C161" i="1"/>
  <c r="W156" i="1"/>
  <c r="O182" i="1"/>
  <c r="O85" i="1"/>
  <c r="F128" i="1"/>
  <c r="J138" i="1"/>
  <c r="AX151" i="1"/>
  <c r="AY151" i="1" s="1"/>
  <c r="AZ164" i="1"/>
  <c r="BR137" i="1"/>
  <c r="BS137" i="1" s="1"/>
  <c r="AZ165" i="1"/>
  <c r="BA165" i="1" s="1"/>
  <c r="BT142" i="1"/>
  <c r="BP166" i="1"/>
  <c r="BQ166" i="1" s="1"/>
  <c r="BP84" i="1"/>
  <c r="BF136" i="1"/>
  <c r="BG136" i="1" s="1"/>
  <c r="AP157" i="1"/>
  <c r="AQ157" i="1" s="1"/>
  <c r="BI84" i="1"/>
  <c r="AX155" i="1"/>
  <c r="BR170" i="1"/>
  <c r="BF85" i="1"/>
  <c r="AZ163" i="1"/>
  <c r="BA163" i="1" s="1"/>
  <c r="BD146" i="1"/>
  <c r="BE146" i="1" s="1"/>
  <c r="AZ128" i="1"/>
  <c r="BA128" i="1" s="1"/>
  <c r="BN175" i="1"/>
  <c r="BO175" i="1" s="1"/>
  <c r="BF158" i="1"/>
  <c r="BG158" i="1" s="1"/>
  <c r="BT162" i="1"/>
  <c r="BU162" i="1" s="1"/>
  <c r="BN130" i="1"/>
  <c r="AX129" i="1"/>
  <c r="AY129" i="1" s="1"/>
  <c r="BW85" i="1"/>
  <c r="BN137" i="1"/>
  <c r="BO137" i="1" s="1"/>
  <c r="AX162" i="1"/>
  <c r="AY162" i="1" s="1"/>
  <c r="AP136" i="1"/>
  <c r="AQ136" i="1" s="1"/>
  <c r="AT142" i="1"/>
  <c r="AZ142" i="1"/>
  <c r="BF165" i="1"/>
  <c r="BG165" i="1" s="1"/>
  <c r="BR138" i="1"/>
  <c r="BS138" i="1" s="1"/>
  <c r="BD158" i="1"/>
  <c r="BE158" i="1" s="1"/>
  <c r="AP154" i="1"/>
  <c r="AQ154" i="1" s="1"/>
  <c r="BB146" i="1"/>
  <c r="BC146" i="1" s="1"/>
  <c r="AN128" i="1"/>
  <c r="AR175" i="1"/>
  <c r="AS175" i="1" s="1"/>
  <c r="AQ84" i="1"/>
  <c r="AT162" i="1"/>
  <c r="AU162" i="1" s="1"/>
  <c r="AX85" i="1"/>
  <c r="BA84" i="1"/>
  <c r="BF162" i="1"/>
  <c r="BG162" i="1" s="1"/>
  <c r="BN133" i="1"/>
  <c r="BO133" i="1" s="1"/>
  <c r="BP138" i="1"/>
  <c r="BQ138" i="1" s="1"/>
  <c r="BF135" i="1"/>
  <c r="BG135" i="1" s="1"/>
  <c r="BF174" i="1"/>
  <c r="BG174" i="1" s="1"/>
  <c r="AZ171" i="1"/>
  <c r="AW84" i="1"/>
  <c r="BP137" i="1"/>
  <c r="BQ137" i="1" s="1"/>
  <c r="BD163" i="1"/>
  <c r="BE163" i="1" s="1"/>
  <c r="AZ153" i="1"/>
  <c r="BA153" i="1" s="1"/>
  <c r="BD171" i="1"/>
  <c r="BT128" i="1"/>
  <c r="BU128" i="1" s="1"/>
  <c r="BN163" i="1"/>
  <c r="BO163" i="1" s="1"/>
  <c r="BD160" i="1"/>
  <c r="BE160" i="1" s="1"/>
  <c r="BT163" i="1"/>
  <c r="BU163" i="1" s="1"/>
  <c r="BM85" i="1"/>
  <c r="BN138" i="1"/>
  <c r="BO138" i="1" s="1"/>
  <c r="BR143" i="1"/>
  <c r="AT170" i="1"/>
  <c r="BF175" i="1"/>
  <c r="BG175" i="1" s="1"/>
  <c r="AZ146" i="1"/>
  <c r="BA146" i="1" s="1"/>
  <c r="BT157" i="1"/>
  <c r="BU157" i="1" s="1"/>
  <c r="BP135" i="1"/>
  <c r="BQ135" i="1" s="1"/>
  <c r="BP153" i="1"/>
  <c r="BQ153" i="1" s="1"/>
  <c r="BT85" i="1"/>
  <c r="AR154" i="1"/>
  <c r="AS154" i="1" s="1"/>
  <c r="BF129" i="1"/>
  <c r="BG129" i="1" s="1"/>
  <c r="AX84" i="1"/>
  <c r="AX158" i="1"/>
  <c r="AY158" i="1" s="1"/>
  <c r="AX163" i="1"/>
  <c r="AY163" i="1" s="1"/>
  <c r="BB135" i="1"/>
  <c r="BF128" i="1"/>
  <c r="BG128" i="1" s="1"/>
  <c r="AZ158" i="1"/>
  <c r="BA158" i="1" s="1"/>
  <c r="BW84" i="1"/>
  <c r="BN166" i="1"/>
  <c r="BO166" i="1" s="1"/>
  <c r="BR160" i="1"/>
  <c r="BS160" i="1" s="1"/>
  <c r="BP130" i="1"/>
  <c r="BR84" i="1"/>
  <c r="BB85" i="1"/>
  <c r="BD85" i="1"/>
  <c r="AT136" i="1"/>
  <c r="AU136" i="1" s="1"/>
  <c r="BN136" i="1"/>
  <c r="BO136" i="1" s="1"/>
  <c r="BB157" i="1"/>
  <c r="BC157" i="1" s="1"/>
  <c r="BF143" i="1"/>
  <c r="AT133" i="1"/>
  <c r="AU133" i="1" s="1"/>
  <c r="BB143" i="1"/>
  <c r="AN133" i="1"/>
  <c r="AO133" i="1" s="1"/>
  <c r="BB137" i="1"/>
  <c r="BC137" i="1" s="1"/>
  <c r="BP151" i="1"/>
  <c r="BQ151" i="1" s="1"/>
  <c r="AP151" i="1"/>
  <c r="AN129" i="1"/>
  <c r="AO129" i="1" s="1"/>
  <c r="AN85" i="1"/>
  <c r="BE85" i="1"/>
  <c r="AX133" i="1"/>
  <c r="AY133" i="1" s="1"/>
  <c r="AX171" i="1"/>
  <c r="BB130" i="1"/>
  <c r="AZ156" i="1"/>
  <c r="BT155" i="1"/>
  <c r="AP130" i="1"/>
  <c r="BR162" i="1"/>
  <c r="BS162" i="1" s="1"/>
  <c r="AT144" i="1"/>
  <c r="AX161" i="1"/>
  <c r="AY161" i="1" s="1"/>
  <c r="BN157" i="1"/>
  <c r="BO157" i="1" s="1"/>
  <c r="BN143" i="1"/>
  <c r="AY85" i="1"/>
  <c r="BR155" i="1"/>
  <c r="BB171" i="1"/>
  <c r="BD142" i="1"/>
  <c r="BT164" i="1"/>
  <c r="BA85" i="1"/>
  <c r="BR157" i="1"/>
  <c r="BS157" i="1" s="1"/>
  <c r="BB138" i="1"/>
  <c r="BC138" i="1" s="1"/>
  <c r="AT155" i="1"/>
  <c r="BC84" i="1"/>
  <c r="BD162" i="1"/>
  <c r="BE162" i="1" s="1"/>
  <c r="BR156" i="1"/>
  <c r="BT170" i="1"/>
  <c r="BN153" i="1"/>
  <c r="BO153" i="1" s="1"/>
  <c r="AZ155" i="1"/>
  <c r="AP135" i="1"/>
  <c r="AQ135" i="1" s="1"/>
  <c r="BD137" i="1"/>
  <c r="BE137" i="1" s="1"/>
  <c r="AP161" i="1"/>
  <c r="AQ161" i="1" s="1"/>
  <c r="BD175" i="1"/>
  <c r="BE175" i="1" s="1"/>
  <c r="AR130" i="1"/>
  <c r="AR153" i="1"/>
  <c r="AS153" i="1" s="1"/>
  <c r="AZ151" i="1"/>
  <c r="BA151" i="1" s="1"/>
  <c r="AP174" i="1"/>
  <c r="AQ174" i="1" s="1"/>
  <c r="AP153" i="1"/>
  <c r="AN148" i="1"/>
  <c r="AO148" i="1" s="1"/>
  <c r="AR165" i="1"/>
  <c r="AS165" i="1" s="1"/>
  <c r="AR129" i="1"/>
  <c r="AS129" i="1" s="1"/>
  <c r="AR163" i="1"/>
  <c r="AS163" i="1" s="1"/>
  <c r="BP170" i="1"/>
  <c r="AN161" i="1"/>
  <c r="AO161" i="1" s="1"/>
  <c r="AR135" i="1"/>
  <c r="AN171" i="1"/>
  <c r="AR164" i="1"/>
  <c r="AN137" i="1"/>
  <c r="AO137" i="1" s="1"/>
  <c r="AR133" i="1"/>
  <c r="AS133" i="1" s="1"/>
  <c r="AR157" i="1"/>
  <c r="AS157" i="1" s="1"/>
  <c r="BB142" i="1"/>
  <c r="AU84" i="1"/>
  <c r="AR171" i="1"/>
  <c r="AT160" i="1"/>
  <c r="AU160" i="1" s="1"/>
  <c r="AT164" i="1"/>
  <c r="AT194" i="1" s="1"/>
  <c r="AU194" i="1" s="1"/>
  <c r="AR84" i="1"/>
  <c r="BO85" i="1"/>
  <c r="BT151" i="1"/>
  <c r="AP144" i="1"/>
  <c r="BF161" i="1"/>
  <c r="BG161" i="1" s="1"/>
  <c r="BN84" i="1"/>
  <c r="AR155" i="1"/>
  <c r="BT138" i="1"/>
  <c r="BU138" i="1" s="1"/>
  <c r="AR158" i="1"/>
  <c r="AS158" i="1" s="1"/>
  <c r="BB156" i="1"/>
  <c r="AT129" i="1"/>
  <c r="AU129" i="1" s="1"/>
  <c r="BO84" i="1"/>
  <c r="AX174" i="1"/>
  <c r="AY174" i="1" s="1"/>
  <c r="BB151" i="1"/>
  <c r="BC151" i="1" s="1"/>
  <c r="BD128" i="1"/>
  <c r="BR146" i="1"/>
  <c r="BS146" i="1" s="1"/>
  <c r="BB164" i="1"/>
  <c r="BF171" i="1"/>
  <c r="AX166" i="1"/>
  <c r="AY166" i="1" s="1"/>
  <c r="BN170" i="1"/>
  <c r="AZ137" i="1"/>
  <c r="BA137" i="1" s="1"/>
  <c r="AX142" i="1"/>
  <c r="BN155" i="1"/>
  <c r="BR129" i="1"/>
  <c r="BS129" i="1" s="1"/>
  <c r="BF156" i="1"/>
  <c r="BS84" i="1"/>
  <c r="BQ85" i="1"/>
  <c r="AT146" i="1"/>
  <c r="AU146" i="1" s="1"/>
  <c r="AT137" i="1"/>
  <c r="AU137" i="1" s="1"/>
  <c r="AZ133" i="1"/>
  <c r="BA133" i="1" s="1"/>
  <c r="BD174" i="1"/>
  <c r="BE174" i="1" s="1"/>
  <c r="BD133" i="1"/>
  <c r="BE133" i="1" s="1"/>
  <c r="BT130" i="1"/>
  <c r="BF142" i="1"/>
  <c r="AX130" i="1"/>
  <c r="AX146" i="1"/>
  <c r="AY146" i="1" s="1"/>
  <c r="AX156" i="1"/>
  <c r="AZ144" i="1"/>
  <c r="AZ166" i="1"/>
  <c r="BA166" i="1" s="1"/>
  <c r="BF164" i="1"/>
  <c r="BF146" i="1"/>
  <c r="BG146" i="1" s="1"/>
  <c r="BD161" i="1"/>
  <c r="BE161" i="1" s="1"/>
  <c r="BN161" i="1"/>
  <c r="BO161" i="1" s="1"/>
  <c r="AQ85" i="1"/>
  <c r="BR85" i="1"/>
  <c r="AZ138" i="1"/>
  <c r="BA138" i="1" s="1"/>
  <c r="BD157" i="1"/>
  <c r="BE157" i="1" s="1"/>
  <c r="BD135" i="1"/>
  <c r="BE135" i="1" s="1"/>
  <c r="BT146" i="1"/>
  <c r="BU146" i="1" s="1"/>
  <c r="BN85" i="1"/>
  <c r="BR175" i="1"/>
  <c r="BS175" i="1" s="1"/>
  <c r="AN175" i="1"/>
  <c r="AO175" i="1" s="1"/>
  <c r="AT161" i="1"/>
  <c r="AO84" i="1"/>
  <c r="AX143" i="1"/>
  <c r="AX148" i="1"/>
  <c r="AY148" i="1" s="1"/>
  <c r="BE84" i="1"/>
  <c r="BN144" i="1"/>
  <c r="BN174" i="1"/>
  <c r="BO174" i="1" s="1"/>
  <c r="BN135" i="1"/>
  <c r="BN165" i="1"/>
  <c r="BO165" i="1" s="1"/>
  <c r="AY84" i="1"/>
  <c r="BR153" i="1"/>
  <c r="BS153" i="1" s="1"/>
  <c r="BB160" i="1"/>
  <c r="BC160" i="1" s="1"/>
  <c r="BB162" i="1"/>
  <c r="BC162" i="1" s="1"/>
  <c r="AZ162" i="1"/>
  <c r="BA162" i="1" s="1"/>
  <c r="BF153" i="1"/>
  <c r="BG153" i="1" s="1"/>
  <c r="BD156" i="1"/>
  <c r="BT165" i="1"/>
  <c r="BU165" i="1" s="1"/>
  <c r="BT171" i="1"/>
  <c r="AP129" i="1"/>
  <c r="AQ129" i="1" s="1"/>
  <c r="AZ129" i="1"/>
  <c r="BA129" i="1" s="1"/>
  <c r="AX137" i="1"/>
  <c r="AY137" i="1" s="1"/>
  <c r="AX153" i="1"/>
  <c r="AY153" i="1" s="1"/>
  <c r="BN158" i="1"/>
  <c r="BO158" i="1" s="1"/>
  <c r="BR144" i="1"/>
  <c r="BR166" i="1"/>
  <c r="BS166" i="1" s="1"/>
  <c r="BR161" i="1"/>
  <c r="BS161" i="1" s="1"/>
  <c r="BB133" i="1"/>
  <c r="BC133" i="1" s="1"/>
  <c r="AZ143" i="1"/>
  <c r="AW85" i="1"/>
  <c r="AS84" i="1"/>
  <c r="AT138" i="1"/>
  <c r="AU138" i="1" s="1"/>
  <c r="AT156" i="1"/>
  <c r="AT166" i="1"/>
  <c r="AU166" i="1" s="1"/>
  <c r="AT157" i="1"/>
  <c r="AU157" i="1" s="1"/>
  <c r="AT165" i="1"/>
  <c r="AU165" i="1" s="1"/>
  <c r="AT128" i="1"/>
  <c r="BB161" i="1"/>
  <c r="BC161" i="1" s="1"/>
  <c r="AZ174" i="1"/>
  <c r="BA174" i="1" s="1"/>
  <c r="AZ161" i="1"/>
  <c r="BA161" i="1" s="1"/>
  <c r="BF130" i="1"/>
  <c r="BD130" i="1"/>
  <c r="BD151" i="1"/>
  <c r="BE151" i="1" s="1"/>
  <c r="AP85" i="1"/>
  <c r="BF133" i="1"/>
  <c r="BG133" i="1" s="1"/>
  <c r="AZ175" i="1"/>
  <c r="BA175" i="1" s="1"/>
  <c r="BF151" i="1"/>
  <c r="BG151" i="1" s="1"/>
  <c r="BD153" i="1"/>
  <c r="BE153" i="1" s="1"/>
  <c r="BK84" i="1"/>
  <c r="AP133" i="1"/>
  <c r="AQ133" i="1" s="1"/>
  <c r="AT154" i="1"/>
  <c r="AU154" i="1" s="1"/>
  <c r="AT130" i="1"/>
  <c r="BN164" i="1"/>
  <c r="BB144" i="1"/>
  <c r="BB153" i="1"/>
  <c r="BC153" i="1" s="1"/>
  <c r="AZ160" i="1"/>
  <c r="BA160" i="1" s="1"/>
  <c r="BP157" i="1"/>
  <c r="BQ157" i="1" s="1"/>
  <c r="AN157" i="1"/>
  <c r="AO157" i="1" s="1"/>
  <c r="BT156" i="1"/>
  <c r="BD164" i="1"/>
  <c r="BF137" i="1"/>
  <c r="BG137" i="1" s="1"/>
  <c r="BT161" i="1"/>
  <c r="BU161" i="1" s="1"/>
  <c r="AN170" i="1"/>
  <c r="AZ148" i="1"/>
  <c r="BA148" i="1" s="1"/>
  <c r="AP137" i="1"/>
  <c r="AQ137" i="1" s="1"/>
  <c r="AP155" i="1"/>
  <c r="AN163" i="1"/>
  <c r="AO163" i="1" s="1"/>
  <c r="BP136" i="1"/>
  <c r="BQ136" i="1" s="1"/>
  <c r="AR136" i="1"/>
  <c r="AS136" i="1" s="1"/>
  <c r="AR85" i="1"/>
  <c r="BT158" i="1"/>
  <c r="BU158" i="1" s="1"/>
  <c r="BP163" i="1"/>
  <c r="BQ163" i="1" s="1"/>
  <c r="AN174" i="1"/>
  <c r="AO174" i="1" s="1"/>
  <c r="AP138" i="1"/>
  <c r="AQ138" i="1" s="1"/>
  <c r="AR128" i="1"/>
  <c r="BD84" i="1"/>
  <c r="AP164" i="1"/>
  <c r="AN158" i="1"/>
  <c r="AO158" i="1" s="1"/>
  <c r="AR148" i="1"/>
  <c r="AS148" i="1" s="1"/>
  <c r="BI85" i="1"/>
  <c r="AS85" i="1"/>
  <c r="AR161" i="1"/>
  <c r="AS161" i="1" s="1"/>
  <c r="AP171" i="1"/>
  <c r="AN165" i="1"/>
  <c r="AO165" i="1" s="1"/>
  <c r="BP165" i="1"/>
  <c r="BQ165" i="1" s="1"/>
  <c r="AN162" i="1"/>
  <c r="AO162" i="1" s="1"/>
  <c r="AN146" i="1"/>
  <c r="AO146" i="1" s="1"/>
  <c r="AR138" i="1"/>
  <c r="AS138" i="1" s="1"/>
  <c r="BQ84" i="1"/>
  <c r="BS85" i="1"/>
  <c r="AR160" i="1"/>
  <c r="AS160" i="1" s="1"/>
  <c r="AP84" i="1"/>
  <c r="BR135" i="1"/>
  <c r="BS135" i="1" s="1"/>
  <c r="AN154" i="1"/>
  <c r="AO154" i="1" s="1"/>
  <c r="AN143" i="1"/>
  <c r="AR174" i="1"/>
  <c r="AS174" i="1" s="1"/>
  <c r="AN153" i="1"/>
  <c r="AR137" i="1"/>
  <c r="AS137" i="1" s="1"/>
  <c r="AX164" i="1"/>
  <c r="BB84" i="1"/>
  <c r="AZ157" i="1"/>
  <c r="BA157" i="1" s="1"/>
  <c r="BD170" i="1"/>
  <c r="BR165" i="1"/>
  <c r="BS165" i="1" s="1"/>
  <c r="BT143" i="1"/>
  <c r="BK85" i="1"/>
  <c r="AX128" i="1"/>
  <c r="AX165" i="1"/>
  <c r="AY165" i="1" s="1"/>
  <c r="BB136" i="1"/>
  <c r="BC136" i="1" s="1"/>
  <c r="BF155" i="1"/>
  <c r="BT136" i="1"/>
  <c r="BU136" i="1" s="1"/>
  <c r="AX135" i="1"/>
  <c r="BR151" i="1"/>
  <c r="BT135" i="1"/>
  <c r="AP166" i="1"/>
  <c r="AQ166" i="1" s="1"/>
  <c r="AT175" i="1"/>
  <c r="AU175" i="1" s="1"/>
  <c r="AT163" i="1"/>
  <c r="AU163" i="1" s="1"/>
  <c r="BC85" i="1"/>
  <c r="AZ135" i="1"/>
  <c r="BA135" i="1" s="1"/>
  <c r="BF163" i="1"/>
  <c r="BG163" i="1" s="1"/>
  <c r="BD155" i="1"/>
  <c r="AT85" i="1"/>
  <c r="BB155" i="1"/>
  <c r="BT166" i="1"/>
  <c r="BU166" i="1" s="1"/>
  <c r="BB158" i="1"/>
  <c r="BC158" i="1" s="1"/>
  <c r="AN151" i="1"/>
  <c r="AN144" i="1"/>
  <c r="BT84" i="1"/>
  <c r="AP156" i="1"/>
  <c r="BD138" i="1"/>
  <c r="BE138" i="1" s="1"/>
  <c r="AX170" i="1"/>
  <c r="AX175" i="1"/>
  <c r="AY175" i="1" s="1"/>
  <c r="AX136" i="1"/>
  <c r="AY136" i="1" s="1"/>
  <c r="BB174" i="1"/>
  <c r="BC174" i="1" s="1"/>
  <c r="BU84" i="1"/>
  <c r="AZ85" i="1"/>
  <c r="BF157" i="1"/>
  <c r="BG157" i="1" s="1"/>
  <c r="BF138" i="1"/>
  <c r="BG138" i="1" s="1"/>
  <c r="BD144" i="1"/>
  <c r="BN151" i="1"/>
  <c r="BR163" i="1"/>
  <c r="BS163" i="1" s="1"/>
  <c r="BR130" i="1"/>
  <c r="BR136" i="1"/>
  <c r="BS136" i="1" s="1"/>
  <c r="BR128" i="1"/>
  <c r="BB175" i="1"/>
  <c r="BC175" i="1" s="1"/>
  <c r="AZ130" i="1"/>
  <c r="BF160" i="1"/>
  <c r="BG160" i="1" s="1"/>
  <c r="BD129" i="1"/>
  <c r="BE129" i="1" s="1"/>
  <c r="BT175" i="1"/>
  <c r="BU175" i="1" s="1"/>
  <c r="BP171" i="1"/>
  <c r="AP143" i="1"/>
  <c r="BN142" i="1"/>
  <c r="BR158" i="1"/>
  <c r="BS158" i="1" s="1"/>
  <c r="AX144" i="1"/>
  <c r="AX157" i="1"/>
  <c r="AY157" i="1" s="1"/>
  <c r="BN171" i="1"/>
  <c r="BN129" i="1"/>
  <c r="BO129" i="1" s="1"/>
  <c r="BN160" i="1"/>
  <c r="BO160" i="1" s="1"/>
  <c r="BR171" i="1"/>
  <c r="BR133" i="1"/>
  <c r="BS133" i="1" s="1"/>
  <c r="BB170" i="1"/>
  <c r="BF144" i="1"/>
  <c r="BT129" i="1"/>
  <c r="BU129" i="1" s="1"/>
  <c r="BP174" i="1"/>
  <c r="BQ174" i="1" s="1"/>
  <c r="BP158" i="1"/>
  <c r="BQ158" i="1" s="1"/>
  <c r="BM84" i="1"/>
  <c r="AX138" i="1"/>
  <c r="AY138" i="1" s="1"/>
  <c r="BN162" i="1"/>
  <c r="BO162" i="1" s="1"/>
  <c r="BN128" i="1"/>
  <c r="BO128" i="1" s="1"/>
  <c r="BR142" i="1"/>
  <c r="BR174" i="1"/>
  <c r="BS174" i="1" s="1"/>
  <c r="BR164" i="1"/>
  <c r="BB166" i="1"/>
  <c r="BC166" i="1" s="1"/>
  <c r="AZ170" i="1"/>
  <c r="BD166" i="1"/>
  <c r="BE166" i="1" s="1"/>
  <c r="BT144" i="1"/>
  <c r="AP162" i="1"/>
  <c r="AQ162" i="1" s="1"/>
  <c r="AT151" i="1"/>
  <c r="AU151" i="1" s="1"/>
  <c r="AT171" i="1"/>
  <c r="AT135" i="1"/>
  <c r="AU135" i="1" s="1"/>
  <c r="AT153" i="1"/>
  <c r="BN146" i="1"/>
  <c r="BO146" i="1" s="1"/>
  <c r="BB163" i="1"/>
  <c r="BC163" i="1" s="1"/>
  <c r="BU85" i="1"/>
  <c r="AZ136" i="1"/>
  <c r="BA136" i="1" s="1"/>
  <c r="BF166" i="1"/>
  <c r="BG166" i="1" s="1"/>
  <c r="BF170" i="1"/>
  <c r="BF84" i="1"/>
  <c r="BD136" i="1"/>
  <c r="BE136" i="1" s="1"/>
  <c r="BT133" i="1"/>
  <c r="BU133" i="1" s="1"/>
  <c r="AP163" i="1"/>
  <c r="AQ163" i="1" s="1"/>
  <c r="AT174" i="1"/>
  <c r="AU174" i="1" s="1"/>
  <c r="AT158" i="1"/>
  <c r="AU158" i="1" s="1"/>
  <c r="BT137" i="1"/>
  <c r="BU137" i="1" s="1"/>
  <c r="AU85" i="1"/>
  <c r="BB129" i="1"/>
  <c r="BC129" i="1" s="1"/>
  <c r="AZ84" i="1"/>
  <c r="BT153" i="1"/>
  <c r="BU153" i="1" s="1"/>
  <c r="AP175" i="1"/>
  <c r="AQ175" i="1" s="1"/>
  <c r="BB128" i="1"/>
  <c r="AN156" i="1"/>
  <c r="BD165" i="1"/>
  <c r="BE165" i="1" s="1"/>
  <c r="BT174" i="1"/>
  <c r="BU174" i="1" s="1"/>
  <c r="AP146" i="1"/>
  <c r="AQ146" i="1" s="1"/>
  <c r="AN135" i="1"/>
  <c r="AP128" i="1"/>
  <c r="AQ128" i="1" s="1"/>
  <c r="AN130" i="1"/>
  <c r="AR146" i="1"/>
  <c r="AS146" i="1" s="1"/>
  <c r="AR151" i="1"/>
  <c r="AS151" i="1" s="1"/>
  <c r="AR144" i="1"/>
  <c r="AP170" i="1"/>
  <c r="AP158" i="1"/>
  <c r="AQ158" i="1" s="1"/>
  <c r="AN164" i="1"/>
  <c r="AP142" i="1"/>
  <c r="AR143" i="1"/>
  <c r="AR142" i="1"/>
  <c r="AR170" i="1"/>
  <c r="BD143" i="1"/>
  <c r="AN155" i="1"/>
  <c r="BT160" i="1"/>
  <c r="BU160" i="1" s="1"/>
  <c r="AN160" i="1"/>
  <c r="AO160" i="1" s="1"/>
  <c r="AR166" i="1"/>
  <c r="AS166" i="1" s="1"/>
  <c r="AP165" i="1"/>
  <c r="AQ165" i="1" s="1"/>
  <c r="AN138" i="1"/>
  <c r="AO138" i="1" s="1"/>
  <c r="AN166" i="1"/>
  <c r="AO166" i="1" s="1"/>
  <c r="AN142" i="1"/>
  <c r="AT143" i="1"/>
  <c r="AT84" i="1"/>
  <c r="AN84" i="1"/>
  <c r="AN136" i="1"/>
  <c r="AO136" i="1" s="1"/>
  <c r="AO85" i="1"/>
  <c r="AP148" i="1"/>
  <c r="AQ148" i="1" s="1"/>
  <c r="BF148" i="1"/>
  <c r="BG148" i="1" s="1"/>
  <c r="AT148" i="1"/>
  <c r="AU148" i="1" s="1"/>
  <c r="BD148" i="1"/>
  <c r="BE148" i="1" s="1"/>
  <c r="BN148" i="1"/>
  <c r="BO148" i="1" s="1"/>
  <c r="BR148" i="1"/>
  <c r="BS148" i="1" s="1"/>
  <c r="BT148" i="1"/>
  <c r="BU148" i="1" s="1"/>
  <c r="BB148" i="1"/>
  <c r="BC148" i="1" s="1"/>
  <c r="BT154" i="1"/>
  <c r="BB154" i="1"/>
  <c r="BF154" i="1"/>
  <c r="AX154" i="1"/>
  <c r="BD154" i="1"/>
  <c r="AZ154" i="1"/>
  <c r="BR154" i="1"/>
  <c r="BN154" i="1"/>
  <c r="AI194" i="1"/>
  <c r="AI196" i="1"/>
  <c r="AI193" i="1"/>
  <c r="BB205" i="1"/>
  <c r="AI191" i="1"/>
  <c r="BE21" i="1"/>
  <c r="BT205" i="1"/>
  <c r="BU205" i="1"/>
  <c r="BK205" i="1"/>
  <c r="BK44" i="1"/>
  <c r="BK214" i="1"/>
  <c r="BK212" i="1" s="1"/>
  <c r="BW242" i="1"/>
  <c r="BZ109" i="1"/>
  <c r="BZ110" i="1" s="1"/>
  <c r="AV264" i="1"/>
  <c r="AZ205" i="1"/>
  <c r="BA264" i="1"/>
  <c r="BA205" i="1"/>
  <c r="CQ145" i="1"/>
  <c r="CY76" i="1"/>
  <c r="CZ74" i="1"/>
  <c r="BG84" i="1" l="1"/>
  <c r="AV21" i="1"/>
  <c r="AV263" i="1"/>
  <c r="BP263" i="1"/>
  <c r="AQ37" i="1"/>
  <c r="BN263" i="1"/>
  <c r="BP143" i="1"/>
  <c r="AV164" i="1"/>
  <c r="AV194" i="1" s="1"/>
  <c r="AV171" i="1"/>
  <c r="AV162" i="1"/>
  <c r="AW162" i="1" s="1"/>
  <c r="BP85" i="1"/>
  <c r="R213" i="1"/>
  <c r="BI37" i="1"/>
  <c r="AI48" i="1"/>
  <c r="D172" i="1"/>
  <c r="W145" i="1"/>
  <c r="N213" i="1"/>
  <c r="AV161" i="1"/>
  <c r="AW161" i="1" s="1"/>
  <c r="BP128" i="1"/>
  <c r="BQ128" i="1" s="1"/>
  <c r="AV175" i="1"/>
  <c r="AW175" i="1" s="1"/>
  <c r="BH191" i="1"/>
  <c r="BI191" i="1" s="1"/>
  <c r="L172" i="1"/>
  <c r="E213" i="1"/>
  <c r="O213" i="1"/>
  <c r="S167" i="1"/>
  <c r="AV146" i="1"/>
  <c r="AW146" i="1" s="1"/>
  <c r="BP155" i="1"/>
  <c r="AV155" i="1"/>
  <c r="BP156" i="1"/>
  <c r="AV170" i="1"/>
  <c r="AV136" i="1"/>
  <c r="AW136" i="1" s="1"/>
  <c r="AV144" i="1"/>
  <c r="BP160" i="1"/>
  <c r="BQ160" i="1" s="1"/>
  <c r="AV165" i="1"/>
  <c r="AW165" i="1" s="1"/>
  <c r="BP154" i="1"/>
  <c r="BQ154" i="1" s="1"/>
  <c r="BP162" i="1"/>
  <c r="BQ162" i="1" s="1"/>
  <c r="BG85" i="1"/>
  <c r="BP133" i="1"/>
  <c r="BQ133" i="1" s="1"/>
  <c r="AV157" i="1"/>
  <c r="AW157" i="1" s="1"/>
  <c r="AV85" i="1"/>
  <c r="AV129" i="1"/>
  <c r="AW129" i="1" s="1"/>
  <c r="AV174" i="1"/>
  <c r="AW174" i="1" s="1"/>
  <c r="AV135" i="1"/>
  <c r="BP144" i="1"/>
  <c r="AV138" i="1"/>
  <c r="AW138" i="1" s="1"/>
  <c r="AV163" i="1"/>
  <c r="AW163" i="1" s="1"/>
  <c r="AV153" i="1"/>
  <c r="AW153" i="1" s="1"/>
  <c r="AV156" i="1"/>
  <c r="BP161" i="1"/>
  <c r="BQ161" i="1" s="1"/>
  <c r="AV142" i="1"/>
  <c r="AV143" i="1"/>
  <c r="BP129" i="1"/>
  <c r="BQ129" i="1" s="1"/>
  <c r="BP146" i="1"/>
  <c r="BQ146" i="1" s="1"/>
  <c r="BP175" i="1"/>
  <c r="BQ175" i="1" s="1"/>
  <c r="AV133" i="1"/>
  <c r="AW133" i="1" s="1"/>
  <c r="AV166" i="1"/>
  <c r="AW166" i="1" s="1"/>
  <c r="AV130" i="1"/>
  <c r="AV158" i="1"/>
  <c r="AW158" i="1" s="1"/>
  <c r="AV148" i="1"/>
  <c r="AW148" i="1" s="1"/>
  <c r="AV154" i="1"/>
  <c r="BP148" i="1"/>
  <c r="BQ148" i="1" s="1"/>
  <c r="AI214" i="1"/>
  <c r="AI212" i="1" s="1"/>
  <c r="AI44" i="1"/>
  <c r="AU242" i="1"/>
  <c r="AU263" i="1"/>
  <c r="BJ28" i="1"/>
  <c r="G172" i="1"/>
  <c r="BP142" i="1"/>
  <c r="AV151" i="1"/>
  <c r="AV128" i="1"/>
  <c r="AW128" i="1" s="1"/>
  <c r="AV137" i="1"/>
  <c r="AW137" i="1" s="1"/>
  <c r="AV84" i="1"/>
  <c r="BP164" i="1"/>
  <c r="BM37" i="1"/>
  <c r="AM59" i="1"/>
  <c r="BO21" i="1"/>
  <c r="S131" i="1"/>
  <c r="BF263" i="1"/>
  <c r="S145" i="1"/>
  <c r="S44" i="1" s="1"/>
  <c r="R139" i="1"/>
  <c r="R48" i="1" s="1"/>
  <c r="AV190" i="1"/>
  <c r="AW190" i="1" s="1"/>
  <c r="BP194" i="1"/>
  <c r="BQ194" i="1" s="1"/>
  <c r="BN190" i="1"/>
  <c r="BO190" i="1" s="1"/>
  <c r="BW21" i="1"/>
  <c r="BW263" i="1"/>
  <c r="BO263" i="1"/>
  <c r="T184" i="1"/>
  <c r="L184" i="1"/>
  <c r="D159" i="1"/>
  <c r="BH194" i="1"/>
  <c r="BI194" i="1" s="1"/>
  <c r="S213" i="1"/>
  <c r="B184" i="1"/>
  <c r="I184" i="1"/>
  <c r="D213" i="1"/>
  <c r="AU21" i="1"/>
  <c r="K213" i="1"/>
  <c r="L139" i="1"/>
  <c r="S139" i="1"/>
  <c r="L145" i="1"/>
  <c r="D76" i="1"/>
  <c r="D118" i="1" s="1"/>
  <c r="V172" i="1"/>
  <c r="W220" i="1" s="1"/>
  <c r="E184" i="1"/>
  <c r="E131" i="1"/>
  <c r="E186" i="1" s="1"/>
  <c r="H184" i="1"/>
  <c r="Q184" i="1"/>
  <c r="D145" i="1"/>
  <c r="L131" i="1"/>
  <c r="T131" i="1"/>
  <c r="W139" i="1"/>
  <c r="H131" i="1"/>
  <c r="H65" i="1" s="1"/>
  <c r="I213" i="1"/>
  <c r="Q131" i="1"/>
  <c r="F172" i="1"/>
  <c r="M167" i="1"/>
  <c r="G167" i="1"/>
  <c r="AV160" i="1"/>
  <c r="AW160" i="1" s="1"/>
  <c r="BB165" i="1"/>
  <c r="BC165" i="1" s="1"/>
  <c r="AX160" i="1"/>
  <c r="BN156" i="1"/>
  <c r="BN191" i="1" s="1"/>
  <c r="BO191" i="1" s="1"/>
  <c r="AP160" i="1"/>
  <c r="AQ160" i="1" s="1"/>
  <c r="BM48" i="1"/>
  <c r="AX37" i="1"/>
  <c r="B167" i="1"/>
  <c r="B196" i="1" s="1"/>
  <c r="B195" i="1" s="1"/>
  <c r="BT37" i="1"/>
  <c r="AO263" i="1"/>
  <c r="U131" i="1"/>
  <c r="BQ37" i="1"/>
  <c r="AN37" i="1"/>
  <c r="BK48" i="1"/>
  <c r="BO37" i="1"/>
  <c r="BV263" i="1"/>
  <c r="M139" i="1"/>
  <c r="C172" i="1"/>
  <c r="S184" i="1"/>
  <c r="O145" i="1"/>
  <c r="S172" i="1"/>
  <c r="T220" i="1" s="1"/>
  <c r="I131" i="1"/>
  <c r="L213" i="1"/>
  <c r="V131" i="1"/>
  <c r="B139" i="1"/>
  <c r="J213" i="1"/>
  <c r="I159" i="1"/>
  <c r="I193" i="1" s="1"/>
  <c r="C167" i="1"/>
  <c r="O184" i="1"/>
  <c r="F131" i="1"/>
  <c r="J139" i="1"/>
  <c r="AT191" i="1"/>
  <c r="AU191" i="1" s="1"/>
  <c r="BN194" i="1"/>
  <c r="BO194" i="1" s="1"/>
  <c r="BV145" i="1"/>
  <c r="BH172" i="1"/>
  <c r="BJ39" i="1"/>
  <c r="BH145" i="1"/>
  <c r="AP37" i="1"/>
  <c r="BV194" i="1"/>
  <c r="BW194" i="1" s="1"/>
  <c r="AT263" i="1"/>
  <c r="AQ263" i="1"/>
  <c r="BW37" i="1"/>
  <c r="AT21" i="1"/>
  <c r="AT27" i="1" s="1"/>
  <c r="AY263" i="1"/>
  <c r="BG21" i="1"/>
  <c r="AR37" i="1"/>
  <c r="AS37" i="1"/>
  <c r="BU37" i="1"/>
  <c r="AU37" i="1"/>
  <c r="T167" i="1"/>
  <c r="AW21" i="1"/>
  <c r="AW27" i="1" s="1"/>
  <c r="BB37" i="1"/>
  <c r="AW263" i="1"/>
  <c r="AO37" i="1"/>
  <c r="BI264" i="1"/>
  <c r="BK37" i="1"/>
  <c r="AZ37" i="1"/>
  <c r="BF37" i="1"/>
  <c r="BE37" i="1"/>
  <c r="BE38" i="1" s="1"/>
  <c r="I145" i="1"/>
  <c r="AW37" i="1"/>
  <c r="AW38" i="1" s="1"/>
  <c r="BE109" i="1"/>
  <c r="BE110" i="1" s="1"/>
  <c r="BP21" i="1"/>
  <c r="AZ263" i="1"/>
  <c r="V145" i="1"/>
  <c r="BD37" i="1"/>
  <c r="BN37" i="1"/>
  <c r="H172" i="1"/>
  <c r="I220" i="1" s="1"/>
  <c r="BV37" i="1"/>
  <c r="AP109" i="1"/>
  <c r="AP110" i="1" s="1"/>
  <c r="C145" i="1"/>
  <c r="AX21" i="1"/>
  <c r="BA37" i="1"/>
  <c r="BG263" i="1"/>
  <c r="BH109" i="1"/>
  <c r="BH110" i="1" s="1"/>
  <c r="AX263" i="1"/>
  <c r="D184" i="1"/>
  <c r="Q145" i="1"/>
  <c r="BH131" i="1"/>
  <c r="BH103" i="1" s="1"/>
  <c r="K145" i="1"/>
  <c r="AV37" i="1"/>
  <c r="BI21" i="1"/>
  <c r="T145" i="1"/>
  <c r="T44" i="1" s="1"/>
  <c r="J131" i="1"/>
  <c r="BP37" i="1"/>
  <c r="B76" i="1"/>
  <c r="N139" i="1"/>
  <c r="G184" i="1"/>
  <c r="T172" i="1"/>
  <c r="E159" i="1"/>
  <c r="E193" i="1" s="1"/>
  <c r="E192" i="1" s="1"/>
  <c r="C213" i="1"/>
  <c r="C159" i="1"/>
  <c r="K139" i="1"/>
  <c r="B131" i="1"/>
  <c r="M184" i="1"/>
  <c r="C76" i="1"/>
  <c r="M172" i="1"/>
  <c r="V213" i="1"/>
  <c r="P213" i="1"/>
  <c r="T159" i="1"/>
  <c r="P167" i="1"/>
  <c r="P196" i="1" s="1"/>
  <c r="P195" i="1" s="1"/>
  <c r="M145" i="1"/>
  <c r="F184" i="1"/>
  <c r="E145" i="1"/>
  <c r="G145" i="1"/>
  <c r="U213" i="1"/>
  <c r="R159" i="1"/>
  <c r="K159" i="1"/>
  <c r="P145" i="1"/>
  <c r="V184" i="1"/>
  <c r="G131" i="1"/>
  <c r="N172" i="1"/>
  <c r="O220" i="1" s="1"/>
  <c r="AZ194" i="1"/>
  <c r="BA194" i="1" s="1"/>
  <c r="AX190" i="1"/>
  <c r="AY190" i="1" s="1"/>
  <c r="BP190" i="1"/>
  <c r="BQ190" i="1" s="1"/>
  <c r="AZ191" i="1"/>
  <c r="BA191" i="1" s="1"/>
  <c r="BT190" i="1"/>
  <c r="BU190" i="1" s="1"/>
  <c r="BT194" i="1"/>
  <c r="BU194" i="1" s="1"/>
  <c r="BP191" i="1"/>
  <c r="BQ191" i="1" s="1"/>
  <c r="AZ190" i="1"/>
  <c r="BA190" i="1" s="1"/>
  <c r="AX191" i="1"/>
  <c r="AY191" i="1" s="1"/>
  <c r="AP190" i="1"/>
  <c r="AQ190" i="1" s="1"/>
  <c r="AP194" i="1"/>
  <c r="AQ194" i="1" s="1"/>
  <c r="AV191" i="1"/>
  <c r="AW191" i="1" s="1"/>
  <c r="AX194" i="1"/>
  <c r="AY194" i="1" s="1"/>
  <c r="AP191" i="1"/>
  <c r="AQ191" i="1" s="1"/>
  <c r="AN190" i="1"/>
  <c r="AO190" i="1" s="1"/>
  <c r="BH37" i="1"/>
  <c r="AP263" i="1"/>
  <c r="AY21" i="1"/>
  <c r="BS37" i="1"/>
  <c r="BS38" i="1" s="1"/>
  <c r="F139" i="1"/>
  <c r="F48" i="1" s="1"/>
  <c r="BP242" i="1"/>
  <c r="BR109" i="1"/>
  <c r="BR110" i="1" s="1"/>
  <c r="BR264" i="1"/>
  <c r="BR205" i="1"/>
  <c r="AY205" i="1"/>
  <c r="AY264" i="1"/>
  <c r="BD264" i="1"/>
  <c r="BD21" i="1"/>
  <c r="BN21" i="1"/>
  <c r="BN242" i="1"/>
  <c r="BQ109" i="1"/>
  <c r="BQ110" i="1" s="1"/>
  <c r="BQ205" i="1"/>
  <c r="BQ264" i="1"/>
  <c r="AZ21" i="1"/>
  <c r="AZ242" i="1"/>
  <c r="AZ264" i="1"/>
  <c r="BQ263" i="1"/>
  <c r="BQ242" i="1"/>
  <c r="BQ21" i="1"/>
  <c r="AS242" i="1"/>
  <c r="AU109" i="1"/>
  <c r="AU110" i="1" s="1"/>
  <c r="AS263" i="1"/>
  <c r="BM21" i="1"/>
  <c r="BM263" i="1"/>
  <c r="BO109" i="1"/>
  <c r="BO110" i="1" s="1"/>
  <c r="BM242" i="1"/>
  <c r="BP109" i="1"/>
  <c r="BP110" i="1" s="1"/>
  <c r="AU205" i="1"/>
  <c r="AU264" i="1"/>
  <c r="AZ109" i="1"/>
  <c r="AZ110" i="1" s="1"/>
  <c r="AW264" i="1"/>
  <c r="AY109" i="1"/>
  <c r="AY110" i="1" s="1"/>
  <c r="AW109" i="1"/>
  <c r="AW110" i="1" s="1"/>
  <c r="AX109" i="1"/>
  <c r="AX110" i="1" s="1"/>
  <c r="AW242" i="1"/>
  <c r="BU242" i="1"/>
  <c r="BU264" i="1"/>
  <c r="BX109" i="1"/>
  <c r="BX110" i="1" s="1"/>
  <c r="AQ264" i="1"/>
  <c r="AQ205" i="1"/>
  <c r="BT263" i="1"/>
  <c r="BW109" i="1"/>
  <c r="BW110" i="1" s="1"/>
  <c r="BW205" i="1"/>
  <c r="BW264" i="1"/>
  <c r="AP205" i="1"/>
  <c r="AP264" i="1"/>
  <c r="AS205" i="1"/>
  <c r="AS264" i="1"/>
  <c r="AP242" i="1"/>
  <c r="AP21" i="1"/>
  <c r="BG205" i="1"/>
  <c r="BG264" i="1"/>
  <c r="BS205" i="1"/>
  <c r="BS264" i="1"/>
  <c r="BH242" i="1"/>
  <c r="BH21" i="1"/>
  <c r="BH190" i="1"/>
  <c r="BI190" i="1" s="1"/>
  <c r="BK109" i="1"/>
  <c r="BK110" i="1" s="1"/>
  <c r="AO21" i="1"/>
  <c r="AO242" i="1"/>
  <c r="BI151" i="1"/>
  <c r="BJ213" i="1" s="1"/>
  <c r="BI213" i="1"/>
  <c r="AX264" i="1"/>
  <c r="AX242" i="1"/>
  <c r="BG242" i="1"/>
  <c r="BJ109" i="1"/>
  <c r="BJ110" i="1" s="1"/>
  <c r="BV242" i="1"/>
  <c r="BV190" i="1"/>
  <c r="BW190" i="1" s="1"/>
  <c r="BJ264" i="1"/>
  <c r="BJ205" i="1"/>
  <c r="BH139" i="1"/>
  <c r="BI135" i="1"/>
  <c r="BI139" i="1" s="1"/>
  <c r="BA109" i="1"/>
  <c r="BA110" i="1" s="1"/>
  <c r="AY242" i="1"/>
  <c r="BP264" i="1"/>
  <c r="BP205" i="1"/>
  <c r="BI242" i="1"/>
  <c r="BI263" i="1"/>
  <c r="AN264" i="1"/>
  <c r="AN44" i="1"/>
  <c r="AN205" i="1"/>
  <c r="BB191" i="1"/>
  <c r="BC191" i="1" s="1"/>
  <c r="H139" i="1"/>
  <c r="Q159" i="1"/>
  <c r="AI37" i="1"/>
  <c r="AI38" i="1" s="1"/>
  <c r="BN205" i="1"/>
  <c r="BF21" i="1"/>
  <c r="O131" i="1"/>
  <c r="BR263" i="1"/>
  <c r="V167" i="1"/>
  <c r="J145" i="1"/>
  <c r="BF194" i="1"/>
  <c r="BG194" i="1" s="1"/>
  <c r="BR190" i="1"/>
  <c r="BS190" i="1" s="1"/>
  <c r="U167" i="1"/>
  <c r="R131" i="1"/>
  <c r="C184" i="1"/>
  <c r="BB21" i="1"/>
  <c r="AO109" i="1"/>
  <c r="AO110" i="1" s="1"/>
  <c r="BM214" i="1"/>
  <c r="BM212" i="1" s="1"/>
  <c r="BS263" i="1"/>
  <c r="BT264" i="1"/>
  <c r="AO264" i="1"/>
  <c r="BB194" i="1"/>
  <c r="BC194" i="1" s="1"/>
  <c r="AR190" i="1"/>
  <c r="AS190" i="1" s="1"/>
  <c r="BR191" i="1"/>
  <c r="BS191" i="1" s="1"/>
  <c r="Q213" i="1"/>
  <c r="H159" i="1"/>
  <c r="N184" i="1"/>
  <c r="R167" i="1"/>
  <c r="S208" i="1" s="1"/>
  <c r="G159" i="1"/>
  <c r="O159" i="1"/>
  <c r="N167" i="1"/>
  <c r="N196" i="1" s="1"/>
  <c r="N195" i="1" s="1"/>
  <c r="J184" i="1"/>
  <c r="G139" i="1"/>
  <c r="G140" i="1" s="1"/>
  <c r="G66" i="1" s="1"/>
  <c r="Q167" i="1"/>
  <c r="B145" i="1"/>
  <c r="J172" i="1"/>
  <c r="W184" i="1"/>
  <c r="N145" i="1"/>
  <c r="N131" i="1"/>
  <c r="P184" i="1"/>
  <c r="BG37" i="1"/>
  <c r="BI109" i="1"/>
  <c r="BI110" i="1" s="1"/>
  <c r="BI114" i="1" s="1"/>
  <c r="L167" i="1"/>
  <c r="BA21" i="1"/>
  <c r="D131" i="1"/>
  <c r="BT21" i="1"/>
  <c r="BB242" i="1"/>
  <c r="AN109" i="1"/>
  <c r="AN110" i="1" s="1"/>
  <c r="BD109" i="1"/>
  <c r="BD110" i="1" s="1"/>
  <c r="BM264" i="1"/>
  <c r="BN264" i="1"/>
  <c r="BJ38" i="1"/>
  <c r="S159" i="1"/>
  <c r="S193" i="1" s="1"/>
  <c r="S192" i="1" s="1"/>
  <c r="AT37" i="1"/>
  <c r="O172" i="1"/>
  <c r="K184" i="1"/>
  <c r="L159" i="1"/>
  <c r="BR194" i="1"/>
  <c r="BS194" i="1" s="1"/>
  <c r="AI242" i="1"/>
  <c r="BT242" i="1"/>
  <c r="BH264" i="1"/>
  <c r="BI205" i="1"/>
  <c r="AN242" i="1"/>
  <c r="AQ21" i="1"/>
  <c r="BT109" i="1"/>
  <c r="BT110" i="1" s="1"/>
  <c r="BN109" i="1"/>
  <c r="BN110" i="1" s="1"/>
  <c r="AT242" i="1"/>
  <c r="AN263" i="1"/>
  <c r="AN194" i="1"/>
  <c r="AO194" i="1" s="1"/>
  <c r="T139" i="1"/>
  <c r="T48" i="1" s="1"/>
  <c r="O139" i="1"/>
  <c r="K131" i="1"/>
  <c r="C131" i="1"/>
  <c r="BK264" i="1"/>
  <c r="BD263" i="1"/>
  <c r="I139" i="1"/>
  <c r="BM205" i="1"/>
  <c r="O167" i="1"/>
  <c r="P159" i="1"/>
  <c r="BB109" i="1"/>
  <c r="BB110" i="1" s="1"/>
  <c r="AI190" i="1"/>
  <c r="AI192" i="1" s="1"/>
  <c r="AQ109" i="1"/>
  <c r="AQ110" i="1" s="1"/>
  <c r="AV109" i="1"/>
  <c r="AV110" i="1" s="1"/>
  <c r="AN21" i="1"/>
  <c r="AS109" i="1"/>
  <c r="AS110" i="1" s="1"/>
  <c r="AS113" i="1" s="1"/>
  <c r="BV191" i="1"/>
  <c r="BW191" i="1" s="1"/>
  <c r="AT264" i="1"/>
  <c r="AT109" i="1"/>
  <c r="AT110" i="1" s="1"/>
  <c r="BB264" i="1"/>
  <c r="BB190" i="1"/>
  <c r="BC190" i="1" s="1"/>
  <c r="BD194" i="1"/>
  <c r="BE194" i="1" s="1"/>
  <c r="BD191" i="1"/>
  <c r="BE191" i="1" s="1"/>
  <c r="AT190" i="1"/>
  <c r="AU190" i="1" s="1"/>
  <c r="R145" i="1"/>
  <c r="G213" i="1"/>
  <c r="BR37" i="1"/>
  <c r="BG109" i="1"/>
  <c r="BG110" i="1" s="1"/>
  <c r="N159" i="1"/>
  <c r="K167" i="1"/>
  <c r="T213" i="1"/>
  <c r="BU109" i="1"/>
  <c r="BU110" i="1" s="1"/>
  <c r="U145" i="1"/>
  <c r="H145" i="1"/>
  <c r="H149" i="1" s="1"/>
  <c r="AR263" i="1"/>
  <c r="AR264" i="1"/>
  <c r="I167" i="1"/>
  <c r="F145" i="1"/>
  <c r="J167" i="1"/>
  <c r="BE264" i="1"/>
  <c r="BL109" i="1"/>
  <c r="BL110" i="1" s="1"/>
  <c r="AR21" i="1"/>
  <c r="BD242" i="1"/>
  <c r="BC109" i="1"/>
  <c r="BC110" i="1" s="1"/>
  <c r="BC113" i="1" s="1"/>
  <c r="BT191" i="1"/>
  <c r="BU191" i="1" s="1"/>
  <c r="F167" i="1"/>
  <c r="AY37" i="1"/>
  <c r="P139" i="1"/>
  <c r="BO264" i="1"/>
  <c r="BR21" i="1"/>
  <c r="J159" i="1"/>
  <c r="K207" i="1" s="1"/>
  <c r="M131" i="1"/>
  <c r="B159" i="1"/>
  <c r="B172" i="1"/>
  <c r="C220" i="1" s="1"/>
  <c r="BC264" i="1"/>
  <c r="AR109" i="1"/>
  <c r="AR110" i="1" s="1"/>
  <c r="BC21" i="1"/>
  <c r="BS109" i="1"/>
  <c r="BS110" i="1" s="1"/>
  <c r="AN191" i="1"/>
  <c r="AO191" i="1" s="1"/>
  <c r="BD190" i="1"/>
  <c r="BE190" i="1" s="1"/>
  <c r="W213" i="1"/>
  <c r="E167" i="1"/>
  <c r="BW139" i="1"/>
  <c r="BV21" i="1"/>
  <c r="BU263" i="1"/>
  <c r="BH159" i="1"/>
  <c r="BH193" i="1" s="1"/>
  <c r="E139" i="1"/>
  <c r="BU21" i="1"/>
  <c r="BI128" i="1"/>
  <c r="BY109" i="1"/>
  <c r="BY110" i="1" s="1"/>
  <c r="BV159" i="1"/>
  <c r="BV193" i="1" s="1"/>
  <c r="BV131" i="1"/>
  <c r="BV103" i="1" s="1"/>
  <c r="BH213" i="1"/>
  <c r="BV167" i="1"/>
  <c r="BV196" i="1" s="1"/>
  <c r="BH167" i="1"/>
  <c r="BH196" i="1" s="1"/>
  <c r="BV109" i="1"/>
  <c r="BV110" i="1" s="1"/>
  <c r="BV264" i="1"/>
  <c r="D48" i="1"/>
  <c r="O186" i="1"/>
  <c r="O65" i="1"/>
  <c r="P149" i="1"/>
  <c r="P44" i="1"/>
  <c r="N44" i="1"/>
  <c r="N149" i="1"/>
  <c r="BW213" i="1"/>
  <c r="BF242" i="1"/>
  <c r="BK242" i="1"/>
  <c r="BF264" i="1"/>
  <c r="M213" i="1"/>
  <c r="I172" i="1"/>
  <c r="BF109" i="1"/>
  <c r="BF110" i="1" s="1"/>
  <c r="N259" i="1"/>
  <c r="BK21" i="1"/>
  <c r="M159" i="1"/>
  <c r="M193" i="1" s="1"/>
  <c r="M192" i="1" s="1"/>
  <c r="C139" i="1"/>
  <c r="S217" i="1"/>
  <c r="H213" i="1"/>
  <c r="BF191" i="1"/>
  <c r="BG191" i="1" s="1"/>
  <c r="Q139" i="1"/>
  <c r="D167" i="1"/>
  <c r="H167" i="1"/>
  <c r="H196" i="1" s="1"/>
  <c r="H195" i="1" s="1"/>
  <c r="F159" i="1"/>
  <c r="BK263" i="1"/>
  <c r="BF190" i="1"/>
  <c r="BG190" i="1" s="1"/>
  <c r="F213" i="1"/>
  <c r="U159" i="1"/>
  <c r="U193" i="1" s="1"/>
  <c r="U192" i="1" s="1"/>
  <c r="BV139" i="1"/>
  <c r="BV179" i="1" s="1"/>
  <c r="AZ27" i="1"/>
  <c r="V159" i="1"/>
  <c r="AR194" i="1"/>
  <c r="AS194" i="1" s="1"/>
  <c r="P220" i="1"/>
  <c r="V179" i="1"/>
  <c r="V120" i="1" s="1"/>
  <c r="S168" i="1"/>
  <c r="S149" i="1"/>
  <c r="U207" i="1"/>
  <c r="S260" i="1"/>
  <c r="S262" i="1" s="1"/>
  <c r="AR145" i="1"/>
  <c r="C77" i="1"/>
  <c r="C119" i="1"/>
  <c r="C118" i="1"/>
  <c r="E207" i="1"/>
  <c r="R179" i="1"/>
  <c r="R120" i="1" s="1"/>
  <c r="L186" i="1"/>
  <c r="L65" i="1"/>
  <c r="H186" i="1"/>
  <c r="V260" i="1"/>
  <c r="V262" i="1" s="1"/>
  <c r="L44" i="1"/>
  <c r="L149" i="1"/>
  <c r="N220" i="1"/>
  <c r="J149" i="1"/>
  <c r="J44" i="1"/>
  <c r="U44" i="1"/>
  <c r="U149" i="1"/>
  <c r="E220" i="1"/>
  <c r="D179" i="1"/>
  <c r="D120" i="1" s="1"/>
  <c r="D121" i="1" s="1"/>
  <c r="D124" i="1" s="1"/>
  <c r="T179" i="1"/>
  <c r="T120" i="1" s="1"/>
  <c r="O140" i="1"/>
  <c r="O66" i="1" s="1"/>
  <c r="G186" i="1"/>
  <c r="H218" i="1"/>
  <c r="G65" i="1"/>
  <c r="H48" i="1"/>
  <c r="R218" i="1"/>
  <c r="S196" i="1"/>
  <c r="G220" i="1"/>
  <c r="R220" i="1"/>
  <c r="Q259" i="1"/>
  <c r="G149" i="1"/>
  <c r="G44" i="1"/>
  <c r="BD172" i="1"/>
  <c r="BE220" i="1" s="1"/>
  <c r="D44" i="1"/>
  <c r="D149" i="1"/>
  <c r="L220" i="1"/>
  <c r="W260" i="1"/>
  <c r="W262" i="1" s="1"/>
  <c r="W217" i="1"/>
  <c r="W48" i="1"/>
  <c r="X260" i="1"/>
  <c r="X262" i="1" s="1"/>
  <c r="X217" i="1"/>
  <c r="U259" i="1"/>
  <c r="U186" i="1"/>
  <c r="S140" i="1"/>
  <c r="S66" i="1" s="1"/>
  <c r="S218" i="1"/>
  <c r="S65" i="1"/>
  <c r="I207" i="1"/>
  <c r="D77" i="1"/>
  <c r="D119" i="1"/>
  <c r="K193" i="1"/>
  <c r="K192" i="1" s="1"/>
  <c r="D193" i="1"/>
  <c r="D192" i="1" s="1"/>
  <c r="Q65" i="1"/>
  <c r="Q186" i="1"/>
  <c r="M217" i="1"/>
  <c r="L140" i="1"/>
  <c r="L66" i="1" s="1"/>
  <c r="W149" i="1"/>
  <c r="X214" i="1" s="1"/>
  <c r="X212" i="1" s="1"/>
  <c r="W44" i="1"/>
  <c r="S220" i="1"/>
  <c r="V218" i="1"/>
  <c r="V259" i="1"/>
  <c r="AN172" i="1"/>
  <c r="AO220" i="1" s="1"/>
  <c r="Q218" i="1"/>
  <c r="C196" i="1"/>
  <c r="C208" i="1"/>
  <c r="P186" i="1"/>
  <c r="U179" i="1"/>
  <c r="U120" i="1" s="1"/>
  <c r="U48" i="1"/>
  <c r="U140" i="1"/>
  <c r="U66" i="1" s="1"/>
  <c r="V217" i="1"/>
  <c r="S259" i="1"/>
  <c r="S186" i="1"/>
  <c r="AV172" i="1"/>
  <c r="AW220" i="1" s="1"/>
  <c r="BN172" i="1"/>
  <c r="BO220" i="1" s="1"/>
  <c r="BR145" i="1"/>
  <c r="AX172" i="1"/>
  <c r="AY220" i="1" s="1"/>
  <c r="BS139" i="1"/>
  <c r="H220" i="1"/>
  <c r="G259" i="1"/>
  <c r="L179" i="1"/>
  <c r="L120" i="1" s="1"/>
  <c r="L48" i="1"/>
  <c r="P218" i="1"/>
  <c r="P65" i="1"/>
  <c r="P259" i="1"/>
  <c r="O149" i="1"/>
  <c r="O44" i="1"/>
  <c r="M220" i="1"/>
  <c r="L259" i="1"/>
  <c r="V65" i="1"/>
  <c r="V140" i="1"/>
  <c r="V66" i="1" s="1"/>
  <c r="V186" i="1"/>
  <c r="G196" i="1"/>
  <c r="G168" i="1"/>
  <c r="M260" i="1"/>
  <c r="M262" i="1" s="1"/>
  <c r="M48" i="1"/>
  <c r="V196" i="1"/>
  <c r="AZ145" i="1"/>
  <c r="BP145" i="1"/>
  <c r="BT172" i="1"/>
  <c r="BU220" i="1" s="1"/>
  <c r="BP172" i="1"/>
  <c r="BQ220" i="1" s="1"/>
  <c r="BB172" i="1"/>
  <c r="AZ172" i="1"/>
  <c r="BA220" i="1" s="1"/>
  <c r="BE139" i="1"/>
  <c r="AR172" i="1"/>
  <c r="AS220" i="1" s="1"/>
  <c r="AQ151" i="1"/>
  <c r="AW151" i="1"/>
  <c r="AX213" i="1" s="1"/>
  <c r="AQ153" i="1"/>
  <c r="AP159" i="1"/>
  <c r="AP193" i="1" s="1"/>
  <c r="AS135" i="1"/>
  <c r="AS139" i="1" s="1"/>
  <c r="AR139" i="1"/>
  <c r="AU128" i="1"/>
  <c r="AT131" i="1"/>
  <c r="AT103" i="1" s="1"/>
  <c r="AS128" i="1"/>
  <c r="AR131" i="1"/>
  <c r="AX131" i="1"/>
  <c r="AY128" i="1"/>
  <c r="AY135" i="1"/>
  <c r="AY139" i="1" s="1"/>
  <c r="AX139" i="1"/>
  <c r="BO151" i="1"/>
  <c r="BN213" i="1"/>
  <c r="BT145" i="1"/>
  <c r="AT145" i="1"/>
  <c r="BF172" i="1"/>
  <c r="BG220" i="1" s="1"/>
  <c r="BF145" i="1"/>
  <c r="AV145" i="1"/>
  <c r="BD145" i="1"/>
  <c r="AP145" i="1"/>
  <c r="M196" i="1"/>
  <c r="R196" i="1"/>
  <c r="R168" i="1"/>
  <c r="AU153" i="1"/>
  <c r="AT159" i="1"/>
  <c r="BC128" i="1"/>
  <c r="BB131" i="1"/>
  <c r="BB103" i="1" s="1"/>
  <c r="AO135" i="1"/>
  <c r="AO139" i="1" s="1"/>
  <c r="AN139" i="1"/>
  <c r="AR191" i="1"/>
  <c r="AS191" i="1" s="1"/>
  <c r="AR159" i="1"/>
  <c r="AR193" i="1" s="1"/>
  <c r="AO128" i="1"/>
  <c r="AN131" i="1"/>
  <c r="BC135" i="1"/>
  <c r="BC139" i="1" s="1"/>
  <c r="BB139" i="1"/>
  <c r="BU151" i="1"/>
  <c r="BV213" i="1" s="1"/>
  <c r="BE128" i="1"/>
  <c r="BD131" i="1"/>
  <c r="AU161" i="1"/>
  <c r="AT167" i="1"/>
  <c r="AT196" i="1" s="1"/>
  <c r="AT195" i="1" s="1"/>
  <c r="BO135" i="1"/>
  <c r="BO139" i="1" s="1"/>
  <c r="BN139" i="1"/>
  <c r="AO153" i="1"/>
  <c r="AN159" i="1"/>
  <c r="BS151" i="1"/>
  <c r="BR213" i="1"/>
  <c r="BU135" i="1"/>
  <c r="BU139" i="1" s="1"/>
  <c r="BT139" i="1"/>
  <c r="AO151" i="1"/>
  <c r="AN213" i="1"/>
  <c r="BS128" i="1"/>
  <c r="BR131" i="1"/>
  <c r="BR103" i="1" s="1"/>
  <c r="BF213" i="1"/>
  <c r="AQ139" i="1"/>
  <c r="AT213" i="1"/>
  <c r="AI197" i="1"/>
  <c r="AN145" i="1"/>
  <c r="AP172" i="1"/>
  <c r="BT167" i="1"/>
  <c r="BT196" i="1" s="1"/>
  <c r="BN145" i="1"/>
  <c r="AX145" i="1"/>
  <c r="BB145" i="1"/>
  <c r="AT172" i="1"/>
  <c r="AU220" i="1" s="1"/>
  <c r="AZ131" i="1"/>
  <c r="BR172" i="1"/>
  <c r="AR167" i="1"/>
  <c r="BN131" i="1"/>
  <c r="AS213" i="1"/>
  <c r="BT131" i="1"/>
  <c r="BF139" i="1"/>
  <c r="BE213" i="1"/>
  <c r="BR167" i="1"/>
  <c r="BR196" i="1" s="1"/>
  <c r="AZ139" i="1"/>
  <c r="BQ213" i="1"/>
  <c r="AP139" i="1"/>
  <c r="AP131" i="1"/>
  <c r="AP103" i="1" s="1"/>
  <c r="BD167" i="1"/>
  <c r="BD196" i="1" s="1"/>
  <c r="BN167" i="1"/>
  <c r="BN196" i="1" s="1"/>
  <c r="AN167" i="1"/>
  <c r="AN196" i="1" s="1"/>
  <c r="BP139" i="1"/>
  <c r="BG139" i="1"/>
  <c r="BA139" i="1"/>
  <c r="AT139" i="1"/>
  <c r="BF167" i="1"/>
  <c r="BF196" i="1" s="1"/>
  <c r="BF131" i="1"/>
  <c r="BQ139" i="1"/>
  <c r="BR139" i="1"/>
  <c r="BD139" i="1"/>
  <c r="AZ167" i="1"/>
  <c r="AZ196" i="1" s="1"/>
  <c r="AU139" i="1"/>
  <c r="AI195" i="1"/>
  <c r="BC154" i="1"/>
  <c r="BB159" i="1"/>
  <c r="BG154" i="1"/>
  <c r="BF159" i="1"/>
  <c r="BE154" i="1"/>
  <c r="BD159" i="1"/>
  <c r="BO154" i="1"/>
  <c r="BU154" i="1"/>
  <c r="BT159" i="1"/>
  <c r="AY154" i="1"/>
  <c r="AX159" i="1"/>
  <c r="BS154" i="1"/>
  <c r="BR159" i="1"/>
  <c r="BA154" i="1"/>
  <c r="AZ159" i="1"/>
  <c r="AU213" i="1"/>
  <c r="BB213" i="1"/>
  <c r="BA213" i="1"/>
  <c r="AY213" i="1"/>
  <c r="AZ213" i="1"/>
  <c r="BC213" i="1"/>
  <c r="BD213" i="1"/>
  <c r="AS27" i="1"/>
  <c r="N69" i="1"/>
  <c r="AL255" i="1"/>
  <c r="AJ23" i="1"/>
  <c r="AM22" i="1"/>
  <c r="AL236" i="1"/>
  <c r="AI27" i="1"/>
  <c r="BS27" i="1"/>
  <c r="BE27" i="1"/>
  <c r="AW194" i="1"/>
  <c r="BG213" i="1"/>
  <c r="BS22" i="1"/>
  <c r="AL113" i="1"/>
  <c r="AL114" i="1"/>
  <c r="BZ114" i="1"/>
  <c r="BZ113" i="1"/>
  <c r="BZ115" i="1"/>
  <c r="BM115" i="1"/>
  <c r="BM113" i="1"/>
  <c r="BM114" i="1"/>
  <c r="CB199" i="1"/>
  <c r="X69" i="1"/>
  <c r="BW27" i="1"/>
  <c r="BZ255" i="1"/>
  <c r="CA22" i="1"/>
  <c r="BZ236" i="1"/>
  <c r="BX23" i="1"/>
  <c r="AV27" i="1"/>
  <c r="AV23" i="1"/>
  <c r="CQ149" i="1"/>
  <c r="CR43" i="1"/>
  <c r="AB136" i="1"/>
  <c r="AB139" i="1" s="1"/>
  <c r="AB260" i="1" s="1"/>
  <c r="AD153" i="1"/>
  <c r="CZ76" i="1"/>
  <c r="DA74" i="1"/>
  <c r="K168" i="1" l="1"/>
  <c r="AW135" i="1"/>
  <c r="AW139" i="1" s="1"/>
  <c r="AV139" i="1"/>
  <c r="BP167" i="1"/>
  <c r="BP196" i="1" s="1"/>
  <c r="BP159" i="1"/>
  <c r="BP193" i="1" s="1"/>
  <c r="BP131" i="1"/>
  <c r="BP103" i="1" s="1"/>
  <c r="BP105" i="1" s="1"/>
  <c r="AV131" i="1"/>
  <c r="AW154" i="1"/>
  <c r="AV159" i="1"/>
  <c r="AV213" i="1"/>
  <c r="AM63" i="1"/>
  <c r="AM130" i="1"/>
  <c r="AM131" i="1" s="1"/>
  <c r="AM140" i="1" s="1"/>
  <c r="AM204" i="1"/>
  <c r="AM206" i="1" s="1"/>
  <c r="AM77" i="1"/>
  <c r="AM80" i="1" s="1"/>
  <c r="BO27" i="1"/>
  <c r="AU27" i="1"/>
  <c r="BW22" i="1"/>
  <c r="I218" i="1"/>
  <c r="F259" i="1"/>
  <c r="J140" i="1"/>
  <c r="J66" i="1" s="1"/>
  <c r="V44" i="1"/>
  <c r="B118" i="1"/>
  <c r="B77" i="1"/>
  <c r="S48" i="1"/>
  <c r="S179" i="1"/>
  <c r="S120" i="1" s="1"/>
  <c r="B119" i="1"/>
  <c r="T218" i="1"/>
  <c r="T186" i="1"/>
  <c r="AT39" i="1"/>
  <c r="AQ199" i="1"/>
  <c r="E65" i="1"/>
  <c r="T65" i="1"/>
  <c r="AU236" i="1"/>
  <c r="B168" i="1"/>
  <c r="I192" i="1"/>
  <c r="F140" i="1"/>
  <c r="F66" i="1" s="1"/>
  <c r="H259" i="1"/>
  <c r="I186" i="1"/>
  <c r="S257" i="1"/>
  <c r="F186" i="1"/>
  <c r="F65" i="1"/>
  <c r="F218" i="1"/>
  <c r="O217" i="1"/>
  <c r="G218" i="1"/>
  <c r="V149" i="1"/>
  <c r="T149" i="1"/>
  <c r="I65" i="1"/>
  <c r="J48" i="1"/>
  <c r="J260" i="1"/>
  <c r="J262" i="1" s="1"/>
  <c r="J179" i="1"/>
  <c r="J120" i="1" s="1"/>
  <c r="U218" i="1"/>
  <c r="U65" i="1"/>
  <c r="C168" i="1"/>
  <c r="T208" i="1"/>
  <c r="T196" i="1"/>
  <c r="T195" i="1" s="1"/>
  <c r="I44" i="1"/>
  <c r="I149" i="1"/>
  <c r="D220" i="1"/>
  <c r="BQ23" i="1"/>
  <c r="BM22" i="1"/>
  <c r="AY38" i="1"/>
  <c r="C218" i="1"/>
  <c r="F179" i="1"/>
  <c r="F120" i="1" s="1"/>
  <c r="K218" i="1"/>
  <c r="V193" i="1"/>
  <c r="V192" i="1" s="1"/>
  <c r="T255" i="1"/>
  <c r="BP195" i="1"/>
  <c r="AV167" i="1"/>
  <c r="AV196" i="1" s="1"/>
  <c r="AV195" i="1" s="1"/>
  <c r="BN159" i="1"/>
  <c r="BO38" i="1"/>
  <c r="AV236" i="1"/>
  <c r="AS38" i="1"/>
  <c r="AW23" i="1"/>
  <c r="BG27" i="1"/>
  <c r="BW38" i="1"/>
  <c r="AZ38" i="1"/>
  <c r="BK38" i="1"/>
  <c r="BH38" i="1"/>
  <c r="BN38" i="1"/>
  <c r="U208" i="1"/>
  <c r="J259" i="1"/>
  <c r="BG38" i="1"/>
  <c r="P208" i="1"/>
  <c r="BH192" i="1"/>
  <c r="F217" i="1"/>
  <c r="BV195" i="1"/>
  <c r="C149" i="1"/>
  <c r="C44" i="1"/>
  <c r="O218" i="1"/>
  <c r="U220" i="1"/>
  <c r="T259" i="1"/>
  <c r="G217" i="1"/>
  <c r="G260" i="1"/>
  <c r="G262" i="1" s="1"/>
  <c r="E44" i="1"/>
  <c r="E149" i="1"/>
  <c r="J186" i="1"/>
  <c r="J65" i="1"/>
  <c r="J218" i="1"/>
  <c r="C193" i="1"/>
  <c r="C192" i="1" s="1"/>
  <c r="D207" i="1"/>
  <c r="B186" i="1"/>
  <c r="B65" i="1"/>
  <c r="B259" i="1"/>
  <c r="B48" i="1"/>
  <c r="B179" i="1"/>
  <c r="B120" i="1" s="1"/>
  <c r="B140" i="1"/>
  <c r="B66" i="1" s="1"/>
  <c r="K260" i="1"/>
  <c r="K262" i="1" s="1"/>
  <c r="K217" i="1"/>
  <c r="K48" i="1"/>
  <c r="K179" i="1"/>
  <c r="K120" i="1" s="1"/>
  <c r="M149" i="1"/>
  <c r="M44" i="1"/>
  <c r="Q193" i="1"/>
  <c r="Q192" i="1" s="1"/>
  <c r="H193" i="1"/>
  <c r="K44" i="1"/>
  <c r="K149" i="1"/>
  <c r="R193" i="1"/>
  <c r="R192" i="1" s="1"/>
  <c r="Q44" i="1"/>
  <c r="Q149" i="1"/>
  <c r="T193" i="1"/>
  <c r="T168" i="1"/>
  <c r="T176" i="1" s="1"/>
  <c r="T257" i="1"/>
  <c r="N260" i="1"/>
  <c r="N262" i="1" s="1"/>
  <c r="N48" i="1"/>
  <c r="N217" i="1"/>
  <c r="N179" i="1"/>
  <c r="N120" i="1" s="1"/>
  <c r="L260" i="1"/>
  <c r="L262" i="1" s="1"/>
  <c r="L217" i="1"/>
  <c r="K196" i="1"/>
  <c r="N193" i="1"/>
  <c r="N168" i="1"/>
  <c r="O196" i="1"/>
  <c r="M179" i="1"/>
  <c r="M120" i="1" s="1"/>
  <c r="V168" i="1"/>
  <c r="AY160" i="1"/>
  <c r="AX167" i="1"/>
  <c r="AX196" i="1" s="1"/>
  <c r="BB167" i="1"/>
  <c r="BB196" i="1" s="1"/>
  <c r="AP167" i="1"/>
  <c r="AT23" i="1"/>
  <c r="AW22" i="1"/>
  <c r="BP23" i="1"/>
  <c r="AW236" i="1"/>
  <c r="AU23" i="1"/>
  <c r="AT28" i="1"/>
  <c r="AU38" i="1"/>
  <c r="AX236" i="1"/>
  <c r="BP38" i="1"/>
  <c r="Q69" i="1"/>
  <c r="BP22" i="1"/>
  <c r="BJ23" i="1"/>
  <c r="BI38" i="1"/>
  <c r="AX38" i="1"/>
  <c r="AX199" i="1"/>
  <c r="AX23" i="1"/>
  <c r="AX27" i="1"/>
  <c r="AX22" i="1"/>
  <c r="AV38" i="1"/>
  <c r="AP199" i="1"/>
  <c r="BQ199" i="1"/>
  <c r="BE236" i="1"/>
  <c r="O259" i="1"/>
  <c r="L168" i="1"/>
  <c r="O207" i="1"/>
  <c r="AZ195" i="1"/>
  <c r="AZ23" i="1"/>
  <c r="AY27" i="1"/>
  <c r="AY199" i="1"/>
  <c r="BG236" i="1"/>
  <c r="BE23" i="1"/>
  <c r="BD38" i="1"/>
  <c r="BD27" i="1"/>
  <c r="BH22" i="1"/>
  <c r="BD199" i="1"/>
  <c r="AZ22" i="1"/>
  <c r="BD22" i="1"/>
  <c r="BQ38" i="1"/>
  <c r="BQ27" i="1"/>
  <c r="BQ22" i="1"/>
  <c r="BM38" i="1"/>
  <c r="BM27" i="1"/>
  <c r="BM23" i="1"/>
  <c r="AP38" i="1"/>
  <c r="AQ23" i="1"/>
  <c r="AT199" i="1"/>
  <c r="AT22" i="1"/>
  <c r="AP27" i="1"/>
  <c r="AP22" i="1"/>
  <c r="BL22" i="1"/>
  <c r="BI23" i="1"/>
  <c r="BJ236" i="1"/>
  <c r="BJ255" i="1"/>
  <c r="BH23" i="1"/>
  <c r="BH27" i="1"/>
  <c r="R207" i="1"/>
  <c r="Q168" i="1"/>
  <c r="BJ22" i="1"/>
  <c r="BF27" i="1"/>
  <c r="R186" i="1"/>
  <c r="G193" i="1"/>
  <c r="G192" i="1" s="1"/>
  <c r="H207" i="1"/>
  <c r="O168" i="1"/>
  <c r="O193" i="1"/>
  <c r="Q196" i="1"/>
  <c r="Q208" i="1"/>
  <c r="R208" i="1"/>
  <c r="N218" i="1"/>
  <c r="N140" i="1"/>
  <c r="N66" i="1" s="1"/>
  <c r="D65" i="1"/>
  <c r="E218" i="1"/>
  <c r="D259" i="1"/>
  <c r="D186" i="1"/>
  <c r="L207" i="1"/>
  <c r="L193" i="1"/>
  <c r="I140" i="1"/>
  <c r="I66" i="1" s="1"/>
  <c r="I260" i="1"/>
  <c r="I262" i="1" s="1"/>
  <c r="P193" i="1"/>
  <c r="P168" i="1"/>
  <c r="P176" i="1" s="1"/>
  <c r="AP236" i="1"/>
  <c r="O69" i="1"/>
  <c r="J208" i="1"/>
  <c r="I196" i="1"/>
  <c r="I168" i="1"/>
  <c r="F196" i="1"/>
  <c r="F195" i="1" s="1"/>
  <c r="G208" i="1"/>
  <c r="P140" i="1"/>
  <c r="P66" i="1" s="1"/>
  <c r="P48" i="1"/>
  <c r="P179" i="1"/>
  <c r="P120" i="1" s="1"/>
  <c r="BR23" i="1"/>
  <c r="BS23" i="1"/>
  <c r="M65" i="1"/>
  <c r="M218" i="1"/>
  <c r="M216" i="1" s="1"/>
  <c r="M140" i="1"/>
  <c r="M66" i="1" s="1"/>
  <c r="BC38" i="1"/>
  <c r="BD23" i="1"/>
  <c r="BG22" i="1"/>
  <c r="E196" i="1"/>
  <c r="E168" i="1"/>
  <c r="F208" i="1"/>
  <c r="J220" i="1"/>
  <c r="I259" i="1"/>
  <c r="BO22" i="1"/>
  <c r="BK27" i="1"/>
  <c r="BL23" i="1"/>
  <c r="BK23" i="1"/>
  <c r="BM236" i="1"/>
  <c r="AP192" i="1"/>
  <c r="BT195" i="1"/>
  <c r="BP192" i="1"/>
  <c r="BH217" i="1"/>
  <c r="BF195" i="1"/>
  <c r="BW145" i="1"/>
  <c r="BW44" i="1"/>
  <c r="BV149" i="1"/>
  <c r="BH259" i="1"/>
  <c r="BI220" i="1"/>
  <c r="BJ243" i="1"/>
  <c r="BJ244" i="1" s="1"/>
  <c r="BJ45" i="1"/>
  <c r="BJ49" i="1" s="1"/>
  <c r="BJ40" i="1"/>
  <c r="BH149" i="1"/>
  <c r="BI145" i="1"/>
  <c r="BI44" i="1"/>
  <c r="BE115" i="1"/>
  <c r="BE113" i="1"/>
  <c r="BE114" i="1"/>
  <c r="AP113" i="1"/>
  <c r="AP114" i="1"/>
  <c r="AP115" i="1"/>
  <c r="BH114" i="1"/>
  <c r="BH113" i="1"/>
  <c r="BH115" i="1"/>
  <c r="BH107" i="1"/>
  <c r="BH105" i="1"/>
  <c r="BH106" i="1"/>
  <c r="BR113" i="1"/>
  <c r="BR115" i="1"/>
  <c r="BR114" i="1"/>
  <c r="AU113" i="1"/>
  <c r="AU114" i="1"/>
  <c r="AU115" i="1"/>
  <c r="BO113" i="1"/>
  <c r="BO114" i="1"/>
  <c r="BO115" i="1"/>
  <c r="BP114" i="1"/>
  <c r="BP115" i="1"/>
  <c r="BP113" i="1"/>
  <c r="AW113" i="1"/>
  <c r="AW115" i="1"/>
  <c r="AW114" i="1"/>
  <c r="BW114" i="1"/>
  <c r="BW115" i="1"/>
  <c r="BW113" i="1"/>
  <c r="BJ113" i="1"/>
  <c r="BJ114" i="1"/>
  <c r="BJ115" i="1"/>
  <c r="BH179" i="1"/>
  <c r="BH140" i="1"/>
  <c r="BI217" i="1"/>
  <c r="BJ260" i="1"/>
  <c r="BJ217" i="1"/>
  <c r="BI260" i="1"/>
  <c r="BA114" i="1"/>
  <c r="BA113" i="1"/>
  <c r="BA115" i="1"/>
  <c r="B44" i="1"/>
  <c r="B149" i="1"/>
  <c r="BN114" i="1"/>
  <c r="BN113" i="1"/>
  <c r="BN115" i="1"/>
  <c r="BG114" i="1"/>
  <c r="BG113" i="1"/>
  <c r="BG115" i="1"/>
  <c r="BU113" i="1"/>
  <c r="BU115" i="1"/>
  <c r="BU114" i="1"/>
  <c r="BS113" i="1"/>
  <c r="BS115" i="1"/>
  <c r="BW217" i="1"/>
  <c r="BX260" i="1"/>
  <c r="BX217" i="1"/>
  <c r="BV22" i="1"/>
  <c r="BV23" i="1"/>
  <c r="BV38" i="1"/>
  <c r="BF113" i="1"/>
  <c r="BF115" i="1"/>
  <c r="BF114" i="1"/>
  <c r="BB199" i="1"/>
  <c r="P207" i="1"/>
  <c r="H217" i="1"/>
  <c r="H216" i="1" s="1"/>
  <c r="BV192" i="1"/>
  <c r="P255" i="1"/>
  <c r="N257" i="1"/>
  <c r="Q260" i="1"/>
  <c r="Q262" i="1" s="1"/>
  <c r="S216" i="1"/>
  <c r="BR195" i="1"/>
  <c r="BD195" i="1"/>
  <c r="AW39" i="1"/>
  <c r="AW28" i="1"/>
  <c r="BS236" i="1"/>
  <c r="BP199" i="1"/>
  <c r="BP27" i="1"/>
  <c r="BL255" i="1"/>
  <c r="BL236" i="1"/>
  <c r="BJ199" i="1"/>
  <c r="BI22" i="1"/>
  <c r="BI199" i="1"/>
  <c r="BI27" i="1"/>
  <c r="AY22" i="1"/>
  <c r="AY236" i="1"/>
  <c r="BC22" i="1"/>
  <c r="AY23" i="1"/>
  <c r="BR22" i="1"/>
  <c r="BO23" i="1"/>
  <c r="BN22" i="1"/>
  <c r="BQ236" i="1"/>
  <c r="BN199" i="1"/>
  <c r="BN27" i="1"/>
  <c r="BQ113" i="1"/>
  <c r="BQ114" i="1"/>
  <c r="BQ115" i="1"/>
  <c r="AZ236" i="1"/>
  <c r="AZ199" i="1"/>
  <c r="BM199" i="1"/>
  <c r="BN23" i="1"/>
  <c r="BP236" i="1"/>
  <c r="BO236" i="1"/>
  <c r="AZ113" i="1"/>
  <c r="AZ114" i="1"/>
  <c r="AZ115" i="1"/>
  <c r="AY114" i="1"/>
  <c r="AY115" i="1"/>
  <c r="AY113" i="1"/>
  <c r="AX113" i="1"/>
  <c r="AX115" i="1"/>
  <c r="AX114" i="1"/>
  <c r="BX113" i="1"/>
  <c r="BX115" i="1"/>
  <c r="BX114" i="1"/>
  <c r="BK236" i="1"/>
  <c r="T69" i="1"/>
  <c r="BH199" i="1"/>
  <c r="BK115" i="1"/>
  <c r="BK114" i="1"/>
  <c r="BK113" i="1"/>
  <c r="AP23" i="1"/>
  <c r="AO22" i="1"/>
  <c r="AS22" i="1"/>
  <c r="AO199" i="1"/>
  <c r="AO27" i="1"/>
  <c r="AO38" i="1"/>
  <c r="BF23" i="1"/>
  <c r="BF38" i="1"/>
  <c r="BI236" i="1"/>
  <c r="BG23" i="1"/>
  <c r="BH236" i="1"/>
  <c r="BG199" i="1"/>
  <c r="AO113" i="1"/>
  <c r="AO115" i="1"/>
  <c r="AO114" i="1"/>
  <c r="N65" i="1"/>
  <c r="N186" i="1"/>
  <c r="M208" i="1"/>
  <c r="L196" i="1"/>
  <c r="BA27" i="1"/>
  <c r="BC236" i="1"/>
  <c r="BE22" i="1"/>
  <c r="BB23" i="1"/>
  <c r="BT27" i="1"/>
  <c r="BT199" i="1"/>
  <c r="BX199" i="1"/>
  <c r="BT23" i="1"/>
  <c r="BX22" i="1"/>
  <c r="BU23" i="1"/>
  <c r="BT38" i="1"/>
  <c r="BT22" i="1"/>
  <c r="AN115" i="1"/>
  <c r="AN114" i="1"/>
  <c r="AN113" i="1"/>
  <c r="BD115" i="1"/>
  <c r="BD114" i="1"/>
  <c r="BD113" i="1"/>
  <c r="AU199" i="1"/>
  <c r="AQ27" i="1"/>
  <c r="AQ22" i="1"/>
  <c r="AQ38" i="1"/>
  <c r="AU22" i="1"/>
  <c r="BT114" i="1"/>
  <c r="BT115" i="1"/>
  <c r="O260" i="1"/>
  <c r="O262" i="1" s="1"/>
  <c r="O179" i="1"/>
  <c r="O120" i="1" s="1"/>
  <c r="O48" i="1"/>
  <c r="K140" i="1"/>
  <c r="K66" i="1" s="1"/>
  <c r="L218" i="1"/>
  <c r="K186" i="1"/>
  <c r="K259" i="1"/>
  <c r="K65" i="1"/>
  <c r="C65" i="1"/>
  <c r="C186" i="1"/>
  <c r="C259" i="1"/>
  <c r="I217" i="1"/>
  <c r="I179" i="1"/>
  <c r="I120" i="1" s="1"/>
  <c r="J217" i="1"/>
  <c r="I48" i="1"/>
  <c r="BB114" i="1"/>
  <c r="BB115" i="1"/>
  <c r="BB113" i="1"/>
  <c r="AQ115" i="1"/>
  <c r="AQ114" i="1"/>
  <c r="AV115" i="1"/>
  <c r="AV114" i="1"/>
  <c r="AV113" i="1"/>
  <c r="AQ236" i="1"/>
  <c r="AN199" i="1"/>
  <c r="AN22" i="1"/>
  <c r="AO236" i="1"/>
  <c r="AN38" i="1"/>
  <c r="AN27" i="1"/>
  <c r="AN23" i="1"/>
  <c r="AN236" i="1"/>
  <c r="AO23" i="1"/>
  <c r="AT113" i="1"/>
  <c r="AT115" i="1"/>
  <c r="AT114" i="1"/>
  <c r="R44" i="1"/>
  <c r="R149" i="1"/>
  <c r="F44" i="1"/>
  <c r="F149" i="1"/>
  <c r="K208" i="1"/>
  <c r="K209" i="1" s="1"/>
  <c r="K210" i="1" s="1"/>
  <c r="J196" i="1"/>
  <c r="J195" i="1" s="1"/>
  <c r="BL115" i="1"/>
  <c r="BL113" i="1"/>
  <c r="BL114" i="1"/>
  <c r="AS236" i="1"/>
  <c r="AR199" i="1"/>
  <c r="AS199" i="1"/>
  <c r="AR114" i="1"/>
  <c r="AR113" i="1"/>
  <c r="AR115" i="1"/>
  <c r="S69" i="1"/>
  <c r="BF236" i="1"/>
  <c r="BC27" i="1"/>
  <c r="BC199" i="1"/>
  <c r="BV27" i="1"/>
  <c r="BW30" i="1" s="1"/>
  <c r="BY236" i="1"/>
  <c r="CA199" i="1"/>
  <c r="BZ199" i="1"/>
  <c r="BZ22" i="1"/>
  <c r="BW23" i="1"/>
  <c r="BU22" i="1"/>
  <c r="BY199" i="1"/>
  <c r="BX236" i="1"/>
  <c r="BY114" i="1"/>
  <c r="BY113" i="1"/>
  <c r="BY115" i="1"/>
  <c r="BH195" i="1"/>
  <c r="BH197" i="1"/>
  <c r="BL200" i="1" s="1"/>
  <c r="BV114" i="1"/>
  <c r="BV113" i="1"/>
  <c r="BV115" i="1"/>
  <c r="BK22" i="1"/>
  <c r="BK199" i="1"/>
  <c r="U69" i="1"/>
  <c r="BO199" i="1"/>
  <c r="BL199" i="1"/>
  <c r="BN236" i="1"/>
  <c r="D208" i="1"/>
  <c r="D168" i="1"/>
  <c r="D176" i="1" s="1"/>
  <c r="D196" i="1"/>
  <c r="E208" i="1"/>
  <c r="E209" i="1" s="1"/>
  <c r="E210" i="1" s="1"/>
  <c r="AZ28" i="1"/>
  <c r="AZ39" i="1"/>
  <c r="AS145" i="1"/>
  <c r="AR149" i="1"/>
  <c r="BV197" i="1"/>
  <c r="BZ200" i="1" s="1"/>
  <c r="P69" i="1"/>
  <c r="BS199" i="1"/>
  <c r="BT113" i="1"/>
  <c r="AR27" i="1"/>
  <c r="BT236" i="1"/>
  <c r="BA23" i="1"/>
  <c r="BS114" i="1"/>
  <c r="K220" i="1"/>
  <c r="M207" i="1"/>
  <c r="AV22" i="1"/>
  <c r="BC23" i="1"/>
  <c r="AT236" i="1"/>
  <c r="BR199" i="1"/>
  <c r="BR27" i="1"/>
  <c r="BU236" i="1"/>
  <c r="BV199" i="1"/>
  <c r="BA22" i="1"/>
  <c r="Q207" i="1"/>
  <c r="D218" i="1"/>
  <c r="BR236" i="1"/>
  <c r="AT38" i="1"/>
  <c r="P260" i="1"/>
  <c r="P262" i="1" s="1"/>
  <c r="U217" i="1"/>
  <c r="T260" i="1"/>
  <c r="T262" i="1" s="1"/>
  <c r="H260" i="1"/>
  <c r="H262" i="1" s="1"/>
  <c r="H44" i="1"/>
  <c r="H140" i="1"/>
  <c r="H66" i="1" s="1"/>
  <c r="U260" i="1"/>
  <c r="U262" i="1" s="1"/>
  <c r="BR38" i="1"/>
  <c r="V208" i="1"/>
  <c r="U168" i="1"/>
  <c r="U176" i="1" s="1"/>
  <c r="U177" i="1" s="1"/>
  <c r="L208" i="1"/>
  <c r="I208" i="1"/>
  <c r="I209" i="1" s="1"/>
  <c r="I210" i="1" s="1"/>
  <c r="G179" i="1"/>
  <c r="G120" i="1" s="1"/>
  <c r="T140" i="1"/>
  <c r="T66" i="1" s="1"/>
  <c r="F260" i="1"/>
  <c r="F262" i="1" s="1"/>
  <c r="H179" i="1"/>
  <c r="H120" i="1" s="1"/>
  <c r="T217" i="1"/>
  <c r="M259" i="1"/>
  <c r="R140" i="1"/>
  <c r="R66" i="1" s="1"/>
  <c r="M186" i="1"/>
  <c r="BB38" i="1"/>
  <c r="BI113" i="1"/>
  <c r="AS114" i="1"/>
  <c r="AQ113" i="1"/>
  <c r="BB27" i="1"/>
  <c r="BE199" i="1"/>
  <c r="BA38" i="1"/>
  <c r="AS23" i="1"/>
  <c r="U196" i="1"/>
  <c r="C207" i="1"/>
  <c r="C209" i="1" s="1"/>
  <c r="C210" i="1" s="1"/>
  <c r="P217" i="1"/>
  <c r="P216" i="1" s="1"/>
  <c r="G48" i="1"/>
  <c r="S207" i="1"/>
  <c r="S209" i="1" s="1"/>
  <c r="S210" i="1" s="1"/>
  <c r="J168" i="1"/>
  <c r="J176" i="1" s="1"/>
  <c r="T207" i="1"/>
  <c r="D140" i="1"/>
  <c r="D66" i="1" s="1"/>
  <c r="BW199" i="1"/>
  <c r="AS115" i="1"/>
  <c r="BD236" i="1"/>
  <c r="W69" i="1"/>
  <c r="BF199" i="1"/>
  <c r="BC114" i="1"/>
  <c r="M168" i="1"/>
  <c r="O208" i="1"/>
  <c r="Q48" i="1"/>
  <c r="B193" i="1"/>
  <c r="B197" i="1" s="1"/>
  <c r="J193" i="1"/>
  <c r="V69" i="1"/>
  <c r="BA199" i="1"/>
  <c r="BB236" i="1"/>
  <c r="AW199" i="1"/>
  <c r="AR23" i="1"/>
  <c r="R69" i="1"/>
  <c r="AR38" i="1"/>
  <c r="AV199" i="1"/>
  <c r="BC115" i="1"/>
  <c r="N208" i="1"/>
  <c r="R217" i="1"/>
  <c r="R216" i="1" s="1"/>
  <c r="R259" i="1"/>
  <c r="J207" i="1"/>
  <c r="Q179" i="1"/>
  <c r="Q120" i="1" s="1"/>
  <c r="BF22" i="1"/>
  <c r="BI115" i="1"/>
  <c r="AR22" i="1"/>
  <c r="BX255" i="1"/>
  <c r="BB22" i="1"/>
  <c r="BA236" i="1"/>
  <c r="AR236" i="1"/>
  <c r="Q140" i="1"/>
  <c r="Q66" i="1" s="1"/>
  <c r="V207" i="1"/>
  <c r="R65" i="1"/>
  <c r="E217" i="1"/>
  <c r="BH168" i="1"/>
  <c r="BW260" i="1"/>
  <c r="BV140" i="1"/>
  <c r="BV259" i="1"/>
  <c r="E140" i="1"/>
  <c r="E66" i="1" s="1"/>
  <c r="E48" i="1"/>
  <c r="E179" i="1"/>
  <c r="E120" i="1" s="1"/>
  <c r="BV168" i="1"/>
  <c r="BW236" i="1"/>
  <c r="BV236" i="1"/>
  <c r="BU199" i="1"/>
  <c r="BU27" i="1"/>
  <c r="BY22" i="1"/>
  <c r="BU38" i="1"/>
  <c r="H208" i="1"/>
  <c r="G207" i="1"/>
  <c r="F168" i="1"/>
  <c r="F207" i="1"/>
  <c r="F193" i="1"/>
  <c r="F192" i="1" s="1"/>
  <c r="C48" i="1"/>
  <c r="C140" i="1"/>
  <c r="C66" i="1" s="1"/>
  <c r="H168" i="1"/>
  <c r="H176" i="1" s="1"/>
  <c r="C179" i="1"/>
  <c r="C120" i="1" s="1"/>
  <c r="C122" i="1" s="1"/>
  <c r="C125" i="1" s="1"/>
  <c r="C217" i="1"/>
  <c r="S176" i="1"/>
  <c r="S177" i="1" s="1"/>
  <c r="D260" i="1"/>
  <c r="D262" i="1" s="1"/>
  <c r="D217" i="1"/>
  <c r="Q217" i="1"/>
  <c r="Q216" i="1" s="1"/>
  <c r="S255" i="1"/>
  <c r="N255" i="1"/>
  <c r="R260" i="1"/>
  <c r="R262" i="1" s="1"/>
  <c r="P257" i="1"/>
  <c r="N207" i="1"/>
  <c r="C260" i="1"/>
  <c r="C262" i="1" s="1"/>
  <c r="BU213" i="1"/>
  <c r="AS44" i="1"/>
  <c r="BR260" i="1"/>
  <c r="AW213" i="1"/>
  <c r="AR192" i="1"/>
  <c r="C79" i="1"/>
  <c r="C80" i="1"/>
  <c r="V216" i="1"/>
  <c r="D122" i="1"/>
  <c r="D125" i="1" s="1"/>
  <c r="L257" i="1"/>
  <c r="L255" i="1"/>
  <c r="J257" i="1"/>
  <c r="J255" i="1"/>
  <c r="U255" i="1"/>
  <c r="U257" i="1"/>
  <c r="S195" i="1"/>
  <c r="S197" i="1"/>
  <c r="H257" i="1"/>
  <c r="H255" i="1"/>
  <c r="G176" i="1"/>
  <c r="G177" i="1" s="1"/>
  <c r="G255" i="1"/>
  <c r="G257" i="1"/>
  <c r="H214" i="1"/>
  <c r="H212" i="1" s="1"/>
  <c r="D80" i="1"/>
  <c r="D79" i="1"/>
  <c r="AR213" i="1"/>
  <c r="AQ213" i="1"/>
  <c r="BB179" i="1"/>
  <c r="AV179" i="1"/>
  <c r="C195" i="1"/>
  <c r="BS44" i="1"/>
  <c r="BS145" i="1"/>
  <c r="BR149" i="1"/>
  <c r="AQ260" i="1"/>
  <c r="AN103" i="1"/>
  <c r="AN106" i="1" s="1"/>
  <c r="AN259" i="1"/>
  <c r="AV260" i="1"/>
  <c r="O257" i="1"/>
  <c r="P214" i="1"/>
  <c r="P212" i="1" s="1"/>
  <c r="AR217" i="1"/>
  <c r="AR260" i="1"/>
  <c r="AO145" i="1"/>
  <c r="AO44" i="1"/>
  <c r="AN149" i="1"/>
  <c r="AN257" i="1" s="1"/>
  <c r="BC44" i="1"/>
  <c r="BB149" i="1"/>
  <c r="BC145" i="1"/>
  <c r="AV217" i="1"/>
  <c r="BT140" i="1"/>
  <c r="V195" i="1"/>
  <c r="BN179" i="1"/>
  <c r="BN140" i="1"/>
  <c r="BC217" i="1"/>
  <c r="BC260" i="1"/>
  <c r="O214" i="1"/>
  <c r="O212" i="1" s="1"/>
  <c r="O255" i="1"/>
  <c r="G195" i="1"/>
  <c r="BB140" i="1"/>
  <c r="AT259" i="1"/>
  <c r="AS217" i="1"/>
  <c r="AS260" i="1"/>
  <c r="AR179" i="1"/>
  <c r="AS48" i="1" s="1"/>
  <c r="AR140" i="1"/>
  <c r="AR103" i="1"/>
  <c r="AX103" i="1"/>
  <c r="AX259" i="1"/>
  <c r="BU44" i="1"/>
  <c r="BT149" i="1"/>
  <c r="BU145" i="1"/>
  <c r="BG145" i="1"/>
  <c r="BG44" i="1"/>
  <c r="BF149" i="1"/>
  <c r="AW44" i="1"/>
  <c r="AV149" i="1"/>
  <c r="AW145" i="1"/>
  <c r="BE44" i="1"/>
  <c r="BE145" i="1"/>
  <c r="BD149" i="1"/>
  <c r="AQ145" i="1"/>
  <c r="AP149" i="1"/>
  <c r="AQ44" i="1"/>
  <c r="R195" i="1"/>
  <c r="AT193" i="1"/>
  <c r="AT168" i="1"/>
  <c r="BB106" i="1"/>
  <c r="BB107" i="1"/>
  <c r="BB105" i="1"/>
  <c r="AO260" i="1"/>
  <c r="AO217" i="1"/>
  <c r="AN260" i="1"/>
  <c r="AN217" i="1"/>
  <c r="AN140" i="1"/>
  <c r="AN179" i="1"/>
  <c r="BN149" i="1"/>
  <c r="BO145" i="1"/>
  <c r="BO44" i="1"/>
  <c r="AY145" i="1"/>
  <c r="AX149" i="1"/>
  <c r="AY44" i="1"/>
  <c r="AR196" i="1"/>
  <c r="AR168" i="1"/>
  <c r="BN259" i="1"/>
  <c r="BN103" i="1"/>
  <c r="BF217" i="1"/>
  <c r="BF179" i="1"/>
  <c r="BP260" i="1"/>
  <c r="BP217" i="1"/>
  <c r="BP179" i="1"/>
  <c r="BR140" i="1"/>
  <c r="BS260" i="1"/>
  <c r="BS217" i="1"/>
  <c r="BR179" i="1"/>
  <c r="BA145" i="1"/>
  <c r="BA44" i="1"/>
  <c r="AZ149" i="1"/>
  <c r="BQ44" i="1"/>
  <c r="BP149" i="1"/>
  <c r="BQ145" i="1"/>
  <c r="BC220" i="1"/>
  <c r="BB259" i="1"/>
  <c r="AR259" i="1"/>
  <c r="AX217" i="1"/>
  <c r="AX179" i="1"/>
  <c r="AX140" i="1"/>
  <c r="BO213" i="1"/>
  <c r="BP213" i="1"/>
  <c r="AT149" i="1"/>
  <c r="AU44" i="1"/>
  <c r="AU145" i="1"/>
  <c r="BD103" i="1"/>
  <c r="BD259" i="1"/>
  <c r="BO217" i="1"/>
  <c r="BO260" i="1"/>
  <c r="BN260" i="1"/>
  <c r="BN217" i="1"/>
  <c r="AW260" i="1"/>
  <c r="AW217" i="1"/>
  <c r="AN193" i="1"/>
  <c r="AN168" i="1"/>
  <c r="BT213" i="1"/>
  <c r="BS213" i="1"/>
  <c r="BV260" i="1"/>
  <c r="BU260" i="1"/>
  <c r="BU217" i="1"/>
  <c r="BV217" i="1"/>
  <c r="BT179" i="1"/>
  <c r="BT260" i="1"/>
  <c r="BT217" i="1"/>
  <c r="AP213" i="1"/>
  <c r="AO213" i="1"/>
  <c r="M197" i="1"/>
  <c r="M195" i="1"/>
  <c r="AZ179" i="1"/>
  <c r="AZ260" i="1"/>
  <c r="AZ140" i="1"/>
  <c r="AZ217" i="1"/>
  <c r="AN195" i="1"/>
  <c r="AT140" i="1"/>
  <c r="AT260" i="1"/>
  <c r="AT217" i="1"/>
  <c r="AT179" i="1"/>
  <c r="BD217" i="1"/>
  <c r="BD140" i="1"/>
  <c r="BE260" i="1"/>
  <c r="BE217" i="1"/>
  <c r="BD179" i="1"/>
  <c r="BD260" i="1"/>
  <c r="AV103" i="1"/>
  <c r="AV259" i="1"/>
  <c r="AQ217" i="1"/>
  <c r="AP217" i="1"/>
  <c r="AP260" i="1"/>
  <c r="BG260" i="1"/>
  <c r="BH260" i="1"/>
  <c r="BB217" i="1"/>
  <c r="BA260" i="1"/>
  <c r="BB260" i="1"/>
  <c r="BA217" i="1"/>
  <c r="AU217" i="1"/>
  <c r="AU260" i="1"/>
  <c r="BP197" i="1"/>
  <c r="BP200" i="1" s="1"/>
  <c r="BR217" i="1"/>
  <c r="AY217" i="1"/>
  <c r="AY260" i="1"/>
  <c r="AQ220" i="1"/>
  <c r="AP259" i="1"/>
  <c r="AZ103" i="1"/>
  <c r="AZ259" i="1"/>
  <c r="BS220" i="1"/>
  <c r="BR259" i="1"/>
  <c r="BT103" i="1"/>
  <c r="BT259" i="1"/>
  <c r="BF260" i="1"/>
  <c r="BF140" i="1"/>
  <c r="AP179" i="1"/>
  <c r="AP140" i="1"/>
  <c r="AP106" i="1"/>
  <c r="AP105" i="1"/>
  <c r="AP107" i="1"/>
  <c r="BF103" i="1"/>
  <c r="BF259" i="1"/>
  <c r="BP107" i="1"/>
  <c r="AV140" i="1"/>
  <c r="BQ260" i="1"/>
  <c r="BP259" i="1"/>
  <c r="BP140" i="1"/>
  <c r="BP168" i="1"/>
  <c r="BG217" i="1"/>
  <c r="BQ217" i="1"/>
  <c r="BP106" i="1"/>
  <c r="AV193" i="1"/>
  <c r="BB193" i="1"/>
  <c r="BD193" i="1"/>
  <c r="BD168" i="1"/>
  <c r="AX193" i="1"/>
  <c r="BF193" i="1"/>
  <c r="BF168" i="1"/>
  <c r="BT193" i="1"/>
  <c r="BT168" i="1"/>
  <c r="BR193" i="1"/>
  <c r="BR197" i="1" s="1"/>
  <c r="BR168" i="1"/>
  <c r="AZ193" i="1"/>
  <c r="AZ168" i="1"/>
  <c r="BV107" i="1"/>
  <c r="BV106" i="1"/>
  <c r="BV105" i="1"/>
  <c r="AM65" i="1"/>
  <c r="AM218" i="1"/>
  <c r="AM216" i="1" s="1"/>
  <c r="AM66" i="1"/>
  <c r="AM103" i="1"/>
  <c r="AM97" i="1"/>
  <c r="AM96" i="1"/>
  <c r="AM98" i="1"/>
  <c r="AS28" i="1"/>
  <c r="AS39" i="1"/>
  <c r="AT30" i="1"/>
  <c r="AW29" i="1"/>
  <c r="BN195" i="1"/>
  <c r="BE39" i="1"/>
  <c r="BE28" i="1"/>
  <c r="BW29" i="1"/>
  <c r="BO39" i="1"/>
  <c r="BS29" i="1"/>
  <c r="BO28" i="1"/>
  <c r="AT45" i="1"/>
  <c r="AT49" i="1" s="1"/>
  <c r="AT40" i="1"/>
  <c r="AT243" i="1"/>
  <c r="AT244" i="1" s="1"/>
  <c r="AJ30" i="1"/>
  <c r="AI28" i="1"/>
  <c r="AM29" i="1"/>
  <c r="AI39" i="1"/>
  <c r="N70" i="1"/>
  <c r="AU30" i="1"/>
  <c r="AV30" i="1"/>
  <c r="AU39" i="1"/>
  <c r="AU28" i="1"/>
  <c r="BV120" i="1"/>
  <c r="BW48" i="1"/>
  <c r="BS39" i="1"/>
  <c r="BS28" i="1"/>
  <c r="BH120" i="1"/>
  <c r="BI48" i="1"/>
  <c r="BR39" i="1"/>
  <c r="BR28" i="1"/>
  <c r="AT106" i="1"/>
  <c r="AT107" i="1"/>
  <c r="AT105" i="1"/>
  <c r="AV39" i="1"/>
  <c r="AV28" i="1"/>
  <c r="AW30" i="1"/>
  <c r="AV29" i="1"/>
  <c r="AZ29" i="1"/>
  <c r="BW28" i="1"/>
  <c r="X70" i="1"/>
  <c r="CA29" i="1"/>
  <c r="BX30" i="1"/>
  <c r="BW39" i="1"/>
  <c r="BR107" i="1"/>
  <c r="BR105" i="1"/>
  <c r="BR106" i="1"/>
  <c r="BH257" i="1"/>
  <c r="BH255" i="1"/>
  <c r="BB28" i="1"/>
  <c r="BB39" i="1"/>
  <c r="BF29" i="1"/>
  <c r="CR205" i="1"/>
  <c r="CR143" i="1"/>
  <c r="CQ214" i="1"/>
  <c r="CQ212" i="1" s="1"/>
  <c r="AB217" i="1"/>
  <c r="DB74" i="1"/>
  <c r="DB76" i="1" s="1"/>
  <c r="DA76" i="1"/>
  <c r="I216" i="1" l="1"/>
  <c r="J177" i="1"/>
  <c r="BH176" i="1"/>
  <c r="T216" i="1"/>
  <c r="AX260" i="1"/>
  <c r="N216" i="1"/>
  <c r="I176" i="1"/>
  <c r="O216" i="1"/>
  <c r="B79" i="1"/>
  <c r="B80" i="1"/>
  <c r="C214" i="1"/>
  <c r="C212" i="1" s="1"/>
  <c r="P209" i="1"/>
  <c r="P210" i="1" s="1"/>
  <c r="B176" i="1"/>
  <c r="M176" i="1"/>
  <c r="T209" i="1"/>
  <c r="T210" i="1" s="1"/>
  <c r="T214" i="1"/>
  <c r="T212" i="1" s="1"/>
  <c r="C216" i="1"/>
  <c r="C176" i="1"/>
  <c r="N176" i="1"/>
  <c r="D214" i="1"/>
  <c r="D212" i="1" s="1"/>
  <c r="U209" i="1"/>
  <c r="U210" i="1" s="1"/>
  <c r="V176" i="1"/>
  <c r="V177" i="1" s="1"/>
  <c r="W214" i="1"/>
  <c r="W212" i="1" s="1"/>
  <c r="U216" i="1"/>
  <c r="U214" i="1"/>
  <c r="U212" i="1" s="1"/>
  <c r="G216" i="1"/>
  <c r="I214" i="1"/>
  <c r="I212" i="1" s="1"/>
  <c r="I255" i="1"/>
  <c r="I257" i="1"/>
  <c r="J214" i="1"/>
  <c r="J212" i="1" s="1"/>
  <c r="V214" i="1"/>
  <c r="V212" i="1" s="1"/>
  <c r="V255" i="1"/>
  <c r="V257" i="1"/>
  <c r="AV197" i="1"/>
  <c r="AV168" i="1"/>
  <c r="BN193" i="1"/>
  <c r="BN168" i="1"/>
  <c r="AX30" i="1"/>
  <c r="AX28" i="1"/>
  <c r="AX29" i="1"/>
  <c r="AX39" i="1"/>
  <c r="BG28" i="1"/>
  <c r="BG39" i="1"/>
  <c r="AY30" i="1"/>
  <c r="I177" i="1"/>
  <c r="L216" i="1"/>
  <c r="J216" i="1"/>
  <c r="BG29" i="1"/>
  <c r="D209" i="1"/>
  <c r="D210" i="1" s="1"/>
  <c r="L176" i="1"/>
  <c r="L177" i="1" s="1"/>
  <c r="K216" i="1"/>
  <c r="F216" i="1"/>
  <c r="L214" i="1"/>
  <c r="L212" i="1" s="1"/>
  <c r="K214" i="1"/>
  <c r="K212" i="1" s="1"/>
  <c r="T177" i="1"/>
  <c r="E255" i="1"/>
  <c r="E257" i="1"/>
  <c r="B121" i="1"/>
  <c r="B124" i="1" s="1"/>
  <c r="B122" i="1"/>
  <c r="B125" i="1" s="1"/>
  <c r="N214" i="1"/>
  <c r="N212" i="1" s="1"/>
  <c r="M214" i="1"/>
  <c r="M212" i="1" s="1"/>
  <c r="M255" i="1"/>
  <c r="M257" i="1"/>
  <c r="K176" i="1"/>
  <c r="E214" i="1"/>
  <c r="E212" i="1" s="1"/>
  <c r="K255" i="1"/>
  <c r="K257" i="1"/>
  <c r="C197" i="1"/>
  <c r="P197" i="1"/>
  <c r="P192" i="1"/>
  <c r="O176" i="1"/>
  <c r="O177" i="1" s="1"/>
  <c r="Q257" i="1"/>
  <c r="Q255" i="1"/>
  <c r="Q214" i="1"/>
  <c r="Q212" i="1" s="1"/>
  <c r="K195" i="1"/>
  <c r="K197" i="1"/>
  <c r="V197" i="1"/>
  <c r="T197" i="1"/>
  <c r="T192" i="1"/>
  <c r="N197" i="1"/>
  <c r="N192" i="1"/>
  <c r="G197" i="1"/>
  <c r="O195" i="1"/>
  <c r="R197" i="1"/>
  <c r="AP196" i="1"/>
  <c r="AP168" i="1"/>
  <c r="BB168" i="1"/>
  <c r="AX168" i="1"/>
  <c r="Q70" i="1"/>
  <c r="L192" i="1"/>
  <c r="H192" i="1"/>
  <c r="H197" i="1"/>
  <c r="Q176" i="1"/>
  <c r="R209" i="1"/>
  <c r="R210" i="1" s="1"/>
  <c r="P177" i="1"/>
  <c r="E176" i="1"/>
  <c r="AX195" i="1"/>
  <c r="BB195" i="1"/>
  <c r="V209" i="1"/>
  <c r="V210" i="1" s="1"/>
  <c r="M209" i="1"/>
  <c r="M210" i="1" s="1"/>
  <c r="Q209" i="1"/>
  <c r="Q210" i="1" s="1"/>
  <c r="L209" i="1"/>
  <c r="L210" i="1" s="1"/>
  <c r="M177" i="1"/>
  <c r="O209" i="1"/>
  <c r="O210" i="1" s="1"/>
  <c r="J209" i="1"/>
  <c r="J210" i="1" s="1"/>
  <c r="E216" i="1"/>
  <c r="H209" i="1"/>
  <c r="H210" i="1" s="1"/>
  <c r="G209" i="1"/>
  <c r="G210" i="1" s="1"/>
  <c r="F209" i="1"/>
  <c r="F210" i="1" s="1"/>
  <c r="N177" i="1"/>
  <c r="K177" i="1"/>
  <c r="AZ30" i="1"/>
  <c r="AY28" i="1"/>
  <c r="AY39" i="1"/>
  <c r="AY29" i="1"/>
  <c r="BH29" i="1"/>
  <c r="BD29" i="1"/>
  <c r="BD28" i="1"/>
  <c r="BE30" i="1"/>
  <c r="BD39" i="1"/>
  <c r="BD41" i="1" s="1"/>
  <c r="BQ39" i="1"/>
  <c r="BU29" i="1"/>
  <c r="BQ28" i="1"/>
  <c r="BR30" i="1"/>
  <c r="BM28" i="1"/>
  <c r="BN30" i="1"/>
  <c r="BM30" i="1"/>
  <c r="BQ29" i="1"/>
  <c r="BM39" i="1"/>
  <c r="AP29" i="1"/>
  <c r="AQ30" i="1"/>
  <c r="AP28" i="1"/>
  <c r="AT29" i="1"/>
  <c r="AP39" i="1"/>
  <c r="T70" i="1"/>
  <c r="BH28" i="1"/>
  <c r="BL29" i="1"/>
  <c r="BI30" i="1"/>
  <c r="BH39" i="1"/>
  <c r="BH30" i="1"/>
  <c r="BF39" i="1"/>
  <c r="BJ41" i="1" s="1"/>
  <c r="BF28" i="1"/>
  <c r="BJ29" i="1"/>
  <c r="BF30" i="1"/>
  <c r="BG30" i="1"/>
  <c r="O192" i="1"/>
  <c r="O197" i="1"/>
  <c r="Q197" i="1"/>
  <c r="Q195" i="1"/>
  <c r="I197" i="1"/>
  <c r="I195" i="1"/>
  <c r="E197" i="1"/>
  <c r="E195" i="1"/>
  <c r="BO29" i="1"/>
  <c r="BK29" i="1"/>
  <c r="BK30" i="1"/>
  <c r="U70" i="1"/>
  <c r="BK39" i="1"/>
  <c r="BK28" i="1"/>
  <c r="BL30" i="1"/>
  <c r="AW243" i="1"/>
  <c r="AW244" i="1" s="1"/>
  <c r="AW40" i="1"/>
  <c r="AW45" i="1"/>
  <c r="AW49" i="1" s="1"/>
  <c r="V70" i="1"/>
  <c r="BP30" i="1"/>
  <c r="BN29" i="1"/>
  <c r="BN39" i="1"/>
  <c r="BO30" i="1"/>
  <c r="BR29" i="1"/>
  <c r="BN28" i="1"/>
  <c r="AP30" i="1"/>
  <c r="AO39" i="1"/>
  <c r="AO29" i="1"/>
  <c r="AO28" i="1"/>
  <c r="AS29" i="1"/>
  <c r="R70" i="1"/>
  <c r="BE29" i="1"/>
  <c r="BA29" i="1"/>
  <c r="BB30" i="1"/>
  <c r="BA30" i="1"/>
  <c r="BT30" i="1"/>
  <c r="BT39" i="1"/>
  <c r="BT28" i="1"/>
  <c r="BT29" i="1"/>
  <c r="BU30" i="1"/>
  <c r="BX29" i="1"/>
  <c r="AU29" i="1"/>
  <c r="AR30" i="1"/>
  <c r="AQ29" i="1"/>
  <c r="AQ39" i="1"/>
  <c r="P70" i="1"/>
  <c r="AQ28" i="1"/>
  <c r="AN28" i="1"/>
  <c r="O70" i="1"/>
  <c r="AO30" i="1"/>
  <c r="AR29" i="1"/>
  <c r="AN39" i="1"/>
  <c r="AN29" i="1"/>
  <c r="AN30" i="1"/>
  <c r="F214" i="1"/>
  <c r="F212" i="1" s="1"/>
  <c r="G214" i="1"/>
  <c r="G212" i="1" s="1"/>
  <c r="AZ243" i="1"/>
  <c r="AZ244" i="1" s="1"/>
  <c r="AZ45" i="1"/>
  <c r="AZ49" i="1" s="1"/>
  <c r="AZ40" i="1"/>
  <c r="AT44" i="1"/>
  <c r="AS149" i="1"/>
  <c r="BU28" i="1"/>
  <c r="BY29" i="1"/>
  <c r="BV30" i="1"/>
  <c r="BU39" i="1"/>
  <c r="C255" i="1"/>
  <c r="C177" i="1"/>
  <c r="BH177" i="1"/>
  <c r="BV176" i="1"/>
  <c r="BV177" i="1" s="1"/>
  <c r="BV200" i="1"/>
  <c r="AR176" i="1"/>
  <c r="AR177" i="1" s="1"/>
  <c r="BX44" i="1"/>
  <c r="BW149" i="1"/>
  <c r="BV257" i="1"/>
  <c r="BV255" i="1"/>
  <c r="BJ51" i="1"/>
  <c r="BJ52" i="1"/>
  <c r="BJ44" i="1"/>
  <c r="BI149" i="1"/>
  <c r="BJ214" i="1" s="1"/>
  <c r="BJ212" i="1" s="1"/>
  <c r="B98" i="1"/>
  <c r="B97" i="1"/>
  <c r="B96" i="1"/>
  <c r="B177" i="1"/>
  <c r="B255" i="1"/>
  <c r="BV28" i="1"/>
  <c r="BZ29" i="1"/>
  <c r="BV39" i="1"/>
  <c r="AR257" i="1"/>
  <c r="AR255" i="1"/>
  <c r="BA39" i="1"/>
  <c r="BE41" i="1" s="1"/>
  <c r="BA28" i="1"/>
  <c r="R257" i="1"/>
  <c r="R214" i="1"/>
  <c r="R212" i="1" s="1"/>
  <c r="R255" i="1"/>
  <c r="F176" i="1"/>
  <c r="F177" i="1" s="1"/>
  <c r="H177" i="1"/>
  <c r="N209" i="1"/>
  <c r="N210" i="1" s="1"/>
  <c r="BQ30" i="1"/>
  <c r="BP28" i="1"/>
  <c r="BP29" i="1"/>
  <c r="BP39" i="1"/>
  <c r="BI29" i="1"/>
  <c r="BI39" i="1"/>
  <c r="BJ30" i="1"/>
  <c r="BM29" i="1"/>
  <c r="BI28" i="1"/>
  <c r="L195" i="1"/>
  <c r="L197" i="1"/>
  <c r="R176" i="1"/>
  <c r="S214" i="1"/>
  <c r="S212" i="1" s="1"/>
  <c r="F257" i="1"/>
  <c r="F255" i="1"/>
  <c r="BC29" i="1"/>
  <c r="BD30" i="1"/>
  <c r="S70" i="1"/>
  <c r="BC39" i="1"/>
  <c r="BC28" i="1"/>
  <c r="D197" i="1"/>
  <c r="D195" i="1"/>
  <c r="AR39" i="1"/>
  <c r="AR28" i="1"/>
  <c r="AS30" i="1"/>
  <c r="BV29" i="1"/>
  <c r="BS30" i="1"/>
  <c r="BC30" i="1"/>
  <c r="BB29" i="1"/>
  <c r="U197" i="1"/>
  <c r="U195" i="1"/>
  <c r="J192" i="1"/>
  <c r="J197" i="1"/>
  <c r="R177" i="1"/>
  <c r="B192" i="1"/>
  <c r="D216" i="1"/>
  <c r="D221" i="1" s="1"/>
  <c r="D222" i="1" s="1"/>
  <c r="AR45" i="1"/>
  <c r="AR49" i="1" s="1"/>
  <c r="C121" i="1"/>
  <c r="C124" i="1" s="1"/>
  <c r="U224" i="1"/>
  <c r="P224" i="1"/>
  <c r="F197" i="1"/>
  <c r="V200" i="1"/>
  <c r="V201" i="1" s="1"/>
  <c r="N224" i="1"/>
  <c r="D81" i="1"/>
  <c r="C98" i="1"/>
  <c r="C96" i="1"/>
  <c r="C81" i="1"/>
  <c r="C97" i="1"/>
  <c r="B100" i="1"/>
  <c r="U221" i="1"/>
  <c r="U222" i="1" s="1"/>
  <c r="K221" i="1"/>
  <c r="K222" i="1" s="1"/>
  <c r="K224" i="1"/>
  <c r="T224" i="1"/>
  <c r="T221" i="1"/>
  <c r="T222" i="1" s="1"/>
  <c r="S224" i="1"/>
  <c r="S221" i="1"/>
  <c r="S222" i="1" s="1"/>
  <c r="D224" i="1"/>
  <c r="I224" i="1"/>
  <c r="I221" i="1"/>
  <c r="I222" i="1" s="1"/>
  <c r="P221" i="1"/>
  <c r="P222" i="1" s="1"/>
  <c r="D255" i="1"/>
  <c r="D177" i="1"/>
  <c r="E224" i="1"/>
  <c r="C221" i="1"/>
  <c r="C222" i="1" s="1"/>
  <c r="C224" i="1"/>
  <c r="AW48" i="1"/>
  <c r="AV120" i="1"/>
  <c r="BS149" i="1"/>
  <c r="BT44" i="1"/>
  <c r="BR257" i="1"/>
  <c r="BR255" i="1"/>
  <c r="AP44" i="1"/>
  <c r="AO149" i="1"/>
  <c r="AN105" i="1"/>
  <c r="AN107" i="1"/>
  <c r="BR176" i="1"/>
  <c r="BR177" i="1" s="1"/>
  <c r="BB120" i="1"/>
  <c r="BC48" i="1"/>
  <c r="D96" i="1"/>
  <c r="D97" i="1"/>
  <c r="D98" i="1"/>
  <c r="C100" i="1"/>
  <c r="AN176" i="1"/>
  <c r="AN177" i="1" s="1"/>
  <c r="BP176" i="1"/>
  <c r="BP177" i="1" s="1"/>
  <c r="BN120" i="1"/>
  <c r="BO48" i="1"/>
  <c r="AZ44" i="1"/>
  <c r="AY149" i="1"/>
  <c r="BN214" i="1"/>
  <c r="BN212" i="1" s="1"/>
  <c r="BN257" i="1"/>
  <c r="BN255" i="1"/>
  <c r="BN107" i="1"/>
  <c r="BN106" i="1"/>
  <c r="BN105" i="1"/>
  <c r="BP120" i="1"/>
  <c r="BQ48" i="1"/>
  <c r="C200" i="1"/>
  <c r="C201" i="1" s="1"/>
  <c r="BB176" i="1"/>
  <c r="BB177" i="1" s="1"/>
  <c r="BF176" i="1"/>
  <c r="BF177" i="1" s="1"/>
  <c r="BT176" i="1"/>
  <c r="BT177" i="1" s="1"/>
  <c r="BF257" i="1"/>
  <c r="BF255" i="1"/>
  <c r="AP257" i="1"/>
  <c r="AP255" i="1"/>
  <c r="BG48" i="1"/>
  <c r="BF120" i="1"/>
  <c r="BD44" i="1"/>
  <c r="BC149" i="1"/>
  <c r="BN176" i="1"/>
  <c r="BN177" i="1" s="1"/>
  <c r="AZ176" i="1"/>
  <c r="AZ177" i="1" s="1"/>
  <c r="AN255" i="1"/>
  <c r="AN214" i="1"/>
  <c r="AN212" i="1" s="1"/>
  <c r="BT257" i="1"/>
  <c r="BT255" i="1"/>
  <c r="AW149" i="1"/>
  <c r="AX44" i="1"/>
  <c r="BS48" i="1"/>
  <c r="BR120" i="1"/>
  <c r="BA149" i="1"/>
  <c r="BB44" i="1"/>
  <c r="AZ255" i="1"/>
  <c r="AZ257" i="1"/>
  <c r="BR44" i="1"/>
  <c r="BQ149" i="1"/>
  <c r="AN192" i="1"/>
  <c r="AN197" i="1"/>
  <c r="BB257" i="1"/>
  <c r="BB255" i="1"/>
  <c r="BG149" i="1"/>
  <c r="BH44" i="1"/>
  <c r="AV255" i="1"/>
  <c r="AV257" i="1"/>
  <c r="BE149" i="1"/>
  <c r="BF44" i="1"/>
  <c r="BD255" i="1"/>
  <c r="BD257" i="1"/>
  <c r="S200" i="1"/>
  <c r="S201" i="1" s="1"/>
  <c r="AX257" i="1"/>
  <c r="AX255" i="1"/>
  <c r="AU48" i="1"/>
  <c r="AT120" i="1"/>
  <c r="AP176" i="1"/>
  <c r="AP177" i="1" s="1"/>
  <c r="BD176" i="1"/>
  <c r="BD177" i="1" s="1"/>
  <c r="AR105" i="1"/>
  <c r="AR107" i="1"/>
  <c r="AR106" i="1"/>
  <c r="AX107" i="1"/>
  <c r="AX106" i="1"/>
  <c r="AX105" i="1"/>
  <c r="BV44" i="1"/>
  <c r="BU149" i="1"/>
  <c r="AQ149" i="1"/>
  <c r="AR44" i="1"/>
  <c r="AT197" i="1"/>
  <c r="AT192" i="1"/>
  <c r="AO48" i="1"/>
  <c r="AN120" i="1"/>
  <c r="AR197" i="1"/>
  <c r="AR195" i="1"/>
  <c r="AV44" i="1"/>
  <c r="AU149" i="1"/>
  <c r="BD106" i="1"/>
  <c r="BD105" i="1"/>
  <c r="BD107" i="1"/>
  <c r="BU48" i="1"/>
  <c r="BT120" i="1"/>
  <c r="BE48" i="1"/>
  <c r="BD120" i="1"/>
  <c r="AV107" i="1"/>
  <c r="AV105" i="1"/>
  <c r="AV106" i="1"/>
  <c r="T200" i="1"/>
  <c r="T201" i="1" s="1"/>
  <c r="P200" i="1"/>
  <c r="P201" i="1" s="1"/>
  <c r="O200" i="1"/>
  <c r="O201" i="1" s="1"/>
  <c r="AV176" i="1"/>
  <c r="AV177" i="1" s="1"/>
  <c r="AX176" i="1"/>
  <c r="AX177" i="1" s="1"/>
  <c r="BP44" i="1"/>
  <c r="BO149" i="1"/>
  <c r="BP257" i="1"/>
  <c r="BP255" i="1"/>
  <c r="AY48" i="1"/>
  <c r="AX120" i="1"/>
  <c r="AT176" i="1"/>
  <c r="AT177" i="1" s="1"/>
  <c r="AT257" i="1"/>
  <c r="AT255" i="1"/>
  <c r="AP120" i="1"/>
  <c r="AQ48" i="1"/>
  <c r="AZ120" i="1"/>
  <c r="BA48" i="1"/>
  <c r="N200" i="1"/>
  <c r="N201" i="1" s="1"/>
  <c r="AZ106" i="1"/>
  <c r="AZ107" i="1"/>
  <c r="AZ105" i="1"/>
  <c r="AP197" i="1"/>
  <c r="AP200" i="1" s="1"/>
  <c r="AP195" i="1"/>
  <c r="AX192" i="1"/>
  <c r="AX197" i="1"/>
  <c r="BF192" i="1"/>
  <c r="BF197" i="1"/>
  <c r="BJ200" i="1" s="1"/>
  <c r="BT107" i="1"/>
  <c r="BT106" i="1"/>
  <c r="BT105" i="1"/>
  <c r="BF106" i="1"/>
  <c r="BF107" i="1"/>
  <c r="BF105" i="1"/>
  <c r="AV192" i="1"/>
  <c r="BR192" i="1"/>
  <c r="BN192" i="1"/>
  <c r="BN197" i="1"/>
  <c r="BB197" i="1"/>
  <c r="BB192" i="1"/>
  <c r="BD192" i="1"/>
  <c r="BD197" i="1"/>
  <c r="BT197" i="1"/>
  <c r="BT192" i="1"/>
  <c r="BX214" i="1"/>
  <c r="BX212" i="1" s="1"/>
  <c r="BW214" i="1"/>
  <c r="BW212" i="1" s="1"/>
  <c r="AZ197" i="1"/>
  <c r="AZ200" i="1" s="1"/>
  <c r="AZ192" i="1"/>
  <c r="BA237" i="1"/>
  <c r="AQ261" i="1"/>
  <c r="AQ262" i="1" s="1"/>
  <c r="AT41" i="1"/>
  <c r="AQ42" i="1"/>
  <c r="BO41" i="1"/>
  <c r="BK41" i="1"/>
  <c r="BX237" i="1"/>
  <c r="BK42" i="1"/>
  <c r="BK40" i="1"/>
  <c r="BL42" i="1"/>
  <c r="BK243" i="1"/>
  <c r="BK244" i="1" s="1"/>
  <c r="BK45" i="1"/>
  <c r="BK49" i="1" s="1"/>
  <c r="BK261" i="1"/>
  <c r="BK262" i="1" s="1"/>
  <c r="BL261" i="1"/>
  <c r="BL262" i="1" s="1"/>
  <c r="AM105" i="1"/>
  <c r="AM106" i="1"/>
  <c r="AM107" i="1"/>
  <c r="AY40" i="1"/>
  <c r="AY243" i="1"/>
  <c r="AY244" i="1" s="1"/>
  <c r="AY45" i="1"/>
  <c r="AY49" i="1" s="1"/>
  <c r="AZ261" i="1"/>
  <c r="AZ262" i="1" s="1"/>
  <c r="AZ42" i="1"/>
  <c r="AP40" i="1"/>
  <c r="AP41" i="1"/>
  <c r="AP243" i="1"/>
  <c r="AP244" i="1" s="1"/>
  <c r="AP45" i="1"/>
  <c r="AP49" i="1" s="1"/>
  <c r="BV261" i="1"/>
  <c r="BV262" i="1" s="1"/>
  <c r="AS243" i="1"/>
  <c r="AS244" i="1" s="1"/>
  <c r="AS45" i="1"/>
  <c r="AS49" i="1" s="1"/>
  <c r="AW41" i="1"/>
  <c r="AT42" i="1"/>
  <c r="AS40" i="1"/>
  <c r="AT261" i="1"/>
  <c r="AT262" i="1" s="1"/>
  <c r="BM45" i="1"/>
  <c r="BM49" i="1" s="1"/>
  <c r="BM40" i="1"/>
  <c r="BQ41" i="1"/>
  <c r="BM42" i="1"/>
  <c r="BM243" i="1"/>
  <c r="BM244" i="1" s="1"/>
  <c r="BM261" i="1"/>
  <c r="BM262" i="1" s="1"/>
  <c r="BE42" i="1"/>
  <c r="BD45" i="1"/>
  <c r="BD49" i="1" s="1"/>
  <c r="BD40" i="1"/>
  <c r="BD243" i="1"/>
  <c r="BD244" i="1" s="1"/>
  <c r="BE261" i="1"/>
  <c r="BE262" i="1" s="1"/>
  <c r="BE243" i="1"/>
  <c r="BE244" i="1" s="1"/>
  <c r="BE40" i="1"/>
  <c r="BE45" i="1"/>
  <c r="BE49" i="1" s="1"/>
  <c r="BF42" i="1"/>
  <c r="BO40" i="1"/>
  <c r="BO45" i="1"/>
  <c r="BO49" i="1" s="1"/>
  <c r="BO243" i="1"/>
  <c r="BO244" i="1" s="1"/>
  <c r="BH121" i="1"/>
  <c r="BH122" i="1"/>
  <c r="AX237" i="1"/>
  <c r="AJ42" i="1"/>
  <c r="AL123" i="1"/>
  <c r="AI40" i="1"/>
  <c r="AM41" i="1"/>
  <c r="AI45" i="1"/>
  <c r="N71" i="1"/>
  <c r="AL237" i="1"/>
  <c r="AI243" i="1"/>
  <c r="AI244" i="1" s="1"/>
  <c r="AW237" i="1"/>
  <c r="AW123" i="1"/>
  <c r="AU42" i="1"/>
  <c r="AU261" i="1"/>
  <c r="AU262" i="1" s="1"/>
  <c r="AV237" i="1"/>
  <c r="AU243" i="1"/>
  <c r="AU244" i="1" s="1"/>
  <c r="AU40" i="1"/>
  <c r="AU45" i="1"/>
  <c r="AU49" i="1" s="1"/>
  <c r="AV42" i="1"/>
  <c r="AV261" i="1"/>
  <c r="AV262" i="1" s="1"/>
  <c r="BV121" i="1"/>
  <c r="BV122" i="1"/>
  <c r="BS41" i="1"/>
  <c r="BS45" i="1"/>
  <c r="BS49" i="1" s="1"/>
  <c r="BS40" i="1"/>
  <c r="BS243" i="1"/>
  <c r="BS244" i="1" s="1"/>
  <c r="BS261" i="1"/>
  <c r="BS262" i="1" s="1"/>
  <c r="BT237" i="1"/>
  <c r="AQ237" i="1"/>
  <c r="BR261" i="1"/>
  <c r="BR262" i="1" s="1"/>
  <c r="BR40" i="1"/>
  <c r="BR42" i="1"/>
  <c r="BS42" i="1"/>
  <c r="BR243" i="1"/>
  <c r="BR244" i="1" s="1"/>
  <c r="BR45" i="1"/>
  <c r="BN123" i="1"/>
  <c r="BN237" i="1"/>
  <c r="AX123" i="1"/>
  <c r="AY123" i="1"/>
  <c r="AY237" i="1"/>
  <c r="AY42" i="1"/>
  <c r="AY261" i="1"/>
  <c r="AY262" i="1" s="1"/>
  <c r="AZ123" i="1"/>
  <c r="AQ123" i="1"/>
  <c r="BT123" i="1"/>
  <c r="BT42" i="1"/>
  <c r="AP237" i="1"/>
  <c r="AP261" i="1"/>
  <c r="AP262" i="1" s="1"/>
  <c r="AP123" i="1"/>
  <c r="AV123" i="1"/>
  <c r="Q71" i="1"/>
  <c r="BI214" i="1"/>
  <c r="BI212" i="1" s="1"/>
  <c r="AV45" i="1"/>
  <c r="AZ41" i="1"/>
  <c r="AV40" i="1"/>
  <c r="AV243" i="1"/>
  <c r="AV244" i="1" s="1"/>
  <c r="AW261" i="1"/>
  <c r="AW262" i="1" s="1"/>
  <c r="AW42" i="1"/>
  <c r="BG40" i="1"/>
  <c r="BH237" i="1"/>
  <c r="BG123" i="1"/>
  <c r="BG261" i="1"/>
  <c r="BG262" i="1" s="1"/>
  <c r="BG45" i="1"/>
  <c r="BG243" i="1"/>
  <c r="BG244" i="1" s="1"/>
  <c r="BH123" i="1"/>
  <c r="BH42" i="1"/>
  <c r="BG237" i="1"/>
  <c r="BG42" i="1"/>
  <c r="BL41" i="1"/>
  <c r="BH40" i="1"/>
  <c r="BH45" i="1"/>
  <c r="BH49" i="1" s="1"/>
  <c r="BH243" i="1"/>
  <c r="BH244" i="1" s="1"/>
  <c r="BH261" i="1"/>
  <c r="BH262" i="1" s="1"/>
  <c r="BH41" i="1"/>
  <c r="BW41" i="1"/>
  <c r="AN123" i="1"/>
  <c r="AO42" i="1"/>
  <c r="AN41" i="1"/>
  <c r="BW42" i="1"/>
  <c r="BN45" i="1"/>
  <c r="BP237" i="1"/>
  <c r="BO237" i="1"/>
  <c r="BR41" i="1"/>
  <c r="BQ123" i="1"/>
  <c r="BN40" i="1"/>
  <c r="BO42" i="1"/>
  <c r="BN42" i="1"/>
  <c r="BN243" i="1"/>
  <c r="BN244" i="1" s="1"/>
  <c r="BO261" i="1"/>
  <c r="BO262" i="1" s="1"/>
  <c r="BN261" i="1"/>
  <c r="BN262" i="1" s="1"/>
  <c r="BN41" i="1"/>
  <c r="BP123" i="1"/>
  <c r="BQ237" i="1"/>
  <c r="BO123" i="1"/>
  <c r="AX261" i="1"/>
  <c r="AX262" i="1" s="1"/>
  <c r="AX243" i="1"/>
  <c r="AX244" i="1" s="1"/>
  <c r="AX41" i="1"/>
  <c r="BB41" i="1"/>
  <c r="AZ237" i="1"/>
  <c r="AX45" i="1"/>
  <c r="AX42" i="1"/>
  <c r="AX40" i="1"/>
  <c r="BB45" i="1"/>
  <c r="BF41" i="1"/>
  <c r="BB243" i="1"/>
  <c r="BB244" i="1" s="1"/>
  <c r="BB123" i="1"/>
  <c r="BD123" i="1"/>
  <c r="BB40" i="1"/>
  <c r="BB261" i="1"/>
  <c r="BB262" i="1" s="1"/>
  <c r="BB42" i="1"/>
  <c r="BW237" i="1"/>
  <c r="BW243" i="1"/>
  <c r="BW244" i="1" s="1"/>
  <c r="BX42" i="1"/>
  <c r="X71" i="1"/>
  <c r="BW40" i="1"/>
  <c r="BZ123" i="1"/>
  <c r="BZ237" i="1"/>
  <c r="BW261" i="1"/>
  <c r="BW262" i="1" s="1"/>
  <c r="BW45" i="1"/>
  <c r="BY123" i="1"/>
  <c r="CA41" i="1"/>
  <c r="BX261" i="1"/>
  <c r="BX262" i="1" s="1"/>
  <c r="BY237" i="1"/>
  <c r="BC261" i="1"/>
  <c r="BC262" i="1" s="1"/>
  <c r="BE237" i="1"/>
  <c r="BE123" i="1"/>
  <c r="AQ40" i="1"/>
  <c r="AT237" i="1"/>
  <c r="AQ243" i="1"/>
  <c r="AQ244" i="1" s="1"/>
  <c r="P71" i="1"/>
  <c r="AQ45" i="1"/>
  <c r="AQ41" i="1"/>
  <c r="AR42" i="1"/>
  <c r="AR261" i="1"/>
  <c r="AR262" i="1" s="1"/>
  <c r="AT123" i="1"/>
  <c r="AO243" i="1"/>
  <c r="AO244" i="1" s="1"/>
  <c r="AO45" i="1"/>
  <c r="AO49" i="1" s="1"/>
  <c r="AO51" i="1" s="1"/>
  <c r="AR123" i="1"/>
  <c r="AO261" i="1"/>
  <c r="AO262" i="1" s="1"/>
  <c r="AO41" i="1"/>
  <c r="AS41" i="1"/>
  <c r="AO40" i="1"/>
  <c r="AR52" i="1"/>
  <c r="AR51" i="1"/>
  <c r="BT45" i="1"/>
  <c r="BU261" i="1"/>
  <c r="BU262" i="1" s="1"/>
  <c r="BT40" i="1"/>
  <c r="BX41" i="1"/>
  <c r="BU42" i="1"/>
  <c r="BT243" i="1"/>
  <c r="BT244" i="1" s="1"/>
  <c r="BT41" i="1"/>
  <c r="BW123" i="1"/>
  <c r="BU123" i="1"/>
  <c r="AV41" i="1"/>
  <c r="BJ245" i="1"/>
  <c r="BJ53" i="1"/>
  <c r="BJ256" i="1" s="1"/>
  <c r="BJ59" i="1"/>
  <c r="AW51" i="1"/>
  <c r="AW52" i="1"/>
  <c r="AT52" i="1"/>
  <c r="AT51" i="1"/>
  <c r="CR145" i="1"/>
  <c r="AE153" i="1"/>
  <c r="AC135" i="1"/>
  <c r="Q200" i="1" l="1"/>
  <c r="Q201" i="1" s="1"/>
  <c r="I200" i="1"/>
  <c r="I201" i="1" s="1"/>
  <c r="BV42" i="1"/>
  <c r="BM123" i="1"/>
  <c r="BM237" i="1"/>
  <c r="BU41" i="1"/>
  <c r="BU40" i="1"/>
  <c r="BU243" i="1"/>
  <c r="BU244" i="1" s="1"/>
  <c r="BY41" i="1"/>
  <c r="BU45" i="1"/>
  <c r="BU49" i="1" s="1"/>
  <c r="U71" i="1"/>
  <c r="AS214" i="1"/>
  <c r="AS212" i="1" s="1"/>
  <c r="AT214" i="1"/>
  <c r="AT212" i="1" s="1"/>
  <c r="AS261" i="1"/>
  <c r="AS262" i="1" s="1"/>
  <c r="AS237" i="1"/>
  <c r="AS123" i="1"/>
  <c r="BF261" i="1"/>
  <c r="BF262" i="1" s="1"/>
  <c r="AP42" i="1"/>
  <c r="BT261" i="1"/>
  <c r="BT262" i="1" s="1"/>
  <c r="AU237" i="1"/>
  <c r="AU123" i="1"/>
  <c r="AY41" i="1"/>
  <c r="AU41" i="1"/>
  <c r="BV41" i="1"/>
  <c r="BS123" i="1"/>
  <c r="AZ52" i="1"/>
  <c r="AZ51" i="1"/>
  <c r="BV237" i="1"/>
  <c r="V71" i="1"/>
  <c r="BR237" i="1"/>
  <c r="BR123" i="1"/>
  <c r="BA123" i="1"/>
  <c r="BV123" i="1"/>
  <c r="AR237" i="1"/>
  <c r="BK237" i="1"/>
  <c r="BX123" i="1"/>
  <c r="BD237" i="1"/>
  <c r="BC123" i="1"/>
  <c r="BC237" i="1"/>
  <c r="BB237" i="1"/>
  <c r="R71" i="1"/>
  <c r="T71" i="1"/>
  <c r="BJ123" i="1"/>
  <c r="BI237" i="1"/>
  <c r="BI123" i="1"/>
  <c r="E177" i="1"/>
  <c r="Q177" i="1"/>
  <c r="M224" i="1"/>
  <c r="H221" i="1"/>
  <c r="H222" i="1" s="1"/>
  <c r="J224" i="1"/>
  <c r="J221" i="1"/>
  <c r="J222" i="1" s="1"/>
  <c r="H224" i="1"/>
  <c r="Q224" i="1"/>
  <c r="Q221" i="1"/>
  <c r="Q222" i="1" s="1"/>
  <c r="M221" i="1"/>
  <c r="M222" i="1" s="1"/>
  <c r="E221" i="1"/>
  <c r="E222" i="1" s="1"/>
  <c r="V221" i="1"/>
  <c r="V222" i="1" s="1"/>
  <c r="V224" i="1"/>
  <c r="O224" i="1"/>
  <c r="O221" i="1"/>
  <c r="O222" i="1" s="1"/>
  <c r="L224" i="1"/>
  <c r="L221" i="1"/>
  <c r="L222" i="1" s="1"/>
  <c r="H200" i="1"/>
  <c r="H201" i="1" s="1"/>
  <c r="R200" i="1"/>
  <c r="R201" i="1" s="1"/>
  <c r="N221" i="1"/>
  <c r="N222" i="1" s="1"/>
  <c r="U200" i="1"/>
  <c r="U201" i="1" s="1"/>
  <c r="O71" i="1"/>
  <c r="BJ237" i="1"/>
  <c r="BI261" i="1"/>
  <c r="BI262" i="1" s="1"/>
  <c r="BI42" i="1"/>
  <c r="AN261" i="1"/>
  <c r="AN262" i="1" s="1"/>
  <c r="AN45" i="1"/>
  <c r="AO237" i="1"/>
  <c r="AN42" i="1"/>
  <c r="AN40" i="1"/>
  <c r="AN243" i="1"/>
  <c r="AN244" i="1" s="1"/>
  <c r="AN237" i="1"/>
  <c r="AR41" i="1"/>
  <c r="AO123" i="1"/>
  <c r="BQ243" i="1"/>
  <c r="BQ244" i="1" s="1"/>
  <c r="BQ40" i="1"/>
  <c r="BQ45" i="1"/>
  <c r="BF243" i="1"/>
  <c r="BF244" i="1" s="1"/>
  <c r="BF45" i="1"/>
  <c r="BF40" i="1"/>
  <c r="F200" i="1"/>
  <c r="F201" i="1" s="1"/>
  <c r="F224" i="1"/>
  <c r="F221" i="1"/>
  <c r="F222" i="1" s="1"/>
  <c r="G221" i="1"/>
  <c r="G222" i="1" s="1"/>
  <c r="G224" i="1"/>
  <c r="AR40" i="1"/>
  <c r="AS42" i="1"/>
  <c r="AR243" i="1"/>
  <c r="AR244" i="1" s="1"/>
  <c r="BZ41" i="1"/>
  <c r="BV243" i="1"/>
  <c r="BV244" i="1" s="1"/>
  <c r="BV45" i="1"/>
  <c r="BV40" i="1"/>
  <c r="BA42" i="1"/>
  <c r="BA41" i="1"/>
  <c r="BA45" i="1"/>
  <c r="BA243" i="1"/>
  <c r="BA244" i="1" s="1"/>
  <c r="BA40" i="1"/>
  <c r="BA261" i="1"/>
  <c r="BA262" i="1" s="1"/>
  <c r="R221" i="1"/>
  <c r="R222" i="1" s="1"/>
  <c r="R224" i="1"/>
  <c r="BQ42" i="1"/>
  <c r="BP243" i="1"/>
  <c r="BP244" i="1" s="1"/>
  <c r="BP41" i="1"/>
  <c r="BP40" i="1"/>
  <c r="BS237" i="1"/>
  <c r="BP45" i="1"/>
  <c r="BQ261" i="1"/>
  <c r="BQ262" i="1" s="1"/>
  <c r="BP42" i="1"/>
  <c r="BP261" i="1"/>
  <c r="BP262" i="1" s="1"/>
  <c r="BL123" i="1"/>
  <c r="BJ261" i="1"/>
  <c r="BJ262" i="1" s="1"/>
  <c r="BK123" i="1"/>
  <c r="BI243" i="1"/>
  <c r="BI244" i="1" s="1"/>
  <c r="BI45" i="1"/>
  <c r="BJ66" i="1" s="1"/>
  <c r="BI40" i="1"/>
  <c r="BL237" i="1"/>
  <c r="BJ42" i="1"/>
  <c r="BM41" i="1"/>
  <c r="BI41" i="1"/>
  <c r="L200" i="1"/>
  <c r="L201" i="1" s="1"/>
  <c r="M200" i="1"/>
  <c r="M201" i="1" s="1"/>
  <c r="BC243" i="1"/>
  <c r="BC244" i="1" s="1"/>
  <c r="S71" i="1"/>
  <c r="BD261" i="1"/>
  <c r="BD262" i="1" s="1"/>
  <c r="BC42" i="1"/>
  <c r="BD42" i="1"/>
  <c r="BG41" i="1"/>
  <c r="BF123" i="1"/>
  <c r="BC45" i="1"/>
  <c r="BC40" i="1"/>
  <c r="BF237" i="1"/>
  <c r="BC41" i="1"/>
  <c r="D200" i="1"/>
  <c r="D201" i="1" s="1"/>
  <c r="E200" i="1"/>
  <c r="E201" i="1" s="1"/>
  <c r="K200" i="1"/>
  <c r="K201" i="1" s="1"/>
  <c r="J200" i="1"/>
  <c r="J201" i="1" s="1"/>
  <c r="G200" i="1"/>
  <c r="G201" i="1" s="1"/>
  <c r="AV121" i="1"/>
  <c r="AV124" i="1" s="1"/>
  <c r="AV122" i="1"/>
  <c r="AV125" i="1" s="1"/>
  <c r="BT214" i="1"/>
  <c r="BT212" i="1" s="1"/>
  <c r="BS214" i="1"/>
  <c r="BS212" i="1" s="1"/>
  <c r="AP214" i="1"/>
  <c r="AP212" i="1" s="1"/>
  <c r="AO214" i="1"/>
  <c r="AO212" i="1" s="1"/>
  <c r="BB122" i="1"/>
  <c r="BB125" i="1" s="1"/>
  <c r="BB121" i="1"/>
  <c r="BB124" i="1" s="1"/>
  <c r="BN122" i="1"/>
  <c r="BN125" i="1" s="1"/>
  <c r="BN121" i="1"/>
  <c r="BN124" i="1" s="1"/>
  <c r="BP121" i="1"/>
  <c r="BP124" i="1" s="1"/>
  <c r="BP122" i="1"/>
  <c r="BP125" i="1" s="1"/>
  <c r="AY214" i="1"/>
  <c r="AY212" i="1" s="1"/>
  <c r="AZ214" i="1"/>
  <c r="AZ212" i="1" s="1"/>
  <c r="BF122" i="1"/>
  <c r="BF121" i="1"/>
  <c r="BC214" i="1"/>
  <c r="BC212" i="1" s="1"/>
  <c r="BD214" i="1"/>
  <c r="BD212" i="1" s="1"/>
  <c r="AX214" i="1"/>
  <c r="AX212" i="1" s="1"/>
  <c r="AW214" i="1"/>
  <c r="AW212" i="1" s="1"/>
  <c r="BB214" i="1"/>
  <c r="BB212" i="1" s="1"/>
  <c r="BA214" i="1"/>
  <c r="BA212" i="1" s="1"/>
  <c r="BR214" i="1"/>
  <c r="BR212" i="1" s="1"/>
  <c r="BQ214" i="1"/>
  <c r="BQ212" i="1" s="1"/>
  <c r="BH214" i="1"/>
  <c r="BH212" i="1" s="1"/>
  <c r="BG214" i="1"/>
  <c r="BG212" i="1" s="1"/>
  <c r="AR214" i="1"/>
  <c r="AR212" i="1" s="1"/>
  <c r="AQ214" i="1"/>
  <c r="AQ212" i="1" s="1"/>
  <c r="AR200" i="1"/>
  <c r="AV200" i="1"/>
  <c r="BR121" i="1"/>
  <c r="BR122" i="1"/>
  <c r="BE214" i="1"/>
  <c r="BE212" i="1" s="1"/>
  <c r="BF214" i="1"/>
  <c r="BF212" i="1" s="1"/>
  <c r="AT122" i="1"/>
  <c r="AT125" i="1" s="1"/>
  <c r="AT121" i="1"/>
  <c r="AT124" i="1" s="1"/>
  <c r="AN122" i="1"/>
  <c r="AN125" i="1" s="1"/>
  <c r="AN121" i="1"/>
  <c r="AN124" i="1" s="1"/>
  <c r="AT200" i="1"/>
  <c r="AX200" i="1"/>
  <c r="BV214" i="1"/>
  <c r="BV212" i="1" s="1"/>
  <c r="BU214" i="1"/>
  <c r="BU212" i="1" s="1"/>
  <c r="AV214" i="1"/>
  <c r="AV212" i="1" s="1"/>
  <c r="AU214" i="1"/>
  <c r="AU212" i="1" s="1"/>
  <c r="BT122" i="1"/>
  <c r="BT125" i="1" s="1"/>
  <c r="BT121" i="1"/>
  <c r="BT124" i="1" s="1"/>
  <c r="BD122" i="1"/>
  <c r="BD125" i="1" s="1"/>
  <c r="BD121" i="1"/>
  <c r="BD124" i="1" s="1"/>
  <c r="BO214" i="1"/>
  <c r="BO212" i="1" s="1"/>
  <c r="BP214" i="1"/>
  <c r="BP212" i="1" s="1"/>
  <c r="AX121" i="1"/>
  <c r="AX124" i="1" s="1"/>
  <c r="AX122" i="1"/>
  <c r="AX125" i="1" s="1"/>
  <c r="AP121" i="1"/>
  <c r="AP124" i="1" s="1"/>
  <c r="AP122" i="1"/>
  <c r="AP125" i="1" s="1"/>
  <c r="AZ121" i="1"/>
  <c r="AZ124" i="1" s="1"/>
  <c r="AZ122" i="1"/>
  <c r="AZ125" i="1" s="1"/>
  <c r="BH200" i="1"/>
  <c r="BD200" i="1"/>
  <c r="BN200" i="1"/>
  <c r="BR200" i="1"/>
  <c r="BB200" i="1"/>
  <c r="BF200" i="1"/>
  <c r="BT200" i="1"/>
  <c r="BX200" i="1"/>
  <c r="BK52" i="1"/>
  <c r="BK51" i="1"/>
  <c r="AY51" i="1"/>
  <c r="AY52" i="1"/>
  <c r="AP51" i="1"/>
  <c r="AP52" i="1"/>
  <c r="AP54" i="1" s="1"/>
  <c r="AS51" i="1"/>
  <c r="AS52" i="1"/>
  <c r="AS55" i="1" s="1"/>
  <c r="BM51" i="1"/>
  <c r="BM52" i="1"/>
  <c r="BE51" i="1"/>
  <c r="BE52" i="1"/>
  <c r="BD51" i="1"/>
  <c r="BD52" i="1"/>
  <c r="BO52" i="1"/>
  <c r="BO51" i="1"/>
  <c r="AL125" i="1"/>
  <c r="AL124" i="1"/>
  <c r="AI49" i="1"/>
  <c r="AL66" i="1"/>
  <c r="AU52" i="1"/>
  <c r="AU51" i="1"/>
  <c r="BR49" i="1"/>
  <c r="AR66" i="1"/>
  <c r="AO52" i="1"/>
  <c r="AR53" i="1"/>
  <c r="AR256" i="1" s="1"/>
  <c r="AR59" i="1"/>
  <c r="AR245" i="1"/>
  <c r="AX49" i="1"/>
  <c r="AZ66" i="1"/>
  <c r="BN49" i="1"/>
  <c r="BH52" i="1"/>
  <c r="BH51" i="1"/>
  <c r="AQ49" i="1"/>
  <c r="AT66" i="1"/>
  <c r="BZ66" i="1"/>
  <c r="BW49" i="1"/>
  <c r="BB49" i="1"/>
  <c r="AN66" i="1"/>
  <c r="AN49" i="1"/>
  <c r="BH124" i="1"/>
  <c r="BH125" i="1"/>
  <c r="AV49" i="1"/>
  <c r="AV66" i="1"/>
  <c r="AX66" i="1"/>
  <c r="BT49" i="1"/>
  <c r="BN66" i="1"/>
  <c r="BZ124" i="1"/>
  <c r="BZ125" i="1"/>
  <c r="BG49" i="1"/>
  <c r="BS51" i="1"/>
  <c r="BS52" i="1"/>
  <c r="BJ63" i="1"/>
  <c r="BJ204" i="1"/>
  <c r="BJ206" i="1" s="1"/>
  <c r="BJ77" i="1"/>
  <c r="AT59" i="1"/>
  <c r="AT245" i="1"/>
  <c r="AT53" i="1"/>
  <c r="AT256" i="1" s="1"/>
  <c r="AW59" i="1"/>
  <c r="AW245" i="1"/>
  <c r="AW53" i="1"/>
  <c r="AW256" i="1" s="1"/>
  <c r="CR149" i="1"/>
  <c r="CS43" i="1"/>
  <c r="BF125" i="1" l="1"/>
  <c r="BF124" i="1"/>
  <c r="BR124" i="1"/>
  <c r="BR125" i="1"/>
  <c r="BU52" i="1"/>
  <c r="BY54" i="1" s="1"/>
  <c r="BU51" i="1"/>
  <c r="BL66" i="1"/>
  <c r="BV124" i="1"/>
  <c r="BD66" i="1"/>
  <c r="BC49" i="1"/>
  <c r="BX124" i="1"/>
  <c r="BX125" i="1"/>
  <c r="AZ245" i="1"/>
  <c r="AZ59" i="1"/>
  <c r="AZ53" i="1"/>
  <c r="AZ256" i="1" s="1"/>
  <c r="BV125" i="1"/>
  <c r="BJ124" i="1"/>
  <c r="BJ125" i="1"/>
  <c r="BI49" i="1"/>
  <c r="BF66" i="1"/>
  <c r="BR66" i="1"/>
  <c r="AP66" i="1"/>
  <c r="BL124" i="1"/>
  <c r="BL125" i="1"/>
  <c r="BQ49" i="1"/>
  <c r="BT66" i="1"/>
  <c r="BF49" i="1"/>
  <c r="BH66" i="1"/>
  <c r="BA49" i="1"/>
  <c r="BB66" i="1"/>
  <c r="BP49" i="1"/>
  <c r="BP66" i="1"/>
  <c r="BV49" i="1"/>
  <c r="BV66" i="1"/>
  <c r="BX66" i="1"/>
  <c r="BY66" i="1"/>
  <c r="BA51" i="1"/>
  <c r="BA52" i="1"/>
  <c r="BL55" i="1"/>
  <c r="BK59" i="1"/>
  <c r="BK53" i="1"/>
  <c r="BK256" i="1" s="1"/>
  <c r="AY245" i="1"/>
  <c r="AY53" i="1"/>
  <c r="AY256" i="1" s="1"/>
  <c r="AT54" i="1"/>
  <c r="AP245" i="1"/>
  <c r="AP59" i="1"/>
  <c r="AP53" i="1"/>
  <c r="AP256" i="1" s="1"/>
  <c r="AZ55" i="1"/>
  <c r="AY59" i="1"/>
  <c r="BU53" i="1"/>
  <c r="BU256" i="1" s="1"/>
  <c r="BU245" i="1"/>
  <c r="BU59" i="1"/>
  <c r="BK55" i="1"/>
  <c r="BK245" i="1"/>
  <c r="AS59" i="1"/>
  <c r="AS53" i="1"/>
  <c r="AS256" i="1" s="1"/>
  <c r="AS245" i="1"/>
  <c r="AT55" i="1"/>
  <c r="AW54" i="1"/>
  <c r="BI52" i="1"/>
  <c r="BI55" i="1" s="1"/>
  <c r="BI51" i="1"/>
  <c r="BM59" i="1"/>
  <c r="BM55" i="1"/>
  <c r="BM245" i="1"/>
  <c r="BM238" i="1"/>
  <c r="BM53" i="1"/>
  <c r="BM256" i="1" s="1"/>
  <c r="BE53" i="1"/>
  <c r="BE256" i="1" s="1"/>
  <c r="BE59" i="1"/>
  <c r="BE245" i="1"/>
  <c r="BC52" i="1"/>
  <c r="BC51" i="1"/>
  <c r="BS54" i="1"/>
  <c r="BE54" i="1"/>
  <c r="BD59" i="1"/>
  <c r="BD245" i="1"/>
  <c r="BD53" i="1"/>
  <c r="BD256" i="1" s="1"/>
  <c r="BD54" i="1"/>
  <c r="BE55" i="1"/>
  <c r="BO245" i="1"/>
  <c r="BO53" i="1"/>
  <c r="BO256" i="1" s="1"/>
  <c r="BO59" i="1"/>
  <c r="BO54" i="1"/>
  <c r="AI52" i="1"/>
  <c r="AI51" i="1"/>
  <c r="AU53" i="1"/>
  <c r="AU256" i="1" s="1"/>
  <c r="AU245" i="1"/>
  <c r="AY54" i="1"/>
  <c r="AU59" i="1"/>
  <c r="AU238" i="1"/>
  <c r="AU55" i="1"/>
  <c r="AP55" i="1"/>
  <c r="AO59" i="1"/>
  <c r="AZ77" i="1"/>
  <c r="AZ63" i="1"/>
  <c r="AZ204" i="1"/>
  <c r="AZ206" i="1" s="1"/>
  <c r="BR52" i="1"/>
  <c r="BR51" i="1"/>
  <c r="AO54" i="1"/>
  <c r="BH54" i="1"/>
  <c r="AO245" i="1"/>
  <c r="AS54" i="1"/>
  <c r="AO53" i="1"/>
  <c r="AO256" i="1" s="1"/>
  <c r="BW52" i="1"/>
  <c r="BW54" i="1" s="1"/>
  <c r="BW51" i="1"/>
  <c r="BN52" i="1"/>
  <c r="BN51" i="1"/>
  <c r="AQ52" i="1"/>
  <c r="AQ51" i="1"/>
  <c r="AR63" i="1"/>
  <c r="AR204" i="1"/>
  <c r="AR206" i="1" s="1"/>
  <c r="AR77" i="1"/>
  <c r="BT52" i="1"/>
  <c r="BT51" i="1"/>
  <c r="AV51" i="1"/>
  <c r="AV52" i="1"/>
  <c r="AN52" i="1"/>
  <c r="AN51" i="1"/>
  <c r="BH59" i="1"/>
  <c r="BL54" i="1"/>
  <c r="BH245" i="1"/>
  <c r="BH53" i="1"/>
  <c r="BH256" i="1" s="1"/>
  <c r="AX52" i="1"/>
  <c r="AX51" i="1"/>
  <c r="BG51" i="1"/>
  <c r="BG52" i="1"/>
  <c r="BB52" i="1"/>
  <c r="BB51" i="1"/>
  <c r="BS245" i="1"/>
  <c r="BS53" i="1"/>
  <c r="BS256" i="1" s="1"/>
  <c r="BS59" i="1"/>
  <c r="AT77" i="1"/>
  <c r="AT204" i="1"/>
  <c r="AT206" i="1" s="1"/>
  <c r="AT63" i="1"/>
  <c r="AW204" i="1"/>
  <c r="AW206" i="1" s="1"/>
  <c r="AW77" i="1"/>
  <c r="AW130" i="1"/>
  <c r="AW131" i="1" s="1"/>
  <c r="AW63" i="1"/>
  <c r="CS205" i="1"/>
  <c r="CS143" i="1"/>
  <c r="CR214" i="1"/>
  <c r="CR212" i="1" s="1"/>
  <c r="AC136" i="1"/>
  <c r="AC139" i="1" s="1"/>
  <c r="AC260" i="1" s="1"/>
  <c r="BP51" i="1" l="1"/>
  <c r="BP52" i="1"/>
  <c r="BQ52" i="1"/>
  <c r="BQ238" i="1" s="1"/>
  <c r="BQ51" i="1"/>
  <c r="BF51" i="1"/>
  <c r="BF52" i="1"/>
  <c r="BF54" i="1" s="1"/>
  <c r="BV51" i="1"/>
  <c r="BV52" i="1"/>
  <c r="BA245" i="1"/>
  <c r="BA55" i="1"/>
  <c r="BA53" i="1"/>
  <c r="BA256" i="1" s="1"/>
  <c r="BA59" i="1"/>
  <c r="BA54" i="1"/>
  <c r="BK63" i="1"/>
  <c r="BK204" i="1"/>
  <c r="BK206" i="1" s="1"/>
  <c r="BK130" i="1"/>
  <c r="BK131" i="1" s="1"/>
  <c r="BK77" i="1"/>
  <c r="AP204" i="1"/>
  <c r="AP206" i="1" s="1"/>
  <c r="AP77" i="1"/>
  <c r="AP63" i="1"/>
  <c r="BU130" i="1"/>
  <c r="BU131" i="1" s="1"/>
  <c r="BU63" i="1"/>
  <c r="BU204" i="1"/>
  <c r="BU206" i="1" s="1"/>
  <c r="BU77" i="1"/>
  <c r="BS55" i="1"/>
  <c r="BS238" i="1"/>
  <c r="AY204" i="1"/>
  <c r="AY206" i="1" s="1"/>
  <c r="AY77" i="1"/>
  <c r="AY130" i="1"/>
  <c r="AY131" i="1" s="1"/>
  <c r="AY63" i="1"/>
  <c r="AS63" i="1"/>
  <c r="AS130" i="1"/>
  <c r="AS131" i="1" s="1"/>
  <c r="AS204" i="1"/>
  <c r="AS206" i="1" s="1"/>
  <c r="AS77" i="1"/>
  <c r="BI54" i="1"/>
  <c r="BK238" i="1"/>
  <c r="BM77" i="1"/>
  <c r="BM63" i="1"/>
  <c r="BM54" i="1"/>
  <c r="BL238" i="1"/>
  <c r="BI59" i="1"/>
  <c r="BI245" i="1"/>
  <c r="BJ55" i="1"/>
  <c r="BI53" i="1"/>
  <c r="BI256" i="1" s="1"/>
  <c r="BM130" i="1"/>
  <c r="BM131" i="1" s="1"/>
  <c r="BM204" i="1"/>
  <c r="BM206" i="1" s="1"/>
  <c r="BE77" i="1"/>
  <c r="BE204" i="1"/>
  <c r="BE206" i="1" s="1"/>
  <c r="BE63" i="1"/>
  <c r="BE130" i="1"/>
  <c r="BE131" i="1" s="1"/>
  <c r="BF238" i="1"/>
  <c r="BD55" i="1"/>
  <c r="BC54" i="1"/>
  <c r="BC59" i="1"/>
  <c r="BC245" i="1"/>
  <c r="BC53" i="1"/>
  <c r="BC256" i="1" s="1"/>
  <c r="BD63" i="1"/>
  <c r="BD204" i="1"/>
  <c r="BD206" i="1" s="1"/>
  <c r="BD77" i="1"/>
  <c r="BO63" i="1"/>
  <c r="BO77" i="1"/>
  <c r="BO204" i="1"/>
  <c r="BO206" i="1" s="1"/>
  <c r="BO130" i="1"/>
  <c r="BO131" i="1" s="1"/>
  <c r="AI53" i="1"/>
  <c r="AI245" i="1"/>
  <c r="AJ55" i="1"/>
  <c r="AM54" i="1"/>
  <c r="AI59" i="1"/>
  <c r="AL238" i="1"/>
  <c r="AU63" i="1"/>
  <c r="AU77" i="1"/>
  <c r="AU204" i="1"/>
  <c r="AU206" i="1" s="1"/>
  <c r="AU130" i="1"/>
  <c r="AU131" i="1" s="1"/>
  <c r="AO204" i="1"/>
  <c r="AO206" i="1" s="1"/>
  <c r="AO77" i="1"/>
  <c r="AO130" i="1"/>
  <c r="AO131" i="1" s="1"/>
  <c r="AO63" i="1"/>
  <c r="BR53" i="1"/>
  <c r="BR256" i="1" s="1"/>
  <c r="BR245" i="1"/>
  <c r="BR59" i="1"/>
  <c r="BV54" i="1"/>
  <c r="BR55" i="1"/>
  <c r="BR238" i="1"/>
  <c r="AN53" i="1"/>
  <c r="AN256" i="1" s="1"/>
  <c r="AQ238" i="1"/>
  <c r="AO55" i="1"/>
  <c r="AN238" i="1"/>
  <c r="AN54" i="1"/>
  <c r="AP238" i="1"/>
  <c r="AR54" i="1"/>
  <c r="AO238" i="1"/>
  <c r="AN59" i="1"/>
  <c r="AN55" i="1"/>
  <c r="AN245" i="1"/>
  <c r="BX54" i="1"/>
  <c r="BT53" i="1"/>
  <c r="BT256" i="1" s="1"/>
  <c r="BT245" i="1"/>
  <c r="BT59" i="1"/>
  <c r="BU55" i="1"/>
  <c r="BT54" i="1"/>
  <c r="BW238" i="1"/>
  <c r="BV238" i="1"/>
  <c r="AZ54" i="1"/>
  <c r="AV53" i="1"/>
  <c r="AV256" i="1" s="1"/>
  <c r="AV245" i="1"/>
  <c r="AV59" i="1"/>
  <c r="AY238" i="1"/>
  <c r="AW238" i="1"/>
  <c r="AW55" i="1"/>
  <c r="AV54" i="1"/>
  <c r="AV55" i="1"/>
  <c r="AX238" i="1"/>
  <c r="AV238" i="1"/>
  <c r="AR55" i="1"/>
  <c r="AQ54" i="1"/>
  <c r="AQ245" i="1"/>
  <c r="AQ59" i="1"/>
  <c r="AQ53" i="1"/>
  <c r="AQ256" i="1" s="1"/>
  <c r="AQ55" i="1"/>
  <c r="AU54" i="1"/>
  <c r="AT238" i="1"/>
  <c r="AS238" i="1"/>
  <c r="AR238" i="1"/>
  <c r="BN245" i="1"/>
  <c r="BR54" i="1"/>
  <c r="BN59" i="1"/>
  <c r="BN54" i="1"/>
  <c r="BN53" i="1"/>
  <c r="BN256" i="1" s="1"/>
  <c r="BO55" i="1"/>
  <c r="BN238" i="1"/>
  <c r="BN55" i="1"/>
  <c r="BO238" i="1"/>
  <c r="BP238" i="1"/>
  <c r="BB53" i="1"/>
  <c r="BB256" i="1" s="1"/>
  <c r="BB245" i="1"/>
  <c r="BB59" i="1"/>
  <c r="BC55" i="1"/>
  <c r="BD238" i="1"/>
  <c r="BB238" i="1"/>
  <c r="BB55" i="1"/>
  <c r="BC238" i="1"/>
  <c r="BE238" i="1"/>
  <c r="BB54" i="1"/>
  <c r="AX59" i="1"/>
  <c r="AX245" i="1"/>
  <c r="AX53" i="1"/>
  <c r="AX256" i="1" s="1"/>
  <c r="AZ238" i="1"/>
  <c r="AX55" i="1"/>
  <c r="AY55" i="1"/>
  <c r="AX54" i="1"/>
  <c r="BA238" i="1"/>
  <c r="BH63" i="1"/>
  <c r="BH77" i="1"/>
  <c r="BH204" i="1"/>
  <c r="BH206" i="1" s="1"/>
  <c r="BT238" i="1"/>
  <c r="BT55" i="1"/>
  <c r="BK54" i="1"/>
  <c r="BG59" i="1"/>
  <c r="BG54" i="1"/>
  <c r="BG53" i="1"/>
  <c r="BG256" i="1" s="1"/>
  <c r="BH55" i="1"/>
  <c r="BG238" i="1"/>
  <c r="BG245" i="1"/>
  <c r="BJ238" i="1"/>
  <c r="BG55" i="1"/>
  <c r="BI238" i="1"/>
  <c r="BX238" i="1"/>
  <c r="BW245" i="1"/>
  <c r="BW55" i="1"/>
  <c r="BX55" i="1"/>
  <c r="BW59" i="1"/>
  <c r="X72" i="1"/>
  <c r="BY238" i="1"/>
  <c r="CA54" i="1"/>
  <c r="BW53" i="1"/>
  <c r="BW256" i="1" s="1"/>
  <c r="BZ238" i="1"/>
  <c r="BS204" i="1"/>
  <c r="BS206" i="1" s="1"/>
  <c r="BS63" i="1"/>
  <c r="BS130" i="1"/>
  <c r="BS131" i="1" s="1"/>
  <c r="BS77" i="1"/>
  <c r="AW140" i="1"/>
  <c r="AW66" i="1" s="1"/>
  <c r="AW218" i="1"/>
  <c r="AW216" i="1" s="1"/>
  <c r="AW103" i="1"/>
  <c r="CS145" i="1"/>
  <c r="AC217" i="1"/>
  <c r="CA237" i="1"/>
  <c r="CB237" i="1"/>
  <c r="BU237" i="1"/>
  <c r="BH238" i="1" l="1"/>
  <c r="BP53" i="1"/>
  <c r="BP256" i="1" s="1"/>
  <c r="BP245" i="1"/>
  <c r="BP54" i="1"/>
  <c r="BP59" i="1"/>
  <c r="BP55" i="1"/>
  <c r="BQ54" i="1"/>
  <c r="BU54" i="1"/>
  <c r="BQ245" i="1"/>
  <c r="BQ59" i="1"/>
  <c r="BQ53" i="1"/>
  <c r="BQ256" i="1" s="1"/>
  <c r="BQ55" i="1"/>
  <c r="BF55" i="1"/>
  <c r="BJ54" i="1"/>
  <c r="BF245" i="1"/>
  <c r="BF53" i="1"/>
  <c r="BF256" i="1" s="1"/>
  <c r="BF59" i="1"/>
  <c r="BV55" i="1"/>
  <c r="BZ54" i="1"/>
  <c r="BV245" i="1"/>
  <c r="BV59" i="1"/>
  <c r="BV53" i="1"/>
  <c r="BV256" i="1" s="1"/>
  <c r="BA204" i="1"/>
  <c r="BA206" i="1" s="1"/>
  <c r="BA130" i="1"/>
  <c r="BA131" i="1" s="1"/>
  <c r="BA77" i="1"/>
  <c r="BA63" i="1"/>
  <c r="BK65" i="1"/>
  <c r="BM80" i="1"/>
  <c r="BI100" i="1" s="1"/>
  <c r="BK103" i="1"/>
  <c r="BL218" i="1"/>
  <c r="BL216" i="1" s="1"/>
  <c r="BK218" i="1"/>
  <c r="BK216" i="1" s="1"/>
  <c r="BK140" i="1"/>
  <c r="BK66" i="1" s="1"/>
  <c r="BU218" i="1"/>
  <c r="BU216" i="1" s="1"/>
  <c r="BU103" i="1"/>
  <c r="BU140" i="1"/>
  <c r="BU66" i="1" s="1"/>
  <c r="AU80" i="1"/>
  <c r="AY103" i="1"/>
  <c r="AY218" i="1"/>
  <c r="AY216" i="1" s="1"/>
  <c r="AY140" i="1"/>
  <c r="AY66" i="1" s="1"/>
  <c r="AZ218" i="1"/>
  <c r="AZ216" i="1" s="1"/>
  <c r="AS218" i="1"/>
  <c r="AS216" i="1" s="1"/>
  <c r="AS103" i="1"/>
  <c r="AS140" i="1"/>
  <c r="AS66" i="1" s="1"/>
  <c r="AT218" i="1"/>
  <c r="AT216" i="1" s="1"/>
  <c r="AO65" i="1"/>
  <c r="BL65" i="1"/>
  <c r="BI63" i="1"/>
  <c r="BI204" i="1"/>
  <c r="BI206" i="1" s="1"/>
  <c r="BI77" i="1"/>
  <c r="BI130" i="1"/>
  <c r="BI131" i="1" s="1"/>
  <c r="BM65" i="1"/>
  <c r="BM218" i="1"/>
  <c r="BM216" i="1" s="1"/>
  <c r="BM140" i="1"/>
  <c r="BM66" i="1" s="1"/>
  <c r="BM103" i="1"/>
  <c r="AX218" i="1"/>
  <c r="AX216" i="1" s="1"/>
  <c r="BE103" i="1"/>
  <c r="BE140" i="1"/>
  <c r="BE66" i="1" s="1"/>
  <c r="BE218" i="1"/>
  <c r="BE216" i="1" s="1"/>
  <c r="BC77" i="1"/>
  <c r="BC130" i="1"/>
  <c r="BC131" i="1" s="1"/>
  <c r="BC204" i="1"/>
  <c r="BC206" i="1" s="1"/>
  <c r="BC63" i="1"/>
  <c r="BO218" i="1"/>
  <c r="BO216" i="1" s="1"/>
  <c r="BO140" i="1"/>
  <c r="BO66" i="1" s="1"/>
  <c r="BP218" i="1"/>
  <c r="BP216" i="1" s="1"/>
  <c r="BO103" i="1"/>
  <c r="AI77" i="1"/>
  <c r="AL80" i="1" s="1"/>
  <c r="AI63" i="1"/>
  <c r="AL65" i="1"/>
  <c r="N72" i="1"/>
  <c r="AI218" i="1"/>
  <c r="AI216" i="1" s="1"/>
  <c r="AI204" i="1"/>
  <c r="AI206" i="1" s="1"/>
  <c r="AI210" i="1" s="1"/>
  <c r="AI224" i="1" s="1"/>
  <c r="AU103" i="1"/>
  <c r="AU218" i="1"/>
  <c r="AU216" i="1" s="1"/>
  <c r="AU140" i="1"/>
  <c r="AU66" i="1" s="1"/>
  <c r="AU65" i="1"/>
  <c r="AP218" i="1"/>
  <c r="AP216" i="1" s="1"/>
  <c r="AO103" i="1"/>
  <c r="AO140" i="1"/>
  <c r="AO66" i="1" s="1"/>
  <c r="AO218" i="1"/>
  <c r="AO216" i="1" s="1"/>
  <c r="AV218" i="1"/>
  <c r="AV216" i="1" s="1"/>
  <c r="AY65" i="1"/>
  <c r="BR63" i="1"/>
  <c r="BR204" i="1"/>
  <c r="BR206" i="1" s="1"/>
  <c r="BR77" i="1"/>
  <c r="BR65" i="1"/>
  <c r="V72" i="1"/>
  <c r="AW65" i="1"/>
  <c r="BO65" i="1"/>
  <c r="BN218" i="1"/>
  <c r="BN216" i="1" s="1"/>
  <c r="BU65" i="1"/>
  <c r="BW130" i="1"/>
  <c r="BW131" i="1" s="1"/>
  <c r="BW204" i="1"/>
  <c r="BW206" i="1" s="1"/>
  <c r="BW63" i="1"/>
  <c r="BZ65" i="1"/>
  <c r="BW77" i="1"/>
  <c r="BN63" i="1"/>
  <c r="BN77" i="1"/>
  <c r="BN204" i="1"/>
  <c r="BN206" i="1" s="1"/>
  <c r="BN65" i="1"/>
  <c r="U72" i="1"/>
  <c r="AV204" i="1"/>
  <c r="AV206" i="1" s="1"/>
  <c r="AV63" i="1"/>
  <c r="AV77" i="1"/>
  <c r="AV65" i="1"/>
  <c r="Q72" i="1"/>
  <c r="AX65" i="1"/>
  <c r="BT204" i="1"/>
  <c r="BT206" i="1" s="1"/>
  <c r="BT63" i="1"/>
  <c r="BT77" i="1"/>
  <c r="AX63" i="1"/>
  <c r="AX77" i="1"/>
  <c r="AX204" i="1"/>
  <c r="AX206" i="1" s="1"/>
  <c r="AZ65" i="1"/>
  <c r="BB77" i="1"/>
  <c r="BB63" i="1"/>
  <c r="BB204" i="1"/>
  <c r="BB206" i="1" s="1"/>
  <c r="BB65" i="1"/>
  <c r="R72" i="1"/>
  <c r="BD65" i="1"/>
  <c r="BE65" i="1"/>
  <c r="AQ130" i="1"/>
  <c r="AQ131" i="1" s="1"/>
  <c r="AQ204" i="1"/>
  <c r="AQ206" i="1" s="1"/>
  <c r="AQ63" i="1"/>
  <c r="AQ77" i="1"/>
  <c r="AS65" i="1"/>
  <c r="AR65" i="1"/>
  <c r="AT65" i="1"/>
  <c r="P72" i="1"/>
  <c r="BG63" i="1"/>
  <c r="BG77" i="1"/>
  <c r="BG130" i="1"/>
  <c r="BG131" i="1" s="1"/>
  <c r="BJ65" i="1"/>
  <c r="BG204" i="1"/>
  <c r="BG206" i="1" s="1"/>
  <c r="T72" i="1"/>
  <c r="AN63" i="1"/>
  <c r="AP65" i="1"/>
  <c r="AN77" i="1"/>
  <c r="AN204" i="1"/>
  <c r="AN206" i="1" s="1"/>
  <c r="AN65" i="1"/>
  <c r="O72" i="1"/>
  <c r="AN218" i="1"/>
  <c r="AN216" i="1" s="1"/>
  <c r="BT218" i="1"/>
  <c r="BT216" i="1" s="1"/>
  <c r="BS103" i="1"/>
  <c r="BS140" i="1"/>
  <c r="BS66" i="1" s="1"/>
  <c r="BS218" i="1"/>
  <c r="BS216" i="1" s="1"/>
  <c r="BS65" i="1"/>
  <c r="AW106" i="1"/>
  <c r="AW105" i="1"/>
  <c r="AW107" i="1"/>
  <c r="CS149" i="1"/>
  <c r="CT43" i="1"/>
  <c r="AD135" i="1"/>
  <c r="W70" i="1"/>
  <c r="BP65" i="1" l="1"/>
  <c r="BP77" i="1"/>
  <c r="BP204" i="1"/>
  <c r="BP206" i="1" s="1"/>
  <c r="BP63" i="1"/>
  <c r="BV218" i="1"/>
  <c r="BV216" i="1" s="1"/>
  <c r="BA65" i="1"/>
  <c r="BF218" i="1"/>
  <c r="BF216" i="1" s="1"/>
  <c r="S72" i="1"/>
  <c r="BF65" i="1"/>
  <c r="BT65" i="1"/>
  <c r="BH65" i="1"/>
  <c r="BQ130" i="1"/>
  <c r="BQ131" i="1" s="1"/>
  <c r="BQ65" i="1" s="1"/>
  <c r="BQ63" i="1"/>
  <c r="BQ77" i="1"/>
  <c r="BQ204" i="1"/>
  <c r="BQ206" i="1" s="1"/>
  <c r="BF204" i="1"/>
  <c r="BF206" i="1" s="1"/>
  <c r="BF77" i="1"/>
  <c r="BF63" i="1"/>
  <c r="BV63" i="1"/>
  <c r="BV77" i="1"/>
  <c r="BV204" i="1"/>
  <c r="BV206" i="1" s="1"/>
  <c r="BV65" i="1"/>
  <c r="BX65" i="1"/>
  <c r="BY65" i="1"/>
  <c r="BA140" i="1"/>
  <c r="BA66" i="1" s="1"/>
  <c r="BA218" i="1"/>
  <c r="BA216" i="1" s="1"/>
  <c r="BB218" i="1"/>
  <c r="BB216" i="1" s="1"/>
  <c r="BA103" i="1"/>
  <c r="BM96" i="1"/>
  <c r="BM98" i="1"/>
  <c r="BM97" i="1"/>
  <c r="BK107" i="1"/>
  <c r="BK105" i="1"/>
  <c r="BK106" i="1"/>
  <c r="BU105" i="1"/>
  <c r="BU107" i="1"/>
  <c r="BU106" i="1"/>
  <c r="AU98" i="1"/>
  <c r="AU97" i="1"/>
  <c r="AQ100" i="1"/>
  <c r="AU96" i="1"/>
  <c r="AY105" i="1"/>
  <c r="AY106" i="1"/>
  <c r="AY107" i="1"/>
  <c r="BL80" i="1"/>
  <c r="BK80" i="1"/>
  <c r="AS106" i="1"/>
  <c r="AS107" i="1"/>
  <c r="AS105" i="1"/>
  <c r="BI103" i="1"/>
  <c r="BI140" i="1"/>
  <c r="BI66" i="1" s="1"/>
  <c r="BI218" i="1"/>
  <c r="BI216" i="1" s="1"/>
  <c r="BI65" i="1"/>
  <c r="BJ218" i="1"/>
  <c r="BJ216" i="1" s="1"/>
  <c r="AI221" i="1"/>
  <c r="AI222" i="1" s="1"/>
  <c r="BM106" i="1"/>
  <c r="BM107" i="1"/>
  <c r="BM105" i="1"/>
  <c r="BU80" i="1"/>
  <c r="BU96" i="1" s="1"/>
  <c r="BE105" i="1"/>
  <c r="BE107" i="1"/>
  <c r="BE106" i="1"/>
  <c r="BC218" i="1"/>
  <c r="BC216" i="1" s="1"/>
  <c r="BC140" i="1"/>
  <c r="BC66" i="1" s="1"/>
  <c r="BC103" i="1"/>
  <c r="BC65" i="1"/>
  <c r="BD218" i="1"/>
  <c r="BD216" i="1" s="1"/>
  <c r="BO105" i="1"/>
  <c r="BO106" i="1"/>
  <c r="BO107" i="1"/>
  <c r="AL96" i="1"/>
  <c r="AL97" i="1"/>
  <c r="AL98" i="1"/>
  <c r="AU106" i="1"/>
  <c r="AU107" i="1"/>
  <c r="AU105" i="1"/>
  <c r="AO107" i="1"/>
  <c r="AO105" i="1"/>
  <c r="AO106" i="1"/>
  <c r="BA80" i="1"/>
  <c r="AZ80" i="1"/>
  <c r="AY80" i="1"/>
  <c r="AY97" i="1" s="1"/>
  <c r="AX80" i="1"/>
  <c r="AV80" i="1"/>
  <c r="AW80" i="1"/>
  <c r="AT80" i="1"/>
  <c r="AR80" i="1"/>
  <c r="AS80" i="1"/>
  <c r="BO80" i="1"/>
  <c r="BN80" i="1"/>
  <c r="AQ80" i="1"/>
  <c r="AN80" i="1"/>
  <c r="AP80" i="1"/>
  <c r="AO80" i="1"/>
  <c r="BJ80" i="1"/>
  <c r="BF100" i="1" s="1"/>
  <c r="BE80" i="1"/>
  <c r="BE97" i="1" s="1"/>
  <c r="BD80" i="1"/>
  <c r="BB80" i="1"/>
  <c r="BC80" i="1"/>
  <c r="BZ80" i="1"/>
  <c r="BG218" i="1"/>
  <c r="BG216" i="1" s="1"/>
  <c r="BG140" i="1"/>
  <c r="BG66" i="1" s="1"/>
  <c r="BG103" i="1"/>
  <c r="BG65" i="1"/>
  <c r="BH218" i="1"/>
  <c r="BH216" i="1" s="1"/>
  <c r="AQ140" i="1"/>
  <c r="AQ66" i="1" s="1"/>
  <c r="AQ218" i="1"/>
  <c r="AQ216" i="1" s="1"/>
  <c r="AQ103" i="1"/>
  <c r="AR218" i="1"/>
  <c r="AR216" i="1" s="1"/>
  <c r="AQ65" i="1"/>
  <c r="BW218" i="1"/>
  <c r="BW216" i="1" s="1"/>
  <c r="BX218" i="1"/>
  <c r="BX216" i="1" s="1"/>
  <c r="BW140" i="1"/>
  <c r="BW66" i="1" s="1"/>
  <c r="BW65" i="1"/>
  <c r="BW103" i="1"/>
  <c r="BS105" i="1"/>
  <c r="BS106" i="1"/>
  <c r="BS107" i="1"/>
  <c r="AC43" i="1"/>
  <c r="CT205" i="1"/>
  <c r="CT143" i="1"/>
  <c r="CS214" i="1"/>
  <c r="CS212" i="1" s="1"/>
  <c r="W71" i="1"/>
  <c r="BP80" i="1" l="1"/>
  <c r="BR218" i="1"/>
  <c r="BR216" i="1" s="1"/>
  <c r="BQ140" i="1"/>
  <c r="BQ66" i="1" s="1"/>
  <c r="BQ103" i="1"/>
  <c r="BQ218" i="1"/>
  <c r="BQ216" i="1" s="1"/>
  <c r="BR80" i="1"/>
  <c r="BT80" i="1"/>
  <c r="BS80" i="1"/>
  <c r="BQ80" i="1"/>
  <c r="BF80" i="1"/>
  <c r="BG80" i="1"/>
  <c r="BH80" i="1"/>
  <c r="BI80" i="1"/>
  <c r="BV80" i="1"/>
  <c r="BY80" i="1"/>
  <c r="BW80" i="1"/>
  <c r="BX80" i="1"/>
  <c r="BA107" i="1"/>
  <c r="BA105" i="1"/>
  <c r="BA106" i="1"/>
  <c r="BL96" i="1"/>
  <c r="BL97" i="1"/>
  <c r="BN100" i="1"/>
  <c r="BR96" i="1"/>
  <c r="BH100" i="1"/>
  <c r="BL98" i="1"/>
  <c r="BK96" i="1"/>
  <c r="BK97" i="1"/>
  <c r="BK98" i="1"/>
  <c r="BG100" i="1"/>
  <c r="BV100" i="1"/>
  <c r="BI106" i="1"/>
  <c r="BI107" i="1"/>
  <c r="BI105" i="1"/>
  <c r="BQ100" i="1"/>
  <c r="BU98" i="1"/>
  <c r="BU97" i="1"/>
  <c r="BC106" i="1"/>
  <c r="BC105" i="1"/>
  <c r="BC107" i="1"/>
  <c r="AW100" i="1"/>
  <c r="BE81" i="1"/>
  <c r="AQ97" i="1"/>
  <c r="AQ96" i="1"/>
  <c r="BA98" i="1"/>
  <c r="AX81" i="1"/>
  <c r="CD81" i="1"/>
  <c r="BZ98" i="1"/>
  <c r="AN98" i="1"/>
  <c r="AR81" i="1"/>
  <c r="AN97" i="1"/>
  <c r="AN96" i="1"/>
  <c r="BO96" i="1"/>
  <c r="BK100" i="1"/>
  <c r="BO97" i="1"/>
  <c r="BO81" i="1"/>
  <c r="BO98" i="1"/>
  <c r="AP100" i="1"/>
  <c r="BE98" i="1"/>
  <c r="BE96" i="1"/>
  <c r="BJ97" i="1"/>
  <c r="BJ96" i="1"/>
  <c r="AU81" i="1"/>
  <c r="AQ81" i="1"/>
  <c r="AQ98" i="1"/>
  <c r="AW96" i="1"/>
  <c r="AW97" i="1"/>
  <c r="AS100" i="1"/>
  <c r="BA81" i="1"/>
  <c r="AW98" i="1"/>
  <c r="AV100" i="1"/>
  <c r="AZ98" i="1"/>
  <c r="AZ97" i="1"/>
  <c r="BD81" i="1"/>
  <c r="AZ96" i="1"/>
  <c r="AZ100" i="1"/>
  <c r="BD96" i="1"/>
  <c r="BD98" i="1"/>
  <c r="BD97" i="1"/>
  <c r="AY98" i="1"/>
  <c r="AU100" i="1"/>
  <c r="BC81" i="1"/>
  <c r="AY81" i="1"/>
  <c r="AT97" i="1"/>
  <c r="BJ98" i="1"/>
  <c r="AM100" i="1"/>
  <c r="BC98" i="1"/>
  <c r="AY100" i="1"/>
  <c r="BC97" i="1"/>
  <c r="BC96" i="1"/>
  <c r="AO98" i="1"/>
  <c r="AO96" i="1"/>
  <c r="AS81" i="1"/>
  <c r="AO97" i="1"/>
  <c r="BP81" i="1"/>
  <c r="BL100" i="1"/>
  <c r="BP97" i="1"/>
  <c r="BP98" i="1"/>
  <c r="BP96" i="1"/>
  <c r="AS97" i="1"/>
  <c r="AO100" i="1"/>
  <c r="AS98" i="1"/>
  <c r="AS96" i="1"/>
  <c r="AW81" i="1"/>
  <c r="AV97" i="1"/>
  <c r="AV96" i="1"/>
  <c r="AZ81" i="1"/>
  <c r="AV98" i="1"/>
  <c r="AR100" i="1"/>
  <c r="BA96" i="1"/>
  <c r="BA97" i="1"/>
  <c r="AT98" i="1"/>
  <c r="AT96" i="1"/>
  <c r="AY96" i="1"/>
  <c r="BZ97" i="1"/>
  <c r="CC101" i="1" s="1"/>
  <c r="BA100" i="1"/>
  <c r="BN81" i="1"/>
  <c r="BZ96" i="1"/>
  <c r="AX100" i="1"/>
  <c r="BF81" i="1"/>
  <c r="BB98" i="1"/>
  <c r="BB97" i="1"/>
  <c r="BB96" i="1"/>
  <c r="AT81" i="1"/>
  <c r="AP98" i="1"/>
  <c r="AP81" i="1"/>
  <c r="AL100" i="1"/>
  <c r="AP97" i="1"/>
  <c r="AP96" i="1"/>
  <c r="BJ100" i="1"/>
  <c r="BN98" i="1"/>
  <c r="BN96" i="1"/>
  <c r="BN97" i="1"/>
  <c r="AN100" i="1"/>
  <c r="AR98" i="1"/>
  <c r="AR97" i="1"/>
  <c r="AR96" i="1"/>
  <c r="AV81" i="1"/>
  <c r="AX97" i="1"/>
  <c r="BB81" i="1"/>
  <c r="AX96" i="1"/>
  <c r="AT100" i="1"/>
  <c r="AX98" i="1"/>
  <c r="BW105" i="1"/>
  <c r="BW107" i="1"/>
  <c r="BW106" i="1"/>
  <c r="BG105" i="1"/>
  <c r="BG107" i="1"/>
  <c r="BG106" i="1"/>
  <c r="AQ106" i="1"/>
  <c r="AQ107" i="1"/>
  <c r="AQ105" i="1"/>
  <c r="AC205" i="1"/>
  <c r="AC143" i="1"/>
  <c r="AC145" i="1" s="1"/>
  <c r="AC44" i="1" s="1"/>
  <c r="CT145" i="1"/>
  <c r="AD136" i="1"/>
  <c r="AD139" i="1" s="1"/>
  <c r="AD260" i="1" s="1"/>
  <c r="AR120" i="1"/>
  <c r="W72" i="1"/>
  <c r="BR98" i="1" l="1"/>
  <c r="BV81" i="1"/>
  <c r="BP100" i="1"/>
  <c r="BJ81" i="1"/>
  <c r="BT98" i="1"/>
  <c r="BT96" i="1"/>
  <c r="BT97" i="1"/>
  <c r="BS98" i="1"/>
  <c r="BO100" i="1"/>
  <c r="BS97" i="1"/>
  <c r="BS96" i="1"/>
  <c r="BZ81" i="1"/>
  <c r="BQ107" i="1"/>
  <c r="BQ106" i="1"/>
  <c r="BQ105" i="1"/>
  <c r="BF97" i="1"/>
  <c r="BF98" i="1"/>
  <c r="BF96" i="1"/>
  <c r="BB100" i="1"/>
  <c r="BV96" i="1"/>
  <c r="BV97" i="1"/>
  <c r="BV98" i="1"/>
  <c r="BR100" i="1"/>
  <c r="BR97" i="1"/>
  <c r="BR81" i="1"/>
  <c r="BT81" i="1"/>
  <c r="BX81" i="1"/>
  <c r="BW81" i="1"/>
  <c r="BS81" i="1"/>
  <c r="BQ81" i="1"/>
  <c r="BQ96" i="1"/>
  <c r="BQ97" i="1"/>
  <c r="BM100" i="1"/>
  <c r="BU81" i="1"/>
  <c r="BQ98" i="1"/>
  <c r="BG81" i="1"/>
  <c r="BC100" i="1"/>
  <c r="BG96" i="1"/>
  <c r="BG97" i="1"/>
  <c r="BG98" i="1"/>
  <c r="BK81" i="1"/>
  <c r="BH98" i="1"/>
  <c r="BD100" i="1"/>
  <c r="BH97" i="1"/>
  <c r="BK101" i="1" s="1"/>
  <c r="BH96" i="1"/>
  <c r="BL81" i="1"/>
  <c r="BH81" i="1"/>
  <c r="BI81" i="1"/>
  <c r="BM81" i="1"/>
  <c r="BI98" i="1"/>
  <c r="BI96" i="1"/>
  <c r="BI97" i="1"/>
  <c r="BE100" i="1"/>
  <c r="BY81" i="1"/>
  <c r="BY97" i="1"/>
  <c r="BY96" i="1"/>
  <c r="BU100" i="1"/>
  <c r="CC81" i="1"/>
  <c r="BY98" i="1"/>
  <c r="BW96" i="1"/>
  <c r="BS100" i="1"/>
  <c r="BW97" i="1"/>
  <c r="BW98" i="1"/>
  <c r="CA81" i="1"/>
  <c r="BX97" i="1"/>
  <c r="BT100" i="1"/>
  <c r="BX98" i="1"/>
  <c r="CB81" i="1"/>
  <c r="BX96" i="1"/>
  <c r="BT101" i="1"/>
  <c r="BH101" i="1"/>
  <c r="BM101" i="1"/>
  <c r="BG101" i="1"/>
  <c r="BN101" i="1"/>
  <c r="BB101" i="1"/>
  <c r="AW101" i="1"/>
  <c r="AZ101" i="1"/>
  <c r="AR101" i="1"/>
  <c r="AV101" i="1"/>
  <c r="BE101" i="1"/>
  <c r="AS101" i="1"/>
  <c r="AU101" i="1"/>
  <c r="BA101" i="1"/>
  <c r="AT101" i="1"/>
  <c r="AQ101" i="1"/>
  <c r="AP101" i="1"/>
  <c r="AO101" i="1"/>
  <c r="BP101" i="1"/>
  <c r="BO101" i="1"/>
  <c r="AY101" i="1"/>
  <c r="AX101" i="1"/>
  <c r="BC101" i="1"/>
  <c r="BF101" i="1"/>
  <c r="BD101" i="1"/>
  <c r="CU43" i="1"/>
  <c r="CT149" i="1"/>
  <c r="AD217" i="1"/>
  <c r="AB149" i="1"/>
  <c r="AR121" i="1"/>
  <c r="AR124" i="1" s="1"/>
  <c r="AR122" i="1"/>
  <c r="AR125" i="1" s="1"/>
  <c r="CA238" i="1"/>
  <c r="CB238" i="1"/>
  <c r="W204" i="1"/>
  <c r="W206" i="1" s="1"/>
  <c r="BU238" i="1"/>
  <c r="BJ101" i="1" l="1"/>
  <c r="BU101" i="1"/>
  <c r="BZ101" i="1"/>
  <c r="CA101" i="1"/>
  <c r="CB101" i="1"/>
  <c r="BI101" i="1"/>
  <c r="BL101" i="1"/>
  <c r="BY101" i="1"/>
  <c r="BX101" i="1"/>
  <c r="BW101" i="1"/>
  <c r="BV101" i="1"/>
  <c r="BR101" i="1"/>
  <c r="BS101" i="1"/>
  <c r="BQ101" i="1"/>
  <c r="CT214" i="1"/>
  <c r="CT212" i="1" s="1"/>
  <c r="CU205" i="1"/>
  <c r="CU143" i="1"/>
  <c r="AB214" i="1"/>
  <c r="AB212" i="1" s="1"/>
  <c r="AE135" i="1"/>
  <c r="CA100" i="1"/>
  <c r="CU145" i="1" l="1"/>
  <c r="CF100" i="1"/>
  <c r="CU149" i="1" l="1"/>
  <c r="CV43" i="1"/>
  <c r="AE136" i="1"/>
  <c r="AE139" i="1" s="1"/>
  <c r="AE260" i="1" s="1"/>
  <c r="CV205" i="1" l="1"/>
  <c r="CV143" i="1"/>
  <c r="CU214" i="1"/>
  <c r="CU212" i="1" s="1"/>
  <c r="AE217" i="1"/>
  <c r="AC149" i="1"/>
  <c r="W131" i="1"/>
  <c r="CV145" i="1" l="1"/>
  <c r="W65" i="1"/>
  <c r="AC214" i="1"/>
  <c r="AC212" i="1" s="1"/>
  <c r="X218" i="1"/>
  <c r="X216" i="1" s="1"/>
  <c r="W218" i="1"/>
  <c r="W216" i="1" s="1"/>
  <c r="W140" i="1"/>
  <c r="W66" i="1" s="1"/>
  <c r="W186" i="1"/>
  <c r="CW43" i="1" l="1"/>
  <c r="CV149" i="1"/>
  <c r="CV214" i="1" l="1"/>
  <c r="CV212" i="1" s="1"/>
  <c r="CW205" i="1"/>
  <c r="CW143" i="1"/>
  <c r="CW145" i="1" l="1"/>
  <c r="CW149" i="1" l="1"/>
  <c r="CX43" i="1"/>
  <c r="AD43" i="1" l="1"/>
  <c r="CX205" i="1"/>
  <c r="CX143" i="1"/>
  <c r="CW214" i="1"/>
  <c r="CW212" i="1" s="1"/>
  <c r="AD205" i="1" l="1"/>
  <c r="AD143" i="1"/>
  <c r="AD145" i="1" s="1"/>
  <c r="CX145" i="1"/>
  <c r="AD149" i="1" l="1"/>
  <c r="AD214" i="1" s="1"/>
  <c r="AD212" i="1" s="1"/>
  <c r="AD44" i="1"/>
  <c r="CX149" i="1"/>
  <c r="CY43" i="1"/>
  <c r="CY205" i="1" l="1"/>
  <c r="CY143" i="1"/>
  <c r="CX214" i="1"/>
  <c r="CX212" i="1" s="1"/>
  <c r="CY145" i="1" l="1"/>
  <c r="W191" i="1"/>
  <c r="CY149" i="1" l="1"/>
  <c r="CZ43" i="1"/>
  <c r="W194" i="1"/>
  <c r="W167" i="1"/>
  <c r="X208" i="1" s="1"/>
  <c r="CZ205" i="1" l="1"/>
  <c r="CZ143" i="1"/>
  <c r="CY214" i="1"/>
  <c r="CY212" i="1" s="1"/>
  <c r="W196" i="1"/>
  <c r="W195" i="1" s="1"/>
  <c r="W208" i="1"/>
  <c r="W159" i="1"/>
  <c r="X207" i="1" s="1"/>
  <c r="X209" i="1" s="1"/>
  <c r="X210" i="1" s="1"/>
  <c r="X224" i="1" s="1"/>
  <c r="W190" i="1"/>
  <c r="CZ145" i="1" l="1"/>
  <c r="W193" i="1"/>
  <c r="W168" i="1"/>
  <c r="W207" i="1"/>
  <c r="W209" i="1" s="1"/>
  <c r="W210" i="1" s="1"/>
  <c r="CZ149" i="1" l="1"/>
  <c r="CZ214" i="1" s="1"/>
  <c r="CZ212" i="1" s="1"/>
  <c r="DA43" i="1"/>
  <c r="W192" i="1"/>
  <c r="W197" i="1"/>
  <c r="W221" i="1"/>
  <c r="W224" i="1"/>
  <c r="DA205" i="1" l="1"/>
  <c r="DA143" i="1"/>
  <c r="W200" i="1"/>
  <c r="W201" i="1" s="1"/>
  <c r="X200" i="1"/>
  <c r="X201" i="1" s="1"/>
  <c r="DA145" i="1" l="1"/>
  <c r="W172" i="1"/>
  <c r="X220" i="1" l="1"/>
  <c r="X221" i="1" s="1"/>
  <c r="X222" i="1" s="1"/>
  <c r="W257" i="1"/>
  <c r="W259" i="1"/>
  <c r="W255" i="1"/>
  <c r="DA149" i="1"/>
  <c r="DA214" i="1" s="1"/>
  <c r="DA212" i="1" s="1"/>
  <c r="DB43" i="1"/>
  <c r="W179" i="1"/>
  <c r="W120" i="1" s="1"/>
  <c r="W176" i="1"/>
  <c r="W222" i="1"/>
  <c r="AE43" i="1" l="1"/>
  <c r="AE205" i="1" s="1"/>
  <c r="DB205" i="1"/>
  <c r="DB143" i="1"/>
  <c r="W177" i="1"/>
  <c r="DB145" i="1" l="1"/>
  <c r="DB149" i="1" s="1"/>
  <c r="DB214" i="1" s="1"/>
  <c r="DB212" i="1" s="1"/>
  <c r="AE143" i="1"/>
  <c r="AE145" i="1" s="1"/>
  <c r="C112" i="2"/>
  <c r="C111" i="2"/>
  <c r="C113" i="2"/>
  <c r="AE149" i="1" l="1"/>
  <c r="AE214" i="1" s="1"/>
  <c r="AE212" i="1" s="1"/>
  <c r="AE44" i="1"/>
  <c r="B84" i="1"/>
  <c r="B85" i="1"/>
  <c r="AK190" i="1" l="1"/>
  <c r="AK155" i="1" s="1"/>
  <c r="AM155" i="1" l="1"/>
  <c r="AO155" i="1" l="1"/>
  <c r="AQ155" i="1" l="1"/>
  <c r="AS155" i="1" l="1"/>
  <c r="AU155" i="1" l="1"/>
  <c r="AW155" i="1" l="1"/>
  <c r="AY155" i="1" l="1"/>
  <c r="BA155" i="1" l="1"/>
  <c r="BC155" i="1" l="1"/>
  <c r="BE155" i="1" l="1"/>
  <c r="BG155" i="1" l="1"/>
  <c r="BI155" i="1" l="1"/>
  <c r="BK155" i="1" l="1"/>
  <c r="BM155" i="1" l="1"/>
  <c r="BO155" i="1" l="1"/>
  <c r="BQ155" i="1" l="1"/>
  <c r="BS155" i="1" l="1"/>
  <c r="BU155" i="1" l="1"/>
  <c r="BW155" i="1" l="1"/>
  <c r="BY155" i="1" l="1"/>
  <c r="AK156" i="1" l="1"/>
  <c r="AK159" i="1" s="1"/>
  <c r="AL207" i="1" l="1"/>
  <c r="AK207" i="1"/>
  <c r="AK193" i="1"/>
  <c r="AM156" i="1"/>
  <c r="AM159" i="1" s="1"/>
  <c r="AM193" i="1" l="1"/>
  <c r="AM192" i="1" s="1"/>
  <c r="AN207" i="1"/>
  <c r="AM207" i="1"/>
  <c r="AJ192" i="1"/>
  <c r="AK192" i="1"/>
  <c r="AO156" i="1" l="1"/>
  <c r="AO159" i="1" s="1"/>
  <c r="AP207" i="1" l="1"/>
  <c r="AO193" i="1"/>
  <c r="AO192" i="1" s="1"/>
  <c r="AO207" i="1"/>
  <c r="AQ156" i="1" l="1"/>
  <c r="AQ159" i="1" s="1"/>
  <c r="AQ193" i="1" l="1"/>
  <c r="AQ192" i="1" s="1"/>
  <c r="AR207" i="1"/>
  <c r="AQ207" i="1"/>
  <c r="AS156" i="1" l="1"/>
  <c r="AS159" i="1" s="1"/>
  <c r="AT207" i="1" l="1"/>
  <c r="AS193" i="1"/>
  <c r="AS192" i="1" s="1"/>
  <c r="AS207" i="1"/>
  <c r="AU156" i="1" l="1"/>
  <c r="AU159" i="1" s="1"/>
  <c r="AU193" i="1" l="1"/>
  <c r="AU192" i="1" s="1"/>
  <c r="AV207" i="1"/>
  <c r="AU207" i="1"/>
  <c r="AW156" i="1" l="1"/>
  <c r="AW159" i="1" s="1"/>
  <c r="AW193" i="1" l="1"/>
  <c r="AW192" i="1" s="1"/>
  <c r="AX207" i="1"/>
  <c r="AW207" i="1"/>
  <c r="AY156" i="1" l="1"/>
  <c r="AY159" i="1" s="1"/>
  <c r="AY193" i="1" l="1"/>
  <c r="AY192" i="1" s="1"/>
  <c r="AZ207" i="1"/>
  <c r="AY207" i="1"/>
  <c r="BA156" i="1" l="1"/>
  <c r="BA159" i="1" s="1"/>
  <c r="BB207" i="1" l="1"/>
  <c r="BA193" i="1"/>
  <c r="BA192" i="1" s="1"/>
  <c r="BA207" i="1"/>
  <c r="BC156" i="1" l="1"/>
  <c r="BC159" i="1" s="1"/>
  <c r="BD207" i="1" l="1"/>
  <c r="BC193" i="1"/>
  <c r="BC192" i="1" s="1"/>
  <c r="BC207" i="1"/>
  <c r="BE156" i="1" l="1"/>
  <c r="BE159" i="1" s="1"/>
  <c r="BF207" i="1" l="1"/>
  <c r="BE193" i="1"/>
  <c r="BE192" i="1" s="1"/>
  <c r="BE207" i="1"/>
  <c r="BG156" i="1" l="1"/>
  <c r="BG159" i="1" s="1"/>
  <c r="BG193" i="1" l="1"/>
  <c r="BG192" i="1" s="1"/>
  <c r="BH207" i="1"/>
  <c r="BG207" i="1"/>
  <c r="BI156" i="1" l="1"/>
  <c r="BI159" i="1" s="1"/>
  <c r="BJ207" i="1" l="1"/>
  <c r="BI193" i="1"/>
  <c r="BI192" i="1" s="1"/>
  <c r="BI207" i="1"/>
  <c r="BK156" i="1" l="1"/>
  <c r="BK159" i="1" s="1"/>
  <c r="BL207" i="1" l="1"/>
  <c r="BK193" i="1"/>
  <c r="BK192" i="1" s="1"/>
  <c r="BK207" i="1"/>
  <c r="BM156" i="1" l="1"/>
  <c r="BM159" i="1" s="1"/>
  <c r="BM193" i="1" l="1"/>
  <c r="BM192" i="1" s="1"/>
  <c r="BN207" i="1"/>
  <c r="BM207" i="1"/>
  <c r="BO156" i="1" l="1"/>
  <c r="BO159" i="1" s="1"/>
  <c r="BO193" i="1" l="1"/>
  <c r="BO192" i="1" s="1"/>
  <c r="BP207" i="1"/>
  <c r="BO207" i="1"/>
  <c r="BQ156" i="1" l="1"/>
  <c r="BQ159" i="1" s="1"/>
  <c r="BR207" i="1" l="1"/>
  <c r="BQ193" i="1"/>
  <c r="BQ192" i="1" s="1"/>
  <c r="BQ207" i="1"/>
  <c r="BS156" i="1" l="1"/>
  <c r="BS159" i="1" s="1"/>
  <c r="BT207" i="1" l="1"/>
  <c r="BS193" i="1"/>
  <c r="BS192" i="1" s="1"/>
  <c r="BS207" i="1"/>
  <c r="BU156" i="1" l="1"/>
  <c r="BU159" i="1" s="1"/>
  <c r="BU193" i="1" l="1"/>
  <c r="BU192" i="1" s="1"/>
  <c r="BV207" i="1"/>
  <c r="BU207" i="1"/>
  <c r="BW156" i="1" l="1"/>
  <c r="BW159" i="1" s="1"/>
  <c r="BW193" i="1" l="1"/>
  <c r="BW192" i="1" s="1"/>
  <c r="BX207" i="1"/>
  <c r="BW207" i="1"/>
  <c r="BY156" i="1" l="1"/>
  <c r="BY159" i="1" s="1"/>
  <c r="BZ207" i="1" l="1"/>
  <c r="BY193" i="1"/>
  <c r="BY192" i="1" s="1"/>
  <c r="BY207" i="1"/>
  <c r="AK194" i="1" l="1"/>
  <c r="AK164" i="1" s="1"/>
  <c r="AK167" i="1" s="1"/>
  <c r="AK168" i="1" l="1"/>
  <c r="AK196" i="1"/>
  <c r="AL208" i="1"/>
  <c r="AL209" i="1" s="1"/>
  <c r="AL210" i="1" s="1"/>
  <c r="AL224" i="1" s="1"/>
  <c r="AK208" i="1"/>
  <c r="AK209" i="1" s="1"/>
  <c r="AK210" i="1" s="1"/>
  <c r="AM164" i="1"/>
  <c r="AM167" i="1" s="1"/>
  <c r="AK224" i="1" l="1"/>
  <c r="AK221" i="1"/>
  <c r="AK171" i="1" s="1"/>
  <c r="AK172" i="1" s="1"/>
  <c r="AK176" i="1" s="1"/>
  <c r="AK177" i="1" s="1"/>
  <c r="AN208" i="1"/>
  <c r="AN209" i="1" s="1"/>
  <c r="AN210" i="1" s="1"/>
  <c r="AN224" i="1" s="1"/>
  <c r="AM196" i="1"/>
  <c r="AM195" i="1" s="1"/>
  <c r="AM208" i="1"/>
  <c r="AM209" i="1" s="1"/>
  <c r="AM210" i="1" s="1"/>
  <c r="AM168" i="1"/>
  <c r="AJ195" i="1"/>
  <c r="AJ197" i="1"/>
  <c r="AN200" i="1" s="1"/>
  <c r="AK195" i="1"/>
  <c r="AK197" i="1"/>
  <c r="AO164" i="1"/>
  <c r="AO167" i="1" s="1"/>
  <c r="AM197" i="1" l="1"/>
  <c r="AO196" i="1"/>
  <c r="AO195" i="1" s="1"/>
  <c r="AP208" i="1"/>
  <c r="AP209" i="1" s="1"/>
  <c r="AP210" i="1" s="1"/>
  <c r="AP224" i="1" s="1"/>
  <c r="AO208" i="1"/>
  <c r="AO209" i="1" s="1"/>
  <c r="AO210" i="1" s="1"/>
  <c r="AM224" i="1"/>
  <c r="AM221" i="1"/>
  <c r="AO168" i="1"/>
  <c r="AL220" i="1" l="1"/>
  <c r="AL221" i="1" s="1"/>
  <c r="AL222" i="1" s="1"/>
  <c r="AK222" i="1"/>
  <c r="AO197" i="1"/>
  <c r="AO200" i="1" s="1"/>
  <c r="AO224" i="1"/>
  <c r="AO221" i="1"/>
  <c r="AQ164" i="1"/>
  <c r="AQ167" i="1" s="1"/>
  <c r="AK179" i="1"/>
  <c r="AL48" i="1" s="1"/>
  <c r="AM171" i="1"/>
  <c r="AM172" i="1" s="1"/>
  <c r="AM176" i="1" s="1"/>
  <c r="AN220" i="1" l="1"/>
  <c r="AN221" i="1" s="1"/>
  <c r="AN222" i="1" s="1"/>
  <c r="AM259" i="1"/>
  <c r="AM257" i="1"/>
  <c r="AM255" i="1"/>
  <c r="AQ196" i="1"/>
  <c r="AQ195" i="1" s="1"/>
  <c r="AR208" i="1"/>
  <c r="AR209" i="1" s="1"/>
  <c r="AR210" i="1" s="1"/>
  <c r="AR224" i="1" s="1"/>
  <c r="AQ208" i="1"/>
  <c r="AQ209" i="1" s="1"/>
  <c r="AQ210" i="1" s="1"/>
  <c r="AM222" i="1"/>
  <c r="AQ168" i="1"/>
  <c r="AO171" i="1"/>
  <c r="AO172" i="1" s="1"/>
  <c r="AM179" i="1"/>
  <c r="AO257" i="1" l="1"/>
  <c r="AO259" i="1"/>
  <c r="AO255" i="1"/>
  <c r="AM120" i="1"/>
  <c r="AM121" i="1" s="1"/>
  <c r="AM124" i="1" s="1"/>
  <c r="AN48" i="1"/>
  <c r="AQ197" i="1"/>
  <c r="AQ200" i="1" s="1"/>
  <c r="AQ224" i="1"/>
  <c r="AQ221" i="1"/>
  <c r="AP220" i="1"/>
  <c r="AP221" i="1" s="1"/>
  <c r="AP222" i="1" s="1"/>
  <c r="AO222" i="1"/>
  <c r="AS164" i="1"/>
  <c r="AS167" i="1" s="1"/>
  <c r="AO179" i="1"/>
  <c r="AO176" i="1"/>
  <c r="AM177" i="1"/>
  <c r="AM122" i="1" l="1"/>
  <c r="AM125" i="1" s="1"/>
  <c r="AO120" i="1"/>
  <c r="AO122" i="1" s="1"/>
  <c r="AO125" i="1" s="1"/>
  <c r="AP48" i="1"/>
  <c r="AS196" i="1"/>
  <c r="AS195" i="1" s="1"/>
  <c r="AT208" i="1"/>
  <c r="AT209" i="1" s="1"/>
  <c r="AT210" i="1" s="1"/>
  <c r="AT224" i="1" s="1"/>
  <c r="AS208" i="1"/>
  <c r="AS209" i="1" s="1"/>
  <c r="AS210" i="1" s="1"/>
  <c r="AO177" i="1"/>
  <c r="AS168" i="1"/>
  <c r="AQ171" i="1"/>
  <c r="AQ172" i="1" s="1"/>
  <c r="AQ257" i="1" l="1"/>
  <c r="AQ259" i="1"/>
  <c r="AQ255" i="1"/>
  <c r="AO121" i="1"/>
  <c r="AO124" i="1" s="1"/>
  <c r="AS197" i="1"/>
  <c r="AS200" i="1" s="1"/>
  <c r="AS224" i="1"/>
  <c r="AS221" i="1"/>
  <c r="AR220" i="1"/>
  <c r="AR221" i="1" s="1"/>
  <c r="AR222" i="1" s="1"/>
  <c r="AQ222" i="1"/>
  <c r="AQ176" i="1"/>
  <c r="AQ179" i="1"/>
  <c r="AU164" i="1"/>
  <c r="AU167" i="1" s="1"/>
  <c r="AQ120" i="1" l="1"/>
  <c r="AQ121" i="1" s="1"/>
  <c r="AQ124" i="1" s="1"/>
  <c r="AR48" i="1"/>
  <c r="AU196" i="1"/>
  <c r="AU195" i="1" s="1"/>
  <c r="AV208" i="1"/>
  <c r="AV209" i="1" s="1"/>
  <c r="AV210" i="1" s="1"/>
  <c r="AV224" i="1" s="1"/>
  <c r="AU208" i="1"/>
  <c r="AU209" i="1" s="1"/>
  <c r="AU210" i="1" s="1"/>
  <c r="AU168" i="1"/>
  <c r="AS171" i="1"/>
  <c r="AS172" i="1" s="1"/>
  <c r="AQ177" i="1"/>
  <c r="AS259" i="1" l="1"/>
  <c r="AS257" i="1"/>
  <c r="AS255" i="1"/>
  <c r="AQ122" i="1"/>
  <c r="AQ125" i="1" s="1"/>
  <c r="AU197" i="1"/>
  <c r="AU200" i="1" s="1"/>
  <c r="AU224" i="1"/>
  <c r="AU221" i="1"/>
  <c r="AT220" i="1"/>
  <c r="AT221" i="1" s="1"/>
  <c r="AT222" i="1" s="1"/>
  <c r="AS222" i="1"/>
  <c r="AS179" i="1"/>
  <c r="AS176" i="1"/>
  <c r="AW164" i="1"/>
  <c r="AW167" i="1" s="1"/>
  <c r="AS120" i="1" l="1"/>
  <c r="AS121" i="1" s="1"/>
  <c r="AS124" i="1" s="1"/>
  <c r="AT48" i="1"/>
  <c r="AW196" i="1"/>
  <c r="AW197" i="1" s="1"/>
  <c r="AW200" i="1" s="1"/>
  <c r="AX208" i="1"/>
  <c r="AX209" i="1" s="1"/>
  <c r="AX210" i="1" s="1"/>
  <c r="AX224" i="1" s="1"/>
  <c r="AW208" i="1"/>
  <c r="AW209" i="1" s="1"/>
  <c r="AW210" i="1" s="1"/>
  <c r="AU171" i="1"/>
  <c r="AU172" i="1" s="1"/>
  <c r="AS177" i="1"/>
  <c r="AW168" i="1"/>
  <c r="AU259" i="1" l="1"/>
  <c r="AU257" i="1"/>
  <c r="AU255" i="1"/>
  <c r="AS122" i="1"/>
  <c r="AS125" i="1" s="1"/>
  <c r="AW195" i="1"/>
  <c r="AW224" i="1"/>
  <c r="AW221" i="1"/>
  <c r="AV220" i="1"/>
  <c r="AV221" i="1" s="1"/>
  <c r="AV222" i="1" s="1"/>
  <c r="AU222" i="1"/>
  <c r="AU179" i="1"/>
  <c r="AU176" i="1"/>
  <c r="AY164" i="1"/>
  <c r="AY167" i="1" s="1"/>
  <c r="AU120" i="1" l="1"/>
  <c r="AU122" i="1" s="1"/>
  <c r="AU125" i="1" s="1"/>
  <c r="AV48" i="1"/>
  <c r="AY196" i="1"/>
  <c r="AY195" i="1" s="1"/>
  <c r="AZ208" i="1"/>
  <c r="AZ209" i="1" s="1"/>
  <c r="AZ210" i="1" s="1"/>
  <c r="AZ224" i="1" s="1"/>
  <c r="AY208" i="1"/>
  <c r="AY209" i="1" s="1"/>
  <c r="AY210" i="1" s="1"/>
  <c r="AW171" i="1"/>
  <c r="AW172" i="1" s="1"/>
  <c r="AY168" i="1"/>
  <c r="AU177" i="1"/>
  <c r="AW257" i="1" l="1"/>
  <c r="AW259" i="1"/>
  <c r="AW255" i="1"/>
  <c r="AU121" i="1"/>
  <c r="AU124" i="1" s="1"/>
  <c r="AY197" i="1"/>
  <c r="AY200" i="1" s="1"/>
  <c r="AY224" i="1"/>
  <c r="AY221" i="1"/>
  <c r="AX220" i="1"/>
  <c r="AX221" i="1" s="1"/>
  <c r="AX222" i="1" s="1"/>
  <c r="AW222" i="1"/>
  <c r="BA164" i="1"/>
  <c r="BA167" i="1" s="1"/>
  <c r="AW176" i="1"/>
  <c r="AW179" i="1"/>
  <c r="AW120" i="1" l="1"/>
  <c r="AW122" i="1" s="1"/>
  <c r="AW125" i="1" s="1"/>
  <c r="AX48" i="1"/>
  <c r="BB208" i="1"/>
  <c r="BB209" i="1" s="1"/>
  <c r="BB210" i="1" s="1"/>
  <c r="BB224" i="1" s="1"/>
  <c r="BA196" i="1"/>
  <c r="BA195" i="1" s="1"/>
  <c r="BA208" i="1"/>
  <c r="BA209" i="1" s="1"/>
  <c r="BA210" i="1" s="1"/>
  <c r="AW177" i="1"/>
  <c r="BA168" i="1"/>
  <c r="AY171" i="1"/>
  <c r="AY172" i="1" s="1"/>
  <c r="AY257" i="1" l="1"/>
  <c r="AY259" i="1"/>
  <c r="AY255" i="1"/>
  <c r="AW121" i="1"/>
  <c r="AW124" i="1" s="1"/>
  <c r="BA197" i="1"/>
  <c r="BA200" i="1" s="1"/>
  <c r="BA224" i="1"/>
  <c r="BA221" i="1"/>
  <c r="AZ220" i="1"/>
  <c r="AZ221" i="1" s="1"/>
  <c r="AZ222" i="1" s="1"/>
  <c r="AY222" i="1"/>
  <c r="AY176" i="1"/>
  <c r="AY179" i="1"/>
  <c r="BC164" i="1"/>
  <c r="BC167" i="1" s="1"/>
  <c r="AY120" i="1" l="1"/>
  <c r="AY122" i="1" s="1"/>
  <c r="AY125" i="1" s="1"/>
  <c r="AZ48" i="1"/>
  <c r="BC196" i="1"/>
  <c r="BC195" i="1" s="1"/>
  <c r="BD208" i="1"/>
  <c r="BD209" i="1" s="1"/>
  <c r="BD210" i="1" s="1"/>
  <c r="BD224" i="1" s="1"/>
  <c r="BC208" i="1"/>
  <c r="BC209" i="1" s="1"/>
  <c r="BC210" i="1" s="1"/>
  <c r="AY177" i="1"/>
  <c r="BC168" i="1"/>
  <c r="BA171" i="1"/>
  <c r="BA172" i="1" s="1"/>
  <c r="BA259" i="1" l="1"/>
  <c r="BA257" i="1"/>
  <c r="BA255" i="1"/>
  <c r="AY121" i="1"/>
  <c r="AY124" i="1" s="1"/>
  <c r="BC197" i="1"/>
  <c r="BC200" i="1" s="1"/>
  <c r="BC224" i="1"/>
  <c r="BC221" i="1"/>
  <c r="BB220" i="1"/>
  <c r="BB221" i="1" s="1"/>
  <c r="BB222" i="1" s="1"/>
  <c r="BA222" i="1"/>
  <c r="BE164" i="1"/>
  <c r="BE167" i="1" s="1"/>
  <c r="BA179" i="1"/>
  <c r="BA176" i="1"/>
  <c r="BA120" i="1" l="1"/>
  <c r="BA121" i="1" s="1"/>
  <c r="BA124" i="1" s="1"/>
  <c r="BB48" i="1"/>
  <c r="BE196" i="1"/>
  <c r="BE195" i="1" s="1"/>
  <c r="BF208" i="1"/>
  <c r="BF209" i="1" s="1"/>
  <c r="BF210" i="1" s="1"/>
  <c r="BF224" i="1" s="1"/>
  <c r="BE208" i="1"/>
  <c r="BE209" i="1" s="1"/>
  <c r="BE210" i="1" s="1"/>
  <c r="BC171" i="1"/>
  <c r="BC172" i="1" s="1"/>
  <c r="BA177" i="1"/>
  <c r="BE168" i="1"/>
  <c r="BC259" i="1" l="1"/>
  <c r="BC257" i="1"/>
  <c r="BC255" i="1"/>
  <c r="BA122" i="1"/>
  <c r="BA125" i="1" s="1"/>
  <c r="BE197" i="1"/>
  <c r="BE200" i="1" s="1"/>
  <c r="BE224" i="1"/>
  <c r="BE221" i="1"/>
  <c r="BD220" i="1"/>
  <c r="BD221" i="1" s="1"/>
  <c r="BD222" i="1" s="1"/>
  <c r="BC222" i="1"/>
  <c r="BG164" i="1"/>
  <c r="BG167" i="1" s="1"/>
  <c r="BC176" i="1"/>
  <c r="BC179" i="1"/>
  <c r="BC120" i="1" l="1"/>
  <c r="BC121" i="1" s="1"/>
  <c r="BC124" i="1" s="1"/>
  <c r="BD48" i="1"/>
  <c r="BG196" i="1"/>
  <c r="BG197" i="1" s="1"/>
  <c r="BG200" i="1" s="1"/>
  <c r="BH208" i="1"/>
  <c r="BH209" i="1" s="1"/>
  <c r="BH210" i="1" s="1"/>
  <c r="BH224" i="1" s="1"/>
  <c r="BG208" i="1"/>
  <c r="BG209" i="1" s="1"/>
  <c r="BG210" i="1" s="1"/>
  <c r="BC177" i="1"/>
  <c r="BE171" i="1"/>
  <c r="BE172" i="1" s="1"/>
  <c r="BG168" i="1"/>
  <c r="BE257" i="1" l="1"/>
  <c r="BE259" i="1"/>
  <c r="BE255" i="1"/>
  <c r="BC122" i="1"/>
  <c r="BC125" i="1" s="1"/>
  <c r="BG195" i="1"/>
  <c r="BG224" i="1"/>
  <c r="BG221" i="1"/>
  <c r="BF220" i="1"/>
  <c r="BF221" i="1" s="1"/>
  <c r="BF222" i="1" s="1"/>
  <c r="BE222" i="1"/>
  <c r="BE179" i="1"/>
  <c r="BE176" i="1"/>
  <c r="BI164" i="1"/>
  <c r="BI167" i="1" s="1"/>
  <c r="BE120" i="1" l="1"/>
  <c r="BE121" i="1" s="1"/>
  <c r="BE124" i="1" s="1"/>
  <c r="BF48" i="1"/>
  <c r="BI196" i="1"/>
  <c r="BI195" i="1" s="1"/>
  <c r="BJ208" i="1"/>
  <c r="BJ209" i="1" s="1"/>
  <c r="BJ210" i="1" s="1"/>
  <c r="BJ224" i="1" s="1"/>
  <c r="BI208" i="1"/>
  <c r="BI209" i="1" s="1"/>
  <c r="BI210" i="1" s="1"/>
  <c r="BE177" i="1"/>
  <c r="BG171" i="1"/>
  <c r="BG172" i="1" s="1"/>
  <c r="BI168" i="1"/>
  <c r="BG257" i="1" l="1"/>
  <c r="BG259" i="1"/>
  <c r="BG255" i="1"/>
  <c r="BE122" i="1"/>
  <c r="BE125" i="1" s="1"/>
  <c r="BI197" i="1"/>
  <c r="BI200" i="1" s="1"/>
  <c r="BI224" i="1"/>
  <c r="BI221" i="1"/>
  <c r="BH220" i="1"/>
  <c r="BH221" i="1" s="1"/>
  <c r="BH222" i="1" s="1"/>
  <c r="BG222" i="1"/>
  <c r="BG176" i="1"/>
  <c r="BG179" i="1"/>
  <c r="BK164" i="1"/>
  <c r="BK167" i="1" s="1"/>
  <c r="BG120" i="1" l="1"/>
  <c r="BG121" i="1" s="1"/>
  <c r="BG124" i="1" s="1"/>
  <c r="BH48" i="1"/>
  <c r="BL208" i="1"/>
  <c r="BL209" i="1" s="1"/>
  <c r="BL210" i="1" s="1"/>
  <c r="BL224" i="1" s="1"/>
  <c r="BK196" i="1"/>
  <c r="BK195" i="1" s="1"/>
  <c r="BK208" i="1"/>
  <c r="BK209" i="1" s="1"/>
  <c r="BK210" i="1" s="1"/>
  <c r="BK168" i="1"/>
  <c r="BG177" i="1"/>
  <c r="BI171" i="1"/>
  <c r="BI172" i="1" s="1"/>
  <c r="BI259" i="1" l="1"/>
  <c r="BI257" i="1"/>
  <c r="BI255" i="1"/>
  <c r="BG122" i="1"/>
  <c r="BG125" i="1" s="1"/>
  <c r="BK197" i="1"/>
  <c r="BK200" i="1" s="1"/>
  <c r="BK224" i="1"/>
  <c r="BK221" i="1"/>
  <c r="BJ220" i="1"/>
  <c r="BJ221" i="1" s="1"/>
  <c r="BJ222" i="1" s="1"/>
  <c r="BI222" i="1"/>
  <c r="BI179" i="1"/>
  <c r="BI176" i="1"/>
  <c r="BM164" i="1"/>
  <c r="BM167" i="1" s="1"/>
  <c r="BI120" i="1" l="1"/>
  <c r="BI122" i="1" s="1"/>
  <c r="BI125" i="1" s="1"/>
  <c r="BJ48" i="1"/>
  <c r="BM196" i="1"/>
  <c r="BM195" i="1" s="1"/>
  <c r="BN208" i="1"/>
  <c r="BN209" i="1" s="1"/>
  <c r="BN210" i="1" s="1"/>
  <c r="BN224" i="1" s="1"/>
  <c r="BM208" i="1"/>
  <c r="BM209" i="1" s="1"/>
  <c r="BM210" i="1" s="1"/>
  <c r="BM168" i="1"/>
  <c r="BI177" i="1"/>
  <c r="BK171" i="1"/>
  <c r="BK172" i="1" s="1"/>
  <c r="BK259" i="1" l="1"/>
  <c r="BK257" i="1"/>
  <c r="BK255" i="1"/>
  <c r="BI121" i="1"/>
  <c r="BI124" i="1" s="1"/>
  <c r="BM197" i="1"/>
  <c r="BM200" i="1" s="1"/>
  <c r="BM224" i="1"/>
  <c r="BM221" i="1"/>
  <c r="BL220" i="1"/>
  <c r="BL221" i="1" s="1"/>
  <c r="BL222" i="1" s="1"/>
  <c r="BK222" i="1"/>
  <c r="BK179" i="1"/>
  <c r="BK176" i="1"/>
  <c r="BO164" i="1"/>
  <c r="BO167" i="1" s="1"/>
  <c r="BK120" i="1" l="1"/>
  <c r="BK122" i="1" s="1"/>
  <c r="BK125" i="1" s="1"/>
  <c r="BL48" i="1"/>
  <c r="BO196" i="1"/>
  <c r="BO195" i="1" s="1"/>
  <c r="BP208" i="1"/>
  <c r="BP209" i="1" s="1"/>
  <c r="BP210" i="1" s="1"/>
  <c r="BP224" i="1" s="1"/>
  <c r="BO208" i="1"/>
  <c r="BO209" i="1" s="1"/>
  <c r="BO210" i="1" s="1"/>
  <c r="BM171" i="1"/>
  <c r="BM172" i="1" s="1"/>
  <c r="BK177" i="1"/>
  <c r="BO168" i="1"/>
  <c r="BM257" i="1" l="1"/>
  <c r="BM259" i="1"/>
  <c r="BM255" i="1"/>
  <c r="BK121" i="1"/>
  <c r="BK124" i="1" s="1"/>
  <c r="BO197" i="1"/>
  <c r="BO200" i="1" s="1"/>
  <c r="BO224" i="1"/>
  <c r="BO221" i="1"/>
  <c r="BN220" i="1"/>
  <c r="BN221" i="1" s="1"/>
  <c r="BN222" i="1" s="1"/>
  <c r="BM222" i="1"/>
  <c r="BM176" i="1"/>
  <c r="BM179" i="1"/>
  <c r="BQ164" i="1"/>
  <c r="BQ167" i="1" s="1"/>
  <c r="BM120" i="1" l="1"/>
  <c r="BM121" i="1" s="1"/>
  <c r="BM124" i="1" s="1"/>
  <c r="BN48" i="1"/>
  <c r="BQ196" i="1"/>
  <c r="BQ195" i="1" s="1"/>
  <c r="BR208" i="1"/>
  <c r="BR209" i="1" s="1"/>
  <c r="BR210" i="1" s="1"/>
  <c r="BR224" i="1" s="1"/>
  <c r="BQ208" i="1"/>
  <c r="BQ209" i="1" s="1"/>
  <c r="BQ210" i="1" s="1"/>
  <c r="BO171" i="1"/>
  <c r="BO172" i="1" s="1"/>
  <c r="BQ168" i="1"/>
  <c r="BM177" i="1"/>
  <c r="BO257" i="1" l="1"/>
  <c r="BO259" i="1"/>
  <c r="BO255" i="1"/>
  <c r="BM122" i="1"/>
  <c r="BM125" i="1" s="1"/>
  <c r="BQ197" i="1"/>
  <c r="BQ200" i="1" s="1"/>
  <c r="BQ224" i="1"/>
  <c r="BQ221" i="1"/>
  <c r="BP220" i="1"/>
  <c r="BP221" i="1" s="1"/>
  <c r="BP222" i="1" s="1"/>
  <c r="BO222" i="1"/>
  <c r="BS164" i="1"/>
  <c r="BS167" i="1" s="1"/>
  <c r="BO176" i="1"/>
  <c r="BO179" i="1"/>
  <c r="BO120" i="1" l="1"/>
  <c r="BO121" i="1" s="1"/>
  <c r="BO124" i="1" s="1"/>
  <c r="BP48" i="1"/>
  <c r="BS196" i="1"/>
  <c r="BS195" i="1" s="1"/>
  <c r="BT208" i="1"/>
  <c r="BT209" i="1" s="1"/>
  <c r="BT210" i="1" s="1"/>
  <c r="BT224" i="1" s="1"/>
  <c r="BS208" i="1"/>
  <c r="BS209" i="1" s="1"/>
  <c r="BS210" i="1" s="1"/>
  <c r="BO177" i="1"/>
  <c r="BS168" i="1"/>
  <c r="BQ171" i="1"/>
  <c r="BQ172" i="1" s="1"/>
  <c r="BQ259" i="1" l="1"/>
  <c r="BQ257" i="1"/>
  <c r="BQ255" i="1"/>
  <c r="BO122" i="1"/>
  <c r="BO125" i="1" s="1"/>
  <c r="BS197" i="1"/>
  <c r="BS200" i="1" s="1"/>
  <c r="BS224" i="1"/>
  <c r="BS221" i="1"/>
  <c r="BR220" i="1"/>
  <c r="BR221" i="1" s="1"/>
  <c r="BR222" i="1" s="1"/>
  <c r="BQ222" i="1"/>
  <c r="BQ176" i="1"/>
  <c r="BQ179" i="1"/>
  <c r="BU164" i="1"/>
  <c r="BU167" i="1" s="1"/>
  <c r="BQ120" i="1" l="1"/>
  <c r="BQ121" i="1" s="1"/>
  <c r="BQ124" i="1" s="1"/>
  <c r="BR48" i="1"/>
  <c r="BU196" i="1"/>
  <c r="BU195" i="1" s="1"/>
  <c r="BV208" i="1"/>
  <c r="BV209" i="1" s="1"/>
  <c r="BV210" i="1" s="1"/>
  <c r="BV224" i="1" s="1"/>
  <c r="BU208" i="1"/>
  <c r="BU209" i="1" s="1"/>
  <c r="BU210" i="1" s="1"/>
  <c r="BS171" i="1"/>
  <c r="BS172" i="1" s="1"/>
  <c r="BQ177" i="1"/>
  <c r="BU168" i="1"/>
  <c r="BS259" i="1" l="1"/>
  <c r="BS257" i="1"/>
  <c r="BS255" i="1"/>
  <c r="BQ122" i="1"/>
  <c r="BQ125" i="1" s="1"/>
  <c r="BU197" i="1"/>
  <c r="BU200" i="1" s="1"/>
  <c r="BU224" i="1"/>
  <c r="BU221" i="1"/>
  <c r="BT220" i="1"/>
  <c r="BT221" i="1" s="1"/>
  <c r="BT222" i="1" s="1"/>
  <c r="BS222" i="1"/>
  <c r="BS176" i="1"/>
  <c r="BS179" i="1"/>
  <c r="BW164" i="1"/>
  <c r="BW167" i="1" s="1"/>
  <c r="BS120" i="1" l="1"/>
  <c r="BS122" i="1" s="1"/>
  <c r="BS125" i="1" s="1"/>
  <c r="BT48" i="1"/>
  <c r="BW196" i="1"/>
  <c r="BW195" i="1" s="1"/>
  <c r="BX208" i="1"/>
  <c r="BX209" i="1" s="1"/>
  <c r="BX210" i="1" s="1"/>
  <c r="BX224" i="1" s="1"/>
  <c r="BW208" i="1"/>
  <c r="BW209" i="1" s="1"/>
  <c r="BW210" i="1" s="1"/>
  <c r="BW168" i="1"/>
  <c r="BS177" i="1"/>
  <c r="BU171" i="1"/>
  <c r="BU172" i="1" s="1"/>
  <c r="BU257" i="1" l="1"/>
  <c r="BU259" i="1"/>
  <c r="BU255" i="1"/>
  <c r="BS121" i="1"/>
  <c r="BS124" i="1" s="1"/>
  <c r="BW197" i="1"/>
  <c r="BW200" i="1" s="1"/>
  <c r="BW224" i="1"/>
  <c r="BW221" i="1"/>
  <c r="BV220" i="1"/>
  <c r="BV221" i="1" s="1"/>
  <c r="BV222" i="1" s="1"/>
  <c r="BU222" i="1"/>
  <c r="BU176" i="1"/>
  <c r="BU179" i="1"/>
  <c r="BY164" i="1"/>
  <c r="BY167" i="1" s="1"/>
  <c r="BU120" i="1" l="1"/>
  <c r="BU122" i="1" s="1"/>
  <c r="BU125" i="1" s="1"/>
  <c r="BV48" i="1"/>
  <c r="BZ208" i="1"/>
  <c r="BZ209" i="1" s="1"/>
  <c r="BZ210" i="1" s="1"/>
  <c r="BZ224" i="1" s="1"/>
  <c r="BY196" i="1"/>
  <c r="BY195" i="1" s="1"/>
  <c r="BY208" i="1"/>
  <c r="BY209" i="1" s="1"/>
  <c r="BY210" i="1" s="1"/>
  <c r="BW171" i="1"/>
  <c r="BW172" i="1" s="1"/>
  <c r="BY168" i="1"/>
  <c r="BU177" i="1"/>
  <c r="BW257" i="1" l="1"/>
  <c r="BW259" i="1"/>
  <c r="BW255" i="1"/>
  <c r="BU121" i="1"/>
  <c r="BU124" i="1" s="1"/>
  <c r="BY197" i="1"/>
  <c r="BY200" i="1" s="1"/>
  <c r="BY224" i="1"/>
  <c r="BY221" i="1"/>
  <c r="BX220" i="1"/>
  <c r="BX221" i="1" s="1"/>
  <c r="BX222" i="1" s="1"/>
  <c r="BW222" i="1"/>
  <c r="BW176" i="1"/>
  <c r="BW179" i="1"/>
  <c r="BW120" i="1" l="1"/>
  <c r="BW122" i="1" s="1"/>
  <c r="BW125" i="1" s="1"/>
  <c r="BX48" i="1"/>
  <c r="BW177" i="1"/>
  <c r="BY171" i="1"/>
  <c r="BY172" i="1" s="1"/>
  <c r="BY259" i="1" l="1"/>
  <c r="BY257" i="1"/>
  <c r="BY255" i="1"/>
  <c r="BW121" i="1"/>
  <c r="BW124" i="1" s="1"/>
  <c r="BZ220" i="1"/>
  <c r="BZ221" i="1" s="1"/>
  <c r="BZ222" i="1" s="1"/>
  <c r="BY222" i="1"/>
  <c r="BY179" i="1"/>
  <c r="BY176" i="1"/>
  <c r="BY120" i="1" l="1"/>
  <c r="BY121" i="1" s="1"/>
  <c r="BY124" i="1" s="1"/>
  <c r="BZ48" i="1"/>
  <c r="BY177" i="1"/>
  <c r="CC156" i="1"/>
  <c r="CC155" i="1"/>
  <c r="CA155" i="1"/>
  <c r="CA164" i="1"/>
  <c r="CA167" i="1" s="1"/>
  <c r="CA156" i="1"/>
  <c r="BY122" i="1" l="1"/>
  <c r="BY125" i="1" s="1"/>
  <c r="CA159" i="1"/>
  <c r="CA193" i="1" s="1"/>
  <c r="CA192" i="1" s="1"/>
  <c r="CB208" i="1"/>
  <c r="CA196" i="1"/>
  <c r="CA195" i="1" s="1"/>
  <c r="CA208" i="1"/>
  <c r="CC164" i="1"/>
  <c r="CC167" i="1" s="1"/>
  <c r="CC159" i="1"/>
  <c r="CA168" i="1" l="1"/>
  <c r="CA207" i="1"/>
  <c r="CA209" i="1" s="1"/>
  <c r="CA210" i="1" s="1"/>
  <c r="CA224" i="1" s="1"/>
  <c r="CB207" i="1"/>
  <c r="CB209" i="1" s="1"/>
  <c r="CB210" i="1" s="1"/>
  <c r="CB224" i="1" s="1"/>
  <c r="CA197" i="1"/>
  <c r="CD207" i="1"/>
  <c r="CC193" i="1"/>
  <c r="CC192" i="1" s="1"/>
  <c r="CC207" i="1"/>
  <c r="CC196" i="1"/>
  <c r="CC195" i="1" s="1"/>
  <c r="CD208" i="1"/>
  <c r="CC208" i="1"/>
  <c r="CC168" i="1"/>
  <c r="CA200" i="1" l="1"/>
  <c r="CE200" i="1"/>
  <c r="CC209" i="1"/>
  <c r="CC210" i="1" s="1"/>
  <c r="CC224" i="1" s="1"/>
  <c r="CD209" i="1"/>
  <c r="CD210" i="1" s="1"/>
  <c r="CD224" i="1" s="1"/>
  <c r="CA221" i="1"/>
  <c r="CA171" i="1" s="1"/>
  <c r="CA172" i="1" s="1"/>
  <c r="CC197" i="1"/>
  <c r="CA259" i="1" l="1"/>
  <c r="CA257" i="1"/>
  <c r="CA255" i="1"/>
  <c r="CC200" i="1"/>
  <c r="CG200" i="1"/>
  <c r="CC221" i="1"/>
  <c r="CC171" i="1" s="1"/>
  <c r="CC172" i="1" s="1"/>
  <c r="CB220" i="1"/>
  <c r="CB221" i="1" s="1"/>
  <c r="CB222" i="1" s="1"/>
  <c r="CA222" i="1"/>
  <c r="CA179" i="1"/>
  <c r="CA176" i="1"/>
  <c r="CC257" i="1" l="1"/>
  <c r="CC259" i="1"/>
  <c r="CC255" i="1"/>
  <c r="CA120" i="1"/>
  <c r="CA121" i="1" s="1"/>
  <c r="CA124" i="1" s="1"/>
  <c r="CB48" i="1"/>
  <c r="CD220" i="1"/>
  <c r="CD221" i="1" s="1"/>
  <c r="CD222" i="1" s="1"/>
  <c r="CC222" i="1"/>
  <c r="CC176" i="1"/>
  <c r="CC179" i="1"/>
  <c r="CA177" i="1"/>
  <c r="CA122" i="1" l="1"/>
  <c r="CA125" i="1" s="1"/>
  <c r="CC120" i="1"/>
  <c r="CC121" i="1" s="1"/>
  <c r="CC124" i="1" s="1"/>
  <c r="CD48" i="1"/>
  <c r="CC177" i="1"/>
  <c r="CC122" i="1" l="1"/>
  <c r="CC125" i="1" s="1"/>
  <c r="CE100" i="1"/>
  <c r="CD100" i="1"/>
  <c r="CC100" i="1"/>
  <c r="CB100" i="1"/>
  <c r="CI156" i="1" l="1"/>
  <c r="CI164" i="1"/>
  <c r="CI167" i="1" s="1"/>
  <c r="CI155" i="1"/>
  <c r="CJ208" i="1" l="1"/>
  <c r="CI159" i="1"/>
  <c r="CI208" i="1"/>
  <c r="CJ207" i="1" l="1"/>
  <c r="CJ209" i="1" s="1"/>
  <c r="CJ210" i="1" s="1"/>
  <c r="CJ224" i="1" s="1"/>
  <c r="CI168" i="1"/>
  <c r="CI207" i="1"/>
  <c r="CI209" i="1" s="1"/>
  <c r="CI210" i="1" s="1"/>
  <c r="CI224" i="1" s="1"/>
  <c r="CI197" i="1" l="1"/>
  <c r="CI200" i="1" s="1"/>
  <c r="CI221" i="1"/>
  <c r="CI171" i="1" s="1"/>
  <c r="CI172" i="1" s="1"/>
  <c r="CI259" i="1" l="1"/>
  <c r="CI257" i="1"/>
  <c r="CI255" i="1"/>
  <c r="CI222" i="1"/>
  <c r="CJ220" i="1"/>
  <c r="CJ221" i="1" s="1"/>
  <c r="CI179" i="1"/>
  <c r="CI176" i="1"/>
  <c r="CI120" i="1" l="1"/>
  <c r="CI122" i="1" s="1"/>
  <c r="CI125" i="1" s="1"/>
  <c r="CJ48" i="1"/>
  <c r="CJ222" i="1"/>
  <c r="CI177" i="1"/>
  <c r="CI121" i="1" l="1"/>
  <c r="CI124" i="1" s="1"/>
  <c r="CJ179" i="1"/>
  <c r="CJ120" i="1" l="1"/>
  <c r="CK48" i="1"/>
  <c r="CJ121" i="1" l="1"/>
  <c r="CJ124" i="1" s="1"/>
  <c r="CJ122" i="1"/>
  <c r="CJ125" i="1" s="1"/>
  <c r="CK242" i="1" l="1"/>
  <c r="CK264" i="1"/>
  <c r="CK263" i="1"/>
  <c r="CN21" i="1"/>
  <c r="CN264" i="1"/>
  <c r="CM21" i="1"/>
  <c r="CM264" i="1"/>
  <c r="CN242" i="1"/>
  <c r="CM242" i="1"/>
  <c r="CM109" i="1"/>
  <c r="CM110" i="1" s="1"/>
  <c r="CN109" i="1"/>
  <c r="CN110" i="1" s="1"/>
  <c r="CP19" i="1"/>
  <c r="CM157" i="1" l="1"/>
  <c r="CQ19" i="1"/>
  <c r="CQ264" i="1" s="1"/>
  <c r="CO19" i="1"/>
  <c r="CO21" i="1" s="1"/>
  <c r="CN37" i="1"/>
  <c r="CN34" i="1" s="1"/>
  <c r="CR19" i="1"/>
  <c r="CR264" i="1" s="1"/>
  <c r="CN156" i="1"/>
  <c r="CN27" i="1"/>
  <c r="CN155" i="1"/>
  <c r="CN164" i="1"/>
  <c r="CM37" i="1"/>
  <c r="CM34" i="1" s="1"/>
  <c r="CM164" i="1"/>
  <c r="CN23" i="1"/>
  <c r="CN163" i="1"/>
  <c r="CN157" i="1"/>
  <c r="CM156" i="1"/>
  <c r="CM23" i="1"/>
  <c r="CM27" i="1"/>
  <c r="CM26" i="1" s="1"/>
  <c r="CM163" i="1"/>
  <c r="CM155" i="1"/>
  <c r="CK155" i="1"/>
  <c r="CK164" i="1"/>
  <c r="CK156" i="1"/>
  <c r="CM236" i="1"/>
  <c r="CK163" i="1"/>
  <c r="CK236" i="1"/>
  <c r="CK157" i="1"/>
  <c r="CN236" i="1"/>
  <c r="CO236" i="1" l="1"/>
  <c r="CS19" i="1"/>
  <c r="CM167" i="1"/>
  <c r="CK167" i="1"/>
  <c r="CN26" i="1"/>
  <c r="CN29" i="1"/>
  <c r="CN39" i="1"/>
  <c r="CN159" i="1"/>
  <c r="CM159" i="1"/>
  <c r="CN167" i="1"/>
  <c r="CR21" i="1"/>
  <c r="CV19" i="1" s="1"/>
  <c r="CM29" i="1"/>
  <c r="CR242" i="1"/>
  <c r="CQ21" i="1"/>
  <c r="CQ242" i="1"/>
  <c r="CM39" i="1"/>
  <c r="CR109" i="1"/>
  <c r="CR110" i="1" s="1"/>
  <c r="CP264" i="1"/>
  <c r="CN30" i="1"/>
  <c r="CO109" i="1"/>
  <c r="CO110" i="1" s="1"/>
  <c r="CO264" i="1"/>
  <c r="CO242" i="1"/>
  <c r="CK159" i="1"/>
  <c r="CM30" i="1"/>
  <c r="CP242" i="1"/>
  <c r="CP21" i="1"/>
  <c r="CT19" i="1" s="1"/>
  <c r="CQ109" i="1"/>
  <c r="CQ110" i="1" s="1"/>
  <c r="AB19" i="1"/>
  <c r="AB264" i="1" s="1"/>
  <c r="CP109" i="1"/>
  <c r="CP110" i="1" s="1"/>
  <c r="CO155" i="1"/>
  <c r="CO27" i="1"/>
  <c r="CO163" i="1"/>
  <c r="CO164" i="1"/>
  <c r="CO37" i="1"/>
  <c r="CO34" i="1" s="1"/>
  <c r="CO156" i="1"/>
  <c r="CO157" i="1"/>
  <c r="CO23" i="1"/>
  <c r="CK208" i="1" l="1"/>
  <c r="CL208" i="1"/>
  <c r="CK207" i="1"/>
  <c r="CL207" i="1"/>
  <c r="CL209" i="1" s="1"/>
  <c r="CL210" i="1" s="1"/>
  <c r="CL224" i="1" s="1"/>
  <c r="CU19" i="1"/>
  <c r="CU242" i="1" s="1"/>
  <c r="CN261" i="1"/>
  <c r="CN262" i="1" s="1"/>
  <c r="CN208" i="1"/>
  <c r="CN40" i="1"/>
  <c r="CN243" i="1"/>
  <c r="CN244" i="1" s="1"/>
  <c r="CN41" i="1"/>
  <c r="CN45" i="1"/>
  <c r="CN168" i="1"/>
  <c r="CM168" i="1"/>
  <c r="CN207" i="1"/>
  <c r="CR163" i="1"/>
  <c r="CR27" i="1"/>
  <c r="CR155" i="1"/>
  <c r="CR156" i="1"/>
  <c r="CR23" i="1"/>
  <c r="CR157" i="1"/>
  <c r="CR37" i="1"/>
  <c r="CR34" i="1" s="1"/>
  <c r="CR164" i="1"/>
  <c r="CK209" i="1"/>
  <c r="CQ23" i="1"/>
  <c r="CQ37" i="1"/>
  <c r="CQ34" i="1" s="1"/>
  <c r="CQ157" i="1"/>
  <c r="CQ156" i="1"/>
  <c r="CQ163" i="1"/>
  <c r="CQ164" i="1"/>
  <c r="CQ155" i="1"/>
  <c r="CN42" i="1"/>
  <c r="CM41" i="1"/>
  <c r="CM243" i="1"/>
  <c r="CM244" i="1" s="1"/>
  <c r="CM40" i="1"/>
  <c r="CM45" i="1"/>
  <c r="CQ27" i="1"/>
  <c r="CK168" i="1"/>
  <c r="CK261" i="1"/>
  <c r="CK262" i="1" s="1"/>
  <c r="CS109" i="1"/>
  <c r="CS110" i="1" s="1"/>
  <c r="CS264" i="1"/>
  <c r="CM261" i="1"/>
  <c r="CM262" i="1" s="1"/>
  <c r="CK243" i="1"/>
  <c r="CK244" i="1" s="1"/>
  <c r="CK237" i="1"/>
  <c r="CN237" i="1"/>
  <c r="CR236" i="1"/>
  <c r="CP236" i="1"/>
  <c r="AB21" i="1"/>
  <c r="CO167" i="1"/>
  <c r="CS21" i="1"/>
  <c r="CS242" i="1"/>
  <c r="CO159" i="1"/>
  <c r="CM123" i="1"/>
  <c r="CN123" i="1"/>
  <c r="CM208" i="1"/>
  <c r="CP156" i="1"/>
  <c r="AB156" i="1" s="1"/>
  <c r="AB191" i="1" s="1"/>
  <c r="CP155" i="1"/>
  <c r="CP163" i="1"/>
  <c r="CP27" i="1"/>
  <c r="CP26" i="1" s="1"/>
  <c r="CP164" i="1"/>
  <c r="AB164" i="1" s="1"/>
  <c r="AB194" i="1" s="1"/>
  <c r="CP157" i="1"/>
  <c r="AB157" i="1" s="1"/>
  <c r="CP23" i="1"/>
  <c r="CP37" i="1"/>
  <c r="CP34" i="1" s="1"/>
  <c r="CT264" i="1"/>
  <c r="CO39" i="1"/>
  <c r="CO29" i="1"/>
  <c r="CO30" i="1"/>
  <c r="CM207" i="1"/>
  <c r="CQ236" i="1"/>
  <c r="CO26" i="1"/>
  <c r="CM237" i="1"/>
  <c r="CM42" i="1"/>
  <c r="CU264" i="1" l="1"/>
  <c r="CU21" i="1"/>
  <c r="CS236" i="1"/>
  <c r="CW19" i="1"/>
  <c r="CW264" i="1" s="1"/>
  <c r="CR159" i="1"/>
  <c r="CQ167" i="1"/>
  <c r="AB34" i="1"/>
  <c r="AB37" i="1" s="1"/>
  <c r="AB38" i="1" s="1"/>
  <c r="CN209" i="1"/>
  <c r="CR167" i="1"/>
  <c r="CR29" i="1"/>
  <c r="CR30" i="1"/>
  <c r="CR39" i="1"/>
  <c r="CR26" i="1"/>
  <c r="CV264" i="1"/>
  <c r="CV242" i="1"/>
  <c r="CV21" i="1"/>
  <c r="CZ19" i="1" s="1"/>
  <c r="CQ26" i="1"/>
  <c r="CQ29" i="1"/>
  <c r="CQ39" i="1"/>
  <c r="CQ159" i="1"/>
  <c r="CO123" i="1"/>
  <c r="CO261" i="1"/>
  <c r="CO262" i="1" s="1"/>
  <c r="AB109" i="1"/>
  <c r="AB199" i="1"/>
  <c r="CQ30" i="1"/>
  <c r="AB26" i="1"/>
  <c r="AB27" i="1" s="1"/>
  <c r="CM209" i="1"/>
  <c r="CO168" i="1"/>
  <c r="CO207" i="1"/>
  <c r="CO237" i="1"/>
  <c r="AC19" i="1"/>
  <c r="AC264" i="1" s="1"/>
  <c r="CV109" i="1"/>
  <c r="CV110" i="1" s="1"/>
  <c r="AB22" i="1"/>
  <c r="AB69" i="1"/>
  <c r="AB155" i="1"/>
  <c r="CP159" i="1"/>
  <c r="CS155" i="1"/>
  <c r="CS27" i="1"/>
  <c r="CS26" i="1" s="1"/>
  <c r="CS163" i="1"/>
  <c r="CS23" i="1"/>
  <c r="CS156" i="1"/>
  <c r="CS164" i="1"/>
  <c r="CS157" i="1"/>
  <c r="CS37" i="1"/>
  <c r="CS34" i="1" s="1"/>
  <c r="CT109" i="1"/>
  <c r="CT110" i="1" s="1"/>
  <c r="CO208" i="1"/>
  <c r="CO41" i="1"/>
  <c r="CO243" i="1"/>
  <c r="CO244" i="1" s="1"/>
  <c r="CO45" i="1"/>
  <c r="CO42" i="1"/>
  <c r="CO40" i="1"/>
  <c r="CP29" i="1"/>
  <c r="CP39" i="1"/>
  <c r="CP30" i="1"/>
  <c r="CT242" i="1"/>
  <c r="CT21" i="1"/>
  <c r="AB163" i="1"/>
  <c r="AB167" i="1" s="1"/>
  <c r="CP167" i="1"/>
  <c r="CU109" i="1"/>
  <c r="CU110" i="1" s="1"/>
  <c r="CY19" i="1" l="1"/>
  <c r="CU37" i="1"/>
  <c r="CU34" i="1" s="1"/>
  <c r="CU155" i="1"/>
  <c r="CU27" i="1"/>
  <c r="CU163" i="1"/>
  <c r="CU156" i="1"/>
  <c r="CU164" i="1"/>
  <c r="CU157" i="1"/>
  <c r="CU23" i="1"/>
  <c r="CX19" i="1"/>
  <c r="CQ208" i="1"/>
  <c r="CV155" i="1"/>
  <c r="CV27" i="1"/>
  <c r="CV29" i="1" s="1"/>
  <c r="CV163" i="1"/>
  <c r="CR208" i="1"/>
  <c r="CR168" i="1"/>
  <c r="CR243" i="1"/>
  <c r="CR244" i="1" s="1"/>
  <c r="CR40" i="1"/>
  <c r="CR45" i="1"/>
  <c r="CR41" i="1"/>
  <c r="CV157" i="1"/>
  <c r="CV156" i="1"/>
  <c r="CV37" i="1"/>
  <c r="CV34" i="1" s="1"/>
  <c r="CV23" i="1"/>
  <c r="CV164" i="1"/>
  <c r="CQ45" i="1"/>
  <c r="CQ40" i="1"/>
  <c r="CQ41" i="1"/>
  <c r="CR42" i="1"/>
  <c r="CR261" i="1"/>
  <c r="CR262" i="1" s="1"/>
  <c r="CQ243" i="1"/>
  <c r="CQ244" i="1" s="1"/>
  <c r="CR207" i="1"/>
  <c r="CQ168" i="1"/>
  <c r="AB29" i="1"/>
  <c r="CP123" i="1"/>
  <c r="CP261" i="1"/>
  <c r="CP262" i="1" s="1"/>
  <c r="CQ261" i="1"/>
  <c r="CQ262" i="1" s="1"/>
  <c r="CS167" i="1"/>
  <c r="CS208" i="1" s="1"/>
  <c r="CV236" i="1"/>
  <c r="CP208" i="1"/>
  <c r="CP243" i="1"/>
  <c r="CP244" i="1" s="1"/>
  <c r="CP41" i="1"/>
  <c r="CP42" i="1"/>
  <c r="CP40" i="1"/>
  <c r="CP45" i="1"/>
  <c r="CT236" i="1"/>
  <c r="CP237" i="1"/>
  <c r="CU236" i="1"/>
  <c r="CR237" i="1"/>
  <c r="CQ237" i="1"/>
  <c r="CS39" i="1"/>
  <c r="CS261" i="1" s="1"/>
  <c r="CS262" i="1" s="1"/>
  <c r="CS29" i="1"/>
  <c r="CS30" i="1"/>
  <c r="AC21" i="1"/>
  <c r="CO209" i="1"/>
  <c r="CW242" i="1"/>
  <c r="CW21" i="1"/>
  <c r="CQ123" i="1"/>
  <c r="CW109" i="1"/>
  <c r="CW110" i="1" s="1"/>
  <c r="CS159" i="1"/>
  <c r="CT155" i="1"/>
  <c r="CT164" i="1"/>
  <c r="AC164" i="1" s="1"/>
  <c r="AC194" i="1" s="1"/>
  <c r="CT27" i="1"/>
  <c r="CT26" i="1" s="1"/>
  <c r="AC26" i="1" s="1"/>
  <c r="CT156" i="1"/>
  <c r="AC156" i="1" s="1"/>
  <c r="AC191" i="1" s="1"/>
  <c r="CT163" i="1"/>
  <c r="CT37" i="1"/>
  <c r="CT34" i="1" s="1"/>
  <c r="CT23" i="1"/>
  <c r="CT157" i="1"/>
  <c r="AC157" i="1" s="1"/>
  <c r="AB70" i="1"/>
  <c r="AB28" i="1"/>
  <c r="AB39" i="1"/>
  <c r="AB261" i="1" s="1"/>
  <c r="AB262" i="1" s="1"/>
  <c r="CQ42" i="1"/>
  <c r="CQ207" i="1"/>
  <c r="CP168" i="1"/>
  <c r="CP207" i="1"/>
  <c r="AB196" i="1"/>
  <c r="AB195" i="1" s="1"/>
  <c r="AB208" i="1"/>
  <c r="CR123" i="1"/>
  <c r="AB159" i="1"/>
  <c r="AB190" i="1"/>
  <c r="CY264" i="1" l="1"/>
  <c r="CY21" i="1"/>
  <c r="CY163" i="1" s="1"/>
  <c r="CY242" i="1"/>
  <c r="CU26" i="1"/>
  <c r="CU39" i="1"/>
  <c r="CU29" i="1"/>
  <c r="CU159" i="1"/>
  <c r="CU167" i="1"/>
  <c r="CW236" i="1"/>
  <c r="DA19" i="1"/>
  <c r="DA264" i="1" s="1"/>
  <c r="CQ209" i="1"/>
  <c r="AC34" i="1"/>
  <c r="AC37" i="1" s="1"/>
  <c r="AC38" i="1" s="1"/>
  <c r="CV159" i="1"/>
  <c r="CV26" i="1"/>
  <c r="CV30" i="1"/>
  <c r="CV167" i="1"/>
  <c r="CV39" i="1"/>
  <c r="CZ264" i="1"/>
  <c r="CZ242" i="1"/>
  <c r="CZ21" i="1"/>
  <c r="CZ164" i="1" s="1"/>
  <c r="CR209" i="1"/>
  <c r="CX109" i="1"/>
  <c r="CX110" i="1" s="1"/>
  <c r="CX264" i="1"/>
  <c r="CP209" i="1"/>
  <c r="AC109" i="1"/>
  <c r="AC199" i="1"/>
  <c r="AB41" i="1"/>
  <c r="CT159" i="1"/>
  <c r="CT207" i="1" s="1"/>
  <c r="AC155" i="1"/>
  <c r="CS168" i="1"/>
  <c r="CS207" i="1"/>
  <c r="CS209" i="1" s="1"/>
  <c r="CY109" i="1"/>
  <c r="CY110" i="1" s="1"/>
  <c r="CS42" i="1"/>
  <c r="CS40" i="1"/>
  <c r="CS45" i="1"/>
  <c r="CS243" i="1"/>
  <c r="CS244" i="1" s="1"/>
  <c r="CS41" i="1"/>
  <c r="AB168" i="1"/>
  <c r="AB193" i="1"/>
  <c r="AB207" i="1"/>
  <c r="AB209" i="1" s="1"/>
  <c r="AB71" i="1"/>
  <c r="AB45" i="1"/>
  <c r="AB123" i="1"/>
  <c r="AB40" i="1"/>
  <c r="CW27" i="1"/>
  <c r="CW26" i="1" s="1"/>
  <c r="CW163" i="1"/>
  <c r="CW155" i="1"/>
  <c r="CW23" i="1"/>
  <c r="CW157" i="1"/>
  <c r="CW156" i="1"/>
  <c r="CW164" i="1"/>
  <c r="CW37" i="1"/>
  <c r="CW34" i="1" s="1"/>
  <c r="CT167" i="1"/>
  <c r="AC163" i="1"/>
  <c r="AC167" i="1" s="1"/>
  <c r="CS123" i="1"/>
  <c r="CK256" i="1"/>
  <c r="CK238" i="1"/>
  <c r="CK245" i="1"/>
  <c r="CS237" i="1"/>
  <c r="CT30" i="1"/>
  <c r="CT29" i="1"/>
  <c r="CT39" i="1"/>
  <c r="AC22" i="1"/>
  <c r="AC27" i="1"/>
  <c r="AC69" i="1"/>
  <c r="CX242" i="1"/>
  <c r="CX21" i="1"/>
  <c r="DB19" i="1" s="1"/>
  <c r="CZ109" i="1"/>
  <c r="CZ110" i="1" s="1"/>
  <c r="CY164" i="1"/>
  <c r="CY157" i="1"/>
  <c r="CY37" i="1"/>
  <c r="CY34" i="1" s="1"/>
  <c r="CY155" i="1"/>
  <c r="CU30" i="1"/>
  <c r="AD19" i="1"/>
  <c r="AD264" i="1" s="1"/>
  <c r="CY156" i="1" l="1"/>
  <c r="CY27" i="1"/>
  <c r="CY26" i="1" s="1"/>
  <c r="CV207" i="1"/>
  <c r="CU168" i="1"/>
  <c r="CU45" i="1"/>
  <c r="CU40" i="1"/>
  <c r="CU41" i="1"/>
  <c r="CU243" i="1"/>
  <c r="CU244" i="1" s="1"/>
  <c r="CZ236" i="1"/>
  <c r="CV261" i="1"/>
  <c r="CV262" i="1" s="1"/>
  <c r="CV45" i="1"/>
  <c r="CV243" i="1"/>
  <c r="CV244" i="1" s="1"/>
  <c r="CV40" i="1"/>
  <c r="CV42" i="1"/>
  <c r="CV41" i="1"/>
  <c r="CZ37" i="1"/>
  <c r="CZ34" i="1" s="1"/>
  <c r="CZ155" i="1"/>
  <c r="CZ23" i="1"/>
  <c r="CZ163" i="1"/>
  <c r="CZ167" i="1" s="1"/>
  <c r="CZ157" i="1"/>
  <c r="CZ156" i="1"/>
  <c r="CZ27" i="1"/>
  <c r="CV168" i="1"/>
  <c r="CV208" i="1"/>
  <c r="AC29" i="1"/>
  <c r="CU123" i="1"/>
  <c r="CT261" i="1"/>
  <c r="CT262" i="1" s="1"/>
  <c r="CU261" i="1"/>
  <c r="CU262" i="1" s="1"/>
  <c r="CW167" i="1"/>
  <c r="CW208" i="1" s="1"/>
  <c r="CX236" i="1"/>
  <c r="CY236" i="1"/>
  <c r="CY23" i="1"/>
  <c r="CU208" i="1"/>
  <c r="CT208" i="1"/>
  <c r="CT209" i="1" s="1"/>
  <c r="CK204" i="1"/>
  <c r="CK206" i="1" s="1"/>
  <c r="CK210" i="1" s="1"/>
  <c r="CK224" i="1" s="1"/>
  <c r="CK130" i="1"/>
  <c r="CV237" i="1"/>
  <c r="AC39" i="1"/>
  <c r="AC261" i="1" s="1"/>
  <c r="AC262" i="1" s="1"/>
  <c r="AC70" i="1"/>
  <c r="AC28" i="1"/>
  <c r="CW159" i="1"/>
  <c r="CT237" i="1"/>
  <c r="AC190" i="1"/>
  <c r="AC159" i="1"/>
  <c r="DA242" i="1"/>
  <c r="DA21" i="1"/>
  <c r="DA236" i="1" s="1"/>
  <c r="CT168" i="1"/>
  <c r="CU207" i="1"/>
  <c r="CY159" i="1"/>
  <c r="CY167" i="1"/>
  <c r="CX155" i="1"/>
  <c r="CX156" i="1"/>
  <c r="AD156" i="1" s="1"/>
  <c r="AD191" i="1" s="1"/>
  <c r="CX27" i="1"/>
  <c r="CX164" i="1"/>
  <c r="AD164" i="1" s="1"/>
  <c r="AD194" i="1" s="1"/>
  <c r="CX163" i="1"/>
  <c r="CX23" i="1"/>
  <c r="CX37" i="1"/>
  <c r="CX34" i="1" s="1"/>
  <c r="CX157" i="1"/>
  <c r="AD157" i="1" s="1"/>
  <c r="CT45" i="1"/>
  <c r="CT41" i="1"/>
  <c r="CT40" i="1"/>
  <c r="CT243" i="1"/>
  <c r="CT244" i="1" s="1"/>
  <c r="CT42" i="1"/>
  <c r="CW30" i="1"/>
  <c r="CW29" i="1"/>
  <c r="CW39" i="1"/>
  <c r="CU237" i="1"/>
  <c r="CU42" i="1"/>
  <c r="AD21" i="1"/>
  <c r="DA109" i="1"/>
  <c r="DA110" i="1" s="1"/>
  <c r="AC196" i="1"/>
  <c r="AC195" i="1" s="1"/>
  <c r="AC208" i="1"/>
  <c r="AB192" i="1"/>
  <c r="AB197" i="1"/>
  <c r="AB200" i="1" s="1"/>
  <c r="AB201" i="1" s="1"/>
  <c r="CT123" i="1"/>
  <c r="CV123" i="1"/>
  <c r="CV209" i="1" l="1"/>
  <c r="CY30" i="1"/>
  <c r="CY29" i="1"/>
  <c r="CY39" i="1"/>
  <c r="AD34" i="1"/>
  <c r="AD37" i="1" s="1"/>
  <c r="AD38" i="1" s="1"/>
  <c r="CZ159" i="1"/>
  <c r="CZ26" i="1"/>
  <c r="CZ29" i="1"/>
  <c r="CZ39" i="1"/>
  <c r="CZ30" i="1"/>
  <c r="CZ208" i="1"/>
  <c r="CW237" i="1"/>
  <c r="CW261" i="1"/>
  <c r="CW262" i="1" s="1"/>
  <c r="DB109" i="1"/>
  <c r="DB110" i="1" s="1"/>
  <c r="DB264" i="1"/>
  <c r="AD109" i="1"/>
  <c r="AD199" i="1"/>
  <c r="CU209" i="1"/>
  <c r="AC41" i="1"/>
  <c r="AD163" i="1"/>
  <c r="AD167" i="1" s="1"/>
  <c r="CX167" i="1"/>
  <c r="CY168" i="1"/>
  <c r="DA163" i="1"/>
  <c r="DA164" i="1"/>
  <c r="DA156" i="1"/>
  <c r="DA27" i="1"/>
  <c r="DA155" i="1"/>
  <c r="DA37" i="1"/>
  <c r="DA34" i="1" s="1"/>
  <c r="DA23" i="1"/>
  <c r="DA157" i="1"/>
  <c r="CK131" i="1"/>
  <c r="CL218" i="1" s="1"/>
  <c r="CL216" i="1" s="1"/>
  <c r="CX30" i="1"/>
  <c r="CX39" i="1"/>
  <c r="CX29" i="1"/>
  <c r="AC193" i="1"/>
  <c r="AC168" i="1"/>
  <c r="AC207" i="1"/>
  <c r="AC209" i="1" s="1"/>
  <c r="AC45" i="1"/>
  <c r="AC71" i="1"/>
  <c r="AC40" i="1"/>
  <c r="AC123" i="1"/>
  <c r="DB21" i="1"/>
  <c r="DB236" i="1" s="1"/>
  <c r="DB242" i="1"/>
  <c r="CW168" i="1"/>
  <c r="CW207" i="1"/>
  <c r="CW209" i="1" s="1"/>
  <c r="AD155" i="1"/>
  <c r="CX159" i="1"/>
  <c r="AD69" i="1"/>
  <c r="AD22" i="1"/>
  <c r="CW45" i="1"/>
  <c r="CW41" i="1"/>
  <c r="CW243" i="1"/>
  <c r="CW244" i="1" s="1"/>
  <c r="CW42" i="1"/>
  <c r="CW40" i="1"/>
  <c r="CW123" i="1"/>
  <c r="CX26" i="1"/>
  <c r="AD26" i="1" s="1"/>
  <c r="AD27" i="1" s="1"/>
  <c r="AE19" i="1"/>
  <c r="AE264" i="1" s="1"/>
  <c r="CY45" i="1" l="1"/>
  <c r="CY41" i="1"/>
  <c r="CY40" i="1"/>
  <c r="CY243" i="1"/>
  <c r="CY244" i="1" s="1"/>
  <c r="CY261" i="1"/>
  <c r="CY262" i="1" s="1"/>
  <c r="CK65" i="1"/>
  <c r="CK103" i="1"/>
  <c r="CZ207" i="1"/>
  <c r="CZ209" i="1" s="1"/>
  <c r="CZ168" i="1"/>
  <c r="CZ261" i="1"/>
  <c r="CZ262" i="1" s="1"/>
  <c r="CZ40" i="1"/>
  <c r="CZ243" i="1"/>
  <c r="CZ244" i="1" s="1"/>
  <c r="CZ42" i="1"/>
  <c r="CZ45" i="1"/>
  <c r="CZ41" i="1"/>
  <c r="AD29" i="1"/>
  <c r="CZ123" i="1"/>
  <c r="CX261" i="1"/>
  <c r="CX262" i="1" s="1"/>
  <c r="CY237" i="1"/>
  <c r="CY42" i="1"/>
  <c r="CZ237" i="1"/>
  <c r="CX237" i="1"/>
  <c r="CY123" i="1"/>
  <c r="CX123" i="1"/>
  <c r="DA159" i="1"/>
  <c r="DA207" i="1" s="1"/>
  <c r="AD28" i="1"/>
  <c r="AD70" i="1"/>
  <c r="AD39" i="1"/>
  <c r="AD261" i="1" s="1"/>
  <c r="AD262" i="1" s="1"/>
  <c r="CY207" i="1"/>
  <c r="CX168" i="1"/>
  <c r="CY208" i="1"/>
  <c r="CX208" i="1"/>
  <c r="AD196" i="1"/>
  <c r="AD195" i="1" s="1"/>
  <c r="AD208" i="1"/>
  <c r="CG100" i="1"/>
  <c r="DA30" i="1"/>
  <c r="DA29" i="1"/>
  <c r="DA39" i="1"/>
  <c r="DA261" i="1" s="1"/>
  <c r="DA262" i="1" s="1"/>
  <c r="CX207" i="1"/>
  <c r="CX45" i="1"/>
  <c r="CX41" i="1"/>
  <c r="CX40" i="1"/>
  <c r="CX243" i="1"/>
  <c r="CX244" i="1" s="1"/>
  <c r="CX42" i="1"/>
  <c r="AD190" i="1"/>
  <c r="AD159" i="1"/>
  <c r="CK218" i="1"/>
  <c r="CK216" i="1" s="1"/>
  <c r="CK221" i="1" s="1"/>
  <c r="CK140" i="1"/>
  <c r="CK66" i="1" s="1"/>
  <c r="AC192" i="1"/>
  <c r="AC197" i="1"/>
  <c r="AC200" i="1" s="1"/>
  <c r="AC201" i="1" s="1"/>
  <c r="DA26" i="1"/>
  <c r="DB156" i="1"/>
  <c r="AE156" i="1" s="1"/>
  <c r="AE191" i="1" s="1"/>
  <c r="DB27" i="1"/>
  <c r="DB26" i="1" s="1"/>
  <c r="DB155" i="1"/>
  <c r="DB37" i="1"/>
  <c r="DB34" i="1" s="1"/>
  <c r="DB164" i="1"/>
  <c r="AE164" i="1" s="1"/>
  <c r="AE194" i="1" s="1"/>
  <c r="DB23" i="1"/>
  <c r="DB157" i="1"/>
  <c r="AE157" i="1" s="1"/>
  <c r="DB163" i="1"/>
  <c r="AE21" i="1"/>
  <c r="DA167" i="1"/>
  <c r="CK105" i="1" l="1"/>
  <c r="CK106" i="1"/>
  <c r="CK107" i="1"/>
  <c r="AE34" i="1"/>
  <c r="AE37" i="1" s="1"/>
  <c r="AE38" i="1" s="1"/>
  <c r="AE109" i="1"/>
  <c r="AE199" i="1"/>
  <c r="AD41" i="1"/>
  <c r="DA168" i="1"/>
  <c r="CK171" i="1"/>
  <c r="CK172" i="1" s="1"/>
  <c r="CL220" i="1" s="1"/>
  <c r="CL221" i="1" s="1"/>
  <c r="CL222" i="1" s="1"/>
  <c r="DB30" i="1"/>
  <c r="DB39" i="1"/>
  <c r="DB261" i="1" s="1"/>
  <c r="DB262" i="1" s="1"/>
  <c r="DB29" i="1"/>
  <c r="CX209" i="1"/>
  <c r="CY209" i="1"/>
  <c r="AD168" i="1"/>
  <c r="AD193" i="1"/>
  <c r="AD207" i="1"/>
  <c r="AD209" i="1" s="1"/>
  <c r="DB159" i="1"/>
  <c r="AE155" i="1"/>
  <c r="DA45" i="1"/>
  <c r="DA40" i="1"/>
  <c r="DA41" i="1"/>
  <c r="DA42" i="1"/>
  <c r="DA243" i="1"/>
  <c r="DA244" i="1" s="1"/>
  <c r="AD45" i="1"/>
  <c r="AD40" i="1"/>
  <c r="AD123" i="1"/>
  <c r="AD71" i="1"/>
  <c r="AE22" i="1"/>
  <c r="AE69" i="1"/>
  <c r="AE26" i="1"/>
  <c r="AE27" i="1" s="1"/>
  <c r="AE29" i="1" s="1"/>
  <c r="DA123" i="1"/>
  <c r="DA237" i="1"/>
  <c r="AE163" i="1"/>
  <c r="AE167" i="1" s="1"/>
  <c r="DB167" i="1"/>
  <c r="DB208" i="1" s="1"/>
  <c r="DA208" i="1"/>
  <c r="DA209" i="1" s="1"/>
  <c r="CK222" i="1" l="1"/>
  <c r="CK259" i="1"/>
  <c r="CK255" i="1"/>
  <c r="CK257" i="1"/>
  <c r="AE39" i="1"/>
  <c r="AE28" i="1"/>
  <c r="AE70" i="1"/>
  <c r="DB45" i="1"/>
  <c r="DB42" i="1"/>
  <c r="DB243" i="1"/>
  <c r="DB244" i="1" s="1"/>
  <c r="DB40" i="1"/>
  <c r="DB41" i="1"/>
  <c r="DB123" i="1"/>
  <c r="AD197" i="1"/>
  <c r="AD200" i="1" s="1"/>
  <c r="AD201" i="1" s="1"/>
  <c r="AD192" i="1"/>
  <c r="AE159" i="1"/>
  <c r="AE190" i="1"/>
  <c r="CK176" i="1"/>
  <c r="CK179" i="1"/>
  <c r="DB168" i="1"/>
  <c r="DB207" i="1"/>
  <c r="DB209" i="1" s="1"/>
  <c r="AE196" i="1"/>
  <c r="AE195" i="1" s="1"/>
  <c r="AE208" i="1"/>
  <c r="DB237" i="1"/>
  <c r="CK120" i="1" l="1"/>
  <c r="CK121" i="1" s="1"/>
  <c r="CK124" i="1" s="1"/>
  <c r="CL48" i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AE41" i="1"/>
  <c r="AE261" i="1"/>
  <c r="AE262" i="1" s="1"/>
  <c r="CK177" i="1"/>
  <c r="AE168" i="1"/>
  <c r="AE193" i="1"/>
  <c r="AE207" i="1"/>
  <c r="AE209" i="1" s="1"/>
  <c r="AE45" i="1"/>
  <c r="AE40" i="1"/>
  <c r="AE71" i="1"/>
  <c r="AE123" i="1"/>
  <c r="CK122" i="1" l="1"/>
  <c r="CK125" i="1" s="1"/>
  <c r="AE197" i="1"/>
  <c r="AE200" i="1" s="1"/>
  <c r="AE201" i="1" s="1"/>
  <c r="AE192" i="1"/>
  <c r="CM98" i="1" l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M107" i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M106" i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H100" i="1"/>
  <c r="CM97" i="1" l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M220" i="1" l="1"/>
  <c r="AB220" i="1"/>
  <c r="CM263" i="1" l="1"/>
  <c r="CM49" i="1" l="1"/>
  <c r="CM50" i="1" l="1"/>
  <c r="CM52" i="1" l="1"/>
  <c r="CM54" i="1" l="1"/>
  <c r="CM55" i="1"/>
  <c r="CM245" i="1"/>
  <c r="CM59" i="1"/>
  <c r="CM53" i="1"/>
  <c r="CM256" i="1" s="1"/>
  <c r="CM238" i="1"/>
  <c r="CM204" i="1" l="1"/>
  <c r="CM206" i="1" s="1"/>
  <c r="CM210" i="1" s="1"/>
  <c r="CM224" i="1" s="1"/>
  <c r="CM77" i="1"/>
  <c r="CM130" i="1"/>
  <c r="CM131" i="1" l="1"/>
  <c r="CM80" i="1"/>
  <c r="CM81" i="1" l="1"/>
  <c r="CM89" i="1"/>
  <c r="CI100" i="1"/>
  <c r="CM90" i="1"/>
  <c r="CM140" i="1"/>
  <c r="CM66" i="1" s="1"/>
  <c r="CM103" i="1"/>
  <c r="CM218" i="1"/>
  <c r="CM216" i="1" s="1"/>
  <c r="CM221" i="1" s="1"/>
  <c r="CM65" i="1"/>
  <c r="CM171" i="1" l="1"/>
  <c r="CM172" i="1" s="1"/>
  <c r="CM119" i="1"/>
  <c r="CM118" i="1"/>
  <c r="CM222" i="1" l="1"/>
  <c r="CM259" i="1"/>
  <c r="CM257" i="1"/>
  <c r="CM255" i="1"/>
  <c r="CN220" i="1"/>
  <c r="CM176" i="1"/>
  <c r="CM179" i="1"/>
  <c r="CM177" i="1" l="1"/>
  <c r="CN263" i="1"/>
  <c r="CM120" i="1"/>
  <c r="CM121" i="1" l="1"/>
  <c r="CM124" i="1" s="1"/>
  <c r="CM122" i="1"/>
  <c r="CM125" i="1" s="1"/>
  <c r="CN49" i="1"/>
  <c r="CN50" i="1" l="1"/>
  <c r="CN52" i="1" s="1"/>
  <c r="CN54" i="1" l="1"/>
  <c r="CN55" i="1"/>
  <c r="CN59" i="1"/>
  <c r="CN245" i="1"/>
  <c r="CN53" i="1"/>
  <c r="CN256" i="1" s="1"/>
  <c r="CN238" i="1"/>
  <c r="CN77" i="1" l="1"/>
  <c r="CN204" i="1"/>
  <c r="CN206" i="1" s="1"/>
  <c r="CN210" i="1" s="1"/>
  <c r="CN224" i="1" s="1"/>
  <c r="CN130" i="1"/>
  <c r="CN80" i="1" l="1"/>
  <c r="CN131" i="1"/>
  <c r="CN81" i="1" l="1"/>
  <c r="CN140" i="1"/>
  <c r="CN66" i="1" s="1"/>
  <c r="CN218" i="1"/>
  <c r="CN216" i="1" s="1"/>
  <c r="CN221" i="1" s="1"/>
  <c r="CN103" i="1"/>
  <c r="CN65" i="1"/>
  <c r="CN89" i="1"/>
  <c r="CN90" i="1"/>
  <c r="CJ100" i="1"/>
  <c r="CN118" i="1" l="1"/>
  <c r="CN171" i="1"/>
  <c r="CN172" i="1" s="1"/>
  <c r="CN119" i="1"/>
  <c r="CN222" i="1" l="1"/>
  <c r="CN259" i="1"/>
  <c r="CN257" i="1"/>
  <c r="CN255" i="1"/>
  <c r="CN176" i="1"/>
  <c r="CN179" i="1"/>
  <c r="CO220" i="1"/>
  <c r="CN177" i="1" l="1"/>
  <c r="CO263" i="1"/>
  <c r="CN120" i="1"/>
  <c r="CO49" i="1" l="1"/>
  <c r="CN122" i="1"/>
  <c r="CN125" i="1" s="1"/>
  <c r="CN121" i="1"/>
  <c r="CN124" i="1" s="1"/>
  <c r="CO50" i="1" l="1"/>
  <c r="CO52" i="1" l="1"/>
  <c r="CO53" i="1" l="1"/>
  <c r="CO256" i="1" s="1"/>
  <c r="CO55" i="1"/>
  <c r="CO54" i="1"/>
  <c r="CO245" i="1"/>
  <c r="CO59" i="1"/>
  <c r="CO238" i="1"/>
  <c r="CO77" i="1" l="1"/>
  <c r="CO204" i="1"/>
  <c r="CO206" i="1" s="1"/>
  <c r="CO210" i="1" s="1"/>
  <c r="CO224" i="1" s="1"/>
  <c r="CO130" i="1"/>
  <c r="CO131" i="1" l="1"/>
  <c r="CO80" i="1"/>
  <c r="CK100" i="1" s="1"/>
  <c r="CO81" i="1" l="1"/>
  <c r="CO90" i="1"/>
  <c r="CO89" i="1"/>
  <c r="CO103" i="1"/>
  <c r="CO218" i="1"/>
  <c r="CO216" i="1" s="1"/>
  <c r="CO221" i="1" s="1"/>
  <c r="CO140" i="1"/>
  <c r="CO66" i="1" s="1"/>
  <c r="CO65" i="1"/>
  <c r="CO171" i="1" l="1"/>
  <c r="CO172" i="1" s="1"/>
  <c r="CO118" i="1"/>
  <c r="CO119" i="1"/>
  <c r="CO222" i="1" l="1"/>
  <c r="CO257" i="1"/>
  <c r="CO255" i="1"/>
  <c r="CO259" i="1"/>
  <c r="CO176" i="1"/>
  <c r="CO179" i="1"/>
  <c r="CP220" i="1"/>
  <c r="CP263" i="1" l="1"/>
  <c r="CO120" i="1"/>
  <c r="CO177" i="1"/>
  <c r="CO122" i="1" l="1"/>
  <c r="CO125" i="1" s="1"/>
  <c r="CO121" i="1"/>
  <c r="CO124" i="1" s="1"/>
  <c r="CP49" i="1"/>
  <c r="AB47" i="1"/>
  <c r="AB48" i="1" l="1"/>
  <c r="AB263" i="1"/>
  <c r="AB49" i="1"/>
  <c r="CP50" i="1"/>
  <c r="AB50" i="1" s="1"/>
  <c r="AB51" i="1" l="1"/>
  <c r="CP52" i="1"/>
  <c r="CP53" i="1" s="1"/>
  <c r="CP256" i="1" s="1"/>
  <c r="AB52" i="1"/>
  <c r="CP54" i="1" l="1"/>
  <c r="CP238" i="1"/>
  <c r="CP245" i="1"/>
  <c r="CP59" i="1"/>
  <c r="CP130" i="1" s="1"/>
  <c r="CP55" i="1"/>
  <c r="AB54" i="1"/>
  <c r="AB59" i="1"/>
  <c r="AB53" i="1"/>
  <c r="AB256" i="1" s="1"/>
  <c r="AB72" i="1"/>
  <c r="CP204" i="1" l="1"/>
  <c r="CP206" i="1" s="1"/>
  <c r="CP210" i="1" s="1"/>
  <c r="CP224" i="1" s="1"/>
  <c r="CP77" i="1"/>
  <c r="CP80" i="1" s="1"/>
  <c r="CL100" i="1" s="1"/>
  <c r="AB130" i="1"/>
  <c r="AB131" i="1" s="1"/>
  <c r="AB65" i="1" s="1"/>
  <c r="CP131" i="1"/>
  <c r="AB62" i="1"/>
  <c r="AB63" i="1" s="1"/>
  <c r="AB204" i="1"/>
  <c r="AB206" i="1" s="1"/>
  <c r="AB210" i="1" s="1"/>
  <c r="AB224" i="1" s="1"/>
  <c r="CP81" i="1" l="1"/>
  <c r="AB140" i="1"/>
  <c r="AB66" i="1" s="1"/>
  <c r="AB186" i="1"/>
  <c r="AB218" i="1"/>
  <c r="AB216" i="1" s="1"/>
  <c r="AB221" i="1" s="1"/>
  <c r="CP89" i="1"/>
  <c r="CP90" i="1"/>
  <c r="CP218" i="1"/>
  <c r="CP216" i="1" s="1"/>
  <c r="CP221" i="1" s="1"/>
  <c r="CP140" i="1"/>
  <c r="CP66" i="1" s="1"/>
  <c r="CP103" i="1"/>
  <c r="CP65" i="1"/>
  <c r="CP171" i="1" l="1"/>
  <c r="CP118" i="1"/>
  <c r="AB89" i="1"/>
  <c r="CP119" i="1"/>
  <c r="AB90" i="1"/>
  <c r="CP172" i="1" l="1"/>
  <c r="AB171" i="1"/>
  <c r="AB172" i="1" s="1"/>
  <c r="AB259" i="1" l="1"/>
  <c r="AB257" i="1"/>
  <c r="AB255" i="1"/>
  <c r="CP257" i="1"/>
  <c r="CP255" i="1"/>
  <c r="CP259" i="1"/>
  <c r="CP176" i="1"/>
  <c r="CQ220" i="1"/>
  <c r="CP179" i="1"/>
  <c r="CP222" i="1"/>
  <c r="AB179" i="1"/>
  <c r="AB120" i="1" s="1"/>
  <c r="AB176" i="1"/>
  <c r="AC220" i="1"/>
  <c r="AB222" i="1"/>
  <c r="AB177" i="1" l="1"/>
  <c r="CP120" i="1"/>
  <c r="CQ263" i="1"/>
  <c r="CP177" i="1"/>
  <c r="CQ49" i="1" l="1"/>
  <c r="CP121" i="1"/>
  <c r="CP124" i="1" s="1"/>
  <c r="CP122" i="1"/>
  <c r="CP125" i="1" s="1"/>
  <c r="CQ50" i="1" l="1"/>
  <c r="CQ52" i="1" s="1"/>
  <c r="CQ59" i="1" l="1"/>
  <c r="CQ53" i="1"/>
  <c r="CQ256" i="1" s="1"/>
  <c r="CQ54" i="1"/>
  <c r="CQ55" i="1"/>
  <c r="CQ245" i="1"/>
  <c r="CQ238" i="1"/>
  <c r="CQ77" i="1" l="1"/>
  <c r="CQ204" i="1"/>
  <c r="CQ206" i="1" s="1"/>
  <c r="CQ210" i="1" s="1"/>
  <c r="CQ224" i="1" s="1"/>
  <c r="CQ130" i="1"/>
  <c r="CQ131" i="1" l="1"/>
  <c r="CQ80" i="1"/>
  <c r="CQ81" i="1" l="1"/>
  <c r="CQ90" i="1"/>
  <c r="CQ89" i="1"/>
  <c r="CQ140" i="1"/>
  <c r="CQ66" i="1" s="1"/>
  <c r="CQ218" i="1"/>
  <c r="CQ216" i="1" s="1"/>
  <c r="CQ221" i="1" s="1"/>
  <c r="CQ103" i="1"/>
  <c r="CQ65" i="1"/>
  <c r="CQ171" i="1" l="1"/>
  <c r="CQ172" i="1" s="1"/>
  <c r="CQ222" i="1" s="1"/>
  <c r="CQ118" i="1"/>
  <c r="CQ119" i="1"/>
  <c r="CQ259" i="1" l="1"/>
  <c r="CQ257" i="1"/>
  <c r="CQ255" i="1"/>
  <c r="CQ179" i="1"/>
  <c r="CR220" i="1"/>
  <c r="CQ176" i="1"/>
  <c r="CQ177" i="1" l="1"/>
  <c r="CQ120" i="1"/>
  <c r="CR263" i="1"/>
  <c r="CR49" i="1" l="1"/>
  <c r="CQ121" i="1"/>
  <c r="CQ124" i="1" s="1"/>
  <c r="CQ122" i="1"/>
  <c r="CQ125" i="1" s="1"/>
  <c r="CR50" i="1" l="1"/>
  <c r="CR52" i="1" s="1"/>
  <c r="CR245" i="1" l="1"/>
  <c r="CR53" i="1"/>
  <c r="CR256" i="1" s="1"/>
  <c r="CR59" i="1"/>
  <c r="CR54" i="1"/>
  <c r="CR55" i="1"/>
  <c r="CR238" i="1"/>
  <c r="CR77" i="1" l="1"/>
  <c r="CR204" i="1"/>
  <c r="CR206" i="1" s="1"/>
  <c r="CR210" i="1" s="1"/>
  <c r="CR224" i="1" s="1"/>
  <c r="CR130" i="1"/>
  <c r="CR131" i="1" l="1"/>
  <c r="CR80" i="1"/>
  <c r="CR81" i="1" l="1"/>
  <c r="CR89" i="1"/>
  <c r="CR90" i="1"/>
  <c r="CR140" i="1"/>
  <c r="CR66" i="1" s="1"/>
  <c r="CR218" i="1"/>
  <c r="CR216" i="1" s="1"/>
  <c r="CR221" i="1" s="1"/>
  <c r="CR103" i="1"/>
  <c r="CR65" i="1"/>
  <c r="CR171" i="1" l="1"/>
  <c r="CR172" i="1" s="1"/>
  <c r="CR119" i="1"/>
  <c r="CR118" i="1"/>
  <c r="CR259" i="1" l="1"/>
  <c r="CR257" i="1"/>
  <c r="CR255" i="1"/>
  <c r="CS220" i="1"/>
  <c r="CR179" i="1"/>
  <c r="CR176" i="1"/>
  <c r="CR222" i="1"/>
  <c r="CR177" i="1" l="1"/>
  <c r="CR120" i="1"/>
  <c r="CS263" i="1"/>
  <c r="CS49" i="1" l="1"/>
  <c r="CR121" i="1"/>
  <c r="CR124" i="1" s="1"/>
  <c r="CR122" i="1"/>
  <c r="CR125" i="1" s="1"/>
  <c r="CS50" i="1" l="1"/>
  <c r="CS52" i="1" l="1"/>
  <c r="CS59" i="1" l="1"/>
  <c r="CS55" i="1"/>
  <c r="CS245" i="1"/>
  <c r="CS54" i="1"/>
  <c r="CS53" i="1"/>
  <c r="CS256" i="1" s="1"/>
  <c r="CS238" i="1"/>
  <c r="CS77" i="1" l="1"/>
  <c r="CS204" i="1"/>
  <c r="CS206" i="1" s="1"/>
  <c r="CS210" i="1" s="1"/>
  <c r="CS224" i="1" s="1"/>
  <c r="CS130" i="1"/>
  <c r="CS131" i="1" l="1"/>
  <c r="CS80" i="1"/>
  <c r="CS81" i="1" l="1"/>
  <c r="CS89" i="1"/>
  <c r="CS90" i="1"/>
  <c r="CS140" i="1"/>
  <c r="CS66" i="1" s="1"/>
  <c r="CS103" i="1"/>
  <c r="CS218" i="1"/>
  <c r="CS216" i="1" s="1"/>
  <c r="CS221" i="1" s="1"/>
  <c r="CS65" i="1"/>
  <c r="CS171" i="1" l="1"/>
  <c r="CS172" i="1" s="1"/>
  <c r="CS119" i="1"/>
  <c r="CS118" i="1"/>
  <c r="CS257" i="1" l="1"/>
  <c r="CS259" i="1"/>
  <c r="CS255" i="1"/>
  <c r="CT220" i="1"/>
  <c r="CS176" i="1"/>
  <c r="CS179" i="1"/>
  <c r="CS222" i="1"/>
  <c r="CT263" i="1" l="1"/>
  <c r="CS120" i="1"/>
  <c r="CS177" i="1"/>
  <c r="CS122" i="1" l="1"/>
  <c r="CS125" i="1" s="1"/>
  <c r="CS121" i="1"/>
  <c r="CS124" i="1" s="1"/>
  <c r="CT49" i="1"/>
  <c r="AC47" i="1"/>
  <c r="AC48" i="1" l="1"/>
  <c r="AC263" i="1"/>
  <c r="AC49" i="1"/>
  <c r="CT50" i="1"/>
  <c r="AC50" i="1" s="1"/>
  <c r="AC51" i="1" l="1"/>
  <c r="CT52" i="1"/>
  <c r="CT55" i="1" s="1"/>
  <c r="AC52" i="1"/>
  <c r="CT54" i="1" l="1"/>
  <c r="CT59" i="1"/>
  <c r="CT245" i="1"/>
  <c r="CT238" i="1"/>
  <c r="CT53" i="1"/>
  <c r="CT256" i="1" s="1"/>
  <c r="AC54" i="1"/>
  <c r="AC53" i="1"/>
  <c r="AC256" i="1" s="1"/>
  <c r="AC72" i="1"/>
  <c r="AC59" i="1"/>
  <c r="CT130" i="1" l="1"/>
  <c r="CT77" i="1"/>
  <c r="CT80" i="1" s="1"/>
  <c r="CT204" i="1"/>
  <c r="CT206" i="1" s="1"/>
  <c r="CT210" i="1" s="1"/>
  <c r="CT224" i="1" s="1"/>
  <c r="AC62" i="1"/>
  <c r="AC63" i="1" s="1"/>
  <c r="AC204" i="1"/>
  <c r="AC206" i="1" s="1"/>
  <c r="AC210" i="1" s="1"/>
  <c r="AC224" i="1" s="1"/>
  <c r="CT131" i="1" l="1"/>
  <c r="AC130" i="1"/>
  <c r="AC131" i="1" s="1"/>
  <c r="AC140" i="1" s="1"/>
  <c r="AC66" i="1" s="1"/>
  <c r="CT81" i="1"/>
  <c r="CT89" i="1"/>
  <c r="CT90" i="1"/>
  <c r="CT140" i="1" l="1"/>
  <c r="CT66" i="1" s="1"/>
  <c r="CT103" i="1"/>
  <c r="CT218" i="1"/>
  <c r="CT216" i="1" s="1"/>
  <c r="CT221" i="1" s="1"/>
  <c r="CT171" i="1" s="1"/>
  <c r="CT65" i="1"/>
  <c r="AC65" i="1"/>
  <c r="AC218" i="1"/>
  <c r="AC216" i="1" s="1"/>
  <c r="AC221" i="1" s="1"/>
  <c r="AC186" i="1"/>
  <c r="CT118" i="1"/>
  <c r="AC89" i="1"/>
  <c r="CT119" i="1"/>
  <c r="AC90" i="1"/>
  <c r="CT172" i="1" l="1"/>
  <c r="AC171" i="1"/>
  <c r="AC172" i="1" s="1"/>
  <c r="CT257" i="1" l="1"/>
  <c r="CT259" i="1"/>
  <c r="CT255" i="1"/>
  <c r="AC259" i="1"/>
  <c r="AC257" i="1"/>
  <c r="AC255" i="1"/>
  <c r="CU220" i="1"/>
  <c r="CT176" i="1"/>
  <c r="CT179" i="1"/>
  <c r="CT222" i="1"/>
  <c r="AD220" i="1"/>
  <c r="AC179" i="1"/>
  <c r="AC120" i="1" s="1"/>
  <c r="AC176" i="1"/>
  <c r="AC222" i="1"/>
  <c r="AC177" i="1" l="1"/>
  <c r="CT177" i="1"/>
  <c r="CT120" i="1"/>
  <c r="CU263" i="1"/>
  <c r="CU49" i="1" l="1"/>
  <c r="CT121" i="1"/>
  <c r="CT124" i="1" s="1"/>
  <c r="CT122" i="1"/>
  <c r="CT125" i="1" s="1"/>
  <c r="CU50" i="1" l="1"/>
  <c r="CU52" i="1" s="1"/>
  <c r="CU53" i="1" l="1"/>
  <c r="CU256" i="1" s="1"/>
  <c r="CU54" i="1"/>
  <c r="CU55" i="1"/>
  <c r="CU59" i="1"/>
  <c r="CU245" i="1"/>
  <c r="CU238" i="1"/>
  <c r="CU204" i="1" l="1"/>
  <c r="CU206" i="1" s="1"/>
  <c r="CU210" i="1" s="1"/>
  <c r="CU224" i="1" s="1"/>
  <c r="CU77" i="1"/>
  <c r="CU130" i="1"/>
  <c r="CU131" i="1" l="1"/>
  <c r="CU80" i="1"/>
  <c r="CU81" i="1" l="1"/>
  <c r="CU90" i="1"/>
  <c r="CU89" i="1"/>
  <c r="CU140" i="1"/>
  <c r="CU66" i="1" s="1"/>
  <c r="CU218" i="1"/>
  <c r="CU216" i="1" s="1"/>
  <c r="CU221" i="1" s="1"/>
  <c r="CU103" i="1"/>
  <c r="CU65" i="1"/>
  <c r="CU171" i="1" l="1"/>
  <c r="CU172" i="1" s="1"/>
  <c r="CU118" i="1"/>
  <c r="CU119" i="1"/>
  <c r="CU259" i="1" l="1"/>
  <c r="CU255" i="1"/>
  <c r="CU257" i="1"/>
  <c r="CU176" i="1"/>
  <c r="CU179" i="1"/>
  <c r="CV220" i="1"/>
  <c r="CU222" i="1"/>
  <c r="CU177" i="1" l="1"/>
  <c r="CV263" i="1"/>
  <c r="CU120" i="1"/>
  <c r="CU121" i="1" l="1"/>
  <c r="CU124" i="1" s="1"/>
  <c r="CU122" i="1"/>
  <c r="CU125" i="1" s="1"/>
  <c r="CV49" i="1"/>
  <c r="CV50" i="1" l="1"/>
  <c r="CV52" i="1" l="1"/>
  <c r="CV59" i="1" l="1"/>
  <c r="CV245" i="1"/>
  <c r="CV53" i="1"/>
  <c r="CV256" i="1" s="1"/>
  <c r="CV55" i="1"/>
  <c r="CV54" i="1"/>
  <c r="CV238" i="1"/>
  <c r="CV204" i="1" l="1"/>
  <c r="CV206" i="1" s="1"/>
  <c r="CV210" i="1" s="1"/>
  <c r="CV224" i="1" s="1"/>
  <c r="CV77" i="1"/>
  <c r="CV130" i="1"/>
  <c r="CV131" i="1" l="1"/>
  <c r="CV80" i="1"/>
  <c r="CV81" i="1" l="1"/>
  <c r="CV89" i="1"/>
  <c r="CV90" i="1"/>
  <c r="CV103" i="1"/>
  <c r="CV140" i="1"/>
  <c r="CV66" i="1" s="1"/>
  <c r="CV218" i="1"/>
  <c r="CV216" i="1" s="1"/>
  <c r="CV221" i="1" s="1"/>
  <c r="CV65" i="1"/>
  <c r="CV171" i="1" l="1"/>
  <c r="CV172" i="1" s="1"/>
  <c r="CV119" i="1"/>
  <c r="CV118" i="1"/>
  <c r="CV257" i="1" l="1"/>
  <c r="CV255" i="1"/>
  <c r="CV259" i="1"/>
  <c r="CV179" i="1"/>
  <c r="CW220" i="1"/>
  <c r="CV176" i="1"/>
  <c r="CV222" i="1"/>
  <c r="CV177" i="1" l="1"/>
  <c r="CV120" i="1"/>
  <c r="CW263" i="1"/>
  <c r="CW49" i="1" l="1"/>
  <c r="CV122" i="1"/>
  <c r="CV125" i="1" s="1"/>
  <c r="CV121" i="1"/>
  <c r="CV124" i="1" s="1"/>
  <c r="CW50" i="1" l="1"/>
  <c r="CW52" i="1" l="1"/>
  <c r="CW53" i="1" l="1"/>
  <c r="CW256" i="1" s="1"/>
  <c r="CW55" i="1"/>
  <c r="CW59" i="1"/>
  <c r="CW54" i="1"/>
  <c r="CW245" i="1"/>
  <c r="CW238" i="1"/>
  <c r="CW204" i="1" l="1"/>
  <c r="CW206" i="1" s="1"/>
  <c r="CW210" i="1" s="1"/>
  <c r="CW224" i="1" s="1"/>
  <c r="CW77" i="1"/>
  <c r="CW130" i="1"/>
  <c r="CW131" i="1" l="1"/>
  <c r="CW80" i="1"/>
  <c r="CW81" i="1" l="1"/>
  <c r="CW90" i="1"/>
  <c r="CW89" i="1"/>
  <c r="CW218" i="1"/>
  <c r="CW216" i="1" s="1"/>
  <c r="CW221" i="1" s="1"/>
  <c r="CW140" i="1"/>
  <c r="CW66" i="1" s="1"/>
  <c r="CW103" i="1"/>
  <c r="CW65" i="1"/>
  <c r="CW171" i="1" l="1"/>
  <c r="CW172" i="1" s="1"/>
  <c r="CW118" i="1"/>
  <c r="CW119" i="1"/>
  <c r="CW257" i="1" l="1"/>
  <c r="CW255" i="1"/>
  <c r="CW259" i="1"/>
  <c r="CW176" i="1"/>
  <c r="CX220" i="1"/>
  <c r="CW179" i="1"/>
  <c r="CW222" i="1"/>
  <c r="CX263" i="1" l="1"/>
  <c r="CW120" i="1"/>
  <c r="CW177" i="1"/>
  <c r="CW121" i="1" l="1"/>
  <c r="CW124" i="1" s="1"/>
  <c r="CW122" i="1"/>
  <c r="CW125" i="1" s="1"/>
  <c r="CX49" i="1"/>
  <c r="AD47" i="1"/>
  <c r="AD48" i="1" l="1"/>
  <c r="AD263" i="1"/>
  <c r="AD49" i="1"/>
  <c r="CX50" i="1"/>
  <c r="AD50" i="1" s="1"/>
  <c r="AD51" i="1" l="1"/>
  <c r="CX52" i="1"/>
  <c r="CX238" i="1" s="1"/>
  <c r="AD52" i="1"/>
  <c r="CX55" i="1" l="1"/>
  <c r="CX245" i="1"/>
  <c r="CX59" i="1"/>
  <c r="CX53" i="1"/>
  <c r="CX256" i="1" s="1"/>
  <c r="CX54" i="1"/>
  <c r="AD54" i="1"/>
  <c r="AD72" i="1"/>
  <c r="AD59" i="1"/>
  <c r="AD53" i="1"/>
  <c r="AD256" i="1" s="1"/>
  <c r="CX77" i="1" l="1"/>
  <c r="CX80" i="1" s="1"/>
  <c r="CX204" i="1"/>
  <c r="CX206" i="1" s="1"/>
  <c r="CX210" i="1" s="1"/>
  <c r="CX224" i="1" s="1"/>
  <c r="CX130" i="1"/>
  <c r="AD62" i="1"/>
  <c r="AD63" i="1" s="1"/>
  <c r="AD204" i="1"/>
  <c r="AD206" i="1" s="1"/>
  <c r="AD210" i="1" s="1"/>
  <c r="AD224" i="1" s="1"/>
  <c r="AD130" i="1" l="1"/>
  <c r="AD131" i="1" s="1"/>
  <c r="CX131" i="1"/>
  <c r="CX218" i="1" s="1"/>
  <c r="CX216" i="1" s="1"/>
  <c r="CX221" i="1" s="1"/>
  <c r="CX81" i="1"/>
  <c r="CX89" i="1"/>
  <c r="CX90" i="1"/>
  <c r="AD186" i="1" l="1"/>
  <c r="AD140" i="1"/>
  <c r="AD66" i="1" s="1"/>
  <c r="AD65" i="1"/>
  <c r="AD218" i="1"/>
  <c r="AD216" i="1" s="1"/>
  <c r="AD221" i="1" s="1"/>
  <c r="CX140" i="1"/>
  <c r="CX66" i="1" s="1"/>
  <c r="CX103" i="1"/>
  <c r="CX65" i="1"/>
  <c r="CX171" i="1"/>
  <c r="CX119" i="1"/>
  <c r="AD90" i="1"/>
  <c r="CX118" i="1"/>
  <c r="AD89" i="1"/>
  <c r="CX172" i="1" l="1"/>
  <c r="AD171" i="1"/>
  <c r="AD172" i="1" s="1"/>
  <c r="AD259" i="1" l="1"/>
  <c r="AD257" i="1"/>
  <c r="AD255" i="1"/>
  <c r="CX259" i="1"/>
  <c r="CX257" i="1"/>
  <c r="CX255" i="1"/>
  <c r="AE220" i="1"/>
  <c r="AD176" i="1"/>
  <c r="AD179" i="1"/>
  <c r="AD120" i="1" s="1"/>
  <c r="AD222" i="1"/>
  <c r="CY220" i="1"/>
  <c r="CX176" i="1"/>
  <c r="CX179" i="1"/>
  <c r="CX222" i="1"/>
  <c r="AD177" i="1" l="1"/>
  <c r="CX120" i="1"/>
  <c r="CY263" i="1"/>
  <c r="CX177" i="1"/>
  <c r="CY49" i="1" l="1"/>
  <c r="CX121" i="1"/>
  <c r="CX124" i="1" s="1"/>
  <c r="CX122" i="1"/>
  <c r="CX125" i="1" s="1"/>
  <c r="CY50" i="1" l="1"/>
  <c r="CY52" i="1" l="1"/>
  <c r="CY53" i="1" l="1"/>
  <c r="CY256" i="1" s="1"/>
  <c r="CY245" i="1"/>
  <c r="CY54" i="1"/>
  <c r="CY55" i="1"/>
  <c r="CY59" i="1"/>
  <c r="CY238" i="1"/>
  <c r="CY77" i="1" l="1"/>
  <c r="CY204" i="1"/>
  <c r="CY206" i="1" s="1"/>
  <c r="CY210" i="1" s="1"/>
  <c r="CY224" i="1" s="1"/>
  <c r="CY130" i="1"/>
  <c r="CY131" i="1" l="1"/>
  <c r="CY80" i="1"/>
  <c r="CY81" i="1" s="1"/>
  <c r="CY89" i="1" l="1"/>
  <c r="CY90" i="1"/>
  <c r="CY103" i="1"/>
  <c r="CY140" i="1"/>
  <c r="CY66" i="1" s="1"/>
  <c r="CY218" i="1"/>
  <c r="CY216" i="1" s="1"/>
  <c r="CY221" i="1" s="1"/>
  <c r="CY65" i="1"/>
  <c r="CY171" i="1" l="1"/>
  <c r="CY172" i="1" s="1"/>
  <c r="CY119" i="1"/>
  <c r="CY118" i="1"/>
  <c r="CY222" i="1" l="1"/>
  <c r="CY259" i="1"/>
  <c r="CY257" i="1"/>
  <c r="CY255" i="1"/>
  <c r="CZ220" i="1"/>
  <c r="CY176" i="1"/>
  <c r="CY179" i="1"/>
  <c r="CY177" i="1" l="1"/>
  <c r="CZ263" i="1"/>
  <c r="CY120" i="1"/>
  <c r="CY122" i="1" l="1"/>
  <c r="CY125" i="1" s="1"/>
  <c r="CY121" i="1"/>
  <c r="CY124" i="1" s="1"/>
  <c r="CZ49" i="1"/>
  <c r="CZ50" i="1" l="1"/>
  <c r="CZ52" i="1" l="1"/>
  <c r="CZ245" i="1" l="1"/>
  <c r="CZ54" i="1"/>
  <c r="CZ53" i="1"/>
  <c r="CZ256" i="1" s="1"/>
  <c r="CZ55" i="1"/>
  <c r="CZ59" i="1"/>
  <c r="CZ238" i="1"/>
  <c r="CZ204" i="1" l="1"/>
  <c r="CZ206" i="1" s="1"/>
  <c r="CZ210" i="1" s="1"/>
  <c r="CZ224" i="1" s="1"/>
  <c r="CZ77" i="1"/>
  <c r="CZ130" i="1"/>
  <c r="CZ131" i="1" l="1"/>
  <c r="CZ80" i="1"/>
  <c r="CZ81" i="1" s="1"/>
  <c r="CZ90" i="1" l="1"/>
  <c r="CZ89" i="1"/>
  <c r="CZ140" i="1"/>
  <c r="CZ66" i="1" s="1"/>
  <c r="CZ218" i="1"/>
  <c r="CZ216" i="1" s="1"/>
  <c r="CZ221" i="1" s="1"/>
  <c r="CZ103" i="1"/>
  <c r="CZ65" i="1"/>
  <c r="CZ171" i="1" l="1"/>
  <c r="CZ172" i="1" s="1"/>
  <c r="CZ118" i="1"/>
  <c r="CZ119" i="1"/>
  <c r="CZ257" i="1" l="1"/>
  <c r="CZ255" i="1"/>
  <c r="CZ259" i="1"/>
  <c r="CZ176" i="1"/>
  <c r="CZ179" i="1"/>
  <c r="DA220" i="1"/>
  <c r="CZ222" i="1"/>
  <c r="CZ120" i="1" l="1"/>
  <c r="DA263" i="1"/>
  <c r="CZ177" i="1"/>
  <c r="DA49" i="1" l="1"/>
  <c r="CZ121" i="1"/>
  <c r="CZ124" i="1" s="1"/>
  <c r="CZ122" i="1"/>
  <c r="CZ125" i="1" s="1"/>
  <c r="DA50" i="1" l="1"/>
  <c r="DA52" i="1" l="1"/>
  <c r="DA245" i="1" l="1"/>
  <c r="DA59" i="1"/>
  <c r="DA54" i="1"/>
  <c r="DA55" i="1"/>
  <c r="DA53" i="1"/>
  <c r="DA256" i="1" s="1"/>
  <c r="DA238" i="1"/>
  <c r="DA77" i="1" l="1"/>
  <c r="DA204" i="1"/>
  <c r="DA206" i="1" s="1"/>
  <c r="DA210" i="1" s="1"/>
  <c r="DA224" i="1" s="1"/>
  <c r="DA130" i="1"/>
  <c r="DA131" i="1" l="1"/>
  <c r="DA80" i="1"/>
  <c r="DA81" i="1" s="1"/>
  <c r="DA90" i="1" l="1"/>
  <c r="DA89" i="1"/>
  <c r="DA140" i="1"/>
  <c r="DA66" i="1" s="1"/>
  <c r="DA218" i="1"/>
  <c r="DA216" i="1" s="1"/>
  <c r="DA221" i="1" s="1"/>
  <c r="DA103" i="1"/>
  <c r="DA65" i="1"/>
  <c r="DA171" i="1" l="1"/>
  <c r="DA172" i="1" s="1"/>
  <c r="DA118" i="1"/>
  <c r="DA119" i="1"/>
  <c r="DA222" i="1" l="1"/>
  <c r="DA259" i="1"/>
  <c r="DA255" i="1"/>
  <c r="DA257" i="1"/>
  <c r="DA179" i="1"/>
  <c r="DB220" i="1"/>
  <c r="DA176" i="1"/>
  <c r="DA177" i="1" l="1"/>
  <c r="DA120" i="1"/>
  <c r="DB263" i="1"/>
  <c r="DA122" i="1" l="1"/>
  <c r="DA125" i="1" s="1"/>
  <c r="DA121" i="1"/>
  <c r="DA124" i="1" s="1"/>
  <c r="DB49" i="1"/>
  <c r="AE47" i="1"/>
  <c r="AE48" i="1" l="1"/>
  <c r="AE263" i="1"/>
  <c r="AE49" i="1"/>
  <c r="DB50" i="1"/>
  <c r="AE50" i="1" s="1"/>
  <c r="AE51" i="1" l="1"/>
  <c r="DB52" i="1"/>
  <c r="AE52" i="1"/>
  <c r="AE54" i="1" s="1"/>
  <c r="AE53" i="1" l="1"/>
  <c r="AE256" i="1" s="1"/>
  <c r="AE59" i="1"/>
  <c r="AE72" i="1"/>
  <c r="DB54" i="1"/>
  <c r="DB55" i="1"/>
  <c r="DB245" i="1"/>
  <c r="DB53" i="1"/>
  <c r="DB256" i="1" s="1"/>
  <c r="DB59" i="1"/>
  <c r="DB238" i="1"/>
  <c r="AE62" i="1" l="1"/>
  <c r="AE63" i="1" s="1"/>
  <c r="AE204" i="1"/>
  <c r="AE206" i="1" s="1"/>
  <c r="AE210" i="1" s="1"/>
  <c r="AE224" i="1" s="1"/>
  <c r="DB204" i="1"/>
  <c r="DB206" i="1" s="1"/>
  <c r="DB210" i="1" s="1"/>
  <c r="DB224" i="1" s="1"/>
  <c r="DB77" i="1"/>
  <c r="DB80" i="1" s="1"/>
  <c r="DB81" i="1" s="1"/>
  <c r="DB130" i="1"/>
  <c r="AE130" i="1" l="1"/>
  <c r="AE131" i="1" s="1"/>
  <c r="DB131" i="1"/>
  <c r="DB90" i="1"/>
  <c r="DB89" i="1"/>
  <c r="DB118" i="1" l="1"/>
  <c r="AE89" i="1"/>
  <c r="DB119" i="1"/>
  <c r="AE90" i="1"/>
  <c r="DB218" i="1"/>
  <c r="DB216" i="1" s="1"/>
  <c r="DB221" i="1" s="1"/>
  <c r="DB140" i="1"/>
  <c r="DB66" i="1" s="1"/>
  <c r="DB103" i="1"/>
  <c r="DB65" i="1"/>
  <c r="AE218" i="1"/>
  <c r="AE216" i="1" s="1"/>
  <c r="AE221" i="1" s="1"/>
  <c r="AE140" i="1"/>
  <c r="AE66" i="1" s="1"/>
  <c r="AE186" i="1"/>
  <c r="AE65" i="1"/>
  <c r="DB171" i="1" l="1"/>
  <c r="AE171" i="1" l="1"/>
  <c r="AE172" i="1" s="1"/>
  <c r="DB172" i="1"/>
  <c r="DB255" i="1" l="1"/>
  <c r="DB259" i="1"/>
  <c r="DB257" i="1"/>
  <c r="AE257" i="1"/>
  <c r="AE255" i="1"/>
  <c r="AE259" i="1"/>
  <c r="DB176" i="1"/>
  <c r="DB179" i="1"/>
  <c r="DB120" i="1" s="1"/>
  <c r="DB222" i="1"/>
  <c r="AE179" i="1"/>
  <c r="AE120" i="1" s="1"/>
  <c r="AE176" i="1"/>
  <c r="AE222" i="1"/>
  <c r="AE177" i="1" l="1"/>
  <c r="DB121" i="1"/>
  <c r="DB124" i="1" s="1"/>
  <c r="DB122" i="1"/>
  <c r="DB125" i="1" s="1"/>
  <c r="DB177" i="1"/>
  <c r="JY14" i="4"/>
  <c r="JR9" i="4"/>
  <c r="JT9" i="4"/>
  <c r="JR21" i="4"/>
  <c r="JY19" i="4"/>
  <c r="JT21" i="4" l="1"/>
  <c r="CL88" i="1"/>
  <c r="CM88" i="1" l="1"/>
  <c r="CL96" i="1"/>
  <c r="CL105" i="1"/>
  <c r="CL113" i="1"/>
  <c r="CM113" i="1" l="1"/>
  <c r="CM92" i="1"/>
  <c r="CM93" i="1"/>
  <c r="CM105" i="1"/>
  <c r="CM96" i="1"/>
  <c r="CN88" i="1"/>
  <c r="CO88" i="1" l="1"/>
  <c r="CN93" i="1"/>
  <c r="CN92" i="1"/>
  <c r="CN96" i="1"/>
  <c r="CN105" i="1"/>
  <c r="CN113" i="1"/>
  <c r="CO93" i="1" l="1"/>
  <c r="CO92" i="1"/>
  <c r="CO113" i="1"/>
  <c r="CO96" i="1"/>
  <c r="CO105" i="1"/>
  <c r="CP88" i="1"/>
  <c r="AB88" i="1" l="1"/>
  <c r="CP92" i="1"/>
  <c r="CP93" i="1"/>
  <c r="CP105" i="1"/>
  <c r="CP96" i="1"/>
  <c r="CP113" i="1"/>
  <c r="CQ88" i="1"/>
  <c r="AB92" i="1" l="1"/>
  <c r="AB93" i="1"/>
  <c r="CR88" i="1"/>
  <c r="CQ93" i="1"/>
  <c r="CQ92" i="1"/>
  <c r="CQ105" i="1"/>
  <c r="CQ96" i="1"/>
  <c r="CQ113" i="1"/>
  <c r="CR93" i="1" l="1"/>
  <c r="CR92" i="1"/>
  <c r="CR105" i="1"/>
  <c r="CR96" i="1"/>
  <c r="CR113" i="1"/>
  <c r="CS88" i="1"/>
  <c r="CS93" i="1" l="1"/>
  <c r="CS92" i="1"/>
  <c r="CS105" i="1"/>
  <c r="CS96" i="1"/>
  <c r="CT88" i="1"/>
  <c r="CS113" i="1"/>
  <c r="CT113" i="1" l="1"/>
  <c r="AC88" i="1"/>
  <c r="CU88" i="1"/>
  <c r="CT93" i="1"/>
  <c r="CT92" i="1"/>
  <c r="CT105" i="1"/>
  <c r="CT96" i="1"/>
  <c r="AC93" i="1" l="1"/>
  <c r="AC92" i="1"/>
  <c r="CU92" i="1"/>
  <c r="CU93" i="1"/>
  <c r="CU105" i="1"/>
  <c r="CU96" i="1"/>
  <c r="CU113" i="1"/>
  <c r="CV88" i="1"/>
  <c r="CW88" i="1" l="1"/>
  <c r="CV92" i="1"/>
  <c r="CV93" i="1"/>
  <c r="CV105" i="1"/>
  <c r="CV96" i="1"/>
  <c r="CV113" i="1"/>
  <c r="CW92" i="1" l="1"/>
  <c r="CW93" i="1"/>
  <c r="CW96" i="1"/>
  <c r="CW105" i="1"/>
  <c r="CW113" i="1"/>
  <c r="CX88" i="1"/>
  <c r="CX92" i="1" l="1"/>
  <c r="CX105" i="1"/>
  <c r="CX93" i="1"/>
  <c r="CX96" i="1"/>
  <c r="CY88" i="1"/>
  <c r="CX113" i="1"/>
  <c r="AD88" i="1"/>
  <c r="CY113" i="1" l="1"/>
  <c r="CY92" i="1"/>
  <c r="CY93" i="1"/>
  <c r="CY105" i="1"/>
  <c r="CY96" i="1"/>
  <c r="CZ88" i="1"/>
  <c r="AD92" i="1"/>
  <c r="AD93" i="1"/>
  <c r="DA88" i="1" l="1"/>
  <c r="CZ113" i="1"/>
  <c r="CZ93" i="1"/>
  <c r="CZ92" i="1"/>
  <c r="CZ96" i="1"/>
  <c r="CZ105" i="1"/>
  <c r="DA113" i="1" l="1"/>
  <c r="DB88" i="1"/>
  <c r="DA92" i="1"/>
  <c r="DA93" i="1"/>
  <c r="DA105" i="1"/>
  <c r="DA96" i="1"/>
  <c r="DB92" i="1" l="1"/>
  <c r="DB105" i="1"/>
  <c r="DB93" i="1"/>
  <c r="DB96" i="1"/>
  <c r="AE88" i="1"/>
  <c r="DB113" i="1"/>
  <c r="AE92" i="1" l="1"/>
  <c r="AE93" i="1"/>
  <c r="AA74" i="1" l="1"/>
  <c r="AB74" i="1"/>
  <c r="AA76" i="1"/>
  <c r="AA77" i="1"/>
  <c r="AA80" i="1"/>
  <c r="AA81" i="1"/>
  <c r="AA98" i="1"/>
  <c r="AA96" i="1"/>
  <c r="AA119" i="1"/>
  <c r="AA79" i="1"/>
  <c r="AB75" i="1"/>
  <c r="AA75" i="1"/>
  <c r="Z75" i="1"/>
  <c r="Y75" i="1"/>
  <c r="X75" i="1"/>
  <c r="W75" i="1"/>
  <c r="V75" i="1"/>
  <c r="AB76" i="1"/>
  <c r="AC74" i="1"/>
  <c r="AD74" i="1"/>
  <c r="Z74" i="1"/>
  <c r="Z76" i="1"/>
  <c r="Z119" i="1"/>
  <c r="Z103" i="1"/>
  <c r="AD76" i="1"/>
  <c r="Y74" i="1"/>
  <c r="X74" i="1"/>
  <c r="W74" i="1"/>
  <c r="V74" i="1"/>
  <c r="U74" i="1"/>
  <c r="T74" i="1"/>
  <c r="S74" i="1"/>
  <c r="X76" i="1"/>
  <c r="Z107" i="1"/>
  <c r="Z106" i="1"/>
  <c r="X118" i="1"/>
  <c r="X119" i="1"/>
  <c r="Y76" i="1"/>
  <c r="Y77" i="1"/>
  <c r="Y79" i="1"/>
  <c r="Z77" i="1"/>
  <c r="Z80" i="1"/>
  <c r="Z96" i="1"/>
  <c r="Z81" i="1"/>
  <c r="AE74" i="1"/>
  <c r="AE76" i="1"/>
  <c r="AE118" i="1"/>
  <c r="AA122" i="1"/>
  <c r="AA125" i="1"/>
  <c r="AA118" i="1"/>
  <c r="AA121" i="1"/>
  <c r="AA124" i="1"/>
  <c r="AA97" i="1"/>
  <c r="AA110" i="1"/>
  <c r="AA103" i="1"/>
  <c r="AA113" i="1"/>
  <c r="AA115" i="1"/>
  <c r="AA105" i="1"/>
  <c r="AA106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C75" i="1"/>
  <c r="AD75" i="1"/>
  <c r="AE75" i="1"/>
  <c r="AC76" i="1"/>
  <c r="Z122" i="1"/>
  <c r="Z110" i="1"/>
  <c r="Z118" i="1"/>
  <c r="Z121" i="1"/>
  <c r="Z124" i="1"/>
  <c r="Y119" i="1"/>
  <c r="Y122" i="1"/>
  <c r="X77" i="1"/>
  <c r="AD110" i="1"/>
  <c r="Z125" i="1"/>
  <c r="X103" i="1"/>
  <c r="T76" i="1"/>
  <c r="T110" i="1"/>
  <c r="T115" i="1"/>
  <c r="R74" i="1"/>
  <c r="Q74" i="1"/>
  <c r="P74" i="1"/>
  <c r="O74" i="1"/>
  <c r="O76" i="1"/>
  <c r="O77" i="1"/>
  <c r="O80" i="1"/>
  <c r="O97" i="1"/>
  <c r="N74" i="1"/>
  <c r="N76" i="1"/>
  <c r="N77" i="1"/>
  <c r="M74" i="1"/>
  <c r="AD118" i="1"/>
  <c r="Y80" i="1"/>
  <c r="L74" i="1"/>
  <c r="L76" i="1"/>
  <c r="L77" i="1"/>
  <c r="L80" i="1"/>
  <c r="L96" i="1"/>
  <c r="AB103" i="1"/>
  <c r="V76" i="1"/>
  <c r="V119" i="1"/>
  <c r="V122" i="1"/>
  <c r="AE77" i="1"/>
  <c r="AE80" i="1"/>
  <c r="AE98" i="1"/>
  <c r="AD115" i="1"/>
  <c r="AD114" i="1"/>
  <c r="X79" i="1"/>
  <c r="AB106" i="1"/>
  <c r="AB107" i="1"/>
  <c r="Y118" i="1"/>
  <c r="Y121" i="1"/>
  <c r="Y124" i="1"/>
  <c r="Z105" i="1"/>
  <c r="AC119" i="1"/>
  <c r="X121" i="1"/>
  <c r="AE119" i="1"/>
  <c r="P76" i="1"/>
  <c r="P103" i="1"/>
  <c r="P106" i="1"/>
  <c r="Y103" i="1"/>
  <c r="Y107" i="1"/>
  <c r="Y98" i="1"/>
  <c r="AA114" i="1"/>
  <c r="W76" i="1"/>
  <c r="W103" i="1"/>
  <c r="W106" i="1"/>
  <c r="E75" i="1"/>
  <c r="K74" i="1"/>
  <c r="J74" i="1"/>
  <c r="I74" i="1"/>
  <c r="H74" i="1"/>
  <c r="G74" i="1"/>
  <c r="G76" i="1"/>
  <c r="G118" i="1"/>
  <c r="G121" i="1"/>
  <c r="G124" i="1"/>
  <c r="AC77" i="1"/>
  <c r="AC80" i="1"/>
  <c r="AC96" i="1"/>
  <c r="K100" i="1"/>
  <c r="F74" i="1"/>
  <c r="E74" i="1"/>
  <c r="E76" i="1"/>
  <c r="E110" i="1"/>
  <c r="S76" i="1"/>
  <c r="S103" i="1"/>
  <c r="S107" i="1"/>
  <c r="S110" i="1"/>
  <c r="S113" i="1"/>
  <c r="E115" i="1"/>
  <c r="H76" i="1"/>
  <c r="H77" i="1"/>
  <c r="H79" i="1"/>
  <c r="G77" i="1"/>
  <c r="G79" i="1"/>
  <c r="S105" i="1"/>
  <c r="O110" i="1"/>
  <c r="O114" i="1"/>
  <c r="L118" i="1"/>
  <c r="L121" i="1"/>
  <c r="L124" i="1"/>
  <c r="J76" i="1"/>
  <c r="J103" i="1"/>
  <c r="J106" i="1"/>
  <c r="P77" i="1"/>
  <c r="P80" i="1"/>
  <c r="F76" i="1"/>
  <c r="F77" i="1"/>
  <c r="F80" i="1"/>
  <c r="R76" i="1"/>
  <c r="R77" i="1"/>
  <c r="R80" i="1"/>
  <c r="U76" i="1"/>
  <c r="U77" i="1"/>
  <c r="U80" i="1"/>
  <c r="E114" i="1"/>
  <c r="O113" i="1"/>
  <c r="S77" i="1"/>
  <c r="S80" i="1"/>
  <c r="J77" i="1"/>
  <c r="J80" i="1"/>
  <c r="J81" i="1"/>
  <c r="T77" i="1"/>
  <c r="T80" i="1"/>
  <c r="T96" i="1"/>
  <c r="V77" i="1"/>
  <c r="V80" i="1"/>
  <c r="V96" i="1"/>
  <c r="R100" i="1"/>
  <c r="AB118" i="1"/>
  <c r="E77" i="1"/>
  <c r="K76" i="1"/>
  <c r="K119" i="1"/>
  <c r="K122" i="1"/>
  <c r="AC110" i="1"/>
  <c r="F79" i="1"/>
  <c r="S114" i="1"/>
  <c r="K77" i="1"/>
  <c r="K80" i="1"/>
  <c r="M76" i="1"/>
  <c r="M77" i="1"/>
  <c r="L110" i="1"/>
  <c r="O118" i="1"/>
  <c r="O121" i="1"/>
  <c r="L114" i="1"/>
  <c r="Y81" i="1"/>
  <c r="S98" i="1"/>
  <c r="N110" i="1"/>
  <c r="N113" i="1"/>
  <c r="H119" i="1"/>
  <c r="W107" i="1"/>
  <c r="AB119" i="1"/>
  <c r="O119" i="1"/>
  <c r="J98" i="1"/>
  <c r="AD103" i="1"/>
  <c r="G103" i="1"/>
  <c r="AD77" i="1"/>
  <c r="P110" i="1"/>
  <c r="J79" i="1"/>
  <c r="K110" i="1"/>
  <c r="F81" i="1"/>
  <c r="J118" i="1"/>
  <c r="K97" i="1"/>
  <c r="H122" i="1"/>
  <c r="AB77" i="1"/>
  <c r="E103" i="1"/>
  <c r="L81" i="1"/>
  <c r="O124" i="1"/>
  <c r="AE81" i="1"/>
  <c r="W118" i="1"/>
  <c r="AB122" i="1"/>
  <c r="I100" i="1"/>
  <c r="G107" i="1"/>
  <c r="K113" i="1"/>
  <c r="AD100" i="1"/>
  <c r="E80" i="1"/>
  <c r="E113" i="1"/>
  <c r="AC81" i="1"/>
  <c r="L113" i="1"/>
  <c r="N115" i="1"/>
  <c r="AB125" i="1"/>
  <c r="Q76" i="1"/>
  <c r="Q77" i="1"/>
  <c r="Q80" i="1"/>
  <c r="Q96" i="1"/>
  <c r="Q81" i="1"/>
  <c r="Q97" i="1"/>
  <c r="D100" i="1"/>
  <c r="AD106" i="1"/>
  <c r="S119" i="1"/>
  <c r="S122" i="1"/>
  <c r="O98" i="1"/>
  <c r="U81" i="1"/>
  <c r="P114" i="1"/>
  <c r="E98" i="1"/>
  <c r="Y110" i="1"/>
  <c r="AE110" i="1"/>
  <c r="AC103" i="1"/>
  <c r="AE103" i="1"/>
  <c r="AD80" i="1"/>
  <c r="AD96" i="1"/>
  <c r="O100" i="1"/>
  <c r="K98" i="1"/>
  <c r="AD113" i="1"/>
  <c r="P115" i="1"/>
  <c r="O79" i="1"/>
  <c r="AD98" i="1"/>
  <c r="S118" i="1"/>
  <c r="E79" i="1"/>
  <c r="X110" i="1"/>
  <c r="G110" i="1"/>
  <c r="G115" i="1"/>
  <c r="U119" i="1"/>
  <c r="H118" i="1"/>
  <c r="H121" i="1"/>
  <c r="H124" i="1"/>
  <c r="O81" i="1"/>
  <c r="J107" i="1"/>
  <c r="P81" i="1"/>
  <c r="U97" i="1"/>
  <c r="T113" i="1"/>
  <c r="R110" i="1"/>
  <c r="R118" i="1"/>
  <c r="W77" i="1"/>
  <c r="U79" i="1"/>
  <c r="U100" i="1"/>
  <c r="O96" i="1"/>
  <c r="P118" i="1"/>
  <c r="W80" i="1"/>
  <c r="Y97" i="1"/>
  <c r="AC98" i="1"/>
  <c r="N79" i="1"/>
  <c r="R121" i="1"/>
  <c r="R124" i="1"/>
  <c r="K118" i="1"/>
  <c r="K121" i="1"/>
  <c r="AA107" i="1"/>
  <c r="M119" i="1"/>
  <c r="M122" i="1"/>
  <c r="P96" i="1"/>
  <c r="F119" i="1"/>
  <c r="F122" i="1"/>
  <c r="AC114" i="1"/>
  <c r="Y100" i="1"/>
  <c r="M103" i="1"/>
  <c r="M105" i="1"/>
  <c r="I76" i="1"/>
  <c r="I119" i="1"/>
  <c r="I122" i="1"/>
  <c r="AB110" i="1"/>
  <c r="Z97" i="1"/>
  <c r="X122" i="1"/>
  <c r="S100" i="1"/>
  <c r="R98" i="1"/>
  <c r="Z100" i="1"/>
  <c r="R114" i="1"/>
  <c r="AC122" i="1"/>
  <c r="P105" i="1"/>
  <c r="T119" i="1"/>
  <c r="T122" i="1"/>
  <c r="T125" i="1"/>
  <c r="M118" i="1"/>
  <c r="M121" i="1"/>
  <c r="M124" i="1"/>
  <c r="Z79" i="1"/>
  <c r="F98" i="1"/>
  <c r="Y106" i="1"/>
  <c r="K96" i="1"/>
  <c r="O115" i="1"/>
  <c r="K79" i="1"/>
  <c r="L97" i="1"/>
  <c r="T114" i="1"/>
  <c r="T103" i="1"/>
  <c r="H110" i="1"/>
  <c r="F97" i="1"/>
  <c r="F110" i="1"/>
  <c r="F114" i="1"/>
  <c r="W110" i="1"/>
  <c r="W114" i="1"/>
  <c r="K81" i="1"/>
  <c r="F113" i="1"/>
  <c r="M110" i="1"/>
  <c r="P97" i="1"/>
  <c r="K103" i="1"/>
  <c r="R97" i="1"/>
  <c r="M115" i="1"/>
  <c r="U96" i="1"/>
  <c r="J96" i="1"/>
  <c r="Q118" i="1"/>
  <c r="Q121" i="1"/>
  <c r="Q124" i="1"/>
  <c r="U103" i="1"/>
  <c r="I103" i="1"/>
  <c r="I105" i="1"/>
  <c r="H103" i="1"/>
  <c r="T81" i="1"/>
  <c r="W119" i="1"/>
  <c r="W122" i="1"/>
  <c r="Z98" i="1"/>
  <c r="U118" i="1"/>
  <c r="R113" i="1"/>
  <c r="P119" i="1"/>
  <c r="P122" i="1"/>
  <c r="V98" i="1"/>
  <c r="X100" i="1"/>
  <c r="S96" i="1"/>
  <c r="M80" i="1"/>
  <c r="M81" i="1"/>
  <c r="V118" i="1"/>
  <c r="V121" i="1"/>
  <c r="N103" i="1"/>
  <c r="T118" i="1"/>
  <c r="J110" i="1"/>
  <c r="Q110" i="1"/>
  <c r="F103" i="1"/>
  <c r="H106" i="1"/>
  <c r="L79" i="1"/>
  <c r="M106" i="1"/>
  <c r="W105" i="1"/>
  <c r="P107" i="1"/>
  <c r="E118" i="1"/>
  <c r="E121" i="1"/>
  <c r="E124" i="1"/>
  <c r="G105" i="1"/>
  <c r="N118" i="1"/>
  <c r="E119" i="1"/>
  <c r="V110" i="1"/>
  <c r="G80" i="1"/>
  <c r="AB114" i="1"/>
  <c r="O122" i="1"/>
  <c r="AB121" i="1"/>
  <c r="J97" i="1"/>
  <c r="X107" i="1"/>
  <c r="K114" i="1"/>
  <c r="AD81" i="1"/>
  <c r="E96" i="1"/>
  <c r="H80" i="1"/>
  <c r="U110" i="1"/>
  <c r="G119" i="1"/>
  <c r="G122" i="1"/>
  <c r="U114" i="1"/>
  <c r="G113" i="1"/>
  <c r="V114" i="1"/>
  <c r="T107" i="1"/>
  <c r="Q98" i="1"/>
  <c r="H107" i="1"/>
  <c r="X105" i="1"/>
  <c r="H96" i="1"/>
  <c r="G100" i="1"/>
  <c r="T105" i="1"/>
  <c r="M107" i="1"/>
  <c r="I118" i="1"/>
  <c r="T106" i="1"/>
  <c r="E97" i="1"/>
  <c r="I107" i="1"/>
  <c r="S81" i="1"/>
  <c r="E100" i="1"/>
  <c r="AD105" i="1"/>
  <c r="S121" i="1"/>
  <c r="Y125" i="1"/>
  <c r="X80" i="1"/>
  <c r="I77" i="1"/>
  <c r="I80" i="1"/>
  <c r="T121" i="1"/>
  <c r="AB100" i="1"/>
  <c r="E106" i="1"/>
  <c r="R119" i="1"/>
  <c r="R122" i="1"/>
  <c r="R125" i="1"/>
  <c r="Z113" i="1"/>
  <c r="J119" i="1"/>
  <c r="J122" i="1"/>
  <c r="AC118" i="1"/>
  <c r="AD121" i="1"/>
  <c r="K125" i="1"/>
  <c r="N119" i="1"/>
  <c r="N121" i="1"/>
  <c r="R79" i="1"/>
  <c r="J115" i="1"/>
  <c r="E122" i="1"/>
  <c r="W121" i="1"/>
  <c r="AE96" i="1"/>
  <c r="AC79" i="1"/>
  <c r="AE107" i="1"/>
  <c r="L100" i="1"/>
  <c r="Y96" i="1"/>
  <c r="AE121" i="1"/>
  <c r="J105" i="1"/>
  <c r="Z115" i="1"/>
  <c r="S115" i="1"/>
  <c r="Y114" i="1"/>
  <c r="G81" i="1"/>
  <c r="AC97" i="1"/>
  <c r="S97" i="1"/>
  <c r="X114" i="1"/>
  <c r="U122" i="1"/>
  <c r="E81" i="1"/>
  <c r="G97" i="1"/>
  <c r="AC100" i="1"/>
  <c r="U105" i="1"/>
  <c r="K124" i="1"/>
  <c r="K115" i="1"/>
  <c r="AC121" i="1"/>
  <c r="N114" i="1"/>
  <c r="N122" i="1"/>
  <c r="N125" i="1"/>
  <c r="I106" i="1"/>
  <c r="F96" i="1"/>
  <c r="AE97" i="1"/>
  <c r="AE114" i="1"/>
  <c r="N107" i="1"/>
  <c r="N100" i="1"/>
  <c r="V100" i="1"/>
  <c r="T98" i="1"/>
  <c r="U98" i="1"/>
  <c r="P113" i="1"/>
  <c r="X98" i="1"/>
  <c r="AE115" i="1"/>
  <c r="Y113" i="1"/>
  <c r="AD119" i="1"/>
  <c r="AD122" i="1"/>
  <c r="AD125" i="1"/>
  <c r="AC105" i="1"/>
  <c r="AE113" i="1"/>
  <c r="AC107" i="1"/>
  <c r="W115" i="1"/>
  <c r="W81" i="1"/>
  <c r="G114" i="1"/>
  <c r="R103" i="1"/>
  <c r="R106" i="1"/>
  <c r="H125" i="1"/>
  <c r="AE106" i="1"/>
  <c r="U106" i="1"/>
  <c r="H115" i="1"/>
  <c r="X81" i="1"/>
  <c r="W100" i="1"/>
  <c r="R105" i="1"/>
  <c r="AB113" i="1"/>
  <c r="Y115" i="1"/>
  <c r="K106" i="1"/>
  <c r="U121" i="1"/>
  <c r="U124" i="1"/>
  <c r="H114" i="1"/>
  <c r="W96" i="1"/>
  <c r="AB105" i="1"/>
  <c r="K105" i="1"/>
  <c r="U125" i="1"/>
  <c r="V124" i="1"/>
  <c r="M125" i="1"/>
  <c r="AE124" i="1"/>
  <c r="AC124" i="1"/>
  <c r="J125" i="1"/>
  <c r="X96" i="1"/>
  <c r="AE105" i="1"/>
  <c r="W124" i="1"/>
  <c r="AB124" i="1"/>
  <c r="L119" i="1"/>
  <c r="L122" i="1"/>
  <c r="L125" i="1"/>
  <c r="N124" i="1"/>
  <c r="X97" i="1"/>
  <c r="T124" i="1"/>
  <c r="E125" i="1"/>
  <c r="AC106" i="1"/>
  <c r="I98" i="1"/>
  <c r="I97" i="1"/>
  <c r="I96" i="1"/>
  <c r="I81" i="1"/>
  <c r="H100" i="1"/>
  <c r="AD124" i="1"/>
  <c r="N80" i="1"/>
  <c r="N96" i="1"/>
  <c r="N81" i="1"/>
  <c r="M100" i="1"/>
  <c r="N97" i="1"/>
  <c r="N98" i="1"/>
  <c r="R81" i="1"/>
  <c r="F115" i="1"/>
  <c r="J121" i="1"/>
  <c r="M97" i="1"/>
  <c r="L115" i="1"/>
  <c r="AC125" i="1"/>
  <c r="P121" i="1"/>
  <c r="P79" i="1"/>
  <c r="M96" i="1"/>
  <c r="V125" i="1"/>
  <c r="S79" i="1"/>
  <c r="L103" i="1"/>
  <c r="O103" i="1"/>
  <c r="E107" i="1"/>
  <c r="O105" i="1"/>
  <c r="AD79" i="1"/>
  <c r="N106" i="1"/>
  <c r="F118" i="1"/>
  <c r="R107" i="1"/>
  <c r="X124" i="1"/>
  <c r="X115" i="1"/>
  <c r="K107" i="1"/>
  <c r="F105" i="1"/>
  <c r="W79" i="1"/>
  <c r="Q103" i="1"/>
  <c r="AB80" i="1"/>
  <c r="AE122" i="1"/>
  <c r="AA100" i="1"/>
  <c r="V79" i="1"/>
  <c r="L98" i="1"/>
  <c r="Q119" i="1"/>
  <c r="U107" i="1"/>
  <c r="AB96" i="1"/>
  <c r="AD107" i="1"/>
  <c r="U115" i="1"/>
  <c r="AB98" i="1"/>
  <c r="P100" i="1"/>
  <c r="H81" i="1"/>
  <c r="AB97" i="1"/>
  <c r="X125" i="1"/>
  <c r="V103" i="1"/>
  <c r="X106" i="1"/>
  <c r="I110" i="1"/>
  <c r="I121" i="1"/>
  <c r="I124" i="1"/>
  <c r="M98" i="1"/>
  <c r="Q113" i="1"/>
  <c r="H113" i="1"/>
  <c r="O106" i="1"/>
  <c r="I114" i="1"/>
  <c r="E105" i="1"/>
  <c r="I115" i="1"/>
  <c r="M114" i="1"/>
  <c r="M113" i="1"/>
  <c r="W98" i="1"/>
  <c r="Z114" i="1"/>
  <c r="G106" i="1"/>
  <c r="AC115" i="1"/>
  <c r="M79" i="1"/>
  <c r="V81" i="1"/>
  <c r="N105" i="1"/>
  <c r="P98" i="1"/>
  <c r="T97" i="1"/>
  <c r="R96" i="1"/>
  <c r="Q115" i="1"/>
  <c r="Q100" i="1"/>
  <c r="V97" i="1"/>
  <c r="Y105" i="1"/>
  <c r="V113" i="1"/>
  <c r="O107" i="1"/>
  <c r="T100" i="1"/>
  <c r="H97" i="1"/>
  <c r="H105" i="1"/>
  <c r="R115" i="1"/>
  <c r="Q122" i="1"/>
  <c r="Q125" i="1"/>
  <c r="Q114" i="1"/>
  <c r="I125" i="1"/>
  <c r="AD97" i="1"/>
  <c r="AB79" i="1"/>
  <c r="U113" i="1"/>
  <c r="O125" i="1"/>
  <c r="H98" i="1"/>
  <c r="AE125" i="1"/>
  <c r="I79" i="1"/>
  <c r="S125" i="1"/>
  <c r="F107" i="1"/>
  <c r="J100" i="1"/>
  <c r="AB115" i="1"/>
  <c r="W113" i="1"/>
  <c r="AC113" i="1"/>
  <c r="F100" i="1"/>
  <c r="T79" i="1"/>
  <c r="S106" i="1"/>
  <c r="W97" i="1"/>
  <c r="S124" i="1"/>
  <c r="G96" i="1"/>
  <c r="V106" i="1"/>
  <c r="J113" i="1"/>
  <c r="L106" i="1"/>
  <c r="X113" i="1"/>
  <c r="J114" i="1"/>
  <c r="W125" i="1"/>
  <c r="V115" i="1"/>
  <c r="G125" i="1"/>
  <c r="P125" i="1"/>
  <c r="F106" i="1"/>
  <c r="F125" i="1"/>
  <c r="P124" i="1"/>
  <c r="G98" i="1"/>
  <c r="F121" i="1"/>
  <c r="F124" i="1"/>
  <c r="V107" i="1"/>
  <c r="J124" i="1"/>
  <c r="AB81" i="1"/>
  <c r="Q106" i="1"/>
  <c r="Q105" i="1"/>
  <c r="I113" i="1"/>
  <c r="V105" i="1"/>
  <c r="L107" i="1"/>
  <c r="AE79" i="1"/>
  <c r="L105" i="1"/>
  <c r="Q107" i="1"/>
  <c r="Q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Iwealth Management llp</author>
  </authors>
  <commentList>
    <comment ref="CE5" authorId="0" shapeId="0" xr:uid="{FFAE1D5E-FCBB-41BD-8803-8ADE244A267B}">
      <text>
        <r>
          <rPr>
            <b/>
            <sz val="9"/>
            <color indexed="81"/>
            <rFont val="Tahoma"/>
            <family val="2"/>
          </rPr>
          <t>Iwealth Management llp:</t>
        </r>
        <r>
          <rPr>
            <sz val="9"/>
            <color indexed="81"/>
            <rFont val="Tahoma"/>
            <family val="2"/>
          </rPr>
          <t xml:space="preserve">
acquired on 22nd July 2024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<sst xmlns="http://schemas.openxmlformats.org/spreadsheetml/2006/main" count="675" uniqueCount="532">
  <si>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</si>
  <si>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</si>
  <si>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</si>
  <si>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</si>
  <si>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</si>
  <si>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</si>
  <si>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</si>
  <si>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</si>
  <si>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</si>
  <si>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</si>
  <si>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</si>
  <si>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</si>
  <si>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</si>
  <si>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</si>
  <si>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</si>
  <si>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</si>
  <si>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</si>
  <si>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</si>
  <si>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</si>
  <si>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</si>
  <si>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</si>
  <si>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</si>
  <si>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</si>
  <si>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</si>
  <si>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</si>
  <si>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</si>
  <si>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</si>
  <si>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</si>
  <si>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</si>
  <si>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</si>
  <si>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</si>
  <si>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</si>
  <si>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</si>
  <si>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</si>
  <si>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</si>
  <si>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</si>
  <si>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</si>
  <si>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</si>
  <si>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</si>
  <si>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</si>
  <si>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</si>
  <si>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</si>
  <si>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</si>
  <si>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</si>
  <si>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</si>
  <si>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</si>
  <si>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</si>
  <si>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</si>
  <si>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</si>
  <si>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</si>
  <si>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</si>
  <si>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</si>
  <si>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</si>
  <si>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</si>
  <si>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</si>
  <si>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</si>
  <si>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</si>
  <si>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</si>
  <si>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</si>
  <si>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</si>
  <si>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</si>
  <si>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</si>
  <si>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</si>
  <si>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</si>
  <si>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</si>
  <si>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</si>
  <si>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</si>
  <si>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</si>
  <si>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</si>
  <si>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</si>
  <si>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</si>
  <si>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</si>
  <si>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</si>
  <si>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</si>
  <si>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</si>
  <si>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</si>
  <si>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</si>
  <si>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</si>
  <si>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</si>
  <si>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</si>
  <si>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</si>
  <si>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</si>
  <si>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</si>
  <si>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</si>
  <si>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</si>
  <si>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</si>
  <si>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</si>
  <si>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</si>
  <si>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</si>
  <si>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</si>
  <si>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</si>
  <si>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</si>
  <si>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</si>
  <si>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</si>
  <si>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</si>
  <si>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</si>
  <si>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</si>
  <si>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</si>
  <si>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</si>
  <si>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</si>
  <si>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</si>
  <si>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</si>
  <si>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</si>
  <si>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</si>
  <si>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</si>
  <si>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</si>
  <si>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</si>
  <si>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</si>
  <si>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</si>
  <si>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</si>
  <si>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</si>
  <si>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</si>
  <si>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</si>
  <si>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</si>
  <si>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</si>
  <si>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</si>
  <si>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</si>
  <si>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</si>
  <si>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</si>
  <si>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</si>
  <si>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</si>
  <si>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</si>
  <si>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</si>
  <si>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</si>
  <si>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</si>
  <si>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</si>
  <si>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</si>
  <si>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</si>
  <si>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</si>
  <si>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</si>
  <si>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</si>
  <si>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</si>
  <si>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</si>
  <si>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</si>
  <si>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</si>
  <si>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</si>
  <si>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</si>
  <si>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</si>
  <si>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</si>
  <si>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</si>
  <si>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</si>
  <si>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</si>
  <si>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</si>
  <si>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</si>
  <si>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</si>
  <si>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</si>
  <si>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</si>
  <si>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</si>
  <si>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</si>
  <si>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</si>
  <si>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</si>
  <si>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</si>
  <si>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</si>
  <si>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</si>
  <si>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</si>
  <si>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</si>
  <si>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</si>
  <si>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</si>
  <si>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</si>
  <si>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</si>
  <si>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</si>
  <si>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</si>
  <si>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</si>
  <si>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</si>
  <si>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</si>
  <si>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</si>
  <si>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</si>
  <si>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</si>
  <si>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</si>
  <si>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</si>
  <si>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</si>
  <si>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</si>
  <si>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</si>
  <si>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</si>
  <si>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</si>
  <si>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</si>
  <si>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</si>
  <si>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</si>
  <si>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</si>
  <si>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</si>
  <si>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</si>
  <si>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</si>
  <si>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</si>
  <si>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</si>
  <si>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</si>
  <si>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</si>
  <si>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</si>
  <si>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</si>
  <si>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</si>
  <si>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</si>
  <si>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</si>
  <si>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</si>
  <si>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</si>
  <si>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</si>
  <si>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</si>
  <si>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</si>
  <si>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</si>
  <si>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</si>
  <si>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</si>
  <si>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</si>
  <si>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</si>
  <si>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</si>
  <si>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</si>
  <si>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</si>
  <si>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</si>
  <si>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</si>
  <si>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</si>
  <si>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</si>
  <si>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</si>
  <si>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</si>
  <si>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</si>
  <si>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</si>
  <si>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</si>
  <si>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</si>
  <si>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</si>
  <si>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</si>
  <si>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</si>
  <si>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</si>
  <si>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</si>
  <si>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</si>
  <si>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</si>
  <si>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</si>
  <si>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</si>
  <si>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</si>
  <si>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</si>
  <si>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</si>
  <si>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</si>
  <si>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</si>
  <si>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</si>
  <si>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</si>
  <si>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</si>
  <si>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</si>
  <si>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</si>
  <si>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</si>
  <si>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</si>
  <si>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</si>
  <si>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</si>
  <si>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</si>
  <si>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</si>
  <si>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</si>
  <si>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</si>
  <si>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</si>
  <si>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</si>
  <si>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</si>
  <si>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</si>
  <si>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</si>
  <si>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</si>
  <si>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</si>
  <si>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</si>
  <si>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</si>
  <si>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</si>
  <si>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</si>
  <si>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</si>
  <si>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</si>
  <si>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</si>
  <si>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</si>
  <si>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</si>
  <si>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</si>
  <si>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</si>
  <si>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</si>
  <si>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</si>
  <si>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</si>
  <si>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</si>
  <si>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</si>
  <si>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</si>
  <si>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</si>
  <si>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</si>
  <si>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</si>
  <si>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</si>
  <si>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</si>
  <si>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</si>
  <si>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</si>
  <si>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</si>
  <si>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</si>
  <si>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</si>
  <si>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</si>
  <si>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</si>
  <si>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</si>
  <si>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</si>
  <si>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</si>
  <si>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</si>
  <si>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</si>
  <si>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</si>
  <si>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</si>
  <si>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</si>
  <si>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</si>
  <si>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</si>
  <si>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</si>
  <si>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</si>
  <si>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</si>
  <si>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</si>
  <si>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</si>
  <si>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</si>
  <si>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</si>
  <si>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</si>
  <si>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</si>
  <si>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</si>
  <si>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</si>
  <si>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</si>
  <si>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</si>
  <si>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</si>
  <si>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</si>
  <si>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</si>
  <si>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</si>
  <si>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</si>
  <si>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</si>
  <si>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</si>
  <si>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</si>
  <si>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</si>
  <si>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</si>
  <si>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</si>
  <si>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</si>
  <si>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</si>
  <si>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</si>
  <si>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</si>
  <si>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</si>
  <si>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</si>
  <si>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</si>
  <si>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</si>
  <si>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</si>
  <si>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</si>
  <si>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</si>
  <si>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</si>
  <si>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</si>
  <si>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</si>
  <si>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</si>
  <si>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</si>
  <si>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</si>
  <si>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</si>
  <si>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</si>
  <si>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</si>
  <si>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</si>
  <si>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</si>
  <si>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</si>
  <si>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</si>
  <si>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</si>
  <si>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</si>
  <si>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</si>
  <si>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</si>
  <si>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</si>
  <si>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</si>
  <si>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</si>
  <si>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</si>
  <si>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</si>
  <si>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</si>
  <si>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</si>
  <si>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</si>
  <si>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</si>
  <si>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</si>
  <si>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</si>
  <si>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</si>
  <si>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</si>
  <si>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</si>
  <si>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</si>
  <si>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</si>
  <si>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</si>
  <si>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</si>
  <si>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</si>
  <si>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</si>
  <si>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</si>
  <si>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</si>
  <si>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</si>
  <si>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</si>
  <si>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</si>
  <si>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</si>
  <si>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</si>
  <si>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</si>
  <si>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</si>
  <si>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</si>
  <si>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</si>
  <si>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</si>
  <si>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</si>
  <si>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</si>
  <si>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</si>
  <si>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</si>
  <si>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</si>
  <si>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</si>
  <si>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</si>
  <si>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</si>
  <si>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</si>
  <si>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</si>
  <si>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</si>
  <si>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</si>
  <si>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</si>
  <si>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</si>
  <si>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</si>
  <si>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</si>
  <si>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</si>
  <si>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</si>
  <si>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</si>
  <si>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</si>
  <si>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</si>
  <si>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</si>
  <si>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</si>
  <si>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</si>
  <si>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</si>
  <si>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</si>
  <si>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</si>
  <si>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</si>
  <si>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</si>
  <si>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</si>
  <si>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</si>
  <si>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</si>
  <si>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</si>
  <si>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</si>
  <si>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</si>
  <si>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</si>
  <si>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</si>
  <si>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</si>
  <si>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</si>
  <si>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</si>
  <si>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</si>
  <si>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</si>
  <si>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</si>
  <si>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</si>
  <si>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</si>
  <si>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</si>
  <si>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</si>
  <si>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</si>
  <si>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</si>
  <si>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</si>
  <si>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</si>
  <si>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</si>
  <si>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</si>
  <si>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</si>
  <si>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</si>
  <si>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</si>
  <si>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</si>
  <si>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</si>
  <si>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</si>
  <si>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</si>
  <si>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</si>
  <si>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</si>
  <si>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</si>
  <si>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</si>
  <si>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</si>
  <si>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</si>
  <si>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</si>
  <si>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</si>
  <si>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</si>
  <si>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</si>
  <si>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</si>
  <si>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</si>
  <si>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</si>
  <si>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</si>
  <si>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</si>
  <si>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</si>
  <si>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</si>
  <si>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</si>
  <si>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</si>
  <si>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</si>
  <si>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</si>
  <si>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</si>
  <si>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</si>
  <si>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</si>
  <si>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</si>
  <si>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</si>
  <si>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</si>
  <si>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</si>
  <si>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</si>
  <si>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</si>
  <si>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</si>
  <si>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</si>
  <si>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</si>
  <si>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</si>
  <si>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</si>
  <si>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</si>
  <si>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</si>
  <si>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</si>
  <si>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</si>
  <si>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</si>
  <si>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</si>
  <si>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</si>
  <si>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</si>
  <si>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</si>
  <si>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</si>
  <si>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</si>
  <si>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</si>
  <si>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</si>
  <si>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</si>
  <si>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</si>
  <si>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</si>
  <si>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</si>
  <si>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</si>
  <si>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</si>
  <si>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</si>
  <si>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</si>
  <si>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</si>
  <si>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</si>
  <si>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</si>
  <si>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</si>
  <si>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</si>
  <si>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</si>
  <si>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</si>
  <si>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</si>
  <si>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</si>
  <si>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</si>
  <si>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</si>
  <si>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</si>
  <si>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</si>
  <si>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</si>
  <si>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</si>
  <si>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</si>
  <si>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</si>
  <si>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</si>
  <si>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</si>
  <si>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</si>
  <si>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</si>
  <si>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</si>
  <si>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</si>
  <si>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</si>
  <si>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</si>
  <si>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</si>
  <si>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</si>
  <si>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</si>
  <si>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Craftsman Automation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</si>
  <si>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</si>
  <si>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</si>
  <si>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</si>
  <si>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</si>
  <si>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</si>
  <si>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</si>
  <si>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</si>
  <si>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Segment Revenue </t>
  </si>
  <si>
    <t xml:space="preserve">Powertrain </t>
  </si>
  <si>
    <t>Aluminium Product</t>
  </si>
  <si>
    <t xml:space="preserve">Industrial and Engineering </t>
  </si>
  <si>
    <t>TotaL Revenue</t>
  </si>
  <si>
    <t>Total EBIT</t>
  </si>
  <si>
    <t>checksum</t>
  </si>
  <si>
    <t>Segment EBIT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</si>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</sst>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2" borderId="1" xfId="2" applyFont="1" applyFill="1" applyBorder="1" applyAlignment="1">
      <alignment horizontal="left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0" fontId="9" fillId="2" borderId="0" xfId="1" applyNumberFormat="1" applyFont="1" applyFill="1" applyAlignment="1">
      <alignment horizontal="left"/>
    </xf>
    <xf numFmtId="0" fontId="9" fillId="2" borderId="0" xfId="1" applyNumberFormat="1" applyFont="1" applyFill="1" applyAlignment="1">
      <alignment horizontal="right"/>
    </xf>
    <xf numFmtId="0" fontId="9" fillId="7" borderId="0" xfId="1" applyNumberFormat="1" applyFont="1" applyFill="1" applyAlignment="1">
      <alignment horizontal="right"/>
    </xf>
    <xf numFmtId="0" fontId="9" fillId="0" borderId="0" xfId="1" applyNumberFormat="1" applyFont="1" applyAlignment="1">
      <alignment horizontal="right"/>
    </xf>
    <xf numFmtId="0" fontId="9" fillId="0" borderId="0" xfId="1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5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18" sqref="DF18:DF26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65" width="0" style="2" hidden="1" customWidth="1"/>
    <col min="66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Craftsman Automation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09" customFormat="1" x14ac:dyDescent="0.2">
      <c r="A4" s="185" t="s">
        <v>523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8"/>
      <c r="AC4" s="108"/>
      <c r="AD4" s="108"/>
      <c r="AE4" s="108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/>
      <c r="CJ4" s="107"/>
      <c r="CK4" s="107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E4" s="117"/>
    </row>
    <row r="5" spans="1:110" s="158" customFormat="1" x14ac:dyDescent="0.2">
      <c r="A5" s="15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>
        <v>1558</v>
      </c>
      <c r="Z5" s="156">
        <f>SUM(CE5:CH5)</f>
        <v>1812</v>
      </c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>
        <v>390</v>
      </c>
      <c r="CE5" s="156">
        <v>416</v>
      </c>
      <c r="CF5" s="156">
        <v>431</v>
      </c>
      <c r="CG5" s="156">
        <v>458</v>
      </c>
      <c r="CH5" s="156">
        <v>507</v>
      </c>
      <c r="CI5" s="156">
        <v>496</v>
      </c>
      <c r="CJ5" s="156">
        <v>538</v>
      </c>
      <c r="CK5" s="156">
        <v>537</v>
      </c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58" customFormat="1" x14ac:dyDescent="0.2">
      <c r="A6" s="155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>
        <v>2154</v>
      </c>
      <c r="Z6" s="156">
        <f t="shared" ref="Z6:Z7" si="33">SUM(CE6:CH6)</f>
        <v>3033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/>
      <c r="CD6" s="156">
        <v>533</v>
      </c>
      <c r="CE6" s="156">
        <v>528</v>
      </c>
      <c r="CF6" s="156">
        <v>583</v>
      </c>
      <c r="CG6" s="156">
        <v>916</v>
      </c>
      <c r="CH6" s="156">
        <v>1006</v>
      </c>
      <c r="CI6" s="156">
        <v>1071</v>
      </c>
      <c r="CJ6" s="156">
        <v>1204</v>
      </c>
      <c r="CK6" s="156">
        <v>1203</v>
      </c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>
        <v>740</v>
      </c>
      <c r="Z7" s="156">
        <f t="shared" si="33"/>
        <v>845</v>
      </c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>
        <v>183</v>
      </c>
      <c r="CE7" s="156">
        <v>206</v>
      </c>
      <c r="CF7" s="156">
        <v>200</v>
      </c>
      <c r="CG7" s="156">
        <v>202</v>
      </c>
      <c r="CH7" s="156">
        <v>237</v>
      </c>
      <c r="CI7" s="156">
        <v>216</v>
      </c>
      <c r="CJ7" s="156">
        <v>260</v>
      </c>
      <c r="CK7" s="156">
        <v>317</v>
      </c>
      <c r="CL7" s="157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89" customFormat="1" x14ac:dyDescent="0.2">
      <c r="A8" s="187" t="s">
        <v>527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>
        <f>SUM(Y5:Y7)</f>
        <v>4452</v>
      </c>
      <c r="Z8" s="186">
        <f>SUM(Z5:Z7)</f>
        <v>5690</v>
      </c>
      <c r="AA8" s="188"/>
      <c r="AB8" s="188"/>
      <c r="AC8" s="188"/>
      <c r="AD8" s="188"/>
      <c r="AE8" s="188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>
        <f>SUM(CD5:CD7)</f>
        <v>1106</v>
      </c>
      <c r="CE8" s="186">
        <f t="shared" ref="CE8:CK8" si="34">SUM(CE5:CE7)</f>
        <v>1150</v>
      </c>
      <c r="CF8" s="186">
        <f t="shared" si="34"/>
        <v>1214</v>
      </c>
      <c r="CG8" s="186">
        <f t="shared" si="34"/>
        <v>1576</v>
      </c>
      <c r="CH8" s="186">
        <f t="shared" si="34"/>
        <v>1750</v>
      </c>
      <c r="CI8" s="186">
        <f t="shared" si="34"/>
        <v>1783</v>
      </c>
      <c r="CJ8" s="186">
        <f t="shared" si="34"/>
        <v>2002</v>
      </c>
      <c r="CK8" s="186">
        <f t="shared" si="34"/>
        <v>2057</v>
      </c>
      <c r="CL8" s="188"/>
      <c r="CM8" s="188"/>
      <c r="CN8" s="188"/>
      <c r="CO8" s="188"/>
      <c r="CP8" s="188"/>
      <c r="CQ8" s="188"/>
      <c r="CR8" s="188"/>
      <c r="CS8" s="188"/>
      <c r="CT8" s="188"/>
      <c r="CU8" s="188"/>
      <c r="CV8" s="188"/>
      <c r="CW8" s="188"/>
      <c r="CX8" s="188"/>
      <c r="CY8" s="188"/>
      <c r="CZ8" s="188"/>
      <c r="DA8" s="188"/>
      <c r="DB8" s="188"/>
      <c r="DE8" s="190"/>
    </row>
    <row r="9" spans="1:110" s="194" customFormat="1" x14ac:dyDescent="0.2">
      <c r="A9" s="191" t="s">
        <v>529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>
        <f>Y8-Y19</f>
        <v>0.27000000000043656</v>
      </c>
      <c r="Z9" s="192">
        <f>Z8-Z19</f>
        <v>-0.47999999999956344</v>
      </c>
      <c r="AA9" s="193"/>
      <c r="AB9" s="193"/>
      <c r="AC9" s="193"/>
      <c r="AD9" s="193"/>
      <c r="AE9" s="193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2"/>
      <c r="BT9" s="192"/>
      <c r="BU9" s="192"/>
      <c r="BV9" s="192"/>
      <c r="BW9" s="192"/>
      <c r="BX9" s="192"/>
      <c r="BY9" s="192"/>
      <c r="BZ9" s="192"/>
      <c r="CA9" s="192"/>
      <c r="CB9" s="192"/>
      <c r="CC9" s="192"/>
      <c r="CD9" s="192">
        <f t="shared" ref="CD9:CK9" si="35">CD8-CD19</f>
        <v>0.66000000000008185</v>
      </c>
      <c r="CE9" s="192">
        <f t="shared" si="35"/>
        <v>-1.1900000000000546</v>
      </c>
      <c r="CF9" s="192">
        <f t="shared" si="35"/>
        <v>4.9999999999954525E-2</v>
      </c>
      <c r="CG9" s="192">
        <f t="shared" si="35"/>
        <v>-8.9999999999918145E-2</v>
      </c>
      <c r="CH9" s="192">
        <f t="shared" si="35"/>
        <v>0.75</v>
      </c>
      <c r="CI9" s="192">
        <f t="shared" si="35"/>
        <v>-1</v>
      </c>
      <c r="CJ9" s="192">
        <f t="shared" si="35"/>
        <v>0.41000000000008185</v>
      </c>
      <c r="CK9" s="192">
        <f t="shared" si="35"/>
        <v>-0.28000000000020009</v>
      </c>
      <c r="CL9" s="193"/>
      <c r="CM9" s="193"/>
      <c r="CN9" s="193"/>
      <c r="CO9" s="193"/>
      <c r="CP9" s="193"/>
      <c r="CQ9" s="193"/>
      <c r="CR9" s="193"/>
      <c r="CS9" s="193"/>
      <c r="CT9" s="193"/>
      <c r="CU9" s="193"/>
      <c r="CV9" s="193"/>
      <c r="CW9" s="193"/>
      <c r="CX9" s="193"/>
      <c r="CY9" s="193"/>
      <c r="CZ9" s="193"/>
      <c r="DA9" s="193"/>
      <c r="DB9" s="193"/>
      <c r="DE9" s="195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09" customFormat="1" x14ac:dyDescent="0.2">
      <c r="A11" s="185" t="s">
        <v>530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8"/>
      <c r="AB11" s="108"/>
      <c r="AC11" s="108"/>
      <c r="AD11" s="108"/>
      <c r="AE11" s="108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7"/>
      <c r="CF11" s="107"/>
      <c r="CG11" s="107"/>
      <c r="CH11" s="107"/>
      <c r="CI11" s="107"/>
      <c r="CJ11" s="107"/>
      <c r="CK11" s="107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E11" s="117"/>
    </row>
    <row r="12" spans="1:110" s="158" customFormat="1" x14ac:dyDescent="0.2">
      <c r="A12" s="155" t="s">
        <v>524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>
        <v>292</v>
      </c>
      <c r="Z12" s="156">
        <f>SUM(CE12:CH12)</f>
        <v>252</v>
      </c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>
        <v>59</v>
      </c>
      <c r="CE12" s="156">
        <v>71</v>
      </c>
      <c r="CF12" s="156">
        <v>64</v>
      </c>
      <c r="CG12" s="156">
        <v>50</v>
      </c>
      <c r="CH12" s="156">
        <v>67</v>
      </c>
      <c r="CI12" s="156">
        <v>76</v>
      </c>
      <c r="CJ12" s="156">
        <v>79</v>
      </c>
      <c r="CK12" s="156">
        <v>90</v>
      </c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E12" s="159"/>
    </row>
    <row r="13" spans="1:110" s="158" customFormat="1" x14ac:dyDescent="0.2">
      <c r="A13" s="155" t="s">
        <v>525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>
        <v>322</v>
      </c>
      <c r="Z13" s="156">
        <f t="shared" ref="Z13:Z14" si="36">SUM(CE13:CH13)</f>
        <v>313</v>
      </c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>
        <v>86</v>
      </c>
      <c r="CE13" s="156">
        <v>70</v>
      </c>
      <c r="CF13" s="156">
        <v>82</v>
      </c>
      <c r="CG13" s="156">
        <v>72</v>
      </c>
      <c r="CH13" s="156">
        <v>89</v>
      </c>
      <c r="CI13" s="156">
        <v>108</v>
      </c>
      <c r="CJ13" s="156">
        <v>141</v>
      </c>
      <c r="CK13" s="156">
        <v>112</v>
      </c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 t="s">
        <v>526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>
        <v>49</v>
      </c>
      <c r="Z14" s="156">
        <f t="shared" si="36"/>
        <v>17</v>
      </c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>
        <v>5</v>
      </c>
      <c r="CE14" s="156">
        <v>4</v>
      </c>
      <c r="CF14" s="156">
        <v>0</v>
      </c>
      <c r="CG14" s="156">
        <v>0</v>
      </c>
      <c r="CH14" s="156">
        <v>13</v>
      </c>
      <c r="CI14" s="156">
        <v>5</v>
      </c>
      <c r="CJ14" s="156">
        <v>4</v>
      </c>
      <c r="CK14" s="156">
        <v>21</v>
      </c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89" customFormat="1" x14ac:dyDescent="0.2">
      <c r="A15" s="187" t="s">
        <v>528</v>
      </c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>
        <f>SUM(Y12:Y14)</f>
        <v>663</v>
      </c>
      <c r="Z15" s="186">
        <f>SUM(Z12:Z14)</f>
        <v>582</v>
      </c>
      <c r="AA15" s="188"/>
      <c r="AB15" s="188"/>
      <c r="AC15" s="188"/>
      <c r="AD15" s="188"/>
      <c r="AE15" s="188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>
        <f>SUM(CD12:CD14)</f>
        <v>150</v>
      </c>
      <c r="CE15" s="186">
        <f t="shared" ref="CE15" si="37">SUM(CE12:CE14)</f>
        <v>145</v>
      </c>
      <c r="CF15" s="186">
        <f t="shared" ref="CF15" si="38">SUM(CF12:CF14)</f>
        <v>146</v>
      </c>
      <c r="CG15" s="186">
        <f t="shared" ref="CG15" si="39">SUM(CG12:CG14)</f>
        <v>122</v>
      </c>
      <c r="CH15" s="186">
        <f t="shared" ref="CH15" si="40">SUM(CH12:CH14)</f>
        <v>169</v>
      </c>
      <c r="CI15" s="186">
        <f t="shared" ref="CI15" si="41">SUM(CI12:CI14)</f>
        <v>189</v>
      </c>
      <c r="CJ15" s="186">
        <f t="shared" ref="CJ15" si="42">SUM(CJ12:CJ14)</f>
        <v>224</v>
      </c>
      <c r="CK15" s="186">
        <f t="shared" ref="CK15" si="43">SUM(CK12:CK14)</f>
        <v>223</v>
      </c>
      <c r="CL15" s="188"/>
      <c r="CM15" s="188"/>
      <c r="CN15" s="188"/>
      <c r="CO15" s="188"/>
      <c r="CP15" s="188"/>
      <c r="CQ15" s="188"/>
      <c r="CR15" s="188"/>
      <c r="CS15" s="188"/>
      <c r="CT15" s="188"/>
      <c r="CU15" s="188"/>
      <c r="CV15" s="188"/>
      <c r="CW15" s="188"/>
      <c r="CX15" s="188"/>
      <c r="CY15" s="188"/>
      <c r="CZ15" s="188"/>
      <c r="DA15" s="188"/>
      <c r="DB15" s="188"/>
      <c r="DE15" s="190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06" customFormat="1" x14ac:dyDescent="0.2">
      <c r="A17" s="151" t="s">
        <v>500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5"/>
      <c r="AB17" s="105"/>
      <c r="AC17" s="105"/>
      <c r="AD17" s="105"/>
      <c r="AE17" s="105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0" s="106" customFormat="1" x14ac:dyDescent="0.2">
      <c r="A18" s="151" t="s">
        <v>485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05"/>
      <c r="AC18" s="105"/>
      <c r="AD18" s="105"/>
      <c r="AE18" s="105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60"/>
      <c r="CK18" s="160"/>
      <c r="CL18" s="160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25" customFormat="1" outlineLevel="1" x14ac:dyDescent="0.2">
      <c r="A19" s="25" t="s">
        <v>430</v>
      </c>
      <c r="B19" s="25">
        <f>'Annual Raw'!C6</f>
        <v>0</v>
      </c>
      <c r="C19" s="25">
        <f>'Annual Raw'!D6</f>
        <v>0</v>
      </c>
      <c r="D19" s="25">
        <f>'Annual Raw'!E6</f>
        <v>0</v>
      </c>
      <c r="E19" s="25">
        <f>'Annual Raw'!F6</f>
        <v>0</v>
      </c>
      <c r="F19" s="25">
        <f>'Annual Raw'!G6</f>
        <v>79.860124400000004</v>
      </c>
      <c r="G19" s="25">
        <f>'Annual Raw'!H6</f>
        <v>114.01338200000001</v>
      </c>
      <c r="H19" s="25">
        <f>'Annual Raw'!I6</f>
        <v>150.511428</v>
      </c>
      <c r="I19" s="25">
        <f>'Annual Raw'!J6</f>
        <v>208.3421329</v>
      </c>
      <c r="J19" s="25">
        <f>'Annual Raw'!K6</f>
        <v>252.04937409999999</v>
      </c>
      <c r="K19" s="25">
        <f>'Annual Raw'!L6</f>
        <v>189.75612100000001</v>
      </c>
      <c r="L19" s="25">
        <f>'Annual Raw'!M6</f>
        <v>0</v>
      </c>
      <c r="M19" s="25">
        <f>'Annual Raw'!N6</f>
        <v>0</v>
      </c>
      <c r="N19" s="25">
        <f>'Annual Raw'!O6</f>
        <v>674.50099999999998</v>
      </c>
      <c r="O19" s="25">
        <f>'Annual Raw'!P6</f>
        <v>693.74</v>
      </c>
      <c r="P19" s="25">
        <f>'Annual Raw'!Q6</f>
        <v>868.81700000000001</v>
      </c>
      <c r="Q19" s="25">
        <f>'Annual Raw'!R6</f>
        <v>984.88800000000003</v>
      </c>
      <c r="R19" s="25">
        <f>'Annual Raw'!S6</f>
        <v>1210.1279999999999</v>
      </c>
      <c r="S19" s="25">
        <f>'Annual Raw'!T6</f>
        <v>1511.53</v>
      </c>
      <c r="T19" s="25">
        <f>'Annual Raw'!U6</f>
        <v>1818.0070000000001</v>
      </c>
      <c r="U19" s="25">
        <f>'Annual Raw'!V6</f>
        <v>1492.46</v>
      </c>
      <c r="V19" s="25">
        <f>'Annual Raw'!W6</f>
        <v>1559.95</v>
      </c>
      <c r="W19" s="25">
        <f>'Annual Raw'!X6</f>
        <v>2217.02</v>
      </c>
      <c r="X19" s="25">
        <f>'Annual Raw'!Y6</f>
        <v>3182.6</v>
      </c>
      <c r="Y19" s="25">
        <f>'Annual Raw'!Z6</f>
        <v>4451.7299999999996</v>
      </c>
      <c r="Z19" s="25">
        <f>'Annual Raw'!AA6</f>
        <v>5690.48</v>
      </c>
      <c r="AA19" s="25">
        <f>'Annual Raw'!AB6</f>
        <v>8069.27</v>
      </c>
      <c r="AB19" s="17">
        <f>+SUM(CM19:CP19)</f>
        <v>9521.7386000000006</v>
      </c>
      <c r="AC19" s="17">
        <f>+SUM(CQ19:CT19)</f>
        <v>11235.651548000002</v>
      </c>
      <c r="AD19" s="17">
        <f>+SUM(CU19:CX19)</f>
        <v>13258.068826640001</v>
      </c>
      <c r="AE19" s="17">
        <f>+SUM(CY19:DB19)</f>
        <v>15644.521215435201</v>
      </c>
      <c r="AI19" s="25">
        <f>'QTR Raw'!C6+'QTR Raw'!C8</f>
        <v>0</v>
      </c>
      <c r="AJ19" s="25">
        <f>'QTR Raw'!D6+'QTR Raw'!D8</f>
        <v>0</v>
      </c>
      <c r="AK19" s="25">
        <f>'QTR Raw'!E6+'QTR Raw'!E8</f>
        <v>0</v>
      </c>
      <c r="AL19" s="25">
        <f>'QTR Raw'!F6+'QTR Raw'!F8</f>
        <v>0</v>
      </c>
      <c r="AM19" s="25">
        <f>'QTR Raw'!G6+'QTR Raw'!G8</f>
        <v>0</v>
      </c>
      <c r="AN19" s="25">
        <f>'QTR Raw'!H6+'QTR Raw'!H8</f>
        <v>0</v>
      </c>
      <c r="AO19" s="25">
        <f>'QTR Raw'!I6+'QTR Raw'!I8</f>
        <v>0</v>
      </c>
      <c r="AP19" s="25">
        <f>'QTR Raw'!J6+'QTR Raw'!J8</f>
        <v>0</v>
      </c>
      <c r="AQ19" s="25">
        <f>'QTR Raw'!K6+'QTR Raw'!K8</f>
        <v>0</v>
      </c>
      <c r="AR19" s="25">
        <f>'QTR Raw'!L6+'QTR Raw'!L8</f>
        <v>0</v>
      </c>
      <c r="AS19" s="25">
        <f>'QTR Raw'!M6+'QTR Raw'!M8</f>
        <v>0</v>
      </c>
      <c r="AT19" s="25">
        <f>'QTR Raw'!N6+'QTR Raw'!N8</f>
        <v>0</v>
      </c>
      <c r="AU19" s="25">
        <f>'QTR Raw'!O6+'QTR Raw'!O8</f>
        <v>0</v>
      </c>
      <c r="AV19" s="25">
        <f>'QTR Raw'!P6+'QTR Raw'!P8</f>
        <v>0</v>
      </c>
      <c r="AW19" s="25">
        <f>'QTR Raw'!Q6+'QTR Raw'!Q8</f>
        <v>0</v>
      </c>
      <c r="AX19" s="25">
        <f>'QTR Raw'!R6+'QTR Raw'!R8</f>
        <v>0</v>
      </c>
      <c r="AY19" s="25">
        <f>'QTR Raw'!S6+'QTR Raw'!S8</f>
        <v>0</v>
      </c>
      <c r="AZ19" s="25">
        <f>'QTR Raw'!T6+'QTR Raw'!T8</f>
        <v>0</v>
      </c>
      <c r="BA19" s="25">
        <f>'QTR Raw'!U6+'QTR Raw'!U8</f>
        <v>0</v>
      </c>
      <c r="BB19" s="25">
        <f>'QTR Raw'!V6+'QTR Raw'!V8</f>
        <v>0</v>
      </c>
      <c r="BC19" s="25">
        <f>'QTR Raw'!W6+'QTR Raw'!W8</f>
        <v>0</v>
      </c>
      <c r="BD19" s="25">
        <f>'QTR Raw'!X6+'QTR Raw'!X8</f>
        <v>0</v>
      </c>
      <c r="BE19" s="25">
        <f>'QTR Raw'!Y6+'QTR Raw'!Y8</f>
        <v>0</v>
      </c>
      <c r="BF19" s="25">
        <f>'QTR Raw'!Z6+'QTR Raw'!Z8</f>
        <v>0</v>
      </c>
      <c r="BG19" s="25">
        <f>'QTR Raw'!AA6+'QTR Raw'!AA8</f>
        <v>0</v>
      </c>
      <c r="BH19" s="25">
        <f>'QTR Raw'!AB6+'QTR Raw'!AB8</f>
        <v>0</v>
      </c>
      <c r="BI19" s="25">
        <f>'QTR Raw'!AC6+'QTR Raw'!AC8</f>
        <v>0</v>
      </c>
      <c r="BJ19" s="25">
        <f>'QTR Raw'!AD6+'QTR Raw'!AD8</f>
        <v>0</v>
      </c>
      <c r="BK19" s="25">
        <f>'QTR Raw'!AE6+'QTR Raw'!AE8</f>
        <v>0</v>
      </c>
      <c r="BL19" s="25">
        <f>'QTR Raw'!AF6+'QTR Raw'!AF8</f>
        <v>0</v>
      </c>
      <c r="BM19" s="25">
        <f>'QTR Raw'!AG6+'QTR Raw'!AG8</f>
        <v>0</v>
      </c>
      <c r="BN19" s="25">
        <f>'QTR Raw'!AH6+'QTR Raw'!AH8</f>
        <v>334.41</v>
      </c>
      <c r="BO19" s="25">
        <f>'QTR Raw'!AI6+'QTR Raw'!AI8</f>
        <v>163</v>
      </c>
      <c r="BP19" s="25">
        <f>'QTR Raw'!AJ6+'QTR Raw'!AJ8</f>
        <v>370.72</v>
      </c>
      <c r="BQ19" s="25">
        <f>'QTR Raw'!AK6+'QTR Raw'!AK8</f>
        <v>489.07</v>
      </c>
      <c r="BR19" s="25">
        <f>'QTR Raw'!AL6+'QTR Raw'!AL8</f>
        <v>537.16</v>
      </c>
      <c r="BS19" s="25">
        <f>'QTR Raw'!AM6+'QTR Raw'!AM8</f>
        <v>435.19</v>
      </c>
      <c r="BT19" s="25">
        <f>'QTR Raw'!AN6+'QTR Raw'!AN8</f>
        <v>571.01</v>
      </c>
      <c r="BU19" s="25">
        <f>'QTR Raw'!AO6+'QTR Raw'!AO8</f>
        <v>554.15</v>
      </c>
      <c r="BV19" s="25">
        <f>'QTR Raw'!AP6+'QTR Raw'!AP8</f>
        <v>656.67</v>
      </c>
      <c r="BW19" s="25">
        <f>'QTR Raw'!AQ6+'QTR Raw'!AQ8</f>
        <v>676.96</v>
      </c>
      <c r="BX19" s="25">
        <f>'QTR Raw'!AR6+'QTR Raw'!AR8</f>
        <v>776.24</v>
      </c>
      <c r="BY19" s="25">
        <f>'QTR Raw'!AS6+'QTR Raw'!AS8</f>
        <v>749.03</v>
      </c>
      <c r="BZ19" s="25">
        <f>'QTR Raw'!AT6+'QTR Raw'!AT8</f>
        <v>980.37</v>
      </c>
      <c r="CA19" s="25">
        <f>'QTR Raw'!AU6+'QTR Raw'!AU8</f>
        <v>1037.6300000000001</v>
      </c>
      <c r="CB19" s="25">
        <f>'QTR Raw'!AV6+'QTR Raw'!AV8</f>
        <v>1179.06</v>
      </c>
      <c r="CC19" s="25">
        <f>'QTR Raw'!AW6+'QTR Raw'!AW8</f>
        <v>1129.7</v>
      </c>
      <c r="CD19" s="25">
        <f>'QTR Raw'!AX6+'QTR Raw'!AX8</f>
        <v>1105.3399999999999</v>
      </c>
      <c r="CE19" s="25">
        <f>'QTR Raw'!AY6+'QTR Raw'!AY8</f>
        <v>1151.19</v>
      </c>
      <c r="CF19" s="25">
        <f>'QTR Raw'!AZ6+'QTR Raw'!AZ8</f>
        <v>1213.95</v>
      </c>
      <c r="CG19" s="25">
        <f>'QTR Raw'!BA6+'QTR Raw'!BA8</f>
        <v>1576.09</v>
      </c>
      <c r="CH19" s="25">
        <f>'QTR Raw'!BB6+'QTR Raw'!BB8</f>
        <v>1749.25</v>
      </c>
      <c r="CI19" s="25">
        <f>'QTR Raw'!BC6+'QTR Raw'!BC8</f>
        <v>1784</v>
      </c>
      <c r="CJ19" s="25">
        <f>'QTR Raw'!BD6+'QTR Raw'!BD8</f>
        <v>2001.59</v>
      </c>
      <c r="CK19" s="25">
        <f>'QTR Raw'!BE6+'QTR Raw'!BE8</f>
        <v>2057.2800000000002</v>
      </c>
      <c r="CL19" s="25">
        <f>'QTR Raw'!BF6+'QTR Raw'!BF8</f>
        <v>2226.4</v>
      </c>
      <c r="CM19" s="17">
        <f t="shared" ref="CM19:DB19" si="44">+CI21+(CM22*CI21)</f>
        <v>2105.12</v>
      </c>
      <c r="CN19" s="17">
        <f t="shared" si="44"/>
        <v>2361.8761999999997</v>
      </c>
      <c r="CO19" s="17">
        <f t="shared" si="44"/>
        <v>2427.5904</v>
      </c>
      <c r="CP19" s="17">
        <f t="shared" si="44"/>
        <v>2627.152</v>
      </c>
      <c r="CQ19" s="17">
        <f t="shared" si="44"/>
        <v>2484.0416</v>
      </c>
      <c r="CR19" s="17">
        <f t="shared" si="44"/>
        <v>2787.0139159999999</v>
      </c>
      <c r="CS19" s="17">
        <f t="shared" si="44"/>
        <v>2864.5566720000002</v>
      </c>
      <c r="CT19" s="17">
        <f t="shared" si="44"/>
        <v>3100.0393600000002</v>
      </c>
      <c r="CU19" s="17">
        <f t="shared" si="44"/>
        <v>2931.1690880000001</v>
      </c>
      <c r="CV19" s="17">
        <f t="shared" si="44"/>
        <v>3288.67642088</v>
      </c>
      <c r="CW19" s="17">
        <f t="shared" si="44"/>
        <v>3380.1768729600003</v>
      </c>
      <c r="CX19" s="17">
        <f t="shared" si="44"/>
        <v>3658.0464448000002</v>
      </c>
      <c r="CY19" s="17">
        <f t="shared" si="44"/>
        <v>3458.7795238400004</v>
      </c>
      <c r="CZ19" s="17">
        <f t="shared" si="44"/>
        <v>3880.6381766384002</v>
      </c>
      <c r="DA19" s="17">
        <f t="shared" si="44"/>
        <v>3988.6087100928003</v>
      </c>
      <c r="DB19" s="17">
        <f t="shared" si="44"/>
        <v>4316.4948048639999</v>
      </c>
      <c r="DE19" s="119"/>
      <c r="DF19" s="25">
        <v>2099.1</v>
      </c>
    </row>
    <row r="20" spans="1:110" s="92" customFormat="1" outlineLevel="1" x14ac:dyDescent="0.2">
      <c r="A20" s="92" t="s">
        <v>109</v>
      </c>
      <c r="B20" s="92">
        <f>'Annual Raw'!C7+'Annual Raw'!C8+'Annual Raw'!C9</f>
        <v>0</v>
      </c>
      <c r="C20" s="92">
        <f>'Annual Raw'!D7+'Annual Raw'!D8+'Annual Raw'!D9</f>
        <v>0</v>
      </c>
      <c r="D20" s="92">
        <f>'Annual Raw'!E7+'Annual Raw'!E8+'Annual Raw'!E9</f>
        <v>0</v>
      </c>
      <c r="E20" s="92">
        <f>'Annual Raw'!F7+'Annual Raw'!F8+'Annual Raw'!F9</f>
        <v>0</v>
      </c>
      <c r="F20" s="92">
        <f>'Annual Raw'!G7+'Annual Raw'!G8+'Annual Raw'!G9</f>
        <v>0</v>
      </c>
      <c r="G20" s="92">
        <f>'Annual Raw'!H7+'Annual Raw'!H8+'Annual Raw'!H9</f>
        <v>0</v>
      </c>
      <c r="H20" s="92">
        <f>'Annual Raw'!I7+'Annual Raw'!I8+'Annual Raw'!I9</f>
        <v>0</v>
      </c>
      <c r="I20" s="92">
        <f>'Annual Raw'!J7+'Annual Raw'!J8+'Annual Raw'!J9</f>
        <v>0</v>
      </c>
      <c r="J20" s="92">
        <f>'Annual Raw'!K7+'Annual Raw'!K8+'Annual Raw'!K9</f>
        <v>0</v>
      </c>
      <c r="K20" s="92">
        <f>'Annual Raw'!L7+'Annual Raw'!L8+'Annual Raw'!L9</f>
        <v>0</v>
      </c>
      <c r="L20" s="92">
        <f>'Annual Raw'!M7+'Annual Raw'!M8+'Annual Raw'!M9</f>
        <v>0</v>
      </c>
      <c r="M20" s="92">
        <f>'Annual Raw'!N7+'Annual Raw'!N8+'Annual Raw'!N9</f>
        <v>0</v>
      </c>
      <c r="N20" s="92">
        <f>'Annual Raw'!O7+'Annual Raw'!O8+'Annual Raw'!O9</f>
        <v>70.879000000000005</v>
      </c>
      <c r="O20" s="92">
        <f>'Annual Raw'!P7+'Annual Raw'!P8+'Annual Raw'!P9</f>
        <v>77.75</v>
      </c>
      <c r="P20" s="92">
        <f>'Annual Raw'!Q7+'Annual Raw'!Q8+'Annual Raw'!Q9</f>
        <v>68.709999999999994</v>
      </c>
      <c r="Q20" s="92">
        <f>'Annual Raw'!R7+'Annual Raw'!R8+'Annual Raw'!R9</f>
        <v>89.8</v>
      </c>
      <c r="R20" s="92">
        <f>'Annual Raw'!S7+'Annual Raw'!S8+'Annual Raw'!S9</f>
        <v>108.254</v>
      </c>
      <c r="S20" s="92">
        <f>'Annual Raw'!T7+'Annual Raw'!T8+'Annual Raw'!T9</f>
        <v>32.44</v>
      </c>
      <c r="T20" s="92">
        <f>'Annual Raw'!U7+'Annual Raw'!U8+'Annual Raw'!U9</f>
        <v>0</v>
      </c>
      <c r="U20" s="92">
        <f>'Annual Raw'!V7+'Annual Raw'!V8+'Annual Raw'!V9</f>
        <v>0</v>
      </c>
      <c r="V20" s="92">
        <f>'Annual Raw'!W7+'Annual Raw'!W8+'Annual Raw'!W9</f>
        <v>0</v>
      </c>
      <c r="W20" s="92">
        <f>'Annual Raw'!X7+'Annual Raw'!X8+'Annual Raw'!X9</f>
        <v>0</v>
      </c>
      <c r="X20" s="92">
        <f>'Annual Raw'!Y7+'Annual Raw'!Y8+'Annual Raw'!Y9</f>
        <v>0</v>
      </c>
      <c r="Y20" s="92">
        <f>'Annual Raw'!Z7+'Annual Raw'!Z8+'Annual Raw'!Z9</f>
        <v>0</v>
      </c>
      <c r="Z20" s="92">
        <f>'Annual Raw'!AA7+'Annual Raw'!AA8+'Annual Raw'!AA9</f>
        <v>0</v>
      </c>
      <c r="AA20" s="92">
        <f>'Annual Raw'!AB7+'Annual Raw'!AB8+'Annual Raw'!AB9</f>
        <v>0</v>
      </c>
      <c r="AB20" s="76">
        <f>+SUM(CM20:CP20)</f>
        <v>0</v>
      </c>
      <c r="AC20" s="76">
        <f>+SUM(CQ20:CT20)</f>
        <v>0</v>
      </c>
      <c r="AD20" s="76">
        <f>+SUM(CU20:CX20)</f>
        <v>0</v>
      </c>
      <c r="AE20" s="76">
        <f>+SUM(CY20:DB20)</f>
        <v>0</v>
      </c>
      <c r="AI20" s="92">
        <f>+'QTR Raw'!C20+'QTR Raw'!C19+'QTR Raw'!C13+'QTR Raw'!C7</f>
        <v>0</v>
      </c>
      <c r="AJ20" s="92">
        <f>+'QTR Raw'!D20+'QTR Raw'!D19+'QTR Raw'!D13+'QTR Raw'!D7</f>
        <v>0</v>
      </c>
      <c r="AK20" s="92">
        <f>+'QTR Raw'!E20+'QTR Raw'!E19+'QTR Raw'!E13+'QTR Raw'!E7</f>
        <v>0</v>
      </c>
      <c r="AL20" s="92">
        <f>+'QTR Raw'!F20+'QTR Raw'!F19+'QTR Raw'!F13+'QTR Raw'!F7</f>
        <v>0</v>
      </c>
      <c r="AM20" s="92">
        <f>+'QTR Raw'!G20+'QTR Raw'!G19+'QTR Raw'!G13+'QTR Raw'!G7</f>
        <v>0</v>
      </c>
      <c r="AN20" s="92">
        <f>+'QTR Raw'!H20+'QTR Raw'!H19+'QTR Raw'!H13+'QTR Raw'!H7</f>
        <v>0</v>
      </c>
      <c r="AO20" s="92">
        <f>+'QTR Raw'!I20+'QTR Raw'!I19+'QTR Raw'!I13+'QTR Raw'!I7</f>
        <v>0</v>
      </c>
      <c r="AP20" s="92">
        <f>+'QTR Raw'!J20+'QTR Raw'!J19+'QTR Raw'!J13+'QTR Raw'!J7</f>
        <v>0</v>
      </c>
      <c r="AQ20" s="92">
        <f>+'QTR Raw'!K20+'QTR Raw'!K19+'QTR Raw'!K13+'QTR Raw'!K7</f>
        <v>0</v>
      </c>
      <c r="AR20" s="92">
        <f>+'QTR Raw'!L20+'QTR Raw'!L19+'QTR Raw'!L13+'QTR Raw'!L7</f>
        <v>0</v>
      </c>
      <c r="AS20" s="92">
        <f>+'QTR Raw'!M20+'QTR Raw'!M19+'QTR Raw'!M13+'QTR Raw'!M7</f>
        <v>0</v>
      </c>
      <c r="AT20" s="92">
        <f>+'QTR Raw'!N20+'QTR Raw'!N19+'QTR Raw'!N13+'QTR Raw'!N7</f>
        <v>0</v>
      </c>
      <c r="AU20" s="92">
        <f>+'QTR Raw'!O20+'QTR Raw'!O19+'QTR Raw'!O13+'QTR Raw'!O7</f>
        <v>0</v>
      </c>
      <c r="AV20" s="92">
        <f>+'QTR Raw'!P20+'QTR Raw'!P19+'QTR Raw'!P13+'QTR Raw'!P7</f>
        <v>0</v>
      </c>
      <c r="AW20" s="92">
        <f>+'QTR Raw'!Q20+'QTR Raw'!Q19+'QTR Raw'!Q13+'QTR Raw'!Q7</f>
        <v>0</v>
      </c>
      <c r="AX20" s="92">
        <f>+'QTR Raw'!R20+'QTR Raw'!R19+'QTR Raw'!R13+'QTR Raw'!R7</f>
        <v>0</v>
      </c>
      <c r="AY20" s="92">
        <f>+'QTR Raw'!S20+'QTR Raw'!S19+'QTR Raw'!S13+'QTR Raw'!S7</f>
        <v>0</v>
      </c>
      <c r="AZ20" s="92">
        <f>+'QTR Raw'!T20+'QTR Raw'!T19+'QTR Raw'!T13+'QTR Raw'!T7</f>
        <v>0</v>
      </c>
      <c r="BA20" s="92">
        <f>+'QTR Raw'!U20+'QTR Raw'!U19+'QTR Raw'!U13+'QTR Raw'!U7</f>
        <v>0</v>
      </c>
      <c r="BB20" s="92">
        <f>+'QTR Raw'!V20+'QTR Raw'!V19+'QTR Raw'!V13+'QTR Raw'!V7</f>
        <v>0</v>
      </c>
      <c r="BC20" s="92">
        <f>+'QTR Raw'!W20+'QTR Raw'!W19+'QTR Raw'!W13+'QTR Raw'!W7</f>
        <v>0</v>
      </c>
      <c r="BD20" s="92">
        <f>+'QTR Raw'!X20+'QTR Raw'!X19+'QTR Raw'!X13+'QTR Raw'!X7</f>
        <v>0</v>
      </c>
      <c r="BE20" s="92">
        <f>+'QTR Raw'!Y20+'QTR Raw'!Y19+'QTR Raw'!Y13+'QTR Raw'!Y7</f>
        <v>0</v>
      </c>
      <c r="BF20" s="92">
        <f>+'QTR Raw'!Z20+'QTR Raw'!Z19+'QTR Raw'!Z13+'QTR Raw'!Z7</f>
        <v>0</v>
      </c>
      <c r="BG20" s="92">
        <f>+'QTR Raw'!AA20+'QTR Raw'!AA19+'QTR Raw'!AA13+'QTR Raw'!AA7</f>
        <v>0</v>
      </c>
      <c r="BH20" s="92">
        <f>+'QTR Raw'!AB20+'QTR Raw'!AB19+'QTR Raw'!AB13+'QTR Raw'!AB7</f>
        <v>0</v>
      </c>
      <c r="BI20" s="92">
        <f>+'QTR Raw'!AC20+'QTR Raw'!AC19+'QTR Raw'!AC13+'QTR Raw'!AC7</f>
        <v>0</v>
      </c>
      <c r="BJ20" s="92">
        <f>+'QTR Raw'!AD20+'QTR Raw'!AD19+'QTR Raw'!AD13+'QTR Raw'!AD7</f>
        <v>0</v>
      </c>
      <c r="BK20" s="92">
        <f>+'QTR Raw'!AE20+'QTR Raw'!AE19+'QTR Raw'!AE13+'QTR Raw'!AE7</f>
        <v>0</v>
      </c>
      <c r="BL20" s="92">
        <f>+'QTR Raw'!AF20+'QTR Raw'!AF19+'QTR Raw'!AF13+'QTR Raw'!AF7</f>
        <v>0</v>
      </c>
      <c r="BM20" s="92">
        <f>+'QTR Raw'!AG20+'QTR Raw'!AG19+'QTR Raw'!AG13+'QTR Raw'!AG7</f>
        <v>0</v>
      </c>
      <c r="BN20" s="92">
        <f>+'QTR Raw'!AH20+'QTR Raw'!AH19+'QTR Raw'!AH13+'QTR Raw'!AH7</f>
        <v>0</v>
      </c>
      <c r="BO20" s="92">
        <f>+'QTR Raw'!AI20+'QTR Raw'!AI19+'QTR Raw'!AI13+'QTR Raw'!AI7</f>
        <v>0</v>
      </c>
      <c r="BP20" s="92">
        <f>+'QTR Raw'!AJ20+'QTR Raw'!AJ19+'QTR Raw'!AJ13+'QTR Raw'!AJ7</f>
        <v>0</v>
      </c>
      <c r="BQ20" s="92">
        <f>+'QTR Raw'!AK20+'QTR Raw'!AK19+'QTR Raw'!AK13+'QTR Raw'!AK7</f>
        <v>0</v>
      </c>
      <c r="BR20" s="92">
        <f>+'QTR Raw'!AL20+'QTR Raw'!AL19+'QTR Raw'!AL13+'QTR Raw'!AL7</f>
        <v>0</v>
      </c>
      <c r="BS20" s="92">
        <f>+'QTR Raw'!AM20+'QTR Raw'!AM19+'QTR Raw'!AM13+'QTR Raw'!AM7</f>
        <v>0</v>
      </c>
      <c r="BT20" s="92">
        <f>+'QTR Raw'!AN20+'QTR Raw'!AN19+'QTR Raw'!AN13+'QTR Raw'!AN7</f>
        <v>0</v>
      </c>
      <c r="BU20" s="92">
        <f>+'QTR Raw'!AO20+'QTR Raw'!AO19+'QTR Raw'!AO13+'QTR Raw'!AO7</f>
        <v>0</v>
      </c>
      <c r="BV20" s="92">
        <f>+'QTR Raw'!AP20+'QTR Raw'!AP19+'QTR Raw'!AP13+'QTR Raw'!AP7</f>
        <v>0</v>
      </c>
      <c r="BW20" s="92">
        <f>+'QTR Raw'!AQ20+'QTR Raw'!AQ19+'QTR Raw'!AQ13+'QTR Raw'!AQ7</f>
        <v>0</v>
      </c>
      <c r="BX20" s="92">
        <f>+'QTR Raw'!AR20+'QTR Raw'!AR19+'QTR Raw'!AR13+'QTR Raw'!AR7</f>
        <v>0</v>
      </c>
      <c r="BY20" s="92">
        <f>+'QTR Raw'!AS20+'QTR Raw'!AS19+'QTR Raw'!AS13+'QTR Raw'!AS7</f>
        <v>0</v>
      </c>
      <c r="BZ20" s="92">
        <f>+'QTR Raw'!AT20+'QTR Raw'!AT19+'QTR Raw'!AT13+'QTR Raw'!AT7</f>
        <v>0</v>
      </c>
      <c r="CA20" s="92">
        <f>+'QTR Raw'!AU20+'QTR Raw'!AU19+'QTR Raw'!AU13+'QTR Raw'!AU7</f>
        <v>0</v>
      </c>
      <c r="CB20" s="92">
        <f>+'QTR Raw'!AV20+'QTR Raw'!AV19+'QTR Raw'!AV13+'QTR Raw'!AV7</f>
        <v>0</v>
      </c>
      <c r="CC20" s="92">
        <f>+'QTR Raw'!AW20+'QTR Raw'!AW19+'QTR Raw'!AW13+'QTR Raw'!AW7</f>
        <v>0</v>
      </c>
      <c r="CD20" s="92">
        <f>+'QTR Raw'!AX20+'QTR Raw'!AX19+'QTR Raw'!AX13+'QTR Raw'!AX7</f>
        <v>0</v>
      </c>
      <c r="CE20" s="92">
        <f>+'QTR Raw'!AY20+'QTR Raw'!AY19+'QTR Raw'!AY13+'QTR Raw'!AY7</f>
        <v>0</v>
      </c>
      <c r="CF20" s="92">
        <f>+'QTR Raw'!AZ20+'QTR Raw'!AZ19+'QTR Raw'!AZ13+'QTR Raw'!AZ7</f>
        <v>0</v>
      </c>
      <c r="CG20" s="92">
        <f>+'QTR Raw'!BA20+'QTR Raw'!BA19+'QTR Raw'!BA13+'QTR Raw'!BA7</f>
        <v>0</v>
      </c>
      <c r="CH20" s="92">
        <f>+'QTR Raw'!BB20+'QTR Raw'!BB19+'QTR Raw'!BB13+'QTR Raw'!BB7</f>
        <v>0</v>
      </c>
      <c r="CI20" s="92">
        <f>+'QTR Raw'!BC20+'QTR Raw'!BC19+'QTR Raw'!BC13+'QTR Raw'!BC7</f>
        <v>0</v>
      </c>
      <c r="CJ20" s="92">
        <f>+'QTR Raw'!BD20+'QTR Raw'!BD19+'QTR Raw'!BD13+'QTR Raw'!BD7</f>
        <v>0</v>
      </c>
      <c r="CK20" s="92">
        <f>+'QTR Raw'!BE20+'QTR Raw'!BE19+'QTR Raw'!BE13+'QTR Raw'!BE7</f>
        <v>0</v>
      </c>
      <c r="CL20" s="92">
        <f>+'QTR Raw'!BF20+'QTR Raw'!BF19+'QTR Raw'!BF13+'QTR Raw'!BF7</f>
        <v>0</v>
      </c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E20" s="120"/>
      <c r="DF20" s="92">
        <v>0</v>
      </c>
    </row>
    <row r="21" spans="1:110" s="26" customFormat="1" x14ac:dyDescent="0.2">
      <c r="A21" s="26" t="s">
        <v>431</v>
      </c>
      <c r="B21" s="26">
        <f>+B19-B20</f>
        <v>0</v>
      </c>
      <c r="C21" s="26">
        <f>+C19-C20</f>
        <v>0</v>
      </c>
      <c r="D21" s="26">
        <f t="shared" ref="D21:U21" si="45">+D19-D20</f>
        <v>0</v>
      </c>
      <c r="E21" s="26">
        <f t="shared" si="45"/>
        <v>0</v>
      </c>
      <c r="F21" s="26">
        <f t="shared" si="45"/>
        <v>79.860124400000004</v>
      </c>
      <c r="G21" s="26">
        <f t="shared" si="45"/>
        <v>114.01338200000001</v>
      </c>
      <c r="H21" s="26">
        <f t="shared" si="45"/>
        <v>150.511428</v>
      </c>
      <c r="I21" s="26">
        <f t="shared" si="45"/>
        <v>208.3421329</v>
      </c>
      <c r="J21" s="26">
        <f t="shared" si="45"/>
        <v>252.04937409999999</v>
      </c>
      <c r="K21" s="26">
        <f t="shared" si="45"/>
        <v>189.75612100000001</v>
      </c>
      <c r="L21" s="26">
        <f t="shared" si="45"/>
        <v>0</v>
      </c>
      <c r="M21" s="26">
        <f t="shared" si="45"/>
        <v>0</v>
      </c>
      <c r="N21" s="26">
        <f t="shared" si="45"/>
        <v>603.62199999999996</v>
      </c>
      <c r="O21" s="26">
        <f t="shared" si="45"/>
        <v>615.99</v>
      </c>
      <c r="P21" s="26">
        <f t="shared" si="45"/>
        <v>800.10699999999997</v>
      </c>
      <c r="Q21" s="26">
        <f t="shared" si="45"/>
        <v>895.08800000000008</v>
      </c>
      <c r="R21" s="26">
        <f t="shared" si="45"/>
        <v>1101.874</v>
      </c>
      <c r="S21" s="26">
        <f t="shared" si="45"/>
        <v>1479.09</v>
      </c>
      <c r="T21" s="26">
        <f t="shared" si="45"/>
        <v>1818.0070000000001</v>
      </c>
      <c r="U21" s="26">
        <f t="shared" si="45"/>
        <v>1492.46</v>
      </c>
      <c r="V21" s="26">
        <f>+V19-V20</f>
        <v>1559.95</v>
      </c>
      <c r="W21" s="26">
        <f>+W19-W20</f>
        <v>2217.02</v>
      </c>
      <c r="X21" s="26">
        <f>+X19-X20</f>
        <v>3182.6</v>
      </c>
      <c r="Y21" s="26">
        <f>+Y19-Y20</f>
        <v>4451.7299999999996</v>
      </c>
      <c r="Z21" s="26">
        <f>+Z19-Z20</f>
        <v>5690.48</v>
      </c>
      <c r="AA21" s="26">
        <f>+AA19-AA20</f>
        <v>8069.27</v>
      </c>
      <c r="AB21" s="27">
        <f t="shared" ref="AB21:AD21" si="46">+AB19-AB20</f>
        <v>9521.7386000000006</v>
      </c>
      <c r="AC21" s="27">
        <f t="shared" si="46"/>
        <v>11235.651548000002</v>
      </c>
      <c r="AD21" s="27">
        <f t="shared" si="46"/>
        <v>13258.068826640001</v>
      </c>
      <c r="AE21" s="27">
        <f t="shared" ref="AE21" si="47">+AE19-AE20</f>
        <v>15644.521215435201</v>
      </c>
      <c r="AI21" s="26">
        <f t="shared" ref="AI21" si="48">+AI19-AI20</f>
        <v>0</v>
      </c>
      <c r="AJ21" s="26">
        <f t="shared" ref="AJ21" si="49">+AJ19-AJ20</f>
        <v>0</v>
      </c>
      <c r="AK21" s="26">
        <f t="shared" ref="AK21:AM21" si="50">+AK19-AK20</f>
        <v>0</v>
      </c>
      <c r="AL21" s="26">
        <f t="shared" si="50"/>
        <v>0</v>
      </c>
      <c r="AM21" s="26">
        <f t="shared" si="50"/>
        <v>0</v>
      </c>
      <c r="AN21" s="26">
        <f t="shared" ref="AN21:AO21" si="51">+AN19-AN20</f>
        <v>0</v>
      </c>
      <c r="AO21" s="26">
        <f t="shared" si="51"/>
        <v>0</v>
      </c>
      <c r="AP21" s="26">
        <f t="shared" ref="AP21:AW21" si="52">+AP19-AP20</f>
        <v>0</v>
      </c>
      <c r="AQ21" s="26">
        <f t="shared" si="52"/>
        <v>0</v>
      </c>
      <c r="AR21" s="26">
        <f t="shared" si="52"/>
        <v>0</v>
      </c>
      <c r="AS21" s="26">
        <f t="shared" si="52"/>
        <v>0</v>
      </c>
      <c r="AT21" s="26">
        <f t="shared" si="52"/>
        <v>0</v>
      </c>
      <c r="AU21" s="26">
        <f t="shared" si="52"/>
        <v>0</v>
      </c>
      <c r="AV21" s="26">
        <f t="shared" si="52"/>
        <v>0</v>
      </c>
      <c r="AW21" s="26">
        <f t="shared" si="52"/>
        <v>0</v>
      </c>
      <c r="AX21" s="26">
        <f t="shared" ref="AX21:CF21" si="53">+AX19-AX20</f>
        <v>0</v>
      </c>
      <c r="AY21" s="26">
        <f t="shared" si="53"/>
        <v>0</v>
      </c>
      <c r="AZ21" s="26">
        <f t="shared" si="53"/>
        <v>0</v>
      </c>
      <c r="BA21" s="26">
        <f t="shared" si="53"/>
        <v>0</v>
      </c>
      <c r="BB21" s="26">
        <f t="shared" si="53"/>
        <v>0</v>
      </c>
      <c r="BC21" s="26">
        <f t="shared" si="53"/>
        <v>0</v>
      </c>
      <c r="BD21" s="26">
        <f t="shared" si="53"/>
        <v>0</v>
      </c>
      <c r="BE21" s="26">
        <f t="shared" si="53"/>
        <v>0</v>
      </c>
      <c r="BF21" s="26">
        <f t="shared" si="53"/>
        <v>0</v>
      </c>
      <c r="BG21" s="26">
        <f t="shared" si="53"/>
        <v>0</v>
      </c>
      <c r="BH21" s="26">
        <f t="shared" si="53"/>
        <v>0</v>
      </c>
      <c r="BI21" s="26">
        <f t="shared" si="53"/>
        <v>0</v>
      </c>
      <c r="BJ21" s="26">
        <f t="shared" si="53"/>
        <v>0</v>
      </c>
      <c r="BK21" s="26">
        <f t="shared" si="53"/>
        <v>0</v>
      </c>
      <c r="BL21" s="26">
        <f t="shared" si="53"/>
        <v>0</v>
      </c>
      <c r="BM21" s="26">
        <f t="shared" si="53"/>
        <v>0</v>
      </c>
      <c r="BN21" s="26">
        <f t="shared" si="53"/>
        <v>334.41</v>
      </c>
      <c r="BO21" s="26">
        <f t="shared" si="53"/>
        <v>163</v>
      </c>
      <c r="BP21" s="26">
        <f t="shared" si="53"/>
        <v>370.72</v>
      </c>
      <c r="BQ21" s="26">
        <f t="shared" si="53"/>
        <v>489.07</v>
      </c>
      <c r="BR21" s="26">
        <f t="shared" si="53"/>
        <v>537.16</v>
      </c>
      <c r="BS21" s="26">
        <f t="shared" si="53"/>
        <v>435.19</v>
      </c>
      <c r="BT21" s="26">
        <f t="shared" si="53"/>
        <v>571.01</v>
      </c>
      <c r="BU21" s="26">
        <f t="shared" si="53"/>
        <v>554.15</v>
      </c>
      <c r="BV21" s="26">
        <f t="shared" si="53"/>
        <v>656.67</v>
      </c>
      <c r="BW21" s="26">
        <f t="shared" si="53"/>
        <v>676.96</v>
      </c>
      <c r="BX21" s="26">
        <f t="shared" si="53"/>
        <v>776.24</v>
      </c>
      <c r="BY21" s="26">
        <f t="shared" si="53"/>
        <v>749.03</v>
      </c>
      <c r="BZ21" s="26">
        <f t="shared" si="53"/>
        <v>980.37</v>
      </c>
      <c r="CA21" s="26">
        <f t="shared" si="53"/>
        <v>1037.6300000000001</v>
      </c>
      <c r="CB21" s="26">
        <f t="shared" si="53"/>
        <v>1179.06</v>
      </c>
      <c r="CC21" s="26">
        <f t="shared" si="53"/>
        <v>1129.7</v>
      </c>
      <c r="CD21" s="26">
        <f t="shared" si="53"/>
        <v>1105.3399999999999</v>
      </c>
      <c r="CE21" s="26">
        <f t="shared" si="53"/>
        <v>1151.19</v>
      </c>
      <c r="CF21" s="26">
        <f t="shared" si="53"/>
        <v>1213.95</v>
      </c>
      <c r="CG21" s="26">
        <f t="shared" ref="CG21:CH21" si="54">+CG19-CG20</f>
        <v>1576.09</v>
      </c>
      <c r="CH21" s="26">
        <f t="shared" si="54"/>
        <v>1749.25</v>
      </c>
      <c r="CI21" s="26">
        <f t="shared" ref="CI21:CJ21" si="55">+CI19-CI20</f>
        <v>1784</v>
      </c>
      <c r="CJ21" s="26">
        <f t="shared" si="55"/>
        <v>2001.59</v>
      </c>
      <c r="CK21" s="26">
        <f t="shared" ref="CK21:CL21" si="56">+CK19-CK20</f>
        <v>2057.2800000000002</v>
      </c>
      <c r="CL21" s="26">
        <f t="shared" si="56"/>
        <v>2226.4</v>
      </c>
      <c r="CM21" s="27">
        <f t="shared" ref="CM21:DB21" si="57">+CM19-CM20</f>
        <v>2105.12</v>
      </c>
      <c r="CN21" s="27">
        <f t="shared" si="57"/>
        <v>2361.8761999999997</v>
      </c>
      <c r="CO21" s="27">
        <f t="shared" si="57"/>
        <v>2427.5904</v>
      </c>
      <c r="CP21" s="27">
        <f t="shared" si="57"/>
        <v>2627.152</v>
      </c>
      <c r="CQ21" s="27">
        <f t="shared" si="57"/>
        <v>2484.0416</v>
      </c>
      <c r="CR21" s="27">
        <f t="shared" si="57"/>
        <v>2787.0139159999999</v>
      </c>
      <c r="CS21" s="27">
        <f t="shared" si="57"/>
        <v>2864.5566720000002</v>
      </c>
      <c r="CT21" s="27">
        <f t="shared" si="57"/>
        <v>3100.0393600000002</v>
      </c>
      <c r="CU21" s="27">
        <f t="shared" si="57"/>
        <v>2931.1690880000001</v>
      </c>
      <c r="CV21" s="27">
        <f t="shared" si="57"/>
        <v>3288.67642088</v>
      </c>
      <c r="CW21" s="27">
        <f t="shared" si="57"/>
        <v>3380.1768729600003</v>
      </c>
      <c r="CX21" s="27">
        <f t="shared" si="57"/>
        <v>3658.0464448000002</v>
      </c>
      <c r="CY21" s="27">
        <f t="shared" si="57"/>
        <v>3458.7795238400004</v>
      </c>
      <c r="CZ21" s="27">
        <f t="shared" si="57"/>
        <v>3880.6381766384002</v>
      </c>
      <c r="DA21" s="27">
        <f t="shared" si="57"/>
        <v>3988.6087100928003</v>
      </c>
      <c r="DB21" s="27">
        <f t="shared" si="57"/>
        <v>4316.4948048639999</v>
      </c>
      <c r="DE21" s="121"/>
      <c r="DF21" s="26">
        <v>2099.1</v>
      </c>
    </row>
    <row r="22" spans="1:110" s="39" customFormat="1" x14ac:dyDescent="0.2">
      <c r="A22" s="39" t="s">
        <v>484</v>
      </c>
      <c r="C22" s="39" t="e">
        <f t="shared" ref="C22" si="58">C21/B21-1</f>
        <v>#DIV/0!</v>
      </c>
      <c r="D22" s="39" t="e">
        <f t="shared" ref="D22" si="59">D21/C21-1</f>
        <v>#DIV/0!</v>
      </c>
      <c r="E22" s="39" t="e">
        <f t="shared" ref="E22" si="60">E21/D21-1</f>
        <v>#DIV/0!</v>
      </c>
      <c r="F22" s="39" t="e">
        <f t="shared" ref="F22:R22" si="61">F21/E21-1</f>
        <v>#DIV/0!</v>
      </c>
      <c r="G22" s="39">
        <f t="shared" si="61"/>
        <v>0.42766346604889582</v>
      </c>
      <c r="H22" s="39">
        <f t="shared" si="61"/>
        <v>0.32012072056594176</v>
      </c>
      <c r="I22" s="39">
        <f t="shared" si="61"/>
        <v>0.38422799961741116</v>
      </c>
      <c r="J22" s="39">
        <f t="shared" si="61"/>
        <v>0.20978589684007209</v>
      </c>
      <c r="K22" s="39">
        <f>K21/J21-1</f>
        <v>-0.2471470255478011</v>
      </c>
      <c r="L22" s="39">
        <f t="shared" si="61"/>
        <v>-1</v>
      </c>
      <c r="M22" s="39" t="e">
        <f t="shared" si="61"/>
        <v>#DIV/0!</v>
      </c>
      <c r="N22" s="39" t="e">
        <f t="shared" si="61"/>
        <v>#DIV/0!</v>
      </c>
      <c r="O22" s="39">
        <f t="shared" si="61"/>
        <v>2.0489644181292288E-2</v>
      </c>
      <c r="P22" s="39">
        <f t="shared" si="61"/>
        <v>0.29889608597542172</v>
      </c>
      <c r="Q22" s="39">
        <f t="shared" si="61"/>
        <v>0.1187103724876799</v>
      </c>
      <c r="R22" s="39">
        <f t="shared" si="61"/>
        <v>0.23102309493591688</v>
      </c>
      <c r="S22" s="39">
        <f t="shared" ref="S22:AA22" si="62">S21/R21-1</f>
        <v>0.3423404127876688</v>
      </c>
      <c r="T22" s="39">
        <f t="shared" si="62"/>
        <v>0.22913886240864323</v>
      </c>
      <c r="U22" s="39">
        <f t="shared" si="62"/>
        <v>-0.17906806739467995</v>
      </c>
      <c r="V22" s="39">
        <f t="shared" si="62"/>
        <v>4.5220642429277813E-2</v>
      </c>
      <c r="W22" s="39">
        <f t="shared" si="62"/>
        <v>0.42121221834033129</v>
      </c>
      <c r="X22" s="39">
        <f t="shared" si="62"/>
        <v>0.43553057708094656</v>
      </c>
      <c r="Y22" s="39">
        <f t="shared" si="62"/>
        <v>0.39877144473072312</v>
      </c>
      <c r="Z22" s="39">
        <f t="shared" si="62"/>
        <v>0.27826260801980363</v>
      </c>
      <c r="AA22" s="39">
        <f t="shared" si="62"/>
        <v>0.4180297619884441</v>
      </c>
      <c r="AB22" s="40">
        <f t="shared" ref="AB22" si="63">AB21/AA21-1</f>
        <v>0.17999999999999994</v>
      </c>
      <c r="AC22" s="40">
        <f t="shared" ref="AC22" si="64">AC21/AB21-1</f>
        <v>0.18000000000000016</v>
      </c>
      <c r="AD22" s="40">
        <f t="shared" ref="AD22" si="65">AD21/AC21-1</f>
        <v>0.17999999999999994</v>
      </c>
      <c r="AE22" s="40">
        <f t="shared" ref="AE22" si="66">AE21/AD21-1</f>
        <v>0.17999999999999994</v>
      </c>
      <c r="AM22" s="39" t="e">
        <f t="shared" ref="AM22:CI22" si="67">+IF(AI21&lt;0,1-AM21/AI21,AM21/AI21-1)</f>
        <v>#DIV/0!</v>
      </c>
      <c r="AN22" s="39" t="e">
        <f t="shared" si="67"/>
        <v>#DIV/0!</v>
      </c>
      <c r="AO22" s="39" t="e">
        <f t="shared" si="67"/>
        <v>#DIV/0!</v>
      </c>
      <c r="AP22" s="39" t="e">
        <f t="shared" si="67"/>
        <v>#DIV/0!</v>
      </c>
      <c r="AQ22" s="39" t="e">
        <f t="shared" si="67"/>
        <v>#DIV/0!</v>
      </c>
      <c r="AR22" s="39" t="e">
        <f t="shared" si="67"/>
        <v>#DIV/0!</v>
      </c>
      <c r="AS22" s="39" t="e">
        <f t="shared" si="67"/>
        <v>#DIV/0!</v>
      </c>
      <c r="AT22" s="39" t="e">
        <f t="shared" si="67"/>
        <v>#DIV/0!</v>
      </c>
      <c r="AU22" s="39" t="e">
        <f t="shared" si="67"/>
        <v>#DIV/0!</v>
      </c>
      <c r="AV22" s="39" t="e">
        <f t="shared" si="67"/>
        <v>#DIV/0!</v>
      </c>
      <c r="AW22" s="39" t="e">
        <f t="shared" si="67"/>
        <v>#DIV/0!</v>
      </c>
      <c r="AX22" s="39" t="e">
        <f t="shared" si="67"/>
        <v>#DIV/0!</v>
      </c>
      <c r="AY22" s="39" t="e">
        <f t="shared" si="67"/>
        <v>#DIV/0!</v>
      </c>
      <c r="AZ22" s="39" t="e">
        <f t="shared" si="67"/>
        <v>#DIV/0!</v>
      </c>
      <c r="BA22" s="39" t="e">
        <f t="shared" si="67"/>
        <v>#DIV/0!</v>
      </c>
      <c r="BB22" s="39" t="e">
        <f t="shared" si="67"/>
        <v>#DIV/0!</v>
      </c>
      <c r="BC22" s="39" t="e">
        <f t="shared" si="67"/>
        <v>#DIV/0!</v>
      </c>
      <c r="BD22" s="39" t="e">
        <f t="shared" si="67"/>
        <v>#DIV/0!</v>
      </c>
      <c r="BE22" s="39" t="e">
        <f t="shared" si="67"/>
        <v>#DIV/0!</v>
      </c>
      <c r="BF22" s="39" t="e">
        <f t="shared" si="67"/>
        <v>#DIV/0!</v>
      </c>
      <c r="BG22" s="39" t="e">
        <f t="shared" si="67"/>
        <v>#DIV/0!</v>
      </c>
      <c r="BH22" s="39" t="e">
        <f t="shared" si="67"/>
        <v>#DIV/0!</v>
      </c>
      <c r="BI22" s="39" t="e">
        <f t="shared" si="67"/>
        <v>#DIV/0!</v>
      </c>
      <c r="BJ22" s="39" t="e">
        <f t="shared" si="67"/>
        <v>#DIV/0!</v>
      </c>
      <c r="BK22" s="39" t="e">
        <f t="shared" si="67"/>
        <v>#DIV/0!</v>
      </c>
      <c r="BL22" s="39" t="e">
        <f t="shared" si="67"/>
        <v>#DIV/0!</v>
      </c>
      <c r="BM22" s="39" t="e">
        <f t="shared" si="67"/>
        <v>#DIV/0!</v>
      </c>
      <c r="BN22" s="39" t="e">
        <f t="shared" si="67"/>
        <v>#DIV/0!</v>
      </c>
      <c r="BO22" s="39" t="e">
        <f t="shared" si="67"/>
        <v>#DIV/0!</v>
      </c>
      <c r="BP22" s="39" t="e">
        <f t="shared" si="67"/>
        <v>#DIV/0!</v>
      </c>
      <c r="BQ22" s="39" t="e">
        <f t="shared" si="67"/>
        <v>#DIV/0!</v>
      </c>
      <c r="BR22" s="39">
        <f t="shared" si="67"/>
        <v>0.60629167788044591</v>
      </c>
      <c r="BS22" s="39">
        <f t="shared" si="67"/>
        <v>1.6698773006134968</v>
      </c>
      <c r="BT22" s="39">
        <f t="shared" si="67"/>
        <v>0.54027298230470433</v>
      </c>
      <c r="BU22" s="39">
        <f t="shared" si="67"/>
        <v>0.13306888584456211</v>
      </c>
      <c r="BV22" s="39">
        <f t="shared" si="67"/>
        <v>0.22248492069402048</v>
      </c>
      <c r="BW22" s="39">
        <f t="shared" si="67"/>
        <v>0.55555044922907237</v>
      </c>
      <c r="BX22" s="39">
        <f t="shared" si="67"/>
        <v>0.35941577205302888</v>
      </c>
      <c r="BY22" s="39">
        <f t="shared" si="67"/>
        <v>0.35167373454840756</v>
      </c>
      <c r="BZ22" s="39">
        <f t="shared" si="67"/>
        <v>0.49294166019461838</v>
      </c>
      <c r="CA22" s="39">
        <f t="shared" si="67"/>
        <v>0.53277889387851585</v>
      </c>
      <c r="CB22" s="39">
        <f t="shared" si="67"/>
        <v>0.51893744202823866</v>
      </c>
      <c r="CC22" s="39">
        <f t="shared" si="67"/>
        <v>0.50821729436738194</v>
      </c>
      <c r="CD22" s="39">
        <f t="shared" si="67"/>
        <v>0.12747228087354756</v>
      </c>
      <c r="CE22" s="39">
        <f t="shared" si="67"/>
        <v>0.1094417085088133</v>
      </c>
      <c r="CF22" s="39">
        <f t="shared" si="67"/>
        <v>2.9591369395959521E-2</v>
      </c>
      <c r="CG22" s="39">
        <f t="shared" si="67"/>
        <v>0.39514030273523937</v>
      </c>
      <c r="CH22" s="39">
        <f t="shared" si="67"/>
        <v>0.58254473736587853</v>
      </c>
      <c r="CI22" s="39">
        <f t="shared" si="67"/>
        <v>0.5497007444470503</v>
      </c>
      <c r="CJ22" s="39">
        <f>+IF(CF21&lt;0,1-CJ21/CF21,CJ21/CF21-1)</f>
        <v>0.64882408665925273</v>
      </c>
      <c r="CK22" s="39">
        <f>+IF(CG21&lt;0,1-CK21/CG21,CK21/CG21-1)</f>
        <v>0.30530616906394958</v>
      </c>
      <c r="CL22" s="39">
        <f>+IF(CH21&lt;0,1-CL21/CH21,CL21/CH21-1)</f>
        <v>0.27277404601972277</v>
      </c>
      <c r="CM22" s="40">
        <v>0.18</v>
      </c>
      <c r="CN22" s="40">
        <v>0.18</v>
      </c>
      <c r="CO22" s="40">
        <v>0.18</v>
      </c>
      <c r="CP22" s="40">
        <v>0.18</v>
      </c>
      <c r="CQ22" s="40">
        <v>0.18</v>
      </c>
      <c r="CR22" s="40">
        <v>0.18</v>
      </c>
      <c r="CS22" s="40">
        <v>0.18</v>
      </c>
      <c r="CT22" s="40">
        <v>0.18</v>
      </c>
      <c r="CU22" s="40">
        <v>0.18</v>
      </c>
      <c r="CV22" s="40">
        <v>0.18</v>
      </c>
      <c r="CW22" s="40">
        <v>0.18</v>
      </c>
      <c r="CX22" s="40">
        <v>0.18</v>
      </c>
      <c r="CY22" s="40">
        <v>0.18</v>
      </c>
      <c r="CZ22" s="40">
        <v>0.18</v>
      </c>
      <c r="DA22" s="40">
        <v>0.18</v>
      </c>
      <c r="DB22" s="40">
        <v>0.18</v>
      </c>
      <c r="DE22" s="122"/>
      <c r="DF22" s="39">
        <v>0.2</v>
      </c>
    </row>
    <row r="23" spans="1:110" s="39" customFormat="1" x14ac:dyDescent="0.2">
      <c r="A23" s="39" t="s">
        <v>446</v>
      </c>
      <c r="AB23" s="40"/>
      <c r="AC23" s="40"/>
      <c r="AD23" s="40"/>
      <c r="AE23" s="40"/>
      <c r="AJ23" s="39" t="e">
        <f t="shared" ref="AJ23:AL23" si="68">+IF(AI21&lt;0,1-AJ21/AI21,AJ21/AI21-1)</f>
        <v>#DIV/0!</v>
      </c>
      <c r="AK23" s="39" t="e">
        <f t="shared" si="68"/>
        <v>#DIV/0!</v>
      </c>
      <c r="AL23" s="39" t="e">
        <f t="shared" si="68"/>
        <v>#DIV/0!</v>
      </c>
      <c r="AM23" s="39" t="e">
        <f t="shared" ref="AM23:CI23" si="69">+IF(AL21&lt;0,1-AM21/AL21,AM21/AL21-1)</f>
        <v>#DIV/0!</v>
      </c>
      <c r="AN23" s="39" t="e">
        <f t="shared" si="69"/>
        <v>#DIV/0!</v>
      </c>
      <c r="AO23" s="39" t="e">
        <f t="shared" si="69"/>
        <v>#DIV/0!</v>
      </c>
      <c r="AP23" s="39" t="e">
        <f t="shared" si="69"/>
        <v>#DIV/0!</v>
      </c>
      <c r="AQ23" s="39" t="e">
        <f t="shared" si="69"/>
        <v>#DIV/0!</v>
      </c>
      <c r="AR23" s="39" t="e">
        <f t="shared" si="69"/>
        <v>#DIV/0!</v>
      </c>
      <c r="AS23" s="39" t="e">
        <f t="shared" si="69"/>
        <v>#DIV/0!</v>
      </c>
      <c r="AT23" s="39" t="e">
        <f t="shared" si="69"/>
        <v>#DIV/0!</v>
      </c>
      <c r="AU23" s="39" t="e">
        <f t="shared" si="69"/>
        <v>#DIV/0!</v>
      </c>
      <c r="AV23" s="39" t="e">
        <f t="shared" si="69"/>
        <v>#DIV/0!</v>
      </c>
      <c r="AW23" s="39" t="e">
        <f t="shared" si="69"/>
        <v>#DIV/0!</v>
      </c>
      <c r="AX23" s="39" t="e">
        <f t="shared" si="69"/>
        <v>#DIV/0!</v>
      </c>
      <c r="AY23" s="39" t="e">
        <f t="shared" si="69"/>
        <v>#DIV/0!</v>
      </c>
      <c r="AZ23" s="39" t="e">
        <f t="shared" si="69"/>
        <v>#DIV/0!</v>
      </c>
      <c r="BA23" s="39" t="e">
        <f t="shared" si="69"/>
        <v>#DIV/0!</v>
      </c>
      <c r="BB23" s="39" t="e">
        <f t="shared" si="69"/>
        <v>#DIV/0!</v>
      </c>
      <c r="BC23" s="39" t="e">
        <f t="shared" si="69"/>
        <v>#DIV/0!</v>
      </c>
      <c r="BD23" s="39" t="e">
        <f t="shared" si="69"/>
        <v>#DIV/0!</v>
      </c>
      <c r="BE23" s="39" t="e">
        <f t="shared" si="69"/>
        <v>#DIV/0!</v>
      </c>
      <c r="BF23" s="39" t="e">
        <f t="shared" si="69"/>
        <v>#DIV/0!</v>
      </c>
      <c r="BG23" s="39" t="e">
        <f t="shared" si="69"/>
        <v>#DIV/0!</v>
      </c>
      <c r="BH23" s="39" t="e">
        <f t="shared" si="69"/>
        <v>#DIV/0!</v>
      </c>
      <c r="BI23" s="39" t="e">
        <f t="shared" si="69"/>
        <v>#DIV/0!</v>
      </c>
      <c r="BJ23" s="39" t="e">
        <f t="shared" si="69"/>
        <v>#DIV/0!</v>
      </c>
      <c r="BK23" s="39" t="e">
        <f t="shared" si="69"/>
        <v>#DIV/0!</v>
      </c>
      <c r="BL23" s="39" t="e">
        <f t="shared" si="69"/>
        <v>#DIV/0!</v>
      </c>
      <c r="BM23" s="39" t="e">
        <f t="shared" si="69"/>
        <v>#DIV/0!</v>
      </c>
      <c r="BN23" s="39" t="e">
        <f t="shared" si="69"/>
        <v>#DIV/0!</v>
      </c>
      <c r="BO23" s="39">
        <f t="shared" si="69"/>
        <v>-0.51257438473729855</v>
      </c>
      <c r="BP23" s="39">
        <f t="shared" si="69"/>
        <v>1.2743558282208589</v>
      </c>
      <c r="BQ23" s="39">
        <f t="shared" si="69"/>
        <v>0.31924363400949485</v>
      </c>
      <c r="BR23" s="39">
        <f t="shared" si="69"/>
        <v>9.832948248716944E-2</v>
      </c>
      <c r="BS23" s="39">
        <f t="shared" si="69"/>
        <v>-0.18983170749869682</v>
      </c>
      <c r="BT23" s="39">
        <f t="shared" si="69"/>
        <v>0.31209356832647805</v>
      </c>
      <c r="BU23" s="39">
        <f t="shared" si="69"/>
        <v>-2.9526628255196918E-2</v>
      </c>
      <c r="BV23" s="39">
        <f t="shared" si="69"/>
        <v>0.18500406027248939</v>
      </c>
      <c r="BW23" s="39">
        <f t="shared" si="69"/>
        <v>3.0898320313095029E-2</v>
      </c>
      <c r="BX23" s="39">
        <f t="shared" si="69"/>
        <v>0.1466556369652563</v>
      </c>
      <c r="BY23" s="39">
        <f t="shared" si="69"/>
        <v>-3.505359167267863E-2</v>
      </c>
      <c r="BZ23" s="39">
        <f t="shared" si="69"/>
        <v>0.30885278293259288</v>
      </c>
      <c r="CA23" s="39">
        <f t="shared" si="69"/>
        <v>5.8406519987351802E-2</v>
      </c>
      <c r="CB23" s="39">
        <f t="shared" si="69"/>
        <v>0.1363009936104389</v>
      </c>
      <c r="CC23" s="39">
        <f t="shared" si="69"/>
        <v>-4.1863857649313774E-2</v>
      </c>
      <c r="CD23" s="39">
        <f t="shared" si="69"/>
        <v>-2.156324687970268E-2</v>
      </c>
      <c r="CE23" s="39">
        <f t="shared" si="69"/>
        <v>4.1480449454466717E-2</v>
      </c>
      <c r="CF23" s="39">
        <f t="shared" si="69"/>
        <v>5.4517499283350368E-2</v>
      </c>
      <c r="CG23" s="39">
        <f t="shared" si="69"/>
        <v>0.29831541661518179</v>
      </c>
      <c r="CH23" s="39">
        <f t="shared" si="69"/>
        <v>0.10986682232613632</v>
      </c>
      <c r="CI23" s="39">
        <f t="shared" si="69"/>
        <v>1.9865656710018609E-2</v>
      </c>
      <c r="CJ23" s="39">
        <f>+IF(CI21&lt;0,1-CJ21/CI21,CJ21/CI21-1)</f>
        <v>0.12196748878923769</v>
      </c>
      <c r="CK23" s="39">
        <f>+IF(CJ21&lt;0,1-CK21/CJ21,CK21/CJ21-1)</f>
        <v>2.7822880809756478E-2</v>
      </c>
      <c r="CL23" s="39">
        <f>+IF(CK21&lt;0,1-CL21/CK21,CL21/CK21-1)</f>
        <v>8.2205630735728619E-2</v>
      </c>
      <c r="CM23" s="40">
        <f t="shared" ref="CM23" si="70">+CM21/CL21-1</f>
        <v>-5.4473589651455323E-2</v>
      </c>
      <c r="CN23" s="40">
        <f t="shared" ref="CN23" si="71">+CN21/CM21-1</f>
        <v>0.12196748878923769</v>
      </c>
      <c r="CO23" s="40">
        <f t="shared" ref="CO23" si="72">+CO21/CN21-1</f>
        <v>2.7822880809756478E-2</v>
      </c>
      <c r="CP23" s="40">
        <f t="shared" ref="CP23" si="73">+CP21/CO21-1</f>
        <v>8.2205630735728619E-2</v>
      </c>
      <c r="CQ23" s="40">
        <f t="shared" ref="CQ23" si="74">+CQ21/CP21-1</f>
        <v>-5.4473589651455323E-2</v>
      </c>
      <c r="CR23" s="40">
        <f t="shared" ref="CR23" si="75">+CR21/CQ21-1</f>
        <v>0.12196748878923769</v>
      </c>
      <c r="CS23" s="40">
        <f t="shared" ref="CS23" si="76">+CS21/CR21-1</f>
        <v>2.7822880809756256E-2</v>
      </c>
      <c r="CT23" s="40">
        <f t="shared" ref="CT23" si="77">+CT21/CS21-1</f>
        <v>8.2205630735728841E-2</v>
      </c>
      <c r="CU23" s="40">
        <f t="shared" ref="CU23" si="78">+CU21/CT21-1</f>
        <v>-5.4473589651455323E-2</v>
      </c>
      <c r="CV23" s="40">
        <f t="shared" ref="CV23" si="79">+CV21/CU21-1</f>
        <v>0.12196748878923769</v>
      </c>
      <c r="CW23" s="40">
        <f t="shared" ref="CW23" si="80">+CW21/CV21-1</f>
        <v>2.7822880809756256E-2</v>
      </c>
      <c r="CX23" s="40">
        <f t="shared" ref="CX23" si="81">+CX21/CW21-1</f>
        <v>8.2205630735728619E-2</v>
      </c>
      <c r="CY23" s="40">
        <f t="shared" ref="CY23" si="82">+CY21/CX21-1</f>
        <v>-5.4473589651455212E-2</v>
      </c>
      <c r="CZ23" s="40">
        <f t="shared" ref="CZ23" si="83">+CZ21/CY21-1</f>
        <v>0.12196748878923769</v>
      </c>
      <c r="DA23" s="40">
        <f t="shared" ref="DA23" si="84">+DA21/CZ21-1</f>
        <v>2.7822880809756256E-2</v>
      </c>
      <c r="DB23" s="40">
        <f t="shared" ref="DB23" si="85">+DB21/DA21-1</f>
        <v>8.2205630735728619E-2</v>
      </c>
      <c r="DE23" s="122"/>
      <c r="DF23" s="39">
        <v>2.0327811479234681E-2</v>
      </c>
    </row>
    <row r="24" spans="1:110" s="23" customFormat="1" outlineLevel="1" x14ac:dyDescent="0.2">
      <c r="A24" s="23" t="s">
        <v>2</v>
      </c>
      <c r="B24" s="23">
        <f>'Annual Raw'!C11</f>
        <v>0</v>
      </c>
      <c r="C24" s="23">
        <f>'Annual Raw'!D11</f>
        <v>0</v>
      </c>
      <c r="D24" s="23">
        <f>'Annual Raw'!E11</f>
        <v>0</v>
      </c>
      <c r="E24" s="23">
        <f>'Annual Raw'!F11</f>
        <v>0</v>
      </c>
      <c r="F24" s="23">
        <f>'Annual Raw'!G11</f>
        <v>-7.3220581999999999</v>
      </c>
      <c r="G24" s="23">
        <f>'Annual Raw'!H11</f>
        <v>2.2851E-3</v>
      </c>
      <c r="H24" s="23">
        <f>'Annual Raw'!I11</f>
        <v>-4.2888811999999996</v>
      </c>
      <c r="I24" s="23">
        <f>'Annual Raw'!J11</f>
        <v>0</v>
      </c>
      <c r="J24" s="23">
        <f>'Annual Raw'!K11</f>
        <v>-4.5315833000000003</v>
      </c>
      <c r="K24" s="23">
        <f>'Annual Raw'!L11</f>
        <v>1.1057785</v>
      </c>
      <c r="L24" s="23">
        <f>'Annual Raw'!M11</f>
        <v>0</v>
      </c>
      <c r="M24" s="23">
        <f>'Annual Raw'!N11</f>
        <v>0</v>
      </c>
      <c r="N24" s="23">
        <f>'Annual Raw'!O11</f>
        <v>-3.516</v>
      </c>
      <c r="O24" s="23">
        <f>'Annual Raw'!P11</f>
        <v>-4.298</v>
      </c>
      <c r="P24" s="23">
        <f>'Annual Raw'!Q11</f>
        <v>1.611</v>
      </c>
      <c r="Q24" s="23">
        <f>'Annual Raw'!R11</f>
        <v>-16.427</v>
      </c>
      <c r="R24" s="23">
        <f>'Annual Raw'!S11</f>
        <v>-21.922000000000001</v>
      </c>
      <c r="S24" s="23">
        <f>'Annual Raw'!T11</f>
        <v>-15.92</v>
      </c>
      <c r="T24" s="23">
        <f>'Annual Raw'!U11</f>
        <v>-7.0149999999999997</v>
      </c>
      <c r="U24" s="23">
        <f>'Annual Raw'!V11</f>
        <v>15.07</v>
      </c>
      <c r="V24" s="23">
        <f>'Annual Raw'!W11</f>
        <v>-6.22</v>
      </c>
      <c r="W24" s="23">
        <f>'Annual Raw'!X11</f>
        <v>-31.44</v>
      </c>
      <c r="X24" s="23">
        <f>'Annual Raw'!Y11</f>
        <v>-70.209999999999994</v>
      </c>
      <c r="Y24" s="23">
        <f>'Annual Raw'!Z11</f>
        <v>-150.22</v>
      </c>
      <c r="Z24" s="23">
        <f>'Annual Raw'!AA11</f>
        <v>-194.66</v>
      </c>
      <c r="AA24" s="23">
        <f>'Annual Raw'!AB11</f>
        <v>-123.43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>
        <f>'QTR Raw'!C10</f>
        <v>0</v>
      </c>
      <c r="AJ24" s="23">
        <f>'QTR Raw'!D10</f>
        <v>0</v>
      </c>
      <c r="AK24" s="23">
        <f>'QTR Raw'!E10</f>
        <v>0</v>
      </c>
      <c r="AL24" s="23">
        <f>'QTR Raw'!F10</f>
        <v>0</v>
      </c>
      <c r="AM24" s="23">
        <f>'QTR Raw'!G10</f>
        <v>0</v>
      </c>
      <c r="AN24" s="23">
        <f>'QTR Raw'!H10</f>
        <v>0</v>
      </c>
      <c r="AO24" s="23">
        <f>'QTR Raw'!I10</f>
        <v>0</v>
      </c>
      <c r="AP24" s="23">
        <f>'QTR Raw'!J10</f>
        <v>0</v>
      </c>
      <c r="AQ24" s="23">
        <f>'QTR Raw'!K10</f>
        <v>0</v>
      </c>
      <c r="AR24" s="23">
        <f>'QTR Raw'!L10</f>
        <v>0</v>
      </c>
      <c r="AS24" s="23">
        <f>'QTR Raw'!M10</f>
        <v>0</v>
      </c>
      <c r="AT24" s="23">
        <f>'QTR Raw'!N10</f>
        <v>0</v>
      </c>
      <c r="AU24" s="23">
        <f>'QTR Raw'!O10</f>
        <v>0</v>
      </c>
      <c r="AV24" s="23">
        <f>'QTR Raw'!P10</f>
        <v>0</v>
      </c>
      <c r="AW24" s="23">
        <f>'QTR Raw'!Q10</f>
        <v>0</v>
      </c>
      <c r="AX24" s="23">
        <f>'QTR Raw'!R10</f>
        <v>0</v>
      </c>
      <c r="AY24" s="23">
        <f>'QTR Raw'!S10</f>
        <v>0</v>
      </c>
      <c r="AZ24" s="23">
        <f>'QTR Raw'!T10</f>
        <v>0</v>
      </c>
      <c r="BA24" s="23">
        <f>'QTR Raw'!U10</f>
        <v>0</v>
      </c>
      <c r="BB24" s="23">
        <f>'QTR Raw'!V10</f>
        <v>0</v>
      </c>
      <c r="BC24" s="23">
        <f>'QTR Raw'!W10</f>
        <v>0</v>
      </c>
      <c r="BD24" s="23">
        <f>'QTR Raw'!X10</f>
        <v>0</v>
      </c>
      <c r="BE24" s="23">
        <f>'QTR Raw'!Y10</f>
        <v>0</v>
      </c>
      <c r="BF24" s="23">
        <f>'QTR Raw'!Z10</f>
        <v>0</v>
      </c>
      <c r="BG24" s="23">
        <f>'QTR Raw'!AA10</f>
        <v>0</v>
      </c>
      <c r="BH24" s="23">
        <f>'QTR Raw'!AB10</f>
        <v>0</v>
      </c>
      <c r="BI24" s="23">
        <f>'QTR Raw'!AC10</f>
        <v>0</v>
      </c>
      <c r="BJ24" s="23">
        <f>'QTR Raw'!AD10</f>
        <v>0</v>
      </c>
      <c r="BK24" s="23">
        <f>'QTR Raw'!AE10</f>
        <v>0</v>
      </c>
      <c r="BL24" s="23">
        <f>'QTR Raw'!AF10</f>
        <v>0</v>
      </c>
      <c r="BM24" s="23">
        <f>'QTR Raw'!AG10</f>
        <v>0</v>
      </c>
      <c r="BN24" s="23">
        <f>'QTR Raw'!AH10</f>
        <v>-3.5</v>
      </c>
      <c r="BO24" s="23">
        <f>'QTR Raw'!AI10</f>
        <v>16.43</v>
      </c>
      <c r="BP24" s="23">
        <f>'QTR Raw'!AJ10</f>
        <v>-5.28</v>
      </c>
      <c r="BQ24" s="23">
        <f>'QTR Raw'!AK10</f>
        <v>-15.95</v>
      </c>
      <c r="BR24" s="23">
        <f>'QTR Raw'!AL10</f>
        <v>-1.42</v>
      </c>
      <c r="BS24" s="23">
        <f>'QTR Raw'!AM10</f>
        <v>2.75</v>
      </c>
      <c r="BT24" s="23">
        <f>'QTR Raw'!AN10</f>
        <v>-10.34</v>
      </c>
      <c r="BU24" s="23">
        <f>'QTR Raw'!AO10</f>
        <v>-21.02</v>
      </c>
      <c r="BV24" s="23">
        <f>'QTR Raw'!AP10</f>
        <v>-2.83</v>
      </c>
      <c r="BW24" s="23">
        <f>'QTR Raw'!AQ10</f>
        <v>-7.78</v>
      </c>
      <c r="BX24" s="23">
        <f>'QTR Raw'!AR10</f>
        <v>-8.6</v>
      </c>
      <c r="BY24" s="23">
        <f>'QTR Raw'!AS10</f>
        <v>-22.79</v>
      </c>
      <c r="BZ24" s="23">
        <f>'QTR Raw'!AT10</f>
        <v>-31.04</v>
      </c>
      <c r="CA24" s="23">
        <f>'QTR Raw'!AU10</f>
        <v>-25.48</v>
      </c>
      <c r="CB24" s="23">
        <f>'QTR Raw'!AV10</f>
        <v>-15.64</v>
      </c>
      <c r="CC24" s="23">
        <f>'QTR Raw'!AW10</f>
        <v>-30.95</v>
      </c>
      <c r="CD24" s="23">
        <f>'QTR Raw'!AX10</f>
        <v>-78.150000000000006</v>
      </c>
      <c r="CE24" s="23">
        <f>'QTR Raw'!AY10</f>
        <v>10</v>
      </c>
      <c r="CF24" s="23">
        <f>'QTR Raw'!AZ10</f>
        <v>-26.47</v>
      </c>
      <c r="CG24" s="23">
        <f>'QTR Raw'!BA10</f>
        <v>-190.5</v>
      </c>
      <c r="CH24" s="23">
        <f>'QTR Raw'!BB10</f>
        <v>12.31</v>
      </c>
      <c r="CI24" s="23">
        <f>'QTR Raw'!BC10</f>
        <v>-67.099999999999994</v>
      </c>
      <c r="CJ24" s="23">
        <f>'QTR Raw'!BD10</f>
        <v>-58.42</v>
      </c>
      <c r="CK24" s="23">
        <f>'QTR Raw'!BE10</f>
        <v>11.78</v>
      </c>
      <c r="CL24" s="23">
        <f>'QTR Raw'!BF10</f>
        <v>-9.69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-123.42999999999999</v>
      </c>
    </row>
    <row r="25" spans="1:110" s="23" customFormat="1" outlineLevel="1" x14ac:dyDescent="0.2">
      <c r="A25" s="23" t="s">
        <v>3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>
        <f>'QTR Raw'!C12</f>
        <v>0</v>
      </c>
      <c r="AJ25" s="23">
        <f>'QTR Raw'!D12</f>
        <v>0</v>
      </c>
      <c r="AK25" s="23">
        <f>'QTR Raw'!E12</f>
        <v>0</v>
      </c>
      <c r="AL25" s="23">
        <f>'QTR Raw'!F12</f>
        <v>0</v>
      </c>
      <c r="AM25" s="23">
        <f>'QTR Raw'!G12</f>
        <v>0</v>
      </c>
      <c r="AN25" s="23">
        <f>'QTR Raw'!H12</f>
        <v>0</v>
      </c>
      <c r="AO25" s="23">
        <f>'QTR Raw'!I12</f>
        <v>0</v>
      </c>
      <c r="AP25" s="23">
        <f>'QTR Raw'!J12</f>
        <v>0</v>
      </c>
      <c r="AQ25" s="23">
        <f>'QTR Raw'!K12</f>
        <v>0</v>
      </c>
      <c r="AR25" s="23">
        <f>'QTR Raw'!L12</f>
        <v>0</v>
      </c>
      <c r="AS25" s="23">
        <f>'QTR Raw'!M12</f>
        <v>0</v>
      </c>
      <c r="AT25" s="23">
        <f>'QTR Raw'!N12</f>
        <v>0</v>
      </c>
      <c r="AU25" s="23">
        <f>'QTR Raw'!O12</f>
        <v>0</v>
      </c>
      <c r="AV25" s="23">
        <f>'QTR Raw'!P12</f>
        <v>0</v>
      </c>
      <c r="AW25" s="23">
        <f>'QTR Raw'!Q12</f>
        <v>0</v>
      </c>
      <c r="AX25" s="23">
        <f>'QTR Raw'!R12</f>
        <v>0</v>
      </c>
      <c r="AY25" s="23">
        <f>'QTR Raw'!S12</f>
        <v>0</v>
      </c>
      <c r="AZ25" s="23">
        <f>'QTR Raw'!T12</f>
        <v>0</v>
      </c>
      <c r="BA25" s="23">
        <f>'QTR Raw'!U12</f>
        <v>0</v>
      </c>
      <c r="BB25" s="23">
        <f>'QTR Raw'!V12</f>
        <v>0</v>
      </c>
      <c r="BC25" s="23">
        <f>'QTR Raw'!W12</f>
        <v>0</v>
      </c>
      <c r="BD25" s="23">
        <f>'QTR Raw'!X12</f>
        <v>0</v>
      </c>
      <c r="BE25" s="23">
        <f>'QTR Raw'!Y12</f>
        <v>0</v>
      </c>
      <c r="BF25" s="23">
        <f>'QTR Raw'!Z12</f>
        <v>0</v>
      </c>
      <c r="BG25" s="23">
        <f>'QTR Raw'!AA12</f>
        <v>0</v>
      </c>
      <c r="BH25" s="23">
        <f>'QTR Raw'!AB12</f>
        <v>0</v>
      </c>
      <c r="BI25" s="23">
        <f>'QTR Raw'!AC12</f>
        <v>0</v>
      </c>
      <c r="BJ25" s="23">
        <f>'QTR Raw'!AD12</f>
        <v>0</v>
      </c>
      <c r="BK25" s="23">
        <f>'QTR Raw'!AE12</f>
        <v>0</v>
      </c>
      <c r="BL25" s="23">
        <f>'QTR Raw'!AF12</f>
        <v>0</v>
      </c>
      <c r="BM25" s="23">
        <f>'QTR Raw'!AG12</f>
        <v>0</v>
      </c>
      <c r="BN25" s="23">
        <f>'QTR Raw'!AH12</f>
        <v>0</v>
      </c>
      <c r="BO25" s="23">
        <f>'QTR Raw'!AI12</f>
        <v>0</v>
      </c>
      <c r="BP25" s="23">
        <f>'QTR Raw'!AJ12</f>
        <v>0</v>
      </c>
      <c r="BQ25" s="23">
        <f>'QTR Raw'!AK12</f>
        <v>0</v>
      </c>
      <c r="BR25" s="23">
        <f>'QTR Raw'!AL12</f>
        <v>0</v>
      </c>
      <c r="BS25" s="23">
        <f>'QTR Raw'!AM12</f>
        <v>0</v>
      </c>
      <c r="BT25" s="23">
        <f>'QTR Raw'!AN12</f>
        <v>0</v>
      </c>
      <c r="BU25" s="23">
        <f>'QTR Raw'!AO12</f>
        <v>0</v>
      </c>
      <c r="BV25" s="23">
        <f>'QTR Raw'!AP12</f>
        <v>0</v>
      </c>
      <c r="BW25" s="23">
        <f>'QTR Raw'!AQ12</f>
        <v>0</v>
      </c>
      <c r="BX25" s="23">
        <f>'QTR Raw'!AR12</f>
        <v>0</v>
      </c>
      <c r="BY25" s="23">
        <f>'QTR Raw'!AS12</f>
        <v>0</v>
      </c>
      <c r="BZ25" s="23">
        <f>'QTR Raw'!AT12</f>
        <v>0</v>
      </c>
      <c r="CA25" s="23">
        <f>'QTR Raw'!AU12</f>
        <v>0</v>
      </c>
      <c r="CB25" s="23">
        <f>'QTR Raw'!AV12</f>
        <v>0</v>
      </c>
      <c r="CC25" s="23">
        <f>'QTR Raw'!AW12</f>
        <v>0</v>
      </c>
      <c r="CD25" s="23">
        <f>'QTR Raw'!AX12</f>
        <v>0</v>
      </c>
      <c r="CE25" s="23">
        <f>'QTR Raw'!AY12</f>
        <v>0</v>
      </c>
      <c r="CF25" s="23">
        <f>'QTR Raw'!AZ12</f>
        <v>0</v>
      </c>
      <c r="CG25" s="23">
        <f>'QTR Raw'!BA12</f>
        <v>0</v>
      </c>
      <c r="CH25" s="23">
        <f>'QTR Raw'!BB12</f>
        <v>0</v>
      </c>
      <c r="CI25" s="23">
        <f>'QTR Raw'!BC12</f>
        <v>0</v>
      </c>
      <c r="CJ25" s="23">
        <f>'QTR Raw'!BD12</f>
        <v>0</v>
      </c>
      <c r="CK25" s="23">
        <f>'QTR Raw'!BE12</f>
        <v>0</v>
      </c>
      <c r="CL25" s="23">
        <f>'QTR Raw'!BF12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3" customFormat="1" outlineLevel="1" x14ac:dyDescent="0.2">
      <c r="A26" s="23" t="s">
        <v>4</v>
      </c>
      <c r="B26" s="23">
        <f>'Annual Raw'!C12</f>
        <v>0</v>
      </c>
      <c r="C26" s="23">
        <f>'Annual Raw'!D12</f>
        <v>0</v>
      </c>
      <c r="D26" s="23">
        <f>'Annual Raw'!E12</f>
        <v>0</v>
      </c>
      <c r="E26" s="23">
        <f>'Annual Raw'!F12</f>
        <v>0</v>
      </c>
      <c r="F26" s="23">
        <f>'Annual Raw'!G12</f>
        <v>26.0530306</v>
      </c>
      <c r="G26" s="23">
        <f>'Annual Raw'!H12</f>
        <v>35.373858599999998</v>
      </c>
      <c r="H26" s="23">
        <f>'Annual Raw'!I12</f>
        <v>-2.3336307999999999</v>
      </c>
      <c r="I26" s="23">
        <f>'Annual Raw'!J12</f>
        <v>0</v>
      </c>
      <c r="J26" s="23">
        <f>'Annual Raw'!K12</f>
        <v>92.797977099999997</v>
      </c>
      <c r="K26" s="23">
        <f>'Annual Raw'!L12</f>
        <v>37.848480299999999</v>
      </c>
      <c r="L26" s="23">
        <f>'Annual Raw'!M12</f>
        <v>0</v>
      </c>
      <c r="M26" s="23">
        <f>'Annual Raw'!N12</f>
        <v>0</v>
      </c>
      <c r="N26" s="23">
        <f>'Annual Raw'!O12</f>
        <v>115.599</v>
      </c>
      <c r="O26" s="23">
        <f>'Annual Raw'!P12</f>
        <v>143.41999999999999</v>
      </c>
      <c r="P26" s="23">
        <f>'Annual Raw'!Q12</f>
        <v>195.75200000000001</v>
      </c>
      <c r="Q26" s="23">
        <f>'Annual Raw'!R12</f>
        <v>283.70100000000002</v>
      </c>
      <c r="R26" s="23">
        <f>'Annual Raw'!S12</f>
        <v>389.82900000000001</v>
      </c>
      <c r="S26" s="23">
        <f>'Annual Raw'!T12</f>
        <v>571.91999999999996</v>
      </c>
      <c r="T26" s="23">
        <f>'Annual Raw'!U12</f>
        <v>689.68299999999999</v>
      </c>
      <c r="U26" s="23">
        <f>'Annual Raw'!V12</f>
        <v>556.26</v>
      </c>
      <c r="V26" s="23">
        <f>'Annual Raw'!W12</f>
        <v>660.65</v>
      </c>
      <c r="W26" s="23">
        <f>'Annual Raw'!X12</f>
        <v>1030.33</v>
      </c>
      <c r="X26" s="23">
        <f>'Annual Raw'!Y12</f>
        <v>1672.35</v>
      </c>
      <c r="Y26" s="23">
        <f>'Annual Raw'!Z12</f>
        <v>2486.4</v>
      </c>
      <c r="Z26" s="23">
        <f>'Annual Raw'!AA12</f>
        <v>3248.02</v>
      </c>
      <c r="AA26" s="23">
        <f>'Annual Raw'!AB12</f>
        <v>4434.84</v>
      </c>
      <c r="AB26" s="24">
        <f>+SUM(CM26:CP26)</f>
        <v>5202.2165161005005</v>
      </c>
      <c r="AC26" s="24">
        <f>+SUM(CQ26:CT26)</f>
        <v>6139.7095834662287</v>
      </c>
      <c r="AD26" s="24">
        <f>+SUM(CU26:CX26)</f>
        <v>7244.9335809695722</v>
      </c>
      <c r="AE26" s="24">
        <f>+SUM(CY26:DB26)</f>
        <v>8549.0049643035345</v>
      </c>
      <c r="AI26" s="23">
        <f>'QTR Raw'!C11</f>
        <v>0</v>
      </c>
      <c r="AJ26" s="23">
        <f>'QTR Raw'!D11</f>
        <v>0</v>
      </c>
      <c r="AK26" s="23">
        <f>'QTR Raw'!E11</f>
        <v>0</v>
      </c>
      <c r="AL26" s="23">
        <f>'QTR Raw'!F11</f>
        <v>0</v>
      </c>
      <c r="AM26" s="23">
        <f>'QTR Raw'!G11</f>
        <v>0</v>
      </c>
      <c r="AN26" s="23">
        <f>'QTR Raw'!H11</f>
        <v>0</v>
      </c>
      <c r="AO26" s="23">
        <f>'QTR Raw'!I11</f>
        <v>0</v>
      </c>
      <c r="AP26" s="23">
        <f>'QTR Raw'!J11</f>
        <v>0</v>
      </c>
      <c r="AQ26" s="23">
        <f>'QTR Raw'!K11</f>
        <v>0</v>
      </c>
      <c r="AR26" s="23">
        <f>'QTR Raw'!L11</f>
        <v>0</v>
      </c>
      <c r="AS26" s="23">
        <f>'QTR Raw'!M11</f>
        <v>0</v>
      </c>
      <c r="AT26" s="23">
        <f>'QTR Raw'!N11</f>
        <v>0</v>
      </c>
      <c r="AU26" s="23">
        <f>'QTR Raw'!O11</f>
        <v>0</v>
      </c>
      <c r="AV26" s="23">
        <f>'QTR Raw'!P11</f>
        <v>0</v>
      </c>
      <c r="AW26" s="23">
        <f>'QTR Raw'!Q11</f>
        <v>0</v>
      </c>
      <c r="AX26" s="23">
        <f>'QTR Raw'!R11</f>
        <v>0</v>
      </c>
      <c r="AY26" s="23">
        <f>'QTR Raw'!S11</f>
        <v>0</v>
      </c>
      <c r="AZ26" s="23">
        <f>'QTR Raw'!T11</f>
        <v>0</v>
      </c>
      <c r="BA26" s="23">
        <f>'QTR Raw'!U11</f>
        <v>0</v>
      </c>
      <c r="BB26" s="23">
        <f>'QTR Raw'!V11</f>
        <v>0</v>
      </c>
      <c r="BC26" s="23">
        <f>'QTR Raw'!W11</f>
        <v>0</v>
      </c>
      <c r="BD26" s="23">
        <f>'QTR Raw'!X11</f>
        <v>0</v>
      </c>
      <c r="BE26" s="23">
        <f>'QTR Raw'!Y11</f>
        <v>0</v>
      </c>
      <c r="BF26" s="23">
        <f>'QTR Raw'!Z11</f>
        <v>0</v>
      </c>
      <c r="BG26" s="23">
        <f>'QTR Raw'!AA11</f>
        <v>0</v>
      </c>
      <c r="BH26" s="23">
        <f>'QTR Raw'!AB11</f>
        <v>0</v>
      </c>
      <c r="BI26" s="23">
        <f>'QTR Raw'!AC11</f>
        <v>0</v>
      </c>
      <c r="BJ26" s="23">
        <f>'QTR Raw'!AD11</f>
        <v>0</v>
      </c>
      <c r="BK26" s="23">
        <f>'QTR Raw'!AE11</f>
        <v>0</v>
      </c>
      <c r="BL26" s="23">
        <f>'QTR Raw'!AF11</f>
        <v>0</v>
      </c>
      <c r="BM26" s="23">
        <f>'QTR Raw'!AG11</f>
        <v>0</v>
      </c>
      <c r="BN26" s="23">
        <f>'QTR Raw'!AH11</f>
        <v>132.15</v>
      </c>
      <c r="BO26" s="23">
        <f>'QTR Raw'!AI11</f>
        <v>55.18</v>
      </c>
      <c r="BP26" s="23">
        <f>'QTR Raw'!AJ11</f>
        <v>162.53</v>
      </c>
      <c r="BQ26" s="23">
        <f>'QTR Raw'!AK11</f>
        <v>221.01</v>
      </c>
      <c r="BR26" s="23">
        <f>'QTR Raw'!AL11</f>
        <v>234.03</v>
      </c>
      <c r="BS26" s="23">
        <f>'QTR Raw'!AM11</f>
        <v>191.31</v>
      </c>
      <c r="BT26" s="23">
        <f>'QTR Raw'!AN11</f>
        <v>273.73</v>
      </c>
      <c r="BU26" s="23">
        <f>'QTR Raw'!AO11</f>
        <v>274.72000000000003</v>
      </c>
      <c r="BV26" s="23">
        <f>'QTR Raw'!AP11</f>
        <v>325.73</v>
      </c>
      <c r="BW26" s="23">
        <f>'QTR Raw'!AQ11</f>
        <v>330.15</v>
      </c>
      <c r="BX26" s="23">
        <f>'QTR Raw'!AR11</f>
        <v>405.65</v>
      </c>
      <c r="BY26" s="23">
        <f>'QTR Raw'!AS11</f>
        <v>400.65</v>
      </c>
      <c r="BZ26" s="23">
        <f>'QTR Raw'!AT11</f>
        <v>563.19000000000005</v>
      </c>
      <c r="CA26" s="23">
        <f>'QTR Raw'!AU11</f>
        <v>570.38</v>
      </c>
      <c r="CB26" s="23">
        <f>'QTR Raw'!AV11</f>
        <v>642.65</v>
      </c>
      <c r="CC26" s="23">
        <f>'QTR Raw'!AW11</f>
        <v>631.94000000000005</v>
      </c>
      <c r="CD26" s="23">
        <f>'QTR Raw'!AX11</f>
        <v>676.56</v>
      </c>
      <c r="CE26" s="23">
        <f>'QTR Raw'!AY11</f>
        <v>638.39</v>
      </c>
      <c r="CF26" s="23">
        <f>'QTR Raw'!AZ11</f>
        <v>701.65</v>
      </c>
      <c r="CG26" s="23">
        <f>'QTR Raw'!BA11</f>
        <v>1021.65</v>
      </c>
      <c r="CH26" s="23">
        <f>'QTR Raw'!BB11</f>
        <v>935.04</v>
      </c>
      <c r="CI26" s="23">
        <f>'QTR Raw'!BC11</f>
        <v>1028.3</v>
      </c>
      <c r="CJ26" s="23">
        <f>'QTR Raw'!BD11</f>
        <v>1153.74</v>
      </c>
      <c r="CK26" s="23">
        <f>'QTR Raw'!BE11</f>
        <v>1118.82</v>
      </c>
      <c r="CL26" s="23">
        <f>'QTR Raw'!BF11</f>
        <v>1224.53</v>
      </c>
      <c r="CM26" s="24">
        <f t="shared" ref="CM26:DB26" si="86">+CM21-CM27</f>
        <v>1147.9361206095687</v>
      </c>
      <c r="CN26" s="24">
        <f t="shared" si="86"/>
        <v>1291.795388847328</v>
      </c>
      <c r="CO26" s="24">
        <f t="shared" si="86"/>
        <v>1327.5615599237549</v>
      </c>
      <c r="CP26" s="24">
        <f t="shared" si="86"/>
        <v>1434.9234467198487</v>
      </c>
      <c r="CQ26" s="24">
        <f t="shared" si="86"/>
        <v>1357.091844844866</v>
      </c>
      <c r="CR26" s="24">
        <f t="shared" si="86"/>
        <v>1523.3217945946058</v>
      </c>
      <c r="CS26" s="24">
        <f t="shared" si="86"/>
        <v>1565.4488710460075</v>
      </c>
      <c r="CT26" s="24">
        <f t="shared" si="86"/>
        <v>1693.8470729807493</v>
      </c>
      <c r="CU26" s="24">
        <f t="shared" si="86"/>
        <v>1601.7278136115126</v>
      </c>
      <c r="CV26" s="24">
        <f t="shared" si="86"/>
        <v>1797.1873518329814</v>
      </c>
      <c r="CW26" s="24">
        <f t="shared" si="86"/>
        <v>1847.1048780252379</v>
      </c>
      <c r="CX26" s="24">
        <f t="shared" si="86"/>
        <v>1998.9135374998402</v>
      </c>
      <c r="CY26" s="24">
        <f t="shared" si="86"/>
        <v>1890.0666700711804</v>
      </c>
      <c r="CZ26" s="24">
        <f t="shared" si="86"/>
        <v>2120.6011671653305</v>
      </c>
      <c r="DA26" s="24">
        <f t="shared" si="86"/>
        <v>2179.5818678673318</v>
      </c>
      <c r="DB26" s="24">
        <f t="shared" si="86"/>
        <v>2358.7552591996928</v>
      </c>
      <c r="DE26" s="123"/>
      <c r="DF26" s="23">
        <v>1142.5137544807019</v>
      </c>
    </row>
    <row r="27" spans="1:110" s="31" customFormat="1" x14ac:dyDescent="0.2">
      <c r="A27" s="31" t="s">
        <v>5</v>
      </c>
      <c r="B27" s="31">
        <f t="shared" ref="B27:T27" si="87">B21-B24-B26-B25</f>
        <v>0</v>
      </c>
      <c r="C27" s="31">
        <f t="shared" si="87"/>
        <v>0</v>
      </c>
      <c r="D27" s="31">
        <f t="shared" si="87"/>
        <v>0</v>
      </c>
      <c r="E27" s="31">
        <f t="shared" si="87"/>
        <v>0</v>
      </c>
      <c r="F27" s="31">
        <f t="shared" si="87"/>
        <v>61.129152000000005</v>
      </c>
      <c r="G27" s="31">
        <f t="shared" si="87"/>
        <v>78.637238300000007</v>
      </c>
      <c r="H27" s="31">
        <f t="shared" si="87"/>
        <v>157.13394</v>
      </c>
      <c r="I27" s="31">
        <f t="shared" si="87"/>
        <v>208.3421329</v>
      </c>
      <c r="J27" s="31">
        <f t="shared" si="87"/>
        <v>163.78298029999999</v>
      </c>
      <c r="K27" s="31">
        <f t="shared" si="87"/>
        <v>150.80186219999999</v>
      </c>
      <c r="L27" s="31">
        <f t="shared" si="87"/>
        <v>0</v>
      </c>
      <c r="M27" s="31">
        <f t="shared" si="87"/>
        <v>0</v>
      </c>
      <c r="N27" s="31">
        <f t="shared" si="87"/>
        <v>491.53899999999993</v>
      </c>
      <c r="O27" s="31">
        <f t="shared" si="87"/>
        <v>476.86800000000005</v>
      </c>
      <c r="P27" s="31">
        <f t="shared" si="87"/>
        <v>602.74399999999991</v>
      </c>
      <c r="Q27" s="31">
        <f t="shared" si="87"/>
        <v>627.81400000000008</v>
      </c>
      <c r="R27" s="31">
        <f t="shared" si="87"/>
        <v>733.9670000000001</v>
      </c>
      <c r="S27" s="31">
        <f t="shared" si="87"/>
        <v>923.09</v>
      </c>
      <c r="T27" s="31">
        <f t="shared" si="87"/>
        <v>1135.3390000000002</v>
      </c>
      <c r="U27" s="31">
        <f t="shared" ref="U27:Z27" si="88">U21-U24-U26-U25</f>
        <v>921.13000000000011</v>
      </c>
      <c r="V27" s="31">
        <f t="shared" si="88"/>
        <v>905.5200000000001</v>
      </c>
      <c r="W27" s="31">
        <f t="shared" si="88"/>
        <v>1218.1300000000001</v>
      </c>
      <c r="X27" s="31">
        <f t="shared" si="88"/>
        <v>1580.46</v>
      </c>
      <c r="Y27" s="31">
        <f t="shared" si="88"/>
        <v>2115.5499999999997</v>
      </c>
      <c r="Z27" s="31">
        <f t="shared" si="88"/>
        <v>2637.1199999999994</v>
      </c>
      <c r="AA27" s="31">
        <f t="shared" ref="AA27" si="89">AA21-AA24-AA26-AA25</f>
        <v>3757.8600000000006</v>
      </c>
      <c r="AB27" s="32">
        <f t="shared" ref="AA27:AD27" si="90">AB21-AB24-AB26-AB25</f>
        <v>4319.5220838995001</v>
      </c>
      <c r="AC27" s="32">
        <f t="shared" si="90"/>
        <v>5095.941964533773</v>
      </c>
      <c r="AD27" s="32">
        <f t="shared" si="90"/>
        <v>6013.135245670429</v>
      </c>
      <c r="AE27" s="32">
        <f t="shared" ref="AE27" si="91">AE21-AE24-AE26-AE25</f>
        <v>7095.5162511316666</v>
      </c>
      <c r="AI27" s="31">
        <f t="shared" ref="AI27" si="92">AI21-AI24-AI26-AI25</f>
        <v>0</v>
      </c>
      <c r="AJ27" s="31">
        <f t="shared" ref="AJ27" si="93">AJ21-AJ24-AJ26-AJ25</f>
        <v>0</v>
      </c>
      <c r="AK27" s="31">
        <f t="shared" ref="AK27:AM27" si="94">AK21-AK24-AK26-AK25</f>
        <v>0</v>
      </c>
      <c r="AL27" s="31">
        <f t="shared" si="94"/>
        <v>0</v>
      </c>
      <c r="AM27" s="31">
        <f t="shared" si="94"/>
        <v>0</v>
      </c>
      <c r="AN27" s="31">
        <f t="shared" ref="AN27:AO27" si="95">AN21-AN24-AN26-AN25</f>
        <v>0</v>
      </c>
      <c r="AO27" s="31">
        <f t="shared" si="95"/>
        <v>0</v>
      </c>
      <c r="AP27" s="31">
        <f t="shared" ref="AP27:CD27" si="96">AP21-AP24-AP26-AP25</f>
        <v>0</v>
      </c>
      <c r="AQ27" s="31">
        <f t="shared" si="96"/>
        <v>0</v>
      </c>
      <c r="AR27" s="31">
        <f t="shared" si="96"/>
        <v>0</v>
      </c>
      <c r="AS27" s="31">
        <f t="shared" si="96"/>
        <v>0</v>
      </c>
      <c r="AT27" s="31">
        <f t="shared" si="96"/>
        <v>0</v>
      </c>
      <c r="AU27" s="31">
        <f t="shared" si="96"/>
        <v>0</v>
      </c>
      <c r="AV27" s="31">
        <f t="shared" si="96"/>
        <v>0</v>
      </c>
      <c r="AW27" s="31">
        <f t="shared" si="96"/>
        <v>0</v>
      </c>
      <c r="AX27" s="31">
        <f t="shared" si="96"/>
        <v>0</v>
      </c>
      <c r="AY27" s="31">
        <f t="shared" si="96"/>
        <v>0</v>
      </c>
      <c r="AZ27" s="31">
        <f t="shared" si="96"/>
        <v>0</v>
      </c>
      <c r="BA27" s="31">
        <f t="shared" si="96"/>
        <v>0</v>
      </c>
      <c r="BB27" s="31">
        <f t="shared" si="96"/>
        <v>0</v>
      </c>
      <c r="BC27" s="31">
        <f t="shared" si="96"/>
        <v>0</v>
      </c>
      <c r="BD27" s="31">
        <f t="shared" si="96"/>
        <v>0</v>
      </c>
      <c r="BE27" s="31">
        <f t="shared" si="96"/>
        <v>0</v>
      </c>
      <c r="BF27" s="31">
        <f t="shared" si="96"/>
        <v>0</v>
      </c>
      <c r="BG27" s="31">
        <f t="shared" si="96"/>
        <v>0</v>
      </c>
      <c r="BH27" s="31">
        <f t="shared" si="96"/>
        <v>0</v>
      </c>
      <c r="BI27" s="31">
        <f t="shared" si="96"/>
        <v>0</v>
      </c>
      <c r="BJ27" s="31">
        <f t="shared" si="96"/>
        <v>0</v>
      </c>
      <c r="BK27" s="31">
        <f t="shared" si="96"/>
        <v>0</v>
      </c>
      <c r="BL27" s="31">
        <f t="shared" si="96"/>
        <v>0</v>
      </c>
      <c r="BM27" s="31">
        <f t="shared" si="96"/>
        <v>0</v>
      </c>
      <c r="BN27" s="31">
        <f t="shared" si="96"/>
        <v>205.76000000000002</v>
      </c>
      <c r="BO27" s="31">
        <f t="shared" si="96"/>
        <v>91.389999999999986</v>
      </c>
      <c r="BP27" s="31">
        <f t="shared" si="96"/>
        <v>213.47</v>
      </c>
      <c r="BQ27" s="31">
        <f t="shared" si="96"/>
        <v>284.01</v>
      </c>
      <c r="BR27" s="31">
        <f t="shared" si="96"/>
        <v>304.54999999999995</v>
      </c>
      <c r="BS27" s="31">
        <f t="shared" si="96"/>
        <v>241.13</v>
      </c>
      <c r="BT27" s="31">
        <f t="shared" si="96"/>
        <v>307.62</v>
      </c>
      <c r="BU27" s="31">
        <f t="shared" si="96"/>
        <v>300.44999999999993</v>
      </c>
      <c r="BV27" s="31">
        <f t="shared" si="96"/>
        <v>333.77</v>
      </c>
      <c r="BW27" s="31">
        <f t="shared" si="96"/>
        <v>354.59000000000003</v>
      </c>
      <c r="BX27" s="31">
        <f t="shared" si="96"/>
        <v>379.19000000000005</v>
      </c>
      <c r="BY27" s="31">
        <f t="shared" si="96"/>
        <v>371.16999999999996</v>
      </c>
      <c r="BZ27" s="31">
        <f t="shared" si="96"/>
        <v>448.21999999999991</v>
      </c>
      <c r="CA27" s="31">
        <f t="shared" si="96"/>
        <v>492.73000000000013</v>
      </c>
      <c r="CB27" s="31">
        <f t="shared" si="96"/>
        <v>552.05000000000007</v>
      </c>
      <c r="CC27" s="31">
        <f t="shared" si="96"/>
        <v>528.71</v>
      </c>
      <c r="CD27" s="31">
        <f t="shared" si="96"/>
        <v>506.93000000000006</v>
      </c>
      <c r="CE27" s="31">
        <f t="shared" ref="CE27:CF27" si="97">CE21-CE24-CE26-CE25</f>
        <v>502.80000000000007</v>
      </c>
      <c r="CF27" s="31">
        <f t="shared" si="97"/>
        <v>538.7700000000001</v>
      </c>
      <c r="CG27" s="31">
        <f t="shared" ref="CG27:CH27" si="98">CG21-CG24-CG26-CG25</f>
        <v>744.93999999999994</v>
      </c>
      <c r="CH27" s="31">
        <f t="shared" si="98"/>
        <v>801.90000000000009</v>
      </c>
      <c r="CI27" s="31">
        <f t="shared" ref="CI27:CJ27" si="99">CI21-CI24-CI26-CI25</f>
        <v>822.8</v>
      </c>
      <c r="CJ27" s="31">
        <f t="shared" si="99"/>
        <v>906.26999999999975</v>
      </c>
      <c r="CK27" s="31">
        <f t="shared" ref="CK27:CL27" si="100">CK21-CK24-CK26-CK25</f>
        <v>926.68000000000029</v>
      </c>
      <c r="CL27" s="31">
        <f t="shared" si="100"/>
        <v>1011.5600000000002</v>
      </c>
      <c r="CM27" s="32">
        <f t="shared" ref="CM27:DB27" si="101">+CM28*CM21</f>
        <v>957.18387939043112</v>
      </c>
      <c r="CN27" s="32">
        <f t="shared" si="101"/>
        <v>1070.0808111526717</v>
      </c>
      <c r="CO27" s="32">
        <f t="shared" si="101"/>
        <v>1100.0288400762452</v>
      </c>
      <c r="CP27" s="32">
        <f t="shared" si="101"/>
        <v>1192.2285532801513</v>
      </c>
      <c r="CQ27" s="32">
        <f t="shared" si="101"/>
        <v>1126.949755155134</v>
      </c>
      <c r="CR27" s="32">
        <f t="shared" si="101"/>
        <v>1263.6921214053941</v>
      </c>
      <c r="CS27" s="32">
        <f t="shared" si="101"/>
        <v>1299.1078009539926</v>
      </c>
      <c r="CT27" s="32">
        <f t="shared" si="101"/>
        <v>1406.1922870192509</v>
      </c>
      <c r="CU27" s="32">
        <f t="shared" si="101"/>
        <v>1329.4412743884875</v>
      </c>
      <c r="CV27" s="32">
        <f t="shared" si="101"/>
        <v>1491.4890690470186</v>
      </c>
      <c r="CW27" s="32">
        <f t="shared" si="101"/>
        <v>1533.0719949347624</v>
      </c>
      <c r="CX27" s="32">
        <f t="shared" si="101"/>
        <v>1659.13290730016</v>
      </c>
      <c r="CY27" s="32">
        <f t="shared" si="101"/>
        <v>1568.71285376882</v>
      </c>
      <c r="CZ27" s="32">
        <f t="shared" si="101"/>
        <v>1760.0370094730695</v>
      </c>
      <c r="DA27" s="32">
        <f t="shared" si="101"/>
        <v>1809.0268422254685</v>
      </c>
      <c r="DB27" s="32">
        <f t="shared" si="101"/>
        <v>1957.7395456643069</v>
      </c>
      <c r="DE27" s="124"/>
      <c r="DF27" s="31">
        <v>956.58624551929802</v>
      </c>
    </row>
    <row r="28" spans="1:110" s="41" customFormat="1" x14ac:dyDescent="0.2">
      <c r="A28" s="41" t="s">
        <v>6</v>
      </c>
      <c r="B28" s="41" t="e">
        <f>B27/B21</f>
        <v>#DIV/0!</v>
      </c>
      <c r="C28" s="41" t="e">
        <f t="shared" ref="C28:U28" si="102">C27/C21</f>
        <v>#DIV/0!</v>
      </c>
      <c r="D28" s="41" t="e">
        <f t="shared" si="102"/>
        <v>#DIV/0!</v>
      </c>
      <c r="E28" s="41" t="e">
        <f t="shared" si="102"/>
        <v>#DIV/0!</v>
      </c>
      <c r="F28" s="41">
        <f t="shared" si="102"/>
        <v>0.76545275203703544</v>
      </c>
      <c r="G28" s="41">
        <f t="shared" si="102"/>
        <v>0.68971937259084204</v>
      </c>
      <c r="H28" s="41">
        <f t="shared" si="102"/>
        <v>1.0440000609123183</v>
      </c>
      <c r="I28" s="41">
        <f t="shared" si="102"/>
        <v>1</v>
      </c>
      <c r="J28" s="41">
        <f t="shared" si="102"/>
        <v>0.6498051458561428</v>
      </c>
      <c r="K28" s="41">
        <f t="shared" si="102"/>
        <v>0.79471408566577928</v>
      </c>
      <c r="L28" s="41" t="e">
        <f t="shared" si="102"/>
        <v>#DIV/0!</v>
      </c>
      <c r="M28" s="41" t="e">
        <f t="shared" si="102"/>
        <v>#DIV/0!</v>
      </c>
      <c r="N28" s="41">
        <f t="shared" si="102"/>
        <v>0.81431591293889216</v>
      </c>
      <c r="O28" s="41">
        <f t="shared" si="102"/>
        <v>0.77414893098913951</v>
      </c>
      <c r="P28" s="41">
        <f t="shared" si="102"/>
        <v>0.75332924221385378</v>
      </c>
      <c r="Q28" s="41">
        <f t="shared" si="102"/>
        <v>0.70139919203474965</v>
      </c>
      <c r="R28" s="41">
        <f t="shared" si="102"/>
        <v>0.66610792159539123</v>
      </c>
      <c r="S28" s="41">
        <f t="shared" si="102"/>
        <v>0.62409319243588968</v>
      </c>
      <c r="T28" s="41">
        <f t="shared" si="102"/>
        <v>0.62449649533802687</v>
      </c>
      <c r="U28" s="41">
        <f t="shared" si="102"/>
        <v>0.61718907039384641</v>
      </c>
      <c r="V28" s="41">
        <f>V27/V21</f>
        <v>0.58048014359434597</v>
      </c>
      <c r="W28" s="41">
        <f>W27/W21</f>
        <v>0.54944475016012495</v>
      </c>
      <c r="X28" s="41">
        <f>X27/X21</f>
        <v>0.49659397976497205</v>
      </c>
      <c r="Y28" s="41">
        <f>Y27/Y21</f>
        <v>0.47521974603131817</v>
      </c>
      <c r="Z28" s="41">
        <f>Z27/Z21</f>
        <v>0.46342663536292189</v>
      </c>
      <c r="AA28" s="41">
        <f>AA27/AA21</f>
        <v>0.46570011909379666</v>
      </c>
      <c r="AB28" s="42">
        <f t="shared" ref="AA28:AD28" si="103">AB27/AB21</f>
        <v>0.45364846330684816</v>
      </c>
      <c r="AC28" s="42">
        <f t="shared" si="103"/>
        <v>0.45355108626885765</v>
      </c>
      <c r="AD28" s="42">
        <f t="shared" si="103"/>
        <v>0.45354533335865482</v>
      </c>
      <c r="AE28" s="42">
        <f t="shared" ref="AE28" si="104">AE27/AE21</f>
        <v>0.4535463983474986</v>
      </c>
      <c r="AI28" s="41" t="e">
        <f t="shared" ref="AI28" si="105">AI27/AI21</f>
        <v>#DIV/0!</v>
      </c>
      <c r="AJ28" s="41" t="e">
        <f t="shared" ref="AJ28" si="106">AJ27/AJ21</f>
        <v>#DIV/0!</v>
      </c>
      <c r="AK28" s="41" t="e">
        <f t="shared" ref="AK28:AM28" si="107">AK27/AK21</f>
        <v>#DIV/0!</v>
      </c>
      <c r="AL28" s="41" t="e">
        <f t="shared" si="107"/>
        <v>#DIV/0!</v>
      </c>
      <c r="AM28" s="41" t="e">
        <f t="shared" si="107"/>
        <v>#DIV/0!</v>
      </c>
      <c r="AN28" s="41" t="e">
        <f t="shared" ref="AN28:AO28" si="108">AN27/AN21</f>
        <v>#DIV/0!</v>
      </c>
      <c r="AO28" s="41" t="e">
        <f t="shared" si="108"/>
        <v>#DIV/0!</v>
      </c>
      <c r="AP28" s="41" t="e">
        <f t="shared" ref="AP28:CD28" si="109">AP27/AP21</f>
        <v>#DIV/0!</v>
      </c>
      <c r="AQ28" s="41" t="e">
        <f t="shared" si="109"/>
        <v>#DIV/0!</v>
      </c>
      <c r="AR28" s="41" t="e">
        <f t="shared" si="109"/>
        <v>#DIV/0!</v>
      </c>
      <c r="AS28" s="41" t="e">
        <f t="shared" si="109"/>
        <v>#DIV/0!</v>
      </c>
      <c r="AT28" s="41" t="e">
        <f t="shared" si="109"/>
        <v>#DIV/0!</v>
      </c>
      <c r="AU28" s="41" t="e">
        <f t="shared" si="109"/>
        <v>#DIV/0!</v>
      </c>
      <c r="AV28" s="41" t="e">
        <f t="shared" si="109"/>
        <v>#DIV/0!</v>
      </c>
      <c r="AW28" s="41" t="e">
        <f t="shared" si="109"/>
        <v>#DIV/0!</v>
      </c>
      <c r="AX28" s="41" t="e">
        <f t="shared" si="109"/>
        <v>#DIV/0!</v>
      </c>
      <c r="AY28" s="41" t="e">
        <f t="shared" si="109"/>
        <v>#DIV/0!</v>
      </c>
      <c r="AZ28" s="41" t="e">
        <f t="shared" si="109"/>
        <v>#DIV/0!</v>
      </c>
      <c r="BA28" s="41" t="e">
        <f t="shared" si="109"/>
        <v>#DIV/0!</v>
      </c>
      <c r="BB28" s="41" t="e">
        <f t="shared" si="109"/>
        <v>#DIV/0!</v>
      </c>
      <c r="BC28" s="41" t="e">
        <f t="shared" si="109"/>
        <v>#DIV/0!</v>
      </c>
      <c r="BD28" s="41" t="e">
        <f t="shared" si="109"/>
        <v>#DIV/0!</v>
      </c>
      <c r="BE28" s="41" t="e">
        <f t="shared" si="109"/>
        <v>#DIV/0!</v>
      </c>
      <c r="BF28" s="41" t="e">
        <f t="shared" si="109"/>
        <v>#DIV/0!</v>
      </c>
      <c r="BG28" s="41" t="e">
        <f t="shared" si="109"/>
        <v>#DIV/0!</v>
      </c>
      <c r="BH28" s="41" t="e">
        <f t="shared" si="109"/>
        <v>#DIV/0!</v>
      </c>
      <c r="BI28" s="41" t="e">
        <f t="shared" si="109"/>
        <v>#DIV/0!</v>
      </c>
      <c r="BJ28" s="41" t="e">
        <f t="shared" si="109"/>
        <v>#DIV/0!</v>
      </c>
      <c r="BK28" s="41" t="e">
        <f t="shared" si="109"/>
        <v>#DIV/0!</v>
      </c>
      <c r="BL28" s="41" t="e">
        <f t="shared" si="109"/>
        <v>#DIV/0!</v>
      </c>
      <c r="BM28" s="41" t="e">
        <f t="shared" si="109"/>
        <v>#DIV/0!</v>
      </c>
      <c r="BN28" s="41">
        <f t="shared" si="109"/>
        <v>0.61529260488621751</v>
      </c>
      <c r="BO28" s="41">
        <f t="shared" si="109"/>
        <v>0.56067484662576683</v>
      </c>
      <c r="BP28" s="41">
        <f t="shared" si="109"/>
        <v>0.57582542080276211</v>
      </c>
      <c r="BQ28" s="41">
        <f t="shared" si="109"/>
        <v>0.58071441715909788</v>
      </c>
      <c r="BR28" s="41">
        <f t="shared" si="109"/>
        <v>0.5669632884056891</v>
      </c>
      <c r="BS28" s="41">
        <f t="shared" si="109"/>
        <v>0.55407982720191185</v>
      </c>
      <c r="BT28" s="41">
        <f t="shared" si="109"/>
        <v>0.53872961944624442</v>
      </c>
      <c r="BU28" s="41">
        <f t="shared" si="109"/>
        <v>0.54218171975096985</v>
      </c>
      <c r="BV28" s="41">
        <f t="shared" si="109"/>
        <v>0.50827660773295569</v>
      </c>
      <c r="BW28" s="41">
        <f t="shared" si="109"/>
        <v>0.52379756558733159</v>
      </c>
      <c r="BX28" s="41">
        <f t="shared" si="109"/>
        <v>0.4884958260331857</v>
      </c>
      <c r="BY28" s="41">
        <f t="shared" si="109"/>
        <v>0.49553422426338062</v>
      </c>
      <c r="BZ28" s="41">
        <f t="shared" si="109"/>
        <v>0.45719473260095667</v>
      </c>
      <c r="CA28" s="41">
        <f t="shared" si="109"/>
        <v>0.47486098127463555</v>
      </c>
      <c r="CB28" s="41">
        <f t="shared" si="109"/>
        <v>0.46821196546401378</v>
      </c>
      <c r="CC28" s="41">
        <f t="shared" si="109"/>
        <v>0.46800920598388956</v>
      </c>
      <c r="CD28" s="41">
        <f t="shared" si="109"/>
        <v>0.45861906743626407</v>
      </c>
      <c r="CE28" s="41">
        <f t="shared" ref="CE28:CF28" si="110">CE27/CE21</f>
        <v>0.43676543402913509</v>
      </c>
      <c r="CF28" s="41">
        <f t="shared" si="110"/>
        <v>0.44381564314839994</v>
      </c>
      <c r="CG28" s="41">
        <f t="shared" ref="CG28:CH28" si="111">CG27/CG21</f>
        <v>0.47265067350214773</v>
      </c>
      <c r="CH28" s="41">
        <f t="shared" si="111"/>
        <v>0.45842503930255829</v>
      </c>
      <c r="CI28" s="41">
        <f t="shared" ref="CI28:CJ28" si="112">CI27/CI21</f>
        <v>0.46121076233183855</v>
      </c>
      <c r="CJ28" s="41">
        <f t="shared" si="112"/>
        <v>0.452775043840147</v>
      </c>
      <c r="CK28" s="41">
        <f t="shared" ref="CK28:CL28" si="113">CK27/CK21</f>
        <v>0.45043941515010122</v>
      </c>
      <c r="CL28" s="41">
        <f t="shared" si="113"/>
        <v>0.45434782608695656</v>
      </c>
      <c r="CM28" s="42">
        <f t="shared" ref="CM28:DB28" si="114">AVERAGE(CI28:CL28)</f>
        <v>0.45469326185226078</v>
      </c>
      <c r="CN28" s="42">
        <f t="shared" si="114"/>
        <v>0.45306388673236636</v>
      </c>
      <c r="CO28" s="42">
        <f t="shared" si="114"/>
        <v>0.45313609745542127</v>
      </c>
      <c r="CP28" s="42">
        <f t="shared" si="114"/>
        <v>0.45381026803175123</v>
      </c>
      <c r="CQ28" s="42">
        <f t="shared" si="114"/>
        <v>0.45367587851794994</v>
      </c>
      <c r="CR28" s="42">
        <f t="shared" si="114"/>
        <v>0.45342153268437224</v>
      </c>
      <c r="CS28" s="42">
        <f t="shared" si="114"/>
        <v>0.4535109441723737</v>
      </c>
      <c r="CT28" s="42">
        <f t="shared" si="114"/>
        <v>0.4536046558516118</v>
      </c>
      <c r="CU28" s="42">
        <f t="shared" si="114"/>
        <v>0.45355325280657693</v>
      </c>
      <c r="CV28" s="42">
        <f t="shared" si="114"/>
        <v>0.45352259637873366</v>
      </c>
      <c r="CW28" s="42">
        <f t="shared" si="114"/>
        <v>0.45354786230232402</v>
      </c>
      <c r="CX28" s="42">
        <f t="shared" si="114"/>
        <v>0.45355709183481163</v>
      </c>
      <c r="CY28" s="42">
        <f t="shared" si="114"/>
        <v>0.45354520083061156</v>
      </c>
      <c r="CZ28" s="42">
        <f t="shared" si="114"/>
        <v>0.45354318783662023</v>
      </c>
      <c r="DA28" s="42">
        <f t="shared" si="114"/>
        <v>0.45354833570109188</v>
      </c>
      <c r="DB28" s="42">
        <f t="shared" si="114"/>
        <v>0.45354845405078381</v>
      </c>
      <c r="DE28" s="125"/>
      <c r="DF28" s="41">
        <v>0.45571256515616126</v>
      </c>
    </row>
    <row r="29" spans="1:110" s="39" customFormat="1" x14ac:dyDescent="0.2">
      <c r="A29" s="39" t="s">
        <v>447</v>
      </c>
      <c r="C29" s="39" t="e">
        <f t="shared" ref="C29:AE29" si="115">+IF(B27&lt;0,1-C27/B27,C27/B27-1)</f>
        <v>#DIV/0!</v>
      </c>
      <c r="D29" s="39" t="e">
        <f t="shared" si="115"/>
        <v>#DIV/0!</v>
      </c>
      <c r="E29" s="39" t="e">
        <f t="shared" si="115"/>
        <v>#DIV/0!</v>
      </c>
      <c r="F29" s="39" t="e">
        <f t="shared" si="115"/>
        <v>#DIV/0!</v>
      </c>
      <c r="G29" s="39">
        <f t="shared" si="115"/>
        <v>0.28641140482367566</v>
      </c>
      <c r="H29" s="39">
        <f t="shared" si="115"/>
        <v>0.99821284924244313</v>
      </c>
      <c r="I29" s="39">
        <f t="shared" si="115"/>
        <v>0.32588881116326629</v>
      </c>
      <c r="J29" s="39">
        <f t="shared" si="115"/>
        <v>-0.21387489884913247</v>
      </c>
      <c r="K29" s="39">
        <f t="shared" si="115"/>
        <v>-7.9258040586528522E-2</v>
      </c>
      <c r="L29" s="39">
        <f t="shared" si="115"/>
        <v>-1</v>
      </c>
      <c r="M29" s="39" t="e">
        <f t="shared" si="115"/>
        <v>#DIV/0!</v>
      </c>
      <c r="N29" s="39" t="e">
        <f t="shared" si="115"/>
        <v>#DIV/0!</v>
      </c>
      <c r="O29" s="39">
        <f t="shared" si="115"/>
        <v>-2.9847072155006815E-2</v>
      </c>
      <c r="P29" s="39">
        <f t="shared" si="115"/>
        <v>0.26396403197530516</v>
      </c>
      <c r="Q29" s="39">
        <f t="shared" si="115"/>
        <v>4.1593114157917999E-2</v>
      </c>
      <c r="R29" s="39">
        <f t="shared" si="115"/>
        <v>0.16908351836690483</v>
      </c>
      <c r="S29" s="39">
        <f t="shared" si="115"/>
        <v>0.25767234766685676</v>
      </c>
      <c r="T29" s="39">
        <f t="shared" si="115"/>
        <v>0.2299331592802436</v>
      </c>
      <c r="U29" s="39">
        <f t="shared" si="115"/>
        <v>-0.18867404361164375</v>
      </c>
      <c r="V29" s="39">
        <f t="shared" si="115"/>
        <v>-1.6946576487575027E-2</v>
      </c>
      <c r="W29" s="39">
        <f t="shared" si="115"/>
        <v>0.34522705185970493</v>
      </c>
      <c r="X29" s="39">
        <f t="shared" si="115"/>
        <v>0.29744772725406965</v>
      </c>
      <c r="Y29" s="39">
        <f t="shared" si="115"/>
        <v>0.33856598711767449</v>
      </c>
      <c r="Z29" s="39">
        <f t="shared" si="115"/>
        <v>0.24654108860579971</v>
      </c>
      <c r="AA29" s="39">
        <f t="shared" si="115"/>
        <v>0.42498634874408503</v>
      </c>
      <c r="AB29" s="40">
        <f t="shared" si="115"/>
        <v>0.14946328067024828</v>
      </c>
      <c r="AC29" s="40">
        <f t="shared" si="115"/>
        <v>0.17974670937053072</v>
      </c>
      <c r="AD29" s="40">
        <f t="shared" si="115"/>
        <v>0.17998503270250055</v>
      </c>
      <c r="AE29" s="40">
        <f t="shared" si="115"/>
        <v>0.18000277080755378</v>
      </c>
      <c r="AM29" s="39" t="e">
        <f>+IF(AI27&lt;0,1-AM27/AI27,AM27/AI27-1)</f>
        <v>#DIV/0!</v>
      </c>
      <c r="AN29" s="39" t="e">
        <f t="shared" ref="AN29" si="116">+IF(AJ27&lt;0,1-AN27/AJ27,AN27/AJ27-1)</f>
        <v>#DIV/0!</v>
      </c>
      <c r="AO29" s="39" t="e">
        <f t="shared" ref="AO29" si="117">+IF(AK27&lt;0,1-AO27/AK27,AO27/AK27-1)</f>
        <v>#DIV/0!</v>
      </c>
      <c r="AP29" s="39" t="e">
        <f t="shared" ref="AP29" si="118">+IF(AL27&lt;0,1-AP27/AL27,AP27/AL27-1)</f>
        <v>#DIV/0!</v>
      </c>
      <c r="AQ29" s="39" t="e">
        <f t="shared" ref="AQ29" si="119">+IF(AM27&lt;0,1-AQ27/AM27,AQ27/AM27-1)</f>
        <v>#DIV/0!</v>
      </c>
      <c r="AR29" s="39" t="e">
        <f t="shared" ref="AR29" si="120">+IF(AN27&lt;0,1-AR27/AN27,AR27/AN27-1)</f>
        <v>#DIV/0!</v>
      </c>
      <c r="AS29" s="39" t="e">
        <f t="shared" ref="AS29" si="121">+IF(AO27&lt;0,1-AS27/AO27,AS27/AO27-1)</f>
        <v>#DIV/0!</v>
      </c>
      <c r="AT29" s="39" t="e">
        <f t="shared" ref="AT29" si="122">+IF(AP27&lt;0,1-AT27/AP27,AT27/AP27-1)</f>
        <v>#DIV/0!</v>
      </c>
      <c r="AU29" s="39" t="e">
        <f t="shared" ref="AU29" si="123">+IF(AQ27&lt;0,1-AU27/AQ27,AU27/AQ27-1)</f>
        <v>#DIV/0!</v>
      </c>
      <c r="AV29" s="39" t="e">
        <f t="shared" ref="AV29" si="124">+IF(AR27&lt;0,1-AV27/AR27,AV27/AR27-1)</f>
        <v>#DIV/0!</v>
      </c>
      <c r="AW29" s="39" t="e">
        <f t="shared" ref="AW29" si="125">+IF(AS27&lt;0,1-AW27/AS27,AW27/AS27-1)</f>
        <v>#DIV/0!</v>
      </c>
      <c r="AX29" s="39" t="e">
        <f t="shared" ref="AX29" si="126">+IF(AT27&lt;0,1-AX27/AT27,AX27/AT27-1)</f>
        <v>#DIV/0!</v>
      </c>
      <c r="AY29" s="39" t="e">
        <f t="shared" ref="AY29" si="127">+IF(AU27&lt;0,1-AY27/AU27,AY27/AU27-1)</f>
        <v>#DIV/0!</v>
      </c>
      <c r="AZ29" s="39" t="e">
        <f t="shared" ref="AZ29" si="128">+IF(AV27&lt;0,1-AZ27/AV27,AZ27/AV27-1)</f>
        <v>#DIV/0!</v>
      </c>
      <c r="BA29" s="39" t="e">
        <f t="shared" ref="BA29" si="129">+IF(AW27&lt;0,1-BA27/AW27,BA27/AW27-1)</f>
        <v>#DIV/0!</v>
      </c>
      <c r="BB29" s="39" t="e">
        <f t="shared" ref="BB29" si="130">+IF(AX27&lt;0,1-BB27/AX27,BB27/AX27-1)</f>
        <v>#DIV/0!</v>
      </c>
      <c r="BC29" s="39" t="e">
        <f t="shared" ref="BC29" si="131">+IF(AY27&lt;0,1-BC27/AY27,BC27/AY27-1)</f>
        <v>#DIV/0!</v>
      </c>
      <c r="BD29" s="39" t="e">
        <f t="shared" ref="BD29" si="132">+IF(AZ27&lt;0,1-BD27/AZ27,BD27/AZ27-1)</f>
        <v>#DIV/0!</v>
      </c>
      <c r="BE29" s="39" t="e">
        <f t="shared" ref="BE29" si="133">+IF(BA27&lt;0,1-BE27/BA27,BE27/BA27-1)</f>
        <v>#DIV/0!</v>
      </c>
      <c r="BF29" s="39" t="e">
        <f t="shared" ref="BF29" si="134">+IF(BB27&lt;0,1-BF27/BB27,BF27/BB27-1)</f>
        <v>#DIV/0!</v>
      </c>
      <c r="BG29" s="39" t="e">
        <f t="shared" ref="BG29" si="135">+IF(BC27&lt;0,1-BG27/BC27,BG27/BC27-1)</f>
        <v>#DIV/0!</v>
      </c>
      <c r="BH29" s="39" t="e">
        <f t="shared" ref="BH29" si="136">+IF(BD27&lt;0,1-BH27/BD27,BH27/BD27-1)</f>
        <v>#DIV/0!</v>
      </c>
      <c r="BI29" s="39" t="e">
        <f t="shared" ref="BI29" si="137">+IF(BE27&lt;0,1-BI27/BE27,BI27/BE27-1)</f>
        <v>#DIV/0!</v>
      </c>
      <c r="BJ29" s="39" t="e">
        <f t="shared" ref="BJ29" si="138">+IF(BF27&lt;0,1-BJ27/BF27,BJ27/BF27-1)</f>
        <v>#DIV/0!</v>
      </c>
      <c r="BK29" s="39" t="e">
        <f t="shared" ref="BK29" si="139">+IF(BG27&lt;0,1-BK27/BG27,BK27/BG27-1)</f>
        <v>#DIV/0!</v>
      </c>
      <c r="BL29" s="39" t="e">
        <f t="shared" ref="BL29" si="140">+IF(BH27&lt;0,1-BL27/BH27,BL27/BH27-1)</f>
        <v>#DIV/0!</v>
      </c>
      <c r="BM29" s="39" t="e">
        <f t="shared" ref="BM29" si="141">+IF(BI27&lt;0,1-BM27/BI27,BM27/BI27-1)</f>
        <v>#DIV/0!</v>
      </c>
      <c r="BN29" s="39" t="e">
        <f t="shared" ref="BN29" si="142">+IF(BJ27&lt;0,1-BN27/BJ27,BN27/BJ27-1)</f>
        <v>#DIV/0!</v>
      </c>
      <c r="BO29" s="39" t="e">
        <f t="shared" ref="BO29" si="143">+IF(BK27&lt;0,1-BO27/BK27,BO27/BK27-1)</f>
        <v>#DIV/0!</v>
      </c>
      <c r="BP29" s="39" t="e">
        <f t="shared" ref="BP29" si="144">+IF(BL27&lt;0,1-BP27/BL27,BP27/BL27-1)</f>
        <v>#DIV/0!</v>
      </c>
      <c r="BQ29" s="39" t="e">
        <f t="shared" ref="BQ29" si="145">+IF(BM27&lt;0,1-BQ27/BM27,BQ27/BM27-1)</f>
        <v>#DIV/0!</v>
      </c>
      <c r="BR29" s="39">
        <f t="shared" ref="BR29" si="146">+IF(BN27&lt;0,1-BR27/BN27,BR27/BN27-1)</f>
        <v>0.48012247278382536</v>
      </c>
      <c r="BS29" s="39">
        <f t="shared" ref="BS29" si="147">+IF(BO27&lt;0,1-BS27/BO27,BS27/BO27-1)</f>
        <v>1.638472480577744</v>
      </c>
      <c r="BT29" s="39">
        <f t="shared" ref="BT29" si="148">+IF(BP27&lt;0,1-BT27/BP27,BT27/BP27-1)</f>
        <v>0.44104558017520024</v>
      </c>
      <c r="BU29" s="39">
        <f t="shared" ref="BU29" si="149">+IF(BQ27&lt;0,1-BU27/BQ27,BU27/BQ27-1)</f>
        <v>5.7885285729375457E-2</v>
      </c>
      <c r="BV29" s="39">
        <f t="shared" ref="BV29" si="150">+IF(BR27&lt;0,1-BV27/BR27,BV27/BR27-1)</f>
        <v>9.5944836644229259E-2</v>
      </c>
      <c r="BW29" s="39">
        <f t="shared" ref="BW29" si="151">+IF(BS27&lt;0,1-BW27/BS27,BW27/BS27-1)</f>
        <v>0.47053456641645597</v>
      </c>
      <c r="BX29" s="39">
        <f t="shared" ref="BX29" si="152">+IF(BT27&lt;0,1-BX27/BT27,BX27/BT27-1)</f>
        <v>0.23265717443599265</v>
      </c>
      <c r="BY29" s="39">
        <f t="shared" ref="BY29" si="153">+IF(BU27&lt;0,1-BY27/BU27,BY27/BU27-1)</f>
        <v>0.235380262938925</v>
      </c>
      <c r="BZ29" s="39">
        <f t="shared" ref="BZ29" si="154">+IF(BV27&lt;0,1-BZ27/BV27,BZ27/BV27-1)</f>
        <v>0.34290079995206257</v>
      </c>
      <c r="CA29" s="39">
        <f t="shared" ref="CA29" si="155">+IF(BW27&lt;0,1-CA27/BW27,CA27/BW27-1)</f>
        <v>0.38957669421021479</v>
      </c>
      <c r="CB29" s="39">
        <f t="shared" ref="CB29" si="156">+IF(BX27&lt;0,1-CB27/BX27,CB27/BX27-1)</f>
        <v>0.45586645217437161</v>
      </c>
      <c r="CC29" s="39">
        <f t="shared" ref="CC29" si="157">+IF(BY27&lt;0,1-CC27/BY27,CC27/BY27-1)</f>
        <v>0.42444163051970829</v>
      </c>
      <c r="CD29" s="39">
        <f t="shared" ref="CD29" si="158">+IF(BZ27&lt;0,1-CD27/BZ27,CD27/BZ27-1)</f>
        <v>0.13098478425773097</v>
      </c>
      <c r="CE29" s="39">
        <f t="shared" ref="CE29" si="159">+IF(CA27&lt;0,1-CE27/CA27,CE27/CA27-1)</f>
        <v>2.0437156251902566E-2</v>
      </c>
      <c r="CF29" s="39">
        <f t="shared" ref="CF29" si="160">+IF(CB27&lt;0,1-CF27/CB27,CF27/CB27-1)</f>
        <v>-2.4055792047821711E-2</v>
      </c>
      <c r="CG29" s="39">
        <f t="shared" ref="CG29" si="161">+IF(CC27&lt;0,1-CG27/CC27,CG27/CC27-1)</f>
        <v>0.4089765656030715</v>
      </c>
      <c r="CH29" s="39">
        <f t="shared" ref="CH29:CL29" si="162">+IF(CD27&lt;0,1-CH27/CD27,CH27/CD27-1)</f>
        <v>0.58187520959501304</v>
      </c>
      <c r="CI29" s="39">
        <f t="shared" si="162"/>
        <v>0.63643595863166236</v>
      </c>
      <c r="CJ29" s="39">
        <f t="shared" si="162"/>
        <v>0.68210924884458968</v>
      </c>
      <c r="CK29" s="39">
        <f t="shared" si="162"/>
        <v>0.24396595698982515</v>
      </c>
      <c r="CL29" s="39">
        <f t="shared" si="162"/>
        <v>0.26145404663923189</v>
      </c>
      <c r="CM29" s="40">
        <f t="shared" ref="CM29" si="163">+CM27/CI27-1</f>
        <v>0.16332508433450554</v>
      </c>
      <c r="CN29" s="40">
        <f t="shared" ref="CN29" si="164">+CN27/CJ27-1</f>
        <v>0.18075276810737639</v>
      </c>
      <c r="CO29" s="40">
        <f t="shared" ref="CO29" si="165">+CO27/CK27-1</f>
        <v>0.18706440203332853</v>
      </c>
      <c r="CP29" s="40">
        <f t="shared" ref="CP29" si="166">+CP27/CL27-1</f>
        <v>0.1786038922853328</v>
      </c>
      <c r="CQ29" s="40">
        <f t="shared" ref="CQ29" si="167">+CQ27/CM27-1</f>
        <v>0.17735973141630401</v>
      </c>
      <c r="CR29" s="40">
        <f t="shared" ref="CR29" si="168">+CR27/CN27-1</f>
        <v>0.18093148501949852</v>
      </c>
      <c r="CS29" s="40">
        <f t="shared" ref="CS29" si="169">+CS27/CO27-1</f>
        <v>0.18097612864763524</v>
      </c>
      <c r="CT29" s="40">
        <f t="shared" ref="CT29" si="170">+CT27/CP27-1</f>
        <v>0.17946536605789709</v>
      </c>
      <c r="CU29" s="40">
        <f t="shared" ref="CU29" si="171">+CU27/CQ27-1</f>
        <v>0.17968105348714403</v>
      </c>
      <c r="CV29" s="40">
        <f t="shared" ref="CV29" si="172">+CV27/CR27-1</f>
        <v>0.18026301168063297</v>
      </c>
      <c r="CW29" s="40">
        <f t="shared" ref="CW29" si="173">+CW27/CS27-1</f>
        <v>0.18009605808614149</v>
      </c>
      <c r="CX29" s="40">
        <f t="shared" ref="CX29" si="174">+CX27/CT27-1</f>
        <v>0.17987626771661169</v>
      </c>
      <c r="CY29" s="40">
        <f t="shared" ref="CY29" si="175">+CY27/CU27-1</f>
        <v>0.17997905134274683</v>
      </c>
      <c r="CZ29" s="40">
        <f t="shared" ref="CZ29" si="176">+CZ27/CV27-1</f>
        <v>0.18005357598607041</v>
      </c>
      <c r="DA29" s="40">
        <f t="shared" ref="DA29" si="177">+DA27/CW27-1</f>
        <v>0.18000123164629911</v>
      </c>
      <c r="DB29" s="40">
        <f t="shared" ref="DB29" si="178">+DB27/CX27-1</f>
        <v>0.17997752744839324</v>
      </c>
      <c r="DE29" s="122"/>
      <c r="DF29" s="39">
        <v>0.19289967018243903</v>
      </c>
    </row>
    <row r="30" spans="1:110" s="39" customFormat="1" x14ac:dyDescent="0.2">
      <c r="A30" s="39" t="s">
        <v>448</v>
      </c>
      <c r="AB30" s="40"/>
      <c r="AC30" s="40"/>
      <c r="AD30" s="40"/>
      <c r="AE30" s="40"/>
      <c r="AJ30" s="39" t="e">
        <f>+IF(AI27&lt;0,1-AJ27/AI27,AJ27/AI27-1)</f>
        <v>#DIV/0!</v>
      </c>
      <c r="AK30" s="39" t="e">
        <f t="shared" ref="AK30" si="179">+IF(AJ27&lt;0,1-AK27/AJ27,AK27/AJ27-1)</f>
        <v>#DIV/0!</v>
      </c>
      <c r="AL30" s="39" t="e">
        <f t="shared" ref="AL30" si="180">+IF(AK27&lt;0,1-AL27/AK27,AL27/AK27-1)</f>
        <v>#DIV/0!</v>
      </c>
      <c r="AM30" s="39" t="e">
        <f t="shared" ref="AM30" si="181">+IF(AL27&lt;0,1-AM27/AL27,AM27/AL27-1)</f>
        <v>#DIV/0!</v>
      </c>
      <c r="AN30" s="39" t="e">
        <f t="shared" ref="AN30" si="182">+IF(AM27&lt;0,1-AN27/AM27,AN27/AM27-1)</f>
        <v>#DIV/0!</v>
      </c>
      <c r="AO30" s="39" t="e">
        <f t="shared" ref="AO30" si="183">+IF(AN27&lt;0,1-AO27/AN27,AO27/AN27-1)</f>
        <v>#DIV/0!</v>
      </c>
      <c r="AP30" s="39" t="e">
        <f t="shared" ref="AP30" si="184">+IF(AO27&lt;0,1-AP27/AO27,AP27/AO27-1)</f>
        <v>#DIV/0!</v>
      </c>
      <c r="AQ30" s="39" t="e">
        <f t="shared" ref="AQ30" si="185">+IF(AP27&lt;0,1-AQ27/AP27,AQ27/AP27-1)</f>
        <v>#DIV/0!</v>
      </c>
      <c r="AR30" s="39" t="e">
        <f t="shared" ref="AR30" si="186">+IF(AQ27&lt;0,1-AR27/AQ27,AR27/AQ27-1)</f>
        <v>#DIV/0!</v>
      </c>
      <c r="AS30" s="39" t="e">
        <f t="shared" ref="AS30" si="187">+IF(AR27&lt;0,1-AS27/AR27,AS27/AR27-1)</f>
        <v>#DIV/0!</v>
      </c>
      <c r="AT30" s="39" t="e">
        <f t="shared" ref="AT30" si="188">+IF(AS27&lt;0,1-AT27/AS27,AT27/AS27-1)</f>
        <v>#DIV/0!</v>
      </c>
      <c r="AU30" s="39" t="e">
        <f t="shared" ref="AU30" si="189">+IF(AT27&lt;0,1-AU27/AT27,AU27/AT27-1)</f>
        <v>#DIV/0!</v>
      </c>
      <c r="AV30" s="39" t="e">
        <f t="shared" ref="AV30" si="190">+IF(AU27&lt;0,1-AV27/AU27,AV27/AU27-1)</f>
        <v>#DIV/0!</v>
      </c>
      <c r="AW30" s="39" t="e">
        <f t="shared" ref="AW30" si="191">+IF(AV27&lt;0,1-AW27/AV27,AW27/AV27-1)</f>
        <v>#DIV/0!</v>
      </c>
      <c r="AX30" s="39" t="e">
        <f t="shared" ref="AX30" si="192">+IF(AW27&lt;0,1-AX27/AW27,AX27/AW27-1)</f>
        <v>#DIV/0!</v>
      </c>
      <c r="AY30" s="39" t="e">
        <f t="shared" ref="AY30" si="193">+IF(AX27&lt;0,1-AY27/AX27,AY27/AX27-1)</f>
        <v>#DIV/0!</v>
      </c>
      <c r="AZ30" s="39" t="e">
        <f t="shared" ref="AZ30" si="194">+IF(AY27&lt;0,1-AZ27/AY27,AZ27/AY27-1)</f>
        <v>#DIV/0!</v>
      </c>
      <c r="BA30" s="39" t="e">
        <f t="shared" ref="BA30" si="195">+IF(AZ27&lt;0,1-BA27/AZ27,BA27/AZ27-1)</f>
        <v>#DIV/0!</v>
      </c>
      <c r="BB30" s="39" t="e">
        <f t="shared" ref="BB30" si="196">+IF(BA27&lt;0,1-BB27/BA27,BB27/BA27-1)</f>
        <v>#DIV/0!</v>
      </c>
      <c r="BC30" s="39" t="e">
        <f t="shared" ref="BC30" si="197">+IF(BB27&lt;0,1-BC27/BB27,BC27/BB27-1)</f>
        <v>#DIV/0!</v>
      </c>
      <c r="BD30" s="39" t="e">
        <f t="shared" ref="BD30" si="198">+IF(BC27&lt;0,1-BD27/BC27,BD27/BC27-1)</f>
        <v>#DIV/0!</v>
      </c>
      <c r="BE30" s="39" t="e">
        <f t="shared" ref="BE30" si="199">+IF(BD27&lt;0,1-BE27/BD27,BE27/BD27-1)</f>
        <v>#DIV/0!</v>
      </c>
      <c r="BF30" s="39" t="e">
        <f t="shared" ref="BF30" si="200">+IF(BE27&lt;0,1-BF27/BE27,BF27/BE27-1)</f>
        <v>#DIV/0!</v>
      </c>
      <c r="BG30" s="39" t="e">
        <f t="shared" ref="BG30" si="201">+IF(BF27&lt;0,1-BG27/BF27,BG27/BF27-1)</f>
        <v>#DIV/0!</v>
      </c>
      <c r="BH30" s="39" t="e">
        <f t="shared" ref="BH30" si="202">+IF(BG27&lt;0,1-BH27/BG27,BH27/BG27-1)</f>
        <v>#DIV/0!</v>
      </c>
      <c r="BI30" s="39" t="e">
        <f t="shared" ref="BI30" si="203">+IF(BH27&lt;0,1-BI27/BH27,BI27/BH27-1)</f>
        <v>#DIV/0!</v>
      </c>
      <c r="BJ30" s="39" t="e">
        <f t="shared" ref="BJ30" si="204">+IF(BI27&lt;0,1-BJ27/BI27,BJ27/BI27-1)</f>
        <v>#DIV/0!</v>
      </c>
      <c r="BK30" s="39" t="e">
        <f t="shared" ref="BK30" si="205">+IF(BJ27&lt;0,1-BK27/BJ27,BK27/BJ27-1)</f>
        <v>#DIV/0!</v>
      </c>
      <c r="BL30" s="39" t="e">
        <f t="shared" ref="BL30" si="206">+IF(BK27&lt;0,1-BL27/BK27,BL27/BK27-1)</f>
        <v>#DIV/0!</v>
      </c>
      <c r="BM30" s="39" t="e">
        <f t="shared" ref="BM30" si="207">+IF(BL27&lt;0,1-BM27/BL27,BM27/BL27-1)</f>
        <v>#DIV/0!</v>
      </c>
      <c r="BN30" s="39" t="e">
        <f t="shared" ref="BN30" si="208">+IF(BM27&lt;0,1-BN27/BM27,BN27/BM27-1)</f>
        <v>#DIV/0!</v>
      </c>
      <c r="BO30" s="39">
        <f t="shared" ref="BO30" si="209">+IF(BN27&lt;0,1-BO27/BN27,BO27/BN27-1)</f>
        <v>-0.55584175738724739</v>
      </c>
      <c r="BP30" s="39">
        <f t="shared" ref="BP30" si="210">+IF(BO27&lt;0,1-BP27/BO27,BP27/BO27-1)</f>
        <v>1.3358135463398626</v>
      </c>
      <c r="BQ30" s="39">
        <f t="shared" ref="BQ30" si="211">+IF(BP27&lt;0,1-BQ27/BP27,BQ27/BP27-1)</f>
        <v>0.33044455895441982</v>
      </c>
      <c r="BR30" s="39">
        <f t="shared" ref="BR30" si="212">+IF(BQ27&lt;0,1-BR27/BQ27,BR27/BQ27-1)</f>
        <v>7.232139713390362E-2</v>
      </c>
      <c r="BS30" s="39">
        <f t="shared" ref="BS30" si="213">+IF(BR27&lt;0,1-BS27/BR27,BS27/BR27-1)</f>
        <v>-0.20824166803480537</v>
      </c>
      <c r="BT30" s="39">
        <f t="shared" ref="BT30" si="214">+IF(BS27&lt;0,1-BT27/BS27,BT27/BS27-1)</f>
        <v>0.27574337494297696</v>
      </c>
      <c r="BU30" s="39">
        <f t="shared" ref="BU30" si="215">+IF(BT27&lt;0,1-BU27/BT27,BU27/BT27-1)</f>
        <v>-2.3307977374683264E-2</v>
      </c>
      <c r="BV30" s="39">
        <f t="shared" ref="BV30" si="216">+IF(BU27&lt;0,1-BV27/BU27,BV27/BU27-1)</f>
        <v>0.11090031619237828</v>
      </c>
      <c r="BW30" s="39">
        <f t="shared" ref="BW30" si="217">+IF(BV27&lt;0,1-BW27/BV27,BW27/BV27-1)</f>
        <v>6.2378284447374144E-2</v>
      </c>
      <c r="BX30" s="39">
        <f t="shared" ref="BX30" si="218">+IF(BW27&lt;0,1-BX27/BW27,BX27/BW27-1)</f>
        <v>6.9375898925519763E-2</v>
      </c>
      <c r="BY30" s="39">
        <f t="shared" ref="BY30" si="219">+IF(BX27&lt;0,1-BY27/BX27,BY27/BX27-1)</f>
        <v>-2.115034679184602E-2</v>
      </c>
      <c r="BZ30" s="39">
        <f t="shared" ref="BZ30" si="220">+IF(BY27&lt;0,1-BZ27/BY27,BZ27/BY27-1)</f>
        <v>0.2075868200555</v>
      </c>
      <c r="CA30" s="39">
        <f t="shared" ref="CA30" si="221">+IF(BZ27&lt;0,1-CA27/BZ27,CA27/BZ27-1)</f>
        <v>9.9303913256883369E-2</v>
      </c>
      <c r="CB30" s="39">
        <f t="shared" ref="CB30" si="222">+IF(CA27&lt;0,1-CB27/CA27,CB27/CA27-1)</f>
        <v>0.12039047754348209</v>
      </c>
      <c r="CC30" s="39">
        <f t="shared" ref="CC30" si="223">+IF(CB27&lt;0,1-CC27/CB27,CC27/CB27-1)</f>
        <v>-4.2278779096096453E-2</v>
      </c>
      <c r="CD30" s="39">
        <f t="shared" ref="CD30" si="224">+IF(CC27&lt;0,1-CD27/CC27,CD27/CC27-1)</f>
        <v>-4.1194605738495538E-2</v>
      </c>
      <c r="CE30" s="39">
        <f t="shared" ref="CE30" si="225">+IF(CD27&lt;0,1-CE27/CD27,CE27/CD27-1)</f>
        <v>-8.1470814510878897E-3</v>
      </c>
      <c r="CF30" s="39">
        <f t="shared" ref="CF30" si="226">+IF(CE27&lt;0,1-CF27/CE27,CF27/CE27-1)</f>
        <v>7.1539379474940379E-2</v>
      </c>
      <c r="CG30" s="39">
        <f t="shared" ref="CG30" si="227">+IF(CF27&lt;0,1-CG27/CF27,CG27/CF27-1)</f>
        <v>0.38266792880078659</v>
      </c>
      <c r="CH30" s="39">
        <f t="shared" ref="CH30:CL30" si="228">+IF(CG27&lt;0,1-CH27/CG27,CH27/CG27-1)</f>
        <v>7.6462533895347518E-2</v>
      </c>
      <c r="CI30" s="39">
        <f t="shared" si="228"/>
        <v>2.6063100137174056E-2</v>
      </c>
      <c r="CJ30" s="39">
        <f t="shared" si="228"/>
        <v>0.10144628099173536</v>
      </c>
      <c r="CK30" s="39">
        <f t="shared" si="228"/>
        <v>2.2520882297770495E-2</v>
      </c>
      <c r="CL30" s="39">
        <f t="shared" si="228"/>
        <v>9.1595804376915391E-2</v>
      </c>
      <c r="CM30" s="40">
        <f t="shared" ref="CM30" si="229">+CM27/CL27-1</f>
        <v>-5.3754716091550692E-2</v>
      </c>
      <c r="CN30" s="40">
        <f t="shared" ref="CN30" si="230">+CN27/CM27-1</f>
        <v>0.11794696316254027</v>
      </c>
      <c r="CO30" s="40">
        <f t="shared" ref="CO30" si="231">+CO27/CN27-1</f>
        <v>2.798669839833301E-2</v>
      </c>
      <c r="CP30" s="40">
        <f t="shared" ref="CP30" si="232">+CP27/CO27-1</f>
        <v>8.3815723592770119E-2</v>
      </c>
      <c r="CQ30" s="40">
        <f t="shared" ref="CQ30" si="233">+CQ27/CP27-1</f>
        <v>-5.4753593969392278E-2</v>
      </c>
      <c r="CR30" s="40">
        <f t="shared" ref="CR30" si="234">+CR27/CQ27-1</f>
        <v>0.12133847638259287</v>
      </c>
      <c r="CS30" s="40">
        <f t="shared" ref="CS30" si="235">+CS27/CR27-1</f>
        <v>2.8025560141351269E-2</v>
      </c>
      <c r="CT30" s="40">
        <f t="shared" ref="CT30" si="236">+CT27/CS27-1</f>
        <v>8.2429253358821564E-2</v>
      </c>
      <c r="CU30" s="40">
        <f t="shared" ref="CU30" si="237">+CU27/CT27-1</f>
        <v>-5.4580737882907071E-2</v>
      </c>
      <c r="CV30" s="40">
        <f t="shared" ref="CV30" si="238">+CV27/CU27-1</f>
        <v>0.12189165311801342</v>
      </c>
      <c r="CW30" s="40">
        <f t="shared" ref="CW30" si="239">+CW27/CV27-1</f>
        <v>2.7880141229806643E-2</v>
      </c>
      <c r="CX30" s="40">
        <f t="shared" ref="CX30" si="240">+CX27/CW27-1</f>
        <v>8.2227653223005959E-2</v>
      </c>
      <c r="CY30" s="40">
        <f t="shared" ref="CY30" si="241">+CY27/CX27-1</f>
        <v>-5.4498378721495544E-2</v>
      </c>
      <c r="CZ30" s="40">
        <f t="shared" ref="CZ30" si="242">+CZ27/CY27-1</f>
        <v>0.12196250910075412</v>
      </c>
      <c r="DA30" s="40">
        <f t="shared" ref="DA30" si="243">+DA27/CZ27-1</f>
        <v>2.7834546937774762E-2</v>
      </c>
      <c r="DB30" s="40">
        <f t="shared" ref="DB30" si="244">+DB27/DA27-1</f>
        <v>8.2205913128349017E-2</v>
      </c>
      <c r="DE30" s="122"/>
      <c r="DF30" s="39">
        <v>3.2272462467408003E-2</v>
      </c>
    </row>
    <row r="31" spans="1:110" s="23" customFormat="1" outlineLevel="1" x14ac:dyDescent="0.2">
      <c r="A31" s="23" t="s">
        <v>8</v>
      </c>
      <c r="B31" s="23">
        <f>'Annual Raw'!C14</f>
        <v>0</v>
      </c>
      <c r="C31" s="23">
        <f>'Annual Raw'!D14</f>
        <v>0</v>
      </c>
      <c r="D31" s="23">
        <f>'Annual Raw'!E14</f>
        <v>0</v>
      </c>
      <c r="E31" s="23">
        <f>'Annual Raw'!F14</f>
        <v>0</v>
      </c>
      <c r="F31" s="23">
        <f>'Annual Raw'!G14</f>
        <v>0</v>
      </c>
      <c r="G31" s="23">
        <f>'Annual Raw'!H14</f>
        <v>0</v>
      </c>
      <c r="H31" s="23">
        <f>'Annual Raw'!I14</f>
        <v>0</v>
      </c>
      <c r="I31" s="23">
        <f>'Annual Raw'!J14</f>
        <v>0</v>
      </c>
      <c r="J31" s="23">
        <f>'Annual Raw'!K14</f>
        <v>0</v>
      </c>
      <c r="K31" s="23">
        <f>'Annual Raw'!L14</f>
        <v>0</v>
      </c>
      <c r="L31" s="23">
        <f>'Annual Raw'!M14</f>
        <v>0</v>
      </c>
      <c r="M31" s="23">
        <f>'Annual Raw'!N14</f>
        <v>0</v>
      </c>
      <c r="N31" s="23">
        <f>'Annual Raw'!O14</f>
        <v>82.421999999999997</v>
      </c>
      <c r="O31" s="23">
        <f>'Annual Raw'!P14</f>
        <v>82.680999999999997</v>
      </c>
      <c r="P31" s="23">
        <f>'Annual Raw'!Q14</f>
        <v>105.944</v>
      </c>
      <c r="Q31" s="23">
        <f>'Annual Raw'!R14</f>
        <v>122.84699999999999</v>
      </c>
      <c r="R31" s="23">
        <f>'Annual Raw'!S14</f>
        <v>147.94399999999999</v>
      </c>
      <c r="S31" s="23">
        <f>'Annual Raw'!T14</f>
        <v>198.63</v>
      </c>
      <c r="T31" s="23">
        <f>'Annual Raw'!U14</f>
        <v>216.83099999999999</v>
      </c>
      <c r="U31" s="23">
        <f>'Annual Raw'!V14</f>
        <v>148.84</v>
      </c>
      <c r="V31" s="23">
        <f>'Annual Raw'!W14</f>
        <v>131.85</v>
      </c>
      <c r="W31" s="23">
        <f>'Annual Raw'!X14</f>
        <v>175.81</v>
      </c>
      <c r="X31" s="23">
        <f>'Annual Raw'!Y14</f>
        <v>215.19</v>
      </c>
      <c r="Y31" s="23">
        <f>'Annual Raw'!Z14</f>
        <v>273.39999999999998</v>
      </c>
      <c r="Z31" s="23">
        <f>'Annual Raw'!AA14</f>
        <v>424.92</v>
      </c>
      <c r="AA31" s="23">
        <f>'Annual Raw'!AB14</f>
        <v>566.99</v>
      </c>
      <c r="AB31" s="76">
        <f t="shared" ref="AB31:AB36" si="245">+SUM(CM31:CP31)</f>
        <v>628.38959999999997</v>
      </c>
      <c r="AC31" s="76">
        <f t="shared" ref="AC31:AC36" si="246">+SUM(CQ31:CT31)</f>
        <v>672.37687200000005</v>
      </c>
      <c r="AD31" s="76">
        <f t="shared" ref="AD31:AD36" si="247">+SUM(CU31:CX31)</f>
        <v>719.44325304000017</v>
      </c>
      <c r="AE31" s="76">
        <f t="shared" ref="AE31:AE36" si="248">+SUM(CY31:DB31)</f>
        <v>769.8042807528002</v>
      </c>
      <c r="AI31" s="23">
        <f>'QTR Raw'!C16</f>
        <v>0</v>
      </c>
      <c r="AJ31" s="23">
        <f>'QTR Raw'!D16</f>
        <v>0</v>
      </c>
      <c r="AK31" s="23">
        <f>'QTR Raw'!E16</f>
        <v>0</v>
      </c>
      <c r="AL31" s="23">
        <f>'QTR Raw'!F16</f>
        <v>0</v>
      </c>
      <c r="AM31" s="23">
        <f>'QTR Raw'!G16</f>
        <v>0</v>
      </c>
      <c r="AN31" s="23">
        <f>'QTR Raw'!H16</f>
        <v>0</v>
      </c>
      <c r="AO31" s="23">
        <f>'QTR Raw'!I16</f>
        <v>0</v>
      </c>
      <c r="AP31" s="23">
        <f>'QTR Raw'!J16</f>
        <v>0</v>
      </c>
      <c r="AQ31" s="23">
        <f>'QTR Raw'!K16</f>
        <v>0</v>
      </c>
      <c r="AR31" s="23">
        <f>'QTR Raw'!L16</f>
        <v>0</v>
      </c>
      <c r="AS31" s="23">
        <f>'QTR Raw'!M16</f>
        <v>0</v>
      </c>
      <c r="AT31" s="23">
        <f>'QTR Raw'!N16</f>
        <v>0</v>
      </c>
      <c r="AU31" s="23">
        <f>'QTR Raw'!O16</f>
        <v>0</v>
      </c>
      <c r="AV31" s="23">
        <f>'QTR Raw'!P16</f>
        <v>0</v>
      </c>
      <c r="AW31" s="23">
        <f>'QTR Raw'!Q16</f>
        <v>0</v>
      </c>
      <c r="AX31" s="23">
        <f>'QTR Raw'!R16</f>
        <v>0</v>
      </c>
      <c r="AY31" s="23">
        <f>'QTR Raw'!S16</f>
        <v>0</v>
      </c>
      <c r="AZ31" s="23">
        <f>'QTR Raw'!T16</f>
        <v>0</v>
      </c>
      <c r="BA31" s="23">
        <f>'QTR Raw'!U16</f>
        <v>0</v>
      </c>
      <c r="BB31" s="23">
        <f>'QTR Raw'!V16</f>
        <v>0</v>
      </c>
      <c r="BC31" s="23">
        <f>'QTR Raw'!W16</f>
        <v>0</v>
      </c>
      <c r="BD31" s="23">
        <f>'QTR Raw'!X16</f>
        <v>0</v>
      </c>
      <c r="BE31" s="23">
        <f>'QTR Raw'!Y16</f>
        <v>0</v>
      </c>
      <c r="BF31" s="23">
        <f>'QTR Raw'!Z16</f>
        <v>0</v>
      </c>
      <c r="BG31" s="23">
        <f>'QTR Raw'!AA16</f>
        <v>0</v>
      </c>
      <c r="BH31" s="23">
        <f>'QTR Raw'!AB16</f>
        <v>0</v>
      </c>
      <c r="BI31" s="23">
        <f>'QTR Raw'!AC16</f>
        <v>0</v>
      </c>
      <c r="BJ31" s="23">
        <f>'QTR Raw'!AD16</f>
        <v>0</v>
      </c>
      <c r="BK31" s="23">
        <f>'QTR Raw'!AE16</f>
        <v>0</v>
      </c>
      <c r="BL31" s="23">
        <f>'QTR Raw'!AF16</f>
        <v>0</v>
      </c>
      <c r="BM31" s="23">
        <f>'QTR Raw'!AG16</f>
        <v>0</v>
      </c>
      <c r="BN31" s="23">
        <f>'QTR Raw'!AH16</f>
        <v>36.71</v>
      </c>
      <c r="BO31" s="23">
        <f>'QTR Raw'!AI16</f>
        <v>16.07</v>
      </c>
      <c r="BP31" s="23">
        <f>'QTR Raw'!AJ16</f>
        <v>36.43</v>
      </c>
      <c r="BQ31" s="23">
        <f>'QTR Raw'!AK16</f>
        <v>58.09</v>
      </c>
      <c r="BR31" s="23">
        <f>'QTR Raw'!AL16</f>
        <v>34.03</v>
      </c>
      <c r="BS31" s="23">
        <f>'QTR Raw'!AM16</f>
        <v>40.35</v>
      </c>
      <c r="BT31" s="23">
        <f>'QTR Raw'!AN16</f>
        <v>47.66</v>
      </c>
      <c r="BU31" s="23">
        <f>'QTR Raw'!AO16</f>
        <v>53.5</v>
      </c>
      <c r="BV31" s="23">
        <f>'QTR Raw'!AP16</f>
        <v>46.25</v>
      </c>
      <c r="BW31" s="23">
        <f>'QTR Raw'!AQ16</f>
        <v>56.84</v>
      </c>
      <c r="BX31" s="23">
        <f>'QTR Raw'!AR16</f>
        <v>57.78</v>
      </c>
      <c r="BY31" s="23">
        <f>'QTR Raw'!AS16</f>
        <v>58.24</v>
      </c>
      <c r="BZ31" s="23">
        <f>'QTR Raw'!AT16</f>
        <v>60.64</v>
      </c>
      <c r="CA31" s="23">
        <f>'QTR Raw'!AU16</f>
        <v>66.97</v>
      </c>
      <c r="CB31" s="23">
        <f>'QTR Raw'!AV16</f>
        <v>72.23</v>
      </c>
      <c r="CC31" s="23">
        <f>'QTR Raw'!AW16</f>
        <v>76.31</v>
      </c>
      <c r="CD31" s="23">
        <f>'QTR Raw'!AX16</f>
        <v>72.95</v>
      </c>
      <c r="CE31" s="23">
        <f>'QTR Raw'!AY16</f>
        <v>73.83</v>
      </c>
      <c r="CF31" s="23">
        <f>'QTR Raw'!AZ16</f>
        <v>83.22</v>
      </c>
      <c r="CG31" s="23">
        <f>'QTR Raw'!BA16</f>
        <v>133.38</v>
      </c>
      <c r="CH31" s="23">
        <f>'QTR Raw'!BB16</f>
        <v>145.83000000000001</v>
      </c>
      <c r="CI31" s="23">
        <f>'QTR Raw'!BC16</f>
        <v>144.38</v>
      </c>
      <c r="CJ31" s="23">
        <f>'QTR Raw'!BD16</f>
        <v>144.24</v>
      </c>
      <c r="CK31" s="23">
        <f>'QTR Raw'!BE16</f>
        <v>149.44999999999999</v>
      </c>
      <c r="CL31" s="23">
        <f>'QTR Raw'!BF16</f>
        <v>149.21</v>
      </c>
      <c r="CM31" s="24">
        <f t="shared" ref="CM31:DB31" si="249">CI31*107%</f>
        <v>154.48660000000001</v>
      </c>
      <c r="CN31" s="24">
        <f t="shared" si="249"/>
        <v>154.33680000000001</v>
      </c>
      <c r="CO31" s="24">
        <f t="shared" si="249"/>
        <v>159.91149999999999</v>
      </c>
      <c r="CP31" s="24">
        <f t="shared" si="249"/>
        <v>159.65470000000002</v>
      </c>
      <c r="CQ31" s="24">
        <f t="shared" si="249"/>
        <v>165.30066200000002</v>
      </c>
      <c r="CR31" s="24">
        <f t="shared" si="249"/>
        <v>165.14037600000003</v>
      </c>
      <c r="CS31" s="24">
        <f t="shared" si="249"/>
        <v>171.10530499999999</v>
      </c>
      <c r="CT31" s="24">
        <f t="shared" si="249"/>
        <v>170.83052900000004</v>
      </c>
      <c r="CU31" s="24">
        <f t="shared" si="249"/>
        <v>176.87170834000003</v>
      </c>
      <c r="CV31" s="24">
        <f t="shared" si="249"/>
        <v>176.70020232000005</v>
      </c>
      <c r="CW31" s="24">
        <f t="shared" si="249"/>
        <v>183.08267634999999</v>
      </c>
      <c r="CX31" s="24">
        <f t="shared" si="249"/>
        <v>182.78866603000006</v>
      </c>
      <c r="CY31" s="24">
        <f t="shared" si="249"/>
        <v>189.25272792380005</v>
      </c>
      <c r="CZ31" s="24">
        <f t="shared" si="249"/>
        <v>189.06921648240007</v>
      </c>
      <c r="DA31" s="24">
        <f t="shared" si="249"/>
        <v>195.89846369450001</v>
      </c>
      <c r="DB31" s="24">
        <f t="shared" si="249"/>
        <v>195.58387265210007</v>
      </c>
      <c r="DE31" s="123"/>
      <c r="DF31" s="23">
        <v>156.03810000000001</v>
      </c>
    </row>
    <row r="32" spans="1:110" s="23" customFormat="1" outlineLevel="1" x14ac:dyDescent="0.2">
      <c r="A32" s="23" t="s">
        <v>10</v>
      </c>
      <c r="B32" s="23">
        <f>'Annual Raw'!C17</f>
        <v>0</v>
      </c>
      <c r="C32" s="23">
        <f>'Annual Raw'!D17</f>
        <v>0</v>
      </c>
      <c r="D32" s="23">
        <f>'Annual Raw'!E17</f>
        <v>0</v>
      </c>
      <c r="E32" s="23">
        <f>'Annual Raw'!F17</f>
        <v>0</v>
      </c>
      <c r="F32" s="23">
        <f>'Annual Raw'!G17</f>
        <v>36.811881999999997</v>
      </c>
      <c r="G32" s="23">
        <f>'Annual Raw'!H17</f>
        <v>41.284031599999999</v>
      </c>
      <c r="H32" s="23">
        <f>'Annual Raw'!I17</f>
        <v>4.1500000000000002E-2</v>
      </c>
      <c r="I32" s="23">
        <f>'Annual Raw'!J17</f>
        <v>0.1137</v>
      </c>
      <c r="J32" s="23">
        <f>'Annual Raw'!K17</f>
        <v>105.6531415</v>
      </c>
      <c r="K32" s="23">
        <f>'Annual Raw'!L17</f>
        <v>88.774557099999996</v>
      </c>
      <c r="L32" s="23">
        <f>'Annual Raw'!M17</f>
        <v>0</v>
      </c>
      <c r="M32" s="23">
        <f>'Annual Raw'!N17</f>
        <v>0</v>
      </c>
      <c r="N32" s="23">
        <f>'Annual Raw'!O17</f>
        <v>38.902999999999999</v>
      </c>
      <c r="O32" s="23">
        <f>'Annual Raw'!P17</f>
        <v>37.448999999999998</v>
      </c>
      <c r="P32" s="23">
        <f>'Annual Raw'!Q17</f>
        <v>40.814999999999998</v>
      </c>
      <c r="Q32" s="23">
        <f>'Annual Raw'!R17</f>
        <v>45.113</v>
      </c>
      <c r="R32" s="23">
        <f>'Annual Raw'!S17</f>
        <v>56.777999999999999</v>
      </c>
      <c r="S32" s="23">
        <f>'Annual Raw'!T17</f>
        <v>70.61</v>
      </c>
      <c r="T32" s="23">
        <f>'Annual Raw'!U17</f>
        <v>56.957000000000001</v>
      </c>
      <c r="U32" s="23">
        <f>'Annual Raw'!V17</f>
        <v>41.76</v>
      </c>
      <c r="V32" s="23">
        <f>'Annual Raw'!W17</f>
        <v>38.950000000000003</v>
      </c>
      <c r="W32" s="23">
        <f>'Annual Raw'!X17</f>
        <v>46.73</v>
      </c>
      <c r="X32" s="23">
        <f>'Annual Raw'!Y17</f>
        <v>66.849999999999994</v>
      </c>
      <c r="Y32" s="23">
        <f>'Annual Raw'!Z17</f>
        <v>83.61</v>
      </c>
      <c r="Z32" s="23">
        <f>'Annual Raw'!AA17</f>
        <v>140.86000000000001</v>
      </c>
      <c r="AA32" s="23">
        <f>'Annual Raw'!AB17</f>
        <v>181.44</v>
      </c>
      <c r="AB32" s="76">
        <f t="shared" si="245"/>
        <v>0</v>
      </c>
      <c r="AC32" s="76">
        <f t="shared" si="246"/>
        <v>0</v>
      </c>
      <c r="AD32" s="76">
        <f t="shared" si="247"/>
        <v>0</v>
      </c>
      <c r="AE32" s="76">
        <f t="shared" si="248"/>
        <v>0</v>
      </c>
      <c r="AI32" s="23">
        <f>'QTR Raw'!C17</f>
        <v>0</v>
      </c>
      <c r="AJ32" s="23">
        <f>'QTR Raw'!D17</f>
        <v>0</v>
      </c>
      <c r="AK32" s="23">
        <f>'QTR Raw'!E17</f>
        <v>0</v>
      </c>
      <c r="AL32" s="23">
        <f>'QTR Raw'!F17</f>
        <v>0</v>
      </c>
      <c r="AM32" s="23">
        <f>'QTR Raw'!G17</f>
        <v>0</v>
      </c>
      <c r="AN32" s="23">
        <f>'QTR Raw'!H17</f>
        <v>0</v>
      </c>
      <c r="AO32" s="23">
        <f>'QTR Raw'!I17</f>
        <v>0</v>
      </c>
      <c r="AP32" s="23">
        <f>'QTR Raw'!J17</f>
        <v>0</v>
      </c>
      <c r="AQ32" s="23">
        <f>'QTR Raw'!K17</f>
        <v>0</v>
      </c>
      <c r="AR32" s="23">
        <f>'QTR Raw'!L17</f>
        <v>0</v>
      </c>
      <c r="AS32" s="23">
        <f>'QTR Raw'!M17</f>
        <v>0</v>
      </c>
      <c r="AT32" s="23">
        <f>'QTR Raw'!N17</f>
        <v>0</v>
      </c>
      <c r="AU32" s="23">
        <f>'QTR Raw'!O17</f>
        <v>0</v>
      </c>
      <c r="AV32" s="23">
        <f>'QTR Raw'!P17</f>
        <v>0</v>
      </c>
      <c r="AW32" s="23">
        <f>'QTR Raw'!Q17</f>
        <v>0</v>
      </c>
      <c r="AX32" s="23">
        <f>'QTR Raw'!R17</f>
        <v>0</v>
      </c>
      <c r="AY32" s="23">
        <f>'QTR Raw'!S17</f>
        <v>0</v>
      </c>
      <c r="AZ32" s="23">
        <f>'QTR Raw'!T17</f>
        <v>0</v>
      </c>
      <c r="BA32" s="23">
        <f>'QTR Raw'!U17</f>
        <v>0</v>
      </c>
      <c r="BB32" s="23">
        <f>'QTR Raw'!V17</f>
        <v>0</v>
      </c>
      <c r="BC32" s="23">
        <f>'QTR Raw'!W17</f>
        <v>0</v>
      </c>
      <c r="BD32" s="23">
        <f>'QTR Raw'!X17</f>
        <v>0</v>
      </c>
      <c r="BE32" s="23">
        <f>'QTR Raw'!Y17</f>
        <v>0</v>
      </c>
      <c r="BF32" s="23">
        <f>'QTR Raw'!Z17</f>
        <v>0</v>
      </c>
      <c r="BG32" s="23">
        <f>'QTR Raw'!AA17</f>
        <v>0</v>
      </c>
      <c r="BH32" s="23">
        <f>'QTR Raw'!AB17</f>
        <v>0</v>
      </c>
      <c r="BI32" s="23">
        <f>'QTR Raw'!AC17</f>
        <v>0</v>
      </c>
      <c r="BJ32" s="23">
        <f>'QTR Raw'!AD17</f>
        <v>0</v>
      </c>
      <c r="BK32" s="23">
        <f>'QTR Raw'!AE17</f>
        <v>0</v>
      </c>
      <c r="BL32" s="23">
        <f>'QTR Raw'!AF17</f>
        <v>0</v>
      </c>
      <c r="BM32" s="23">
        <f>'QTR Raw'!AG17</f>
        <v>0</v>
      </c>
      <c r="BN32" s="23">
        <f>'QTR Raw'!AH17</f>
        <v>0</v>
      </c>
      <c r="BO32" s="23">
        <f>'QTR Raw'!AI17</f>
        <v>0</v>
      </c>
      <c r="BP32" s="23">
        <f>'QTR Raw'!AJ17</f>
        <v>0</v>
      </c>
      <c r="BQ32" s="23">
        <f>'QTR Raw'!AK17</f>
        <v>0</v>
      </c>
      <c r="BR32" s="23">
        <f>'QTR Raw'!AL17</f>
        <v>0</v>
      </c>
      <c r="BS32" s="23">
        <f>'QTR Raw'!AM17</f>
        <v>0</v>
      </c>
      <c r="BT32" s="23">
        <f>'QTR Raw'!AN17</f>
        <v>0</v>
      </c>
      <c r="BU32" s="23">
        <f>'QTR Raw'!AO17</f>
        <v>0</v>
      </c>
      <c r="BV32" s="23">
        <f>'QTR Raw'!AP17</f>
        <v>0</v>
      </c>
      <c r="BW32" s="23">
        <f>'QTR Raw'!AQ17</f>
        <v>0</v>
      </c>
      <c r="BX32" s="23">
        <f>'QTR Raw'!AR17</f>
        <v>0</v>
      </c>
      <c r="BY32" s="23">
        <f>'QTR Raw'!AS17</f>
        <v>0</v>
      </c>
      <c r="BZ32" s="23">
        <f>'QTR Raw'!AT17</f>
        <v>0</v>
      </c>
      <c r="CA32" s="23">
        <f>'QTR Raw'!AU17</f>
        <v>0</v>
      </c>
      <c r="CB32" s="23">
        <f>'QTR Raw'!AV17</f>
        <v>0</v>
      </c>
      <c r="CC32" s="23">
        <f>'QTR Raw'!AW17</f>
        <v>0</v>
      </c>
      <c r="CD32" s="23">
        <f>'QTR Raw'!AX17</f>
        <v>0</v>
      </c>
      <c r="CE32" s="23">
        <f>'QTR Raw'!AY17</f>
        <v>0</v>
      </c>
      <c r="CF32" s="23">
        <f>'QTR Raw'!AZ17</f>
        <v>0</v>
      </c>
      <c r="CG32" s="23">
        <f>'QTR Raw'!BA17</f>
        <v>0</v>
      </c>
      <c r="CH32" s="23">
        <f>'QTR Raw'!BB17</f>
        <v>0</v>
      </c>
      <c r="CI32" s="23">
        <f>'QTR Raw'!BC17</f>
        <v>0</v>
      </c>
      <c r="CJ32" s="23">
        <f>'QTR Raw'!BD17</f>
        <v>0</v>
      </c>
      <c r="CK32" s="23">
        <f>'QTR Raw'!BE17</f>
        <v>0</v>
      </c>
      <c r="CL32" s="23">
        <f>'QTR Raw'!BF17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12</v>
      </c>
      <c r="B33" s="23">
        <f>'Annual Raw'!C19-'Annual Raw'!C20</f>
        <v>0</v>
      </c>
      <c r="C33" s="23">
        <f>'Annual Raw'!D19-'Annual Raw'!D20</f>
        <v>0</v>
      </c>
      <c r="D33" s="23">
        <f>'Annual Raw'!E19-'Annual Raw'!E20</f>
        <v>0</v>
      </c>
      <c r="E33" s="23">
        <f>'Annual Raw'!F19-'Annual Raw'!F20</f>
        <v>0</v>
      </c>
      <c r="F33" s="23">
        <f>'Annual Raw'!G19-'Annual Raw'!G20</f>
        <v>0</v>
      </c>
      <c r="G33" s="23">
        <f>'Annual Raw'!H19-'Annual Raw'!H20</f>
        <v>0</v>
      </c>
      <c r="H33" s="23">
        <f>'Annual Raw'!I19-'Annual Raw'!I20</f>
        <v>138.9449936</v>
      </c>
      <c r="I33" s="23">
        <f>'Annual Raw'!J19-'Annual Raw'!J20</f>
        <v>193.4384901</v>
      </c>
      <c r="J33" s="23">
        <f>'Annual Raw'!K19-'Annual Raw'!K20</f>
        <v>0</v>
      </c>
      <c r="K33" s="23">
        <f>'Annual Raw'!L19-'Annual Raw'!L20</f>
        <v>0</v>
      </c>
      <c r="L33" s="23">
        <f>'Annual Raw'!M19-'Annual Raw'!M20</f>
        <v>0</v>
      </c>
      <c r="M33" s="23">
        <f>'Annual Raw'!N19-'Annual Raw'!N20</f>
        <v>0</v>
      </c>
      <c r="N33" s="23">
        <f>'Annual Raw'!O19-'Annual Raw'!O20</f>
        <v>8.7289999999999992</v>
      </c>
      <c r="O33" s="23">
        <f>'Annual Raw'!P19-'Annual Raw'!P20</f>
        <v>6.0970000000000004</v>
      </c>
      <c r="P33" s="23">
        <f>'Annual Raw'!Q19-'Annual Raw'!Q20</f>
        <v>14.24</v>
      </c>
      <c r="Q33" s="23">
        <f>'Annual Raw'!R19-'Annual Raw'!R20</f>
        <v>0.56999999999999995</v>
      </c>
      <c r="R33" s="23">
        <f>'Annual Raw'!S19-'Annual Raw'!S20</f>
        <v>8.6850000000000005</v>
      </c>
      <c r="S33" s="23">
        <f>'Annual Raw'!T19-'Annual Raw'!T20</f>
        <v>6.62</v>
      </c>
      <c r="T33" s="23">
        <f>'Annual Raw'!U19-'Annual Raw'!U20</f>
        <v>7.5750000000000002</v>
      </c>
      <c r="U33" s="23">
        <f>'Annual Raw'!V19-'Annual Raw'!V20</f>
        <v>4.4000000000000004</v>
      </c>
      <c r="V33" s="23">
        <f>'Annual Raw'!W19-'Annual Raw'!W20</f>
        <v>3.9</v>
      </c>
      <c r="W33" s="23">
        <f>'Annual Raw'!X19-'Annual Raw'!X20</f>
        <v>2.66</v>
      </c>
      <c r="X33" s="23">
        <f>'Annual Raw'!Y19-'Annual Raw'!Y20</f>
        <v>4.63</v>
      </c>
      <c r="Y33" s="23">
        <f>'Annual Raw'!Z19-'Annual Raw'!Z20</f>
        <v>6.59</v>
      </c>
      <c r="Z33" s="23">
        <f>'Annual Raw'!AA19-'Annual Raw'!AA20</f>
        <v>19.28</v>
      </c>
      <c r="AA33" s="23">
        <f>'Annual Raw'!AB19-'Annual Raw'!AB20</f>
        <v>17.899999999999999</v>
      </c>
      <c r="AB33" s="76">
        <f t="shared" si="245"/>
        <v>0</v>
      </c>
      <c r="AC33" s="76">
        <f t="shared" si="246"/>
        <v>0</v>
      </c>
      <c r="AD33" s="76">
        <f t="shared" si="247"/>
        <v>0</v>
      </c>
      <c r="AE33" s="76">
        <f t="shared" si="248"/>
        <v>0</v>
      </c>
      <c r="AI33" s="23">
        <f>+'QTR Raw'!C21</f>
        <v>0</v>
      </c>
      <c r="AJ33" s="23">
        <f>+'QTR Raw'!D21</f>
        <v>0</v>
      </c>
      <c r="AK33" s="23">
        <f>+'QTR Raw'!E21</f>
        <v>0</v>
      </c>
      <c r="AL33" s="23">
        <f>+'QTR Raw'!F21</f>
        <v>0</v>
      </c>
      <c r="AM33" s="23">
        <f>+'QTR Raw'!G21</f>
        <v>0</v>
      </c>
      <c r="AN33" s="23">
        <f>+'QTR Raw'!H21</f>
        <v>0</v>
      </c>
      <c r="AO33" s="23">
        <f>+'QTR Raw'!I21</f>
        <v>0</v>
      </c>
      <c r="AP33" s="23">
        <f>+'QTR Raw'!J21</f>
        <v>0</v>
      </c>
      <c r="AQ33" s="23">
        <f>+'QTR Raw'!K21</f>
        <v>0</v>
      </c>
      <c r="AR33" s="23">
        <f>+'QTR Raw'!L21</f>
        <v>0</v>
      </c>
      <c r="AS33" s="23">
        <f>+'QTR Raw'!M21</f>
        <v>0</v>
      </c>
      <c r="AT33" s="23">
        <f>+'QTR Raw'!N21</f>
        <v>0</v>
      </c>
      <c r="AU33" s="23">
        <f>+'QTR Raw'!O21</f>
        <v>0</v>
      </c>
      <c r="AV33" s="23">
        <f>+'QTR Raw'!P21</f>
        <v>0</v>
      </c>
      <c r="AW33" s="23">
        <f>+'QTR Raw'!Q21</f>
        <v>0</v>
      </c>
      <c r="AX33" s="23">
        <f>+'QTR Raw'!R21</f>
        <v>0</v>
      </c>
      <c r="AY33" s="23">
        <f>+'QTR Raw'!S21</f>
        <v>0</v>
      </c>
      <c r="AZ33" s="23">
        <f>+'QTR Raw'!T21</f>
        <v>0</v>
      </c>
      <c r="BA33" s="23">
        <f>+'QTR Raw'!U21</f>
        <v>0</v>
      </c>
      <c r="BB33" s="23">
        <f>+'QTR Raw'!V21</f>
        <v>0</v>
      </c>
      <c r="BC33" s="23">
        <f>+'QTR Raw'!W21</f>
        <v>0</v>
      </c>
      <c r="BD33" s="23">
        <f>+'QTR Raw'!X21</f>
        <v>0</v>
      </c>
      <c r="BE33" s="23">
        <f>+'QTR Raw'!Y21</f>
        <v>0</v>
      </c>
      <c r="BF33" s="23">
        <f>+'QTR Raw'!Z21</f>
        <v>0</v>
      </c>
      <c r="BG33" s="23">
        <f>+'QTR Raw'!AA21</f>
        <v>0</v>
      </c>
      <c r="BH33" s="23">
        <f>+'QTR Raw'!AB21</f>
        <v>0</v>
      </c>
      <c r="BI33" s="23">
        <f>+'QTR Raw'!AC21</f>
        <v>0</v>
      </c>
      <c r="BJ33" s="23">
        <f>+'QTR Raw'!AD21</f>
        <v>0</v>
      </c>
      <c r="BK33" s="23">
        <f>+'QTR Raw'!AE21</f>
        <v>0</v>
      </c>
      <c r="BL33" s="23">
        <f>+'QTR Raw'!AF21</f>
        <v>0</v>
      </c>
      <c r="BM33" s="23">
        <f>+'QTR Raw'!AG21</f>
        <v>0</v>
      </c>
      <c r="BN33" s="23">
        <f>+'QTR Raw'!AH21</f>
        <v>0</v>
      </c>
      <c r="BO33" s="23">
        <f>+'QTR Raw'!AI21</f>
        <v>0</v>
      </c>
      <c r="BP33" s="23">
        <f>+'QTR Raw'!AJ21</f>
        <v>0</v>
      </c>
      <c r="BQ33" s="23">
        <f>+'QTR Raw'!AK21</f>
        <v>0</v>
      </c>
      <c r="BR33" s="23">
        <f>+'QTR Raw'!AL21</f>
        <v>0</v>
      </c>
      <c r="BS33" s="23">
        <f>+'QTR Raw'!AM21</f>
        <v>0</v>
      </c>
      <c r="BT33" s="23">
        <f>+'QTR Raw'!AN21</f>
        <v>0</v>
      </c>
      <c r="BU33" s="23">
        <f>+'QTR Raw'!AO21</f>
        <v>0</v>
      </c>
      <c r="BV33" s="23">
        <f>+'QTR Raw'!AP21</f>
        <v>0</v>
      </c>
      <c r="BW33" s="23">
        <f>+'QTR Raw'!AQ21</f>
        <v>0</v>
      </c>
      <c r="BX33" s="23">
        <f>+'QTR Raw'!AR21</f>
        <v>0</v>
      </c>
      <c r="BY33" s="23">
        <f>+'QTR Raw'!AS21</f>
        <v>0</v>
      </c>
      <c r="BZ33" s="23">
        <f>+'QTR Raw'!AT21</f>
        <v>0</v>
      </c>
      <c r="CA33" s="23">
        <f>+'QTR Raw'!AU21</f>
        <v>0</v>
      </c>
      <c r="CB33" s="23">
        <f>+'QTR Raw'!AV21</f>
        <v>0</v>
      </c>
      <c r="CC33" s="23">
        <f>+'QTR Raw'!AW21</f>
        <v>0</v>
      </c>
      <c r="CD33" s="23">
        <f>+'QTR Raw'!AX21</f>
        <v>0</v>
      </c>
      <c r="CE33" s="23">
        <f>+'QTR Raw'!AY21</f>
        <v>0</v>
      </c>
      <c r="CF33" s="23">
        <f>+'QTR Raw'!AZ21</f>
        <v>0</v>
      </c>
      <c r="CG33" s="23">
        <f>+'QTR Raw'!BA21</f>
        <v>0</v>
      </c>
      <c r="CH33" s="23">
        <f>+'QTR Raw'!BB21</f>
        <v>0</v>
      </c>
      <c r="CI33" s="23">
        <f>+'QTR Raw'!BC21</f>
        <v>0</v>
      </c>
      <c r="CJ33" s="23">
        <f>+'QTR Raw'!BD21</f>
        <v>0</v>
      </c>
      <c r="CK33" s="23">
        <f>+'QTR Raw'!BE21</f>
        <v>0</v>
      </c>
      <c r="CL33" s="23">
        <f>+'QTR Raw'!BF21</f>
        <v>0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9</v>
      </c>
      <c r="B34" s="23">
        <f>'Annual Raw'!C15+'Annual Raw'!C16</f>
        <v>0</v>
      </c>
      <c r="C34" s="23">
        <f>'Annual Raw'!D15+'Annual Raw'!D16</f>
        <v>0</v>
      </c>
      <c r="D34" s="23">
        <f>'Annual Raw'!E15+'Annual Raw'!E16</f>
        <v>0</v>
      </c>
      <c r="E34" s="23">
        <f>'Annual Raw'!F15+'Annual Raw'!F16</f>
        <v>0</v>
      </c>
      <c r="F34" s="23">
        <f>'Annual Raw'!G15+'Annual Raw'!G16</f>
        <v>11.767300000000001</v>
      </c>
      <c r="G34" s="23">
        <f>'Annual Raw'!H15+'Annual Raw'!H16</f>
        <v>18.9785</v>
      </c>
      <c r="H34" s="23">
        <f>'Annual Raw'!I15+'Annual Raw'!I16</f>
        <v>0</v>
      </c>
      <c r="I34" s="23">
        <f>'Annual Raw'!J15+'Annual Raw'!J16</f>
        <v>0</v>
      </c>
      <c r="J34" s="23">
        <f>'Annual Raw'!K15+'Annual Raw'!K16</f>
        <v>31.578099999999999</v>
      </c>
      <c r="K34" s="23">
        <f>'Annual Raw'!L15+'Annual Raw'!L16</f>
        <v>30.289400000000001</v>
      </c>
      <c r="L34" s="23">
        <f>'Annual Raw'!M15+'Annual Raw'!M16</f>
        <v>0</v>
      </c>
      <c r="M34" s="23">
        <f>'Annual Raw'!N15+'Annual Raw'!N16</f>
        <v>0</v>
      </c>
      <c r="N34" s="23">
        <f>'Annual Raw'!O15+'Annual Raw'!O16</f>
        <v>149.40100000000001</v>
      </c>
      <c r="O34" s="23">
        <f>'Annual Raw'!P15+'Annual Raw'!P16</f>
        <v>143.041</v>
      </c>
      <c r="P34" s="23">
        <f>'Annual Raw'!Q15+'Annual Raw'!Q16</f>
        <v>198.09399999999999</v>
      </c>
      <c r="Q34" s="23">
        <f>'Annual Raw'!R15+'Annual Raw'!R16</f>
        <v>171.26400000000001</v>
      </c>
      <c r="R34" s="23">
        <f>'Annual Raw'!S15+'Annual Raw'!S16</f>
        <v>207.78</v>
      </c>
      <c r="S34" s="23">
        <f>'Annual Raw'!T15+'Annual Raw'!T16</f>
        <v>260.44</v>
      </c>
      <c r="T34" s="23">
        <f>'Annual Raw'!U15+'Annual Raw'!U16</f>
        <v>286.34500000000003</v>
      </c>
      <c r="U34" s="23">
        <f>'Annual Raw'!V15+'Annual Raw'!V16</f>
        <v>222.33</v>
      </c>
      <c r="V34" s="23">
        <f>'Annual Raw'!W15+'Annual Raw'!W16</f>
        <v>191.5</v>
      </c>
      <c r="W34" s="23">
        <f>'Annual Raw'!X15+'Annual Raw'!X16</f>
        <v>315.35000000000002</v>
      </c>
      <c r="X34" s="23">
        <f>'Annual Raw'!Y15+'Annual Raw'!Y16</f>
        <v>398.28</v>
      </c>
      <c r="Y34" s="23">
        <f>'Annual Raw'!Z15+'Annual Raw'!Z16</f>
        <v>558.55999999999995</v>
      </c>
      <c r="Z34" s="23">
        <f>'Annual Raw'!AA15+'Annual Raw'!AA16</f>
        <v>764.81</v>
      </c>
      <c r="AA34" s="23">
        <f>'Annual Raw'!AB15+'Annual Raw'!AB16</f>
        <v>1101.49</v>
      </c>
      <c r="AB34" s="76">
        <f t="shared" si="245"/>
        <v>2219.2448959599078</v>
      </c>
      <c r="AC34" s="76">
        <f t="shared" si="246"/>
        <v>2683.3347252178855</v>
      </c>
      <c r="AD34" s="76">
        <f t="shared" si="247"/>
        <v>3239.3899631290224</v>
      </c>
      <c r="AE34" s="76">
        <f t="shared" si="248"/>
        <v>3901.4623162935759</v>
      </c>
      <c r="AI34" s="23">
        <f>'QTR Raw'!C14</f>
        <v>0</v>
      </c>
      <c r="AJ34" s="23">
        <f>'QTR Raw'!D14</f>
        <v>0</v>
      </c>
      <c r="AK34" s="23">
        <f>'QTR Raw'!E14</f>
        <v>0</v>
      </c>
      <c r="AL34" s="23">
        <f>'QTR Raw'!F14</f>
        <v>0</v>
      </c>
      <c r="AM34" s="23">
        <f>'QTR Raw'!G14</f>
        <v>0</v>
      </c>
      <c r="AN34" s="23">
        <f>'QTR Raw'!H14</f>
        <v>0</v>
      </c>
      <c r="AO34" s="23">
        <f>'QTR Raw'!I14</f>
        <v>0</v>
      </c>
      <c r="AP34" s="23">
        <f>'QTR Raw'!J14</f>
        <v>0</v>
      </c>
      <c r="AQ34" s="23">
        <f>'QTR Raw'!K14</f>
        <v>0</v>
      </c>
      <c r="AR34" s="23">
        <f>'QTR Raw'!L14</f>
        <v>0</v>
      </c>
      <c r="AS34" s="23">
        <f>'QTR Raw'!M14</f>
        <v>0</v>
      </c>
      <c r="AT34" s="23">
        <f>'QTR Raw'!N14</f>
        <v>0</v>
      </c>
      <c r="AU34" s="23">
        <f>'QTR Raw'!O14</f>
        <v>0</v>
      </c>
      <c r="AV34" s="23">
        <f>'QTR Raw'!P14</f>
        <v>0</v>
      </c>
      <c r="AW34" s="23">
        <f>'QTR Raw'!Q14</f>
        <v>0</v>
      </c>
      <c r="AX34" s="23">
        <f>'QTR Raw'!R14</f>
        <v>0</v>
      </c>
      <c r="AY34" s="23">
        <f>'QTR Raw'!S14</f>
        <v>0</v>
      </c>
      <c r="AZ34" s="23">
        <f>'QTR Raw'!T14</f>
        <v>0</v>
      </c>
      <c r="BA34" s="23">
        <f>'QTR Raw'!U14</f>
        <v>0</v>
      </c>
      <c r="BB34" s="23">
        <f>'QTR Raw'!V14</f>
        <v>0</v>
      </c>
      <c r="BC34" s="23">
        <f>'QTR Raw'!W14</f>
        <v>0</v>
      </c>
      <c r="BD34" s="23">
        <f>'QTR Raw'!X14</f>
        <v>0</v>
      </c>
      <c r="BE34" s="23">
        <f>'QTR Raw'!Y14</f>
        <v>0</v>
      </c>
      <c r="BF34" s="23">
        <f>'QTR Raw'!Z14</f>
        <v>0</v>
      </c>
      <c r="BG34" s="23">
        <f>'QTR Raw'!AA14</f>
        <v>0</v>
      </c>
      <c r="BH34" s="23">
        <f>'QTR Raw'!AB14</f>
        <v>0</v>
      </c>
      <c r="BI34" s="23">
        <f>'QTR Raw'!AC14</f>
        <v>0</v>
      </c>
      <c r="BJ34" s="23">
        <f>'QTR Raw'!AD14</f>
        <v>0</v>
      </c>
      <c r="BK34" s="23">
        <f>'QTR Raw'!AE14</f>
        <v>0</v>
      </c>
      <c r="BL34" s="23">
        <f>'QTR Raw'!AF14</f>
        <v>0</v>
      </c>
      <c r="BM34" s="23">
        <f>'QTR Raw'!AG14</f>
        <v>0</v>
      </c>
      <c r="BN34" s="23">
        <f>'QTR Raw'!AH14</f>
        <v>82.7</v>
      </c>
      <c r="BO34" s="23">
        <f>'QTR Raw'!AI14</f>
        <v>30.63</v>
      </c>
      <c r="BP34" s="23">
        <f>'QTR Raw'!AJ14</f>
        <v>75.78</v>
      </c>
      <c r="BQ34" s="23">
        <f>'QTR Raw'!AK14</f>
        <v>84.43</v>
      </c>
      <c r="BR34" s="23">
        <f>'QTR Raw'!AL14</f>
        <v>119.72</v>
      </c>
      <c r="BS34" s="23">
        <f>'QTR Raw'!AM14</f>
        <v>93.04</v>
      </c>
      <c r="BT34" s="23">
        <f>'QTR Raw'!AN14</f>
        <v>116.36</v>
      </c>
      <c r="BU34" s="23">
        <f>'QTR Raw'!AO14</f>
        <v>119.14</v>
      </c>
      <c r="BV34" s="23">
        <f>'QTR Raw'!AP14</f>
        <v>132.51</v>
      </c>
      <c r="BW34" s="23">
        <f>'QTR Raw'!AQ14</f>
        <v>133.07</v>
      </c>
      <c r="BX34" s="23">
        <f>'QTR Raw'!AR14</f>
        <v>149.22</v>
      </c>
      <c r="BY34" s="23">
        <f>'QTR Raw'!AS14</f>
        <v>154.63</v>
      </c>
      <c r="BZ34" s="23">
        <f>'QTR Raw'!AT14</f>
        <v>199.14</v>
      </c>
      <c r="CA34" s="23">
        <f>'QTR Raw'!AU14</f>
        <v>211.53</v>
      </c>
      <c r="CB34" s="23">
        <f>'QTR Raw'!AV14</f>
        <v>242.32</v>
      </c>
      <c r="CC34" s="23">
        <f>'QTR Raw'!AW14</f>
        <v>232.2</v>
      </c>
      <c r="CD34" s="23">
        <f>'QTR Raw'!AX14</f>
        <v>227.08</v>
      </c>
      <c r="CE34" s="23">
        <f>'QTR Raw'!AY14</f>
        <v>231.64</v>
      </c>
      <c r="CF34" s="23">
        <f>'QTR Raw'!AZ14</f>
        <v>262.77</v>
      </c>
      <c r="CG34" s="23">
        <f>'QTR Raw'!BA14</f>
        <v>412.58</v>
      </c>
      <c r="CH34" s="23">
        <f>'QTR Raw'!BB14</f>
        <v>412.45</v>
      </c>
      <c r="CI34" s="23">
        <f>'QTR Raw'!BC14</f>
        <v>413.48</v>
      </c>
      <c r="CJ34" s="23">
        <f>'QTR Raw'!BD14</f>
        <v>460.13</v>
      </c>
      <c r="CK34" s="23">
        <f>'QTR Raw'!BE14</f>
        <v>465.01</v>
      </c>
      <c r="CL34" s="23">
        <f>'QTR Raw'!BF14</f>
        <v>503.82</v>
      </c>
      <c r="CM34" s="24">
        <f t="shared" ref="CM34:DB34" si="250">CM37-CM31-CM32-CM33-CM35-CM36</f>
        <v>480.54113222561483</v>
      </c>
      <c r="CN34" s="24">
        <f t="shared" si="250"/>
        <v>551.62305647356231</v>
      </c>
      <c r="CO34" s="24">
        <f t="shared" si="250"/>
        <v>563.84094900075115</v>
      </c>
      <c r="CP34" s="24">
        <f t="shared" si="250"/>
        <v>623.23975825997923</v>
      </c>
      <c r="CQ34" s="24">
        <f t="shared" si="250"/>
        <v>577.85872353418495</v>
      </c>
      <c r="CR34" s="24">
        <f t="shared" si="250"/>
        <v>666.92872228660212</v>
      </c>
      <c r="CS34" s="24">
        <f t="shared" si="250"/>
        <v>683.86676748421337</v>
      </c>
      <c r="CT34" s="24">
        <f t="shared" si="250"/>
        <v>754.68051191288532</v>
      </c>
      <c r="CU34" s="24">
        <f t="shared" si="250"/>
        <v>698.62422786928539</v>
      </c>
      <c r="CV34" s="24">
        <f t="shared" si="250"/>
        <v>805.1760714028004</v>
      </c>
      <c r="CW34" s="24">
        <f t="shared" si="250"/>
        <v>826.12114996870196</v>
      </c>
      <c r="CX34" s="24">
        <f t="shared" si="250"/>
        <v>909.46851388823461</v>
      </c>
      <c r="CY34" s="24">
        <f t="shared" si="250"/>
        <v>843.54172119366092</v>
      </c>
      <c r="CZ34" s="24">
        <f t="shared" si="250"/>
        <v>969.61102344412245</v>
      </c>
      <c r="DA34" s="24">
        <f t="shared" si="250"/>
        <v>995.03661840309962</v>
      </c>
      <c r="DB34" s="24">
        <f t="shared" si="250"/>
        <v>1093.272953252693</v>
      </c>
      <c r="DE34" s="123"/>
      <c r="DF34" s="23">
        <v>490.73480367115826</v>
      </c>
    </row>
    <row r="35" spans="1:110" s="23" customFormat="1" outlineLevel="1" x14ac:dyDescent="0.2">
      <c r="A35" s="23" t="s">
        <v>7</v>
      </c>
      <c r="B35" s="23">
        <f>'Annual Raw'!C13</f>
        <v>0</v>
      </c>
      <c r="C35" s="23">
        <f>'Annual Raw'!D13</f>
        <v>0</v>
      </c>
      <c r="D35" s="23">
        <f>'Annual Raw'!E13</f>
        <v>0</v>
      </c>
      <c r="E35" s="23">
        <f>'Annual Raw'!F13</f>
        <v>0</v>
      </c>
      <c r="F35" s="23">
        <f>'Annual Raw'!G13</f>
        <v>0</v>
      </c>
      <c r="G35" s="23">
        <f>'Annual Raw'!H13</f>
        <v>0</v>
      </c>
      <c r="H35" s="23">
        <f>'Annual Raw'!I13</f>
        <v>0</v>
      </c>
      <c r="I35" s="23">
        <f>'Annual Raw'!J13</f>
        <v>0</v>
      </c>
      <c r="J35" s="23">
        <f>'Annual Raw'!K13</f>
        <v>0</v>
      </c>
      <c r="K35" s="23">
        <f>'Annual Raw'!L13</f>
        <v>0</v>
      </c>
      <c r="L35" s="23">
        <f>'Annual Raw'!M13</f>
        <v>0</v>
      </c>
      <c r="M35" s="23">
        <f>'Annual Raw'!N13</f>
        <v>0</v>
      </c>
      <c r="N35" s="23">
        <f>'Annual Raw'!O13</f>
        <v>35.249000000000002</v>
      </c>
      <c r="O35" s="23">
        <f>'Annual Raw'!P13</f>
        <v>35.859000000000002</v>
      </c>
      <c r="P35" s="23">
        <f>'Annual Raw'!Q13</f>
        <v>41.920999999999999</v>
      </c>
      <c r="Q35" s="23">
        <f>'Annual Raw'!R13</f>
        <v>51.118000000000002</v>
      </c>
      <c r="R35" s="23">
        <f>'Annual Raw'!S13</f>
        <v>66.165999999999997</v>
      </c>
      <c r="S35" s="23">
        <f>'Annual Raw'!T13</f>
        <v>85.59</v>
      </c>
      <c r="T35" s="23">
        <f>'Annual Raw'!U13</f>
        <v>96.638000000000005</v>
      </c>
      <c r="U35" s="23">
        <f>'Annual Raw'!V13</f>
        <v>85.09</v>
      </c>
      <c r="V35" s="23">
        <f>'Annual Raw'!W13</f>
        <v>82.1</v>
      </c>
      <c r="W35" s="23">
        <f>'Annual Raw'!X13</f>
        <v>112.54</v>
      </c>
      <c r="X35" s="23">
        <f>'Annual Raw'!Y13</f>
        <v>166.06</v>
      </c>
      <c r="Y35" s="23">
        <f>'Annual Raw'!Z13</f>
        <v>262.51</v>
      </c>
      <c r="Z35" s="23">
        <f>'Annual Raw'!AA13</f>
        <v>367.57</v>
      </c>
      <c r="AA35" s="23">
        <f>'Annual Raw'!AB13</f>
        <v>523.04999999999995</v>
      </c>
      <c r="AB35" s="76">
        <f t="shared" si="245"/>
        <v>0</v>
      </c>
      <c r="AC35" s="76">
        <f t="shared" si="246"/>
        <v>0</v>
      </c>
      <c r="AD35" s="76">
        <f t="shared" si="247"/>
        <v>0</v>
      </c>
      <c r="AE35" s="76">
        <f t="shared" si="248"/>
        <v>0</v>
      </c>
      <c r="AI35" s="23">
        <f>'QTR Raw'!C15</f>
        <v>0</v>
      </c>
      <c r="AJ35" s="23">
        <f>'QTR Raw'!D15</f>
        <v>0</v>
      </c>
      <c r="AK35" s="23">
        <f>'QTR Raw'!E15</f>
        <v>0</v>
      </c>
      <c r="AL35" s="23">
        <f>'QTR Raw'!F15</f>
        <v>0</v>
      </c>
      <c r="AM35" s="23">
        <f>'QTR Raw'!G15</f>
        <v>0</v>
      </c>
      <c r="AN35" s="23">
        <f>'QTR Raw'!H15</f>
        <v>0</v>
      </c>
      <c r="AO35" s="23">
        <f>'QTR Raw'!I15</f>
        <v>0</v>
      </c>
      <c r="AP35" s="23">
        <f>'QTR Raw'!J15</f>
        <v>0</v>
      </c>
      <c r="AQ35" s="23">
        <f>'QTR Raw'!K15</f>
        <v>0</v>
      </c>
      <c r="AR35" s="23">
        <f>'QTR Raw'!L15</f>
        <v>0</v>
      </c>
      <c r="AS35" s="23">
        <f>'QTR Raw'!M15</f>
        <v>0</v>
      </c>
      <c r="AT35" s="23">
        <f>'QTR Raw'!N15</f>
        <v>0</v>
      </c>
      <c r="AU35" s="23">
        <f>'QTR Raw'!O15</f>
        <v>0</v>
      </c>
      <c r="AV35" s="23">
        <f>'QTR Raw'!P15</f>
        <v>0</v>
      </c>
      <c r="AW35" s="23">
        <f>'QTR Raw'!Q15</f>
        <v>0</v>
      </c>
      <c r="AX35" s="23">
        <f>'QTR Raw'!R15</f>
        <v>0</v>
      </c>
      <c r="AY35" s="23">
        <f>'QTR Raw'!S15</f>
        <v>0</v>
      </c>
      <c r="AZ35" s="23">
        <f>'QTR Raw'!T15</f>
        <v>0</v>
      </c>
      <c r="BA35" s="23">
        <f>'QTR Raw'!U15</f>
        <v>0</v>
      </c>
      <c r="BB35" s="23">
        <f>'QTR Raw'!V15</f>
        <v>0</v>
      </c>
      <c r="BC35" s="23">
        <f>'QTR Raw'!W15</f>
        <v>0</v>
      </c>
      <c r="BD35" s="23">
        <f>'QTR Raw'!X15</f>
        <v>0</v>
      </c>
      <c r="BE35" s="23">
        <f>'QTR Raw'!Y15</f>
        <v>0</v>
      </c>
      <c r="BF35" s="23">
        <f>'QTR Raw'!Z15</f>
        <v>0</v>
      </c>
      <c r="BG35" s="23">
        <f>'QTR Raw'!AA15</f>
        <v>0</v>
      </c>
      <c r="BH35" s="23">
        <f>'QTR Raw'!AB15</f>
        <v>0</v>
      </c>
      <c r="BI35" s="23">
        <f>'QTR Raw'!AC15</f>
        <v>0</v>
      </c>
      <c r="BJ35" s="23">
        <f>'QTR Raw'!AD15</f>
        <v>0</v>
      </c>
      <c r="BK35" s="23">
        <f>'QTR Raw'!AE15</f>
        <v>0</v>
      </c>
      <c r="BL35" s="23">
        <f>'QTR Raw'!AF15</f>
        <v>0</v>
      </c>
      <c r="BM35" s="23">
        <f>'QTR Raw'!AG15</f>
        <v>0</v>
      </c>
      <c r="BN35" s="23">
        <f>'QTR Raw'!AH15</f>
        <v>0</v>
      </c>
      <c r="BO35" s="23">
        <f>'QTR Raw'!AI15</f>
        <v>0</v>
      </c>
      <c r="BP35" s="23">
        <f>'QTR Raw'!AJ15</f>
        <v>0</v>
      </c>
      <c r="BQ35" s="23">
        <f>'QTR Raw'!AK15</f>
        <v>0</v>
      </c>
      <c r="BR35" s="23">
        <f>'QTR Raw'!AL15</f>
        <v>0</v>
      </c>
      <c r="BS35" s="23">
        <f>'QTR Raw'!AM15</f>
        <v>0</v>
      </c>
      <c r="BT35" s="23">
        <f>'QTR Raw'!AN15</f>
        <v>0</v>
      </c>
      <c r="BU35" s="23">
        <f>'QTR Raw'!AO15</f>
        <v>0</v>
      </c>
      <c r="BV35" s="23">
        <f>'QTR Raw'!AP15</f>
        <v>0</v>
      </c>
      <c r="BW35" s="23">
        <f>'QTR Raw'!AQ15</f>
        <v>0</v>
      </c>
      <c r="BX35" s="23">
        <f>'QTR Raw'!AR15</f>
        <v>0</v>
      </c>
      <c r="BY35" s="23">
        <f>'QTR Raw'!AS15</f>
        <v>0</v>
      </c>
      <c r="BZ35" s="23">
        <f>'QTR Raw'!AT15</f>
        <v>0</v>
      </c>
      <c r="CA35" s="23">
        <f>'QTR Raw'!AU15</f>
        <v>0</v>
      </c>
      <c r="CB35" s="23">
        <f>'QTR Raw'!AV15</f>
        <v>0</v>
      </c>
      <c r="CC35" s="23">
        <f>'QTR Raw'!AW15</f>
        <v>0</v>
      </c>
      <c r="CD35" s="23">
        <f>'QTR Raw'!AX15</f>
        <v>0</v>
      </c>
      <c r="CE35" s="23">
        <f>'QTR Raw'!AY15</f>
        <v>0</v>
      </c>
      <c r="CF35" s="23">
        <f>'QTR Raw'!AZ15</f>
        <v>0</v>
      </c>
      <c r="CG35" s="23">
        <f>'QTR Raw'!BA15</f>
        <v>0</v>
      </c>
      <c r="CH35" s="23">
        <f>'QTR Raw'!BB15</f>
        <v>0</v>
      </c>
      <c r="CI35" s="23">
        <f>'QTR Raw'!BC15</f>
        <v>0</v>
      </c>
      <c r="CJ35" s="23">
        <f>'QTR Raw'!BD15</f>
        <v>0</v>
      </c>
      <c r="CK35" s="23">
        <f>'QTR Raw'!BE15</f>
        <v>0</v>
      </c>
      <c r="CL35" s="23">
        <f>'QTR Raw'!BF15</f>
        <v>0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outlineLevel="1" x14ac:dyDescent="0.2">
      <c r="A36" s="23" t="s">
        <v>11</v>
      </c>
      <c r="B36" s="23">
        <f>'Annual Raw'!C18</f>
        <v>0</v>
      </c>
      <c r="C36" s="23">
        <f>'Annual Raw'!D18</f>
        <v>0</v>
      </c>
      <c r="D36" s="23">
        <f>'Annual Raw'!E18</f>
        <v>0</v>
      </c>
      <c r="E36" s="23">
        <f>'Annual Raw'!F18</f>
        <v>0</v>
      </c>
      <c r="F36" s="23">
        <f>'Annual Raw'!G18</f>
        <v>0</v>
      </c>
      <c r="G36" s="23">
        <f>'Annual Raw'!H18</f>
        <v>0</v>
      </c>
      <c r="H36" s="23">
        <f>'Annual Raw'!I18</f>
        <v>0</v>
      </c>
      <c r="I36" s="23">
        <f>'Annual Raw'!J18</f>
        <v>0</v>
      </c>
      <c r="J36" s="23">
        <f>'Annual Raw'!K18</f>
        <v>0</v>
      </c>
      <c r="K36" s="23">
        <f>'Annual Raw'!L18</f>
        <v>0</v>
      </c>
      <c r="L36" s="23">
        <f>'Annual Raw'!M18</f>
        <v>0</v>
      </c>
      <c r="M36" s="23">
        <f>'Annual Raw'!N18</f>
        <v>0</v>
      </c>
      <c r="N36" s="23">
        <f>'Annual Raw'!O18</f>
        <v>9.1069999999999993</v>
      </c>
      <c r="O36" s="23">
        <f>'Annual Raw'!P18</f>
        <v>8.5909999999999993</v>
      </c>
      <c r="P36" s="23">
        <f>'Annual Raw'!Q18</f>
        <v>11.914999999999999</v>
      </c>
      <c r="Q36" s="23">
        <f>'Annual Raw'!R18</f>
        <v>13.372999999999999</v>
      </c>
      <c r="R36" s="23">
        <f>'Annual Raw'!S18</f>
        <v>19.116</v>
      </c>
      <c r="S36" s="23">
        <f>'Annual Raw'!T18</f>
        <v>24.93</v>
      </c>
      <c r="T36" s="23">
        <f>'Annual Raw'!U18</f>
        <v>28.91</v>
      </c>
      <c r="U36" s="23">
        <f>'Annual Raw'!V18</f>
        <v>21.42</v>
      </c>
      <c r="V36" s="23">
        <f>'Annual Raw'!W18</f>
        <v>19.739999999999998</v>
      </c>
      <c r="W36" s="23">
        <f>'Annual Raw'!X18</f>
        <v>31.45</v>
      </c>
      <c r="X36" s="23">
        <f>'Annual Raw'!Y18</f>
        <v>45.84</v>
      </c>
      <c r="Y36" s="23">
        <f>'Annual Raw'!Z18</f>
        <v>53</v>
      </c>
      <c r="Z36" s="23">
        <f>'Annual Raw'!AA18</f>
        <v>86.97</v>
      </c>
      <c r="AA36" s="23">
        <f>'Annual Raw'!AB18</f>
        <v>129.4</v>
      </c>
      <c r="AB36" s="76">
        <f t="shared" si="245"/>
        <v>0</v>
      </c>
      <c r="AC36" s="76">
        <f t="shared" si="246"/>
        <v>0</v>
      </c>
      <c r="AD36" s="76">
        <f t="shared" si="247"/>
        <v>0</v>
      </c>
      <c r="AE36" s="76">
        <f t="shared" si="248"/>
        <v>0</v>
      </c>
      <c r="AI36" s="23">
        <f>'QTR Raw'!C18</f>
        <v>0</v>
      </c>
      <c r="AJ36" s="23">
        <f>'QTR Raw'!D18</f>
        <v>0</v>
      </c>
      <c r="AK36" s="23">
        <f>'QTR Raw'!E18</f>
        <v>0</v>
      </c>
      <c r="AL36" s="23">
        <f>'QTR Raw'!F18</f>
        <v>0</v>
      </c>
      <c r="AM36" s="23">
        <f>'QTR Raw'!G18</f>
        <v>0</v>
      </c>
      <c r="AN36" s="23">
        <f>'QTR Raw'!H18</f>
        <v>0</v>
      </c>
      <c r="AO36" s="23">
        <f>'QTR Raw'!I18</f>
        <v>0</v>
      </c>
      <c r="AP36" s="23">
        <f>'QTR Raw'!J18</f>
        <v>0</v>
      </c>
      <c r="AQ36" s="23">
        <f>'QTR Raw'!K18</f>
        <v>0</v>
      </c>
      <c r="AR36" s="23">
        <f>'QTR Raw'!L18</f>
        <v>0</v>
      </c>
      <c r="AS36" s="23">
        <f>'QTR Raw'!M18</f>
        <v>0</v>
      </c>
      <c r="AT36" s="23">
        <f>'QTR Raw'!N18</f>
        <v>0</v>
      </c>
      <c r="AU36" s="23">
        <f>'QTR Raw'!O18</f>
        <v>0</v>
      </c>
      <c r="AV36" s="23">
        <f>'QTR Raw'!P18</f>
        <v>0</v>
      </c>
      <c r="AW36" s="23">
        <f>'QTR Raw'!Q18</f>
        <v>0</v>
      </c>
      <c r="AX36" s="23">
        <f>'QTR Raw'!R18</f>
        <v>0</v>
      </c>
      <c r="AY36" s="23">
        <f>'QTR Raw'!S18</f>
        <v>0</v>
      </c>
      <c r="AZ36" s="23">
        <f>'QTR Raw'!T18</f>
        <v>0</v>
      </c>
      <c r="BA36" s="23">
        <f>'QTR Raw'!U18</f>
        <v>0</v>
      </c>
      <c r="BB36" s="23">
        <f>'QTR Raw'!V18</f>
        <v>0</v>
      </c>
      <c r="BC36" s="23">
        <f>'QTR Raw'!W18</f>
        <v>0</v>
      </c>
      <c r="BD36" s="23">
        <f>'QTR Raw'!X18</f>
        <v>0</v>
      </c>
      <c r="BE36" s="23">
        <f>'QTR Raw'!Y18</f>
        <v>0</v>
      </c>
      <c r="BF36" s="23">
        <f>'QTR Raw'!Z18</f>
        <v>0</v>
      </c>
      <c r="BG36" s="23">
        <f>'QTR Raw'!AA18</f>
        <v>0</v>
      </c>
      <c r="BH36" s="23">
        <f>'QTR Raw'!AB18</f>
        <v>0</v>
      </c>
      <c r="BI36" s="23">
        <f>'QTR Raw'!AC18</f>
        <v>0</v>
      </c>
      <c r="BJ36" s="23">
        <f>'QTR Raw'!AD18</f>
        <v>0</v>
      </c>
      <c r="BK36" s="23">
        <f>'QTR Raw'!AE18</f>
        <v>0</v>
      </c>
      <c r="BL36" s="23">
        <f>'QTR Raw'!AF18</f>
        <v>0</v>
      </c>
      <c r="BM36" s="23">
        <f>'QTR Raw'!AG18</f>
        <v>0</v>
      </c>
      <c r="BN36" s="23">
        <f>'QTR Raw'!AH18</f>
        <v>0</v>
      </c>
      <c r="BO36" s="23">
        <f>'QTR Raw'!AI18</f>
        <v>0</v>
      </c>
      <c r="BP36" s="23">
        <f>'QTR Raw'!AJ18</f>
        <v>0</v>
      </c>
      <c r="BQ36" s="23">
        <f>'QTR Raw'!AK18</f>
        <v>0</v>
      </c>
      <c r="BR36" s="23">
        <f>'QTR Raw'!AL18</f>
        <v>0</v>
      </c>
      <c r="BS36" s="23">
        <f>'QTR Raw'!AM18</f>
        <v>0</v>
      </c>
      <c r="BT36" s="23">
        <f>'QTR Raw'!AN18</f>
        <v>0</v>
      </c>
      <c r="BU36" s="23">
        <f>'QTR Raw'!AO18</f>
        <v>0</v>
      </c>
      <c r="BV36" s="23">
        <f>'QTR Raw'!AP18</f>
        <v>0</v>
      </c>
      <c r="BW36" s="23">
        <f>'QTR Raw'!AQ18</f>
        <v>0</v>
      </c>
      <c r="BX36" s="23">
        <f>'QTR Raw'!AR18</f>
        <v>0</v>
      </c>
      <c r="BY36" s="23">
        <f>'QTR Raw'!AS18</f>
        <v>0</v>
      </c>
      <c r="BZ36" s="23">
        <f>'QTR Raw'!AT18</f>
        <v>0</v>
      </c>
      <c r="CA36" s="23">
        <f>'QTR Raw'!AU18</f>
        <v>0</v>
      </c>
      <c r="CB36" s="23">
        <f>'QTR Raw'!AV18</f>
        <v>0</v>
      </c>
      <c r="CC36" s="23">
        <f>'QTR Raw'!AW18</f>
        <v>0</v>
      </c>
      <c r="CD36" s="23">
        <f>'QTR Raw'!AX18</f>
        <v>0</v>
      </c>
      <c r="CE36" s="23">
        <f>'QTR Raw'!AY18</f>
        <v>0</v>
      </c>
      <c r="CF36" s="23">
        <f>'QTR Raw'!AZ18</f>
        <v>0</v>
      </c>
      <c r="CG36" s="23">
        <f>'QTR Raw'!BA18</f>
        <v>0</v>
      </c>
      <c r="CH36" s="23">
        <f>'QTR Raw'!BB18</f>
        <v>0</v>
      </c>
      <c r="CI36" s="23">
        <f>'QTR Raw'!BC18</f>
        <v>0</v>
      </c>
      <c r="CJ36" s="23">
        <f>'QTR Raw'!BD18</f>
        <v>0</v>
      </c>
      <c r="CK36" s="23">
        <f>'QTR Raw'!BE18</f>
        <v>0</v>
      </c>
      <c r="CL36" s="23">
        <f>'QTR Raw'!BF18</f>
        <v>0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2" customFormat="1" x14ac:dyDescent="0.2">
      <c r="A37" s="33" t="s">
        <v>348</v>
      </c>
      <c r="B37" s="22">
        <f t="shared" ref="B37:E37" si="251">+SUM(B31:B36)</f>
        <v>0</v>
      </c>
      <c r="C37" s="22">
        <f t="shared" si="251"/>
        <v>0</v>
      </c>
      <c r="D37" s="22">
        <f t="shared" si="251"/>
        <v>0</v>
      </c>
      <c r="E37" s="22">
        <f t="shared" si="251"/>
        <v>0</v>
      </c>
      <c r="F37" s="22">
        <f t="shared" ref="F37:AE37" si="252">+SUM(F31:F36)</f>
        <v>48.579181999999996</v>
      </c>
      <c r="G37" s="22">
        <f t="shared" si="252"/>
        <v>60.262531600000003</v>
      </c>
      <c r="H37" s="22">
        <f t="shared" si="252"/>
        <v>138.98649360000002</v>
      </c>
      <c r="I37" s="22">
        <f t="shared" si="252"/>
        <v>193.55219009999999</v>
      </c>
      <c r="J37" s="22">
        <f t="shared" si="252"/>
        <v>137.23124150000001</v>
      </c>
      <c r="K37" s="22">
        <f t="shared" si="252"/>
        <v>119.0639571</v>
      </c>
      <c r="L37" s="22">
        <f t="shared" si="252"/>
        <v>0</v>
      </c>
      <c r="M37" s="22">
        <f t="shared" si="252"/>
        <v>0</v>
      </c>
      <c r="N37" s="22">
        <f t="shared" si="252"/>
        <v>323.81100000000004</v>
      </c>
      <c r="O37" s="22">
        <f t="shared" si="252"/>
        <v>313.71799999999996</v>
      </c>
      <c r="P37" s="22">
        <f t="shared" si="252"/>
        <v>412.92900000000003</v>
      </c>
      <c r="Q37" s="22">
        <f t="shared" si="252"/>
        <v>404.28499999999997</v>
      </c>
      <c r="R37" s="22">
        <f t="shared" si="252"/>
        <v>506.46899999999999</v>
      </c>
      <c r="S37" s="22">
        <f t="shared" si="252"/>
        <v>646.81999999999994</v>
      </c>
      <c r="T37" s="22">
        <f t="shared" si="252"/>
        <v>693.25600000000009</v>
      </c>
      <c r="U37" s="22">
        <f t="shared" si="252"/>
        <v>523.84</v>
      </c>
      <c r="V37" s="22">
        <f t="shared" si="252"/>
        <v>468.04000000000008</v>
      </c>
      <c r="W37" s="22">
        <f t="shared" si="252"/>
        <v>684.54</v>
      </c>
      <c r="X37" s="22">
        <f t="shared" si="252"/>
        <v>896.85</v>
      </c>
      <c r="Y37" s="22">
        <f t="shared" si="252"/>
        <v>1237.6699999999998</v>
      </c>
      <c r="Z37" s="22">
        <f t="shared" ref="Z37:AA37" si="253">+SUM(Z31:Z36)</f>
        <v>1804.4099999999999</v>
      </c>
      <c r="AA37" s="22">
        <f t="shared" si="253"/>
        <v>2520.27</v>
      </c>
      <c r="AB37" s="21">
        <f t="shared" si="252"/>
        <v>2847.6344959599078</v>
      </c>
      <c r="AC37" s="21">
        <f t="shared" si="252"/>
        <v>3355.7115972178854</v>
      </c>
      <c r="AD37" s="21">
        <f t="shared" si="252"/>
        <v>3958.8332161690223</v>
      </c>
      <c r="AE37" s="21">
        <f t="shared" si="252"/>
        <v>4671.2665970463759</v>
      </c>
      <c r="AI37" s="22">
        <f t="shared" ref="AI37:BN37" si="254">+SUM(AI31:AI36)</f>
        <v>0</v>
      </c>
      <c r="AJ37" s="22">
        <f t="shared" si="254"/>
        <v>0</v>
      </c>
      <c r="AK37" s="22">
        <f t="shared" si="254"/>
        <v>0</v>
      </c>
      <c r="AL37" s="22">
        <f t="shared" si="254"/>
        <v>0</v>
      </c>
      <c r="AM37" s="22">
        <f t="shared" si="254"/>
        <v>0</v>
      </c>
      <c r="AN37" s="22">
        <f t="shared" si="254"/>
        <v>0</v>
      </c>
      <c r="AO37" s="22">
        <f t="shared" si="254"/>
        <v>0</v>
      </c>
      <c r="AP37" s="22">
        <f t="shared" si="254"/>
        <v>0</v>
      </c>
      <c r="AQ37" s="22">
        <f t="shared" si="254"/>
        <v>0</v>
      </c>
      <c r="AR37" s="22">
        <f t="shared" si="254"/>
        <v>0</v>
      </c>
      <c r="AS37" s="22">
        <f t="shared" si="254"/>
        <v>0</v>
      </c>
      <c r="AT37" s="22">
        <f t="shared" si="254"/>
        <v>0</v>
      </c>
      <c r="AU37" s="22">
        <f t="shared" si="254"/>
        <v>0</v>
      </c>
      <c r="AV37" s="22">
        <f t="shared" si="254"/>
        <v>0</v>
      </c>
      <c r="AW37" s="22">
        <f t="shared" si="254"/>
        <v>0</v>
      </c>
      <c r="AX37" s="22">
        <f t="shared" si="254"/>
        <v>0</v>
      </c>
      <c r="AY37" s="22">
        <f t="shared" si="254"/>
        <v>0</v>
      </c>
      <c r="AZ37" s="22">
        <f t="shared" si="254"/>
        <v>0</v>
      </c>
      <c r="BA37" s="22">
        <f t="shared" si="254"/>
        <v>0</v>
      </c>
      <c r="BB37" s="22">
        <f t="shared" si="254"/>
        <v>0</v>
      </c>
      <c r="BC37" s="22">
        <f t="shared" si="254"/>
        <v>0</v>
      </c>
      <c r="BD37" s="22">
        <f t="shared" si="254"/>
        <v>0</v>
      </c>
      <c r="BE37" s="22">
        <f t="shared" si="254"/>
        <v>0</v>
      </c>
      <c r="BF37" s="22">
        <f t="shared" si="254"/>
        <v>0</v>
      </c>
      <c r="BG37" s="22">
        <f t="shared" si="254"/>
        <v>0</v>
      </c>
      <c r="BH37" s="22">
        <f t="shared" si="254"/>
        <v>0</v>
      </c>
      <c r="BI37" s="22">
        <f t="shared" si="254"/>
        <v>0</v>
      </c>
      <c r="BJ37" s="22">
        <f t="shared" si="254"/>
        <v>0</v>
      </c>
      <c r="BK37" s="22">
        <f t="shared" si="254"/>
        <v>0</v>
      </c>
      <c r="BL37" s="22">
        <f t="shared" si="254"/>
        <v>0</v>
      </c>
      <c r="BM37" s="22">
        <f t="shared" si="254"/>
        <v>0</v>
      </c>
      <c r="BN37" s="22">
        <f t="shared" si="254"/>
        <v>119.41</v>
      </c>
      <c r="BO37" s="22">
        <f t="shared" ref="BO37:CH37" si="255">+SUM(BO31:BO36)</f>
        <v>46.7</v>
      </c>
      <c r="BP37" s="22">
        <f t="shared" si="255"/>
        <v>112.21000000000001</v>
      </c>
      <c r="BQ37" s="22">
        <f t="shared" si="255"/>
        <v>142.52000000000001</v>
      </c>
      <c r="BR37" s="22">
        <f t="shared" si="255"/>
        <v>153.75</v>
      </c>
      <c r="BS37" s="22">
        <f t="shared" si="255"/>
        <v>133.39000000000001</v>
      </c>
      <c r="BT37" s="22">
        <f t="shared" si="255"/>
        <v>164.01999999999998</v>
      </c>
      <c r="BU37" s="22">
        <f t="shared" si="255"/>
        <v>172.64</v>
      </c>
      <c r="BV37" s="22">
        <f t="shared" si="255"/>
        <v>178.76</v>
      </c>
      <c r="BW37" s="22">
        <f t="shared" si="255"/>
        <v>189.91</v>
      </c>
      <c r="BX37" s="22">
        <f t="shared" si="255"/>
        <v>207</v>
      </c>
      <c r="BY37" s="22">
        <f t="shared" si="255"/>
        <v>212.87</v>
      </c>
      <c r="BZ37" s="22">
        <f t="shared" si="255"/>
        <v>259.77999999999997</v>
      </c>
      <c r="CA37" s="22">
        <f t="shared" si="255"/>
        <v>278.5</v>
      </c>
      <c r="CB37" s="22">
        <f t="shared" si="255"/>
        <v>314.55</v>
      </c>
      <c r="CC37" s="22">
        <f t="shared" si="255"/>
        <v>308.51</v>
      </c>
      <c r="CD37" s="22">
        <f t="shared" si="255"/>
        <v>300.03000000000003</v>
      </c>
      <c r="CE37" s="22">
        <f t="shared" si="255"/>
        <v>305.46999999999997</v>
      </c>
      <c r="CF37" s="22">
        <f t="shared" si="255"/>
        <v>345.99</v>
      </c>
      <c r="CG37" s="22">
        <f t="shared" si="255"/>
        <v>545.96</v>
      </c>
      <c r="CH37" s="22">
        <f t="shared" si="255"/>
        <v>558.28</v>
      </c>
      <c r="CI37" s="22">
        <f t="shared" ref="CI37:CJ37" si="256">+SUM(CI31:CI36)</f>
        <v>557.86</v>
      </c>
      <c r="CJ37" s="22">
        <f t="shared" si="256"/>
        <v>604.37</v>
      </c>
      <c r="CK37" s="22">
        <f t="shared" ref="CK37:CL37" si="257">+SUM(CK31:CK36)</f>
        <v>614.46</v>
      </c>
      <c r="CL37" s="22">
        <f t="shared" si="257"/>
        <v>653.03</v>
      </c>
      <c r="CM37" s="21">
        <f t="shared" ref="CM37:DB37" si="258">CM38*CM21</f>
        <v>635.02773222561484</v>
      </c>
      <c r="CN37" s="21">
        <f t="shared" si="258"/>
        <v>705.95985647356235</v>
      </c>
      <c r="CO37" s="21">
        <f t="shared" si="258"/>
        <v>723.75244900075108</v>
      </c>
      <c r="CP37" s="21">
        <f t="shared" si="258"/>
        <v>782.89445825997927</v>
      </c>
      <c r="CQ37" s="21">
        <f t="shared" si="258"/>
        <v>743.15938553418493</v>
      </c>
      <c r="CR37" s="21">
        <f t="shared" si="258"/>
        <v>832.06909828660218</v>
      </c>
      <c r="CS37" s="21">
        <f t="shared" si="258"/>
        <v>854.9720724842133</v>
      </c>
      <c r="CT37" s="21">
        <f t="shared" si="258"/>
        <v>925.51104091288539</v>
      </c>
      <c r="CU37" s="21">
        <f t="shared" si="258"/>
        <v>875.49593620928545</v>
      </c>
      <c r="CV37" s="21">
        <f t="shared" si="258"/>
        <v>981.87627372280042</v>
      </c>
      <c r="CW37" s="21">
        <f t="shared" si="258"/>
        <v>1009.2038263187019</v>
      </c>
      <c r="CX37" s="21">
        <f t="shared" si="258"/>
        <v>1092.2571799182347</v>
      </c>
      <c r="CY37" s="21">
        <f t="shared" si="258"/>
        <v>1032.794449117461</v>
      </c>
      <c r="CZ37" s="21">
        <f t="shared" si="258"/>
        <v>1158.6802399265225</v>
      </c>
      <c r="DA37" s="21">
        <f t="shared" si="258"/>
        <v>1190.9350820975997</v>
      </c>
      <c r="DB37" s="21">
        <f t="shared" si="258"/>
        <v>1288.8568259047931</v>
      </c>
      <c r="DE37" s="126"/>
      <c r="DF37" s="22">
        <v>646.77290367115825</v>
      </c>
    </row>
    <row r="38" spans="1:110" s="44" customFormat="1" x14ac:dyDescent="0.2">
      <c r="A38" s="43" t="s">
        <v>349</v>
      </c>
      <c r="B38" s="44" t="e">
        <f t="shared" ref="B38:E38" si="259">B37/B21</f>
        <v>#DIV/0!</v>
      </c>
      <c r="C38" s="44" t="e">
        <f t="shared" si="259"/>
        <v>#DIV/0!</v>
      </c>
      <c r="D38" s="44" t="e">
        <f t="shared" si="259"/>
        <v>#DIV/0!</v>
      </c>
      <c r="E38" s="44" t="e">
        <f t="shared" si="259"/>
        <v>#DIV/0!</v>
      </c>
      <c r="F38" s="44">
        <f t="shared" ref="F38:AE38" si="260">F37/F21</f>
        <v>0.6083033599682196</v>
      </c>
      <c r="G38" s="44">
        <f t="shared" si="260"/>
        <v>0.52855665311287758</v>
      </c>
      <c r="H38" s="44">
        <f t="shared" si="260"/>
        <v>0.9234281771614048</v>
      </c>
      <c r="I38" s="44">
        <f t="shared" si="260"/>
        <v>0.92901127297617292</v>
      </c>
      <c r="J38" s="44">
        <f t="shared" si="260"/>
        <v>0.54446174282326854</v>
      </c>
      <c r="K38" s="44">
        <f t="shared" si="260"/>
        <v>0.6274577941019357</v>
      </c>
      <c r="L38" s="44" t="e">
        <f t="shared" si="260"/>
        <v>#DIV/0!</v>
      </c>
      <c r="M38" s="44" t="e">
        <f t="shared" si="260"/>
        <v>#DIV/0!</v>
      </c>
      <c r="N38" s="44">
        <f t="shared" si="260"/>
        <v>0.53644665038716288</v>
      </c>
      <c r="O38" s="44">
        <f t="shared" si="260"/>
        <v>0.50929073523920831</v>
      </c>
      <c r="P38" s="44">
        <f t="shared" si="260"/>
        <v>0.51609222266521859</v>
      </c>
      <c r="Q38" s="44">
        <f t="shared" si="260"/>
        <v>0.45167067372146641</v>
      </c>
      <c r="R38" s="44">
        <f t="shared" si="260"/>
        <v>0.45964329859856934</v>
      </c>
      <c r="S38" s="44">
        <f t="shared" si="260"/>
        <v>0.43730942674211842</v>
      </c>
      <c r="T38" s="44">
        <f t="shared" si="260"/>
        <v>0.38132746463572476</v>
      </c>
      <c r="U38" s="44">
        <f t="shared" si="260"/>
        <v>0.35099098133283307</v>
      </c>
      <c r="V38" s="44">
        <f t="shared" si="260"/>
        <v>0.3000352575403058</v>
      </c>
      <c r="W38" s="44">
        <f t="shared" si="260"/>
        <v>0.30876582078646109</v>
      </c>
      <c r="X38" s="44">
        <f t="shared" si="260"/>
        <v>0.28179790108716146</v>
      </c>
      <c r="Y38" s="44">
        <f t="shared" si="260"/>
        <v>0.278020005705647</v>
      </c>
      <c r="Z38" s="44">
        <f t="shared" ref="Z38:AA38" si="261">Z37/Z21</f>
        <v>0.31709275843162615</v>
      </c>
      <c r="AA38" s="44">
        <f t="shared" si="261"/>
        <v>0.31232936808410178</v>
      </c>
      <c r="AB38" s="52">
        <f t="shared" si="260"/>
        <v>0.29906665322233356</v>
      </c>
      <c r="AC38" s="52">
        <f t="shared" si="260"/>
        <v>0.29866639979727899</v>
      </c>
      <c r="AD38" s="52">
        <f t="shared" si="260"/>
        <v>0.29859802871247509</v>
      </c>
      <c r="AE38" s="52">
        <f t="shared" si="260"/>
        <v>0.29858801894414061</v>
      </c>
      <c r="AI38" s="44" t="e">
        <f t="shared" ref="AI38:BN38" si="262">AI37/AI21</f>
        <v>#DIV/0!</v>
      </c>
      <c r="AJ38" s="44" t="e">
        <f t="shared" si="262"/>
        <v>#DIV/0!</v>
      </c>
      <c r="AK38" s="44" t="e">
        <f t="shared" si="262"/>
        <v>#DIV/0!</v>
      </c>
      <c r="AL38" s="44" t="e">
        <f t="shared" si="262"/>
        <v>#DIV/0!</v>
      </c>
      <c r="AM38" s="44" t="e">
        <f t="shared" si="262"/>
        <v>#DIV/0!</v>
      </c>
      <c r="AN38" s="44" t="e">
        <f t="shared" si="262"/>
        <v>#DIV/0!</v>
      </c>
      <c r="AO38" s="44" t="e">
        <f t="shared" si="262"/>
        <v>#DIV/0!</v>
      </c>
      <c r="AP38" s="44" t="e">
        <f t="shared" si="262"/>
        <v>#DIV/0!</v>
      </c>
      <c r="AQ38" s="44" t="e">
        <f t="shared" si="262"/>
        <v>#DIV/0!</v>
      </c>
      <c r="AR38" s="44" t="e">
        <f t="shared" si="262"/>
        <v>#DIV/0!</v>
      </c>
      <c r="AS38" s="44" t="e">
        <f t="shared" si="262"/>
        <v>#DIV/0!</v>
      </c>
      <c r="AT38" s="44" t="e">
        <f t="shared" si="262"/>
        <v>#DIV/0!</v>
      </c>
      <c r="AU38" s="44" t="e">
        <f t="shared" si="262"/>
        <v>#DIV/0!</v>
      </c>
      <c r="AV38" s="44" t="e">
        <f t="shared" si="262"/>
        <v>#DIV/0!</v>
      </c>
      <c r="AW38" s="44" t="e">
        <f t="shared" si="262"/>
        <v>#DIV/0!</v>
      </c>
      <c r="AX38" s="44" t="e">
        <f t="shared" si="262"/>
        <v>#DIV/0!</v>
      </c>
      <c r="AY38" s="44" t="e">
        <f t="shared" si="262"/>
        <v>#DIV/0!</v>
      </c>
      <c r="AZ38" s="44" t="e">
        <f t="shared" si="262"/>
        <v>#DIV/0!</v>
      </c>
      <c r="BA38" s="44" t="e">
        <f t="shared" si="262"/>
        <v>#DIV/0!</v>
      </c>
      <c r="BB38" s="44" t="e">
        <f t="shared" si="262"/>
        <v>#DIV/0!</v>
      </c>
      <c r="BC38" s="44" t="e">
        <f t="shared" si="262"/>
        <v>#DIV/0!</v>
      </c>
      <c r="BD38" s="44" t="e">
        <f t="shared" si="262"/>
        <v>#DIV/0!</v>
      </c>
      <c r="BE38" s="44" t="e">
        <f t="shared" si="262"/>
        <v>#DIV/0!</v>
      </c>
      <c r="BF38" s="44" t="e">
        <f t="shared" si="262"/>
        <v>#DIV/0!</v>
      </c>
      <c r="BG38" s="44" t="e">
        <f t="shared" si="262"/>
        <v>#DIV/0!</v>
      </c>
      <c r="BH38" s="44" t="e">
        <f t="shared" si="262"/>
        <v>#DIV/0!</v>
      </c>
      <c r="BI38" s="44" t="e">
        <f t="shared" si="262"/>
        <v>#DIV/0!</v>
      </c>
      <c r="BJ38" s="44" t="e">
        <f t="shared" si="262"/>
        <v>#DIV/0!</v>
      </c>
      <c r="BK38" s="44" t="e">
        <f t="shared" si="262"/>
        <v>#DIV/0!</v>
      </c>
      <c r="BL38" s="44" t="e">
        <f t="shared" si="262"/>
        <v>#DIV/0!</v>
      </c>
      <c r="BM38" s="44" t="e">
        <f t="shared" si="262"/>
        <v>#DIV/0!</v>
      </c>
      <c r="BN38" s="44">
        <f t="shared" si="262"/>
        <v>0.35707664244490295</v>
      </c>
      <c r="BO38" s="44">
        <f t="shared" ref="BO38:CH38" si="263">BO37/BO21</f>
        <v>0.28650306748466259</v>
      </c>
      <c r="BP38" s="44">
        <f t="shared" si="263"/>
        <v>0.30268126888217523</v>
      </c>
      <c r="BQ38" s="44">
        <f t="shared" si="263"/>
        <v>0.2914102275747848</v>
      </c>
      <c r="BR38" s="44">
        <f t="shared" si="263"/>
        <v>0.28622756720530196</v>
      </c>
      <c r="BS38" s="44">
        <f t="shared" si="263"/>
        <v>0.3065098003171029</v>
      </c>
      <c r="BT38" s="44">
        <f t="shared" si="263"/>
        <v>0.28724540726081854</v>
      </c>
      <c r="BU38" s="44">
        <f t="shared" si="263"/>
        <v>0.31154019669764504</v>
      </c>
      <c r="BV38" s="44">
        <f t="shared" si="263"/>
        <v>0.272221968416404</v>
      </c>
      <c r="BW38" s="44">
        <f t="shared" si="263"/>
        <v>0.28053356180571964</v>
      </c>
      <c r="BX38" s="44">
        <f t="shared" si="263"/>
        <v>0.26667010203029989</v>
      </c>
      <c r="BY38" s="44">
        <f t="shared" si="263"/>
        <v>0.28419422453039267</v>
      </c>
      <c r="BZ38" s="44">
        <f t="shared" si="263"/>
        <v>0.26498158858390197</v>
      </c>
      <c r="CA38" s="44">
        <f t="shared" si="263"/>
        <v>0.26840010408334375</v>
      </c>
      <c r="CB38" s="44">
        <f t="shared" si="263"/>
        <v>0.26678031652333217</v>
      </c>
      <c r="CC38" s="44">
        <f t="shared" si="263"/>
        <v>0.27309020093830216</v>
      </c>
      <c r="CD38" s="44">
        <f t="shared" si="263"/>
        <v>0.27143684296234649</v>
      </c>
      <c r="CE38" s="44">
        <f t="shared" si="263"/>
        <v>0.26535150583309441</v>
      </c>
      <c r="CF38" s="44">
        <f t="shared" si="263"/>
        <v>0.28501173853947853</v>
      </c>
      <c r="CG38" s="44">
        <f t="shared" si="263"/>
        <v>0.34640153798323703</v>
      </c>
      <c r="CH38" s="44">
        <f t="shared" si="263"/>
        <v>0.3191539231099042</v>
      </c>
      <c r="CI38" s="44">
        <f t="shared" ref="CI38:CJ38" si="264">CI37/CI21</f>
        <v>0.3127017937219731</v>
      </c>
      <c r="CJ38" s="44">
        <f t="shared" si="264"/>
        <v>0.30194495376175939</v>
      </c>
      <c r="CK38" s="44">
        <f t="shared" ref="CK38:CL38" si="265">CK37/CK21</f>
        <v>0.29867592160522632</v>
      </c>
      <c r="CL38" s="44">
        <f t="shared" si="265"/>
        <v>0.29331207330219183</v>
      </c>
      <c r="CM38" s="52">
        <f t="shared" ref="CM38:DB38" si="266">AVERAGE(CI38:CL38)</f>
        <v>0.30165868559778769</v>
      </c>
      <c r="CN38" s="52">
        <f t="shared" si="266"/>
        <v>0.29889790856674131</v>
      </c>
      <c r="CO38" s="52">
        <f t="shared" si="266"/>
        <v>0.29813614726798682</v>
      </c>
      <c r="CP38" s="52">
        <f t="shared" si="266"/>
        <v>0.29800120368367694</v>
      </c>
      <c r="CQ38" s="52">
        <f t="shared" si="266"/>
        <v>0.29917348627904822</v>
      </c>
      <c r="CR38" s="52">
        <f t="shared" si="266"/>
        <v>0.29855218644936332</v>
      </c>
      <c r="CS38" s="52">
        <f t="shared" si="266"/>
        <v>0.29846575592001878</v>
      </c>
      <c r="CT38" s="52">
        <f t="shared" si="266"/>
        <v>0.29854815808302682</v>
      </c>
      <c r="CU38" s="52">
        <f t="shared" si="266"/>
        <v>0.29868489668286424</v>
      </c>
      <c r="CV38" s="52">
        <f t="shared" si="266"/>
        <v>0.29856274928381832</v>
      </c>
      <c r="CW38" s="52">
        <f t="shared" si="266"/>
        <v>0.29856538999243204</v>
      </c>
      <c r="CX38" s="52">
        <f t="shared" si="266"/>
        <v>0.29859029851053537</v>
      </c>
      <c r="CY38" s="52">
        <f t="shared" si="266"/>
        <v>0.29860083361741246</v>
      </c>
      <c r="CZ38" s="52">
        <f t="shared" si="266"/>
        <v>0.29857981785104953</v>
      </c>
      <c r="DA38" s="52">
        <f t="shared" si="266"/>
        <v>0.29858408499285732</v>
      </c>
      <c r="DB38" s="52">
        <f t="shared" si="266"/>
        <v>0.2985887587429637</v>
      </c>
      <c r="DE38" s="128"/>
      <c r="DF38" s="44">
        <v>0.30811914804971574</v>
      </c>
    </row>
    <row r="39" spans="1:110" s="26" customFormat="1" x14ac:dyDescent="0.2">
      <c r="A39" s="34" t="s">
        <v>13</v>
      </c>
      <c r="B39" s="26">
        <f t="shared" ref="B39:E39" si="267">B27-B37</f>
        <v>0</v>
      </c>
      <c r="C39" s="26">
        <f t="shared" si="267"/>
        <v>0</v>
      </c>
      <c r="D39" s="26">
        <f t="shared" si="267"/>
        <v>0</v>
      </c>
      <c r="E39" s="26">
        <f t="shared" si="267"/>
        <v>0</v>
      </c>
      <c r="F39" s="26">
        <f t="shared" ref="F39:AE39" si="268">F27-F37</f>
        <v>12.549970000000009</v>
      </c>
      <c r="G39" s="26">
        <f t="shared" si="268"/>
        <v>18.374706700000004</v>
      </c>
      <c r="H39" s="26">
        <f t="shared" si="268"/>
        <v>18.147446399999978</v>
      </c>
      <c r="I39" s="26">
        <f t="shared" si="268"/>
        <v>14.789942800000006</v>
      </c>
      <c r="J39" s="26">
        <f t="shared" si="268"/>
        <v>26.551738799999981</v>
      </c>
      <c r="K39" s="26">
        <f t="shared" si="268"/>
        <v>31.737905099999992</v>
      </c>
      <c r="L39" s="26">
        <f t="shared" si="268"/>
        <v>0</v>
      </c>
      <c r="M39" s="26">
        <f t="shared" si="268"/>
        <v>0</v>
      </c>
      <c r="N39" s="26">
        <f t="shared" si="268"/>
        <v>167.72799999999989</v>
      </c>
      <c r="O39" s="26">
        <f t="shared" si="268"/>
        <v>163.15000000000009</v>
      </c>
      <c r="P39" s="26">
        <f t="shared" si="268"/>
        <v>189.81499999999988</v>
      </c>
      <c r="Q39" s="26">
        <f t="shared" si="268"/>
        <v>223.52900000000011</v>
      </c>
      <c r="R39" s="26">
        <f t="shared" si="268"/>
        <v>227.4980000000001</v>
      </c>
      <c r="S39" s="26">
        <f t="shared" si="268"/>
        <v>276.2700000000001</v>
      </c>
      <c r="T39" s="26">
        <f t="shared" si="268"/>
        <v>442.08300000000008</v>
      </c>
      <c r="U39" s="26">
        <f t="shared" si="268"/>
        <v>397.29000000000008</v>
      </c>
      <c r="V39" s="26">
        <f t="shared" si="268"/>
        <v>437.48</v>
      </c>
      <c r="W39" s="26">
        <f t="shared" si="268"/>
        <v>533.59000000000015</v>
      </c>
      <c r="X39" s="26">
        <f t="shared" si="268"/>
        <v>683.61</v>
      </c>
      <c r="Y39" s="26">
        <f t="shared" si="268"/>
        <v>877.87999999999988</v>
      </c>
      <c r="Z39" s="26">
        <f t="shared" ref="Z39:AA39" si="269">Z27-Z37</f>
        <v>832.70999999999958</v>
      </c>
      <c r="AA39" s="26">
        <f t="shared" si="269"/>
        <v>1237.5900000000006</v>
      </c>
      <c r="AB39" s="27">
        <f t="shared" si="268"/>
        <v>1471.8875879395923</v>
      </c>
      <c r="AC39" s="27">
        <f t="shared" si="268"/>
        <v>1740.2303673158876</v>
      </c>
      <c r="AD39" s="27">
        <f t="shared" si="268"/>
        <v>2054.3020295014067</v>
      </c>
      <c r="AE39" s="27">
        <f t="shared" si="268"/>
        <v>2424.2496540852908</v>
      </c>
      <c r="AI39" s="26">
        <f t="shared" ref="AI39:BN39" si="270">AI27-AI37</f>
        <v>0</v>
      </c>
      <c r="AJ39" s="26">
        <f t="shared" si="270"/>
        <v>0</v>
      </c>
      <c r="AK39" s="26">
        <f t="shared" si="270"/>
        <v>0</v>
      </c>
      <c r="AL39" s="26">
        <f t="shared" si="270"/>
        <v>0</v>
      </c>
      <c r="AM39" s="26">
        <f t="shared" si="270"/>
        <v>0</v>
      </c>
      <c r="AN39" s="26">
        <f t="shared" si="270"/>
        <v>0</v>
      </c>
      <c r="AO39" s="26">
        <f t="shared" si="270"/>
        <v>0</v>
      </c>
      <c r="AP39" s="26">
        <f t="shared" si="270"/>
        <v>0</v>
      </c>
      <c r="AQ39" s="26">
        <f t="shared" si="270"/>
        <v>0</v>
      </c>
      <c r="AR39" s="26">
        <f t="shared" si="270"/>
        <v>0</v>
      </c>
      <c r="AS39" s="26">
        <f t="shared" si="270"/>
        <v>0</v>
      </c>
      <c r="AT39" s="26">
        <f t="shared" si="270"/>
        <v>0</v>
      </c>
      <c r="AU39" s="26">
        <f t="shared" si="270"/>
        <v>0</v>
      </c>
      <c r="AV39" s="26">
        <f t="shared" si="270"/>
        <v>0</v>
      </c>
      <c r="AW39" s="26">
        <f t="shared" si="270"/>
        <v>0</v>
      </c>
      <c r="AX39" s="26">
        <f t="shared" si="270"/>
        <v>0</v>
      </c>
      <c r="AY39" s="26">
        <f t="shared" si="270"/>
        <v>0</v>
      </c>
      <c r="AZ39" s="26">
        <f t="shared" si="270"/>
        <v>0</v>
      </c>
      <c r="BA39" s="26">
        <f t="shared" si="270"/>
        <v>0</v>
      </c>
      <c r="BB39" s="26">
        <f t="shared" si="270"/>
        <v>0</v>
      </c>
      <c r="BC39" s="26">
        <f t="shared" si="270"/>
        <v>0</v>
      </c>
      <c r="BD39" s="26">
        <f t="shared" si="270"/>
        <v>0</v>
      </c>
      <c r="BE39" s="26">
        <f t="shared" si="270"/>
        <v>0</v>
      </c>
      <c r="BF39" s="26">
        <f t="shared" si="270"/>
        <v>0</v>
      </c>
      <c r="BG39" s="26">
        <f t="shared" si="270"/>
        <v>0</v>
      </c>
      <c r="BH39" s="26">
        <f t="shared" si="270"/>
        <v>0</v>
      </c>
      <c r="BI39" s="26">
        <f t="shared" si="270"/>
        <v>0</v>
      </c>
      <c r="BJ39" s="26">
        <f t="shared" si="270"/>
        <v>0</v>
      </c>
      <c r="BK39" s="26">
        <f t="shared" si="270"/>
        <v>0</v>
      </c>
      <c r="BL39" s="26">
        <f t="shared" si="270"/>
        <v>0</v>
      </c>
      <c r="BM39" s="26">
        <f t="shared" si="270"/>
        <v>0</v>
      </c>
      <c r="BN39" s="26">
        <f t="shared" si="270"/>
        <v>86.350000000000023</v>
      </c>
      <c r="BO39" s="26">
        <f t="shared" ref="BO39:CT39" si="271">BO27-BO37</f>
        <v>44.689999999999984</v>
      </c>
      <c r="BP39" s="26">
        <f t="shared" si="271"/>
        <v>101.25999999999999</v>
      </c>
      <c r="BQ39" s="26">
        <f t="shared" si="271"/>
        <v>141.48999999999998</v>
      </c>
      <c r="BR39" s="26">
        <f t="shared" si="271"/>
        <v>150.79999999999995</v>
      </c>
      <c r="BS39" s="26">
        <f t="shared" si="271"/>
        <v>107.73999999999998</v>
      </c>
      <c r="BT39" s="26">
        <f t="shared" si="271"/>
        <v>143.60000000000002</v>
      </c>
      <c r="BU39" s="26">
        <f t="shared" si="271"/>
        <v>127.80999999999995</v>
      </c>
      <c r="BV39" s="26">
        <f t="shared" si="271"/>
        <v>155.01</v>
      </c>
      <c r="BW39" s="26">
        <f t="shared" si="271"/>
        <v>164.68000000000004</v>
      </c>
      <c r="BX39" s="26">
        <f t="shared" si="271"/>
        <v>172.19000000000005</v>
      </c>
      <c r="BY39" s="26">
        <f t="shared" si="271"/>
        <v>158.29999999999995</v>
      </c>
      <c r="BZ39" s="26">
        <f t="shared" si="271"/>
        <v>188.43999999999994</v>
      </c>
      <c r="CA39" s="26">
        <f t="shared" si="271"/>
        <v>214.23000000000013</v>
      </c>
      <c r="CB39" s="26">
        <f t="shared" si="271"/>
        <v>237.50000000000006</v>
      </c>
      <c r="CC39" s="26">
        <f t="shared" si="271"/>
        <v>220.20000000000005</v>
      </c>
      <c r="CD39" s="26">
        <f t="shared" si="271"/>
        <v>206.90000000000003</v>
      </c>
      <c r="CE39" s="26">
        <f t="shared" si="271"/>
        <v>197.3300000000001</v>
      </c>
      <c r="CF39" s="26">
        <f t="shared" si="271"/>
        <v>192.78000000000009</v>
      </c>
      <c r="CG39" s="26">
        <f t="shared" si="271"/>
        <v>198.9799999999999</v>
      </c>
      <c r="CH39" s="26">
        <f t="shared" si="271"/>
        <v>243.62000000000012</v>
      </c>
      <c r="CI39" s="26">
        <f t="shared" ref="CI39:CJ39" si="272">CI27-CI37</f>
        <v>264.93999999999994</v>
      </c>
      <c r="CJ39" s="26">
        <f t="shared" si="272"/>
        <v>301.89999999999975</v>
      </c>
      <c r="CK39" s="26">
        <f t="shared" ref="CK39:CL39" si="273">CK27-CK37</f>
        <v>312.22000000000025</v>
      </c>
      <c r="CL39" s="26">
        <f t="shared" si="273"/>
        <v>358.5300000000002</v>
      </c>
      <c r="CM39" s="27">
        <f t="shared" si="271"/>
        <v>322.15614716481628</v>
      </c>
      <c r="CN39" s="27">
        <f t="shared" si="271"/>
        <v>364.12095467910933</v>
      </c>
      <c r="CO39" s="27">
        <f t="shared" si="271"/>
        <v>376.27639107549408</v>
      </c>
      <c r="CP39" s="27">
        <f t="shared" si="271"/>
        <v>409.33409502017207</v>
      </c>
      <c r="CQ39" s="27">
        <f t="shared" si="271"/>
        <v>383.79036962094904</v>
      </c>
      <c r="CR39" s="27">
        <f t="shared" si="271"/>
        <v>431.62302311879193</v>
      </c>
      <c r="CS39" s="27">
        <f t="shared" si="271"/>
        <v>444.13572846977934</v>
      </c>
      <c r="CT39" s="27">
        <f t="shared" si="271"/>
        <v>480.68124610636551</v>
      </c>
      <c r="CU39" s="27">
        <f t="shared" ref="CU39:DB39" si="274">CU27-CU37</f>
        <v>453.94533817920205</v>
      </c>
      <c r="CV39" s="27">
        <f t="shared" si="274"/>
        <v>509.61279532421815</v>
      </c>
      <c r="CW39" s="27">
        <f t="shared" si="274"/>
        <v>523.86816861606053</v>
      </c>
      <c r="CX39" s="27">
        <f t="shared" si="274"/>
        <v>566.87572738192534</v>
      </c>
      <c r="CY39" s="27">
        <f t="shared" si="274"/>
        <v>535.91840465135897</v>
      </c>
      <c r="CZ39" s="27">
        <f t="shared" si="274"/>
        <v>601.35676954654696</v>
      </c>
      <c r="DA39" s="27">
        <f t="shared" si="274"/>
        <v>618.09176012786884</v>
      </c>
      <c r="DB39" s="27">
        <f t="shared" si="274"/>
        <v>668.88271975951375</v>
      </c>
      <c r="DE39" s="121"/>
      <c r="DF39" s="26">
        <v>309.81334184813977</v>
      </c>
    </row>
    <row r="40" spans="1:110" s="168" customFormat="1" x14ac:dyDescent="0.2">
      <c r="A40" s="165" t="s">
        <v>14</v>
      </c>
      <c r="B40" s="166" t="e">
        <f t="shared" ref="B40:E40" si="275">B39/B21</f>
        <v>#DIV/0!</v>
      </c>
      <c r="C40" s="166" t="e">
        <f t="shared" si="275"/>
        <v>#DIV/0!</v>
      </c>
      <c r="D40" s="166" t="e">
        <f t="shared" si="275"/>
        <v>#DIV/0!</v>
      </c>
      <c r="E40" s="166" t="e">
        <f t="shared" si="275"/>
        <v>#DIV/0!</v>
      </c>
      <c r="F40" s="166">
        <f t="shared" ref="F40:AE40" si="276">F39/F21</f>
        <v>0.15714939206881587</v>
      </c>
      <c r="G40" s="166">
        <f t="shared" si="276"/>
        <v>0.16116271947796446</v>
      </c>
      <c r="H40" s="166">
        <f t="shared" si="276"/>
        <v>0.12057188375091345</v>
      </c>
      <c r="I40" s="166">
        <f t="shared" si="276"/>
        <v>7.0988727023827095E-2</v>
      </c>
      <c r="J40" s="166">
        <f t="shared" si="276"/>
        <v>0.10534340303287419</v>
      </c>
      <c r="K40" s="166">
        <f t="shared" si="276"/>
        <v>0.16725629156384364</v>
      </c>
      <c r="L40" s="166" t="e">
        <f t="shared" si="276"/>
        <v>#DIV/0!</v>
      </c>
      <c r="M40" s="166" t="e">
        <f t="shared" si="276"/>
        <v>#DIV/0!</v>
      </c>
      <c r="N40" s="166">
        <f t="shared" si="276"/>
        <v>0.27786926255172922</v>
      </c>
      <c r="O40" s="166">
        <f t="shared" si="276"/>
        <v>0.26485819574993114</v>
      </c>
      <c r="P40" s="166">
        <f t="shared" si="276"/>
        <v>0.23723701954863524</v>
      </c>
      <c r="Q40" s="166">
        <f t="shared" si="276"/>
        <v>0.24972851831328327</v>
      </c>
      <c r="R40" s="166">
        <f t="shared" si="276"/>
        <v>0.20646462299682186</v>
      </c>
      <c r="S40" s="166">
        <f t="shared" si="276"/>
        <v>0.18678376569377125</v>
      </c>
      <c r="T40" s="166">
        <f t="shared" si="276"/>
        <v>0.24316903070230206</v>
      </c>
      <c r="U40" s="166">
        <f t="shared" si="276"/>
        <v>0.26619808906101339</v>
      </c>
      <c r="V40" s="166">
        <f t="shared" si="276"/>
        <v>0.28044488605404022</v>
      </c>
      <c r="W40" s="166">
        <f t="shared" si="276"/>
        <v>0.24067892937366381</v>
      </c>
      <c r="X40" s="166">
        <f t="shared" si="276"/>
        <v>0.21479607867781061</v>
      </c>
      <c r="Y40" s="166">
        <f t="shared" si="276"/>
        <v>0.19719974032567114</v>
      </c>
      <c r="Z40" s="166">
        <f t="shared" ref="Z40:AA40" si="277">Z39/Z21</f>
        <v>0.14633387693129571</v>
      </c>
      <c r="AA40" s="166">
        <f t="shared" si="277"/>
        <v>0.15337075100969488</v>
      </c>
      <c r="AB40" s="167">
        <f t="shared" si="276"/>
        <v>0.15458181008451463</v>
      </c>
      <c r="AC40" s="167">
        <f t="shared" si="276"/>
        <v>0.15488468647157866</v>
      </c>
      <c r="AD40" s="167">
        <f t="shared" si="276"/>
        <v>0.1549473046461797</v>
      </c>
      <c r="AE40" s="167">
        <f t="shared" si="276"/>
        <v>0.15495837940335797</v>
      </c>
      <c r="AI40" s="166" t="e">
        <f t="shared" ref="AI40:BN40" si="278">AI39/AI21</f>
        <v>#DIV/0!</v>
      </c>
      <c r="AJ40" s="166" t="e">
        <f t="shared" si="278"/>
        <v>#DIV/0!</v>
      </c>
      <c r="AK40" s="166" t="e">
        <f t="shared" si="278"/>
        <v>#DIV/0!</v>
      </c>
      <c r="AL40" s="166" t="e">
        <f t="shared" si="278"/>
        <v>#DIV/0!</v>
      </c>
      <c r="AM40" s="166" t="e">
        <f t="shared" si="278"/>
        <v>#DIV/0!</v>
      </c>
      <c r="AN40" s="166" t="e">
        <f t="shared" si="278"/>
        <v>#DIV/0!</v>
      </c>
      <c r="AO40" s="166" t="e">
        <f t="shared" si="278"/>
        <v>#DIV/0!</v>
      </c>
      <c r="AP40" s="166" t="e">
        <f t="shared" si="278"/>
        <v>#DIV/0!</v>
      </c>
      <c r="AQ40" s="166" t="e">
        <f t="shared" si="278"/>
        <v>#DIV/0!</v>
      </c>
      <c r="AR40" s="166" t="e">
        <f t="shared" si="278"/>
        <v>#DIV/0!</v>
      </c>
      <c r="AS40" s="166" t="e">
        <f t="shared" si="278"/>
        <v>#DIV/0!</v>
      </c>
      <c r="AT40" s="166" t="e">
        <f t="shared" si="278"/>
        <v>#DIV/0!</v>
      </c>
      <c r="AU40" s="166" t="e">
        <f t="shared" si="278"/>
        <v>#DIV/0!</v>
      </c>
      <c r="AV40" s="166" t="e">
        <f t="shared" si="278"/>
        <v>#DIV/0!</v>
      </c>
      <c r="AW40" s="166" t="e">
        <f t="shared" si="278"/>
        <v>#DIV/0!</v>
      </c>
      <c r="AX40" s="166" t="e">
        <f t="shared" si="278"/>
        <v>#DIV/0!</v>
      </c>
      <c r="AY40" s="166" t="e">
        <f t="shared" si="278"/>
        <v>#DIV/0!</v>
      </c>
      <c r="AZ40" s="166" t="e">
        <f t="shared" si="278"/>
        <v>#DIV/0!</v>
      </c>
      <c r="BA40" s="166" t="e">
        <f t="shared" si="278"/>
        <v>#DIV/0!</v>
      </c>
      <c r="BB40" s="166" t="e">
        <f t="shared" si="278"/>
        <v>#DIV/0!</v>
      </c>
      <c r="BC40" s="166" t="e">
        <f t="shared" si="278"/>
        <v>#DIV/0!</v>
      </c>
      <c r="BD40" s="166" t="e">
        <f t="shared" si="278"/>
        <v>#DIV/0!</v>
      </c>
      <c r="BE40" s="166" t="e">
        <f t="shared" si="278"/>
        <v>#DIV/0!</v>
      </c>
      <c r="BF40" s="166" t="e">
        <f t="shared" si="278"/>
        <v>#DIV/0!</v>
      </c>
      <c r="BG40" s="166" t="e">
        <f t="shared" si="278"/>
        <v>#DIV/0!</v>
      </c>
      <c r="BH40" s="166" t="e">
        <f t="shared" si="278"/>
        <v>#DIV/0!</v>
      </c>
      <c r="BI40" s="166" t="e">
        <f t="shared" si="278"/>
        <v>#DIV/0!</v>
      </c>
      <c r="BJ40" s="166" t="e">
        <f t="shared" si="278"/>
        <v>#DIV/0!</v>
      </c>
      <c r="BK40" s="166" t="e">
        <f t="shared" si="278"/>
        <v>#DIV/0!</v>
      </c>
      <c r="BL40" s="166" t="e">
        <f t="shared" si="278"/>
        <v>#DIV/0!</v>
      </c>
      <c r="BM40" s="166" t="e">
        <f t="shared" si="278"/>
        <v>#DIV/0!</v>
      </c>
      <c r="BN40" s="166">
        <f t="shared" si="278"/>
        <v>0.25821596244131462</v>
      </c>
      <c r="BO40" s="166">
        <f t="shared" ref="BO40:CT40" si="279">BO39/BO21</f>
        <v>0.27417177914110419</v>
      </c>
      <c r="BP40" s="166">
        <f t="shared" si="279"/>
        <v>0.27314415192058694</v>
      </c>
      <c r="BQ40" s="166">
        <f t="shared" si="279"/>
        <v>0.28930418958431303</v>
      </c>
      <c r="BR40" s="166">
        <f t="shared" si="279"/>
        <v>0.28073572120038714</v>
      </c>
      <c r="BS40" s="166">
        <f t="shared" si="279"/>
        <v>0.24757002688480889</v>
      </c>
      <c r="BT40" s="166">
        <f t="shared" si="279"/>
        <v>0.25148421218542588</v>
      </c>
      <c r="BU40" s="166">
        <f t="shared" si="279"/>
        <v>0.23064152305332483</v>
      </c>
      <c r="BV40" s="166">
        <f t="shared" si="279"/>
        <v>0.23605463931655168</v>
      </c>
      <c r="BW40" s="166">
        <f t="shared" si="279"/>
        <v>0.24326400378161195</v>
      </c>
      <c r="BX40" s="166">
        <f t="shared" si="279"/>
        <v>0.22182572400288578</v>
      </c>
      <c r="BY40" s="166">
        <f t="shared" si="279"/>
        <v>0.21133999973298795</v>
      </c>
      <c r="BZ40" s="166">
        <f t="shared" si="279"/>
        <v>0.19221314401705472</v>
      </c>
      <c r="CA40" s="166">
        <f t="shared" si="279"/>
        <v>0.2064608771912918</v>
      </c>
      <c r="CB40" s="166">
        <f t="shared" si="279"/>
        <v>0.20143164894068161</v>
      </c>
      <c r="CC40" s="166">
        <f t="shared" si="279"/>
        <v>0.19491900504558735</v>
      </c>
      <c r="CD40" s="166">
        <f t="shared" si="279"/>
        <v>0.18718222447391758</v>
      </c>
      <c r="CE40" s="166">
        <f t="shared" si="279"/>
        <v>0.1714139281960407</v>
      </c>
      <c r="CF40" s="166">
        <f t="shared" si="279"/>
        <v>0.15880390460892135</v>
      </c>
      <c r="CG40" s="166">
        <f t="shared" si="279"/>
        <v>0.12624913551891068</v>
      </c>
      <c r="CH40" s="166">
        <f t="shared" si="279"/>
        <v>0.13927111619265406</v>
      </c>
      <c r="CI40" s="166">
        <f t="shared" ref="CI40:CJ40" si="280">CI39/CI21</f>
        <v>0.14850896860986543</v>
      </c>
      <c r="CJ40" s="166">
        <f t="shared" si="280"/>
        <v>0.15083009007838757</v>
      </c>
      <c r="CK40" s="166">
        <f t="shared" ref="CK40:CL40" si="281">CK39/CK21</f>
        <v>0.15176349354487489</v>
      </c>
      <c r="CL40" s="166">
        <f t="shared" si="281"/>
        <v>0.16103575278476473</v>
      </c>
      <c r="CM40" s="167">
        <f t="shared" si="279"/>
        <v>0.15303457625447303</v>
      </c>
      <c r="CN40" s="167">
        <f t="shared" si="279"/>
        <v>0.15416597816562502</v>
      </c>
      <c r="CO40" s="167">
        <f t="shared" si="279"/>
        <v>0.15499995018743445</v>
      </c>
      <c r="CP40" s="167">
        <f t="shared" si="279"/>
        <v>0.15580906434807429</v>
      </c>
      <c r="CQ40" s="167">
        <f t="shared" si="279"/>
        <v>0.15450239223890172</v>
      </c>
      <c r="CR40" s="167">
        <f t="shared" si="279"/>
        <v>0.15486934623500889</v>
      </c>
      <c r="CS40" s="167">
        <f t="shared" si="279"/>
        <v>0.15504518825235492</v>
      </c>
      <c r="CT40" s="167">
        <f t="shared" si="279"/>
        <v>0.15505649776858493</v>
      </c>
      <c r="CU40" s="167">
        <f t="shared" ref="CU40:DB40" si="282">CU39/CU21</f>
        <v>0.15486835612371266</v>
      </c>
      <c r="CV40" s="167">
        <f t="shared" si="282"/>
        <v>0.15495984709491531</v>
      </c>
      <c r="CW40" s="167">
        <f t="shared" si="282"/>
        <v>0.15498247230989198</v>
      </c>
      <c r="CX40" s="167">
        <f t="shared" si="282"/>
        <v>0.15496679332427629</v>
      </c>
      <c r="CY40" s="167">
        <f t="shared" si="282"/>
        <v>0.1549443672131991</v>
      </c>
      <c r="CZ40" s="167">
        <f t="shared" si="282"/>
        <v>0.15496336998557073</v>
      </c>
      <c r="DA40" s="167">
        <f t="shared" si="282"/>
        <v>0.15496425070823458</v>
      </c>
      <c r="DB40" s="167">
        <f t="shared" si="282"/>
        <v>0.15495969530782008</v>
      </c>
      <c r="DE40" s="169"/>
      <c r="DF40" s="168">
        <v>0.14759341710644552</v>
      </c>
    </row>
    <row r="41" spans="1:110" s="38" customFormat="1" x14ac:dyDescent="0.2">
      <c r="A41" s="39" t="s">
        <v>449</v>
      </c>
      <c r="B41" s="39"/>
      <c r="C41" s="39" t="e">
        <f t="shared" ref="C41:E41" si="283">+IF(B39&lt;0,1-C39/B39,C39/B39-1)</f>
        <v>#DIV/0!</v>
      </c>
      <c r="D41" s="39" t="e">
        <f t="shared" si="283"/>
        <v>#DIV/0!</v>
      </c>
      <c r="E41" s="39" t="e">
        <f t="shared" si="283"/>
        <v>#DIV/0!</v>
      </c>
      <c r="F41" s="39" t="e">
        <f t="shared" ref="F41:Y41" si="284">+IF(E39&lt;0,1-F39/E39,F39/E39-1)</f>
        <v>#DIV/0!</v>
      </c>
      <c r="G41" s="39">
        <f t="shared" si="284"/>
        <v>0.46412355567383767</v>
      </c>
      <c r="H41" s="39">
        <f t="shared" si="284"/>
        <v>-1.2368104901507082E-2</v>
      </c>
      <c r="I41" s="39">
        <f t="shared" si="284"/>
        <v>-0.18501245442444048</v>
      </c>
      <c r="J41" s="39">
        <f t="shared" si="284"/>
        <v>0.79525635487920687</v>
      </c>
      <c r="K41" s="39">
        <f t="shared" si="284"/>
        <v>0.19532303850473309</v>
      </c>
      <c r="L41" s="39">
        <f t="shared" si="284"/>
        <v>-1</v>
      </c>
      <c r="M41" s="39" t="e">
        <f t="shared" si="284"/>
        <v>#DIV/0!</v>
      </c>
      <c r="N41" s="39" t="e">
        <f t="shared" si="284"/>
        <v>#DIV/0!</v>
      </c>
      <c r="O41" s="39">
        <f t="shared" si="284"/>
        <v>-2.7294190594294387E-2</v>
      </c>
      <c r="P41" s="39">
        <f t="shared" si="284"/>
        <v>0.16343855347839287</v>
      </c>
      <c r="Q41" s="39">
        <f t="shared" si="284"/>
        <v>0.17761504622922453</v>
      </c>
      <c r="R41" s="39">
        <f t="shared" si="284"/>
        <v>1.7756085340157268E-2</v>
      </c>
      <c r="S41" s="39">
        <f t="shared" si="284"/>
        <v>0.21438430227958039</v>
      </c>
      <c r="T41" s="39">
        <f t="shared" si="284"/>
        <v>0.60018460201976298</v>
      </c>
      <c r="U41" s="39">
        <f t="shared" si="284"/>
        <v>-0.10132260231675949</v>
      </c>
      <c r="V41" s="39">
        <f t="shared" si="284"/>
        <v>0.10116036144881546</v>
      </c>
      <c r="W41" s="39">
        <f t="shared" si="284"/>
        <v>0.21969004297339345</v>
      </c>
      <c r="X41" s="39">
        <f t="shared" si="284"/>
        <v>0.28115219550591242</v>
      </c>
      <c r="Y41" s="39">
        <f t="shared" si="284"/>
        <v>0.28418250171881598</v>
      </c>
      <c r="Z41" s="39">
        <f t="shared" ref="Z41:AE41" si="285">+IF(Y39&lt;0,1-Z39/Y39,Z39/Y39-1)</f>
        <v>-5.1453501617533481E-2</v>
      </c>
      <c r="AA41" s="39">
        <f t="shared" si="285"/>
        <v>0.48621969232986428</v>
      </c>
      <c r="AB41" s="40">
        <f t="shared" si="285"/>
        <v>0.1893176156397447</v>
      </c>
      <c r="AC41" s="40">
        <f t="shared" si="285"/>
        <v>0.18231200641615053</v>
      </c>
      <c r="AD41" s="40">
        <f t="shared" si="285"/>
        <v>0.18047706101689265</v>
      </c>
      <c r="AE41" s="40">
        <f t="shared" si="285"/>
        <v>0.18008433972762661</v>
      </c>
      <c r="AI41" s="39"/>
      <c r="AJ41" s="39"/>
      <c r="AK41" s="39"/>
      <c r="AL41" s="39"/>
      <c r="AM41" s="39" t="e">
        <f>+IF(AI39&lt;0,1-AM39/AI39,AM39/AI39-1)</f>
        <v>#DIV/0!</v>
      </c>
      <c r="AN41" s="39" t="e">
        <f t="shared" ref="AN41" si="286">+IF(AJ39&lt;0,1-AN39/AJ39,AN39/AJ39-1)</f>
        <v>#DIV/0!</v>
      </c>
      <c r="AO41" s="39" t="e">
        <f t="shared" ref="AO41" si="287">+IF(AK39&lt;0,1-AO39/AK39,AO39/AK39-1)</f>
        <v>#DIV/0!</v>
      </c>
      <c r="AP41" s="39" t="e">
        <f t="shared" ref="AP41" si="288">+IF(AL39&lt;0,1-AP39/AL39,AP39/AL39-1)</f>
        <v>#DIV/0!</v>
      </c>
      <c r="AQ41" s="39" t="e">
        <f t="shared" ref="AQ41" si="289">+IF(AM39&lt;0,1-AQ39/AM39,AQ39/AM39-1)</f>
        <v>#DIV/0!</v>
      </c>
      <c r="AR41" s="39" t="e">
        <f t="shared" ref="AR41" si="290">+IF(AN39&lt;0,1-AR39/AN39,AR39/AN39-1)</f>
        <v>#DIV/0!</v>
      </c>
      <c r="AS41" s="39" t="e">
        <f t="shared" ref="AS41" si="291">+IF(AO39&lt;0,1-AS39/AO39,AS39/AO39-1)</f>
        <v>#DIV/0!</v>
      </c>
      <c r="AT41" s="39" t="e">
        <f t="shared" ref="AT41" si="292">+IF(AP39&lt;0,1-AT39/AP39,AT39/AP39-1)</f>
        <v>#DIV/0!</v>
      </c>
      <c r="AU41" s="39" t="e">
        <f t="shared" ref="AU41" si="293">+IF(AQ39&lt;0,1-AU39/AQ39,AU39/AQ39-1)</f>
        <v>#DIV/0!</v>
      </c>
      <c r="AV41" s="39" t="e">
        <f t="shared" ref="AV41" si="294">+IF(AR39&lt;0,1-AV39/AR39,AV39/AR39-1)</f>
        <v>#DIV/0!</v>
      </c>
      <c r="AW41" s="39" t="e">
        <f t="shared" ref="AW41" si="295">+IF(AS39&lt;0,1-AW39/AS39,AW39/AS39-1)</f>
        <v>#DIV/0!</v>
      </c>
      <c r="AX41" s="39" t="e">
        <f t="shared" ref="AX41" si="296">+IF(AT39&lt;0,1-AX39/AT39,AX39/AT39-1)</f>
        <v>#DIV/0!</v>
      </c>
      <c r="AY41" s="39" t="e">
        <f t="shared" ref="AY41" si="297">+IF(AU39&lt;0,1-AY39/AU39,AY39/AU39-1)</f>
        <v>#DIV/0!</v>
      </c>
      <c r="AZ41" s="39" t="e">
        <f t="shared" ref="AZ41" si="298">+IF(AV39&lt;0,1-AZ39/AV39,AZ39/AV39-1)</f>
        <v>#DIV/0!</v>
      </c>
      <c r="BA41" s="39" t="e">
        <f t="shared" ref="BA41" si="299">+IF(AW39&lt;0,1-BA39/AW39,BA39/AW39-1)</f>
        <v>#DIV/0!</v>
      </c>
      <c r="BB41" s="39" t="e">
        <f t="shared" ref="BB41" si="300">+IF(AX39&lt;0,1-BB39/AX39,BB39/AX39-1)</f>
        <v>#DIV/0!</v>
      </c>
      <c r="BC41" s="39" t="e">
        <f t="shared" ref="BC41" si="301">+IF(AY39&lt;0,1-BC39/AY39,BC39/AY39-1)</f>
        <v>#DIV/0!</v>
      </c>
      <c r="BD41" s="39" t="e">
        <f t="shared" ref="BD41" si="302">+IF(AZ39&lt;0,1-BD39/AZ39,BD39/AZ39-1)</f>
        <v>#DIV/0!</v>
      </c>
      <c r="BE41" s="39" t="e">
        <f t="shared" ref="BE41" si="303">+IF(BA39&lt;0,1-BE39/BA39,BE39/BA39-1)</f>
        <v>#DIV/0!</v>
      </c>
      <c r="BF41" s="39" t="e">
        <f t="shared" ref="BF41" si="304">+IF(BB39&lt;0,1-BF39/BB39,BF39/BB39-1)</f>
        <v>#DIV/0!</v>
      </c>
      <c r="BG41" s="39" t="e">
        <f t="shared" ref="BG41" si="305">+IF(BC39&lt;0,1-BG39/BC39,BG39/BC39-1)</f>
        <v>#DIV/0!</v>
      </c>
      <c r="BH41" s="39" t="e">
        <f t="shared" ref="BH41" si="306">+IF(BD39&lt;0,1-BH39/BD39,BH39/BD39-1)</f>
        <v>#DIV/0!</v>
      </c>
      <c r="BI41" s="39" t="e">
        <f t="shared" ref="BI41" si="307">+IF(BE39&lt;0,1-BI39/BE39,BI39/BE39-1)</f>
        <v>#DIV/0!</v>
      </c>
      <c r="BJ41" s="39" t="e">
        <f t="shared" ref="BJ41" si="308">+IF(BF39&lt;0,1-BJ39/BF39,BJ39/BF39-1)</f>
        <v>#DIV/0!</v>
      </c>
      <c r="BK41" s="39" t="e">
        <f t="shared" ref="BK41" si="309">+IF(BG39&lt;0,1-BK39/BG39,BK39/BG39-1)</f>
        <v>#DIV/0!</v>
      </c>
      <c r="BL41" s="39" t="e">
        <f t="shared" ref="BL41" si="310">+IF(BH39&lt;0,1-BL39/BH39,BL39/BH39-1)</f>
        <v>#DIV/0!</v>
      </c>
      <c r="BM41" s="39" t="e">
        <f t="shared" ref="BM41" si="311">+IF(BI39&lt;0,1-BM39/BI39,BM39/BI39-1)</f>
        <v>#DIV/0!</v>
      </c>
      <c r="BN41" s="39" t="e">
        <f t="shared" ref="BN41" si="312">+IF(BJ39&lt;0,1-BN39/BJ39,BN39/BJ39-1)</f>
        <v>#DIV/0!</v>
      </c>
      <c r="BO41" s="39" t="e">
        <f t="shared" ref="BO41" si="313">+IF(BK39&lt;0,1-BO39/BK39,BO39/BK39-1)</f>
        <v>#DIV/0!</v>
      </c>
      <c r="BP41" s="39" t="e">
        <f t="shared" ref="BP41" si="314">+IF(BL39&lt;0,1-BP39/BL39,BP39/BL39-1)</f>
        <v>#DIV/0!</v>
      </c>
      <c r="BQ41" s="39" t="e">
        <f t="shared" ref="BQ41" si="315">+IF(BM39&lt;0,1-BQ39/BM39,BQ39/BM39-1)</f>
        <v>#DIV/0!</v>
      </c>
      <c r="BR41" s="39">
        <f t="shared" ref="BR41" si="316">+IF(BN39&lt;0,1-BR39/BN39,BR39/BN39-1)</f>
        <v>0.74638100752750325</v>
      </c>
      <c r="BS41" s="39">
        <f t="shared" ref="BS41" si="317">+IF(BO39&lt;0,1-BS39/BO39,BS39/BO39-1)</f>
        <v>1.4108301633475056</v>
      </c>
      <c r="BT41" s="39">
        <f t="shared" ref="BT41" si="318">+IF(BP39&lt;0,1-BT39/BP39,BT39/BP39-1)</f>
        <v>0.41813154256369778</v>
      </c>
      <c r="BU41" s="39">
        <f t="shared" ref="BU41" si="319">+IF(BQ39&lt;0,1-BU39/BQ39,BU39/BQ39-1)</f>
        <v>-9.6685278111527606E-2</v>
      </c>
      <c r="BV41" s="39">
        <f t="shared" ref="BV41" si="320">+IF(BR39&lt;0,1-BV39/BR39,BV39/BR39-1)</f>
        <v>2.7917771883289477E-2</v>
      </c>
      <c r="BW41" s="39">
        <f t="shared" ref="BW41" si="321">+IF(BS39&lt;0,1-BW39/BS39,BW39/BS39-1)</f>
        <v>0.52849452385372242</v>
      </c>
      <c r="BX41" s="39">
        <f t="shared" ref="BX41" si="322">+IF(BT39&lt;0,1-BX39/BT39,BX39/BT39-1)</f>
        <v>0.19909470752089153</v>
      </c>
      <c r="BY41" s="39">
        <f t="shared" ref="BY41" si="323">+IF(BU39&lt;0,1-BY39/BU39,BY39/BU39-1)</f>
        <v>0.23855723339331836</v>
      </c>
      <c r="BZ41" s="39">
        <f t="shared" ref="BZ41" si="324">+IF(BV39&lt;0,1-BZ39/BV39,BZ39/BV39-1)</f>
        <v>0.21566350558028491</v>
      </c>
      <c r="CA41" s="39">
        <f t="shared" ref="CA41" si="325">+IF(BW39&lt;0,1-CA39/BW39,CA39/BW39-1)</f>
        <v>0.30088656788924029</v>
      </c>
      <c r="CB41" s="39">
        <f t="shared" ref="CB41" si="326">+IF(BX39&lt;0,1-CB39/BX39,CB39/BX39-1)</f>
        <v>0.37929031883384612</v>
      </c>
      <c r="CC41" s="39">
        <f t="shared" ref="CC41" si="327">+IF(BY39&lt;0,1-CC39/BY39,CC39/BY39-1)</f>
        <v>0.39102969046115033</v>
      </c>
      <c r="CD41" s="39">
        <f t="shared" ref="CD41" si="328">+IF(BZ39&lt;0,1-CD39/BZ39,CD39/BZ39-1)</f>
        <v>9.7962216090002663E-2</v>
      </c>
      <c r="CE41" s="39">
        <f t="shared" ref="CE41" si="329">+IF(CA39&lt;0,1-CE39/CA39,CE39/CA39-1)</f>
        <v>-7.8887177332773284E-2</v>
      </c>
      <c r="CF41" s="39">
        <f t="shared" ref="CF41" si="330">+IF(CB39&lt;0,1-CF39/CB39,CF39/CB39-1)</f>
        <v>-0.18829473684210507</v>
      </c>
      <c r="CG41" s="39">
        <f t="shared" ref="CG41" si="331">+IF(CC39&lt;0,1-CG39/CC39,CG39/CC39-1)</f>
        <v>-9.636693914623129E-2</v>
      </c>
      <c r="CH41" s="39">
        <f t="shared" ref="CH41:CL41" si="332">+IF(CD39&lt;0,1-CH39/CD39,CH39/CD39-1)</f>
        <v>0.17747704204929948</v>
      </c>
      <c r="CI41" s="39">
        <f t="shared" si="332"/>
        <v>0.34262403081133042</v>
      </c>
      <c r="CJ41" s="39">
        <f t="shared" si="332"/>
        <v>0.56603382093577981</v>
      </c>
      <c r="CK41" s="39">
        <f t="shared" si="332"/>
        <v>0.56910242235400754</v>
      </c>
      <c r="CL41" s="39">
        <f t="shared" si="332"/>
        <v>0.47167720220014786</v>
      </c>
      <c r="CM41" s="40">
        <f t="shared" ref="CM41" si="333">+CM39/CI39-1</f>
        <v>0.21595888565266219</v>
      </c>
      <c r="CN41" s="40">
        <f t="shared" ref="CN41" si="334">+CN39/CJ39-1</f>
        <v>0.20609789559161862</v>
      </c>
      <c r="CO41" s="40">
        <f t="shared" ref="CO41" si="335">+CO39/CK39-1</f>
        <v>0.20516427863523723</v>
      </c>
      <c r="CP41" s="40">
        <f t="shared" ref="CP41" si="336">+CP39/CL39-1</f>
        <v>0.14170109898801164</v>
      </c>
      <c r="CQ41" s="40">
        <f t="shared" ref="CQ41" si="337">+CQ39/CM39-1</f>
        <v>0.19131785315460847</v>
      </c>
      <c r="CR41" s="40">
        <f t="shared" ref="CR41" si="338">+CR39/CN39-1</f>
        <v>0.18538364126604701</v>
      </c>
      <c r="CS41" s="40">
        <f t="shared" ref="CS41" si="339">+CS39/CO39-1</f>
        <v>0.18034439312104045</v>
      </c>
      <c r="CT41" s="40">
        <f t="shared" ref="CT41" si="340">+CT39/CP39-1</f>
        <v>0.17430053336426177</v>
      </c>
      <c r="CU41" s="40">
        <f t="shared" ref="CU41" si="341">+CU39/CQ39-1</f>
        <v>0.18279502069721465</v>
      </c>
      <c r="CV41" s="40">
        <f t="shared" ref="CV41" si="342">+CV39/CR39-1</f>
        <v>0.18068955553365318</v>
      </c>
      <c r="CW41" s="40">
        <f t="shared" ref="CW41" si="343">+CW39/CS39-1</f>
        <v>0.17952268875325683</v>
      </c>
      <c r="CX41" s="40">
        <f t="shared" ref="CX41" si="344">+CX39/CT39-1</f>
        <v>0.17931733757818935</v>
      </c>
      <c r="CY41" s="40">
        <f t="shared" ref="CY41" si="345">+CY39/CU39-1</f>
        <v>0.18057915695522953</v>
      </c>
      <c r="CZ41" s="40">
        <f t="shared" ref="CZ41" si="346">+CZ39/CV39-1</f>
        <v>0.18002682637503398</v>
      </c>
      <c r="DA41" s="40">
        <f t="shared" ref="DA41" si="347">+DA39/CW39-1</f>
        <v>0.17986126502155186</v>
      </c>
      <c r="DB41" s="40">
        <f t="shared" ref="DB41" si="348">+DB39/CX39-1</f>
        <v>0.17994595190854334</v>
      </c>
      <c r="DE41" s="122"/>
      <c r="DF41" s="38">
        <v>0.27170733867555885</v>
      </c>
    </row>
    <row r="42" spans="1:110" s="38" customFormat="1" x14ac:dyDescent="0.2">
      <c r="A42" s="39" t="s">
        <v>450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0"/>
      <c r="AD42" s="40"/>
      <c r="AE42" s="40"/>
      <c r="AI42" s="39"/>
      <c r="AJ42" s="39" t="e">
        <f>+IF(AI39&lt;0,1-AJ39/AI39,AJ39/AI39-1)</f>
        <v>#DIV/0!</v>
      </c>
      <c r="AK42" s="39" t="e">
        <f t="shared" ref="AK42:AM42" si="349">+IF(AJ39&lt;0,1-AK39/AJ39,AK39/AJ39-1)</f>
        <v>#DIV/0!</v>
      </c>
      <c r="AL42" s="39" t="e">
        <f t="shared" si="349"/>
        <v>#DIV/0!</v>
      </c>
      <c r="AM42" s="39" t="e">
        <f t="shared" si="349"/>
        <v>#DIV/0!</v>
      </c>
      <c r="AN42" s="39" t="e">
        <f t="shared" ref="AN42" si="350">+IF(AM39&lt;0,1-AN39/AM39,AN39/AM39-1)</f>
        <v>#DIV/0!</v>
      </c>
      <c r="AO42" s="39" t="e">
        <f t="shared" ref="AO42" si="351">+IF(AN39&lt;0,1-AO39/AN39,AO39/AN39-1)</f>
        <v>#DIV/0!</v>
      </c>
      <c r="AP42" s="39" t="e">
        <f t="shared" ref="AP42" si="352">+IF(AO39&lt;0,1-AP39/AO39,AP39/AO39-1)</f>
        <v>#DIV/0!</v>
      </c>
      <c r="AQ42" s="39" t="e">
        <f t="shared" ref="AQ42" si="353">+IF(AP39&lt;0,1-AQ39/AP39,AQ39/AP39-1)</f>
        <v>#DIV/0!</v>
      </c>
      <c r="AR42" s="39" t="e">
        <f t="shared" ref="AR42" si="354">+IF(AQ39&lt;0,1-AR39/AQ39,AR39/AQ39-1)</f>
        <v>#DIV/0!</v>
      </c>
      <c r="AS42" s="39" t="e">
        <f t="shared" ref="AS42" si="355">+IF(AR39&lt;0,1-AS39/AR39,AS39/AR39-1)</f>
        <v>#DIV/0!</v>
      </c>
      <c r="AT42" s="39" t="e">
        <f t="shared" ref="AT42" si="356">+IF(AS39&lt;0,1-AT39/AS39,AT39/AS39-1)</f>
        <v>#DIV/0!</v>
      </c>
      <c r="AU42" s="39" t="e">
        <f t="shared" ref="AU42" si="357">+IF(AT39&lt;0,1-AU39/AT39,AU39/AT39-1)</f>
        <v>#DIV/0!</v>
      </c>
      <c r="AV42" s="39" t="e">
        <f t="shared" ref="AV42" si="358">+IF(AU39&lt;0,1-AV39/AU39,AV39/AU39-1)</f>
        <v>#DIV/0!</v>
      </c>
      <c r="AW42" s="39" t="e">
        <f t="shared" ref="AW42" si="359">+IF(AV39&lt;0,1-AW39/AV39,AW39/AV39-1)</f>
        <v>#DIV/0!</v>
      </c>
      <c r="AX42" s="39" t="e">
        <f t="shared" ref="AX42" si="360">+IF(AW39&lt;0,1-AX39/AW39,AX39/AW39-1)</f>
        <v>#DIV/0!</v>
      </c>
      <c r="AY42" s="39" t="e">
        <f t="shared" ref="AY42" si="361">+IF(AX39&lt;0,1-AY39/AX39,AY39/AX39-1)</f>
        <v>#DIV/0!</v>
      </c>
      <c r="AZ42" s="39" t="e">
        <f t="shared" ref="AZ42" si="362">+IF(AY39&lt;0,1-AZ39/AY39,AZ39/AY39-1)</f>
        <v>#DIV/0!</v>
      </c>
      <c r="BA42" s="39" t="e">
        <f t="shared" ref="BA42" si="363">+IF(AZ39&lt;0,1-BA39/AZ39,BA39/AZ39-1)</f>
        <v>#DIV/0!</v>
      </c>
      <c r="BB42" s="39" t="e">
        <f t="shared" ref="BB42" si="364">+IF(BA39&lt;0,1-BB39/BA39,BB39/BA39-1)</f>
        <v>#DIV/0!</v>
      </c>
      <c r="BC42" s="39" t="e">
        <f t="shared" ref="BC42" si="365">+IF(BB39&lt;0,1-BC39/BB39,BC39/BB39-1)</f>
        <v>#DIV/0!</v>
      </c>
      <c r="BD42" s="39" t="e">
        <f t="shared" ref="BD42" si="366">+IF(BC39&lt;0,1-BD39/BC39,BD39/BC39-1)</f>
        <v>#DIV/0!</v>
      </c>
      <c r="BE42" s="39" t="e">
        <f t="shared" ref="BE42" si="367">+IF(BD39&lt;0,1-BE39/BD39,BE39/BD39-1)</f>
        <v>#DIV/0!</v>
      </c>
      <c r="BF42" s="39" t="e">
        <f t="shared" ref="BF42" si="368">+IF(BE39&lt;0,1-BF39/BE39,BF39/BE39-1)</f>
        <v>#DIV/0!</v>
      </c>
      <c r="BG42" s="39" t="e">
        <f t="shared" ref="BG42" si="369">+IF(BF39&lt;0,1-BG39/BF39,BG39/BF39-1)</f>
        <v>#DIV/0!</v>
      </c>
      <c r="BH42" s="39" t="e">
        <f t="shared" ref="BH42" si="370">+IF(BG39&lt;0,1-BH39/BG39,BH39/BG39-1)</f>
        <v>#DIV/0!</v>
      </c>
      <c r="BI42" s="39" t="e">
        <f t="shared" ref="BI42" si="371">+IF(BH39&lt;0,1-BI39/BH39,BI39/BH39-1)</f>
        <v>#DIV/0!</v>
      </c>
      <c r="BJ42" s="39" t="e">
        <f t="shared" ref="BJ42" si="372">+IF(BI39&lt;0,1-BJ39/BI39,BJ39/BI39-1)</f>
        <v>#DIV/0!</v>
      </c>
      <c r="BK42" s="39" t="e">
        <f t="shared" ref="BK42" si="373">+IF(BJ39&lt;0,1-BK39/BJ39,BK39/BJ39-1)</f>
        <v>#DIV/0!</v>
      </c>
      <c r="BL42" s="39" t="e">
        <f t="shared" ref="BL42" si="374">+IF(BK39&lt;0,1-BL39/BK39,BL39/BK39-1)</f>
        <v>#DIV/0!</v>
      </c>
      <c r="BM42" s="39" t="e">
        <f t="shared" ref="BM42" si="375">+IF(BL39&lt;0,1-BM39/BL39,BM39/BL39-1)</f>
        <v>#DIV/0!</v>
      </c>
      <c r="BN42" s="39" t="e">
        <f t="shared" ref="BN42" si="376">+IF(BM39&lt;0,1-BN39/BM39,BN39/BM39-1)</f>
        <v>#DIV/0!</v>
      </c>
      <c r="BO42" s="39">
        <f t="shared" ref="BO42" si="377">+IF(BN39&lt;0,1-BO39/BN39,BO39/BN39-1)</f>
        <v>-0.48245512449334138</v>
      </c>
      <c r="BP42" s="39">
        <f t="shared" ref="BP42" si="378">+IF(BO39&lt;0,1-BP39/BO39,BP39/BO39-1)</f>
        <v>1.2658312821660331</v>
      </c>
      <c r="BQ42" s="39">
        <f t="shared" ref="BQ42" si="379">+IF(BP39&lt;0,1-BQ39/BP39,BQ39/BP39-1)</f>
        <v>0.39729409441042862</v>
      </c>
      <c r="BR42" s="39">
        <f t="shared" ref="BR42" si="380">+IF(BQ39&lt;0,1-BR39/BQ39,BR39/BQ39-1)</f>
        <v>6.5799703159233669E-2</v>
      </c>
      <c r="BS42" s="39">
        <f t="shared" ref="BS42" si="381">+IF(BR39&lt;0,1-BS39/BR39,BS39/BR39-1)</f>
        <v>-0.2855437665782492</v>
      </c>
      <c r="BT42" s="39">
        <f t="shared" ref="BT42" si="382">+IF(BS39&lt;0,1-BT39/BS39,BT39/BS39-1)</f>
        <v>0.33283831446073919</v>
      </c>
      <c r="BU42" s="39">
        <f t="shared" ref="BU42" si="383">+IF(BT39&lt;0,1-BU39/BT39,BU39/BT39-1)</f>
        <v>-0.1099582172701955</v>
      </c>
      <c r="BV42" s="39">
        <f t="shared" ref="BV42" si="384">+IF(BU39&lt;0,1-BV39/BU39,BV39/BU39-1)</f>
        <v>0.21281589859948413</v>
      </c>
      <c r="BW42" s="39">
        <f t="shared" ref="BW42" si="385">+IF(BV39&lt;0,1-BW39/BV39,BW39/BV39-1)</f>
        <v>6.2383072059867484E-2</v>
      </c>
      <c r="BX42" s="39">
        <f t="shared" ref="BX42" si="386">+IF(BW39&lt;0,1-BX39/BW39,BX39/BW39-1)</f>
        <v>4.5603594850619489E-2</v>
      </c>
      <c r="BY42" s="39">
        <f t="shared" ref="BY42" si="387">+IF(BX39&lt;0,1-BY39/BX39,BY39/BX39-1)</f>
        <v>-8.0666705383588444E-2</v>
      </c>
      <c r="BZ42" s="39">
        <f t="shared" ref="BZ42" si="388">+IF(BY39&lt;0,1-BZ39/BY39,BZ39/BY39-1)</f>
        <v>0.19039797852179396</v>
      </c>
      <c r="CA42" s="39">
        <f t="shared" ref="CA42" si="389">+IF(BZ39&lt;0,1-CA39/BZ39,CA39/BZ39-1)</f>
        <v>0.13686053916366059</v>
      </c>
      <c r="CB42" s="39">
        <f t="shared" ref="CB42" si="390">+IF(CA39&lt;0,1-CB39/CA39,CB39/CA39-1)</f>
        <v>0.1086215749428181</v>
      </c>
      <c r="CC42" s="39">
        <f t="shared" ref="CC42" si="391">+IF(CB39&lt;0,1-CC39/CB39,CC39/CB39-1)</f>
        <v>-7.284210526315793E-2</v>
      </c>
      <c r="CD42" s="39">
        <f t="shared" ref="CD42" si="392">+IF(CC39&lt;0,1-CD39/CC39,CD39/CC39-1)</f>
        <v>-6.0399636693914682E-2</v>
      </c>
      <c r="CE42" s="39">
        <f t="shared" ref="CE42" si="393">+IF(CD39&lt;0,1-CE39/CD39,CE39/CD39-1)</f>
        <v>-4.6254229096181376E-2</v>
      </c>
      <c r="CF42" s="39">
        <f t="shared" ref="CF42" si="394">+IF(CE39&lt;0,1-CF39/CE39,CF39/CE39-1)</f>
        <v>-2.3057821922667698E-2</v>
      </c>
      <c r="CG42" s="39">
        <f t="shared" ref="CG42" si="395">+IF(CF39&lt;0,1-CG39/CF39,CG39/CF39-1)</f>
        <v>3.2161012553168389E-2</v>
      </c>
      <c r="CH42" s="39">
        <f t="shared" ref="CH42:CI42" si="396">+IF(CG39&lt;0,1-CH39/CG39,CH39/CG39-1)</f>
        <v>0.22434415519147777</v>
      </c>
      <c r="CI42" s="39">
        <f t="shared" si="396"/>
        <v>8.7513340448238219E-2</v>
      </c>
      <c r="CJ42" s="39">
        <f>+IF(CI39&gt;1,CJ39/CI39-1,1-CJ39/CI39)</f>
        <v>0.13950328376236065</v>
      </c>
      <c r="CK42" s="39">
        <f>+IF(CJ39&gt;1,CK39/CJ39-1,1-CK39/CJ39)</f>
        <v>3.418350447168117E-2</v>
      </c>
      <c r="CL42" s="39">
        <f>+IF(CK39&gt;1,CL39/CK39-1,1-CL39/CK39)</f>
        <v>0.148324899109602</v>
      </c>
      <c r="CM42" s="40">
        <f t="shared" ref="CM42" si="397">+CM39/CL39-1</f>
        <v>-0.10145274547508965</v>
      </c>
      <c r="CN42" s="40">
        <f t="shared" ref="CN42" si="398">+CN39/CM39-1</f>
        <v>0.13026232118682413</v>
      </c>
      <c r="CO42" s="40">
        <f t="shared" ref="CO42" si="399">+CO39/CN39-1</f>
        <v>3.3382963106578289E-2</v>
      </c>
      <c r="CP42" s="40">
        <f t="shared" ref="CP42" si="400">+CP39/CO39-1</f>
        <v>8.7854844812853106E-2</v>
      </c>
      <c r="CQ42" s="40">
        <f t="shared" ref="CQ42" si="401">+CQ39/CP39-1</f>
        <v>-6.2403121826351216E-2</v>
      </c>
      <c r="CR42" s="40">
        <f t="shared" ref="CR42" si="402">+CR39/CQ39-1</f>
        <v>0.124632240108278</v>
      </c>
      <c r="CS42" s="40">
        <f t="shared" ref="CS42" si="403">+CS39/CR39-1</f>
        <v>2.8989893218795304E-2</v>
      </c>
      <c r="CT42" s="40">
        <f t="shared" ref="CT42" si="404">+CT39/CS39-1</f>
        <v>8.2284570445390059E-2</v>
      </c>
      <c r="CU42" s="40">
        <f t="shared" ref="CU42" si="405">+CU39/CT39-1</f>
        <v>-5.5620867557723108E-2</v>
      </c>
      <c r="CV42" s="40">
        <f t="shared" ref="CV42" si="406">+CV39/CU39-1</f>
        <v>0.12263030912114026</v>
      </c>
      <c r="CW42" s="40">
        <f t="shared" ref="CW42" si="407">+CW39/CV39-1</f>
        <v>2.7972950095911608E-2</v>
      </c>
      <c r="CX42" s="40">
        <f t="shared" ref="CX42" si="408">+CX39/CW39-1</f>
        <v>8.2096148119632728E-2</v>
      </c>
      <c r="CY42" s="40">
        <f t="shared" ref="CY42" si="409">+CY39/CX39-1</f>
        <v>-5.4610422064709896E-2</v>
      </c>
      <c r="CZ42" s="40">
        <f t="shared" ref="CZ42" si="410">+CZ39/CY39-1</f>
        <v>0.12210508974357559</v>
      </c>
      <c r="DA42" s="40">
        <f t="shared" ref="DA42" si="411">+DA39/CZ39-1</f>
        <v>2.782872236383227E-2</v>
      </c>
      <c r="DB42" s="40">
        <f t="shared" ref="DB42" si="412">+DB39/DA39-1</f>
        <v>8.217381772107335E-2</v>
      </c>
      <c r="DE42" s="122"/>
      <c r="DF42" s="38">
        <v>-7.7082126444829591E-3</v>
      </c>
    </row>
    <row r="43" spans="1:110" s="23" customFormat="1" x14ac:dyDescent="0.2">
      <c r="A43" s="23" t="s">
        <v>15</v>
      </c>
      <c r="B43" s="23">
        <f>'Annual Raw'!C27</f>
        <v>0</v>
      </c>
      <c r="C43" s="23">
        <f>'Annual Raw'!D27</f>
        <v>0</v>
      </c>
      <c r="D43" s="23">
        <f>'Annual Raw'!E27</f>
        <v>0</v>
      </c>
      <c r="E43" s="23">
        <f>'Annual Raw'!F27</f>
        <v>0</v>
      </c>
      <c r="F43" s="23">
        <f>'Annual Raw'!G27</f>
        <v>4.5789192999999999</v>
      </c>
      <c r="G43" s="23">
        <f>'Annual Raw'!H27</f>
        <v>5.8362401999999998</v>
      </c>
      <c r="H43" s="23">
        <f>'Annual Raw'!I27</f>
        <v>7.0705935000000002</v>
      </c>
      <c r="I43" s="23">
        <f>'Annual Raw'!J27</f>
        <v>0</v>
      </c>
      <c r="J43" s="23">
        <f>'Annual Raw'!K27</f>
        <v>15.8643508</v>
      </c>
      <c r="K43" s="23">
        <f>'Annual Raw'!L27</f>
        <v>18.996565199999999</v>
      </c>
      <c r="L43" s="23">
        <f>'Annual Raw'!M27</f>
        <v>0</v>
      </c>
      <c r="M43" s="23">
        <f>'Annual Raw'!N27</f>
        <v>0</v>
      </c>
      <c r="N43" s="23">
        <f>'Annual Raw'!O27</f>
        <v>68.346000000000004</v>
      </c>
      <c r="O43" s="23">
        <f>'Annual Raw'!P27</f>
        <v>81.040000000000006</v>
      </c>
      <c r="P43" s="23">
        <f>'Annual Raw'!Q27</f>
        <v>95.108999999999995</v>
      </c>
      <c r="Q43" s="23">
        <f>'Annual Raw'!R27</f>
        <v>101.98399999999999</v>
      </c>
      <c r="R43" s="23">
        <f>'Annual Raw'!S27</f>
        <v>113.955</v>
      </c>
      <c r="S43" s="23">
        <f>'Annual Raw'!T27</f>
        <v>136.44999999999999</v>
      </c>
      <c r="T43" s="23">
        <f>'Annual Raw'!U27</f>
        <v>176.148</v>
      </c>
      <c r="U43" s="23">
        <f>'Annual Raw'!V27</f>
        <v>196.4</v>
      </c>
      <c r="V43" s="23">
        <f>'Annual Raw'!W27</f>
        <v>192.45</v>
      </c>
      <c r="W43" s="23">
        <f>'Annual Raw'!X27</f>
        <v>205.99</v>
      </c>
      <c r="X43" s="23">
        <f>'Annual Raw'!Y27</f>
        <v>221.61</v>
      </c>
      <c r="Y43" s="23">
        <f>'Annual Raw'!Z27</f>
        <v>277.69</v>
      </c>
      <c r="Z43" s="23">
        <f>'Annual Raw'!AA27</f>
        <v>347.02</v>
      </c>
      <c r="AA43" s="23">
        <f>'Annual Raw'!AB27</f>
        <v>443.85</v>
      </c>
      <c r="AB43" s="76">
        <f>+SUM(CM43:CP43)</f>
        <v>546.88368730795401</v>
      </c>
      <c r="AC43" s="76">
        <f>+SUM(CQ43:CT43)</f>
        <v>472.40779759089895</v>
      </c>
      <c r="AD43" s="76">
        <f>+SUM(CU43:CX43)</f>
        <v>408.07420737531646</v>
      </c>
      <c r="AE43" s="76">
        <f>+SUM(CY43:DB43)</f>
        <v>352.50171477737047</v>
      </c>
      <c r="AI43" s="23">
        <f>'QTR Raw'!C28</f>
        <v>0</v>
      </c>
      <c r="AJ43" s="23">
        <f>'QTR Raw'!D28</f>
        <v>0</v>
      </c>
      <c r="AK43" s="23">
        <f>'QTR Raw'!E28</f>
        <v>0</v>
      </c>
      <c r="AL43" s="23">
        <f>'QTR Raw'!F28</f>
        <v>0</v>
      </c>
      <c r="AM43" s="23">
        <f>'QTR Raw'!G28</f>
        <v>0</v>
      </c>
      <c r="AN43" s="23">
        <f>'QTR Raw'!H28</f>
        <v>0</v>
      </c>
      <c r="AO43" s="23">
        <f>'QTR Raw'!I28</f>
        <v>0</v>
      </c>
      <c r="AP43" s="23">
        <f>'QTR Raw'!J28</f>
        <v>0</v>
      </c>
      <c r="AQ43" s="23">
        <f>'QTR Raw'!K28</f>
        <v>0</v>
      </c>
      <c r="AR43" s="23">
        <f>'QTR Raw'!L28</f>
        <v>0</v>
      </c>
      <c r="AS43" s="23">
        <f>'QTR Raw'!M28</f>
        <v>0</v>
      </c>
      <c r="AT43" s="23">
        <f>'QTR Raw'!N28</f>
        <v>0</v>
      </c>
      <c r="AU43" s="23">
        <f>'QTR Raw'!O28</f>
        <v>0</v>
      </c>
      <c r="AV43" s="23">
        <f>'QTR Raw'!P28</f>
        <v>0</v>
      </c>
      <c r="AW43" s="23">
        <f>'QTR Raw'!Q28</f>
        <v>0</v>
      </c>
      <c r="AX43" s="23">
        <f>'QTR Raw'!R28</f>
        <v>0</v>
      </c>
      <c r="AY43" s="23">
        <f>'QTR Raw'!S28</f>
        <v>0</v>
      </c>
      <c r="AZ43" s="23">
        <f>'QTR Raw'!T28</f>
        <v>0</v>
      </c>
      <c r="BA43" s="23">
        <f>'QTR Raw'!U28</f>
        <v>0</v>
      </c>
      <c r="BB43" s="23">
        <f>'QTR Raw'!V28</f>
        <v>0</v>
      </c>
      <c r="BC43" s="23">
        <f>'QTR Raw'!W28</f>
        <v>0</v>
      </c>
      <c r="BD43" s="23">
        <f>'QTR Raw'!X28</f>
        <v>0</v>
      </c>
      <c r="BE43" s="23">
        <f>'QTR Raw'!Y28</f>
        <v>0</v>
      </c>
      <c r="BF43" s="23">
        <f>'QTR Raw'!Z28</f>
        <v>0</v>
      </c>
      <c r="BG43" s="23">
        <f>'QTR Raw'!AA28</f>
        <v>0</v>
      </c>
      <c r="BH43" s="23">
        <f>'QTR Raw'!AB28</f>
        <v>0</v>
      </c>
      <c r="BI43" s="23">
        <f>'QTR Raw'!AC28</f>
        <v>0</v>
      </c>
      <c r="BJ43" s="23">
        <f>'QTR Raw'!AD28</f>
        <v>0</v>
      </c>
      <c r="BK43" s="23">
        <f>'QTR Raw'!AE28</f>
        <v>0</v>
      </c>
      <c r="BL43" s="23">
        <f>'QTR Raw'!AF28</f>
        <v>0</v>
      </c>
      <c r="BM43" s="23">
        <f>'QTR Raw'!AG28</f>
        <v>0</v>
      </c>
      <c r="BN43" s="23">
        <f>'QTR Raw'!AH28</f>
        <v>48.36</v>
      </c>
      <c r="BO43" s="23">
        <f>'QTR Raw'!AI28</f>
        <v>39.409999999999997</v>
      </c>
      <c r="BP43" s="23">
        <f>'QTR Raw'!AJ28</f>
        <v>47.74</v>
      </c>
      <c r="BQ43" s="23">
        <f>'QTR Raw'!AK28</f>
        <v>55.17</v>
      </c>
      <c r="BR43" s="23">
        <f>'QTR Raw'!AL28</f>
        <v>50.13</v>
      </c>
      <c r="BS43" s="23">
        <f>'QTR Raw'!AM28</f>
        <v>49.37</v>
      </c>
      <c r="BT43" s="23">
        <f>'QTR Raw'!AN28</f>
        <v>50.02</v>
      </c>
      <c r="BU43" s="23">
        <f>'QTR Raw'!AO28</f>
        <v>52.11</v>
      </c>
      <c r="BV43" s="23">
        <f>'QTR Raw'!AP28</f>
        <v>54.49</v>
      </c>
      <c r="BW43" s="23">
        <f>'QTR Raw'!AQ28</f>
        <v>53.23</v>
      </c>
      <c r="BX43" s="23">
        <f>'QTR Raw'!AR28</f>
        <v>54.69</v>
      </c>
      <c r="BY43" s="23">
        <f>'QTR Raw'!AS28</f>
        <v>53.76</v>
      </c>
      <c r="BZ43" s="23">
        <f>'QTR Raw'!AT28</f>
        <v>59.93</v>
      </c>
      <c r="CA43" s="23">
        <f>'QTR Raw'!AU28</f>
        <v>68.290000000000006</v>
      </c>
      <c r="CB43" s="23">
        <f>'QTR Raw'!AV28</f>
        <v>66.83</v>
      </c>
      <c r="CC43" s="23">
        <f>'QTR Raw'!AW28</f>
        <v>70.28</v>
      </c>
      <c r="CD43" s="23">
        <f>'QTR Raw'!AX28</f>
        <v>72.290000000000006</v>
      </c>
      <c r="CE43" s="23">
        <f>'QTR Raw'!AY28</f>
        <v>72.489999999999995</v>
      </c>
      <c r="CF43" s="23">
        <f>'QTR Raw'!AZ28</f>
        <v>76.150000000000006</v>
      </c>
      <c r="CG43" s="23">
        <f>'QTR Raw'!BA28</f>
        <v>103.48</v>
      </c>
      <c r="CH43" s="23">
        <f>'QTR Raw'!BB28</f>
        <v>94.9</v>
      </c>
      <c r="CI43" s="23">
        <f>'QTR Raw'!BC28</f>
        <v>101.87</v>
      </c>
      <c r="CJ43" s="23">
        <f>'QTR Raw'!BD28</f>
        <v>109.01</v>
      </c>
      <c r="CK43" s="23">
        <f>'QTR Raw'!BE28</f>
        <v>114.88</v>
      </c>
      <c r="CL43" s="23">
        <f>'QTR Raw'!BF28</f>
        <v>118.09</v>
      </c>
      <c r="CM43" s="24">
        <f t="shared" ref="CM43:DB43" si="413">CM44*CL145</f>
        <v>144.31557152204016</v>
      </c>
      <c r="CN43" s="24">
        <f t="shared" si="413"/>
        <v>139.12933703350905</v>
      </c>
      <c r="CO43" s="24">
        <f t="shared" si="413"/>
        <v>134.12947902456605</v>
      </c>
      <c r="CP43" s="24">
        <f t="shared" si="413"/>
        <v>129.30929972783869</v>
      </c>
      <c r="CQ43" s="24">
        <f t="shared" si="413"/>
        <v>124.66234207203294</v>
      </c>
      <c r="CR43" s="24">
        <f t="shared" si="413"/>
        <v>120.18238103209552</v>
      </c>
      <c r="CS43" s="24">
        <f t="shared" si="413"/>
        <v>115.863415290223</v>
      </c>
      <c r="CT43" s="24">
        <f t="shared" si="413"/>
        <v>111.69965919654747</v>
      </c>
      <c r="CU43" s="24">
        <f t="shared" si="413"/>
        <v>107.68553501872903</v>
      </c>
      <c r="CV43" s="24">
        <f t="shared" si="413"/>
        <v>103.81566547007283</v>
      </c>
      <c r="CW43" s="24">
        <f t="shared" si="413"/>
        <v>100.08486650616148</v>
      </c>
      <c r="CX43" s="24">
        <f t="shared" si="413"/>
        <v>96.488140380353101</v>
      </c>
      <c r="CY43" s="24">
        <f t="shared" si="413"/>
        <v>93.020668948842356</v>
      </c>
      <c r="CZ43" s="24">
        <f t="shared" si="413"/>
        <v>89.677807216315827</v>
      </c>
      <c r="DA43" s="24">
        <f t="shared" si="413"/>
        <v>86.455077113555745</v>
      </c>
      <c r="DB43" s="24">
        <f t="shared" si="413"/>
        <v>83.348161498656481</v>
      </c>
      <c r="DE43" s="123"/>
      <c r="DF43" s="23">
        <v>110.99946896878208</v>
      </c>
    </row>
    <row r="44" spans="1:110" s="46" customFormat="1" x14ac:dyDescent="0.2">
      <c r="A44" s="46" t="s">
        <v>483</v>
      </c>
      <c r="B44" s="46" t="e">
        <f t="shared" ref="B44:D44" si="414">+B43/B145</f>
        <v>#DIV/0!</v>
      </c>
      <c r="C44" s="46" t="e">
        <f t="shared" si="414"/>
        <v>#DIV/0!</v>
      </c>
      <c r="D44" s="46" t="e">
        <f t="shared" si="414"/>
        <v>#DIV/0!</v>
      </c>
      <c r="E44" s="46" t="e">
        <f t="shared" ref="E44:AE44" si="415">+E43/E145</f>
        <v>#DIV/0!</v>
      </c>
      <c r="F44" s="46">
        <f t="shared" si="415"/>
        <v>7.1716773650667059E-2</v>
      </c>
      <c r="G44" s="46">
        <f t="shared" si="415"/>
        <v>7.8054351582110493E-2</v>
      </c>
      <c r="H44" s="46">
        <f t="shared" si="415"/>
        <v>6.8166657478919618E-2</v>
      </c>
      <c r="I44" s="46">
        <f t="shared" si="415"/>
        <v>0</v>
      </c>
      <c r="J44" s="46">
        <f t="shared" si="415"/>
        <v>7.5765348034934621E-2</v>
      </c>
      <c r="K44" s="46">
        <f t="shared" si="415"/>
        <v>8.2924743558549799E-2</v>
      </c>
      <c r="L44" s="46">
        <f t="shared" si="415"/>
        <v>0</v>
      </c>
      <c r="M44" s="46">
        <f t="shared" si="415"/>
        <v>0</v>
      </c>
      <c r="N44" s="46">
        <f t="shared" si="415"/>
        <v>8.6123967806526661E-2</v>
      </c>
      <c r="O44" s="46">
        <f t="shared" si="415"/>
        <v>9.3745083704272675E-2</v>
      </c>
      <c r="P44" s="46">
        <f t="shared" si="415"/>
        <v>0.10177310276933614</v>
      </c>
      <c r="Q44" s="46">
        <f t="shared" si="415"/>
        <v>0.10288122718225645</v>
      </c>
      <c r="R44" s="46">
        <f t="shared" si="415"/>
        <v>9.2822326557342849E-2</v>
      </c>
      <c r="S44" s="46">
        <f t="shared" si="415"/>
        <v>0.10831858126076635</v>
      </c>
      <c r="T44" s="46">
        <f t="shared" si="415"/>
        <v>0.11088351527710809</v>
      </c>
      <c r="U44" s="46">
        <f t="shared" si="415"/>
        <v>0.12705477458128206</v>
      </c>
      <c r="V44" s="46">
        <f t="shared" si="415"/>
        <v>0.12740898648782847</v>
      </c>
      <c r="W44" s="46">
        <f t="shared" si="415"/>
        <v>0.13343222479887029</v>
      </c>
      <c r="X44" s="46">
        <f t="shared" si="415"/>
        <v>0.11459286722616074</v>
      </c>
      <c r="Y44" s="46">
        <f t="shared" si="415"/>
        <v>0.11683749032279779</v>
      </c>
      <c r="Z44" s="46">
        <f t="shared" si="415"/>
        <v>0.10042976833027044</v>
      </c>
      <c r="AA44" s="46">
        <f t="shared" ref="AA44" si="416">+AA43/AA145</f>
        <v>9.9402710311141576E-2</v>
      </c>
      <c r="AB44" s="110">
        <f t="shared" si="415"/>
        <v>0.15765169435571108</v>
      </c>
      <c r="AC44" s="110">
        <f t="shared" si="415"/>
        <v>0.15765169435571111</v>
      </c>
      <c r="AD44" s="110">
        <f t="shared" si="415"/>
        <v>0.15765169435571108</v>
      </c>
      <c r="AE44" s="110">
        <f t="shared" si="415"/>
        <v>0.15765169435571111</v>
      </c>
      <c r="AI44" s="46" t="e">
        <f t="shared" ref="AI44:BN44" si="417">+AI43/AH145</f>
        <v>#DIV/0!</v>
      </c>
      <c r="AJ44" s="46" t="e">
        <f t="shared" si="417"/>
        <v>#DIV/0!</v>
      </c>
      <c r="AK44" s="46" t="e">
        <f t="shared" si="417"/>
        <v>#DIV/0!</v>
      </c>
      <c r="AL44" s="46" t="e">
        <f t="shared" si="417"/>
        <v>#DIV/0!</v>
      </c>
      <c r="AM44" s="46" t="e">
        <f t="shared" si="417"/>
        <v>#DIV/0!</v>
      </c>
      <c r="AN44" s="46" t="e">
        <f t="shared" si="417"/>
        <v>#DIV/0!</v>
      </c>
      <c r="AO44" s="46" t="e">
        <f t="shared" si="417"/>
        <v>#DIV/0!</v>
      </c>
      <c r="AP44" s="46" t="e">
        <f t="shared" si="417"/>
        <v>#DIV/0!</v>
      </c>
      <c r="AQ44" s="46" t="e">
        <f t="shared" si="417"/>
        <v>#DIV/0!</v>
      </c>
      <c r="AR44" s="46" t="e">
        <f t="shared" si="417"/>
        <v>#DIV/0!</v>
      </c>
      <c r="AS44" s="46" t="e">
        <f t="shared" si="417"/>
        <v>#DIV/0!</v>
      </c>
      <c r="AT44" s="46" t="e">
        <f t="shared" si="417"/>
        <v>#DIV/0!</v>
      </c>
      <c r="AU44" s="46" t="e">
        <f t="shared" si="417"/>
        <v>#DIV/0!</v>
      </c>
      <c r="AV44" s="46" t="e">
        <f t="shared" si="417"/>
        <v>#DIV/0!</v>
      </c>
      <c r="AW44" s="46" t="e">
        <f t="shared" si="417"/>
        <v>#DIV/0!</v>
      </c>
      <c r="AX44" s="46" t="e">
        <f t="shared" si="417"/>
        <v>#DIV/0!</v>
      </c>
      <c r="AY44" s="46" t="e">
        <f t="shared" si="417"/>
        <v>#DIV/0!</v>
      </c>
      <c r="AZ44" s="46" t="e">
        <f t="shared" si="417"/>
        <v>#DIV/0!</v>
      </c>
      <c r="BA44" s="46" t="e">
        <f t="shared" si="417"/>
        <v>#DIV/0!</v>
      </c>
      <c r="BB44" s="46" t="e">
        <f t="shared" si="417"/>
        <v>#DIV/0!</v>
      </c>
      <c r="BC44" s="46" t="e">
        <f t="shared" si="417"/>
        <v>#DIV/0!</v>
      </c>
      <c r="BD44" s="46" t="e">
        <f t="shared" si="417"/>
        <v>#DIV/0!</v>
      </c>
      <c r="BE44" s="46" t="e">
        <f t="shared" si="417"/>
        <v>#DIV/0!</v>
      </c>
      <c r="BF44" s="46" t="e">
        <f t="shared" si="417"/>
        <v>#DIV/0!</v>
      </c>
      <c r="BG44" s="46" t="e">
        <f t="shared" si="417"/>
        <v>#DIV/0!</v>
      </c>
      <c r="BH44" s="46" t="e">
        <f t="shared" si="417"/>
        <v>#DIV/0!</v>
      </c>
      <c r="BI44" s="46" t="e">
        <f t="shared" si="417"/>
        <v>#DIV/0!</v>
      </c>
      <c r="BJ44" s="46" t="e">
        <f t="shared" si="417"/>
        <v>#DIV/0!</v>
      </c>
      <c r="BK44" s="46" t="e">
        <f t="shared" si="417"/>
        <v>#DIV/0!</v>
      </c>
      <c r="BL44" s="46" t="e">
        <f t="shared" si="417"/>
        <v>#DIV/0!</v>
      </c>
      <c r="BM44" s="46" t="e">
        <f t="shared" si="417"/>
        <v>#DIV/0!</v>
      </c>
      <c r="BN44" s="46" t="e">
        <f t="shared" si="417"/>
        <v>#DIV/0!</v>
      </c>
      <c r="BO44" s="46">
        <f t="shared" ref="BO44:CL44" si="418">+BO43/BN145</f>
        <v>2.7419085520273841E-2</v>
      </c>
      <c r="BP44" s="46">
        <f t="shared" si="418"/>
        <v>3.3214593827401002E-2</v>
      </c>
      <c r="BQ44" s="46" t="e">
        <f t="shared" si="418"/>
        <v>#DIV/0!</v>
      </c>
      <c r="BR44" s="46" t="e">
        <f t="shared" si="418"/>
        <v>#DIV/0!</v>
      </c>
      <c r="BS44" s="46">
        <f t="shared" si="418"/>
        <v>3.4595602147071601E-2</v>
      </c>
      <c r="BT44" s="46">
        <f t="shared" si="418"/>
        <v>3.5051084046921643E-2</v>
      </c>
      <c r="BU44" s="46">
        <f t="shared" si="418"/>
        <v>3.6676778412010218E-2</v>
      </c>
      <c r="BV44" s="46">
        <f t="shared" si="418"/>
        <v>3.83519028146313E-2</v>
      </c>
      <c r="BW44" s="46">
        <f t="shared" si="418"/>
        <v>3.6509917967571123E-2</v>
      </c>
      <c r="BX44" s="46">
        <f t="shared" si="418"/>
        <v>3.7511317182913111E-2</v>
      </c>
      <c r="BY44" s="46">
        <f t="shared" si="418"/>
        <v>3.5842867429394347E-2</v>
      </c>
      <c r="BZ44" s="46">
        <f t="shared" si="418"/>
        <v>3.995652985572179E-2</v>
      </c>
      <c r="CA44" s="46">
        <f t="shared" si="418"/>
        <v>3.7075241730141754E-2</v>
      </c>
      <c r="CB44" s="46">
        <f t="shared" si="418"/>
        <v>3.6282594886884949E-2</v>
      </c>
      <c r="CC44" s="46">
        <f t="shared" si="418"/>
        <v>3.5963013565445213E-2</v>
      </c>
      <c r="CD44" s="46">
        <f t="shared" si="418"/>
        <v>3.6991551659732995E-2</v>
      </c>
      <c r="CE44" s="46">
        <f t="shared" si="418"/>
        <v>3.390932564927774E-2</v>
      </c>
      <c r="CF44" s="46">
        <f t="shared" si="418"/>
        <v>3.5621398098944691E-2</v>
      </c>
      <c r="CG44" s="46">
        <f t="shared" si="418"/>
        <v>4.4887477660368193E-2</v>
      </c>
      <c r="CH44" s="46">
        <f t="shared" si="418"/>
        <v>4.1165651623201988E-2</v>
      </c>
      <c r="CI44" s="46">
        <f t="shared" si="418"/>
        <v>2.9481818050269868E-2</v>
      </c>
      <c r="CJ44" s="46">
        <f t="shared" si="418"/>
        <v>3.250653052947982E-2</v>
      </c>
      <c r="CK44" s="46">
        <f t="shared" si="418"/>
        <v>3.377899574528144E-2</v>
      </c>
      <c r="CL44" s="46">
        <f t="shared" si="418"/>
        <v>3.5936762982912616E-2</v>
      </c>
      <c r="CM44" s="47">
        <f t="shared" ref="CM44" si="419">CL44</f>
        <v>3.5936762982912616E-2</v>
      </c>
      <c r="CN44" s="47">
        <f t="shared" ref="CN44" si="420">CM44</f>
        <v>3.5936762982912616E-2</v>
      </c>
      <c r="CO44" s="47">
        <f t="shared" ref="CO44" si="421">CN44</f>
        <v>3.5936762982912616E-2</v>
      </c>
      <c r="CP44" s="47">
        <f t="shared" ref="CP44" si="422">CO44</f>
        <v>3.5936762982912616E-2</v>
      </c>
      <c r="CQ44" s="47">
        <f t="shared" ref="CQ44" si="423">CP44</f>
        <v>3.5936762982912616E-2</v>
      </c>
      <c r="CR44" s="47">
        <f t="shared" ref="CR44" si="424">CQ44</f>
        <v>3.5936762982912616E-2</v>
      </c>
      <c r="CS44" s="47">
        <f t="shared" ref="CS44" si="425">CR44</f>
        <v>3.5936762982912616E-2</v>
      </c>
      <c r="CT44" s="47">
        <f t="shared" ref="CT44" si="426">CS44</f>
        <v>3.5936762982912616E-2</v>
      </c>
      <c r="CU44" s="47">
        <f t="shared" ref="CU44" si="427">CT44</f>
        <v>3.5936762982912616E-2</v>
      </c>
      <c r="CV44" s="47">
        <f t="shared" ref="CV44" si="428">CU44</f>
        <v>3.5936762982912616E-2</v>
      </c>
      <c r="CW44" s="47">
        <f t="shared" ref="CW44" si="429">CV44</f>
        <v>3.5936762982912616E-2</v>
      </c>
      <c r="CX44" s="47">
        <f t="shared" ref="CX44" si="430">CW44</f>
        <v>3.5936762982912616E-2</v>
      </c>
      <c r="CY44" s="47">
        <f t="shared" ref="CY44" si="431">CX44</f>
        <v>3.5936762982912616E-2</v>
      </c>
      <c r="CZ44" s="47">
        <f t="shared" ref="CZ44" si="432">CY44</f>
        <v>3.5936762982912616E-2</v>
      </c>
      <c r="DA44" s="47">
        <f t="shared" ref="DA44" si="433">CZ44</f>
        <v>3.5936762982912616E-2</v>
      </c>
      <c r="DB44" s="47">
        <f t="shared" ref="DB44" si="434">DA44</f>
        <v>3.5936762982912616E-2</v>
      </c>
      <c r="DE44" s="130"/>
      <c r="DF44" s="46">
        <v>3.377899574528144E-2</v>
      </c>
    </row>
    <row r="45" spans="1:110" s="26" customFormat="1" x14ac:dyDescent="0.2">
      <c r="A45" s="34" t="s">
        <v>16</v>
      </c>
      <c r="B45" s="26">
        <f>B39-B43</f>
        <v>0</v>
      </c>
      <c r="C45" s="26">
        <f t="shared" ref="C45:T45" si="435">C39-C43</f>
        <v>0</v>
      </c>
      <c r="D45" s="26">
        <f>D39-D43</f>
        <v>0</v>
      </c>
      <c r="E45" s="26">
        <f t="shared" si="435"/>
        <v>0</v>
      </c>
      <c r="F45" s="26">
        <f t="shared" si="435"/>
        <v>7.971050700000009</v>
      </c>
      <c r="G45" s="26">
        <f t="shared" si="435"/>
        <v>12.538466500000006</v>
      </c>
      <c r="H45" s="26">
        <f t="shared" si="435"/>
        <v>11.076852899999977</v>
      </c>
      <c r="I45" s="26">
        <f t="shared" si="435"/>
        <v>14.789942800000006</v>
      </c>
      <c r="J45" s="26">
        <f t="shared" si="435"/>
        <v>10.687387999999981</v>
      </c>
      <c r="K45" s="26">
        <f t="shared" si="435"/>
        <v>12.741339899999993</v>
      </c>
      <c r="L45" s="26">
        <f t="shared" si="435"/>
        <v>0</v>
      </c>
      <c r="M45" s="26">
        <f t="shared" si="435"/>
        <v>0</v>
      </c>
      <c r="N45" s="26">
        <f t="shared" si="435"/>
        <v>99.381999999999891</v>
      </c>
      <c r="O45" s="26">
        <f t="shared" si="435"/>
        <v>82.110000000000085</v>
      </c>
      <c r="P45" s="26">
        <f t="shared" si="435"/>
        <v>94.705999999999889</v>
      </c>
      <c r="Q45" s="26">
        <f t="shared" si="435"/>
        <v>121.54500000000012</v>
      </c>
      <c r="R45" s="26">
        <f t="shared" si="435"/>
        <v>113.54300000000011</v>
      </c>
      <c r="S45" s="26">
        <f t="shared" si="435"/>
        <v>139.82000000000011</v>
      </c>
      <c r="T45" s="26">
        <f t="shared" si="435"/>
        <v>265.93500000000006</v>
      </c>
      <c r="U45" s="26">
        <f t="shared" ref="U45:Z45" si="436">U39-U43</f>
        <v>200.89000000000007</v>
      </c>
      <c r="V45" s="26">
        <f t="shared" si="436"/>
        <v>245.03000000000003</v>
      </c>
      <c r="W45" s="26">
        <f t="shared" si="436"/>
        <v>327.60000000000014</v>
      </c>
      <c r="X45" s="26">
        <f t="shared" si="436"/>
        <v>462</v>
      </c>
      <c r="Y45" s="26">
        <f t="shared" si="436"/>
        <v>600.18999999999983</v>
      </c>
      <c r="Z45" s="26">
        <f t="shared" si="436"/>
        <v>485.6899999999996</v>
      </c>
      <c r="AA45" s="26">
        <f t="shared" ref="AA45" si="437">AA39-AA43</f>
        <v>793.74000000000058</v>
      </c>
      <c r="AB45" s="27">
        <f t="shared" ref="AA45:AD45" si="438">AB39-AB43</f>
        <v>925.00390063163832</v>
      </c>
      <c r="AC45" s="27">
        <f t="shared" si="438"/>
        <v>1267.8225697249886</v>
      </c>
      <c r="AD45" s="27">
        <f t="shared" si="438"/>
        <v>1646.2278221260901</v>
      </c>
      <c r="AE45" s="27">
        <f t="shared" ref="AE45" si="439">AE39-AE43</f>
        <v>2071.7479393079202</v>
      </c>
      <c r="AI45" s="26">
        <f t="shared" ref="AI45" si="440">AI39-AI43</f>
        <v>0</v>
      </c>
      <c r="AJ45" s="26">
        <f t="shared" ref="AJ45" si="441">AJ39-AJ43</f>
        <v>0</v>
      </c>
      <c r="AK45" s="26">
        <f t="shared" ref="AK45:AM45" si="442">AK39-AK43</f>
        <v>0</v>
      </c>
      <c r="AL45" s="26">
        <f t="shared" si="442"/>
        <v>0</v>
      </c>
      <c r="AM45" s="26">
        <f t="shared" si="442"/>
        <v>0</v>
      </c>
      <c r="AN45" s="26">
        <f t="shared" ref="AN45:AO45" si="443">AN39-AN43</f>
        <v>0</v>
      </c>
      <c r="AO45" s="26">
        <f t="shared" si="443"/>
        <v>0</v>
      </c>
      <c r="AP45" s="26">
        <f t="shared" ref="AP45:CD45" si="444">AP39-AP43</f>
        <v>0</v>
      </c>
      <c r="AQ45" s="26">
        <f t="shared" si="444"/>
        <v>0</v>
      </c>
      <c r="AR45" s="26">
        <f t="shared" si="444"/>
        <v>0</v>
      </c>
      <c r="AS45" s="26">
        <f t="shared" si="444"/>
        <v>0</v>
      </c>
      <c r="AT45" s="26">
        <f t="shared" si="444"/>
        <v>0</v>
      </c>
      <c r="AU45" s="26">
        <f t="shared" si="444"/>
        <v>0</v>
      </c>
      <c r="AV45" s="26">
        <f t="shared" si="444"/>
        <v>0</v>
      </c>
      <c r="AW45" s="26">
        <f t="shared" si="444"/>
        <v>0</v>
      </c>
      <c r="AX45" s="26">
        <f t="shared" si="444"/>
        <v>0</v>
      </c>
      <c r="AY45" s="26">
        <f t="shared" si="444"/>
        <v>0</v>
      </c>
      <c r="AZ45" s="26">
        <f t="shared" si="444"/>
        <v>0</v>
      </c>
      <c r="BA45" s="26">
        <f t="shared" si="444"/>
        <v>0</v>
      </c>
      <c r="BB45" s="26">
        <f t="shared" si="444"/>
        <v>0</v>
      </c>
      <c r="BC45" s="26">
        <f t="shared" si="444"/>
        <v>0</v>
      </c>
      <c r="BD45" s="26">
        <f t="shared" si="444"/>
        <v>0</v>
      </c>
      <c r="BE45" s="26">
        <f t="shared" si="444"/>
        <v>0</v>
      </c>
      <c r="BF45" s="26">
        <f t="shared" si="444"/>
        <v>0</v>
      </c>
      <c r="BG45" s="26">
        <f t="shared" si="444"/>
        <v>0</v>
      </c>
      <c r="BH45" s="26">
        <f t="shared" si="444"/>
        <v>0</v>
      </c>
      <c r="BI45" s="26">
        <f t="shared" si="444"/>
        <v>0</v>
      </c>
      <c r="BJ45" s="26">
        <f t="shared" si="444"/>
        <v>0</v>
      </c>
      <c r="BK45" s="26">
        <f t="shared" si="444"/>
        <v>0</v>
      </c>
      <c r="BL45" s="26">
        <f t="shared" si="444"/>
        <v>0</v>
      </c>
      <c r="BM45" s="26">
        <f t="shared" si="444"/>
        <v>0</v>
      </c>
      <c r="BN45" s="26">
        <f t="shared" si="444"/>
        <v>37.990000000000023</v>
      </c>
      <c r="BO45" s="26">
        <f t="shared" si="444"/>
        <v>5.2799999999999869</v>
      </c>
      <c r="BP45" s="26">
        <f t="shared" si="444"/>
        <v>53.519999999999989</v>
      </c>
      <c r="BQ45" s="26">
        <f t="shared" si="444"/>
        <v>86.319999999999979</v>
      </c>
      <c r="BR45" s="26">
        <f t="shared" si="444"/>
        <v>100.66999999999996</v>
      </c>
      <c r="BS45" s="26">
        <f t="shared" si="444"/>
        <v>58.369999999999983</v>
      </c>
      <c r="BT45" s="26">
        <f t="shared" si="444"/>
        <v>93.580000000000013</v>
      </c>
      <c r="BU45" s="26">
        <f t="shared" si="444"/>
        <v>75.699999999999946</v>
      </c>
      <c r="BV45" s="26">
        <f t="shared" si="444"/>
        <v>100.51999999999998</v>
      </c>
      <c r="BW45" s="26">
        <f t="shared" si="444"/>
        <v>111.45000000000005</v>
      </c>
      <c r="BX45" s="26">
        <f t="shared" si="444"/>
        <v>117.50000000000006</v>
      </c>
      <c r="BY45" s="26">
        <f t="shared" si="444"/>
        <v>104.53999999999996</v>
      </c>
      <c r="BZ45" s="26">
        <f t="shared" si="444"/>
        <v>128.50999999999993</v>
      </c>
      <c r="CA45" s="26">
        <f t="shared" si="444"/>
        <v>145.94000000000011</v>
      </c>
      <c r="CB45" s="26">
        <f t="shared" si="444"/>
        <v>170.67000000000007</v>
      </c>
      <c r="CC45" s="26">
        <f t="shared" si="444"/>
        <v>149.92000000000004</v>
      </c>
      <c r="CD45" s="26">
        <f t="shared" si="444"/>
        <v>134.61000000000001</v>
      </c>
      <c r="CE45" s="26">
        <f t="shared" ref="CE45:CF45" si="445">CE39-CE43</f>
        <v>124.8400000000001</v>
      </c>
      <c r="CF45" s="26">
        <f t="shared" si="445"/>
        <v>116.63000000000008</v>
      </c>
      <c r="CG45" s="26">
        <f t="shared" ref="CG45:CH45" si="446">CG39-CG43</f>
        <v>95.499999999999901</v>
      </c>
      <c r="CH45" s="26">
        <f t="shared" si="446"/>
        <v>148.72000000000011</v>
      </c>
      <c r="CI45" s="26">
        <f t="shared" ref="CI45:CJ45" si="447">CI39-CI43</f>
        <v>163.06999999999994</v>
      </c>
      <c r="CJ45" s="26">
        <f t="shared" si="447"/>
        <v>192.88999999999976</v>
      </c>
      <c r="CK45" s="26">
        <f t="shared" ref="CK45:CL45" si="448">CK39-CK43</f>
        <v>197.34000000000026</v>
      </c>
      <c r="CL45" s="26">
        <f t="shared" si="448"/>
        <v>240.4400000000002</v>
      </c>
      <c r="CM45" s="27">
        <f t="shared" ref="CM45:DB45" si="449">CM39-CM43</f>
        <v>177.84057564277612</v>
      </c>
      <c r="CN45" s="27">
        <f t="shared" si="449"/>
        <v>224.99161764560029</v>
      </c>
      <c r="CO45" s="27">
        <f t="shared" si="449"/>
        <v>242.14691205092802</v>
      </c>
      <c r="CP45" s="27">
        <f t="shared" si="449"/>
        <v>280.02479529233335</v>
      </c>
      <c r="CQ45" s="27">
        <f t="shared" si="449"/>
        <v>259.12802754891607</v>
      </c>
      <c r="CR45" s="27">
        <f t="shared" si="449"/>
        <v>311.44064208669641</v>
      </c>
      <c r="CS45" s="27">
        <f t="shared" si="449"/>
        <v>328.27231317955636</v>
      </c>
      <c r="CT45" s="27">
        <f t="shared" si="449"/>
        <v>368.98158690981802</v>
      </c>
      <c r="CU45" s="27">
        <f t="shared" si="449"/>
        <v>346.25980316047304</v>
      </c>
      <c r="CV45" s="27">
        <f t="shared" si="449"/>
        <v>405.79712985414534</v>
      </c>
      <c r="CW45" s="27">
        <f t="shared" si="449"/>
        <v>423.78330210989907</v>
      </c>
      <c r="CX45" s="27">
        <f t="shared" si="449"/>
        <v>470.38758700157223</v>
      </c>
      <c r="CY45" s="27">
        <f t="shared" si="449"/>
        <v>442.89773570251663</v>
      </c>
      <c r="CZ45" s="27">
        <f t="shared" si="449"/>
        <v>511.67896233023112</v>
      </c>
      <c r="DA45" s="27">
        <f t="shared" si="449"/>
        <v>531.63668301431312</v>
      </c>
      <c r="DB45" s="27">
        <f t="shared" si="449"/>
        <v>585.53455826085724</v>
      </c>
      <c r="DE45" s="121"/>
      <c r="DF45" s="26">
        <v>198.81387287935769</v>
      </c>
    </row>
    <row r="46" spans="1:110" s="23" customFormat="1" x14ac:dyDescent="0.2">
      <c r="A46" s="23" t="s">
        <v>17</v>
      </c>
      <c r="B46" s="23">
        <f>'Annual Raw'!C23</f>
        <v>0</v>
      </c>
      <c r="C46" s="23">
        <f>'Annual Raw'!D23</f>
        <v>0</v>
      </c>
      <c r="D46" s="23">
        <f>'Annual Raw'!E23</f>
        <v>0</v>
      </c>
      <c r="E46" s="23">
        <f>'Annual Raw'!F23</f>
        <v>0</v>
      </c>
      <c r="F46" s="23">
        <f>'Annual Raw'!G23</f>
        <v>0</v>
      </c>
      <c r="G46" s="23">
        <f>'Annual Raw'!H23</f>
        <v>0</v>
      </c>
      <c r="H46" s="23">
        <f>'Annual Raw'!I23</f>
        <v>0</v>
      </c>
      <c r="I46" s="23">
        <f>'Annual Raw'!J23</f>
        <v>0</v>
      </c>
      <c r="J46" s="23">
        <f>'Annual Raw'!K23</f>
        <v>0</v>
      </c>
      <c r="K46" s="23">
        <f>'Annual Raw'!L23</f>
        <v>0</v>
      </c>
      <c r="L46" s="23">
        <f>'Annual Raw'!M23</f>
        <v>0</v>
      </c>
      <c r="M46" s="23">
        <f>'Annual Raw'!N23</f>
        <v>0</v>
      </c>
      <c r="N46" s="23">
        <f>'Annual Raw'!O23</f>
        <v>5.5259999999999998</v>
      </c>
      <c r="O46" s="23">
        <f>'Annual Raw'!P23</f>
        <v>12.246</v>
      </c>
      <c r="P46" s="23">
        <f>'Annual Raw'!Q23</f>
        <v>1.0069999999999999</v>
      </c>
      <c r="Q46" s="23">
        <f>'Annual Raw'!R23</f>
        <v>13.612</v>
      </c>
      <c r="R46" s="23">
        <f>'Annual Raw'!S23</f>
        <v>11.381</v>
      </c>
      <c r="S46" s="23">
        <f>'Annual Raw'!T23</f>
        <v>15.06</v>
      </c>
      <c r="T46" s="23">
        <f>'Annual Raw'!U23</f>
        <v>14.194000000000001</v>
      </c>
      <c r="U46" s="23">
        <f>'Annual Raw'!V23</f>
        <v>9.27</v>
      </c>
      <c r="V46" s="23">
        <f>'Annual Raw'!W23</f>
        <v>14.55</v>
      </c>
      <c r="W46" s="23">
        <f>'Annual Raw'!X23</f>
        <v>8.11</v>
      </c>
      <c r="X46" s="23">
        <f>'Annual Raw'!Y23</f>
        <v>12.54</v>
      </c>
      <c r="Y46" s="23">
        <f>'Annual Raw'!Z23</f>
        <v>18.190000000000001</v>
      </c>
      <c r="Z46" s="23">
        <f>'Annual Raw'!AA23</f>
        <v>25.07</v>
      </c>
      <c r="AA46" s="23">
        <f>'Annual Raw'!AB23</f>
        <v>61.36</v>
      </c>
      <c r="AB46" s="76">
        <f t="shared" ref="AB46:AB47" si="450">+SUM(CM46:CP46)</f>
        <v>71.390781250000003</v>
      </c>
      <c r="AC46" s="76">
        <f t="shared" ref="AC46:AC47" si="451">+SUM(CQ46:CT46)</f>
        <v>73.190618286132818</v>
      </c>
      <c r="AD46" s="76">
        <f t="shared" ref="AD46:AD47" si="452">+SUM(CU46:CX46)</f>
        <v>73.441819546222689</v>
      </c>
      <c r="AE46" s="76">
        <f t="shared" ref="AE46:AE47" si="453">+SUM(CY46:DB46)</f>
        <v>73.465333050088958</v>
      </c>
      <c r="AI46" s="23">
        <f>'QTR Raw'!C23</f>
        <v>0</v>
      </c>
      <c r="AJ46" s="23">
        <f>'QTR Raw'!D23</f>
        <v>0</v>
      </c>
      <c r="AK46" s="23">
        <f>'QTR Raw'!E23</f>
        <v>0</v>
      </c>
      <c r="AL46" s="23">
        <f>'QTR Raw'!F23</f>
        <v>0</v>
      </c>
      <c r="AM46" s="23">
        <f>'QTR Raw'!G23</f>
        <v>0</v>
      </c>
      <c r="AN46" s="23">
        <f>'QTR Raw'!H23</f>
        <v>0</v>
      </c>
      <c r="AO46" s="23">
        <f>'QTR Raw'!I23</f>
        <v>0</v>
      </c>
      <c r="AP46" s="23">
        <f>'QTR Raw'!J23</f>
        <v>0</v>
      </c>
      <c r="AQ46" s="23">
        <f>'QTR Raw'!K23</f>
        <v>0</v>
      </c>
      <c r="AR46" s="23">
        <f>'QTR Raw'!L23</f>
        <v>0</v>
      </c>
      <c r="AS46" s="23">
        <f>'QTR Raw'!M23</f>
        <v>0</v>
      </c>
      <c r="AT46" s="23">
        <f>'QTR Raw'!N23</f>
        <v>0</v>
      </c>
      <c r="AU46" s="23">
        <f>'QTR Raw'!O23</f>
        <v>0</v>
      </c>
      <c r="AV46" s="23">
        <f>'QTR Raw'!P23</f>
        <v>0</v>
      </c>
      <c r="AW46" s="23">
        <f>'QTR Raw'!Q23</f>
        <v>0</v>
      </c>
      <c r="AX46" s="23">
        <f>'QTR Raw'!R23</f>
        <v>0</v>
      </c>
      <c r="AY46" s="23">
        <f>'QTR Raw'!S23</f>
        <v>0</v>
      </c>
      <c r="AZ46" s="23">
        <f>'QTR Raw'!T23</f>
        <v>0</v>
      </c>
      <c r="BA46" s="23">
        <f>'QTR Raw'!U23</f>
        <v>0</v>
      </c>
      <c r="BB46" s="23">
        <f>'QTR Raw'!V23</f>
        <v>0</v>
      </c>
      <c r="BC46" s="23">
        <f>'QTR Raw'!W23</f>
        <v>0</v>
      </c>
      <c r="BD46" s="23">
        <f>'QTR Raw'!X23</f>
        <v>0</v>
      </c>
      <c r="BE46" s="23">
        <f>'QTR Raw'!Y23</f>
        <v>0</v>
      </c>
      <c r="BF46" s="23">
        <f>'QTR Raw'!Z23</f>
        <v>0</v>
      </c>
      <c r="BG46" s="23">
        <f>'QTR Raw'!AA23</f>
        <v>0</v>
      </c>
      <c r="BH46" s="23">
        <f>'QTR Raw'!AB23</f>
        <v>0</v>
      </c>
      <c r="BI46" s="23">
        <f>'QTR Raw'!AC23</f>
        <v>0</v>
      </c>
      <c r="BJ46" s="23">
        <f>'QTR Raw'!AD23</f>
        <v>0</v>
      </c>
      <c r="BK46" s="23">
        <f>'QTR Raw'!AE23</f>
        <v>0</v>
      </c>
      <c r="BL46" s="23">
        <f>'QTR Raw'!AF23</f>
        <v>0</v>
      </c>
      <c r="BM46" s="23">
        <f>'QTR Raw'!AG23</f>
        <v>0</v>
      </c>
      <c r="BN46" s="23">
        <f>'QTR Raw'!AH23</f>
        <v>3</v>
      </c>
      <c r="BO46" s="23">
        <f>'QTR Raw'!AI23</f>
        <v>0.54</v>
      </c>
      <c r="BP46" s="23">
        <f>'QTR Raw'!AJ23</f>
        <v>2.2599999999999998</v>
      </c>
      <c r="BQ46" s="23">
        <f>'QTR Raw'!AK23</f>
        <v>4.32</v>
      </c>
      <c r="BR46" s="23">
        <f>'QTR Raw'!AL23</f>
        <v>2.96</v>
      </c>
      <c r="BS46" s="23">
        <f>'QTR Raw'!AM23</f>
        <v>0.64</v>
      </c>
      <c r="BT46" s="23">
        <f>'QTR Raw'!AN23</f>
        <v>0.64</v>
      </c>
      <c r="BU46" s="23">
        <f>'QTR Raw'!AO23</f>
        <v>1.89</v>
      </c>
      <c r="BV46" s="23">
        <f>'QTR Raw'!AP23</f>
        <v>4.2300000000000004</v>
      </c>
      <c r="BW46" s="23">
        <f>'QTR Raw'!AQ23</f>
        <v>1.31</v>
      </c>
      <c r="BX46" s="23">
        <f>'QTR Raw'!AR23</f>
        <v>1.74</v>
      </c>
      <c r="BY46" s="23">
        <f>'QTR Raw'!AS23</f>
        <v>4.6100000000000003</v>
      </c>
      <c r="BZ46" s="23">
        <f>'QTR Raw'!AT23</f>
        <v>4.88</v>
      </c>
      <c r="CA46" s="23">
        <f>'QTR Raw'!AU23</f>
        <v>3.71</v>
      </c>
      <c r="CB46" s="23">
        <f>'QTR Raw'!AV23</f>
        <v>4.72</v>
      </c>
      <c r="CC46" s="23">
        <f>'QTR Raw'!AW23</f>
        <v>3.5</v>
      </c>
      <c r="CD46" s="23">
        <f>'QTR Raw'!AX23</f>
        <v>5.31</v>
      </c>
      <c r="CE46" s="23">
        <f>'QTR Raw'!AY23</f>
        <v>4.84</v>
      </c>
      <c r="CF46" s="23">
        <f>'QTR Raw'!AZ23</f>
        <v>6.44</v>
      </c>
      <c r="CG46" s="23">
        <f>'QTR Raw'!BA23</f>
        <v>8.56</v>
      </c>
      <c r="CH46" s="23">
        <f>'QTR Raw'!BB23</f>
        <v>5.23</v>
      </c>
      <c r="CI46" s="23">
        <f>'QTR Raw'!BC23</f>
        <v>4.97</v>
      </c>
      <c r="CJ46" s="23">
        <f>'QTR Raw'!BD23</f>
        <v>9.59</v>
      </c>
      <c r="CK46" s="23">
        <f>'QTR Raw'!BE23</f>
        <v>27.69</v>
      </c>
      <c r="CL46" s="23">
        <f>'QTR Raw'!BF23</f>
        <v>19.11</v>
      </c>
      <c r="CM46" s="24">
        <f t="shared" ref="CM46:DB46" si="454">AVERAGE(CI46:CL46)</f>
        <v>15.34</v>
      </c>
      <c r="CN46" s="24">
        <f t="shared" si="454"/>
        <v>17.932500000000001</v>
      </c>
      <c r="CO46" s="24">
        <f t="shared" si="454"/>
        <v>20.018125000000001</v>
      </c>
      <c r="CP46" s="24">
        <f t="shared" si="454"/>
        <v>18.100156250000001</v>
      </c>
      <c r="CQ46" s="24">
        <f t="shared" si="454"/>
        <v>17.847695312500001</v>
      </c>
      <c r="CR46" s="24">
        <f t="shared" si="454"/>
        <v>18.474619140625002</v>
      </c>
      <c r="CS46" s="24">
        <f t="shared" si="454"/>
        <v>18.610148925781253</v>
      </c>
      <c r="CT46" s="24">
        <f t="shared" si="454"/>
        <v>18.258154907226565</v>
      </c>
      <c r="CU46" s="24">
        <f t="shared" si="454"/>
        <v>18.297654571533204</v>
      </c>
      <c r="CV46" s="24">
        <f t="shared" si="454"/>
        <v>18.410144386291506</v>
      </c>
      <c r="CW46" s="24">
        <f t="shared" si="454"/>
        <v>18.39402569770813</v>
      </c>
      <c r="CX46" s="24">
        <f t="shared" si="454"/>
        <v>18.339994890689852</v>
      </c>
      <c r="CY46" s="24">
        <f t="shared" si="454"/>
        <v>18.360454886555672</v>
      </c>
      <c r="CZ46" s="24">
        <f t="shared" si="454"/>
        <v>18.37615496531129</v>
      </c>
      <c r="DA46" s="24">
        <f t="shared" si="454"/>
        <v>18.367657610066235</v>
      </c>
      <c r="DB46" s="24">
        <f t="shared" si="454"/>
        <v>18.361065588155761</v>
      </c>
      <c r="DE46" s="123"/>
      <c r="DF46" s="23">
        <v>11.870000000000001</v>
      </c>
    </row>
    <row r="47" spans="1:110" s="23" customFormat="1" x14ac:dyDescent="0.2">
      <c r="A47" s="23" t="s">
        <v>18</v>
      </c>
      <c r="B47" s="23">
        <f>'Annual Raw'!C25</f>
        <v>0</v>
      </c>
      <c r="C47" s="23">
        <f>'Annual Raw'!D25</f>
        <v>0</v>
      </c>
      <c r="D47" s="23">
        <f>'Annual Raw'!E25</f>
        <v>0</v>
      </c>
      <c r="E47" s="23">
        <f>'Annual Raw'!F25</f>
        <v>0</v>
      </c>
      <c r="F47" s="23">
        <f>'Annual Raw'!G25</f>
        <v>0</v>
      </c>
      <c r="G47" s="23">
        <f>'Annual Raw'!H25</f>
        <v>0</v>
      </c>
      <c r="H47" s="23">
        <f>'Annual Raw'!I25</f>
        <v>0</v>
      </c>
      <c r="I47" s="23">
        <f>'Annual Raw'!J25</f>
        <v>0</v>
      </c>
      <c r="J47" s="23">
        <f>'Annual Raw'!K25</f>
        <v>0</v>
      </c>
      <c r="K47" s="23">
        <f>'Annual Raw'!L25</f>
        <v>0</v>
      </c>
      <c r="L47" s="23">
        <f>'Annual Raw'!M25</f>
        <v>0</v>
      </c>
      <c r="M47" s="23">
        <f>'Annual Raw'!N25</f>
        <v>0</v>
      </c>
      <c r="N47" s="23">
        <f>'Annual Raw'!O25</f>
        <v>51.042000000000002</v>
      </c>
      <c r="O47" s="23">
        <f>'Annual Raw'!P25</f>
        <v>52.383000000000003</v>
      </c>
      <c r="P47" s="23">
        <f>'Annual Raw'!Q25</f>
        <v>64.369</v>
      </c>
      <c r="Q47" s="23">
        <f>'Annual Raw'!R25</f>
        <v>79.807000000000002</v>
      </c>
      <c r="R47" s="23">
        <f>'Annual Raw'!S25</f>
        <v>89.658000000000001</v>
      </c>
      <c r="S47" s="23">
        <f>'Annual Raw'!T25</f>
        <v>109.1</v>
      </c>
      <c r="T47" s="23">
        <f>'Annual Raw'!U25</f>
        <v>140.54900000000001</v>
      </c>
      <c r="U47" s="23">
        <f>'Annual Raw'!V25</f>
        <v>148.6</v>
      </c>
      <c r="V47" s="23">
        <f>'Annual Raw'!W25</f>
        <v>110.99</v>
      </c>
      <c r="W47" s="23">
        <f>'Annual Raw'!X25</f>
        <v>84.36</v>
      </c>
      <c r="X47" s="23">
        <f>'Annual Raw'!Y25</f>
        <v>120.23</v>
      </c>
      <c r="Y47" s="23">
        <f>'Annual Raw'!Z25</f>
        <v>174.54</v>
      </c>
      <c r="Z47" s="23">
        <f>'Annual Raw'!AA25</f>
        <v>216.64</v>
      </c>
      <c r="AA47" s="23">
        <f>'Annual Raw'!AB25</f>
        <v>308.97000000000003</v>
      </c>
      <c r="AB47" s="76">
        <f t="shared" si="450"/>
        <v>345.08</v>
      </c>
      <c r="AC47" s="76">
        <f t="shared" si="451"/>
        <v>345.08</v>
      </c>
      <c r="AD47" s="76">
        <f t="shared" si="452"/>
        <v>345.08</v>
      </c>
      <c r="AE47" s="76">
        <f t="shared" si="453"/>
        <v>345.08</v>
      </c>
      <c r="AI47" s="23">
        <f>'QTR Raw'!C25</f>
        <v>0</v>
      </c>
      <c r="AJ47" s="23">
        <f>'QTR Raw'!D25</f>
        <v>0</v>
      </c>
      <c r="AK47" s="23">
        <f>'QTR Raw'!E25</f>
        <v>0</v>
      </c>
      <c r="AL47" s="23">
        <f>'QTR Raw'!F25</f>
        <v>0</v>
      </c>
      <c r="AM47" s="23">
        <f>'QTR Raw'!G25</f>
        <v>0</v>
      </c>
      <c r="AN47" s="23">
        <f>'QTR Raw'!H25</f>
        <v>0</v>
      </c>
      <c r="AO47" s="23">
        <f>'QTR Raw'!I25</f>
        <v>0</v>
      </c>
      <c r="AP47" s="23">
        <f>'QTR Raw'!J25</f>
        <v>0</v>
      </c>
      <c r="AQ47" s="23">
        <f>'QTR Raw'!K25</f>
        <v>0</v>
      </c>
      <c r="AR47" s="23">
        <f>'QTR Raw'!L25</f>
        <v>0</v>
      </c>
      <c r="AS47" s="23">
        <f>'QTR Raw'!M25</f>
        <v>0</v>
      </c>
      <c r="AT47" s="23">
        <f>'QTR Raw'!N25</f>
        <v>0</v>
      </c>
      <c r="AU47" s="23">
        <f>'QTR Raw'!O25</f>
        <v>0</v>
      </c>
      <c r="AV47" s="23">
        <f>'QTR Raw'!P25</f>
        <v>0</v>
      </c>
      <c r="AW47" s="23">
        <f>'QTR Raw'!Q25</f>
        <v>0</v>
      </c>
      <c r="AX47" s="23">
        <f>'QTR Raw'!R25</f>
        <v>0</v>
      </c>
      <c r="AY47" s="23">
        <f>'QTR Raw'!S25</f>
        <v>0</v>
      </c>
      <c r="AZ47" s="23">
        <f>'QTR Raw'!T25</f>
        <v>0</v>
      </c>
      <c r="BA47" s="23">
        <f>'QTR Raw'!U25</f>
        <v>0</v>
      </c>
      <c r="BB47" s="23">
        <f>'QTR Raw'!V25</f>
        <v>0</v>
      </c>
      <c r="BC47" s="23">
        <f>'QTR Raw'!W25</f>
        <v>0</v>
      </c>
      <c r="BD47" s="23">
        <f>'QTR Raw'!X25</f>
        <v>0</v>
      </c>
      <c r="BE47" s="23">
        <f>'QTR Raw'!Y25</f>
        <v>0</v>
      </c>
      <c r="BF47" s="23">
        <f>'QTR Raw'!Z25</f>
        <v>0</v>
      </c>
      <c r="BG47" s="23">
        <f>'QTR Raw'!AA25</f>
        <v>0</v>
      </c>
      <c r="BH47" s="23">
        <f>'QTR Raw'!AB25</f>
        <v>0</v>
      </c>
      <c r="BI47" s="23">
        <f>'QTR Raw'!AC25</f>
        <v>0</v>
      </c>
      <c r="BJ47" s="23">
        <f>'QTR Raw'!AD25</f>
        <v>0</v>
      </c>
      <c r="BK47" s="23">
        <f>'QTR Raw'!AE25</f>
        <v>0</v>
      </c>
      <c r="BL47" s="23">
        <f>'QTR Raw'!AF25</f>
        <v>0</v>
      </c>
      <c r="BM47" s="23">
        <f>'QTR Raw'!AG25</f>
        <v>0</v>
      </c>
      <c r="BN47" s="23">
        <f>'QTR Raw'!AH25</f>
        <v>34.9</v>
      </c>
      <c r="BO47" s="23">
        <f>'QTR Raw'!AI25</f>
        <v>30.37</v>
      </c>
      <c r="BP47" s="23">
        <f>'QTR Raw'!AJ25</f>
        <v>21.35</v>
      </c>
      <c r="BQ47" s="23">
        <f>'QTR Raw'!AK25</f>
        <v>25.56</v>
      </c>
      <c r="BR47" s="23">
        <f>'QTR Raw'!AL25</f>
        <v>30</v>
      </c>
      <c r="BS47" s="23">
        <f>'QTR Raw'!AM25</f>
        <v>22.49</v>
      </c>
      <c r="BT47" s="23">
        <f>'QTR Raw'!AN25</f>
        <v>17.760000000000002</v>
      </c>
      <c r="BU47" s="23">
        <f>'QTR Raw'!AO25</f>
        <v>20.190000000000001</v>
      </c>
      <c r="BV47" s="23">
        <f>'QTR Raw'!AP25</f>
        <v>23.78</v>
      </c>
      <c r="BW47" s="23">
        <f>'QTR Raw'!AQ25</f>
        <v>25.41</v>
      </c>
      <c r="BX47" s="23">
        <f>'QTR Raw'!AR25</f>
        <v>23.28</v>
      </c>
      <c r="BY47" s="23">
        <f>'QTR Raw'!AS25</f>
        <v>29.63</v>
      </c>
      <c r="BZ47" s="23">
        <f>'QTR Raw'!AT25</f>
        <v>41.91</v>
      </c>
      <c r="CA47" s="23">
        <f>'QTR Raw'!AU25</f>
        <v>42.39</v>
      </c>
      <c r="CB47" s="23">
        <f>'QTR Raw'!AV25</f>
        <v>41.58</v>
      </c>
      <c r="CC47" s="23">
        <f>'QTR Raw'!AW25</f>
        <v>44.17</v>
      </c>
      <c r="CD47" s="23">
        <f>'QTR Raw'!AX25</f>
        <v>46.4</v>
      </c>
      <c r="CE47" s="23">
        <f>'QTR Raw'!AY25</f>
        <v>49.15</v>
      </c>
      <c r="CF47" s="23">
        <f>'QTR Raw'!AZ25</f>
        <v>41.32</v>
      </c>
      <c r="CG47" s="23">
        <f>'QTR Raw'!BA25</f>
        <v>58.25</v>
      </c>
      <c r="CH47" s="23">
        <f>'QTR Raw'!BB25</f>
        <v>67.92</v>
      </c>
      <c r="CI47" s="23">
        <f>'QTR Raw'!BC25</f>
        <v>66.3</v>
      </c>
      <c r="CJ47" s="23">
        <f>'QTR Raw'!BD25</f>
        <v>77.010000000000005</v>
      </c>
      <c r="CK47" s="23">
        <f>'QTR Raw'!BE25</f>
        <v>79.39</v>
      </c>
      <c r="CL47" s="23">
        <f>'QTR Raw'!BF25</f>
        <v>86.27</v>
      </c>
      <c r="CM47" s="24">
        <f t="shared" ref="CM47:DB47" si="455">+CL47</f>
        <v>86.27</v>
      </c>
      <c r="CN47" s="24">
        <f t="shared" si="455"/>
        <v>86.27</v>
      </c>
      <c r="CO47" s="24">
        <f t="shared" si="455"/>
        <v>86.27</v>
      </c>
      <c r="CP47" s="24">
        <f t="shared" si="455"/>
        <v>86.27</v>
      </c>
      <c r="CQ47" s="24">
        <f t="shared" si="455"/>
        <v>86.27</v>
      </c>
      <c r="CR47" s="24">
        <f t="shared" si="455"/>
        <v>86.27</v>
      </c>
      <c r="CS47" s="24">
        <f t="shared" si="455"/>
        <v>86.27</v>
      </c>
      <c r="CT47" s="24">
        <f t="shared" si="455"/>
        <v>86.27</v>
      </c>
      <c r="CU47" s="24">
        <f t="shared" si="455"/>
        <v>86.27</v>
      </c>
      <c r="CV47" s="24">
        <f t="shared" si="455"/>
        <v>86.27</v>
      </c>
      <c r="CW47" s="24">
        <f t="shared" si="455"/>
        <v>86.27</v>
      </c>
      <c r="CX47" s="24">
        <f t="shared" si="455"/>
        <v>86.27</v>
      </c>
      <c r="CY47" s="24">
        <f t="shared" si="455"/>
        <v>86.27</v>
      </c>
      <c r="CZ47" s="24">
        <f t="shared" si="455"/>
        <v>86.27</v>
      </c>
      <c r="DA47" s="24">
        <f t="shared" si="455"/>
        <v>86.27</v>
      </c>
      <c r="DB47" s="24">
        <f t="shared" si="455"/>
        <v>86.27</v>
      </c>
      <c r="DE47" s="123"/>
      <c r="DF47" s="23">
        <v>79.39</v>
      </c>
    </row>
    <row r="48" spans="1:110" s="46" customFormat="1" x14ac:dyDescent="0.2">
      <c r="A48" s="46" t="s">
        <v>482</v>
      </c>
      <c r="B48" s="46" t="e">
        <f t="shared" ref="B48:D48" si="456">+B47/B139</f>
        <v>#DIV/0!</v>
      </c>
      <c r="C48" s="46" t="e">
        <f t="shared" si="456"/>
        <v>#DIV/0!</v>
      </c>
      <c r="D48" s="46" t="e">
        <f t="shared" si="456"/>
        <v>#DIV/0!</v>
      </c>
      <c r="E48" s="46" t="e">
        <f t="shared" ref="E48:AE48" si="457">+E47/E139</f>
        <v>#DIV/0!</v>
      </c>
      <c r="F48" s="46">
        <f t="shared" si="457"/>
        <v>0</v>
      </c>
      <c r="G48" s="46">
        <f t="shared" si="457"/>
        <v>0</v>
      </c>
      <c r="H48" s="46">
        <f t="shared" si="457"/>
        <v>0</v>
      </c>
      <c r="I48" s="46">
        <f t="shared" si="457"/>
        <v>0</v>
      </c>
      <c r="J48" s="46">
        <f t="shared" si="457"/>
        <v>0</v>
      </c>
      <c r="K48" s="46">
        <f t="shared" si="457"/>
        <v>0</v>
      </c>
      <c r="L48" s="46">
        <f t="shared" si="457"/>
        <v>0</v>
      </c>
      <c r="M48" s="46">
        <f t="shared" si="457"/>
        <v>0</v>
      </c>
      <c r="N48" s="46">
        <f t="shared" si="457"/>
        <v>0.10532071625185191</v>
      </c>
      <c r="O48" s="46">
        <f t="shared" si="457"/>
        <v>0.10003456513809823</v>
      </c>
      <c r="P48" s="46">
        <f t="shared" si="457"/>
        <v>0.11723661875377923</v>
      </c>
      <c r="Q48" s="46">
        <f t="shared" si="457"/>
        <v>0.12939759192422312</v>
      </c>
      <c r="R48" s="46">
        <f t="shared" si="457"/>
        <v>0.11538535785573548</v>
      </c>
      <c r="S48" s="46">
        <f t="shared" si="457"/>
        <v>0.12885471660229839</v>
      </c>
      <c r="T48" s="46">
        <f t="shared" si="457"/>
        <v>0.14265125149325611</v>
      </c>
      <c r="U48" s="46">
        <f t="shared" si="457"/>
        <v>0.1403966251901401</v>
      </c>
      <c r="V48" s="46">
        <f t="shared" si="457"/>
        <v>0.15775933138130027</v>
      </c>
      <c r="W48" s="46">
        <f t="shared" si="457"/>
        <v>0.11788708775852431</v>
      </c>
      <c r="X48" s="46">
        <f t="shared" si="457"/>
        <v>0.10430113123742106</v>
      </c>
      <c r="Y48" s="46">
        <f t="shared" si="457"/>
        <v>0.11286640843749798</v>
      </c>
      <c r="Z48" s="46">
        <f t="shared" si="457"/>
        <v>0.1054589000418642</v>
      </c>
      <c r="AA48" s="46">
        <f t="shared" ref="AA48" si="458">+AA47/AA139</f>
        <v>9.2488542580291752E-2</v>
      </c>
      <c r="AB48" s="110">
        <f t="shared" si="457"/>
        <v>0.10329788093862534</v>
      </c>
      <c r="AC48" s="110">
        <f t="shared" si="457"/>
        <v>0.10329788093862534</v>
      </c>
      <c r="AD48" s="110">
        <f t="shared" si="457"/>
        <v>0.10329788093862534</v>
      </c>
      <c r="AE48" s="110">
        <f t="shared" si="457"/>
        <v>0.10329788093862534</v>
      </c>
      <c r="AI48" s="46" t="e">
        <f t="shared" ref="AI48:BN48" si="459">(AI47-AI46)/AH179</f>
        <v>#DIV/0!</v>
      </c>
      <c r="AJ48" s="46" t="e">
        <f t="shared" si="459"/>
        <v>#DIV/0!</v>
      </c>
      <c r="AK48" s="46" t="e">
        <f t="shared" si="459"/>
        <v>#DIV/0!</v>
      </c>
      <c r="AL48" s="46" t="e">
        <f t="shared" si="459"/>
        <v>#DIV/0!</v>
      </c>
      <c r="AM48" s="46" t="e">
        <f t="shared" si="459"/>
        <v>#DIV/0!</v>
      </c>
      <c r="AN48" s="46" t="e">
        <f t="shared" si="459"/>
        <v>#DIV/0!</v>
      </c>
      <c r="AO48" s="46" t="e">
        <f t="shared" si="459"/>
        <v>#DIV/0!</v>
      </c>
      <c r="AP48" s="46" t="e">
        <f t="shared" si="459"/>
        <v>#DIV/0!</v>
      </c>
      <c r="AQ48" s="46" t="e">
        <f t="shared" si="459"/>
        <v>#DIV/0!</v>
      </c>
      <c r="AR48" s="46" t="e">
        <f t="shared" si="459"/>
        <v>#DIV/0!</v>
      </c>
      <c r="AS48" s="46" t="e">
        <f t="shared" si="459"/>
        <v>#DIV/0!</v>
      </c>
      <c r="AT48" s="46" t="e">
        <f t="shared" si="459"/>
        <v>#DIV/0!</v>
      </c>
      <c r="AU48" s="46" t="e">
        <f t="shared" si="459"/>
        <v>#DIV/0!</v>
      </c>
      <c r="AV48" s="46" t="e">
        <f t="shared" si="459"/>
        <v>#DIV/0!</v>
      </c>
      <c r="AW48" s="46" t="e">
        <f t="shared" si="459"/>
        <v>#DIV/0!</v>
      </c>
      <c r="AX48" s="46" t="e">
        <f t="shared" si="459"/>
        <v>#DIV/0!</v>
      </c>
      <c r="AY48" s="46" t="e">
        <f t="shared" si="459"/>
        <v>#DIV/0!</v>
      </c>
      <c r="AZ48" s="46" t="e">
        <f t="shared" si="459"/>
        <v>#DIV/0!</v>
      </c>
      <c r="BA48" s="46" t="e">
        <f t="shared" si="459"/>
        <v>#DIV/0!</v>
      </c>
      <c r="BB48" s="46" t="e">
        <f t="shared" si="459"/>
        <v>#DIV/0!</v>
      </c>
      <c r="BC48" s="46" t="e">
        <f t="shared" si="459"/>
        <v>#DIV/0!</v>
      </c>
      <c r="BD48" s="46" t="e">
        <f t="shared" si="459"/>
        <v>#DIV/0!</v>
      </c>
      <c r="BE48" s="46" t="e">
        <f t="shared" si="459"/>
        <v>#DIV/0!</v>
      </c>
      <c r="BF48" s="46" t="e">
        <f t="shared" si="459"/>
        <v>#DIV/0!</v>
      </c>
      <c r="BG48" s="46" t="e">
        <f t="shared" si="459"/>
        <v>#DIV/0!</v>
      </c>
      <c r="BH48" s="46" t="e">
        <f t="shared" si="459"/>
        <v>#DIV/0!</v>
      </c>
      <c r="BI48" s="46" t="e">
        <f t="shared" si="459"/>
        <v>#DIV/0!</v>
      </c>
      <c r="BJ48" s="46" t="e">
        <f t="shared" si="459"/>
        <v>#DIV/0!</v>
      </c>
      <c r="BK48" s="46" t="e">
        <f t="shared" si="459"/>
        <v>#DIV/0!</v>
      </c>
      <c r="BL48" s="46" t="e">
        <f t="shared" si="459"/>
        <v>#DIV/0!</v>
      </c>
      <c r="BM48" s="46" t="e">
        <f t="shared" si="459"/>
        <v>#DIV/0!</v>
      </c>
      <c r="BN48" s="46" t="e">
        <f t="shared" si="459"/>
        <v>#DIV/0!</v>
      </c>
      <c r="BO48" s="46">
        <f t="shared" ref="BO48:CL48" si="460">(BO47-BO46)/BN179</f>
        <v>3.5473475163810636E-2</v>
      </c>
      <c r="BP48" s="46">
        <f t="shared" si="460"/>
        <v>2.597030125707691E-2</v>
      </c>
      <c r="BQ48" s="46" t="e">
        <f t="shared" si="460"/>
        <v>#DIV/0!</v>
      </c>
      <c r="BR48" s="46">
        <f t="shared" si="460"/>
        <v>-0.62189512419503257</v>
      </c>
      <c r="BS48" s="46">
        <f t="shared" si="460"/>
        <v>3.3263305322128851E-2</v>
      </c>
      <c r="BT48" s="46">
        <f t="shared" si="460"/>
        <v>2.9655419591219985E-2</v>
      </c>
      <c r="BU48" s="46">
        <f t="shared" si="460"/>
        <v>2.6745783519920494E-2</v>
      </c>
      <c r="BV48" s="46">
        <f t="shared" si="460"/>
        <v>3.0764208880516342E-2</v>
      </c>
      <c r="BW48" s="46">
        <f t="shared" si="460"/>
        <v>3.585669225733501E-2</v>
      </c>
      <c r="BX48" s="46">
        <f t="shared" si="460"/>
        <v>3.4207032326618099E-2</v>
      </c>
      <c r="BY48" s="46">
        <f t="shared" si="460"/>
        <v>3.6749801709703003E-2</v>
      </c>
      <c r="BZ48" s="46">
        <f t="shared" si="460"/>
        <v>6.070422725750417E-2</v>
      </c>
      <c r="CA48" s="46">
        <f t="shared" si="460"/>
        <v>3.4992491269970505E-2</v>
      </c>
      <c r="CB48" s="46">
        <f t="shared" si="460"/>
        <v>3.446697150359547E-2</v>
      </c>
      <c r="CC48" s="46">
        <f t="shared" si="460"/>
        <v>3.0436832533808311E-2</v>
      </c>
      <c r="CD48" s="46">
        <f t="shared" si="460"/>
        <v>3.3445572789168633E-2</v>
      </c>
      <c r="CE48" s="46">
        <f t="shared" si="460"/>
        <v>3.0278595882220299E-2</v>
      </c>
      <c r="CF48" s="46">
        <f t="shared" si="460"/>
        <v>2.415342444804525E-2</v>
      </c>
      <c r="CG48" s="46">
        <f t="shared" si="460"/>
        <v>4.1641874848106462E-2</v>
      </c>
      <c r="CH48" s="46">
        <f t="shared" si="460"/>
        <v>4.2121800900577912E-2</v>
      </c>
      <c r="CI48" s="46">
        <f t="shared" si="460"/>
        <v>3.1760252300585691E-2</v>
      </c>
      <c r="CJ48" s="46">
        <f t="shared" si="460"/>
        <v>3.7987176080235927E-2</v>
      </c>
      <c r="CK48" s="46">
        <f t="shared" si="460"/>
        <v>1.8063470212743658E-2</v>
      </c>
      <c r="CL48" s="46">
        <f t="shared" si="460"/>
        <v>2.4954138399324272E-2</v>
      </c>
      <c r="CM48" s="47">
        <f t="shared" ref="CM48" si="461">+CL48</f>
        <v>2.4954138399324272E-2</v>
      </c>
      <c r="CN48" s="47">
        <f t="shared" ref="CN48" si="462">+CM48</f>
        <v>2.4954138399324272E-2</v>
      </c>
      <c r="CO48" s="47">
        <f t="shared" ref="CO48" si="463">+CN48</f>
        <v>2.4954138399324272E-2</v>
      </c>
      <c r="CP48" s="47">
        <f t="shared" ref="CP48" si="464">+CO48</f>
        <v>2.4954138399324272E-2</v>
      </c>
      <c r="CQ48" s="47">
        <f t="shared" ref="CQ48" si="465">+CP48</f>
        <v>2.4954138399324272E-2</v>
      </c>
      <c r="CR48" s="47">
        <f t="shared" ref="CR48" si="466">+CQ48</f>
        <v>2.4954138399324272E-2</v>
      </c>
      <c r="CS48" s="47">
        <f t="shared" ref="CS48" si="467">+CR48</f>
        <v>2.4954138399324272E-2</v>
      </c>
      <c r="CT48" s="47">
        <f t="shared" ref="CT48" si="468">+CS48</f>
        <v>2.4954138399324272E-2</v>
      </c>
      <c r="CU48" s="47">
        <f t="shared" ref="CU48" si="469">+CT48</f>
        <v>2.4954138399324272E-2</v>
      </c>
      <c r="CV48" s="47">
        <f t="shared" ref="CV48" si="470">+CU48</f>
        <v>2.4954138399324272E-2</v>
      </c>
      <c r="CW48" s="47">
        <f t="shared" ref="CW48" si="471">+CV48</f>
        <v>2.4954138399324272E-2</v>
      </c>
      <c r="CX48" s="47">
        <f t="shared" ref="CX48" si="472">+CW48</f>
        <v>2.4954138399324272E-2</v>
      </c>
      <c r="CY48" s="47">
        <f t="shared" ref="CY48" si="473">+CX48</f>
        <v>2.4954138399324272E-2</v>
      </c>
      <c r="CZ48" s="47">
        <f t="shared" ref="CZ48" si="474">+CY48</f>
        <v>2.4954138399324272E-2</v>
      </c>
      <c r="DA48" s="47">
        <f t="shared" ref="DA48" si="475">+CZ48</f>
        <v>2.4954138399324272E-2</v>
      </c>
      <c r="DB48" s="47">
        <f t="shared" ref="DB48" si="476">+DA48</f>
        <v>2.4954138399324272E-2</v>
      </c>
      <c r="DE48" s="130"/>
      <c r="DF48" s="46">
        <v>1.8063470212743658E-2</v>
      </c>
    </row>
    <row r="49" spans="1:110" s="26" customFormat="1" x14ac:dyDescent="0.2">
      <c r="A49" s="26" t="s">
        <v>20</v>
      </c>
      <c r="B49" s="26">
        <f>B45+B46-B47</f>
        <v>0</v>
      </c>
      <c r="C49" s="26">
        <f t="shared" ref="C49:T49" si="477">C45+C46-C47</f>
        <v>0</v>
      </c>
      <c r="D49" s="26">
        <f>D45+D46-D47</f>
        <v>0</v>
      </c>
      <c r="E49" s="26">
        <f t="shared" si="477"/>
        <v>0</v>
      </c>
      <c r="F49" s="26">
        <f t="shared" si="477"/>
        <v>7.971050700000009</v>
      </c>
      <c r="G49" s="26">
        <f t="shared" si="477"/>
        <v>12.538466500000006</v>
      </c>
      <c r="H49" s="26">
        <f t="shared" si="477"/>
        <v>11.076852899999977</v>
      </c>
      <c r="I49" s="26">
        <f t="shared" si="477"/>
        <v>14.789942800000006</v>
      </c>
      <c r="J49" s="26">
        <f t="shared" si="477"/>
        <v>10.687387999999981</v>
      </c>
      <c r="K49" s="26">
        <f t="shared" si="477"/>
        <v>12.741339899999993</v>
      </c>
      <c r="L49" s="26">
        <f t="shared" si="477"/>
        <v>0</v>
      </c>
      <c r="M49" s="26">
        <f t="shared" si="477"/>
        <v>0</v>
      </c>
      <c r="N49" s="26">
        <f t="shared" si="477"/>
        <v>53.865999999999886</v>
      </c>
      <c r="O49" s="26">
        <f t="shared" si="477"/>
        <v>41.973000000000077</v>
      </c>
      <c r="P49" s="26">
        <f t="shared" si="477"/>
        <v>31.343999999999895</v>
      </c>
      <c r="Q49" s="26">
        <f t="shared" si="477"/>
        <v>55.350000000000122</v>
      </c>
      <c r="R49" s="26">
        <f t="shared" si="477"/>
        <v>35.266000000000105</v>
      </c>
      <c r="S49" s="26">
        <f t="shared" si="477"/>
        <v>45.780000000000115</v>
      </c>
      <c r="T49" s="26">
        <f t="shared" si="477"/>
        <v>139.58000000000007</v>
      </c>
      <c r="U49" s="26">
        <f t="shared" ref="U49:Z49" si="478">U45+U46-U47</f>
        <v>61.560000000000088</v>
      </c>
      <c r="V49" s="26">
        <f t="shared" si="478"/>
        <v>148.59000000000003</v>
      </c>
      <c r="W49" s="26">
        <f t="shared" si="478"/>
        <v>251.35000000000014</v>
      </c>
      <c r="X49" s="26">
        <f t="shared" si="478"/>
        <v>354.31</v>
      </c>
      <c r="Y49" s="26">
        <f t="shared" si="478"/>
        <v>443.83999999999992</v>
      </c>
      <c r="Z49" s="26">
        <f t="shared" si="478"/>
        <v>294.11999999999961</v>
      </c>
      <c r="AA49" s="26">
        <f t="shared" ref="AA49" si="479">AA45+AA46-AA47</f>
        <v>546.13000000000056</v>
      </c>
      <c r="AB49" s="27">
        <f t="shared" ref="AB49:AD49" si="480">AB45+AB46-AB47</f>
        <v>651.31468188163831</v>
      </c>
      <c r="AC49" s="27">
        <f t="shared" si="480"/>
        <v>995.9331880111215</v>
      </c>
      <c r="AD49" s="27">
        <f t="shared" si="480"/>
        <v>1374.5896416723128</v>
      </c>
      <c r="AE49" s="27">
        <f t="shared" ref="AE49" si="481">AE45+AE46-AE47</f>
        <v>1800.1332723580094</v>
      </c>
      <c r="AI49" s="26">
        <f>AI45+AI46-AI47</f>
        <v>0</v>
      </c>
      <c r="AJ49" s="26">
        <f t="shared" ref="AJ49" si="482">AJ45+AJ46-AJ47</f>
        <v>0</v>
      </c>
      <c r="AK49" s="26">
        <f t="shared" ref="AK49:AM49" si="483">AK45+AK46-AK47</f>
        <v>0</v>
      </c>
      <c r="AL49" s="26">
        <f t="shared" si="483"/>
        <v>0</v>
      </c>
      <c r="AM49" s="26">
        <f t="shared" si="483"/>
        <v>0</v>
      </c>
      <c r="AN49" s="26">
        <f t="shared" ref="AN49:AO49" si="484">AN45+AN46-AN47</f>
        <v>0</v>
      </c>
      <c r="AO49" s="26">
        <f t="shared" si="484"/>
        <v>0</v>
      </c>
      <c r="AP49" s="26">
        <f t="shared" ref="AP49:CD49" si="485">AP45+AP46-AP47</f>
        <v>0</v>
      </c>
      <c r="AQ49" s="26">
        <f t="shared" si="485"/>
        <v>0</v>
      </c>
      <c r="AR49" s="26">
        <f t="shared" si="485"/>
        <v>0</v>
      </c>
      <c r="AS49" s="26">
        <f t="shared" si="485"/>
        <v>0</v>
      </c>
      <c r="AT49" s="26">
        <f t="shared" si="485"/>
        <v>0</v>
      </c>
      <c r="AU49" s="26">
        <f t="shared" si="485"/>
        <v>0</v>
      </c>
      <c r="AV49" s="26">
        <f t="shared" si="485"/>
        <v>0</v>
      </c>
      <c r="AW49" s="26">
        <f t="shared" si="485"/>
        <v>0</v>
      </c>
      <c r="AX49" s="26">
        <f t="shared" si="485"/>
        <v>0</v>
      </c>
      <c r="AY49" s="26">
        <f t="shared" si="485"/>
        <v>0</v>
      </c>
      <c r="AZ49" s="26">
        <f t="shared" si="485"/>
        <v>0</v>
      </c>
      <c r="BA49" s="26">
        <f t="shared" si="485"/>
        <v>0</v>
      </c>
      <c r="BB49" s="26">
        <f t="shared" si="485"/>
        <v>0</v>
      </c>
      <c r="BC49" s="26">
        <f t="shared" si="485"/>
        <v>0</v>
      </c>
      <c r="BD49" s="26">
        <f t="shared" si="485"/>
        <v>0</v>
      </c>
      <c r="BE49" s="26">
        <f t="shared" si="485"/>
        <v>0</v>
      </c>
      <c r="BF49" s="26">
        <f t="shared" si="485"/>
        <v>0</v>
      </c>
      <c r="BG49" s="26">
        <f t="shared" si="485"/>
        <v>0</v>
      </c>
      <c r="BH49" s="26">
        <f t="shared" si="485"/>
        <v>0</v>
      </c>
      <c r="BI49" s="26">
        <f t="shared" si="485"/>
        <v>0</v>
      </c>
      <c r="BJ49" s="26">
        <f t="shared" si="485"/>
        <v>0</v>
      </c>
      <c r="BK49" s="26">
        <f t="shared" si="485"/>
        <v>0</v>
      </c>
      <c r="BL49" s="26">
        <f t="shared" si="485"/>
        <v>0</v>
      </c>
      <c r="BM49" s="26">
        <f t="shared" si="485"/>
        <v>0</v>
      </c>
      <c r="BN49" s="26">
        <f t="shared" si="485"/>
        <v>6.0900000000000247</v>
      </c>
      <c r="BO49" s="26">
        <f t="shared" si="485"/>
        <v>-24.550000000000015</v>
      </c>
      <c r="BP49" s="26">
        <f t="shared" si="485"/>
        <v>34.429999999999986</v>
      </c>
      <c r="BQ49" s="26">
        <f t="shared" si="485"/>
        <v>65.079999999999984</v>
      </c>
      <c r="BR49" s="26">
        <f t="shared" si="485"/>
        <v>73.629999999999953</v>
      </c>
      <c r="BS49" s="26">
        <f t="shared" si="485"/>
        <v>36.519999999999982</v>
      </c>
      <c r="BT49" s="26">
        <f t="shared" si="485"/>
        <v>76.460000000000008</v>
      </c>
      <c r="BU49" s="26">
        <f t="shared" si="485"/>
        <v>57.399999999999949</v>
      </c>
      <c r="BV49" s="26">
        <f t="shared" si="485"/>
        <v>80.969999999999985</v>
      </c>
      <c r="BW49" s="26">
        <f t="shared" si="485"/>
        <v>87.350000000000051</v>
      </c>
      <c r="BX49" s="26">
        <f t="shared" si="485"/>
        <v>95.960000000000051</v>
      </c>
      <c r="BY49" s="26">
        <f t="shared" si="485"/>
        <v>79.519999999999968</v>
      </c>
      <c r="BZ49" s="26">
        <f t="shared" si="485"/>
        <v>91.479999999999933</v>
      </c>
      <c r="CA49" s="26">
        <f t="shared" si="485"/>
        <v>107.26000000000012</v>
      </c>
      <c r="CB49" s="26">
        <f t="shared" si="485"/>
        <v>133.81000000000006</v>
      </c>
      <c r="CC49" s="26">
        <f t="shared" si="485"/>
        <v>109.25000000000004</v>
      </c>
      <c r="CD49" s="26">
        <f t="shared" si="485"/>
        <v>93.52000000000001</v>
      </c>
      <c r="CE49" s="26">
        <f t="shared" ref="CE49:CF49" si="486">CE45+CE46-CE47</f>
        <v>80.530000000000086</v>
      </c>
      <c r="CF49" s="26">
        <f t="shared" si="486"/>
        <v>81.750000000000085</v>
      </c>
      <c r="CG49" s="26">
        <f t="shared" ref="CG49:CH49" si="487">CG45+CG46-CG47</f>
        <v>45.809999999999903</v>
      </c>
      <c r="CH49" s="26">
        <f t="shared" si="487"/>
        <v>86.030000000000101</v>
      </c>
      <c r="CI49" s="26">
        <f t="shared" ref="CI49:CJ49" si="488">CI45+CI46-CI47</f>
        <v>101.73999999999994</v>
      </c>
      <c r="CJ49" s="26">
        <f t="shared" si="488"/>
        <v>125.46999999999976</v>
      </c>
      <c r="CK49" s="26">
        <f t="shared" ref="CK49:CL49" si="489">CK45+CK46-CK47</f>
        <v>145.64000000000027</v>
      </c>
      <c r="CL49" s="26">
        <f t="shared" si="489"/>
        <v>173.2800000000002</v>
      </c>
      <c r="CM49" s="27">
        <f t="shared" ref="CM49:DB49" si="490">CM45+CM46-CM47</f>
        <v>106.91057564277612</v>
      </c>
      <c r="CN49" s="27">
        <f t="shared" si="490"/>
        <v>156.65411764560031</v>
      </c>
      <c r="CO49" s="27">
        <f t="shared" si="490"/>
        <v>175.89503705092807</v>
      </c>
      <c r="CP49" s="27">
        <f t="shared" si="490"/>
        <v>211.85495154233337</v>
      </c>
      <c r="CQ49" s="27">
        <f t="shared" si="490"/>
        <v>190.70572286141606</v>
      </c>
      <c r="CR49" s="27">
        <f t="shared" si="490"/>
        <v>243.64526122732144</v>
      </c>
      <c r="CS49" s="27">
        <f t="shared" si="490"/>
        <v>260.61246210533761</v>
      </c>
      <c r="CT49" s="27">
        <f t="shared" si="490"/>
        <v>300.96974181704462</v>
      </c>
      <c r="CU49" s="27">
        <f t="shared" si="490"/>
        <v>278.28745773200626</v>
      </c>
      <c r="CV49" s="27">
        <f t="shared" si="490"/>
        <v>337.93727424043686</v>
      </c>
      <c r="CW49" s="27">
        <f t="shared" si="490"/>
        <v>355.9073278076072</v>
      </c>
      <c r="CX49" s="27">
        <f t="shared" si="490"/>
        <v>402.45758189226211</v>
      </c>
      <c r="CY49" s="27">
        <f t="shared" si="490"/>
        <v>374.9881905890723</v>
      </c>
      <c r="CZ49" s="27">
        <f t="shared" si="490"/>
        <v>443.78511729554248</v>
      </c>
      <c r="DA49" s="27">
        <f t="shared" si="490"/>
        <v>463.73434062437934</v>
      </c>
      <c r="DB49" s="27">
        <f t="shared" si="490"/>
        <v>517.62562384901298</v>
      </c>
      <c r="DE49" s="121"/>
      <c r="DF49" s="26">
        <v>131.29387287935771</v>
      </c>
    </row>
    <row r="50" spans="1:110" s="23" customFormat="1" x14ac:dyDescent="0.2">
      <c r="A50" s="23" t="s">
        <v>21</v>
      </c>
      <c r="B50" s="23">
        <f>'Annual Raw'!C30</f>
        <v>0</v>
      </c>
      <c r="C50" s="23">
        <f>'Annual Raw'!D30</f>
        <v>0</v>
      </c>
      <c r="D50" s="23">
        <f>'Annual Raw'!E30</f>
        <v>0</v>
      </c>
      <c r="E50" s="23">
        <f>'Annual Raw'!F30</f>
        <v>0</v>
      </c>
      <c r="F50" s="23">
        <f>'Annual Raw'!G30</f>
        <v>0.99</v>
      </c>
      <c r="G50" s="23">
        <f>'Annual Raw'!H30</f>
        <v>2.4529999999999998</v>
      </c>
      <c r="H50" s="23">
        <f>'Annual Raw'!I30</f>
        <v>0</v>
      </c>
      <c r="I50" s="23">
        <f>'Annual Raw'!J30</f>
        <v>0</v>
      </c>
      <c r="J50" s="23">
        <f>'Annual Raw'!K30</f>
        <v>1.7511000000000001</v>
      </c>
      <c r="K50" s="23">
        <f>'Annual Raw'!L30</f>
        <v>2.3437999999999999</v>
      </c>
      <c r="L50" s="23">
        <f>'Annual Raw'!M30</f>
        <v>0</v>
      </c>
      <c r="M50" s="23">
        <f>'Annual Raw'!N30</f>
        <v>0</v>
      </c>
      <c r="N50" s="23">
        <f>'Annual Raw'!O30</f>
        <v>15.629</v>
      </c>
      <c r="O50" s="23">
        <f>'Annual Raw'!P30</f>
        <v>18.643000000000001</v>
      </c>
      <c r="P50" s="23">
        <f>'Annual Raw'!Q30</f>
        <v>10.564</v>
      </c>
      <c r="Q50" s="23">
        <f>'Annual Raw'!R30</f>
        <v>10.805</v>
      </c>
      <c r="R50" s="23">
        <f>'Annual Raw'!S30</f>
        <v>-7.0970000000000004</v>
      </c>
      <c r="S50" s="23">
        <f>'Annual Raw'!T30</f>
        <v>12.88</v>
      </c>
      <c r="T50" s="23">
        <f>'Annual Raw'!U30</f>
        <v>42.616</v>
      </c>
      <c r="U50" s="23">
        <f>'Annual Raw'!V30</f>
        <v>15.76</v>
      </c>
      <c r="V50" s="23">
        <f>'Annual Raw'!W30</f>
        <v>51.4</v>
      </c>
      <c r="W50" s="23">
        <f>'Annual Raw'!X30</f>
        <v>88.64</v>
      </c>
      <c r="X50" s="23">
        <f>'Annual Raw'!Y30</f>
        <v>103.83</v>
      </c>
      <c r="Y50" s="23">
        <f>'Annual Raw'!Z30</f>
        <v>107.36</v>
      </c>
      <c r="Z50" s="23">
        <f>'Annual Raw'!AA30</f>
        <v>68.78</v>
      </c>
      <c r="AA50" s="23">
        <f>'Annual Raw'!AB30</f>
        <v>150.31</v>
      </c>
      <c r="AB50" s="24">
        <f>+SUM(CM50:CP50)</f>
        <v>182.59156590833277</v>
      </c>
      <c r="AC50" s="24">
        <f>+SUM(CQ50:CT50)</f>
        <v>280.14667921514405</v>
      </c>
      <c r="AD50" s="24">
        <f>+SUM(CU50:CX50)</f>
        <v>387.07209194280233</v>
      </c>
      <c r="AE50" s="24">
        <f>+SUM(CY50:DB50)</f>
        <v>507.01531808864877</v>
      </c>
      <c r="AI50" s="23">
        <f>'QTR Raw'!C29</f>
        <v>0</v>
      </c>
      <c r="AJ50" s="23">
        <f>'QTR Raw'!D29</f>
        <v>0</v>
      </c>
      <c r="AK50" s="23">
        <f>'QTR Raw'!E29</f>
        <v>0</v>
      </c>
      <c r="AL50" s="23">
        <f>'QTR Raw'!F29</f>
        <v>0</v>
      </c>
      <c r="AM50" s="23">
        <f>'QTR Raw'!G29</f>
        <v>0</v>
      </c>
      <c r="AN50" s="23">
        <f>'QTR Raw'!H29</f>
        <v>0</v>
      </c>
      <c r="AO50" s="23">
        <f>'QTR Raw'!I29</f>
        <v>0</v>
      </c>
      <c r="AP50" s="23">
        <f>'QTR Raw'!J29</f>
        <v>0</v>
      </c>
      <c r="AQ50" s="23">
        <f>'QTR Raw'!K29</f>
        <v>0</v>
      </c>
      <c r="AR50" s="23">
        <f>'QTR Raw'!L29</f>
        <v>0</v>
      </c>
      <c r="AS50" s="23">
        <f>'QTR Raw'!M29</f>
        <v>0</v>
      </c>
      <c r="AT50" s="23">
        <f>'QTR Raw'!N29</f>
        <v>0</v>
      </c>
      <c r="AU50" s="23">
        <f>'QTR Raw'!O29</f>
        <v>0</v>
      </c>
      <c r="AV50" s="23">
        <f>'QTR Raw'!P29</f>
        <v>0</v>
      </c>
      <c r="AW50" s="23">
        <f>'QTR Raw'!Q29</f>
        <v>0</v>
      </c>
      <c r="AX50" s="23">
        <f>'QTR Raw'!R29</f>
        <v>0</v>
      </c>
      <c r="AY50" s="23">
        <f>'QTR Raw'!S29</f>
        <v>0</v>
      </c>
      <c r="AZ50" s="23">
        <f>'QTR Raw'!T29</f>
        <v>0</v>
      </c>
      <c r="BA50" s="23">
        <f>'QTR Raw'!U29</f>
        <v>0</v>
      </c>
      <c r="BB50" s="23">
        <f>'QTR Raw'!V29</f>
        <v>0</v>
      </c>
      <c r="BC50" s="23">
        <f>'QTR Raw'!W29</f>
        <v>0</v>
      </c>
      <c r="BD50" s="23">
        <f>'QTR Raw'!X29</f>
        <v>0</v>
      </c>
      <c r="BE50" s="23">
        <f>'QTR Raw'!Y29</f>
        <v>0</v>
      </c>
      <c r="BF50" s="23">
        <f>'QTR Raw'!Z29</f>
        <v>0</v>
      </c>
      <c r="BG50" s="23">
        <f>'QTR Raw'!AA29</f>
        <v>0</v>
      </c>
      <c r="BH50" s="23">
        <f>'QTR Raw'!AB29</f>
        <v>0</v>
      </c>
      <c r="BI50" s="23">
        <f>'QTR Raw'!AC29</f>
        <v>0</v>
      </c>
      <c r="BJ50" s="23">
        <f>'QTR Raw'!AD29</f>
        <v>0</v>
      </c>
      <c r="BK50" s="23">
        <f>'QTR Raw'!AE29</f>
        <v>0</v>
      </c>
      <c r="BL50" s="23">
        <f>'QTR Raw'!AF29</f>
        <v>0</v>
      </c>
      <c r="BM50" s="23">
        <f>'QTR Raw'!AG29</f>
        <v>0</v>
      </c>
      <c r="BN50" s="23">
        <f>'QTR Raw'!AH29</f>
        <v>2.0299999999999998</v>
      </c>
      <c r="BO50" s="23">
        <f>'QTR Raw'!AI29</f>
        <v>-8.27</v>
      </c>
      <c r="BP50" s="23">
        <f>'QTR Raw'!AJ29</f>
        <v>11.59</v>
      </c>
      <c r="BQ50" s="23">
        <f>'QTR Raw'!AK29</f>
        <v>21.64</v>
      </c>
      <c r="BR50" s="23">
        <f>'QTR Raw'!AL29</f>
        <v>26.44</v>
      </c>
      <c r="BS50" s="23">
        <f>'QTR Raw'!AM29</f>
        <v>12.5</v>
      </c>
      <c r="BT50" s="23">
        <f>'QTR Raw'!AN29</f>
        <v>26.58</v>
      </c>
      <c r="BU50" s="23">
        <f>'QTR Raw'!AO29</f>
        <v>19.93</v>
      </c>
      <c r="BV50" s="23">
        <f>'QTR Raw'!AP29</f>
        <v>29.63</v>
      </c>
      <c r="BW50" s="23">
        <f>'QTR Raw'!AQ29</f>
        <v>30.76</v>
      </c>
      <c r="BX50" s="23">
        <f>'QTR Raw'!AR29</f>
        <v>33.58</v>
      </c>
      <c r="BY50" s="23">
        <f>'QTR Raw'!AS29</f>
        <v>28.12</v>
      </c>
      <c r="BZ50" s="23">
        <f>'QTR Raw'!AT29</f>
        <v>11.37</v>
      </c>
      <c r="CA50" s="23">
        <f>'QTR Raw'!AU29</f>
        <v>26.61</v>
      </c>
      <c r="CB50" s="23">
        <f>'QTR Raw'!AV29</f>
        <v>29.56</v>
      </c>
      <c r="CC50" s="23">
        <f>'QTR Raw'!AW29</f>
        <v>27.9</v>
      </c>
      <c r="CD50" s="23">
        <f>'QTR Raw'!AX29</f>
        <v>23.29</v>
      </c>
      <c r="CE50" s="23">
        <f>'QTR Raw'!AY29</f>
        <v>21.22</v>
      </c>
      <c r="CF50" s="23">
        <f>'QTR Raw'!AZ29</f>
        <v>20.46</v>
      </c>
      <c r="CG50" s="23">
        <f>'QTR Raw'!BA29</f>
        <v>18.329999999999998</v>
      </c>
      <c r="CH50" s="23">
        <f>'QTR Raw'!BB29</f>
        <v>8.77</v>
      </c>
      <c r="CI50" s="23">
        <f>'QTR Raw'!BC29</f>
        <v>24.11</v>
      </c>
      <c r="CJ50" s="23">
        <f>'QTR Raw'!BD29</f>
        <v>34.47</v>
      </c>
      <c r="CK50" s="23">
        <f>'QTR Raw'!BE29</f>
        <v>35.11</v>
      </c>
      <c r="CL50" s="23">
        <f>'QTR Raw'!BF29</f>
        <v>56.62</v>
      </c>
      <c r="CM50" s="24">
        <f t="shared" ref="CM50:DB50" si="491">+CM49*CM51</f>
        <v>28.853344218386102</v>
      </c>
      <c r="CN50" s="24">
        <f t="shared" si="491"/>
        <v>43.567008834783032</v>
      </c>
      <c r="CO50" s="24">
        <f t="shared" si="491"/>
        <v>49.066835629231413</v>
      </c>
      <c r="CP50" s="24">
        <f t="shared" si="491"/>
        <v>61.104377225932204</v>
      </c>
      <c r="CQ50" s="24">
        <f t="shared" si="491"/>
        <v>53.177016756880278</v>
      </c>
      <c r="CR50" s="24">
        <f t="shared" si="491"/>
        <v>68.484639701997452</v>
      </c>
      <c r="CS50" s="24">
        <f t="shared" si="491"/>
        <v>73.447593127327096</v>
      </c>
      <c r="CT50" s="24">
        <f t="shared" si="491"/>
        <v>85.037429628939222</v>
      </c>
      <c r="CU50" s="24">
        <f t="shared" si="491"/>
        <v>78.219533763657367</v>
      </c>
      <c r="CV50" s="24">
        <f t="shared" si="491"/>
        <v>95.174089225662385</v>
      </c>
      <c r="CW50" s="24">
        <f t="shared" si="491"/>
        <v>100.28388750173571</v>
      </c>
      <c r="CX50" s="24">
        <f t="shared" si="491"/>
        <v>113.39458145174686</v>
      </c>
      <c r="CY50" s="24">
        <f t="shared" si="491"/>
        <v>105.58092747366636</v>
      </c>
      <c r="CZ50" s="24">
        <f t="shared" si="491"/>
        <v>125.00488603533732</v>
      </c>
      <c r="DA50" s="24">
        <f t="shared" si="491"/>
        <v>130.62954558275092</v>
      </c>
      <c r="DB50" s="24">
        <f t="shared" si="491"/>
        <v>145.79995899689413</v>
      </c>
      <c r="DE50" s="123"/>
      <c r="DF50" s="23">
        <v>28.054832005228636</v>
      </c>
    </row>
    <row r="51" spans="1:110" s="90" customFormat="1" x14ac:dyDescent="0.2">
      <c r="A51" s="90" t="s">
        <v>106</v>
      </c>
      <c r="B51" s="90" t="e">
        <f t="shared" ref="B51:E51" si="492">B50/B49</f>
        <v>#DIV/0!</v>
      </c>
      <c r="C51" s="90" t="e">
        <f t="shared" si="492"/>
        <v>#DIV/0!</v>
      </c>
      <c r="D51" s="90" t="e">
        <f t="shared" si="492"/>
        <v>#DIV/0!</v>
      </c>
      <c r="E51" s="90" t="e">
        <f t="shared" si="492"/>
        <v>#DIV/0!</v>
      </c>
      <c r="F51" s="90">
        <f t="shared" ref="F51:T51" si="493">F50/F49</f>
        <v>0.12419943584099884</v>
      </c>
      <c r="G51" s="90">
        <f t="shared" si="493"/>
        <v>0.19563795939479511</v>
      </c>
      <c r="H51" s="90">
        <f t="shared" si="493"/>
        <v>0</v>
      </c>
      <c r="I51" s="90">
        <f t="shared" si="493"/>
        <v>0</v>
      </c>
      <c r="J51" s="90">
        <f t="shared" si="493"/>
        <v>0.163847331078464</v>
      </c>
      <c r="K51" s="90">
        <f t="shared" si="493"/>
        <v>0.18395239577589489</v>
      </c>
      <c r="L51" s="90" t="e">
        <f t="shared" si="493"/>
        <v>#DIV/0!</v>
      </c>
      <c r="M51" s="90" t="e">
        <f t="shared" si="493"/>
        <v>#DIV/0!</v>
      </c>
      <c r="N51" s="90">
        <f t="shared" si="493"/>
        <v>0.29014591764749625</v>
      </c>
      <c r="O51" s="90">
        <f t="shared" si="493"/>
        <v>0.44416648798036751</v>
      </c>
      <c r="P51" s="90">
        <f t="shared" si="493"/>
        <v>0.33703420112302307</v>
      </c>
      <c r="Q51" s="90">
        <f t="shared" si="493"/>
        <v>0.19521228545618746</v>
      </c>
      <c r="R51" s="90">
        <f t="shared" si="493"/>
        <v>-0.20124198945159585</v>
      </c>
      <c r="S51" s="90">
        <f t="shared" si="493"/>
        <v>0.2813455657492348</v>
      </c>
      <c r="T51" s="90">
        <f t="shared" si="493"/>
        <v>0.30531594784353044</v>
      </c>
      <c r="U51" s="90">
        <f t="shared" ref="U51:Z51" si="494">U50/U49</f>
        <v>0.25601039636127321</v>
      </c>
      <c r="V51" s="90">
        <f t="shared" si="494"/>
        <v>0.34591829867420409</v>
      </c>
      <c r="W51" s="90">
        <f t="shared" si="494"/>
        <v>0.35265565943902905</v>
      </c>
      <c r="X51" s="90">
        <f t="shared" si="494"/>
        <v>0.29304846038779597</v>
      </c>
      <c r="Y51" s="90">
        <f t="shared" si="494"/>
        <v>0.2418889689978371</v>
      </c>
      <c r="Z51" s="90">
        <f t="shared" si="494"/>
        <v>0.23385012919896672</v>
      </c>
      <c r="AA51" s="90">
        <f t="shared" ref="AA51" si="495">AA50/AA49</f>
        <v>0.27522750993353201</v>
      </c>
      <c r="AB51" s="91">
        <f t="shared" ref="AA51:AD51" si="496">AB50/AB49</f>
        <v>0.28034308297922672</v>
      </c>
      <c r="AC51" s="91">
        <f t="shared" si="496"/>
        <v>0.2812906353433175</v>
      </c>
      <c r="AD51" s="91">
        <f t="shared" si="496"/>
        <v>0.28159101466230607</v>
      </c>
      <c r="AE51" s="91">
        <f t="shared" ref="AE51" si="497">AE50/AE49</f>
        <v>0.28165432297382359</v>
      </c>
      <c r="AI51" s="90" t="e">
        <f t="shared" ref="AI51" si="498">AI50/AI49</f>
        <v>#DIV/0!</v>
      </c>
      <c r="AJ51" s="90" t="e">
        <f t="shared" ref="AJ51" si="499">AJ50/AJ49</f>
        <v>#DIV/0!</v>
      </c>
      <c r="AK51" s="90" t="e">
        <f t="shared" ref="AK51:AM51" si="500">AK50/AK49</f>
        <v>#DIV/0!</v>
      </c>
      <c r="AL51" s="90" t="e">
        <f t="shared" si="500"/>
        <v>#DIV/0!</v>
      </c>
      <c r="AM51" s="90" t="e">
        <f t="shared" si="500"/>
        <v>#DIV/0!</v>
      </c>
      <c r="AN51" s="90" t="e">
        <f t="shared" ref="AN51:AO51" si="501">AN50/AN49</f>
        <v>#DIV/0!</v>
      </c>
      <c r="AO51" s="90" t="e">
        <f t="shared" si="501"/>
        <v>#DIV/0!</v>
      </c>
      <c r="AP51" s="90" t="e">
        <f t="shared" ref="AP51:CD51" si="502">AP50/AP49</f>
        <v>#DIV/0!</v>
      </c>
      <c r="AQ51" s="90" t="e">
        <f t="shared" si="502"/>
        <v>#DIV/0!</v>
      </c>
      <c r="AR51" s="90" t="e">
        <f t="shared" si="502"/>
        <v>#DIV/0!</v>
      </c>
      <c r="AS51" s="90" t="e">
        <f t="shared" si="502"/>
        <v>#DIV/0!</v>
      </c>
      <c r="AT51" s="90" t="e">
        <f t="shared" si="502"/>
        <v>#DIV/0!</v>
      </c>
      <c r="AU51" s="90" t="e">
        <f t="shared" si="502"/>
        <v>#DIV/0!</v>
      </c>
      <c r="AV51" s="90" t="e">
        <f t="shared" si="502"/>
        <v>#DIV/0!</v>
      </c>
      <c r="AW51" s="90" t="e">
        <f t="shared" si="502"/>
        <v>#DIV/0!</v>
      </c>
      <c r="AX51" s="90" t="e">
        <f t="shared" si="502"/>
        <v>#DIV/0!</v>
      </c>
      <c r="AY51" s="90" t="e">
        <f t="shared" si="502"/>
        <v>#DIV/0!</v>
      </c>
      <c r="AZ51" s="90" t="e">
        <f t="shared" si="502"/>
        <v>#DIV/0!</v>
      </c>
      <c r="BA51" s="90" t="e">
        <f t="shared" si="502"/>
        <v>#DIV/0!</v>
      </c>
      <c r="BB51" s="90" t="e">
        <f t="shared" si="502"/>
        <v>#DIV/0!</v>
      </c>
      <c r="BC51" s="90" t="e">
        <f t="shared" si="502"/>
        <v>#DIV/0!</v>
      </c>
      <c r="BD51" s="90" t="e">
        <f t="shared" si="502"/>
        <v>#DIV/0!</v>
      </c>
      <c r="BE51" s="90" t="e">
        <f t="shared" si="502"/>
        <v>#DIV/0!</v>
      </c>
      <c r="BF51" s="90" t="e">
        <f t="shared" si="502"/>
        <v>#DIV/0!</v>
      </c>
      <c r="BG51" s="90" t="e">
        <f t="shared" si="502"/>
        <v>#DIV/0!</v>
      </c>
      <c r="BH51" s="90" t="e">
        <f t="shared" si="502"/>
        <v>#DIV/0!</v>
      </c>
      <c r="BI51" s="90" t="e">
        <f t="shared" si="502"/>
        <v>#DIV/0!</v>
      </c>
      <c r="BJ51" s="90" t="e">
        <f t="shared" si="502"/>
        <v>#DIV/0!</v>
      </c>
      <c r="BK51" s="90" t="e">
        <f t="shared" si="502"/>
        <v>#DIV/0!</v>
      </c>
      <c r="BL51" s="90" t="e">
        <f t="shared" si="502"/>
        <v>#DIV/0!</v>
      </c>
      <c r="BM51" s="90" t="e">
        <f t="shared" si="502"/>
        <v>#DIV/0!</v>
      </c>
      <c r="BN51" s="90">
        <f t="shared" si="502"/>
        <v>0.33333333333333193</v>
      </c>
      <c r="BO51" s="90">
        <f t="shared" si="502"/>
        <v>0.33686354378818717</v>
      </c>
      <c r="BP51" s="90">
        <f t="shared" si="502"/>
        <v>0.33662503630554763</v>
      </c>
      <c r="BQ51" s="90">
        <f t="shared" si="502"/>
        <v>0.33251382913337441</v>
      </c>
      <c r="BR51" s="90">
        <f t="shared" si="502"/>
        <v>0.35909276110281158</v>
      </c>
      <c r="BS51" s="90">
        <f t="shared" si="502"/>
        <v>0.34227820372398704</v>
      </c>
      <c r="BT51" s="90">
        <f t="shared" si="502"/>
        <v>0.34763274914988224</v>
      </c>
      <c r="BU51" s="90">
        <f t="shared" si="502"/>
        <v>0.34721254355400727</v>
      </c>
      <c r="BV51" s="90">
        <f t="shared" si="502"/>
        <v>0.36593800172903551</v>
      </c>
      <c r="BW51" s="90">
        <f t="shared" si="502"/>
        <v>0.35214653692043485</v>
      </c>
      <c r="BX51" s="90">
        <f t="shared" si="502"/>
        <v>0.34993747394747793</v>
      </c>
      <c r="BY51" s="90">
        <f t="shared" si="502"/>
        <v>0.35362173038229394</v>
      </c>
      <c r="BZ51" s="90">
        <f t="shared" si="502"/>
        <v>0.12428946217752522</v>
      </c>
      <c r="CA51" s="90">
        <f t="shared" si="502"/>
        <v>0.24808875629311924</v>
      </c>
      <c r="CB51" s="90">
        <f t="shared" si="502"/>
        <v>0.22091024587101102</v>
      </c>
      <c r="CC51" s="90">
        <f t="shared" si="502"/>
        <v>0.25537757437070929</v>
      </c>
      <c r="CD51" s="90">
        <f t="shared" si="502"/>
        <v>0.24903763900769885</v>
      </c>
      <c r="CE51" s="90">
        <f t="shared" ref="CE51:CF51" si="503">CE50/CE49</f>
        <v>0.26350428411771981</v>
      </c>
      <c r="CF51" s="90">
        <f t="shared" si="503"/>
        <v>0.25027522935779789</v>
      </c>
      <c r="CG51" s="90">
        <f t="shared" ref="CG51:CH51" si="504">CG50/CG49</f>
        <v>0.40013097576948348</v>
      </c>
      <c r="CH51" s="90">
        <f t="shared" si="504"/>
        <v>0.10194118330814819</v>
      </c>
      <c r="CI51" s="90">
        <f t="shared" ref="CI51:CJ51" si="505">CI50/CI49</f>
        <v>0.23697660703754683</v>
      </c>
      <c r="CJ51" s="90">
        <f t="shared" si="505"/>
        <v>0.2747270263808087</v>
      </c>
      <c r="CK51" s="90">
        <f t="shared" ref="CK51:CL51" si="506">CK50/CK49</f>
        <v>0.24107388080197703</v>
      </c>
      <c r="CL51" s="90">
        <f t="shared" si="506"/>
        <v>0.32675438596491191</v>
      </c>
      <c r="CM51" s="91">
        <f t="shared" ref="CM51:DB51" si="507">AVERAGE(CI51:CL51)</f>
        <v>0.26988297504631109</v>
      </c>
      <c r="CN51" s="91">
        <f t="shared" si="507"/>
        <v>0.2781095670485022</v>
      </c>
      <c r="CO51" s="91">
        <f t="shared" si="507"/>
        <v>0.27895520221542558</v>
      </c>
      <c r="CP51" s="91">
        <f t="shared" si="507"/>
        <v>0.28842553256878767</v>
      </c>
      <c r="CQ51" s="91">
        <f t="shared" si="507"/>
        <v>0.27884331921975664</v>
      </c>
      <c r="CR51" s="91">
        <f t="shared" si="507"/>
        <v>0.28108340526311804</v>
      </c>
      <c r="CS51" s="91">
        <f t="shared" si="507"/>
        <v>0.28182686481677199</v>
      </c>
      <c r="CT51" s="91">
        <f t="shared" si="507"/>
        <v>0.28254478046710857</v>
      </c>
      <c r="CU51" s="91">
        <f t="shared" si="507"/>
        <v>0.28107459244168881</v>
      </c>
      <c r="CV51" s="91">
        <f t="shared" si="507"/>
        <v>0.28163241074717188</v>
      </c>
      <c r="CW51" s="91">
        <f t="shared" si="507"/>
        <v>0.28176966211818533</v>
      </c>
      <c r="CX51" s="91">
        <f t="shared" si="507"/>
        <v>0.28175536144353863</v>
      </c>
      <c r="CY51" s="91">
        <f t="shared" si="507"/>
        <v>0.28155800668764619</v>
      </c>
      <c r="CZ51" s="91">
        <f t="shared" si="507"/>
        <v>0.28167886024913552</v>
      </c>
      <c r="DA51" s="91">
        <f t="shared" si="507"/>
        <v>0.28169047262462643</v>
      </c>
      <c r="DB51" s="91">
        <f t="shared" si="507"/>
        <v>0.28167067525123668</v>
      </c>
      <c r="DE51" s="127"/>
      <c r="DF51" s="90">
        <v>0.21367967438212018</v>
      </c>
    </row>
    <row r="52" spans="1:110" s="26" customFormat="1" x14ac:dyDescent="0.2">
      <c r="A52" s="26" t="s">
        <v>22</v>
      </c>
      <c r="B52" s="26">
        <f t="shared" ref="B52:E52" si="508">B49-B50</f>
        <v>0</v>
      </c>
      <c r="C52" s="26">
        <f t="shared" si="508"/>
        <v>0</v>
      </c>
      <c r="D52" s="26">
        <f t="shared" si="508"/>
        <v>0</v>
      </c>
      <c r="E52" s="26">
        <f t="shared" si="508"/>
        <v>0</v>
      </c>
      <c r="F52" s="26">
        <f t="shared" ref="F52:T52" si="509">F49-F50</f>
        <v>6.9810507000000088</v>
      </c>
      <c r="G52" s="26">
        <f t="shared" si="509"/>
        <v>10.085466500000006</v>
      </c>
      <c r="H52" s="26">
        <f t="shared" si="509"/>
        <v>11.076852899999977</v>
      </c>
      <c r="I52" s="26">
        <f t="shared" si="509"/>
        <v>14.789942800000006</v>
      </c>
      <c r="J52" s="26">
        <f t="shared" si="509"/>
        <v>8.9362879999999798</v>
      </c>
      <c r="K52" s="26">
        <f t="shared" si="509"/>
        <v>10.397539899999993</v>
      </c>
      <c r="L52" s="26">
        <f t="shared" si="509"/>
        <v>0</v>
      </c>
      <c r="M52" s="26">
        <f t="shared" si="509"/>
        <v>0</v>
      </c>
      <c r="N52" s="26">
        <f t="shared" si="509"/>
        <v>38.236999999999888</v>
      </c>
      <c r="O52" s="26">
        <f t="shared" si="509"/>
        <v>23.330000000000076</v>
      </c>
      <c r="P52" s="26">
        <f t="shared" si="509"/>
        <v>20.779999999999895</v>
      </c>
      <c r="Q52" s="26">
        <f t="shared" si="509"/>
        <v>44.545000000000122</v>
      </c>
      <c r="R52" s="26">
        <f t="shared" si="509"/>
        <v>42.363000000000106</v>
      </c>
      <c r="S52" s="26">
        <f t="shared" si="509"/>
        <v>32.900000000000112</v>
      </c>
      <c r="T52" s="26">
        <f t="shared" si="509"/>
        <v>96.96400000000007</v>
      </c>
      <c r="U52" s="26">
        <f t="shared" ref="U52:Z52" si="510">U49-U50</f>
        <v>45.80000000000009</v>
      </c>
      <c r="V52" s="26">
        <f t="shared" si="510"/>
        <v>97.190000000000026</v>
      </c>
      <c r="W52" s="26">
        <f t="shared" si="510"/>
        <v>162.71000000000015</v>
      </c>
      <c r="X52" s="26">
        <f t="shared" si="510"/>
        <v>250.48000000000002</v>
      </c>
      <c r="Y52" s="26">
        <f t="shared" si="510"/>
        <v>336.4799999999999</v>
      </c>
      <c r="Z52" s="26">
        <f t="shared" si="510"/>
        <v>225.33999999999961</v>
      </c>
      <c r="AA52" s="26">
        <f t="shared" ref="AA52" si="511">AA49-AA50</f>
        <v>395.82000000000056</v>
      </c>
      <c r="AB52" s="27">
        <f t="shared" ref="AA52:AD52" si="512">AB49-AB50</f>
        <v>468.72311597330554</v>
      </c>
      <c r="AC52" s="27">
        <f t="shared" si="512"/>
        <v>715.7865087959774</v>
      </c>
      <c r="AD52" s="27">
        <f t="shared" si="512"/>
        <v>987.51754972951051</v>
      </c>
      <c r="AE52" s="27">
        <f t="shared" ref="AE52" si="513">AE49-AE50</f>
        <v>1293.1179542693608</v>
      </c>
      <c r="AI52" s="26">
        <f>AI49-AI50</f>
        <v>0</v>
      </c>
      <c r="AJ52" s="26">
        <f t="shared" ref="AJ52" si="514">AJ49-AJ50</f>
        <v>0</v>
      </c>
      <c r="AK52" s="26">
        <f t="shared" ref="AK52:AM52" si="515">AK49-AK50</f>
        <v>0</v>
      </c>
      <c r="AL52" s="26">
        <f t="shared" si="515"/>
        <v>0</v>
      </c>
      <c r="AM52" s="26">
        <f t="shared" si="515"/>
        <v>0</v>
      </c>
      <c r="AN52" s="26">
        <f t="shared" ref="AN52:AO52" si="516">AN49-AN50</f>
        <v>0</v>
      </c>
      <c r="AO52" s="26">
        <f t="shared" si="516"/>
        <v>0</v>
      </c>
      <c r="AP52" s="26">
        <f t="shared" ref="AP52:CD52" si="517">AP49-AP50</f>
        <v>0</v>
      </c>
      <c r="AQ52" s="26">
        <f t="shared" si="517"/>
        <v>0</v>
      </c>
      <c r="AR52" s="26">
        <f t="shared" si="517"/>
        <v>0</v>
      </c>
      <c r="AS52" s="26">
        <f t="shared" si="517"/>
        <v>0</v>
      </c>
      <c r="AT52" s="26">
        <f t="shared" si="517"/>
        <v>0</v>
      </c>
      <c r="AU52" s="26">
        <f t="shared" si="517"/>
        <v>0</v>
      </c>
      <c r="AV52" s="26">
        <f t="shared" si="517"/>
        <v>0</v>
      </c>
      <c r="AW52" s="26">
        <f t="shared" si="517"/>
        <v>0</v>
      </c>
      <c r="AX52" s="26">
        <f t="shared" si="517"/>
        <v>0</v>
      </c>
      <c r="AY52" s="26">
        <f t="shared" si="517"/>
        <v>0</v>
      </c>
      <c r="AZ52" s="26">
        <f t="shared" si="517"/>
        <v>0</v>
      </c>
      <c r="BA52" s="26">
        <f t="shared" si="517"/>
        <v>0</v>
      </c>
      <c r="BB52" s="26">
        <f t="shared" si="517"/>
        <v>0</v>
      </c>
      <c r="BC52" s="26">
        <f t="shared" si="517"/>
        <v>0</v>
      </c>
      <c r="BD52" s="26">
        <f t="shared" si="517"/>
        <v>0</v>
      </c>
      <c r="BE52" s="26">
        <f t="shared" si="517"/>
        <v>0</v>
      </c>
      <c r="BF52" s="26">
        <f t="shared" si="517"/>
        <v>0</v>
      </c>
      <c r="BG52" s="26">
        <f t="shared" si="517"/>
        <v>0</v>
      </c>
      <c r="BH52" s="26">
        <f t="shared" si="517"/>
        <v>0</v>
      </c>
      <c r="BI52" s="26">
        <f t="shared" si="517"/>
        <v>0</v>
      </c>
      <c r="BJ52" s="26">
        <f t="shared" si="517"/>
        <v>0</v>
      </c>
      <c r="BK52" s="26">
        <f t="shared" si="517"/>
        <v>0</v>
      </c>
      <c r="BL52" s="26">
        <f t="shared" si="517"/>
        <v>0</v>
      </c>
      <c r="BM52" s="26">
        <f t="shared" si="517"/>
        <v>0</v>
      </c>
      <c r="BN52" s="26">
        <f t="shared" si="517"/>
        <v>4.0600000000000254</v>
      </c>
      <c r="BO52" s="26">
        <f t="shared" si="517"/>
        <v>-16.280000000000015</v>
      </c>
      <c r="BP52" s="26">
        <f t="shared" si="517"/>
        <v>22.839999999999986</v>
      </c>
      <c r="BQ52" s="26">
        <f t="shared" si="517"/>
        <v>43.439999999999984</v>
      </c>
      <c r="BR52" s="26">
        <f t="shared" si="517"/>
        <v>47.189999999999955</v>
      </c>
      <c r="BS52" s="26">
        <f t="shared" si="517"/>
        <v>24.019999999999982</v>
      </c>
      <c r="BT52" s="26">
        <f t="shared" si="517"/>
        <v>49.88000000000001</v>
      </c>
      <c r="BU52" s="26">
        <f t="shared" si="517"/>
        <v>37.469999999999949</v>
      </c>
      <c r="BV52" s="26">
        <f t="shared" si="517"/>
        <v>51.339999999999989</v>
      </c>
      <c r="BW52" s="26">
        <f t="shared" si="517"/>
        <v>56.590000000000046</v>
      </c>
      <c r="BX52" s="26">
        <f t="shared" si="517"/>
        <v>62.380000000000052</v>
      </c>
      <c r="BY52" s="26">
        <f t="shared" si="517"/>
        <v>51.399999999999963</v>
      </c>
      <c r="BZ52" s="26">
        <f t="shared" si="517"/>
        <v>80.109999999999928</v>
      </c>
      <c r="CA52" s="26">
        <f t="shared" si="517"/>
        <v>80.650000000000119</v>
      </c>
      <c r="CB52" s="26">
        <f t="shared" si="517"/>
        <v>104.25000000000006</v>
      </c>
      <c r="CC52" s="26">
        <f t="shared" si="517"/>
        <v>81.350000000000051</v>
      </c>
      <c r="CD52" s="26">
        <f t="shared" si="517"/>
        <v>70.230000000000018</v>
      </c>
      <c r="CE52" s="26">
        <f t="shared" ref="CE52:CF52" si="518">CE49-CE50</f>
        <v>59.310000000000088</v>
      </c>
      <c r="CF52" s="26">
        <f t="shared" si="518"/>
        <v>61.290000000000084</v>
      </c>
      <c r="CG52" s="26">
        <f t="shared" ref="CG52:CH52" si="519">CG49-CG50</f>
        <v>27.479999999999905</v>
      </c>
      <c r="CH52" s="26">
        <f t="shared" si="519"/>
        <v>77.260000000000105</v>
      </c>
      <c r="CI52" s="26">
        <f t="shared" ref="CI52:CJ52" si="520">CI49-CI50</f>
        <v>77.629999999999939</v>
      </c>
      <c r="CJ52" s="26">
        <f t="shared" si="520"/>
        <v>90.999999999999758</v>
      </c>
      <c r="CK52" s="26">
        <f t="shared" ref="CK52:CL52" si="521">CK49-CK50</f>
        <v>110.53000000000027</v>
      </c>
      <c r="CL52" s="26">
        <f t="shared" si="521"/>
        <v>116.6600000000002</v>
      </c>
      <c r="CM52" s="27">
        <f t="shared" ref="CM52:DB52" si="522">CM49-CM50</f>
        <v>78.057231424390025</v>
      </c>
      <c r="CN52" s="27">
        <f t="shared" si="522"/>
        <v>113.08710881081728</v>
      </c>
      <c r="CO52" s="27">
        <f t="shared" si="522"/>
        <v>126.82820142169666</v>
      </c>
      <c r="CP52" s="27">
        <f t="shared" si="522"/>
        <v>150.75057431640116</v>
      </c>
      <c r="CQ52" s="27">
        <f t="shared" si="522"/>
        <v>137.52870610453579</v>
      </c>
      <c r="CR52" s="27">
        <f t="shared" si="522"/>
        <v>175.16062152532399</v>
      </c>
      <c r="CS52" s="27">
        <f t="shared" si="522"/>
        <v>187.16486897801053</v>
      </c>
      <c r="CT52" s="27">
        <f t="shared" si="522"/>
        <v>215.93231218810541</v>
      </c>
      <c r="CU52" s="27">
        <f t="shared" si="522"/>
        <v>200.06792396834891</v>
      </c>
      <c r="CV52" s="27">
        <f t="shared" si="522"/>
        <v>242.76318501477448</v>
      </c>
      <c r="CW52" s="27">
        <f t="shared" si="522"/>
        <v>255.6234403058715</v>
      </c>
      <c r="CX52" s="27">
        <f t="shared" si="522"/>
        <v>289.06300044051522</v>
      </c>
      <c r="CY52" s="27">
        <f t="shared" si="522"/>
        <v>269.40726311540595</v>
      </c>
      <c r="CZ52" s="27">
        <f t="shared" si="522"/>
        <v>318.78023126020514</v>
      </c>
      <c r="DA52" s="27">
        <f t="shared" si="522"/>
        <v>333.10479504162845</v>
      </c>
      <c r="DB52" s="27">
        <f t="shared" si="522"/>
        <v>371.82566485211885</v>
      </c>
      <c r="DE52" s="121"/>
      <c r="DF52" s="26">
        <v>103.23904087412907</v>
      </c>
    </row>
    <row r="53" spans="1:110" s="45" customFormat="1" x14ac:dyDescent="0.2">
      <c r="A53" s="45" t="s">
        <v>107</v>
      </c>
      <c r="B53" s="45" t="e">
        <f t="shared" ref="B53:E53" si="523">+B52/B21</f>
        <v>#DIV/0!</v>
      </c>
      <c r="C53" s="45" t="e">
        <f t="shared" si="523"/>
        <v>#DIV/0!</v>
      </c>
      <c r="D53" s="45" t="e">
        <f t="shared" si="523"/>
        <v>#DIV/0!</v>
      </c>
      <c r="E53" s="45" t="e">
        <f t="shared" si="523"/>
        <v>#DIV/0!</v>
      </c>
      <c r="F53" s="45">
        <f t="shared" ref="F53:AE53" si="524">+F52/F21</f>
        <v>8.7415975775765362E-2</v>
      </c>
      <c r="G53" s="45">
        <f t="shared" si="524"/>
        <v>8.8458620585432732E-2</v>
      </c>
      <c r="H53" s="45">
        <f t="shared" si="524"/>
        <v>7.3594763183032041E-2</v>
      </c>
      <c r="I53" s="45">
        <f t="shared" si="524"/>
        <v>7.0988727023827095E-2</v>
      </c>
      <c r="J53" s="45">
        <f t="shared" si="524"/>
        <v>3.5454513751161029E-2</v>
      </c>
      <c r="K53" s="45">
        <f t="shared" si="524"/>
        <v>5.4794226637885336E-2</v>
      </c>
      <c r="L53" s="45" t="e">
        <f t="shared" si="524"/>
        <v>#DIV/0!</v>
      </c>
      <c r="M53" s="45" t="e">
        <f t="shared" si="524"/>
        <v>#DIV/0!</v>
      </c>
      <c r="N53" s="45">
        <f t="shared" si="524"/>
        <v>6.3345935038815498E-2</v>
      </c>
      <c r="O53" s="45">
        <f t="shared" si="524"/>
        <v>3.7873991460900466E-2</v>
      </c>
      <c r="P53" s="45">
        <f t="shared" si="524"/>
        <v>2.5971526308356127E-2</v>
      </c>
      <c r="Q53" s="45">
        <f t="shared" si="524"/>
        <v>4.9766056521816981E-2</v>
      </c>
      <c r="R53" s="45">
        <f t="shared" si="524"/>
        <v>3.8446319633642416E-2</v>
      </c>
      <c r="S53" s="45">
        <f t="shared" si="524"/>
        <v>2.2243406418811645E-2</v>
      </c>
      <c r="T53" s="45">
        <f t="shared" si="524"/>
        <v>5.3335328191805677E-2</v>
      </c>
      <c r="U53" s="45">
        <f t="shared" si="524"/>
        <v>3.0687589617142227E-2</v>
      </c>
      <c r="V53" s="45">
        <f t="shared" si="524"/>
        <v>6.2303278951248452E-2</v>
      </c>
      <c r="W53" s="45">
        <f t="shared" si="524"/>
        <v>7.3391309054496645E-2</v>
      </c>
      <c r="X53" s="45">
        <f t="shared" si="524"/>
        <v>7.8702947275812243E-2</v>
      </c>
      <c r="Y53" s="45">
        <f t="shared" si="524"/>
        <v>7.558409876609766E-2</v>
      </c>
      <c r="Z53" s="45">
        <f t="shared" ref="Z53:AA53" si="525">+Z52/Z21</f>
        <v>3.9599471397843353E-2</v>
      </c>
      <c r="AA53" s="45">
        <f t="shared" si="525"/>
        <v>4.9052764376455435E-2</v>
      </c>
      <c r="AB53" s="48">
        <f t="shared" si="524"/>
        <v>4.9226631360506527E-2</v>
      </c>
      <c r="AC53" s="48">
        <f t="shared" si="524"/>
        <v>6.3706720143291623E-2</v>
      </c>
      <c r="AD53" s="48">
        <f t="shared" si="524"/>
        <v>7.4484267855454894E-2</v>
      </c>
      <c r="AE53" s="48">
        <f t="shared" si="524"/>
        <v>8.2656281803852483E-2</v>
      </c>
      <c r="AI53" s="45" t="e">
        <f t="shared" ref="AI53:BN53" si="526">+AI52/AI21</f>
        <v>#DIV/0!</v>
      </c>
      <c r="AJ53" s="45" t="e">
        <f t="shared" si="526"/>
        <v>#DIV/0!</v>
      </c>
      <c r="AK53" s="45" t="e">
        <f t="shared" si="526"/>
        <v>#DIV/0!</v>
      </c>
      <c r="AL53" s="45" t="e">
        <f t="shared" si="526"/>
        <v>#DIV/0!</v>
      </c>
      <c r="AM53" s="45" t="e">
        <f t="shared" si="526"/>
        <v>#DIV/0!</v>
      </c>
      <c r="AN53" s="45" t="e">
        <f t="shared" si="526"/>
        <v>#DIV/0!</v>
      </c>
      <c r="AO53" s="45" t="e">
        <f t="shared" si="526"/>
        <v>#DIV/0!</v>
      </c>
      <c r="AP53" s="45" t="e">
        <f t="shared" si="526"/>
        <v>#DIV/0!</v>
      </c>
      <c r="AQ53" s="45" t="e">
        <f t="shared" si="526"/>
        <v>#DIV/0!</v>
      </c>
      <c r="AR53" s="45" t="e">
        <f t="shared" si="526"/>
        <v>#DIV/0!</v>
      </c>
      <c r="AS53" s="45" t="e">
        <f t="shared" si="526"/>
        <v>#DIV/0!</v>
      </c>
      <c r="AT53" s="45" t="e">
        <f t="shared" si="526"/>
        <v>#DIV/0!</v>
      </c>
      <c r="AU53" s="45" t="e">
        <f t="shared" si="526"/>
        <v>#DIV/0!</v>
      </c>
      <c r="AV53" s="45" t="e">
        <f t="shared" si="526"/>
        <v>#DIV/0!</v>
      </c>
      <c r="AW53" s="45" t="e">
        <f t="shared" si="526"/>
        <v>#DIV/0!</v>
      </c>
      <c r="AX53" s="45" t="e">
        <f t="shared" si="526"/>
        <v>#DIV/0!</v>
      </c>
      <c r="AY53" s="45" t="e">
        <f t="shared" si="526"/>
        <v>#DIV/0!</v>
      </c>
      <c r="AZ53" s="45" t="e">
        <f t="shared" si="526"/>
        <v>#DIV/0!</v>
      </c>
      <c r="BA53" s="45" t="e">
        <f t="shared" si="526"/>
        <v>#DIV/0!</v>
      </c>
      <c r="BB53" s="45" t="e">
        <f t="shared" si="526"/>
        <v>#DIV/0!</v>
      </c>
      <c r="BC53" s="45" t="e">
        <f t="shared" si="526"/>
        <v>#DIV/0!</v>
      </c>
      <c r="BD53" s="45" t="e">
        <f t="shared" si="526"/>
        <v>#DIV/0!</v>
      </c>
      <c r="BE53" s="45" t="e">
        <f t="shared" si="526"/>
        <v>#DIV/0!</v>
      </c>
      <c r="BF53" s="45" t="e">
        <f t="shared" si="526"/>
        <v>#DIV/0!</v>
      </c>
      <c r="BG53" s="45" t="e">
        <f t="shared" si="526"/>
        <v>#DIV/0!</v>
      </c>
      <c r="BH53" s="45" t="e">
        <f t="shared" si="526"/>
        <v>#DIV/0!</v>
      </c>
      <c r="BI53" s="45" t="e">
        <f t="shared" si="526"/>
        <v>#DIV/0!</v>
      </c>
      <c r="BJ53" s="45" t="e">
        <f t="shared" si="526"/>
        <v>#DIV/0!</v>
      </c>
      <c r="BK53" s="45" t="e">
        <f t="shared" si="526"/>
        <v>#DIV/0!</v>
      </c>
      <c r="BL53" s="45" t="e">
        <f t="shared" si="526"/>
        <v>#DIV/0!</v>
      </c>
      <c r="BM53" s="45" t="e">
        <f t="shared" si="526"/>
        <v>#DIV/0!</v>
      </c>
      <c r="BN53" s="45">
        <f t="shared" si="526"/>
        <v>1.2140785263598651E-2</v>
      </c>
      <c r="BO53" s="45">
        <f t="shared" ref="BO53:CT53" si="527">+BO52/BO21</f>
        <v>-9.9877300613497033E-2</v>
      </c>
      <c r="BP53" s="45">
        <f t="shared" si="527"/>
        <v>6.1609840310746615E-2</v>
      </c>
      <c r="BQ53" s="45">
        <f t="shared" si="527"/>
        <v>8.8821641073874871E-2</v>
      </c>
      <c r="BR53" s="45">
        <f t="shared" si="527"/>
        <v>8.7850919651500409E-2</v>
      </c>
      <c r="BS53" s="45">
        <f t="shared" si="527"/>
        <v>5.5194282956869373E-2</v>
      </c>
      <c r="BT53" s="45">
        <f t="shared" si="527"/>
        <v>8.735398679532759E-2</v>
      </c>
      <c r="BU53" s="45">
        <f t="shared" si="527"/>
        <v>6.7617071190110886E-2</v>
      </c>
      <c r="BV53" s="45">
        <f t="shared" si="527"/>
        <v>7.8182344252059624E-2</v>
      </c>
      <c r="BW53" s="45">
        <f t="shared" si="527"/>
        <v>8.3594303947057497E-2</v>
      </c>
      <c r="BX53" s="45">
        <f t="shared" si="527"/>
        <v>8.0361743790580295E-2</v>
      </c>
      <c r="BY53" s="45">
        <f t="shared" si="527"/>
        <v>6.8622084562701052E-2</v>
      </c>
      <c r="BZ53" s="45">
        <f t="shared" si="527"/>
        <v>8.1714046737456192E-2</v>
      </c>
      <c r="CA53" s="45">
        <f t="shared" si="527"/>
        <v>7.772520069774401E-2</v>
      </c>
      <c r="CB53" s="45">
        <f t="shared" si="527"/>
        <v>8.8417892219225538E-2</v>
      </c>
      <c r="CC53" s="45">
        <f t="shared" si="527"/>
        <v>7.2010268212799905E-2</v>
      </c>
      <c r="CD53" s="45">
        <f t="shared" si="527"/>
        <v>6.3537011236361685E-2</v>
      </c>
      <c r="CE53" s="45">
        <f t="shared" si="527"/>
        <v>5.1520600422171915E-2</v>
      </c>
      <c r="CF53" s="45">
        <f t="shared" si="527"/>
        <v>5.0488076115161318E-2</v>
      </c>
      <c r="CG53" s="45">
        <f t="shared" si="527"/>
        <v>1.7435552538243314E-2</v>
      </c>
      <c r="CH53" s="45">
        <f t="shared" si="527"/>
        <v>4.4167500357296045E-2</v>
      </c>
      <c r="CI53" s="45">
        <f t="shared" ref="CI53:CJ53" si="528">+CI52/CI21</f>
        <v>4.3514573991031355E-2</v>
      </c>
      <c r="CJ53" s="45">
        <f t="shared" si="528"/>
        <v>4.5463856234293616E-2</v>
      </c>
      <c r="CK53" s="45">
        <f t="shared" ref="CK53:CL53" si="529">+CK52/CK21</f>
        <v>5.3726279359153958E-2</v>
      </c>
      <c r="CL53" s="45">
        <f t="shared" si="529"/>
        <v>5.23984908372261E-2</v>
      </c>
      <c r="CM53" s="48">
        <f t="shared" si="527"/>
        <v>3.7079706346616836E-2</v>
      </c>
      <c r="CN53" s="48">
        <f t="shared" si="527"/>
        <v>4.7880201684922054E-2</v>
      </c>
      <c r="CO53" s="48">
        <f t="shared" si="527"/>
        <v>5.2244481367901545E-2</v>
      </c>
      <c r="CP53" s="48">
        <f t="shared" si="527"/>
        <v>5.7381748112176667E-2</v>
      </c>
      <c r="CQ53" s="48">
        <f t="shared" si="527"/>
        <v>5.5364896507584971E-2</v>
      </c>
      <c r="CR53" s="48">
        <f t="shared" si="527"/>
        <v>6.2848850707110715E-2</v>
      </c>
      <c r="CS53" s="48">
        <f t="shared" si="527"/>
        <v>6.5338162378660219E-2</v>
      </c>
      <c r="CT53" s="48">
        <f t="shared" si="527"/>
        <v>6.9654700186808402E-2</v>
      </c>
      <c r="CU53" s="48">
        <f t="shared" ref="CU53:DB53" si="530">+CU52/CU21</f>
        <v>6.8255333609859942E-2</v>
      </c>
      <c r="CV53" s="48">
        <f t="shared" si="530"/>
        <v>7.3817899344993845E-2</v>
      </c>
      <c r="CW53" s="48">
        <f t="shared" si="530"/>
        <v>7.5624279412936049E-2</v>
      </c>
      <c r="CX53" s="48">
        <f t="shared" si="530"/>
        <v>7.902114005452969E-2</v>
      </c>
      <c r="CY53" s="48">
        <f t="shared" si="530"/>
        <v>7.7890845964158212E-2</v>
      </c>
      <c r="CZ53" s="48">
        <f t="shared" si="530"/>
        <v>8.2146342109211595E-2</v>
      </c>
      <c r="DA53" s="48">
        <f t="shared" si="530"/>
        <v>8.3514031897573213E-2</v>
      </c>
      <c r="DB53" s="48">
        <f t="shared" si="530"/>
        <v>8.6140649221477281E-2</v>
      </c>
      <c r="DE53" s="129"/>
      <c r="DF53" s="45">
        <v>4.9182526260839923E-2</v>
      </c>
    </row>
    <row r="54" spans="1:110" s="39" customFormat="1" x14ac:dyDescent="0.2">
      <c r="A54" s="39" t="s">
        <v>451</v>
      </c>
      <c r="C54" s="39" t="e">
        <f t="shared" ref="C54:E54" si="531">+IF(B52&lt;0,1-C52/B52,C52/B52-1)</f>
        <v>#DIV/0!</v>
      </c>
      <c r="D54" s="39" t="e">
        <f t="shared" si="531"/>
        <v>#DIV/0!</v>
      </c>
      <c r="E54" s="39" t="e">
        <f t="shared" si="531"/>
        <v>#DIV/0!</v>
      </c>
      <c r="F54" s="39" t="e">
        <f t="shared" ref="F54:AE54" si="532">+IF(E52&lt;0,1-F52/E52,F52/E52-1)</f>
        <v>#DIV/0!</v>
      </c>
      <c r="G54" s="39">
        <f t="shared" si="532"/>
        <v>0.4446917711111873</v>
      </c>
      <c r="H54" s="39">
        <f t="shared" si="532"/>
        <v>9.8298516979851147E-2</v>
      </c>
      <c r="I54" s="39">
        <f t="shared" si="532"/>
        <v>0.33521162856645281</v>
      </c>
      <c r="J54" s="39">
        <f t="shared" si="532"/>
        <v>-0.39578616896341368</v>
      </c>
      <c r="K54" s="39">
        <f t="shared" si="532"/>
        <v>0.16351889061767211</v>
      </c>
      <c r="L54" s="39">
        <f t="shared" si="532"/>
        <v>-1</v>
      </c>
      <c r="M54" s="39" t="e">
        <f t="shared" si="532"/>
        <v>#DIV/0!</v>
      </c>
      <c r="N54" s="39" t="e">
        <f t="shared" si="532"/>
        <v>#DIV/0!</v>
      </c>
      <c r="O54" s="39">
        <f t="shared" si="532"/>
        <v>-0.38985799095116913</v>
      </c>
      <c r="P54" s="39">
        <f t="shared" si="532"/>
        <v>-0.10930132876125909</v>
      </c>
      <c r="Q54" s="39">
        <f t="shared" si="532"/>
        <v>1.1436477382098338</v>
      </c>
      <c r="R54" s="39">
        <f t="shared" si="532"/>
        <v>-4.8984173307891177E-2</v>
      </c>
      <c r="S54" s="39">
        <f t="shared" si="532"/>
        <v>-0.22337889195760385</v>
      </c>
      <c r="T54" s="39">
        <f t="shared" si="532"/>
        <v>1.9472340425531836</v>
      </c>
      <c r="U54" s="39">
        <f t="shared" si="532"/>
        <v>-0.52765975001031251</v>
      </c>
      <c r="V54" s="39">
        <f t="shared" si="532"/>
        <v>1.1220524017467213</v>
      </c>
      <c r="W54" s="39">
        <f t="shared" si="532"/>
        <v>0.67414343039407454</v>
      </c>
      <c r="X54" s="39">
        <f t="shared" si="532"/>
        <v>0.53942597258926805</v>
      </c>
      <c r="Y54" s="39">
        <f t="shared" si="532"/>
        <v>0.34334078569147186</v>
      </c>
      <c r="Z54" s="39">
        <f t="shared" ref="Z54:AA54" si="533">+IF(Y52&lt;0,1-Z52/Y52,Z52/Y52-1)</f>
        <v>-0.33030194959581649</v>
      </c>
      <c r="AA54" s="39">
        <f t="shared" si="533"/>
        <v>0.75654566432946324</v>
      </c>
      <c r="AB54" s="40">
        <f t="shared" si="532"/>
        <v>0.18418249702719636</v>
      </c>
      <c r="AC54" s="40">
        <f t="shared" si="532"/>
        <v>0.52709880183665292</v>
      </c>
      <c r="AD54" s="40">
        <f t="shared" si="532"/>
        <v>0.37962582081996943</v>
      </c>
      <c r="AE54" s="40">
        <f t="shared" si="532"/>
        <v>0.30946326434761273</v>
      </c>
      <c r="AM54" s="39" t="e">
        <f>+IF(AI52&lt;0,1-AM52/AI52,AM52/AI52-1)</f>
        <v>#DIV/0!</v>
      </c>
      <c r="AN54" s="39" t="e">
        <f t="shared" ref="AN54" si="534">+IF(AJ52&lt;0,1-AN52/AJ52,AN52/AJ52-1)</f>
        <v>#DIV/0!</v>
      </c>
      <c r="AO54" s="39" t="e">
        <f t="shared" ref="AO54" si="535">+IF(AK52&lt;0,1-AO52/AK52,AO52/AK52-1)</f>
        <v>#DIV/0!</v>
      </c>
      <c r="AP54" s="39" t="e">
        <f t="shared" ref="AP54" si="536">+IF(AL52&lt;0,1-AP52/AL52,AP52/AL52-1)</f>
        <v>#DIV/0!</v>
      </c>
      <c r="AQ54" s="39" t="e">
        <f t="shared" ref="AQ54" si="537">+IF(AM52&lt;0,1-AQ52/AM52,AQ52/AM52-1)</f>
        <v>#DIV/0!</v>
      </c>
      <c r="AR54" s="39" t="e">
        <f t="shared" ref="AR54" si="538">+IF(AN52&lt;0,1-AR52/AN52,AR52/AN52-1)</f>
        <v>#DIV/0!</v>
      </c>
      <c r="AS54" s="39" t="e">
        <f t="shared" ref="AS54" si="539">+IF(AO52&lt;0,1-AS52/AO52,AS52/AO52-1)</f>
        <v>#DIV/0!</v>
      </c>
      <c r="AT54" s="39" t="e">
        <f t="shared" ref="AT54" si="540">+IF(AP52&lt;0,1-AT52/AP52,AT52/AP52-1)</f>
        <v>#DIV/0!</v>
      </c>
      <c r="AU54" s="39" t="e">
        <f t="shared" ref="AU54" si="541">+IF(AQ52&lt;0,1-AU52/AQ52,AU52/AQ52-1)</f>
        <v>#DIV/0!</v>
      </c>
      <c r="AV54" s="39" t="e">
        <f t="shared" ref="AV54" si="542">+IF(AR52&lt;0,1-AV52/AR52,AV52/AR52-1)</f>
        <v>#DIV/0!</v>
      </c>
      <c r="AW54" s="39" t="e">
        <f t="shared" ref="AW54" si="543">+IF(AS52&lt;0,1-AW52/AS52,AW52/AS52-1)</f>
        <v>#DIV/0!</v>
      </c>
      <c r="AX54" s="39" t="e">
        <f t="shared" ref="AX54" si="544">+IF(AT52&lt;0,1-AX52/AT52,AX52/AT52-1)</f>
        <v>#DIV/0!</v>
      </c>
      <c r="AY54" s="39" t="e">
        <f t="shared" ref="AY54" si="545">+IF(AU52&lt;0,1-AY52/AU52,AY52/AU52-1)</f>
        <v>#DIV/0!</v>
      </c>
      <c r="AZ54" s="39" t="e">
        <f t="shared" ref="AZ54" si="546">+IF(AV52&lt;0,1-AZ52/AV52,AZ52/AV52-1)</f>
        <v>#DIV/0!</v>
      </c>
      <c r="BA54" s="39" t="e">
        <f t="shared" ref="BA54" si="547">+IF(AW52&lt;0,1-BA52/AW52,BA52/AW52-1)</f>
        <v>#DIV/0!</v>
      </c>
      <c r="BB54" s="39" t="e">
        <f t="shared" ref="BB54" si="548">+IF(AX52&lt;0,1-BB52/AX52,BB52/AX52-1)</f>
        <v>#DIV/0!</v>
      </c>
      <c r="BC54" s="39" t="e">
        <f t="shared" ref="BC54" si="549">+IF(AY52&lt;0,1-BC52/AY52,BC52/AY52-1)</f>
        <v>#DIV/0!</v>
      </c>
      <c r="BD54" s="39" t="e">
        <f t="shared" ref="BD54" si="550">+IF(AZ52&lt;0,1-BD52/AZ52,BD52/AZ52-1)</f>
        <v>#DIV/0!</v>
      </c>
      <c r="BE54" s="39" t="e">
        <f t="shared" ref="BE54" si="551">+IF(BA52&lt;0,1-BE52/BA52,BE52/BA52-1)</f>
        <v>#DIV/0!</v>
      </c>
      <c r="BF54" s="39" t="e">
        <f t="shared" ref="BF54" si="552">+IF(BB52&lt;0,1-BF52/BB52,BF52/BB52-1)</f>
        <v>#DIV/0!</v>
      </c>
      <c r="BG54" s="39" t="e">
        <f t="shared" ref="BG54" si="553">+IF(BC52&lt;0,1-BG52/BC52,BG52/BC52-1)</f>
        <v>#DIV/0!</v>
      </c>
      <c r="BH54" s="39" t="e">
        <f t="shared" ref="BH54" si="554">+IF(BD52&lt;0,1-BH52/BD52,BH52/BD52-1)</f>
        <v>#DIV/0!</v>
      </c>
      <c r="BI54" s="39" t="e">
        <f t="shared" ref="BI54" si="555">+IF(BE52&lt;0,1-BI52/BE52,BI52/BE52-1)</f>
        <v>#DIV/0!</v>
      </c>
      <c r="BJ54" s="39" t="e">
        <f t="shared" ref="BJ54" si="556">+IF(BF52&lt;0,1-BJ52/BF52,BJ52/BF52-1)</f>
        <v>#DIV/0!</v>
      </c>
      <c r="BK54" s="39" t="e">
        <f t="shared" ref="BK54" si="557">+IF(BG52&lt;0,1-BK52/BG52,BK52/BG52-1)</f>
        <v>#DIV/0!</v>
      </c>
      <c r="BL54" s="39" t="e">
        <f t="shared" ref="BL54" si="558">+IF(BH52&lt;0,1-BL52/BH52,BL52/BH52-1)</f>
        <v>#DIV/0!</v>
      </c>
      <c r="BM54" s="39" t="e">
        <f t="shared" ref="BM54" si="559">+IF(BI52&lt;0,1-BM52/BI52,BM52/BI52-1)</f>
        <v>#DIV/0!</v>
      </c>
      <c r="BN54" s="39" t="e">
        <f t="shared" ref="BN54" si="560">+IF(BJ52&lt;0,1-BN52/BJ52,BN52/BJ52-1)</f>
        <v>#DIV/0!</v>
      </c>
      <c r="BO54" s="39" t="e">
        <f t="shared" ref="BO54" si="561">+IF(BK52&lt;0,1-BO52/BK52,BO52/BK52-1)</f>
        <v>#DIV/0!</v>
      </c>
      <c r="BP54" s="39" t="e">
        <f t="shared" ref="BP54" si="562">+IF(BL52&lt;0,1-BP52/BL52,BP52/BL52-1)</f>
        <v>#DIV/0!</v>
      </c>
      <c r="BQ54" s="39" t="e">
        <f t="shared" ref="BQ54" si="563">+IF(BM52&lt;0,1-BQ52/BM52,BQ52/BM52-1)</f>
        <v>#DIV/0!</v>
      </c>
      <c r="BR54" s="39">
        <f t="shared" ref="BR54" si="564">+IF(BN52&lt;0,1-BR52/BN52,BR52/BN52-1)</f>
        <v>10.623152709359521</v>
      </c>
      <c r="BS54" s="39">
        <f t="shared" ref="BS54" si="565">+IF(BO52&lt;0,1-BS52/BO52,BS52/BO52-1)</f>
        <v>2.4754299754299729</v>
      </c>
      <c r="BT54" s="39">
        <f t="shared" ref="BT54" si="566">+IF(BP52&lt;0,1-BT52/BP52,BT52/BP52-1)</f>
        <v>1.1838879159369546</v>
      </c>
      <c r="BU54" s="39">
        <f t="shared" ref="BU54" si="567">+IF(BQ52&lt;0,1-BU52/BQ52,BU52/BQ52-1)</f>
        <v>-0.13743093922652017</v>
      </c>
      <c r="BV54" s="39">
        <f t="shared" ref="BV54" si="568">+IF(BR52&lt;0,1-BV52/BR52,BV52/BR52-1)</f>
        <v>8.7942360669634123E-2</v>
      </c>
      <c r="BW54" s="39">
        <f t="shared" ref="BW54" si="569">+IF(BS52&lt;0,1-BW52/BS52,BW52/BS52-1)</f>
        <v>1.3559533721898456</v>
      </c>
      <c r="BX54" s="39">
        <f t="shared" ref="BX54" si="570">+IF(BT52&lt;0,1-BX52/BT52,BX52/BT52-1)</f>
        <v>0.25060144346431512</v>
      </c>
      <c r="BY54" s="39">
        <f t="shared" ref="BY54" si="571">+IF(BU52&lt;0,1-BY52/BU52,BY52/BU52-1)</f>
        <v>0.37176407792901078</v>
      </c>
      <c r="BZ54" s="39">
        <f t="shared" ref="BZ54" si="572">+IF(BV52&lt;0,1-BZ52/BV52,BZ52/BV52-1)</f>
        <v>0.56038176860147937</v>
      </c>
      <c r="CA54" s="39">
        <f t="shared" ref="CA54" si="573">+IF(BW52&lt;0,1-CA52/BW52,CA52/BW52-1)</f>
        <v>0.42516345644106823</v>
      </c>
      <c r="CB54" s="39">
        <f t="shared" ref="CB54" si="574">+IF(BX52&lt;0,1-CB52/BX52,CB52/BX52-1)</f>
        <v>0.67120872074382776</v>
      </c>
      <c r="CC54" s="39">
        <f t="shared" ref="CC54" si="575">+IF(BY52&lt;0,1-CC52/BY52,CC52/BY52-1)</f>
        <v>0.58268482490272588</v>
      </c>
      <c r="CD54" s="39">
        <f t="shared" ref="CD54" si="576">+IF(BZ52&lt;0,1-CD52/BZ52,CD52/BZ52-1)</f>
        <v>-0.12333042067157562</v>
      </c>
      <c r="CE54" s="39">
        <f t="shared" ref="CE54" si="577">+IF(CA52&lt;0,1-CE52/CA52,CE52/CA52-1)</f>
        <v>-0.2646001239925605</v>
      </c>
      <c r="CF54" s="39">
        <f t="shared" ref="CF54" si="578">+IF(CB52&lt;0,1-CF52/CB52,CF52/CB52-1)</f>
        <v>-0.41208633093525127</v>
      </c>
      <c r="CG54" s="39">
        <f t="shared" ref="CG54" si="579">+IF(CC52&lt;0,1-CG52/CC52,CG52/CC52-1)</f>
        <v>-0.66220036877689137</v>
      </c>
      <c r="CH54" s="39">
        <f t="shared" ref="CH54:CL54" si="580">+IF(CD52&lt;0,1-CH52/CD52,CH52/CD52-1)</f>
        <v>0.10009967250462881</v>
      </c>
      <c r="CI54" s="39">
        <f t="shared" si="580"/>
        <v>0.30888551677625742</v>
      </c>
      <c r="CJ54" s="39">
        <f t="shared" si="580"/>
        <v>0.484744656550818</v>
      </c>
      <c r="CK54" s="39">
        <f t="shared" si="580"/>
        <v>3.0221979621543182</v>
      </c>
      <c r="CL54" s="39">
        <f t="shared" si="580"/>
        <v>0.50996634739839553</v>
      </c>
      <c r="CM54" s="40">
        <f t="shared" ref="CM54" si="581">+CM52/CI52-1</f>
        <v>5.5034319772007123E-3</v>
      </c>
      <c r="CN54" s="40">
        <f t="shared" ref="CN54" si="582">+CN52/CJ52-1</f>
        <v>0.24271548143755584</v>
      </c>
      <c r="CO54" s="40">
        <f t="shared" ref="CO54" si="583">+CO52/CK52-1</f>
        <v>0.14745500245812315</v>
      </c>
      <c r="CP54" s="40">
        <f t="shared" ref="CP54" si="584">+CP52/CL52-1</f>
        <v>0.29222162109035565</v>
      </c>
      <c r="CQ54" s="40">
        <f t="shared" ref="CQ54" si="585">+CQ52/CM52-1</f>
        <v>0.76189577307456369</v>
      </c>
      <c r="CR54" s="40">
        <f t="shared" ref="CR54" si="586">+CR52/CN52-1</f>
        <v>0.54889998840052678</v>
      </c>
      <c r="CS54" s="40">
        <f t="shared" ref="CS54" si="587">+CS52/CO52-1</f>
        <v>0.47573541909419514</v>
      </c>
      <c r="CT54" s="40">
        <f t="shared" ref="CT54" si="588">+CT52/CP52-1</f>
        <v>0.43238135686898471</v>
      </c>
      <c r="CU54" s="40">
        <f t="shared" ref="CU54" si="589">+CU52/CQ52-1</f>
        <v>0.45473573943375101</v>
      </c>
      <c r="CV54" s="40">
        <f t="shared" ref="CV54" si="590">+CV52/CR52-1</f>
        <v>0.38594612705046139</v>
      </c>
      <c r="CW54" s="40">
        <f t="shared" ref="CW54" si="591">+CW52/CS52-1</f>
        <v>0.36576613817363324</v>
      </c>
      <c r="CX54" s="40">
        <f t="shared" ref="CX54" si="592">+CX52/CT52-1</f>
        <v>0.33867413131159063</v>
      </c>
      <c r="CY54" s="40">
        <f t="shared" ref="CY54" si="593">+CY52/CU52-1</f>
        <v>0.34657899063333431</v>
      </c>
      <c r="CZ54" s="40">
        <f t="shared" ref="CZ54" si="594">+CZ52/CV52-1</f>
        <v>0.31313251323838198</v>
      </c>
      <c r="DA54" s="40">
        <f t="shared" ref="DA54" si="595">+DA52/CW52-1</f>
        <v>0.30310739360617722</v>
      </c>
      <c r="DB54" s="40">
        <f t="shared" ref="DB54" si="596">+DB52/CX52-1</f>
        <v>0.28631358660734207</v>
      </c>
      <c r="DE54" s="122"/>
      <c r="DF54" s="39">
        <v>0.3362547356216532</v>
      </c>
    </row>
    <row r="55" spans="1:110" s="39" customFormat="1" x14ac:dyDescent="0.2">
      <c r="A55" s="39" t="s">
        <v>452</v>
      </c>
      <c r="AB55" s="40"/>
      <c r="AC55" s="40"/>
      <c r="AD55" s="40"/>
      <c r="AE55" s="40"/>
      <c r="AJ55" s="39" t="e">
        <f>+IF(AI52&lt;0,1-AJ52/AI52,AJ52/AI52-1)</f>
        <v>#DIV/0!</v>
      </c>
      <c r="AK55" s="39" t="e">
        <f t="shared" ref="AK55:AM55" si="597">+IF(AJ52&lt;0,1-AK52/AJ52,AK52/AJ52-1)</f>
        <v>#DIV/0!</v>
      </c>
      <c r="AL55" s="39" t="e">
        <f t="shared" si="597"/>
        <v>#DIV/0!</v>
      </c>
      <c r="AM55" s="39" t="e">
        <f t="shared" si="597"/>
        <v>#DIV/0!</v>
      </c>
      <c r="AN55" s="39" t="e">
        <f t="shared" ref="AN55" si="598">+IF(AM52&lt;0,1-AN52/AM52,AN52/AM52-1)</f>
        <v>#DIV/0!</v>
      </c>
      <c r="AO55" s="39" t="e">
        <f t="shared" ref="AO55" si="599">+IF(AN52&lt;0,1-AO52/AN52,AO52/AN52-1)</f>
        <v>#DIV/0!</v>
      </c>
      <c r="AP55" s="39" t="e">
        <f t="shared" ref="AP55" si="600">+IF(AO52&lt;0,1-AP52/AO52,AP52/AO52-1)</f>
        <v>#DIV/0!</v>
      </c>
      <c r="AQ55" s="39" t="e">
        <f t="shared" ref="AQ55" si="601">+IF(AP52&lt;0,1-AQ52/AP52,AQ52/AP52-1)</f>
        <v>#DIV/0!</v>
      </c>
      <c r="AR55" s="39" t="e">
        <f t="shared" ref="AR55" si="602">+IF(AQ52&lt;0,1-AR52/AQ52,AR52/AQ52-1)</f>
        <v>#DIV/0!</v>
      </c>
      <c r="AS55" s="39" t="e">
        <f t="shared" ref="AS55" si="603">+IF(AR52&lt;0,1-AS52/AR52,AS52/AR52-1)</f>
        <v>#DIV/0!</v>
      </c>
      <c r="AT55" s="39" t="e">
        <f t="shared" ref="AT55" si="604">+IF(AS52&lt;0,1-AT52/AS52,AT52/AS52-1)</f>
        <v>#DIV/0!</v>
      </c>
      <c r="AU55" s="39" t="e">
        <f t="shared" ref="AU55" si="605">+IF(AT52&lt;0,1-AU52/AT52,AU52/AT52-1)</f>
        <v>#DIV/0!</v>
      </c>
      <c r="AV55" s="39" t="e">
        <f t="shared" ref="AV55" si="606">+IF(AU52&lt;0,1-AV52/AU52,AV52/AU52-1)</f>
        <v>#DIV/0!</v>
      </c>
      <c r="AW55" s="39" t="e">
        <f t="shared" ref="AW55" si="607">+IF(AV52&lt;0,1-AW52/AV52,AW52/AV52-1)</f>
        <v>#DIV/0!</v>
      </c>
      <c r="AX55" s="39" t="e">
        <f t="shared" ref="AX55" si="608">+IF(AW52&lt;0,1-AX52/AW52,AX52/AW52-1)</f>
        <v>#DIV/0!</v>
      </c>
      <c r="AY55" s="39" t="e">
        <f t="shared" ref="AY55" si="609">+IF(AX52&lt;0,1-AY52/AX52,AY52/AX52-1)</f>
        <v>#DIV/0!</v>
      </c>
      <c r="AZ55" s="39" t="e">
        <f t="shared" ref="AZ55" si="610">+IF(AY52&lt;0,1-AZ52/AY52,AZ52/AY52-1)</f>
        <v>#DIV/0!</v>
      </c>
      <c r="BA55" s="39" t="e">
        <f t="shared" ref="BA55" si="611">+IF(AZ52&lt;0,1-BA52/AZ52,BA52/AZ52-1)</f>
        <v>#DIV/0!</v>
      </c>
      <c r="BB55" s="39" t="e">
        <f t="shared" ref="BB55" si="612">+IF(BA52&lt;0,1-BB52/BA52,BB52/BA52-1)</f>
        <v>#DIV/0!</v>
      </c>
      <c r="BC55" s="39" t="e">
        <f t="shared" ref="BC55" si="613">+IF(BB52&lt;0,1-BC52/BB52,BC52/BB52-1)</f>
        <v>#DIV/0!</v>
      </c>
      <c r="BD55" s="39" t="e">
        <f t="shared" ref="BD55" si="614">+IF(BC52&lt;0,1-BD52/BC52,BD52/BC52-1)</f>
        <v>#DIV/0!</v>
      </c>
      <c r="BE55" s="39" t="e">
        <f t="shared" ref="BE55" si="615">+IF(BD52&lt;0,1-BE52/BD52,BE52/BD52-1)</f>
        <v>#DIV/0!</v>
      </c>
      <c r="BF55" s="39" t="e">
        <f t="shared" ref="BF55" si="616">+IF(BE52&lt;0,1-BF52/BE52,BF52/BE52-1)</f>
        <v>#DIV/0!</v>
      </c>
      <c r="BG55" s="39" t="e">
        <f t="shared" ref="BG55" si="617">+IF(BF52&lt;0,1-BG52/BF52,BG52/BF52-1)</f>
        <v>#DIV/0!</v>
      </c>
      <c r="BH55" s="39" t="e">
        <f t="shared" ref="BH55" si="618">+IF(BG52&lt;0,1-BH52/BG52,BH52/BG52-1)</f>
        <v>#DIV/0!</v>
      </c>
      <c r="BI55" s="39" t="e">
        <f t="shared" ref="BI55" si="619">+IF(BH52&lt;0,1-BI52/BH52,BI52/BH52-1)</f>
        <v>#DIV/0!</v>
      </c>
      <c r="BJ55" s="39" t="e">
        <f t="shared" ref="BJ55" si="620">+IF(BI52&lt;0,1-BJ52/BI52,BJ52/BI52-1)</f>
        <v>#DIV/0!</v>
      </c>
      <c r="BK55" s="39" t="e">
        <f t="shared" ref="BK55" si="621">+IF(BJ52&lt;0,1-BK52/BJ52,BK52/BJ52-1)</f>
        <v>#DIV/0!</v>
      </c>
      <c r="BL55" s="39" t="e">
        <f t="shared" ref="BL55" si="622">+IF(BK52&lt;0,1-BL52/BK52,BL52/BK52-1)</f>
        <v>#DIV/0!</v>
      </c>
      <c r="BM55" s="39" t="e">
        <f t="shared" ref="BM55" si="623">+IF(BL52&lt;0,1-BM52/BL52,BM52/BL52-1)</f>
        <v>#DIV/0!</v>
      </c>
      <c r="BN55" s="39" t="e">
        <f t="shared" ref="BN55" si="624">+IF(BM52&lt;0,1-BN52/BM52,BN52/BM52-1)</f>
        <v>#DIV/0!</v>
      </c>
      <c r="BO55" s="39">
        <f t="shared" ref="BO55" si="625">+IF(BN52&lt;0,1-BO52/BN52,BO52/BN52-1)</f>
        <v>-5.0098522167487474</v>
      </c>
      <c r="BP55" s="39">
        <f t="shared" ref="BP55" si="626">+IF(BO52&lt;0,1-BP52/BO52,BP52/BO52-1)</f>
        <v>2.4029484029484007</v>
      </c>
      <c r="BQ55" s="39">
        <f t="shared" ref="BQ55" si="627">+IF(BP52&lt;0,1-BQ52/BP52,BQ52/BP52-1)</f>
        <v>0.90192644483362572</v>
      </c>
      <c r="BR55" s="39">
        <f t="shared" ref="BR55" si="628">+IF(BQ52&lt;0,1-BR52/BQ52,BR52/BQ52-1)</f>
        <v>8.6325966850828051E-2</v>
      </c>
      <c r="BS55" s="39">
        <f t="shared" ref="BS55" si="629">+IF(BR52&lt;0,1-BS52/BR52,BS52/BR52-1)</f>
        <v>-0.49099385463021816</v>
      </c>
      <c r="BT55" s="39">
        <f t="shared" ref="BT55" si="630">+IF(BS52&lt;0,1-BT52/BS52,BT52/BS52-1)</f>
        <v>1.0766028309741902</v>
      </c>
      <c r="BU55" s="39">
        <f t="shared" ref="BU55" si="631">+IF(BT52&lt;0,1-BU52/BT52,BU52/BT52-1)</f>
        <v>-0.24879711307137242</v>
      </c>
      <c r="BV55" s="39">
        <f t="shared" ref="BV55" si="632">+IF(BU52&lt;0,1-BV52/BU52,BV52/BU52-1)</f>
        <v>0.37016279690419163</v>
      </c>
      <c r="BW55" s="39">
        <f t="shared" ref="BW55" si="633">+IF(BV52&lt;0,1-BW52/BV52,BW52/BV52-1)</f>
        <v>0.10225944682508881</v>
      </c>
      <c r="BX55" s="39">
        <f t="shared" ref="BX55" si="634">+IF(BW52&lt;0,1-BX52/BW52,BX52/BW52-1)</f>
        <v>0.1023148966248455</v>
      </c>
      <c r="BY55" s="39">
        <f t="shared" ref="BY55" si="635">+IF(BX52&lt;0,1-BY52/BX52,BY52/BX52-1)</f>
        <v>-0.17601795447258861</v>
      </c>
      <c r="BZ55" s="39">
        <f t="shared" ref="BZ55" si="636">+IF(BY52&lt;0,1-BZ52/BY52,BZ52/BY52-1)</f>
        <v>0.55856031128404648</v>
      </c>
      <c r="CA55" s="39">
        <f t="shared" ref="CA55" si="637">+IF(BZ52&lt;0,1-CA52/BZ52,CA52/BZ52-1)</f>
        <v>6.7407314941978491E-3</v>
      </c>
      <c r="CB55" s="39">
        <f t="shared" ref="CB55" si="638">+IF(CA52&lt;0,1-CB52/CA52,CB52/CA52-1)</f>
        <v>0.29262244265343962</v>
      </c>
      <c r="CC55" s="39">
        <f t="shared" ref="CC55" si="639">+IF(CB52&lt;0,1-CC52/CB52,CC52/CB52-1)</f>
        <v>-0.21966426858513188</v>
      </c>
      <c r="CD55" s="39">
        <f t="shared" ref="CD55" si="640">+IF(CC52&lt;0,1-CD52/CC52,CD52/CC52-1)</f>
        <v>-0.13669330055316564</v>
      </c>
      <c r="CE55" s="39">
        <f t="shared" ref="CE55" si="641">+IF(CD52&lt;0,1-CE52/CD52,CE52/CD52-1)</f>
        <v>-0.15548910721913611</v>
      </c>
      <c r="CF55" s="39">
        <f t="shared" ref="CF55" si="642">+IF(CE52&lt;0,1-CF52/CE52,CF52/CE52-1)</f>
        <v>3.3383915022761723E-2</v>
      </c>
      <c r="CG55" s="39">
        <f t="shared" ref="CG55" si="643">+IF(CF52&lt;0,1-CG52/CF52,CG52/CF52-1)</f>
        <v>-0.55163974547234673</v>
      </c>
      <c r="CH55" s="39">
        <f t="shared" ref="CH55:CL55" si="644">+IF(CG52&lt;0,1-CH52/CG52,CH52/CG52-1)</f>
        <v>1.8114992721979757</v>
      </c>
      <c r="CI55" s="39">
        <f t="shared" si="644"/>
        <v>4.7890240745513957E-3</v>
      </c>
      <c r="CJ55" s="39">
        <f t="shared" si="644"/>
        <v>0.17222723174030441</v>
      </c>
      <c r="CK55" s="39">
        <f t="shared" si="644"/>
        <v>0.21461538461539087</v>
      </c>
      <c r="CL55" s="39">
        <f t="shared" si="644"/>
        <v>5.5460056093367571E-2</v>
      </c>
      <c r="CM55" s="40">
        <f t="shared" ref="CM55" si="645">+CM52/CL52-1</f>
        <v>-0.33089978206420456</v>
      </c>
      <c r="CN55" s="40">
        <f t="shared" ref="CN55" si="646">+CN52/CM52-1</f>
        <v>0.44877171207844957</v>
      </c>
      <c r="CO55" s="40">
        <f t="shared" ref="CO55" si="647">+CO52/CN52-1</f>
        <v>0.12150892135607405</v>
      </c>
      <c r="CP55" s="40">
        <f t="shared" ref="CP55" si="648">+CP52/CO52-1</f>
        <v>0.1886202960110106</v>
      </c>
      <c r="CQ55" s="40">
        <f t="shared" ref="CQ55" si="649">+CQ52/CP52-1</f>
        <v>-8.7706917680557606E-2</v>
      </c>
      <c r="CR55" s="40">
        <f t="shared" ref="CR55" si="650">+CR52/CQ52-1</f>
        <v>0.27362953151165503</v>
      </c>
      <c r="CS55" s="40">
        <f t="shared" ref="CS55" si="651">+CS52/CR52-1</f>
        <v>6.8532797772420606E-2</v>
      </c>
      <c r="CT55" s="40">
        <f t="shared" ref="CT55" si="652">+CT52/CS52-1</f>
        <v>0.15370108379406755</v>
      </c>
      <c r="CU55" s="40">
        <f t="shared" ref="CU55" si="653">+CU52/CT52-1</f>
        <v>-7.346926478486715E-2</v>
      </c>
      <c r="CV55" s="40">
        <f t="shared" ref="CV55" si="654">+CV52/CU52-1</f>
        <v>0.21340382905747557</v>
      </c>
      <c r="CW55" s="40">
        <f t="shared" ref="CW55" si="655">+CW52/CV52-1</f>
        <v>5.2974487422029704E-2</v>
      </c>
      <c r="CX55" s="40">
        <f t="shared" ref="CX55" si="656">+CX52/CW52-1</f>
        <v>0.13081570334328863</v>
      </c>
      <c r="CY55" s="40">
        <f t="shared" ref="CY55" si="657">+CY52/CX52-1</f>
        <v>-6.7998108700024096E-2</v>
      </c>
      <c r="CZ55" s="40">
        <f t="shared" ref="CZ55" si="658">+CZ52/CY52-1</f>
        <v>0.18326517100487116</v>
      </c>
      <c r="DA55" s="40">
        <f t="shared" ref="DA55" si="659">+DA52/CZ52-1</f>
        <v>4.4935546112113922E-2</v>
      </c>
      <c r="DB55" s="40">
        <f t="shared" ref="DB55" si="660">+DB52/DA52-1</f>
        <v>0.11624230688618997</v>
      </c>
      <c r="DE55" s="122"/>
      <c r="DF55" s="39">
        <v>-6.596362187524818E-2</v>
      </c>
    </row>
    <row r="56" spans="1:110" s="75" customFormat="1" x14ac:dyDescent="0.2">
      <c r="A56" s="23" t="s">
        <v>23</v>
      </c>
      <c r="B56" s="75">
        <f>'Annual Raw'!C32</f>
        <v>0</v>
      </c>
      <c r="C56" s="75">
        <f>'Annual Raw'!D32</f>
        <v>0</v>
      </c>
      <c r="D56" s="75">
        <f>'Annual Raw'!E32</f>
        <v>0</v>
      </c>
      <c r="E56" s="75">
        <f>'Annual Raw'!F32</f>
        <v>0</v>
      </c>
      <c r="F56" s="75">
        <f>'Annual Raw'!G32</f>
        <v>0</v>
      </c>
      <c r="G56" s="75">
        <f>'Annual Raw'!H32</f>
        <v>0</v>
      </c>
      <c r="H56" s="75">
        <f>'Annual Raw'!I32</f>
        <v>0</v>
      </c>
      <c r="I56" s="75">
        <f>'Annual Raw'!J32</f>
        <v>0</v>
      </c>
      <c r="J56" s="75">
        <f>'Annual Raw'!K32</f>
        <v>0</v>
      </c>
      <c r="K56" s="75">
        <f>'Annual Raw'!L32</f>
        <v>0</v>
      </c>
      <c r="L56" s="75">
        <f>'Annual Raw'!M32</f>
        <v>0</v>
      </c>
      <c r="M56" s="75">
        <f>'Annual Raw'!N32</f>
        <v>0</v>
      </c>
      <c r="N56" s="75">
        <f>'Annual Raw'!O32</f>
        <v>0</v>
      </c>
      <c r="O56" s="75">
        <f>'Annual Raw'!P32</f>
        <v>0</v>
      </c>
      <c r="P56" s="75">
        <f>'Annual Raw'!Q32</f>
        <v>0</v>
      </c>
      <c r="Q56" s="75">
        <f>'Annual Raw'!R32</f>
        <v>0</v>
      </c>
      <c r="R56" s="75">
        <f>'Annual Raw'!S32</f>
        <v>0</v>
      </c>
      <c r="S56" s="75">
        <f>'Annual Raw'!T32</f>
        <v>0</v>
      </c>
      <c r="T56" s="75">
        <f>'Annual Raw'!U32</f>
        <v>0</v>
      </c>
      <c r="U56" s="75">
        <f>'Annual Raw'!V32</f>
        <v>0</v>
      </c>
      <c r="V56" s="75">
        <f>'Annual Raw'!W32</f>
        <v>0</v>
      </c>
      <c r="W56" s="75">
        <f>'Annual Raw'!X32</f>
        <v>0</v>
      </c>
      <c r="X56" s="75">
        <f>'Annual Raw'!Y32</f>
        <v>-2.57</v>
      </c>
      <c r="Y56" s="75">
        <f>'Annual Raw'!Z32</f>
        <v>-32.86</v>
      </c>
      <c r="Z56" s="75">
        <f>'Annual Raw'!AA32</f>
        <v>-6.3</v>
      </c>
      <c r="AA56" s="75">
        <f>'Annual Raw'!AB32</f>
        <v>0</v>
      </c>
      <c r="AB56" s="76">
        <f t="shared" ref="AB56:AB57" si="661">+SUM(CM56:CP56)</f>
        <v>0</v>
      </c>
      <c r="AC56" s="76">
        <f t="shared" ref="AC56:AC57" si="662">+SUM(CQ56:CT56)</f>
        <v>0</v>
      </c>
      <c r="AD56" s="76">
        <f t="shared" ref="AD56:AD57" si="663">+SUM(CU56:CX56)</f>
        <v>0</v>
      </c>
      <c r="AE56" s="76">
        <f t="shared" ref="AE56:AE57" si="664">+SUM(CY56:DB56)</f>
        <v>0</v>
      </c>
      <c r="AI56" s="75">
        <f>'QTR Raw'!C34</f>
        <v>0</v>
      </c>
      <c r="AJ56" s="75">
        <f>'QTR Raw'!D34</f>
        <v>0</v>
      </c>
      <c r="AK56" s="75">
        <f>'QTR Raw'!E34</f>
        <v>0</v>
      </c>
      <c r="AL56" s="75">
        <f>'QTR Raw'!F34</f>
        <v>0</v>
      </c>
      <c r="AM56" s="75">
        <f>'QTR Raw'!G34</f>
        <v>0</v>
      </c>
      <c r="AN56" s="75">
        <f>'QTR Raw'!H34</f>
        <v>0</v>
      </c>
      <c r="AO56" s="75">
        <f>'QTR Raw'!I34</f>
        <v>0</v>
      </c>
      <c r="AP56" s="75">
        <f>'QTR Raw'!J34</f>
        <v>0</v>
      </c>
      <c r="AQ56" s="75">
        <f>'QTR Raw'!K34</f>
        <v>0</v>
      </c>
      <c r="AR56" s="75">
        <f>'QTR Raw'!L34</f>
        <v>0</v>
      </c>
      <c r="AS56" s="75">
        <f>'QTR Raw'!M34</f>
        <v>0</v>
      </c>
      <c r="AT56" s="75">
        <f>'QTR Raw'!N34</f>
        <v>0</v>
      </c>
      <c r="AU56" s="75">
        <f>'QTR Raw'!O34</f>
        <v>0</v>
      </c>
      <c r="AV56" s="75">
        <f>'QTR Raw'!P34</f>
        <v>0</v>
      </c>
      <c r="AW56" s="75">
        <f>'QTR Raw'!Q34</f>
        <v>0</v>
      </c>
      <c r="AX56" s="75">
        <f>'QTR Raw'!R34</f>
        <v>0</v>
      </c>
      <c r="AY56" s="75">
        <f>'QTR Raw'!S34</f>
        <v>0</v>
      </c>
      <c r="AZ56" s="75">
        <f>'QTR Raw'!T34</f>
        <v>0</v>
      </c>
      <c r="BA56" s="75">
        <f>'QTR Raw'!U34</f>
        <v>0</v>
      </c>
      <c r="BB56" s="75">
        <f>'QTR Raw'!V34</f>
        <v>0</v>
      </c>
      <c r="BC56" s="75">
        <f>'QTR Raw'!W34</f>
        <v>0</v>
      </c>
      <c r="BD56" s="75">
        <f>'QTR Raw'!X34</f>
        <v>0</v>
      </c>
      <c r="BE56" s="75">
        <f>'QTR Raw'!Y34</f>
        <v>0</v>
      </c>
      <c r="BF56" s="75">
        <f>'QTR Raw'!Z34</f>
        <v>0</v>
      </c>
      <c r="BG56" s="75">
        <f>'QTR Raw'!AA34</f>
        <v>0</v>
      </c>
      <c r="BH56" s="75">
        <f>'QTR Raw'!AB34</f>
        <v>0</v>
      </c>
      <c r="BI56" s="75">
        <f>'QTR Raw'!AC34</f>
        <v>0</v>
      </c>
      <c r="BJ56" s="75">
        <f>'QTR Raw'!AD34</f>
        <v>0</v>
      </c>
      <c r="BK56" s="75">
        <f>'QTR Raw'!AE34</f>
        <v>0</v>
      </c>
      <c r="BL56" s="75">
        <f>'QTR Raw'!AF34</f>
        <v>0</v>
      </c>
      <c r="BM56" s="75">
        <f>'QTR Raw'!AG34</f>
        <v>0</v>
      </c>
      <c r="BN56" s="75">
        <f>'QTR Raw'!AH34</f>
        <v>0</v>
      </c>
      <c r="BO56" s="75">
        <f>'QTR Raw'!AI34</f>
        <v>0</v>
      </c>
      <c r="BP56" s="75">
        <f>'QTR Raw'!AJ34</f>
        <v>0</v>
      </c>
      <c r="BQ56" s="75">
        <f>'QTR Raw'!AK34</f>
        <v>0</v>
      </c>
      <c r="BR56" s="75">
        <f>'QTR Raw'!AL34</f>
        <v>0</v>
      </c>
      <c r="BS56" s="75">
        <f>'QTR Raw'!AM34</f>
        <v>0</v>
      </c>
      <c r="BT56" s="75">
        <f>'QTR Raw'!AN34</f>
        <v>0</v>
      </c>
      <c r="BU56" s="75">
        <f>'QTR Raw'!AO34</f>
        <v>0</v>
      </c>
      <c r="BV56" s="75">
        <f>'QTR Raw'!AP34</f>
        <v>0</v>
      </c>
      <c r="BW56" s="75">
        <f>'QTR Raw'!AQ34</f>
        <v>0</v>
      </c>
      <c r="BX56" s="75">
        <f>'QTR Raw'!AR34</f>
        <v>0</v>
      </c>
      <c r="BY56" s="75">
        <f>'QTR Raw'!AS34</f>
        <v>0</v>
      </c>
      <c r="BZ56" s="75">
        <f>'QTR Raw'!AT34</f>
        <v>-2.57</v>
      </c>
      <c r="CA56" s="75">
        <f>'QTR Raw'!AU34</f>
        <v>-6.36</v>
      </c>
      <c r="CB56" s="75">
        <f>'QTR Raw'!AV34</f>
        <v>-9.9499999999999993</v>
      </c>
      <c r="CC56" s="75">
        <f>'QTR Raw'!AW34</f>
        <v>-8.35</v>
      </c>
      <c r="CD56" s="75">
        <f>'QTR Raw'!AX34</f>
        <v>-8.1999999999999993</v>
      </c>
      <c r="CE56" s="75">
        <f>'QTR Raw'!AY34</f>
        <v>-6.3</v>
      </c>
      <c r="CF56" s="75">
        <f>'QTR Raw'!AZ34</f>
        <v>0</v>
      </c>
      <c r="CG56" s="75">
        <f>'QTR Raw'!BA34</f>
        <v>0</v>
      </c>
      <c r="CH56" s="75">
        <f>'QTR Raw'!BB34</f>
        <v>0</v>
      </c>
      <c r="CI56" s="75">
        <f>'QTR Raw'!BC34</f>
        <v>0</v>
      </c>
      <c r="CJ56" s="75">
        <f>'QTR Raw'!BD34</f>
        <v>0</v>
      </c>
      <c r="CK56" s="75">
        <f>'QTR Raw'!BE34</f>
        <v>0</v>
      </c>
      <c r="CL56" s="75">
        <f>'QTR Raw'!BF34</f>
        <v>0</v>
      </c>
      <c r="CM56" s="76">
        <f t="shared" ref="CM56:CM57" si="665">+CL56</f>
        <v>0</v>
      </c>
      <c r="CN56" s="76">
        <f t="shared" ref="CN56:CN57" si="666">+CM56</f>
        <v>0</v>
      </c>
      <c r="CO56" s="76">
        <f t="shared" ref="CO56:CO57" si="667">+CN56</f>
        <v>0</v>
      </c>
      <c r="CP56" s="76">
        <f t="shared" ref="CP56:CP57" si="668">+CO56</f>
        <v>0</v>
      </c>
      <c r="CQ56" s="76">
        <f t="shared" ref="CQ56:CQ57" si="669">+CP56</f>
        <v>0</v>
      </c>
      <c r="CR56" s="76">
        <f t="shared" ref="CR56:CR57" si="670">+CQ56</f>
        <v>0</v>
      </c>
      <c r="CS56" s="76">
        <f t="shared" ref="CS56:CS57" si="671">+CR56</f>
        <v>0</v>
      </c>
      <c r="CT56" s="76">
        <f t="shared" ref="CT56:CT57" si="672">+CS56</f>
        <v>0</v>
      </c>
      <c r="CU56" s="76">
        <f t="shared" ref="CU56:CU57" si="673">+CT56</f>
        <v>0</v>
      </c>
      <c r="CV56" s="76">
        <f t="shared" ref="CV56:CV57" si="674">+CU56</f>
        <v>0</v>
      </c>
      <c r="CW56" s="76">
        <f t="shared" ref="CW56:CW57" si="675">+CV56</f>
        <v>0</v>
      </c>
      <c r="CX56" s="76">
        <f t="shared" ref="CX56:CX57" si="676">+CW56</f>
        <v>0</v>
      </c>
      <c r="CY56" s="76">
        <f t="shared" ref="CY56:CY57" si="677">+CX56</f>
        <v>0</v>
      </c>
      <c r="CZ56" s="76">
        <f t="shared" ref="CZ56:CZ57" si="678">+CY56</f>
        <v>0</v>
      </c>
      <c r="DA56" s="76">
        <f t="shared" ref="DA56:DA57" si="679">+CZ56</f>
        <v>0</v>
      </c>
      <c r="DB56" s="76">
        <f t="shared" ref="DB56:DB57" si="680">+DA56</f>
        <v>0</v>
      </c>
      <c r="DE56" s="131"/>
      <c r="DF56" s="75">
        <v>0</v>
      </c>
    </row>
    <row r="57" spans="1:110" s="75" customFormat="1" x14ac:dyDescent="0.2">
      <c r="A57" s="23" t="s">
        <v>24</v>
      </c>
      <c r="B57" s="75">
        <f>'Annual Raw'!C33+'Annual Raw'!C28</f>
        <v>0</v>
      </c>
      <c r="C57" s="75">
        <f>'Annual Raw'!D33+'Annual Raw'!D28</f>
        <v>0</v>
      </c>
      <c r="D57" s="75">
        <f>'Annual Raw'!E33+'Annual Raw'!E28</f>
        <v>0</v>
      </c>
      <c r="E57" s="75">
        <f>'Annual Raw'!F33+'Annual Raw'!F28</f>
        <v>0</v>
      </c>
      <c r="F57" s="75">
        <f>'Annual Raw'!G33+'Annual Raw'!G28</f>
        <v>0</v>
      </c>
      <c r="G57" s="75">
        <f>'Annual Raw'!H33+'Annual Raw'!H28</f>
        <v>0</v>
      </c>
      <c r="H57" s="75">
        <f>'Annual Raw'!I33+'Annual Raw'!I28</f>
        <v>0</v>
      </c>
      <c r="I57" s="75">
        <f>'Annual Raw'!J33+'Annual Raw'!J28</f>
        <v>0</v>
      </c>
      <c r="J57" s="75">
        <f>'Annual Raw'!K33+'Annual Raw'!K28</f>
        <v>0</v>
      </c>
      <c r="K57" s="75">
        <f>'Annual Raw'!L33+'Annual Raw'!L28</f>
        <v>0</v>
      </c>
      <c r="L57" s="75">
        <f>'Annual Raw'!M33+'Annual Raw'!M28</f>
        <v>0</v>
      </c>
      <c r="M57" s="75">
        <f>'Annual Raw'!N33+'Annual Raw'!N28</f>
        <v>0</v>
      </c>
      <c r="N57" s="75">
        <f>'Annual Raw'!O33+'Annual Raw'!O28</f>
        <v>4.2000000000000003E-2</v>
      </c>
      <c r="O57" s="75">
        <f>'Annual Raw'!P33+'Annual Raw'!P28</f>
        <v>5.1999999999999998E-2</v>
      </c>
      <c r="P57" s="75">
        <f>'Annual Raw'!Q33+'Annual Raw'!Q28</f>
        <v>2.1999999999999999E-2</v>
      </c>
      <c r="Q57" s="75">
        <f>'Annual Raw'!R33+'Annual Raw'!R28</f>
        <v>5.8000000000000003E-2</v>
      </c>
      <c r="R57" s="75">
        <f>'Annual Raw'!S33+'Annual Raw'!S28</f>
        <v>0.224</v>
      </c>
      <c r="S57" s="75">
        <f>'Annual Raw'!T33+'Annual Raw'!T28</f>
        <v>0.25</v>
      </c>
      <c r="T57" s="75">
        <f>'Annual Raw'!U33+'Annual Raw'!U28</f>
        <v>0.40300000000000002</v>
      </c>
      <c r="U57" s="75">
        <f>'Annual Raw'!V33+'Annual Raw'!V28</f>
        <v>-0.02</v>
      </c>
      <c r="V57" s="75">
        <f>'Annual Raw'!W33+'Annual Raw'!W28</f>
        <v>0.17</v>
      </c>
      <c r="W57" s="75">
        <f>'Annual Raw'!X33+'Annual Raw'!X28</f>
        <v>0.38</v>
      </c>
      <c r="X57" s="75">
        <f>'Annual Raw'!Y33+'Annual Raw'!Y28</f>
        <v>0.48</v>
      </c>
      <c r="Y57" s="75">
        <f>'Annual Raw'!Z33+'Annual Raw'!Z28</f>
        <v>0.85</v>
      </c>
      <c r="Z57" s="75">
        <f>'Annual Raw'!AA33+'Annual Raw'!AA28</f>
        <v>1</v>
      </c>
      <c r="AA57" s="75">
        <f>'Annual Raw'!AB33+'Annual Raw'!AB28</f>
        <v>1.1200000000000001</v>
      </c>
      <c r="AB57" s="76">
        <f t="shared" si="661"/>
        <v>1.2</v>
      </c>
      <c r="AC57" s="76">
        <f t="shared" si="662"/>
        <v>1.2</v>
      </c>
      <c r="AD57" s="76">
        <f t="shared" si="663"/>
        <v>1.2</v>
      </c>
      <c r="AE57" s="76">
        <f t="shared" si="664"/>
        <v>1.2</v>
      </c>
      <c r="AI57" s="75">
        <f>'QTR Raw'!C35</f>
        <v>0</v>
      </c>
      <c r="AJ57" s="75">
        <f>'QTR Raw'!D35</f>
        <v>0</v>
      </c>
      <c r="AK57" s="75">
        <f>'QTR Raw'!E35</f>
        <v>0</v>
      </c>
      <c r="AL57" s="75">
        <f>'QTR Raw'!F35</f>
        <v>0</v>
      </c>
      <c r="AM57" s="75">
        <f>'QTR Raw'!G35</f>
        <v>0</v>
      </c>
      <c r="AN57" s="75">
        <f>'QTR Raw'!H35</f>
        <v>0</v>
      </c>
      <c r="AO57" s="75">
        <f>'QTR Raw'!I35</f>
        <v>0</v>
      </c>
      <c r="AP57" s="75">
        <f>'QTR Raw'!J35</f>
        <v>0</v>
      </c>
      <c r="AQ57" s="75">
        <f>'QTR Raw'!K35</f>
        <v>0</v>
      </c>
      <c r="AR57" s="75">
        <f>'QTR Raw'!L35</f>
        <v>0</v>
      </c>
      <c r="AS57" s="75">
        <f>'QTR Raw'!M35</f>
        <v>0</v>
      </c>
      <c r="AT57" s="75">
        <f>'QTR Raw'!N35</f>
        <v>0</v>
      </c>
      <c r="AU57" s="75">
        <f>'QTR Raw'!O35</f>
        <v>0</v>
      </c>
      <c r="AV57" s="75">
        <f>'QTR Raw'!P35</f>
        <v>0</v>
      </c>
      <c r="AW57" s="75">
        <f>'QTR Raw'!Q35</f>
        <v>0</v>
      </c>
      <c r="AX57" s="75">
        <f>'QTR Raw'!R35</f>
        <v>0</v>
      </c>
      <c r="AY57" s="75">
        <f>'QTR Raw'!S35</f>
        <v>0</v>
      </c>
      <c r="AZ57" s="75">
        <f>'QTR Raw'!T35</f>
        <v>0</v>
      </c>
      <c r="BA57" s="75">
        <f>'QTR Raw'!U35</f>
        <v>0</v>
      </c>
      <c r="BB57" s="75">
        <f>'QTR Raw'!V35</f>
        <v>0</v>
      </c>
      <c r="BC57" s="75">
        <f>'QTR Raw'!W35</f>
        <v>0</v>
      </c>
      <c r="BD57" s="75">
        <f>'QTR Raw'!X35</f>
        <v>0</v>
      </c>
      <c r="BE57" s="75">
        <f>'QTR Raw'!Y35</f>
        <v>0</v>
      </c>
      <c r="BF57" s="75">
        <f>'QTR Raw'!Z35</f>
        <v>0</v>
      </c>
      <c r="BG57" s="75">
        <f>'QTR Raw'!AA35</f>
        <v>0</v>
      </c>
      <c r="BH57" s="75">
        <f>'QTR Raw'!AB35</f>
        <v>0</v>
      </c>
      <c r="BI57" s="75">
        <f>'QTR Raw'!AC35</f>
        <v>0</v>
      </c>
      <c r="BJ57" s="75">
        <f>'QTR Raw'!AD35</f>
        <v>0</v>
      </c>
      <c r="BK57" s="75">
        <f>'QTR Raw'!AE35</f>
        <v>0</v>
      </c>
      <c r="BL57" s="75">
        <f>'QTR Raw'!AF35</f>
        <v>0</v>
      </c>
      <c r="BM57" s="75">
        <f>'QTR Raw'!AG35</f>
        <v>0</v>
      </c>
      <c r="BN57" s="75">
        <f>'QTR Raw'!AH35</f>
        <v>0</v>
      </c>
      <c r="BO57" s="75">
        <f>'QTR Raw'!AI35</f>
        <v>0.05</v>
      </c>
      <c r="BP57" s="75">
        <f>'QTR Raw'!AJ35</f>
        <v>-0.01</v>
      </c>
      <c r="BQ57" s="75">
        <f>'QTR Raw'!AK35</f>
        <v>0.04</v>
      </c>
      <c r="BR57" s="75">
        <f>'QTR Raw'!AL35</f>
        <v>0.09</v>
      </c>
      <c r="BS57" s="75">
        <f>'QTR Raw'!AM35</f>
        <v>0.05</v>
      </c>
      <c r="BT57" s="75">
        <f>'QTR Raw'!AN35</f>
        <v>0.08</v>
      </c>
      <c r="BU57" s="75">
        <f>'QTR Raw'!AO35</f>
        <v>0.13</v>
      </c>
      <c r="BV57" s="75">
        <f>'QTR Raw'!AP35</f>
        <v>0.12</v>
      </c>
      <c r="BW57" s="75">
        <f>'QTR Raw'!AQ35</f>
        <v>0.05</v>
      </c>
      <c r="BX57" s="75">
        <f>'QTR Raw'!AR35</f>
        <v>0.1</v>
      </c>
      <c r="BY57" s="75">
        <f>'QTR Raw'!AS35</f>
        <v>0.21</v>
      </c>
      <c r="BZ57" s="75">
        <f>'QTR Raw'!AT35</f>
        <v>0.12</v>
      </c>
      <c r="CA57" s="75">
        <f>'QTR Raw'!AU35</f>
        <v>0.19</v>
      </c>
      <c r="CB57" s="75">
        <f>'QTR Raw'!AV35</f>
        <v>0.24</v>
      </c>
      <c r="CC57" s="75">
        <f>'QTR Raw'!AW35</f>
        <v>0.12</v>
      </c>
      <c r="CD57" s="75">
        <f>'QTR Raw'!AX35</f>
        <v>0.3</v>
      </c>
      <c r="CE57" s="75">
        <f>'QTR Raw'!AY35</f>
        <v>0.18</v>
      </c>
      <c r="CF57" s="75">
        <f>'QTR Raw'!AZ35</f>
        <v>0.4</v>
      </c>
      <c r="CG57" s="75">
        <f>'QTR Raw'!BA35</f>
        <v>0.21</v>
      </c>
      <c r="CH57" s="75">
        <f>'QTR Raw'!BB35</f>
        <v>0.21</v>
      </c>
      <c r="CI57" s="75">
        <f>'QTR Raw'!BC35</f>
        <v>0.21</v>
      </c>
      <c r="CJ57" s="75">
        <f>'QTR Raw'!BD35</f>
        <v>0.35</v>
      </c>
      <c r="CK57" s="75">
        <f>'QTR Raw'!BE35</f>
        <v>0.26</v>
      </c>
      <c r="CL57" s="75">
        <f>'QTR Raw'!BF35</f>
        <v>0.3</v>
      </c>
      <c r="CM57" s="76">
        <f t="shared" si="665"/>
        <v>0.3</v>
      </c>
      <c r="CN57" s="76">
        <f t="shared" si="666"/>
        <v>0.3</v>
      </c>
      <c r="CO57" s="76">
        <f t="shared" si="667"/>
        <v>0.3</v>
      </c>
      <c r="CP57" s="76">
        <f t="shared" si="668"/>
        <v>0.3</v>
      </c>
      <c r="CQ57" s="76">
        <f t="shared" si="669"/>
        <v>0.3</v>
      </c>
      <c r="CR57" s="76">
        <f t="shared" si="670"/>
        <v>0.3</v>
      </c>
      <c r="CS57" s="76">
        <f t="shared" si="671"/>
        <v>0.3</v>
      </c>
      <c r="CT57" s="76">
        <f t="shared" si="672"/>
        <v>0.3</v>
      </c>
      <c r="CU57" s="76">
        <f t="shared" si="673"/>
        <v>0.3</v>
      </c>
      <c r="CV57" s="76">
        <f t="shared" si="674"/>
        <v>0.3</v>
      </c>
      <c r="CW57" s="76">
        <f t="shared" si="675"/>
        <v>0.3</v>
      </c>
      <c r="CX57" s="76">
        <f t="shared" si="676"/>
        <v>0.3</v>
      </c>
      <c r="CY57" s="76">
        <f t="shared" si="677"/>
        <v>0.3</v>
      </c>
      <c r="CZ57" s="76">
        <f t="shared" si="678"/>
        <v>0.3</v>
      </c>
      <c r="DA57" s="76">
        <f t="shared" si="679"/>
        <v>0.3</v>
      </c>
      <c r="DB57" s="76">
        <f t="shared" si="680"/>
        <v>0.3</v>
      </c>
      <c r="DE57" s="131"/>
      <c r="DF57" s="75">
        <v>0.26</v>
      </c>
    </row>
    <row r="58" spans="1:110" s="23" customFormat="1" x14ac:dyDescent="0.2">
      <c r="A58" s="23" t="s">
        <v>19</v>
      </c>
      <c r="B58" s="75">
        <f>'Annual Raw'!C29+'Annual Raw'!C31+'Annual Raw'!C34+'Annual Raw'!C36</f>
        <v>0</v>
      </c>
      <c r="C58" s="75">
        <f>'Annual Raw'!D29+'Annual Raw'!D31+'Annual Raw'!D34+'Annual Raw'!D36</f>
        <v>0</v>
      </c>
      <c r="D58" s="75">
        <f>'Annual Raw'!E29+'Annual Raw'!E31+'Annual Raw'!E34+'Annual Raw'!E36</f>
        <v>0</v>
      </c>
      <c r="E58" s="75">
        <f>'Annual Raw'!F29+'Annual Raw'!F31+'Annual Raw'!F34+'Annual Raw'!F36</f>
        <v>0</v>
      </c>
      <c r="F58" s="75">
        <f>'Annual Raw'!G29+'Annual Raw'!G31+'Annual Raw'!G34+'Annual Raw'!G36</f>
        <v>0</v>
      </c>
      <c r="G58" s="75">
        <f>'Annual Raw'!H29+'Annual Raw'!H31+'Annual Raw'!H34+'Annual Raw'!H36</f>
        <v>0</v>
      </c>
      <c r="H58" s="75">
        <f>'Annual Raw'!I29+'Annual Raw'!I31+'Annual Raw'!I34+'Annual Raw'!I36</f>
        <v>0</v>
      </c>
      <c r="I58" s="75">
        <f>'Annual Raw'!J29+'Annual Raw'!J31+'Annual Raw'!J34+'Annual Raw'!J36</f>
        <v>0</v>
      </c>
      <c r="J58" s="75">
        <f>'Annual Raw'!K29+'Annual Raw'!K31+'Annual Raw'!K34+'Annual Raw'!K36</f>
        <v>0</v>
      </c>
      <c r="K58" s="75">
        <f>'Annual Raw'!L29+'Annual Raw'!L31+'Annual Raw'!L34+'Annual Raw'!L36</f>
        <v>0</v>
      </c>
      <c r="L58" s="75">
        <f>'Annual Raw'!M29+'Annual Raw'!M31+'Annual Raw'!M34+'Annual Raw'!M36</f>
        <v>0</v>
      </c>
      <c r="M58" s="75">
        <f>'Annual Raw'!N29+'Annual Raw'!N31+'Annual Raw'!N34+'Annual Raw'!N36</f>
        <v>0</v>
      </c>
      <c r="N58" s="75">
        <f>'Annual Raw'!O29+'Annual Raw'!O31+'Annual Raw'!O34+'Annual Raw'!O36</f>
        <v>0</v>
      </c>
      <c r="O58" s="75">
        <f>'Annual Raw'!P29+'Annual Raw'!P31+'Annual Raw'!P34+'Annual Raw'!P36</f>
        <v>0</v>
      </c>
      <c r="P58" s="75">
        <f>'Annual Raw'!Q29+'Annual Raw'!Q31+'Annual Raw'!Q34+'Annual Raw'!Q36</f>
        <v>0</v>
      </c>
      <c r="Q58" s="75">
        <f>'Annual Raw'!R29+'Annual Raw'!R31+'Annual Raw'!R34+'Annual Raw'!R36</f>
        <v>0</v>
      </c>
      <c r="R58" s="75">
        <f>'Annual Raw'!S29+'Annual Raw'!S31+'Annual Raw'!S34+'Annual Raw'!S36</f>
        <v>0</v>
      </c>
      <c r="S58" s="75">
        <f>'Annual Raw'!T29+'Annual Raw'!T31+'Annual Raw'!T34+'Annual Raw'!T36</f>
        <v>0</v>
      </c>
      <c r="T58" s="75">
        <f>'Annual Raw'!U29+'Annual Raw'!U31+'Annual Raw'!U34+'Annual Raw'!U36</f>
        <v>0</v>
      </c>
      <c r="U58" s="75">
        <f>'Annual Raw'!V29+'Annual Raw'!V31+'Annual Raw'!V34+'Annual Raw'!V36</f>
        <v>-5.77</v>
      </c>
      <c r="V58" s="75">
        <f>'Annual Raw'!W29+'Annual Raw'!W31+'Annual Raw'!W34+'Annual Raw'!W36</f>
        <v>0</v>
      </c>
      <c r="W58" s="75">
        <f>'Annual Raw'!X29+'Annual Raw'!X31+'Annual Raw'!X34+'Annual Raw'!X36</f>
        <v>0</v>
      </c>
      <c r="X58" s="75">
        <f>'Annual Raw'!Y29+'Annual Raw'!Y31+'Annual Raw'!Y34+'Annual Raw'!Y36</f>
        <v>0</v>
      </c>
      <c r="Y58" s="75">
        <f>'Annual Raw'!Z29+'Annual Raw'!Z31+'Annual Raw'!Z34+'Annual Raw'!Z36</f>
        <v>0</v>
      </c>
      <c r="Z58" s="75">
        <f>'Annual Raw'!AA29+'Annual Raw'!AA31+'Annual Raw'!AA34+'Annual Raw'!AA36</f>
        <v>-25.47</v>
      </c>
      <c r="AA58" s="75">
        <f>'Annual Raw'!AB29+'Annual Raw'!AB31+'Annual Raw'!AB34+'Annual Raw'!AB36</f>
        <v>-12.95</v>
      </c>
      <c r="AB58" s="76">
        <f>+SUM(CM58:CP58)</f>
        <v>0</v>
      </c>
      <c r="AC58" s="76">
        <f>+SUM(CQ58:CT58)</f>
        <v>0</v>
      </c>
      <c r="AD58" s="76">
        <f>+SUM(CU58:CX58)</f>
        <v>0</v>
      </c>
      <c r="AE58" s="76">
        <f>+SUM(CY58:DB58)</f>
        <v>0</v>
      </c>
      <c r="AI58" s="75">
        <f>'QTR Raw'!C26+'QTR Raw'!C31+'QTR Raw'!C32+'QTR Raw'!C33+'QTR Raw'!C36+'QTR Raw'!C37+'QTR Raw'!C39</f>
        <v>0</v>
      </c>
      <c r="AJ58" s="75">
        <f>'QTR Raw'!D26+'QTR Raw'!D31+'QTR Raw'!D32+'QTR Raw'!D33+'QTR Raw'!D36+'QTR Raw'!D37+'QTR Raw'!D39</f>
        <v>0</v>
      </c>
      <c r="AK58" s="75">
        <f>'QTR Raw'!E26+'QTR Raw'!E31+'QTR Raw'!E32+'QTR Raw'!E33+'QTR Raw'!E36+'QTR Raw'!E37+'QTR Raw'!E39</f>
        <v>0</v>
      </c>
      <c r="AL58" s="75">
        <f>'QTR Raw'!F26+'QTR Raw'!F31+'QTR Raw'!F32+'QTR Raw'!F33+'QTR Raw'!F36+'QTR Raw'!F37+'QTR Raw'!F39</f>
        <v>0</v>
      </c>
      <c r="AM58" s="75">
        <f>'QTR Raw'!G26+'QTR Raw'!G31+'QTR Raw'!G32+'QTR Raw'!G33+'QTR Raw'!G36+'QTR Raw'!G37+'QTR Raw'!G39</f>
        <v>0</v>
      </c>
      <c r="AN58" s="75">
        <f>'QTR Raw'!H26+'QTR Raw'!H31+'QTR Raw'!H32+'QTR Raw'!H33+'QTR Raw'!H36+'QTR Raw'!H37+'QTR Raw'!H39</f>
        <v>0</v>
      </c>
      <c r="AO58" s="75">
        <f>'QTR Raw'!I26+'QTR Raw'!I31+'QTR Raw'!I32+'QTR Raw'!I33+'QTR Raw'!I36+'QTR Raw'!I37+'QTR Raw'!I39</f>
        <v>0</v>
      </c>
      <c r="AP58" s="75">
        <f>'QTR Raw'!J26+'QTR Raw'!J31+'QTR Raw'!J32+'QTR Raw'!J33+'QTR Raw'!J36+'QTR Raw'!J37+'QTR Raw'!J39</f>
        <v>0</v>
      </c>
      <c r="AQ58" s="75">
        <f>'QTR Raw'!K26+'QTR Raw'!K31+'QTR Raw'!K32+'QTR Raw'!K33+'QTR Raw'!K36+'QTR Raw'!K37+'QTR Raw'!K39</f>
        <v>0</v>
      </c>
      <c r="AR58" s="75">
        <f>'QTR Raw'!L26+'QTR Raw'!L31+'QTR Raw'!L32+'QTR Raw'!L33+'QTR Raw'!L36+'QTR Raw'!L37+'QTR Raw'!L39</f>
        <v>0</v>
      </c>
      <c r="AS58" s="75">
        <f>'QTR Raw'!M26+'QTR Raw'!M31+'QTR Raw'!M32+'QTR Raw'!M33+'QTR Raw'!M36+'QTR Raw'!M37+'QTR Raw'!M39</f>
        <v>0</v>
      </c>
      <c r="AT58" s="75">
        <f>'QTR Raw'!N26+'QTR Raw'!N31+'QTR Raw'!N32+'QTR Raw'!N33+'QTR Raw'!N36+'QTR Raw'!N37+'QTR Raw'!N39</f>
        <v>0</v>
      </c>
      <c r="AU58" s="75">
        <f>'QTR Raw'!O26+'QTR Raw'!O31+'QTR Raw'!O32+'QTR Raw'!O33+'QTR Raw'!O36+'QTR Raw'!O37+'QTR Raw'!O39</f>
        <v>0</v>
      </c>
      <c r="AV58" s="75">
        <f>'QTR Raw'!P26+'QTR Raw'!P31+'QTR Raw'!P32+'QTR Raw'!P33+'QTR Raw'!P36+'QTR Raw'!P37+'QTR Raw'!P39</f>
        <v>0</v>
      </c>
      <c r="AW58" s="75">
        <f>'QTR Raw'!Q26+'QTR Raw'!Q31+'QTR Raw'!Q32+'QTR Raw'!Q33+'QTR Raw'!Q36+'QTR Raw'!Q37+'QTR Raw'!Q39</f>
        <v>0</v>
      </c>
      <c r="AX58" s="75">
        <f>'QTR Raw'!R26+'QTR Raw'!R31+'QTR Raw'!R32+'QTR Raw'!R33+'QTR Raw'!R36+'QTR Raw'!R37+'QTR Raw'!R39</f>
        <v>0</v>
      </c>
      <c r="AY58" s="75">
        <f>'QTR Raw'!S26+'QTR Raw'!S31+'QTR Raw'!S32+'QTR Raw'!S33+'QTR Raw'!S36+'QTR Raw'!S37+'QTR Raw'!S39</f>
        <v>0</v>
      </c>
      <c r="AZ58" s="75">
        <f>'QTR Raw'!T26+'QTR Raw'!T31+'QTR Raw'!T32+'QTR Raw'!T33+'QTR Raw'!T36+'QTR Raw'!T37+'QTR Raw'!T39</f>
        <v>0</v>
      </c>
      <c r="BA58" s="75">
        <f>'QTR Raw'!U26+'QTR Raw'!U31+'QTR Raw'!U32+'QTR Raw'!U33+'QTR Raw'!U36+'QTR Raw'!U37+'QTR Raw'!U39</f>
        <v>0</v>
      </c>
      <c r="BB58" s="75">
        <f>'QTR Raw'!V26+'QTR Raw'!V31+'QTR Raw'!V32+'QTR Raw'!V33+'QTR Raw'!V36+'QTR Raw'!V37+'QTR Raw'!V39</f>
        <v>0</v>
      </c>
      <c r="BC58" s="75">
        <f>'QTR Raw'!W26+'QTR Raw'!W31+'QTR Raw'!W32+'QTR Raw'!W33+'QTR Raw'!W36+'QTR Raw'!W37+'QTR Raw'!W39</f>
        <v>0</v>
      </c>
      <c r="BD58" s="75">
        <f>'QTR Raw'!X26+'QTR Raw'!X31+'QTR Raw'!X32+'QTR Raw'!X33+'QTR Raw'!X36+'QTR Raw'!X37+'QTR Raw'!X39</f>
        <v>0</v>
      </c>
      <c r="BE58" s="75">
        <f>'QTR Raw'!Y26+'QTR Raw'!Y31+'QTR Raw'!Y32+'QTR Raw'!Y33+'QTR Raw'!Y36+'QTR Raw'!Y37+'QTR Raw'!Y39</f>
        <v>0</v>
      </c>
      <c r="BF58" s="75">
        <f>'QTR Raw'!Z26+'QTR Raw'!Z31+'QTR Raw'!Z32+'QTR Raw'!Z33+'QTR Raw'!Z36+'QTR Raw'!Z37+'QTR Raw'!Z39</f>
        <v>0</v>
      </c>
      <c r="BG58" s="75">
        <f>'QTR Raw'!AA26+'QTR Raw'!AA31+'QTR Raw'!AA32+'QTR Raw'!AA33+'QTR Raw'!AA36+'QTR Raw'!AA37+'QTR Raw'!AA39</f>
        <v>0</v>
      </c>
      <c r="BH58" s="75">
        <f>'QTR Raw'!AB26+'QTR Raw'!AB31+'QTR Raw'!AB32+'QTR Raw'!AB33+'QTR Raw'!AB36+'QTR Raw'!AB37+'QTR Raw'!AB39</f>
        <v>0</v>
      </c>
      <c r="BI58" s="75">
        <f>'QTR Raw'!AC26+'QTR Raw'!AC31+'QTR Raw'!AC32+'QTR Raw'!AC33+'QTR Raw'!AC36+'QTR Raw'!AC37+'QTR Raw'!AC39</f>
        <v>0</v>
      </c>
      <c r="BJ58" s="75">
        <f>'QTR Raw'!AD26+'QTR Raw'!AD31+'QTR Raw'!AD32+'QTR Raw'!AD33+'QTR Raw'!AD36+'QTR Raw'!AD37+'QTR Raw'!AD39</f>
        <v>0</v>
      </c>
      <c r="BK58" s="75">
        <f>'QTR Raw'!AE26+'QTR Raw'!AE31+'QTR Raw'!AE32+'QTR Raw'!AE33+'QTR Raw'!AE36+'QTR Raw'!AE37+'QTR Raw'!AE39</f>
        <v>0</v>
      </c>
      <c r="BL58" s="75">
        <f>'QTR Raw'!AF26+'QTR Raw'!AF31+'QTR Raw'!AF32+'QTR Raw'!AF33+'QTR Raw'!AF36+'QTR Raw'!AF37+'QTR Raw'!AF39</f>
        <v>0</v>
      </c>
      <c r="BM58" s="75">
        <f>'QTR Raw'!AG26+'QTR Raw'!AG31+'QTR Raw'!AG32+'QTR Raw'!AG33+'QTR Raw'!AG36+'QTR Raw'!AG37+'QTR Raw'!AG39</f>
        <v>0</v>
      </c>
      <c r="BN58" s="75">
        <f>'QTR Raw'!AH26+'QTR Raw'!AH31+'QTR Raw'!AH32+'QTR Raw'!AH33+'QTR Raw'!AH36+'QTR Raw'!AH37+'QTR Raw'!AH39</f>
        <v>0</v>
      </c>
      <c r="BO58" s="75">
        <f>'QTR Raw'!AI26+'QTR Raw'!AI31+'QTR Raw'!AI32+'QTR Raw'!AI33+'QTR Raw'!AI36+'QTR Raw'!AI37+'QTR Raw'!AI39</f>
        <v>0</v>
      </c>
      <c r="BP58" s="75">
        <f>'QTR Raw'!AJ26+'QTR Raw'!AJ31+'QTR Raw'!AJ32+'QTR Raw'!AJ33+'QTR Raw'!AJ36+'QTR Raw'!AJ37+'QTR Raw'!AJ39</f>
        <v>0</v>
      </c>
      <c r="BQ58" s="75">
        <f>'QTR Raw'!AK26+'QTR Raw'!AK31+'QTR Raw'!AK32+'QTR Raw'!AK33+'QTR Raw'!AK36+'QTR Raw'!AK37+'QTR Raw'!AK39</f>
        <v>0</v>
      </c>
      <c r="BR58" s="75">
        <f>'QTR Raw'!AL26+'QTR Raw'!AL31+'QTR Raw'!AL32+'QTR Raw'!AL33+'QTR Raw'!AL36+'QTR Raw'!AL37+'QTR Raw'!AL39</f>
        <v>0</v>
      </c>
      <c r="BS58" s="75">
        <f>'QTR Raw'!AM26+'QTR Raw'!AM31+'QTR Raw'!AM32+'QTR Raw'!AM33+'QTR Raw'!AM36+'QTR Raw'!AM37+'QTR Raw'!AM39</f>
        <v>0</v>
      </c>
      <c r="BT58" s="75">
        <f>'QTR Raw'!AN26+'QTR Raw'!AN31+'QTR Raw'!AN32+'QTR Raw'!AN33+'QTR Raw'!AN36+'QTR Raw'!AN37+'QTR Raw'!AN39</f>
        <v>0</v>
      </c>
      <c r="BU58" s="75">
        <f>'QTR Raw'!AO26+'QTR Raw'!AO31+'QTR Raw'!AO32+'QTR Raw'!AO33+'QTR Raw'!AO36+'QTR Raw'!AO37+'QTR Raw'!AO39</f>
        <v>0</v>
      </c>
      <c r="BV58" s="75">
        <f>'QTR Raw'!AP26+'QTR Raw'!AP31+'QTR Raw'!AP32+'QTR Raw'!AP33+'QTR Raw'!AP36+'QTR Raw'!AP37+'QTR Raw'!AP39</f>
        <v>0</v>
      </c>
      <c r="BW58" s="75">
        <f>'QTR Raw'!AQ26+'QTR Raw'!AQ31+'QTR Raw'!AQ32+'QTR Raw'!AQ33+'QTR Raw'!AQ36+'QTR Raw'!AQ37+'QTR Raw'!AQ39</f>
        <v>0</v>
      </c>
      <c r="BX58" s="75">
        <f>'QTR Raw'!AR26+'QTR Raw'!AR31+'QTR Raw'!AR32+'QTR Raw'!AR33+'QTR Raw'!AR36+'QTR Raw'!AR37+'QTR Raw'!AR39</f>
        <v>0</v>
      </c>
      <c r="BY58" s="75">
        <f>'QTR Raw'!AS26+'QTR Raw'!AS31+'QTR Raw'!AS32+'QTR Raw'!AS33+'QTR Raw'!AS36+'QTR Raw'!AS37+'QTR Raw'!AS39</f>
        <v>0</v>
      </c>
      <c r="BZ58" s="75">
        <f>'QTR Raw'!AT26+'QTR Raw'!AT31+'QTR Raw'!AT32+'QTR Raw'!AT33+'QTR Raw'!AT36+'QTR Raw'!AT37+'QTR Raw'!AT39</f>
        <v>0</v>
      </c>
      <c r="CA58" s="75">
        <f>'QTR Raw'!AU26+'QTR Raw'!AU31+'QTR Raw'!AU32+'QTR Raw'!AU33+'QTR Raw'!AU36+'QTR Raw'!AU37+'QTR Raw'!AU39</f>
        <v>0</v>
      </c>
      <c r="CB58" s="75">
        <f>'QTR Raw'!AV26+'QTR Raw'!AV31+'QTR Raw'!AV32+'QTR Raw'!AV33+'QTR Raw'!AV36+'QTR Raw'!AV37+'QTR Raw'!AV39</f>
        <v>0</v>
      </c>
      <c r="CC58" s="75">
        <f>'QTR Raw'!AW26+'QTR Raw'!AW31+'QTR Raw'!AW32+'QTR Raw'!AW33+'QTR Raw'!AW36+'QTR Raw'!AW37+'QTR Raw'!AW39</f>
        <v>0</v>
      </c>
      <c r="CD58" s="75">
        <f>'QTR Raw'!AX26+'QTR Raw'!AX31+'QTR Raw'!AX32+'QTR Raw'!AX33+'QTR Raw'!AX36+'QTR Raw'!AX37+'QTR Raw'!AX39</f>
        <v>0</v>
      </c>
      <c r="CE58" s="75">
        <f>'QTR Raw'!AY26+'QTR Raw'!AY31+'QTR Raw'!AY32+'QTR Raw'!AY33+'QTR Raw'!AY36+'QTR Raw'!AY37+'QTR Raw'!AY39</f>
        <v>0</v>
      </c>
      <c r="CF58" s="75">
        <f>'QTR Raw'!AZ26+'QTR Raw'!AZ31+'QTR Raw'!AZ32+'QTR Raw'!AZ33+'QTR Raw'!AZ36+'QTR Raw'!AZ37+'QTR Raw'!AZ39</f>
        <v>0</v>
      </c>
      <c r="CG58" s="75">
        <f>'QTR Raw'!BA26+'QTR Raw'!BA31+'QTR Raw'!BA32+'QTR Raw'!BA33+'QTR Raw'!BA36+'QTR Raw'!BA37+'QTR Raw'!BA39</f>
        <v>-14.76</v>
      </c>
      <c r="CH58" s="75">
        <f>'QTR Raw'!BB26+'QTR Raw'!BB31+'QTR Raw'!BB32+'QTR Raw'!BB33+'QTR Raw'!BB36+'QTR Raw'!BB37+'QTR Raw'!BB39</f>
        <v>-10.71</v>
      </c>
      <c r="CI58" s="75">
        <f>'QTR Raw'!BC26+'QTR Raw'!BC31+'QTR Raw'!BC32+'QTR Raw'!BC33+'QTR Raw'!BC36+'QTR Raw'!BC37+'QTR Raw'!BC39</f>
        <v>-8.24</v>
      </c>
      <c r="CJ58" s="75">
        <f>'QTR Raw'!BD26+'QTR Raw'!BD31+'QTR Raw'!BD32+'QTR Raw'!BD33+'QTR Raw'!BD36+'QTR Raw'!BD37+'QTR Raw'!BD39</f>
        <v>-0.49</v>
      </c>
      <c r="CK58" s="75">
        <f>'QTR Raw'!BE26+'QTR Raw'!BE31+'QTR Raw'!BE32+'QTR Raw'!BE33+'QTR Raw'!BE36+'QTR Raw'!BE37+'QTR Raw'!BE39</f>
        <v>-3.68</v>
      </c>
      <c r="CL58" s="75">
        <f>'QTR Raw'!BF26+'QTR Raw'!BF31+'QTR Raw'!BF32+'QTR Raw'!BF33+'QTR Raw'!BF36+'QTR Raw'!BF37+'QTR Raw'!BF39</f>
        <v>-0.54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-12.95</v>
      </c>
    </row>
    <row r="59" spans="1:110" s="26" customFormat="1" x14ac:dyDescent="0.2">
      <c r="A59" s="35" t="s">
        <v>25</v>
      </c>
      <c r="B59" s="26">
        <f>B52+B56+B57+B58</f>
        <v>0</v>
      </c>
      <c r="C59" s="26">
        <f>C52+C56+C57+C58</f>
        <v>0</v>
      </c>
      <c r="D59" s="26">
        <f>D52+D56+D57+D58</f>
        <v>0</v>
      </c>
      <c r="E59" s="26">
        <f t="shared" ref="E59:U59" si="681">E52+E56+E57+E58</f>
        <v>0</v>
      </c>
      <c r="F59" s="26">
        <f t="shared" si="681"/>
        <v>6.9810507000000088</v>
      </c>
      <c r="G59" s="26">
        <f t="shared" si="681"/>
        <v>10.085466500000006</v>
      </c>
      <c r="H59" s="26">
        <f t="shared" si="681"/>
        <v>11.076852899999977</v>
      </c>
      <c r="I59" s="26">
        <f t="shared" si="681"/>
        <v>14.789942800000006</v>
      </c>
      <c r="J59" s="26">
        <f t="shared" si="681"/>
        <v>8.9362879999999798</v>
      </c>
      <c r="K59" s="26">
        <f t="shared" si="681"/>
        <v>10.397539899999993</v>
      </c>
      <c r="L59" s="26">
        <f t="shared" si="681"/>
        <v>0</v>
      </c>
      <c r="M59" s="26">
        <f t="shared" si="681"/>
        <v>0</v>
      </c>
      <c r="N59" s="26">
        <f t="shared" si="681"/>
        <v>38.27899999999989</v>
      </c>
      <c r="O59" s="26">
        <f t="shared" si="681"/>
        <v>23.382000000000076</v>
      </c>
      <c r="P59" s="26">
        <f t="shared" si="681"/>
        <v>20.801999999999893</v>
      </c>
      <c r="Q59" s="26">
        <f t="shared" si="681"/>
        <v>44.603000000000122</v>
      </c>
      <c r="R59" s="26">
        <f t="shared" si="681"/>
        <v>42.587000000000103</v>
      </c>
      <c r="S59" s="26">
        <f t="shared" si="681"/>
        <v>33.150000000000112</v>
      </c>
      <c r="T59" s="26">
        <f t="shared" si="681"/>
        <v>97.367000000000075</v>
      </c>
      <c r="U59" s="26">
        <f t="shared" si="681"/>
        <v>40.01000000000009</v>
      </c>
      <c r="V59" s="26">
        <f>V52+V56+V57+V58</f>
        <v>97.360000000000028</v>
      </c>
      <c r="W59" s="26">
        <f>W52+W56+W57+W58</f>
        <v>163.09000000000015</v>
      </c>
      <c r="X59" s="26">
        <f>X52+X56+X57+X58</f>
        <v>248.39000000000001</v>
      </c>
      <c r="Y59" s="26">
        <f>Y52+Y56+Y57+Y58</f>
        <v>304.46999999999991</v>
      </c>
      <c r="Z59" s="26">
        <f>Z52+Z56+Z57+Z58</f>
        <v>194.5699999999996</v>
      </c>
      <c r="AA59" s="26">
        <f>AA52+AA56+AA57+AA58</f>
        <v>383.99000000000058</v>
      </c>
      <c r="AB59" s="27">
        <f t="shared" ref="AA59:AD59" si="682">AB52+AB56+AB57+AB58</f>
        <v>469.92311597330553</v>
      </c>
      <c r="AC59" s="27">
        <f t="shared" si="682"/>
        <v>716.98650879597744</v>
      </c>
      <c r="AD59" s="27">
        <f t="shared" si="682"/>
        <v>988.71754972951055</v>
      </c>
      <c r="AE59" s="27">
        <f t="shared" ref="AE59" si="683">AE52+AE56+AE57+AE58</f>
        <v>1294.3179542693608</v>
      </c>
      <c r="AI59" s="26">
        <f t="shared" ref="AI59" si="684">AI52+AI56+AI57+AI58</f>
        <v>0</v>
      </c>
      <c r="AJ59" s="26">
        <f t="shared" ref="AJ59" si="685">AJ52+AJ56+AJ57+AJ58</f>
        <v>0</v>
      </c>
      <c r="AK59" s="26">
        <f t="shared" ref="AK59:AM59" si="686">AK52+AK56+AK57+AK58</f>
        <v>0</v>
      </c>
      <c r="AL59" s="26">
        <f t="shared" si="686"/>
        <v>0</v>
      </c>
      <c r="AM59" s="26">
        <f t="shared" si="686"/>
        <v>0</v>
      </c>
      <c r="AN59" s="26">
        <f t="shared" ref="AN59:AO59" si="687">AN52+AN56+AN57+AN58</f>
        <v>0</v>
      </c>
      <c r="AO59" s="26">
        <f t="shared" si="687"/>
        <v>0</v>
      </c>
      <c r="AP59" s="26">
        <f t="shared" ref="AP59:CD59" si="688">AP52+AP56+AP57+AP58</f>
        <v>0</v>
      </c>
      <c r="AQ59" s="26">
        <f t="shared" si="688"/>
        <v>0</v>
      </c>
      <c r="AR59" s="26">
        <f t="shared" si="688"/>
        <v>0</v>
      </c>
      <c r="AS59" s="26">
        <f t="shared" si="688"/>
        <v>0</v>
      </c>
      <c r="AT59" s="26">
        <f t="shared" si="688"/>
        <v>0</v>
      </c>
      <c r="AU59" s="26">
        <f t="shared" si="688"/>
        <v>0</v>
      </c>
      <c r="AV59" s="26">
        <f t="shared" si="688"/>
        <v>0</v>
      </c>
      <c r="AW59" s="26">
        <f t="shared" si="688"/>
        <v>0</v>
      </c>
      <c r="AX59" s="26">
        <f t="shared" si="688"/>
        <v>0</v>
      </c>
      <c r="AY59" s="26">
        <f t="shared" si="688"/>
        <v>0</v>
      </c>
      <c r="AZ59" s="26">
        <f t="shared" si="688"/>
        <v>0</v>
      </c>
      <c r="BA59" s="26">
        <f t="shared" si="688"/>
        <v>0</v>
      </c>
      <c r="BB59" s="26">
        <f t="shared" si="688"/>
        <v>0</v>
      </c>
      <c r="BC59" s="26">
        <f t="shared" si="688"/>
        <v>0</v>
      </c>
      <c r="BD59" s="26">
        <f t="shared" si="688"/>
        <v>0</v>
      </c>
      <c r="BE59" s="26">
        <f t="shared" si="688"/>
        <v>0</v>
      </c>
      <c r="BF59" s="26">
        <f t="shared" si="688"/>
        <v>0</v>
      </c>
      <c r="BG59" s="26">
        <f t="shared" si="688"/>
        <v>0</v>
      </c>
      <c r="BH59" s="26">
        <f t="shared" si="688"/>
        <v>0</v>
      </c>
      <c r="BI59" s="26">
        <f t="shared" si="688"/>
        <v>0</v>
      </c>
      <c r="BJ59" s="26">
        <f t="shared" si="688"/>
        <v>0</v>
      </c>
      <c r="BK59" s="26">
        <f t="shared" si="688"/>
        <v>0</v>
      </c>
      <c r="BL59" s="26">
        <f t="shared" si="688"/>
        <v>0</v>
      </c>
      <c r="BM59" s="26">
        <f t="shared" si="688"/>
        <v>0</v>
      </c>
      <c r="BN59" s="26">
        <f t="shared" si="688"/>
        <v>4.0600000000000254</v>
      </c>
      <c r="BO59" s="26">
        <f t="shared" si="688"/>
        <v>-16.230000000000015</v>
      </c>
      <c r="BP59" s="26">
        <f t="shared" si="688"/>
        <v>22.829999999999984</v>
      </c>
      <c r="BQ59" s="26">
        <f t="shared" si="688"/>
        <v>43.479999999999983</v>
      </c>
      <c r="BR59" s="26">
        <f t="shared" si="688"/>
        <v>47.279999999999959</v>
      </c>
      <c r="BS59" s="26">
        <f t="shared" si="688"/>
        <v>24.069999999999983</v>
      </c>
      <c r="BT59" s="26">
        <f t="shared" si="688"/>
        <v>49.960000000000008</v>
      </c>
      <c r="BU59" s="26">
        <f t="shared" si="688"/>
        <v>37.599999999999952</v>
      </c>
      <c r="BV59" s="26">
        <f t="shared" si="688"/>
        <v>51.459999999999987</v>
      </c>
      <c r="BW59" s="26">
        <f t="shared" si="688"/>
        <v>56.640000000000043</v>
      </c>
      <c r="BX59" s="26">
        <f t="shared" si="688"/>
        <v>62.480000000000054</v>
      </c>
      <c r="BY59" s="26">
        <f t="shared" si="688"/>
        <v>51.609999999999964</v>
      </c>
      <c r="BZ59" s="26">
        <f t="shared" si="688"/>
        <v>77.65999999999994</v>
      </c>
      <c r="CA59" s="26">
        <f t="shared" si="688"/>
        <v>74.480000000000118</v>
      </c>
      <c r="CB59" s="26">
        <f t="shared" si="688"/>
        <v>94.540000000000049</v>
      </c>
      <c r="CC59" s="26">
        <f t="shared" si="688"/>
        <v>73.120000000000061</v>
      </c>
      <c r="CD59" s="26">
        <f t="shared" si="688"/>
        <v>62.330000000000013</v>
      </c>
      <c r="CE59" s="26">
        <f t="shared" ref="CE59:CF59" si="689">CE52+CE56+CE57+CE58</f>
        <v>53.19000000000009</v>
      </c>
      <c r="CF59" s="26">
        <f t="shared" si="689"/>
        <v>61.690000000000083</v>
      </c>
      <c r="CG59" s="26">
        <f t="shared" ref="CG59:CH59" si="690">CG52+CG56+CG57+CG58</f>
        <v>12.929999999999906</v>
      </c>
      <c r="CH59" s="26">
        <f t="shared" si="690"/>
        <v>66.760000000000105</v>
      </c>
      <c r="CI59" s="26">
        <f t="shared" ref="CI59:CJ59" si="691">CI52+CI56+CI57+CI58</f>
        <v>69.599999999999937</v>
      </c>
      <c r="CJ59" s="26">
        <f t="shared" si="691"/>
        <v>90.859999999999758</v>
      </c>
      <c r="CK59" s="26">
        <f t="shared" ref="CK59:CL59" si="692">CK52+CK56+CK57+CK58</f>
        <v>107.11000000000027</v>
      </c>
      <c r="CL59" s="26">
        <f t="shared" si="692"/>
        <v>116.42000000000019</v>
      </c>
      <c r="CM59" s="27">
        <f t="shared" ref="CM59:DB59" si="693">CM52+CM56+CM57+CM58</f>
        <v>78.357231424390022</v>
      </c>
      <c r="CN59" s="27">
        <f t="shared" si="693"/>
        <v>113.38710881081728</v>
      </c>
      <c r="CO59" s="27">
        <f t="shared" si="693"/>
        <v>127.12820142169666</v>
      </c>
      <c r="CP59" s="27">
        <f t="shared" si="693"/>
        <v>151.05057431640117</v>
      </c>
      <c r="CQ59" s="27">
        <f t="shared" si="693"/>
        <v>137.8287061045358</v>
      </c>
      <c r="CR59" s="27">
        <f t="shared" si="693"/>
        <v>175.460621525324</v>
      </c>
      <c r="CS59" s="27">
        <f t="shared" si="693"/>
        <v>187.46486897801054</v>
      </c>
      <c r="CT59" s="27">
        <f t="shared" si="693"/>
        <v>216.23231218810542</v>
      </c>
      <c r="CU59" s="27">
        <f t="shared" si="693"/>
        <v>200.36792396834892</v>
      </c>
      <c r="CV59" s="27">
        <f t="shared" si="693"/>
        <v>243.06318501477449</v>
      </c>
      <c r="CW59" s="27">
        <f t="shared" si="693"/>
        <v>255.92344030587151</v>
      </c>
      <c r="CX59" s="27">
        <f t="shared" si="693"/>
        <v>289.36300044051524</v>
      </c>
      <c r="CY59" s="27">
        <f t="shared" si="693"/>
        <v>269.70726311540596</v>
      </c>
      <c r="CZ59" s="27">
        <f t="shared" si="693"/>
        <v>319.08023126020515</v>
      </c>
      <c r="DA59" s="27">
        <f t="shared" si="693"/>
        <v>333.40479504162846</v>
      </c>
      <c r="DB59" s="27">
        <f t="shared" si="693"/>
        <v>372.12566485211886</v>
      </c>
      <c r="DE59" s="121"/>
      <c r="DF59" s="26">
        <v>103.49904087412908</v>
      </c>
    </row>
    <row r="60" spans="1:110" s="25" customFormat="1" x14ac:dyDescent="0.2">
      <c r="A60" s="151" t="s">
        <v>486</v>
      </c>
      <c r="AB60" s="17"/>
      <c r="AC60" s="17"/>
      <c r="AD60" s="17"/>
      <c r="AE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0" s="1" customFormat="1" x14ac:dyDescent="0.2">
      <c r="AB61" s="20"/>
      <c r="AC61" s="20"/>
      <c r="AD61" s="20"/>
      <c r="AE61" s="20"/>
      <c r="BV61" s="183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</row>
    <row r="62" spans="1:110" s="22" customFormat="1" x14ac:dyDescent="0.2">
      <c r="A62" s="22" t="s">
        <v>434</v>
      </c>
      <c r="B62" s="22">
        <f>'Annual Raw'!C35</f>
        <v>0</v>
      </c>
      <c r="C62" s="22">
        <f>'Annual Raw'!D35</f>
        <v>0</v>
      </c>
      <c r="D62" s="22">
        <f>'Annual Raw'!E35</f>
        <v>0</v>
      </c>
      <c r="E62" s="22">
        <f>'Annual Raw'!F35</f>
        <v>0</v>
      </c>
      <c r="F62" s="22">
        <f>'Annual Raw'!G35</f>
        <v>6.9810506999999999</v>
      </c>
      <c r="G62" s="22">
        <f>'Annual Raw'!H35</f>
        <v>10.085466500000001</v>
      </c>
      <c r="H62" s="22">
        <f>'Annual Raw'!I35</f>
        <v>11.0768529</v>
      </c>
      <c r="I62" s="22">
        <f>'Annual Raw'!J35</f>
        <v>14.7899428</v>
      </c>
      <c r="J62" s="22">
        <f>'Annual Raw'!K35</f>
        <v>8.9362879999999993</v>
      </c>
      <c r="K62" s="22">
        <f>'Annual Raw'!L35</f>
        <v>10.3975399</v>
      </c>
      <c r="L62" s="22">
        <f>'Annual Raw'!M35</f>
        <v>0</v>
      </c>
      <c r="M62" s="22">
        <f>'Annual Raw'!N35</f>
        <v>0</v>
      </c>
      <c r="N62" s="22">
        <f>'Annual Raw'!O35</f>
        <v>38.279000000000003</v>
      </c>
      <c r="O62" s="22">
        <f>'Annual Raw'!P35</f>
        <v>23.382000000000001</v>
      </c>
      <c r="P62" s="22">
        <f>'Annual Raw'!Q35</f>
        <v>20.802</v>
      </c>
      <c r="Q62" s="22">
        <f>'Annual Raw'!R35</f>
        <v>44.603000000000002</v>
      </c>
      <c r="R62" s="22">
        <f>'Annual Raw'!S35</f>
        <v>42.587000000000003</v>
      </c>
      <c r="S62" s="22">
        <f>'Annual Raw'!T35</f>
        <v>33.15</v>
      </c>
      <c r="T62" s="22">
        <f>'Annual Raw'!U35</f>
        <v>97.367000000000004</v>
      </c>
      <c r="U62" s="22">
        <f>'Annual Raw'!V35</f>
        <v>40.01</v>
      </c>
      <c r="V62" s="22">
        <f>'Annual Raw'!W35</f>
        <v>97.36</v>
      </c>
      <c r="W62" s="22">
        <f>'Annual Raw'!X35</f>
        <v>163.09</v>
      </c>
      <c r="X62" s="22">
        <f>'Annual Raw'!Y35</f>
        <v>248.39</v>
      </c>
      <c r="Y62" s="22">
        <f>'Annual Raw'!Z35</f>
        <v>304.47000000000003</v>
      </c>
      <c r="Z62" s="22">
        <f>'Annual Raw'!AA35</f>
        <v>194.57</v>
      </c>
      <c r="AA62" s="22">
        <f>'Annual Raw'!AB35</f>
        <v>383.99</v>
      </c>
      <c r="AB62" s="21">
        <f t="shared" ref="AA62:AD62" si="694">+AB59</f>
        <v>469.92311597330553</v>
      </c>
      <c r="AC62" s="21">
        <f t="shared" si="694"/>
        <v>716.98650879597744</v>
      </c>
      <c r="AD62" s="21">
        <f t="shared" si="694"/>
        <v>988.71754972951055</v>
      </c>
      <c r="AE62" s="21">
        <f t="shared" ref="AE62" si="695">+AE59</f>
        <v>1294.3179542693608</v>
      </c>
      <c r="AI62" s="22">
        <f>'QTR Raw'!C42</f>
        <v>0</v>
      </c>
      <c r="AJ62" s="22">
        <f>'QTR Raw'!D42</f>
        <v>0</v>
      </c>
      <c r="AK62" s="22">
        <f>'QTR Raw'!E42</f>
        <v>0</v>
      </c>
      <c r="AL62" s="22">
        <f>'QTR Raw'!F42</f>
        <v>0</v>
      </c>
      <c r="AM62" s="22">
        <f>'QTR Raw'!G42</f>
        <v>0</v>
      </c>
      <c r="AN62" s="22">
        <f>'QTR Raw'!H42</f>
        <v>0</v>
      </c>
      <c r="AO62" s="22">
        <f>'QTR Raw'!I42</f>
        <v>0</v>
      </c>
      <c r="AP62" s="22">
        <f>'QTR Raw'!J42</f>
        <v>0</v>
      </c>
      <c r="AQ62" s="22">
        <f>'QTR Raw'!K42</f>
        <v>0</v>
      </c>
      <c r="AR62" s="22">
        <f>'QTR Raw'!L42</f>
        <v>0</v>
      </c>
      <c r="AS62" s="22">
        <f>'QTR Raw'!M42</f>
        <v>0</v>
      </c>
      <c r="AT62" s="22">
        <f>'QTR Raw'!N42</f>
        <v>0</v>
      </c>
      <c r="AU62" s="22">
        <f>'QTR Raw'!O42</f>
        <v>0</v>
      </c>
      <c r="AV62" s="22">
        <f>'QTR Raw'!P42</f>
        <v>0</v>
      </c>
      <c r="AW62" s="22">
        <f>'QTR Raw'!Q42</f>
        <v>0</v>
      </c>
      <c r="AX62" s="22">
        <f>'QTR Raw'!R42</f>
        <v>0</v>
      </c>
      <c r="AY62" s="22">
        <f>'QTR Raw'!S42</f>
        <v>0</v>
      </c>
      <c r="AZ62" s="22">
        <f>'QTR Raw'!T42</f>
        <v>0</v>
      </c>
      <c r="BA62" s="22">
        <f>'QTR Raw'!U42</f>
        <v>0</v>
      </c>
      <c r="BB62" s="22">
        <f>'QTR Raw'!V42</f>
        <v>0</v>
      </c>
      <c r="BC62" s="22">
        <f>'QTR Raw'!W42</f>
        <v>0</v>
      </c>
      <c r="BD62" s="22">
        <f>'QTR Raw'!X42</f>
        <v>0</v>
      </c>
      <c r="BE62" s="22">
        <f>'QTR Raw'!Y42</f>
        <v>0</v>
      </c>
      <c r="BF62" s="22">
        <f>'QTR Raw'!Z42</f>
        <v>0</v>
      </c>
      <c r="BG62" s="22">
        <f>'QTR Raw'!AA42</f>
        <v>0</v>
      </c>
      <c r="BH62" s="22">
        <f>'QTR Raw'!AB42</f>
        <v>0</v>
      </c>
      <c r="BI62" s="22">
        <f>'QTR Raw'!AC42</f>
        <v>0</v>
      </c>
      <c r="BJ62" s="22">
        <f>'QTR Raw'!AD42</f>
        <v>0</v>
      </c>
      <c r="BK62" s="22">
        <f>'QTR Raw'!AE42</f>
        <v>0</v>
      </c>
      <c r="BL62" s="22">
        <f>'QTR Raw'!AF42</f>
        <v>0</v>
      </c>
      <c r="BM62" s="22">
        <f>'QTR Raw'!AG42</f>
        <v>0</v>
      </c>
      <c r="BN62" s="22">
        <f>'QTR Raw'!AH42</f>
        <v>4.0599999999999996</v>
      </c>
      <c r="BO62" s="22">
        <f>'QTR Raw'!AI42</f>
        <v>-16.23</v>
      </c>
      <c r="BP62" s="22">
        <f>'QTR Raw'!AJ42</f>
        <v>22.83</v>
      </c>
      <c r="BQ62" s="22">
        <f>'QTR Raw'!AK42</f>
        <v>43.48</v>
      </c>
      <c r="BR62" s="22">
        <f>'QTR Raw'!AL42</f>
        <v>47.28</v>
      </c>
      <c r="BS62" s="22">
        <f>'QTR Raw'!AM42</f>
        <v>24.07</v>
      </c>
      <c r="BT62" s="22">
        <f>'QTR Raw'!AN42</f>
        <v>49.96</v>
      </c>
      <c r="BU62" s="22">
        <f>'QTR Raw'!AO42</f>
        <v>37.6</v>
      </c>
      <c r="BV62" s="22">
        <f>'QTR Raw'!AP42</f>
        <v>51.46</v>
      </c>
      <c r="BW62" s="22">
        <f>'QTR Raw'!AQ42</f>
        <v>56.64</v>
      </c>
      <c r="BX62" s="22">
        <f>'QTR Raw'!AR42</f>
        <v>62.48</v>
      </c>
      <c r="BY62" s="22">
        <f>'QTR Raw'!AS42</f>
        <v>51.61</v>
      </c>
      <c r="BZ62" s="22">
        <f>'QTR Raw'!AT42</f>
        <v>77.66</v>
      </c>
      <c r="CA62" s="22">
        <f>'QTR Raw'!AU42</f>
        <v>74.48</v>
      </c>
      <c r="CB62" s="22">
        <f>'QTR Raw'!AV42</f>
        <v>94.54</v>
      </c>
      <c r="CC62" s="22">
        <f>'QTR Raw'!AW42</f>
        <v>73.12</v>
      </c>
      <c r="CD62" s="22">
        <f>'QTR Raw'!AX42</f>
        <v>62.33</v>
      </c>
      <c r="CE62" s="22">
        <f>'QTR Raw'!AY42</f>
        <v>53.19</v>
      </c>
      <c r="CF62" s="22">
        <f>'QTR Raw'!AZ42</f>
        <v>61.69</v>
      </c>
      <c r="CG62" s="22">
        <f>'QTR Raw'!BA42</f>
        <v>12.93</v>
      </c>
      <c r="CH62" s="22">
        <f>'QTR Raw'!BB42</f>
        <v>66.760000000000005</v>
      </c>
      <c r="CI62" s="22">
        <f>'QTR Raw'!BC42</f>
        <v>69.599999999999994</v>
      </c>
      <c r="CJ62" s="22">
        <f>'QTR Raw'!BD42</f>
        <v>90.86</v>
      </c>
      <c r="CK62" s="22">
        <f>'QTR Raw'!BE42</f>
        <v>107.11</v>
      </c>
      <c r="CL62" s="22">
        <f>'QTR Raw'!BF42</f>
        <v>116.42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2">
        <v>383.99000000000149</v>
      </c>
    </row>
    <row r="63" spans="1:110" s="25" customFormat="1" x14ac:dyDescent="0.2">
      <c r="A63" s="36" t="s">
        <v>435</v>
      </c>
      <c r="B63" s="25">
        <f t="shared" ref="B63:V63" si="696">B62-B59</f>
        <v>0</v>
      </c>
      <c r="C63" s="25">
        <f>C62-C59</f>
        <v>0</v>
      </c>
      <c r="D63" s="25">
        <f t="shared" si="696"/>
        <v>0</v>
      </c>
      <c r="E63" s="25">
        <f t="shared" si="696"/>
        <v>0</v>
      </c>
      <c r="F63" s="25">
        <f t="shared" si="696"/>
        <v>-8.8817841970012523E-15</v>
      </c>
      <c r="G63" s="25">
        <f t="shared" si="696"/>
        <v>0</v>
      </c>
      <c r="H63" s="25">
        <f t="shared" si="696"/>
        <v>2.3092638912203256E-14</v>
      </c>
      <c r="I63" s="25">
        <f t="shared" si="696"/>
        <v>0</v>
      </c>
      <c r="J63" s="25">
        <f t="shared" si="696"/>
        <v>1.9539925233402755E-14</v>
      </c>
      <c r="K63" s="25">
        <f t="shared" si="696"/>
        <v>0</v>
      </c>
      <c r="L63" s="25">
        <f t="shared" si="696"/>
        <v>0</v>
      </c>
      <c r="M63" s="25">
        <f t="shared" si="696"/>
        <v>0</v>
      </c>
      <c r="N63" s="25">
        <f t="shared" si="696"/>
        <v>1.1368683772161603E-13</v>
      </c>
      <c r="O63" s="25">
        <f t="shared" si="696"/>
        <v>-7.460698725481052E-14</v>
      </c>
      <c r="P63" s="25">
        <f t="shared" si="696"/>
        <v>1.0658141036401503E-13</v>
      </c>
      <c r="Q63" s="25">
        <f t="shared" si="696"/>
        <v>-1.2079226507921703E-13</v>
      </c>
      <c r="R63" s="25">
        <f t="shared" si="696"/>
        <v>-9.9475983006414026E-14</v>
      </c>
      <c r="S63" s="25">
        <f t="shared" si="696"/>
        <v>-1.1368683772161603E-13</v>
      </c>
      <c r="T63" s="25">
        <f t="shared" si="696"/>
        <v>0</v>
      </c>
      <c r="U63" s="25">
        <f t="shared" si="696"/>
        <v>-9.2370555648813024E-14</v>
      </c>
      <c r="V63" s="25">
        <f t="shared" si="696"/>
        <v>0</v>
      </c>
      <c r="W63" s="25">
        <f t="shared" ref="W63" si="697">W62-W59</f>
        <v>0</v>
      </c>
      <c r="X63" s="25">
        <f t="shared" ref="X63:Y63" si="698">X62-X59</f>
        <v>0</v>
      </c>
      <c r="Y63" s="25">
        <f t="shared" si="698"/>
        <v>0</v>
      </c>
      <c r="Z63" s="25">
        <f t="shared" ref="Z63:AA63" si="699">Z62-Z59</f>
        <v>3.979039320256561E-13</v>
      </c>
      <c r="AA63" s="25">
        <f t="shared" si="699"/>
        <v>-5.6843418860808015E-13</v>
      </c>
      <c r="AB63" s="17">
        <f t="shared" ref="AA63:AD63" si="700">AB62-AB59</f>
        <v>0</v>
      </c>
      <c r="AC63" s="17">
        <f t="shared" si="700"/>
        <v>0</v>
      </c>
      <c r="AD63" s="17">
        <f t="shared" si="700"/>
        <v>0</v>
      </c>
      <c r="AE63" s="17">
        <f t="shared" ref="AE63" si="701">AE62-AE59</f>
        <v>0</v>
      </c>
      <c r="AI63" s="25">
        <f t="shared" ref="AI63" si="702">AI62-AI59</f>
        <v>0</v>
      </c>
      <c r="AJ63" s="25">
        <f t="shared" ref="AJ63" si="703">AJ62-AJ59</f>
        <v>0</v>
      </c>
      <c r="AK63" s="25">
        <f t="shared" ref="AK63:AM63" si="704">AK62-AK59</f>
        <v>0</v>
      </c>
      <c r="AL63" s="25">
        <f t="shared" si="704"/>
        <v>0</v>
      </c>
      <c r="AM63" s="25">
        <f t="shared" si="704"/>
        <v>0</v>
      </c>
      <c r="AN63" s="25">
        <f t="shared" ref="AN63:AO63" si="705">AN62-AN59</f>
        <v>0</v>
      </c>
      <c r="AO63" s="25">
        <f t="shared" si="705"/>
        <v>0</v>
      </c>
      <c r="AP63" s="25">
        <f t="shared" ref="AP63:CD63" si="706">AP62-AP59</f>
        <v>0</v>
      </c>
      <c r="AQ63" s="25">
        <f t="shared" si="706"/>
        <v>0</v>
      </c>
      <c r="AR63" s="25">
        <f t="shared" si="706"/>
        <v>0</v>
      </c>
      <c r="AS63" s="25">
        <f t="shared" si="706"/>
        <v>0</v>
      </c>
      <c r="AT63" s="25">
        <f t="shared" si="706"/>
        <v>0</v>
      </c>
      <c r="AU63" s="25">
        <f t="shared" si="706"/>
        <v>0</v>
      </c>
      <c r="AV63" s="25">
        <f t="shared" si="706"/>
        <v>0</v>
      </c>
      <c r="AW63" s="25">
        <f t="shared" si="706"/>
        <v>0</v>
      </c>
      <c r="AX63" s="25">
        <f t="shared" si="706"/>
        <v>0</v>
      </c>
      <c r="AY63" s="25">
        <f t="shared" si="706"/>
        <v>0</v>
      </c>
      <c r="AZ63" s="25">
        <f t="shared" si="706"/>
        <v>0</v>
      </c>
      <c r="BA63" s="25">
        <f t="shared" si="706"/>
        <v>0</v>
      </c>
      <c r="BB63" s="25">
        <f t="shared" si="706"/>
        <v>0</v>
      </c>
      <c r="BC63" s="25">
        <f t="shared" si="706"/>
        <v>0</v>
      </c>
      <c r="BD63" s="25">
        <f t="shared" si="706"/>
        <v>0</v>
      </c>
      <c r="BE63" s="25">
        <f t="shared" si="706"/>
        <v>0</v>
      </c>
      <c r="BF63" s="25">
        <f t="shared" si="706"/>
        <v>0</v>
      </c>
      <c r="BG63" s="25">
        <f t="shared" si="706"/>
        <v>0</v>
      </c>
      <c r="BH63" s="25">
        <f t="shared" si="706"/>
        <v>0</v>
      </c>
      <c r="BI63" s="25">
        <f t="shared" si="706"/>
        <v>0</v>
      </c>
      <c r="BJ63" s="25">
        <f t="shared" si="706"/>
        <v>0</v>
      </c>
      <c r="BK63" s="25">
        <f t="shared" si="706"/>
        <v>0</v>
      </c>
      <c r="BL63" s="25">
        <f t="shared" si="706"/>
        <v>0</v>
      </c>
      <c r="BM63" s="25">
        <f t="shared" si="706"/>
        <v>0</v>
      </c>
      <c r="BN63" s="25">
        <f t="shared" si="706"/>
        <v>-2.5757174171303632E-14</v>
      </c>
      <c r="BO63" s="25">
        <f t="shared" si="706"/>
        <v>0</v>
      </c>
      <c r="BP63" s="25">
        <f t="shared" si="706"/>
        <v>0</v>
      </c>
      <c r="BQ63" s="25">
        <f t="shared" si="706"/>
        <v>0</v>
      </c>
      <c r="BR63" s="25">
        <f t="shared" si="706"/>
        <v>0</v>
      </c>
      <c r="BS63" s="25">
        <f t="shared" si="706"/>
        <v>0</v>
      </c>
      <c r="BT63" s="25">
        <f t="shared" si="706"/>
        <v>0</v>
      </c>
      <c r="BU63" s="25">
        <f t="shared" si="706"/>
        <v>0</v>
      </c>
      <c r="BV63" s="25">
        <f t="shared" si="706"/>
        <v>0</v>
      </c>
      <c r="BW63" s="25">
        <f t="shared" si="706"/>
        <v>0</v>
      </c>
      <c r="BX63" s="25">
        <f t="shared" si="706"/>
        <v>-5.6843418860808015E-14</v>
      </c>
      <c r="BY63" s="25">
        <f t="shared" si="706"/>
        <v>0</v>
      </c>
      <c r="BZ63" s="25">
        <f t="shared" si="706"/>
        <v>0</v>
      </c>
      <c r="CA63" s="25">
        <f t="shared" si="706"/>
        <v>-1.1368683772161603E-13</v>
      </c>
      <c r="CB63" s="25">
        <f t="shared" si="706"/>
        <v>0</v>
      </c>
      <c r="CC63" s="25">
        <f t="shared" si="706"/>
        <v>0</v>
      </c>
      <c r="CD63" s="25">
        <f t="shared" si="706"/>
        <v>0</v>
      </c>
      <c r="CE63" s="25">
        <f t="shared" ref="CE63:CF63" si="707">CE62-CE59</f>
        <v>-9.2370555648813024E-14</v>
      </c>
      <c r="CF63" s="25">
        <f t="shared" si="707"/>
        <v>-8.5265128291212022E-14</v>
      </c>
      <c r="CG63" s="25">
        <f t="shared" ref="CG63:CH63" si="708">CG62-CG59</f>
        <v>9.4146912488213275E-14</v>
      </c>
      <c r="CH63" s="25">
        <f t="shared" si="708"/>
        <v>0</v>
      </c>
      <c r="CI63" s="25">
        <f t="shared" ref="CI63:CJ63" si="709">CI62-CI59</f>
        <v>0</v>
      </c>
      <c r="CJ63" s="25">
        <f t="shared" si="709"/>
        <v>2.4158453015843406E-13</v>
      </c>
      <c r="CK63" s="25">
        <f t="shared" ref="CK63:CL63" si="710">CK62-CK59</f>
        <v>-2.7000623958883807E-13</v>
      </c>
      <c r="CL63" s="25">
        <f t="shared" si="710"/>
        <v>-1.8474111129762605E-13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5">
        <v>0</v>
      </c>
    </row>
    <row r="64" spans="1:110" s="1" customFormat="1" x14ac:dyDescent="0.2">
      <c r="A64" s="150" t="s">
        <v>487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</row>
    <row r="65" spans="1:110" s="38" customFormat="1" x14ac:dyDescent="0.2">
      <c r="A65" s="38" t="s">
        <v>350</v>
      </c>
      <c r="B65" s="39" t="e">
        <f t="shared" ref="B65:AE65" si="711">(B59-B58)/B131</f>
        <v>#DIV/0!</v>
      </c>
      <c r="C65" s="39" t="e">
        <f t="shared" si="711"/>
        <v>#DIV/0!</v>
      </c>
      <c r="D65" s="39" t="e">
        <f t="shared" si="711"/>
        <v>#DIV/0!</v>
      </c>
      <c r="E65" s="39" t="e">
        <f t="shared" si="711"/>
        <v>#DIV/0!</v>
      </c>
      <c r="F65" s="39">
        <f t="shared" si="711"/>
        <v>0.32495843345868797</v>
      </c>
      <c r="G65" s="39">
        <f t="shared" si="711"/>
        <v>0.3203426592504468</v>
      </c>
      <c r="H65" s="39">
        <f t="shared" si="711"/>
        <v>0.25508187024328954</v>
      </c>
      <c r="I65" s="39">
        <f t="shared" si="711"/>
        <v>0.2469889855445456</v>
      </c>
      <c r="J65" s="39">
        <f t="shared" si="711"/>
        <v>0.13470248773744509</v>
      </c>
      <c r="K65" s="39">
        <f t="shared" si="711"/>
        <v>0.13564538481391922</v>
      </c>
      <c r="L65" s="39">
        <f t="shared" si="711"/>
        <v>0</v>
      </c>
      <c r="M65" s="39">
        <f t="shared" si="711"/>
        <v>0</v>
      </c>
      <c r="N65" s="39">
        <f t="shared" si="711"/>
        <v>8.7729872939623144E-2</v>
      </c>
      <c r="O65" s="39">
        <f t="shared" si="711"/>
        <v>5.1028335981284104E-2</v>
      </c>
      <c r="P65" s="39">
        <f t="shared" si="711"/>
        <v>4.225558105994412E-2</v>
      </c>
      <c r="Q65" s="39">
        <f t="shared" si="711"/>
        <v>8.3541548823567097E-2</v>
      </c>
      <c r="R65" s="39">
        <f t="shared" si="711"/>
        <v>7.3841795076751454E-2</v>
      </c>
      <c r="S65" s="39">
        <f t="shared" si="711"/>
        <v>5.5409764821903344E-2</v>
      </c>
      <c r="T65" s="39">
        <f t="shared" si="711"/>
        <v>0.14250379431518659</v>
      </c>
      <c r="U65" s="39">
        <f t="shared" si="711"/>
        <v>6.344322953477749E-2</v>
      </c>
      <c r="V65" s="39">
        <f t="shared" si="711"/>
        <v>0.10043014967558259</v>
      </c>
      <c r="W65" s="39">
        <f t="shared" si="711"/>
        <v>0.14359800658601454</v>
      </c>
      <c r="X65" s="39">
        <f t="shared" si="711"/>
        <v>0.18039799549713126</v>
      </c>
      <c r="Y65" s="39">
        <f t="shared" si="711"/>
        <v>0.18363912713060465</v>
      </c>
      <c r="Z65" s="39">
        <f t="shared" si="711"/>
        <v>7.7024860505331111E-2</v>
      </c>
      <c r="AA65" s="39">
        <f t="shared" ref="AA65" si="712">(AA59-AA58)/AA131</f>
        <v>0.12160928414306127</v>
      </c>
      <c r="AB65" s="40">
        <f t="shared" si="711"/>
        <v>0.1258503590878757</v>
      </c>
      <c r="AC65" s="40">
        <f t="shared" si="711"/>
        <v>0.16108546434601717</v>
      </c>
      <c r="AD65" s="40">
        <f t="shared" si="711"/>
        <v>0.18176000163476502</v>
      </c>
      <c r="AE65" s="40">
        <f t="shared" si="711"/>
        <v>0.19220626202673091</v>
      </c>
      <c r="AF65" s="39"/>
      <c r="AG65" s="39"/>
      <c r="AH65" s="39"/>
      <c r="AI65" s="39"/>
      <c r="AJ65" s="39"/>
      <c r="AK65" s="39"/>
      <c r="AL65" s="39" t="e">
        <f t="shared" ref="AL65:BQ65" si="713">(SUM(AI59:AL59)-SUM(AI58:AL58))/AL131</f>
        <v>#DIV/0!</v>
      </c>
      <c r="AM65" s="39" t="e">
        <f t="shared" si="713"/>
        <v>#DIV/0!</v>
      </c>
      <c r="AN65" s="39" t="e">
        <f t="shared" si="713"/>
        <v>#DIV/0!</v>
      </c>
      <c r="AO65" s="39" t="e">
        <f t="shared" si="713"/>
        <v>#DIV/0!</v>
      </c>
      <c r="AP65" s="39" t="e">
        <f t="shared" si="713"/>
        <v>#DIV/0!</v>
      </c>
      <c r="AQ65" s="39" t="e">
        <f t="shared" si="713"/>
        <v>#DIV/0!</v>
      </c>
      <c r="AR65" s="39" t="e">
        <f t="shared" si="713"/>
        <v>#DIV/0!</v>
      </c>
      <c r="AS65" s="39" t="e">
        <f t="shared" si="713"/>
        <v>#DIV/0!</v>
      </c>
      <c r="AT65" s="39" t="e">
        <f t="shared" si="713"/>
        <v>#DIV/0!</v>
      </c>
      <c r="AU65" s="39" t="e">
        <f t="shared" si="713"/>
        <v>#DIV/0!</v>
      </c>
      <c r="AV65" s="39" t="e">
        <f t="shared" si="713"/>
        <v>#DIV/0!</v>
      </c>
      <c r="AW65" s="39" t="e">
        <f t="shared" si="713"/>
        <v>#DIV/0!</v>
      </c>
      <c r="AX65" s="39" t="e">
        <f t="shared" si="713"/>
        <v>#DIV/0!</v>
      </c>
      <c r="AY65" s="39" t="e">
        <f t="shared" si="713"/>
        <v>#DIV/0!</v>
      </c>
      <c r="AZ65" s="39" t="e">
        <f t="shared" si="713"/>
        <v>#DIV/0!</v>
      </c>
      <c r="BA65" s="39" t="e">
        <f t="shared" si="713"/>
        <v>#DIV/0!</v>
      </c>
      <c r="BB65" s="39" t="e">
        <f t="shared" si="713"/>
        <v>#DIV/0!</v>
      </c>
      <c r="BC65" s="39" t="e">
        <f t="shared" si="713"/>
        <v>#DIV/0!</v>
      </c>
      <c r="BD65" s="39" t="e">
        <f t="shared" si="713"/>
        <v>#DIV/0!</v>
      </c>
      <c r="BE65" s="39" t="e">
        <f t="shared" si="713"/>
        <v>#DIV/0!</v>
      </c>
      <c r="BF65" s="39" t="e">
        <f t="shared" si="713"/>
        <v>#DIV/0!</v>
      </c>
      <c r="BG65" s="39" t="e">
        <f t="shared" si="713"/>
        <v>#DIV/0!</v>
      </c>
      <c r="BH65" s="39" t="e">
        <f t="shared" si="713"/>
        <v>#DIV/0!</v>
      </c>
      <c r="BI65" s="39" t="e">
        <f t="shared" si="713"/>
        <v>#DIV/0!</v>
      </c>
      <c r="BJ65" s="39" t="e">
        <f t="shared" si="713"/>
        <v>#DIV/0!</v>
      </c>
      <c r="BK65" s="39" t="e">
        <f t="shared" si="713"/>
        <v>#DIV/0!</v>
      </c>
      <c r="BL65" s="39" t="e">
        <f t="shared" si="713"/>
        <v>#DIV/0!</v>
      </c>
      <c r="BM65" s="39" t="e">
        <f t="shared" si="713"/>
        <v>#DIV/0!</v>
      </c>
      <c r="BN65" s="39">
        <f t="shared" si="713"/>
        <v>5.6264637813717286E-3</v>
      </c>
      <c r="BO65" s="39">
        <f t="shared" si="713"/>
        <v>-1.7253600998071893E-2</v>
      </c>
      <c r="BP65" s="39" t="e">
        <f t="shared" si="713"/>
        <v>#DIV/0!</v>
      </c>
      <c r="BQ65" s="39">
        <f t="shared" si="713"/>
        <v>1.2451701931922723</v>
      </c>
      <c r="BR65" s="39">
        <f t="shared" ref="BR65:CW65" si="714">(SUM(BO59:BR59)-SUM(BO58:BR58))/BR131</f>
        <v>0.10043014967558248</v>
      </c>
      <c r="BS65" s="39">
        <f t="shared" si="714"/>
        <v>0.13856064418721684</v>
      </c>
      <c r="BT65" s="39">
        <f t="shared" si="714"/>
        <v>0.15774661369836782</v>
      </c>
      <c r="BU65" s="39">
        <f t="shared" si="714"/>
        <v>0.14683298683298679</v>
      </c>
      <c r="BV65" s="39">
        <f t="shared" si="714"/>
        <v>0.14359800658601432</v>
      </c>
      <c r="BW65" s="39">
        <f t="shared" si="714"/>
        <v>0.16409198409902881</v>
      </c>
      <c r="BX65" s="39">
        <f t="shared" si="714"/>
        <v>0.16741051683513872</v>
      </c>
      <c r="BY65" s="39">
        <f t="shared" si="714"/>
        <v>0.17155674290038148</v>
      </c>
      <c r="BZ65" s="39">
        <f t="shared" si="714"/>
        <v>0.18039799549713126</v>
      </c>
      <c r="CA65" s="39">
        <f t="shared" si="714"/>
        <v>0.18343231958549799</v>
      </c>
      <c r="CB65" s="39">
        <f t="shared" si="714"/>
        <v>0.195910888097834</v>
      </c>
      <c r="CC65" s="39">
        <f t="shared" si="714"/>
        <v>0.20041361158112439</v>
      </c>
      <c r="CD65" s="39">
        <f t="shared" si="714"/>
        <v>0.18363912713060487</v>
      </c>
      <c r="CE65" s="39">
        <f t="shared" si="714"/>
        <v>0.16548910979037748</v>
      </c>
      <c r="CF65" s="39">
        <f t="shared" si="714"/>
        <v>8.9909311304660233E-2</v>
      </c>
      <c r="CG65" s="39">
        <f t="shared" si="714"/>
        <v>7.3252347006628124E-2</v>
      </c>
      <c r="CH65" s="39">
        <f t="shared" si="714"/>
        <v>7.7024860505331319E-2</v>
      </c>
      <c r="CI65" s="39">
        <f t="shared" si="714"/>
        <v>8.3616394540620739E-2</v>
      </c>
      <c r="CJ65" s="39">
        <f t="shared" si="714"/>
        <v>9.0548738225528502E-2</v>
      </c>
      <c r="CK65" s="39">
        <f t="shared" si="714"/>
        <v>0.11394753536055495</v>
      </c>
      <c r="CL65" s="39">
        <f t="shared" si="714"/>
        <v>0.12160928414306113</v>
      </c>
      <c r="CM65" s="40">
        <f t="shared" si="714"/>
        <v>0.11891311105256945</v>
      </c>
      <c r="CN65" s="40">
        <f t="shared" si="714"/>
        <v>0.12138833653026096</v>
      </c>
      <c r="CO65" s="40">
        <f t="shared" si="714"/>
        <v>0.12164129148112741</v>
      </c>
      <c r="CP65" s="40">
        <f t="shared" si="714"/>
        <v>0.12585035908787559</v>
      </c>
      <c r="CQ65" s="40">
        <f t="shared" si="714"/>
        <v>0.13673045462456043</v>
      </c>
      <c r="CR65" s="40">
        <f t="shared" si="714"/>
        <v>0.14613992796625061</v>
      </c>
      <c r="CS65" s="40">
        <f t="shared" si="714"/>
        <v>0.15391858403773823</v>
      </c>
      <c r="CT65" s="40">
        <f t="shared" si="714"/>
        <v>0.16108546434601681</v>
      </c>
      <c r="CU65" s="40">
        <f t="shared" si="714"/>
        <v>0.16759173431120941</v>
      </c>
      <c r="CV65" s="40">
        <f t="shared" si="714"/>
        <v>0.17308110557996118</v>
      </c>
      <c r="CW65" s="40">
        <f t="shared" si="714"/>
        <v>0.17777266644473172</v>
      </c>
      <c r="CX65" s="40">
        <f t="shared" ref="CX65:DB65" si="715">(SUM(CU59:CX59)-SUM(CU58:CX58))/CX131</f>
        <v>0.18176000163476494</v>
      </c>
      <c r="CY65" s="40">
        <f t="shared" si="715"/>
        <v>0.18531858333450524</v>
      </c>
      <c r="CZ65" s="40">
        <f t="shared" si="715"/>
        <v>0.18811954887648966</v>
      </c>
      <c r="DA65" s="40">
        <f t="shared" si="715"/>
        <v>0.19043983727286565</v>
      </c>
      <c r="DB65" s="40">
        <f t="shared" si="715"/>
        <v>0.19220626202673058</v>
      </c>
      <c r="DE65" s="122"/>
      <c r="DF65" s="38">
        <v>0.1183405970052669</v>
      </c>
    </row>
    <row r="66" spans="1:110" s="38" customFormat="1" x14ac:dyDescent="0.2">
      <c r="A66" s="38" t="s">
        <v>351</v>
      </c>
      <c r="B66" s="39" t="e">
        <f t="shared" ref="B66:AE66" si="716">+B45/B140</f>
        <v>#DIV/0!</v>
      </c>
      <c r="C66" s="39" t="e">
        <f t="shared" si="716"/>
        <v>#DIV/0!</v>
      </c>
      <c r="D66" s="39" t="e">
        <f t="shared" si="716"/>
        <v>#DIV/0!</v>
      </c>
      <c r="E66" s="39" t="e">
        <f t="shared" si="716"/>
        <v>#DIV/0!</v>
      </c>
      <c r="F66" s="39">
        <f t="shared" si="716"/>
        <v>0.11193712881276481</v>
      </c>
      <c r="G66" s="39">
        <f t="shared" si="716"/>
        <v>0.13638450300558652</v>
      </c>
      <c r="H66" s="39">
        <f t="shared" si="716"/>
        <v>8.7962504455786281E-2</v>
      </c>
      <c r="I66" s="39">
        <f t="shared" si="716"/>
        <v>7.3071267697313799E-2</v>
      </c>
      <c r="J66" s="39">
        <f t="shared" si="716"/>
        <v>4.0466835286949228E-2</v>
      </c>
      <c r="K66" s="39">
        <f t="shared" si="716"/>
        <v>4.6150472162950575E-2</v>
      </c>
      <c r="L66" s="39">
        <f t="shared" si="716"/>
        <v>0</v>
      </c>
      <c r="M66" s="39">
        <f t="shared" si="716"/>
        <v>0</v>
      </c>
      <c r="N66" s="39">
        <f t="shared" si="716"/>
        <v>0.10791107559269535</v>
      </c>
      <c r="O66" s="39">
        <f t="shared" si="716"/>
        <v>8.3626567807183361E-2</v>
      </c>
      <c r="P66" s="39">
        <f t="shared" si="716"/>
        <v>9.0946106082343631E-2</v>
      </c>
      <c r="Q66" s="39">
        <f t="shared" si="716"/>
        <v>0.10563068152190926</v>
      </c>
      <c r="R66" s="39">
        <f t="shared" si="716"/>
        <v>8.3872078146560322E-2</v>
      </c>
      <c r="S66" s="39">
        <f t="shared" si="716"/>
        <v>9.6763924260879278E-2</v>
      </c>
      <c r="T66" s="39">
        <f t="shared" si="716"/>
        <v>0.15938357420519481</v>
      </c>
      <c r="U66" s="39">
        <f t="shared" si="716"/>
        <v>0.11285828249120801</v>
      </c>
      <c r="V66" s="39">
        <f t="shared" si="716"/>
        <v>0.14646407287638155</v>
      </c>
      <c r="W66" s="39">
        <f t="shared" si="716"/>
        <v>0.17695290978426442</v>
      </c>
      <c r="X66" s="39">
        <f t="shared" si="716"/>
        <v>0.17833568798202748</v>
      </c>
      <c r="Y66" s="39">
        <f t="shared" si="716"/>
        <v>0.18198108602251603</v>
      </c>
      <c r="Z66" s="39">
        <f t="shared" si="716"/>
        <v>9.8898391366320421E-2</v>
      </c>
      <c r="AA66" s="39">
        <f t="shared" ref="AA66" si="717">+AA45/AA140</f>
        <v>0.12017823698008544</v>
      </c>
      <c r="AB66" s="40">
        <f t="shared" si="716"/>
        <v>0.13074975061790059</v>
      </c>
      <c r="AC66" s="40">
        <f t="shared" si="716"/>
        <v>0.16271659617809617</v>
      </c>
      <c r="AD66" s="40">
        <f t="shared" si="716"/>
        <v>0.18749070100876647</v>
      </c>
      <c r="AE66" s="40">
        <f t="shared" si="716"/>
        <v>0.20563999716397052</v>
      </c>
      <c r="AF66" s="39"/>
      <c r="AG66" s="39"/>
      <c r="AH66" s="39"/>
      <c r="AI66" s="39"/>
      <c r="AJ66" s="39"/>
      <c r="AK66" s="39"/>
      <c r="AL66" s="39" t="e">
        <f t="shared" ref="AL66:BQ66" si="718">+SUM(AI45:AL45)/AL140</f>
        <v>#DIV/0!</v>
      </c>
      <c r="AM66" s="39" t="e">
        <f t="shared" si="718"/>
        <v>#DIV/0!</v>
      </c>
      <c r="AN66" s="39" t="e">
        <f t="shared" si="718"/>
        <v>#DIV/0!</v>
      </c>
      <c r="AO66" s="39" t="e">
        <f t="shared" si="718"/>
        <v>#DIV/0!</v>
      </c>
      <c r="AP66" s="39" t="e">
        <f t="shared" si="718"/>
        <v>#DIV/0!</v>
      </c>
      <c r="AQ66" s="39" t="e">
        <f t="shared" si="718"/>
        <v>#DIV/0!</v>
      </c>
      <c r="AR66" s="39" t="e">
        <f t="shared" si="718"/>
        <v>#DIV/0!</v>
      </c>
      <c r="AS66" s="39" t="e">
        <f t="shared" si="718"/>
        <v>#DIV/0!</v>
      </c>
      <c r="AT66" s="39" t="e">
        <f t="shared" si="718"/>
        <v>#DIV/0!</v>
      </c>
      <c r="AU66" s="39" t="e">
        <f t="shared" si="718"/>
        <v>#DIV/0!</v>
      </c>
      <c r="AV66" s="39" t="e">
        <f t="shared" si="718"/>
        <v>#DIV/0!</v>
      </c>
      <c r="AW66" s="39" t="e">
        <f t="shared" si="718"/>
        <v>#DIV/0!</v>
      </c>
      <c r="AX66" s="39" t="e">
        <f t="shared" si="718"/>
        <v>#DIV/0!</v>
      </c>
      <c r="AY66" s="39" t="e">
        <f t="shared" si="718"/>
        <v>#DIV/0!</v>
      </c>
      <c r="AZ66" s="39" t="e">
        <f t="shared" si="718"/>
        <v>#DIV/0!</v>
      </c>
      <c r="BA66" s="39" t="e">
        <f t="shared" si="718"/>
        <v>#DIV/0!</v>
      </c>
      <c r="BB66" s="39" t="e">
        <f t="shared" si="718"/>
        <v>#DIV/0!</v>
      </c>
      <c r="BC66" s="39" t="e">
        <f t="shared" si="718"/>
        <v>#DIV/0!</v>
      </c>
      <c r="BD66" s="39" t="e">
        <f t="shared" si="718"/>
        <v>#DIV/0!</v>
      </c>
      <c r="BE66" s="39" t="e">
        <f t="shared" si="718"/>
        <v>#DIV/0!</v>
      </c>
      <c r="BF66" s="39" t="e">
        <f t="shared" si="718"/>
        <v>#DIV/0!</v>
      </c>
      <c r="BG66" s="39" t="e">
        <f t="shared" si="718"/>
        <v>#DIV/0!</v>
      </c>
      <c r="BH66" s="39" t="e">
        <f t="shared" si="718"/>
        <v>#DIV/0!</v>
      </c>
      <c r="BI66" s="39" t="e">
        <f t="shared" si="718"/>
        <v>#DIV/0!</v>
      </c>
      <c r="BJ66" s="39" t="e">
        <f t="shared" si="718"/>
        <v>#DIV/0!</v>
      </c>
      <c r="BK66" s="39" t="e">
        <f t="shared" si="718"/>
        <v>#DIV/0!</v>
      </c>
      <c r="BL66" s="39" t="e">
        <f t="shared" si="718"/>
        <v>#DIV/0!</v>
      </c>
      <c r="BM66" s="39" t="e">
        <f t="shared" si="718"/>
        <v>#DIV/0!</v>
      </c>
      <c r="BN66" s="39">
        <f t="shared" si="718"/>
        <v>2.3247702155262111E-2</v>
      </c>
      <c r="BO66" s="39">
        <f t="shared" si="718"/>
        <v>2.6744380095308152E-2</v>
      </c>
      <c r="BP66" s="39" t="e">
        <f t="shared" si="718"/>
        <v>#DIV/0!</v>
      </c>
      <c r="BQ66" s="39">
        <f t="shared" si="718"/>
        <v>4.2113615455381792</v>
      </c>
      <c r="BR66" s="39">
        <f t="shared" ref="BR66:CW66" si="719">+SUM(BO45:BR45)/BR140</f>
        <v>0.14691835478221363</v>
      </c>
      <c r="BS66" s="39">
        <f t="shared" si="719"/>
        <v>0.17611841795125627</v>
      </c>
      <c r="BT66" s="39">
        <f t="shared" si="719"/>
        <v>0.19133802260333516</v>
      </c>
      <c r="BU66" s="39">
        <f t="shared" si="719"/>
        <v>0.18149053078462368</v>
      </c>
      <c r="BV66" s="39">
        <f t="shared" si="719"/>
        <v>0.1772607948837058</v>
      </c>
      <c r="BW66" s="39">
        <f t="shared" si="719"/>
        <v>0.19981865638004592</v>
      </c>
      <c r="BX66" s="39">
        <f t="shared" si="719"/>
        <v>0.20544166637088718</v>
      </c>
      <c r="BY66" s="39">
        <f t="shared" si="719"/>
        <v>0.21445300919063151</v>
      </c>
      <c r="BZ66" s="39">
        <f t="shared" si="719"/>
        <v>0.17833568798202748</v>
      </c>
      <c r="CA66" s="39">
        <f t="shared" si="719"/>
        <v>0.18629319725338639</v>
      </c>
      <c r="CB66" s="39">
        <f t="shared" si="719"/>
        <v>0.18471682198078435</v>
      </c>
      <c r="CC66" s="39">
        <f t="shared" si="719"/>
        <v>0.19517123074248649</v>
      </c>
      <c r="CD66" s="39">
        <f t="shared" si="719"/>
        <v>0.18226913152764185</v>
      </c>
      <c r="CE66" s="39">
        <f t="shared" si="719"/>
        <v>0.17308013654484267</v>
      </c>
      <c r="CF66" s="39">
        <f t="shared" si="719"/>
        <v>0.11646598794599171</v>
      </c>
      <c r="CG66" s="39">
        <f t="shared" si="719"/>
        <v>0.10411832370337827</v>
      </c>
      <c r="CH66" s="39">
        <f t="shared" si="719"/>
        <v>9.8898391366320546E-2</v>
      </c>
      <c r="CI66" s="39">
        <f t="shared" si="719"/>
        <v>0.1051921455246356</v>
      </c>
      <c r="CJ66" s="39">
        <f t="shared" si="719"/>
        <v>9.8892896511610623E-2</v>
      </c>
      <c r="CK66" s="39">
        <f t="shared" si="719"/>
        <v>0.11366720098444003</v>
      </c>
      <c r="CL66" s="39">
        <f t="shared" si="719"/>
        <v>0.12017823698008537</v>
      </c>
      <c r="CM66" s="40">
        <f t="shared" si="719"/>
        <v>0.1209793298842891</v>
      </c>
      <c r="CN66" s="40">
        <f t="shared" si="719"/>
        <v>0.12368429550064414</v>
      </c>
      <c r="CO66" s="40">
        <f t="shared" si="719"/>
        <v>0.12788490029692309</v>
      </c>
      <c r="CP66" s="40">
        <f t="shared" si="719"/>
        <v>0.13074975061790051</v>
      </c>
      <c r="CQ66" s="40">
        <f t="shared" si="719"/>
        <v>0.13952159024110838</v>
      </c>
      <c r="CR66" s="40">
        <f t="shared" si="719"/>
        <v>0.14790942156051695</v>
      </c>
      <c r="CS66" s="40">
        <f t="shared" si="719"/>
        <v>0.15561829934630905</v>
      </c>
      <c r="CT66" s="40">
        <f t="shared" si="719"/>
        <v>0.16271659617809592</v>
      </c>
      <c r="CU66" s="40">
        <f t="shared" si="719"/>
        <v>0.16953952040890924</v>
      </c>
      <c r="CV66" s="40">
        <f t="shared" si="719"/>
        <v>0.17599337269790546</v>
      </c>
      <c r="CW66" s="40">
        <f t="shared" si="719"/>
        <v>0.18193736420744144</v>
      </c>
      <c r="CX66" s="40">
        <f t="shared" ref="CX66:DB66" si="720">+SUM(CU45:CX45)/CX140</f>
        <v>0.18749070100876641</v>
      </c>
      <c r="CY66" s="40">
        <f t="shared" si="720"/>
        <v>0.19258133131932123</v>
      </c>
      <c r="CZ66" s="40">
        <f t="shared" si="720"/>
        <v>0.19732382682051158</v>
      </c>
      <c r="DA66" s="40">
        <f t="shared" si="720"/>
        <v>0.20165926921538185</v>
      </c>
      <c r="DB66" s="40">
        <f t="shared" si="720"/>
        <v>0.20563999716397036</v>
      </c>
      <c r="DE66" s="122"/>
      <c r="DF66" s="38">
        <v>0.11977100257258819</v>
      </c>
    </row>
    <row r="67" spans="1:110" s="1" customFormat="1" x14ac:dyDescent="0.2">
      <c r="A67" s="150" t="s">
        <v>488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8" customFormat="1" x14ac:dyDescent="0.2">
      <c r="A68" s="12" t="s">
        <v>26</v>
      </c>
      <c r="AB68" s="58"/>
      <c r="AC68" s="58"/>
      <c r="AD68" s="58"/>
      <c r="AE68" s="58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E68" s="132"/>
    </row>
    <row r="69" spans="1:110" s="9" customFormat="1" x14ac:dyDescent="0.2">
      <c r="A69" s="9" t="s">
        <v>453</v>
      </c>
      <c r="N69" s="9">
        <f>N21-SUM(AI21:AL21)</f>
        <v>603.62199999999996</v>
      </c>
      <c r="O69" s="9">
        <f>O21-SUM(AM21:AP21)</f>
        <v>615.99</v>
      </c>
      <c r="P69" s="9">
        <f>P21-SUM(AQ21:AT21)</f>
        <v>800.10699999999997</v>
      </c>
      <c r="Q69" s="9">
        <f>Q21-SUM(AU21:AX21)</f>
        <v>895.08800000000008</v>
      </c>
      <c r="R69" s="9">
        <f>R21-SUM(AY21:BB21)</f>
        <v>1101.874</v>
      </c>
      <c r="S69" s="9">
        <f>S21-SUM(BC21:BF21)</f>
        <v>1479.09</v>
      </c>
      <c r="T69" s="9">
        <f>T21-SUM(BG21:BJ21)</f>
        <v>1818.0070000000001</v>
      </c>
      <c r="U69" s="9">
        <f>U21-SUM(BK21:BN21)</f>
        <v>1158.05</v>
      </c>
      <c r="V69" s="9">
        <f>V21-SUM(BO21:BR21)</f>
        <v>0</v>
      </c>
      <c r="W69" s="9">
        <f>W21-SUM(BS21:BV21)</f>
        <v>0</v>
      </c>
      <c r="X69" s="9">
        <f>X21-SUM(BW21:BZ21)</f>
        <v>0</v>
      </c>
      <c r="Y69" s="9">
        <f>Y21-SUM(CA21:CD21)</f>
        <v>0</v>
      </c>
      <c r="Z69" s="9">
        <f>Z21-SUM(CE21:CH21)</f>
        <v>0</v>
      </c>
      <c r="AA69" s="9">
        <f>AA21-SUM(CF21:CI21)</f>
        <v>1745.9800000000005</v>
      </c>
      <c r="AB69" s="15">
        <f>AB21-SUM(CM21:CP21)</f>
        <v>0</v>
      </c>
      <c r="AC69" s="15">
        <f>AC21-SUM(CQ21:CT21)</f>
        <v>0</v>
      </c>
      <c r="AD69" s="15">
        <f>AD21-SUM(CU21:CX21)</f>
        <v>0</v>
      </c>
      <c r="AE69" s="15">
        <f>AE21-SUM(CY21:DB21)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454</v>
      </c>
      <c r="N70" s="9">
        <f>N27-SUM(AI27:AL27)</f>
        <v>491.53899999999993</v>
      </c>
      <c r="O70" s="9">
        <f>O27-SUM(AM27:AP27)</f>
        <v>476.86800000000005</v>
      </c>
      <c r="P70" s="9">
        <f>P27-SUM(AQ27:AT27)</f>
        <v>602.74399999999991</v>
      </c>
      <c r="Q70" s="9">
        <f>Q27-SUM(AU27:AX27)</f>
        <v>627.81400000000008</v>
      </c>
      <c r="R70" s="9">
        <f>R27-SUM(AY27:BB27)</f>
        <v>733.9670000000001</v>
      </c>
      <c r="S70" s="9">
        <f>S27-SUM(BC27:BF27)</f>
        <v>923.09</v>
      </c>
      <c r="T70" s="9">
        <f>T27-SUM(BG27:BJ27)</f>
        <v>1135.3390000000002</v>
      </c>
      <c r="U70" s="9">
        <f>U27-SUM(BK27:BN27)</f>
        <v>715.37000000000012</v>
      </c>
      <c r="V70" s="9">
        <f>V27-SUM(BO27:BR27)</f>
        <v>12.100000000000136</v>
      </c>
      <c r="W70" s="9">
        <f>W27-SUM(BS27:BV27)</f>
        <v>35.160000000000309</v>
      </c>
      <c r="X70" s="9">
        <f>X27-SUM(BW27:BZ27)</f>
        <v>27.289999999999964</v>
      </c>
      <c r="Y70" s="9">
        <f>Y27-SUM(CA27:CD27)</f>
        <v>35.129999999999654</v>
      </c>
      <c r="Z70" s="9">
        <f>Z27-SUM(CE27:CH27)</f>
        <v>48.709999999999127</v>
      </c>
      <c r="AA70" s="9">
        <f>AA27-SUM(CF27:CI27)</f>
        <v>849.45000000000073</v>
      </c>
      <c r="AB70" s="15">
        <f>AB27-SUM(CM27:CP27)</f>
        <v>0</v>
      </c>
      <c r="AC70" s="15">
        <f>AC27-SUM(CQ27:CT27)</f>
        <v>0</v>
      </c>
      <c r="AD70" s="15">
        <f>AD27-SUM(CU27:CX27)</f>
        <v>0</v>
      </c>
      <c r="AE70" s="15">
        <f>AE27-SUM(CY27:DB27)</f>
        <v>0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455</v>
      </c>
      <c r="N71" s="9">
        <f>N39-SUM(AI39:AL39)</f>
        <v>167.72799999999989</v>
      </c>
      <c r="O71" s="9">
        <f>O39-SUM(AM39:AP39)</f>
        <v>163.15000000000009</v>
      </c>
      <c r="P71" s="9">
        <f>P39-SUM(AQ39:AT39)</f>
        <v>189.81499999999988</v>
      </c>
      <c r="Q71" s="9">
        <f>Q39-SUM(AU39:AX39)</f>
        <v>223.52900000000011</v>
      </c>
      <c r="R71" s="9">
        <f>R39-SUM(AY39:BB39)</f>
        <v>227.4980000000001</v>
      </c>
      <c r="S71" s="9">
        <f>S39-SUM(BC39:BF39)</f>
        <v>276.2700000000001</v>
      </c>
      <c r="T71" s="9">
        <f>T39-SUM(BG39:BJ39)</f>
        <v>442.08300000000008</v>
      </c>
      <c r="U71" s="9">
        <f>U39-SUM(BK39:BN39)</f>
        <v>310.94000000000005</v>
      </c>
      <c r="V71" s="9">
        <f>V39-SUM(BO39:BR39)</f>
        <v>-0.75999999999987722</v>
      </c>
      <c r="W71" s="9">
        <f>W39-SUM(BS39:BV39)</f>
        <v>-0.56999999999982265</v>
      </c>
      <c r="X71" s="9">
        <f>X39-SUM(BW39:BZ39)</f>
        <v>0</v>
      </c>
      <c r="Y71" s="9">
        <f>Y39-SUM(CA39:CD39)</f>
        <v>-0.95000000000050022</v>
      </c>
      <c r="Z71" s="9">
        <f>Z39-SUM(CE39:CH39)</f>
        <v>0</v>
      </c>
      <c r="AA71" s="9">
        <f>AA39-SUM(CF39:CI39)</f>
        <v>337.27000000000055</v>
      </c>
      <c r="AB71" s="15">
        <f>AB39-SUM(CM39:CP39)</f>
        <v>0</v>
      </c>
      <c r="AC71" s="15">
        <f>AC39-SUM(CQ39:CT39)</f>
        <v>1.8189894035458565E-12</v>
      </c>
      <c r="AD71" s="15">
        <f>AD39-SUM(CU39:CX39)</f>
        <v>0</v>
      </c>
      <c r="AE71" s="15">
        <f>AE39-SUM(CY39:DB39)</f>
        <v>0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0" s="9" customFormat="1" x14ac:dyDescent="0.2">
      <c r="A72" s="9" t="s">
        <v>456</v>
      </c>
      <c r="N72" s="9">
        <f>N59-SUM(AI59:AL59)</f>
        <v>38.27899999999989</v>
      </c>
      <c r="O72" s="9">
        <f>O59-SUM(AM59:AP59)</f>
        <v>23.382000000000076</v>
      </c>
      <c r="P72" s="9">
        <f>P59-SUM(AQ59:AT59)</f>
        <v>20.801999999999893</v>
      </c>
      <c r="Q72" s="9">
        <f>Q59-SUM(AU59:AX59)</f>
        <v>44.603000000000122</v>
      </c>
      <c r="R72" s="9">
        <f>R59-SUM(AY59:BB59)</f>
        <v>42.587000000000103</v>
      </c>
      <c r="S72" s="9">
        <f>S59-SUM(BC59:BF59)</f>
        <v>33.150000000000112</v>
      </c>
      <c r="T72" s="9">
        <f>T59-SUM(BG59:BJ59)</f>
        <v>97.367000000000075</v>
      </c>
      <c r="U72" s="9">
        <f>U59-SUM(BK59:BN59)</f>
        <v>35.950000000000067</v>
      </c>
      <c r="V72" s="9">
        <f>V59-SUM(BO59:BR59)</f>
        <v>1.1368683772161603E-13</v>
      </c>
      <c r="W72" s="9">
        <f>W52-SUM(BS52:BV52)</f>
        <v>2.2737367544323206E-13</v>
      </c>
      <c r="X72" s="9">
        <f>X52-SUM(BW52:BZ52)</f>
        <v>0</v>
      </c>
      <c r="Y72" s="9">
        <f>Y52-SUM(CA52:CD52)</f>
        <v>0</v>
      </c>
      <c r="Z72" s="9">
        <f>Z52-SUM(CE52:CH52)</f>
        <v>-5.6843418860808015E-13</v>
      </c>
      <c r="AA72" s="9">
        <f>AA52-SUM(CF52:CI52)</f>
        <v>152.16000000000054</v>
      </c>
      <c r="AB72" s="15">
        <f>AB52-SUM(CM52:CP52)</f>
        <v>0</v>
      </c>
      <c r="AC72" s="15">
        <f>AC52-SUM(CQ52:CT52)</f>
        <v>1.5916157281026244E-12</v>
      </c>
      <c r="AD72" s="15">
        <f>AD52-SUM(CU52:CX52)</f>
        <v>0</v>
      </c>
      <c r="AE72" s="15">
        <f>AE52-SUM(CY52:DB52)</f>
        <v>2.2737367544323206E-12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1.3073986337985843E-12</v>
      </c>
    </row>
    <row r="73" spans="1:110" s="8" customFormat="1" x14ac:dyDescent="0.2">
      <c r="A73" s="149" t="s">
        <v>489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3" customFormat="1" x14ac:dyDescent="0.2">
      <c r="A74" s="3" t="s">
        <v>27</v>
      </c>
      <c r="B74" s="3">
        <f>'Annual Raw'!C104</f>
        <v>0</v>
      </c>
      <c r="C74" s="3">
        <f>'Annual Raw'!D104</f>
        <v>0</v>
      </c>
      <c r="D74" s="3">
        <f>'Annual Raw'!E104</f>
        <v>0</v>
      </c>
      <c r="E74" s="3">
        <f t="shared" ref="E74:Y74" ca="1" si="721">+F74</f>
        <v>0</v>
      </c>
      <c r="F74" s="3">
        <f t="shared" ca="1" si="721"/>
        <v>0</v>
      </c>
      <c r="G74" s="3">
        <f t="shared" ca="1" si="721"/>
        <v>0</v>
      </c>
      <c r="H74" s="3">
        <f t="shared" ca="1" si="721"/>
        <v>0</v>
      </c>
      <c r="I74" s="3">
        <f t="shared" ca="1" si="721"/>
        <v>0</v>
      </c>
      <c r="J74" s="3">
        <f t="shared" ca="1" si="721"/>
        <v>0</v>
      </c>
      <c r="K74" s="3">
        <f t="shared" ca="1" si="721"/>
        <v>0</v>
      </c>
      <c r="L74" s="3">
        <f t="shared" ca="1" si="721"/>
        <v>0</v>
      </c>
      <c r="M74" s="3">
        <f t="shared" ca="1" si="721"/>
        <v>0</v>
      </c>
      <c r="N74" s="3">
        <f t="shared" ca="1" si="721"/>
        <v>0</v>
      </c>
      <c r="O74" s="3">
        <f t="shared" ca="1" si="721"/>
        <v>0</v>
      </c>
      <c r="P74" s="3">
        <f t="shared" ca="1" si="721"/>
        <v>0</v>
      </c>
      <c r="Q74" s="3">
        <f t="shared" ca="1" si="721"/>
        <v>0</v>
      </c>
      <c r="R74" s="3">
        <f t="shared" ca="1" si="721"/>
        <v>0</v>
      </c>
      <c r="S74" s="3">
        <f t="shared" ca="1" si="721"/>
        <v>0</v>
      </c>
      <c r="T74" s="3">
        <f t="shared" ca="1" si="721"/>
        <v>0</v>
      </c>
      <c r="U74" s="3">
        <f t="shared" ca="1" si="721"/>
        <v>0</v>
      </c>
      <c r="V74" s="3">
        <f t="shared" ca="1" si="721"/>
        <v>0</v>
      </c>
      <c r="W74" s="3">
        <f t="shared" ca="1" si="721"/>
        <v>0</v>
      </c>
      <c r="X74" s="3">
        <f t="shared" ca="1" si="721"/>
        <v>0</v>
      </c>
      <c r="Y74" s="3">
        <f t="shared" ca="1" si="721"/>
        <v>0</v>
      </c>
      <c r="Z74" s="3">
        <f ca="1">+AA74</f>
        <v>0</v>
      </c>
      <c r="AA74" s="3">
        <f ca="1">+AB74</f>
        <v>0</v>
      </c>
      <c r="AB74" s="37">
        <f t="shared" ref="AB74:AB75" ca="1" si="722">AA74</f>
        <v>0</v>
      </c>
      <c r="AC74" s="37">
        <f t="shared" ref="AC74:AC75" ca="1" si="723">AB74</f>
        <v>0</v>
      </c>
      <c r="AD74" s="37">
        <f t="shared" ref="AD74:AD75" ca="1" si="724">AC74</f>
        <v>0</v>
      </c>
      <c r="AE74" s="37">
        <f t="shared" ref="AE74:AE75" ca="1" si="725">AD74</f>
        <v>0</v>
      </c>
      <c r="AI74" s="3">
        <f t="shared" ref="AI74:CH74" si="726">+AJ74</f>
        <v>11.93</v>
      </c>
      <c r="AJ74" s="3">
        <f t="shared" si="726"/>
        <v>11.93</v>
      </c>
      <c r="AK74" s="3">
        <f t="shared" si="726"/>
        <v>11.93</v>
      </c>
      <c r="AL74" s="3">
        <f t="shared" si="726"/>
        <v>11.93</v>
      </c>
      <c r="AM74" s="3">
        <f t="shared" si="726"/>
        <v>11.93</v>
      </c>
      <c r="AN74" s="3">
        <f t="shared" si="726"/>
        <v>11.93</v>
      </c>
      <c r="AO74" s="3">
        <f t="shared" si="726"/>
        <v>11.93</v>
      </c>
      <c r="AP74" s="3">
        <f t="shared" si="726"/>
        <v>11.93</v>
      </c>
      <c r="AQ74" s="3">
        <f t="shared" si="726"/>
        <v>11.93</v>
      </c>
      <c r="AR74" s="3">
        <f t="shared" si="726"/>
        <v>11.93</v>
      </c>
      <c r="AS74" s="3">
        <f t="shared" si="726"/>
        <v>11.93</v>
      </c>
      <c r="AT74" s="3">
        <f t="shared" si="726"/>
        <v>11.93</v>
      </c>
      <c r="AU74" s="3">
        <f t="shared" si="726"/>
        <v>11.93</v>
      </c>
      <c r="AV74" s="3">
        <f t="shared" si="726"/>
        <v>11.93</v>
      </c>
      <c r="AW74" s="3">
        <f t="shared" si="726"/>
        <v>11.93</v>
      </c>
      <c r="AX74" s="3">
        <f t="shared" si="726"/>
        <v>11.93</v>
      </c>
      <c r="AY74" s="3">
        <f t="shared" si="726"/>
        <v>11.93</v>
      </c>
      <c r="AZ74" s="3">
        <f t="shared" si="726"/>
        <v>11.93</v>
      </c>
      <c r="BA74" s="3">
        <f t="shared" si="726"/>
        <v>11.93</v>
      </c>
      <c r="BB74" s="3">
        <f t="shared" si="726"/>
        <v>11.93</v>
      </c>
      <c r="BC74" s="3">
        <f t="shared" si="726"/>
        <v>11.93</v>
      </c>
      <c r="BD74" s="3">
        <f t="shared" si="726"/>
        <v>11.93</v>
      </c>
      <c r="BE74" s="3">
        <f t="shared" si="726"/>
        <v>11.93</v>
      </c>
      <c r="BF74" s="3">
        <f t="shared" si="726"/>
        <v>11.93</v>
      </c>
      <c r="BG74" s="3">
        <f t="shared" si="726"/>
        <v>11.93</v>
      </c>
      <c r="BH74" s="3">
        <f t="shared" si="726"/>
        <v>11.93</v>
      </c>
      <c r="BI74" s="3">
        <f t="shared" si="726"/>
        <v>11.93</v>
      </c>
      <c r="BJ74" s="3">
        <f t="shared" si="726"/>
        <v>11.93</v>
      </c>
      <c r="BK74" s="3">
        <f t="shared" si="726"/>
        <v>11.93</v>
      </c>
      <c r="BL74" s="3">
        <f t="shared" si="726"/>
        <v>11.93</v>
      </c>
      <c r="BM74" s="3">
        <f t="shared" si="726"/>
        <v>11.93</v>
      </c>
      <c r="BN74" s="3">
        <f t="shared" si="726"/>
        <v>11.93</v>
      </c>
      <c r="BO74" s="3">
        <f t="shared" si="726"/>
        <v>11.93</v>
      </c>
      <c r="BP74" s="3">
        <f t="shared" si="726"/>
        <v>11.93</v>
      </c>
      <c r="BQ74" s="3">
        <f t="shared" si="726"/>
        <v>11.93</v>
      </c>
      <c r="BR74" s="3">
        <f t="shared" si="726"/>
        <v>11.93</v>
      </c>
      <c r="BS74" s="3">
        <f t="shared" si="726"/>
        <v>11.93</v>
      </c>
      <c r="BT74" s="3">
        <f t="shared" si="726"/>
        <v>11.93</v>
      </c>
      <c r="BU74" s="3">
        <f t="shared" si="726"/>
        <v>11.93</v>
      </c>
      <c r="BV74" s="3">
        <f t="shared" si="726"/>
        <v>11.93</v>
      </c>
      <c r="BW74" s="3">
        <f t="shared" si="726"/>
        <v>11.93</v>
      </c>
      <c r="BX74" s="3">
        <f t="shared" si="726"/>
        <v>11.93</v>
      </c>
      <c r="BY74" s="3">
        <f t="shared" si="726"/>
        <v>11.93</v>
      </c>
      <c r="BZ74" s="3">
        <f t="shared" si="726"/>
        <v>11.93</v>
      </c>
      <c r="CA74" s="3">
        <f t="shared" si="726"/>
        <v>11.93</v>
      </c>
      <c r="CB74" s="3">
        <f t="shared" si="726"/>
        <v>11.93</v>
      </c>
      <c r="CC74" s="3">
        <f t="shared" si="726"/>
        <v>11.93</v>
      </c>
      <c r="CD74" s="3">
        <f t="shared" si="726"/>
        <v>11.93</v>
      </c>
      <c r="CE74" s="3">
        <f t="shared" si="726"/>
        <v>11.93</v>
      </c>
      <c r="CF74" s="3">
        <f t="shared" si="726"/>
        <v>11.93</v>
      </c>
      <c r="CG74" s="3">
        <f t="shared" si="726"/>
        <v>11.93</v>
      </c>
      <c r="CH74" s="3">
        <f t="shared" si="726"/>
        <v>11.93</v>
      </c>
      <c r="CI74" s="3">
        <f>+CJ74</f>
        <v>11.93</v>
      </c>
      <c r="CJ74" s="3">
        <f>'QTR Raw'!BD45</f>
        <v>11.93</v>
      </c>
      <c r="CK74" s="3">
        <f>'QTR Raw'!BE45</f>
        <v>11.93</v>
      </c>
      <c r="CL74" s="3">
        <f>'QTR Raw'!BF45</f>
        <v>11.93</v>
      </c>
      <c r="CM74" s="37">
        <f t="shared" ref="CM74:CM75" si="727">+CL74</f>
        <v>11.93</v>
      </c>
      <c r="CN74" s="37">
        <f t="shared" ref="CN74:CN75" si="728">+CM74</f>
        <v>11.93</v>
      </c>
      <c r="CO74" s="37">
        <f t="shared" ref="CO74:CO75" si="729">+CN74</f>
        <v>11.93</v>
      </c>
      <c r="CP74" s="37">
        <f t="shared" ref="CP74:CP75" si="730">+CO74</f>
        <v>11.93</v>
      </c>
      <c r="CQ74" s="37">
        <f t="shared" ref="CQ74:CQ75" si="731">+CP74</f>
        <v>11.93</v>
      </c>
      <c r="CR74" s="37">
        <f t="shared" ref="CR74:CR75" si="732">+CQ74</f>
        <v>11.93</v>
      </c>
      <c r="CS74" s="37">
        <f t="shared" ref="CS74:CS75" si="733">+CR74</f>
        <v>11.93</v>
      </c>
      <c r="CT74" s="37">
        <f t="shared" ref="CT74:CT75" si="734">+CS74</f>
        <v>11.93</v>
      </c>
      <c r="CU74" s="37">
        <f t="shared" ref="CU74:CU75" si="735">+CT74</f>
        <v>11.93</v>
      </c>
      <c r="CV74" s="37">
        <f t="shared" ref="CV74:CV75" si="736">+CU74</f>
        <v>11.93</v>
      </c>
      <c r="CW74" s="37">
        <f t="shared" ref="CW74:CW75" si="737">+CV74</f>
        <v>11.93</v>
      </c>
      <c r="CX74" s="37">
        <f t="shared" ref="CX74:CX75" si="738">+CW74</f>
        <v>11.93</v>
      </c>
      <c r="CY74" s="37">
        <f t="shared" ref="CY74:CY75" si="739">+CX74</f>
        <v>11.93</v>
      </c>
      <c r="CZ74" s="37">
        <f t="shared" ref="CZ74:CZ75" si="740">+CY74</f>
        <v>11.93</v>
      </c>
      <c r="DA74" s="37">
        <f t="shared" ref="DA74:DA75" si="741">+CZ74</f>
        <v>11.93</v>
      </c>
      <c r="DB74" s="37">
        <f t="shared" ref="DB74:DB75" si="742">+DA74</f>
        <v>11.93</v>
      </c>
      <c r="DE74" s="134"/>
      <c r="DF74" s="3">
        <v>11.93</v>
      </c>
    </row>
    <row r="75" spans="1:110" s="3" customFormat="1" x14ac:dyDescent="0.2">
      <c r="A75" s="3" t="s">
        <v>28</v>
      </c>
      <c r="B75" s="3">
        <f>'Annual Raw'!C105</f>
        <v>0</v>
      </c>
      <c r="C75" s="3">
        <f>'Annual Raw'!D105</f>
        <v>0</v>
      </c>
      <c r="D75" s="3">
        <f>'Annual Raw'!E105</f>
        <v>0</v>
      </c>
      <c r="E75" s="3">
        <f t="shared" ref="E75:Y75" ca="1" si="743">+F75</f>
        <v>0</v>
      </c>
      <c r="F75" s="3">
        <f t="shared" ca="1" si="743"/>
        <v>0</v>
      </c>
      <c r="G75" s="3">
        <f t="shared" ca="1" si="743"/>
        <v>0</v>
      </c>
      <c r="H75" s="3">
        <f t="shared" ca="1" si="743"/>
        <v>0</v>
      </c>
      <c r="I75" s="3">
        <f t="shared" ca="1" si="743"/>
        <v>0</v>
      </c>
      <c r="J75" s="3">
        <f t="shared" ca="1" si="743"/>
        <v>0</v>
      </c>
      <c r="K75" s="3">
        <f t="shared" ca="1" si="743"/>
        <v>0</v>
      </c>
      <c r="L75" s="3">
        <f t="shared" ca="1" si="743"/>
        <v>0</v>
      </c>
      <c r="M75" s="3">
        <f t="shared" ca="1" si="743"/>
        <v>0</v>
      </c>
      <c r="N75" s="3">
        <f t="shared" ca="1" si="743"/>
        <v>0</v>
      </c>
      <c r="O75" s="3">
        <f t="shared" ca="1" si="743"/>
        <v>0</v>
      </c>
      <c r="P75" s="3">
        <f t="shared" ca="1" si="743"/>
        <v>0</v>
      </c>
      <c r="Q75" s="3">
        <f t="shared" ca="1" si="743"/>
        <v>0</v>
      </c>
      <c r="R75" s="3">
        <f t="shared" ca="1" si="743"/>
        <v>0</v>
      </c>
      <c r="S75" s="3">
        <f t="shared" ca="1" si="743"/>
        <v>0</v>
      </c>
      <c r="T75" s="3">
        <f t="shared" ca="1" si="743"/>
        <v>0</v>
      </c>
      <c r="U75" s="3">
        <f t="shared" ca="1" si="743"/>
        <v>0</v>
      </c>
      <c r="V75" s="3">
        <f t="shared" ca="1" si="743"/>
        <v>0</v>
      </c>
      <c r="W75" s="3">
        <f t="shared" ca="1" si="743"/>
        <v>0</v>
      </c>
      <c r="X75" s="3">
        <f t="shared" ca="1" si="743"/>
        <v>0</v>
      </c>
      <c r="Y75" s="3">
        <f t="shared" ca="1" si="743"/>
        <v>0</v>
      </c>
      <c r="Z75" s="3">
        <f ca="1">+AA75</f>
        <v>0</v>
      </c>
      <c r="AA75" s="3">
        <f ca="1">+AB75</f>
        <v>0</v>
      </c>
      <c r="AB75" s="37">
        <f t="shared" ca="1" si="722"/>
        <v>0</v>
      </c>
      <c r="AC75" s="37">
        <f t="shared" ca="1" si="723"/>
        <v>0</v>
      </c>
      <c r="AD75" s="37">
        <f t="shared" ca="1" si="724"/>
        <v>0</v>
      </c>
      <c r="AE75" s="37">
        <f t="shared" ca="1" si="725"/>
        <v>0</v>
      </c>
      <c r="AI75" s="3">
        <f t="shared" ref="AI75:CH75" si="744">AJ75</f>
        <v>5</v>
      </c>
      <c r="AJ75" s="3">
        <f t="shared" si="744"/>
        <v>5</v>
      </c>
      <c r="AK75" s="3">
        <f t="shared" si="744"/>
        <v>5</v>
      </c>
      <c r="AL75" s="3">
        <f t="shared" si="744"/>
        <v>5</v>
      </c>
      <c r="AM75" s="3">
        <f t="shared" si="744"/>
        <v>5</v>
      </c>
      <c r="AN75" s="3">
        <f t="shared" si="744"/>
        <v>5</v>
      </c>
      <c r="AO75" s="3">
        <f t="shared" si="744"/>
        <v>5</v>
      </c>
      <c r="AP75" s="3">
        <f t="shared" si="744"/>
        <v>5</v>
      </c>
      <c r="AQ75" s="3">
        <f t="shared" si="744"/>
        <v>5</v>
      </c>
      <c r="AR75" s="3">
        <f t="shared" si="744"/>
        <v>5</v>
      </c>
      <c r="AS75" s="3">
        <f t="shared" si="744"/>
        <v>5</v>
      </c>
      <c r="AT75" s="3">
        <f t="shared" si="744"/>
        <v>5</v>
      </c>
      <c r="AU75" s="3">
        <f t="shared" si="744"/>
        <v>5</v>
      </c>
      <c r="AV75" s="3">
        <f t="shared" si="744"/>
        <v>5</v>
      </c>
      <c r="AW75" s="3">
        <f t="shared" si="744"/>
        <v>5</v>
      </c>
      <c r="AX75" s="3">
        <f t="shared" si="744"/>
        <v>5</v>
      </c>
      <c r="AY75" s="3">
        <f t="shared" si="744"/>
        <v>5</v>
      </c>
      <c r="AZ75" s="3">
        <f t="shared" si="744"/>
        <v>5</v>
      </c>
      <c r="BA75" s="3">
        <f t="shared" si="744"/>
        <v>5</v>
      </c>
      <c r="BB75" s="3">
        <f t="shared" si="744"/>
        <v>5</v>
      </c>
      <c r="BC75" s="3">
        <f t="shared" si="744"/>
        <v>5</v>
      </c>
      <c r="BD75" s="3">
        <f t="shared" si="744"/>
        <v>5</v>
      </c>
      <c r="BE75" s="3">
        <f t="shared" si="744"/>
        <v>5</v>
      </c>
      <c r="BF75" s="3">
        <f t="shared" si="744"/>
        <v>5</v>
      </c>
      <c r="BG75" s="3">
        <f t="shared" si="744"/>
        <v>5</v>
      </c>
      <c r="BH75" s="3">
        <f t="shared" si="744"/>
        <v>5</v>
      </c>
      <c r="BI75" s="3">
        <f t="shared" si="744"/>
        <v>5</v>
      </c>
      <c r="BJ75" s="3">
        <f t="shared" si="744"/>
        <v>5</v>
      </c>
      <c r="BK75" s="3">
        <f t="shared" si="744"/>
        <v>5</v>
      </c>
      <c r="BL75" s="3">
        <f t="shared" si="744"/>
        <v>5</v>
      </c>
      <c r="BM75" s="3">
        <f t="shared" si="744"/>
        <v>5</v>
      </c>
      <c r="BN75" s="3">
        <f t="shared" si="744"/>
        <v>5</v>
      </c>
      <c r="BO75" s="3">
        <f t="shared" si="744"/>
        <v>5</v>
      </c>
      <c r="BP75" s="3">
        <f t="shared" si="744"/>
        <v>5</v>
      </c>
      <c r="BQ75" s="3">
        <f t="shared" si="744"/>
        <v>5</v>
      </c>
      <c r="BR75" s="3">
        <f t="shared" si="744"/>
        <v>5</v>
      </c>
      <c r="BS75" s="3">
        <f t="shared" si="744"/>
        <v>5</v>
      </c>
      <c r="BT75" s="3">
        <f t="shared" si="744"/>
        <v>5</v>
      </c>
      <c r="BU75" s="3">
        <f t="shared" si="744"/>
        <v>5</v>
      </c>
      <c r="BV75" s="3">
        <f t="shared" si="744"/>
        <v>5</v>
      </c>
      <c r="BW75" s="3">
        <f t="shared" si="744"/>
        <v>5</v>
      </c>
      <c r="BX75" s="3">
        <f t="shared" si="744"/>
        <v>5</v>
      </c>
      <c r="BY75" s="3">
        <f t="shared" si="744"/>
        <v>5</v>
      </c>
      <c r="BZ75" s="3">
        <f t="shared" si="744"/>
        <v>5</v>
      </c>
      <c r="CA75" s="3">
        <f t="shared" si="744"/>
        <v>5</v>
      </c>
      <c r="CB75" s="3">
        <f t="shared" si="744"/>
        <v>5</v>
      </c>
      <c r="CC75" s="3">
        <f t="shared" si="744"/>
        <v>5</v>
      </c>
      <c r="CD75" s="3">
        <f t="shared" si="744"/>
        <v>5</v>
      </c>
      <c r="CE75" s="3">
        <f t="shared" si="744"/>
        <v>5</v>
      </c>
      <c r="CF75" s="3">
        <f t="shared" si="744"/>
        <v>5</v>
      </c>
      <c r="CG75" s="3">
        <f t="shared" si="744"/>
        <v>5</v>
      </c>
      <c r="CH75" s="3">
        <f t="shared" si="744"/>
        <v>5</v>
      </c>
      <c r="CI75" s="3">
        <f>CJ75</f>
        <v>5</v>
      </c>
      <c r="CJ75" s="3">
        <f>'QTR Raw'!BD46</f>
        <v>5</v>
      </c>
      <c r="CK75" s="3">
        <f>'QTR Raw'!BE46</f>
        <v>5</v>
      </c>
      <c r="CL75" s="3">
        <f>'QTR Raw'!BF46</f>
        <v>5</v>
      </c>
      <c r="CM75" s="37">
        <f t="shared" si="727"/>
        <v>5</v>
      </c>
      <c r="CN75" s="37">
        <f t="shared" si="728"/>
        <v>5</v>
      </c>
      <c r="CO75" s="37">
        <f t="shared" si="729"/>
        <v>5</v>
      </c>
      <c r="CP75" s="37">
        <f t="shared" si="730"/>
        <v>5</v>
      </c>
      <c r="CQ75" s="37">
        <f t="shared" si="731"/>
        <v>5</v>
      </c>
      <c r="CR75" s="37">
        <f t="shared" si="732"/>
        <v>5</v>
      </c>
      <c r="CS75" s="37">
        <f t="shared" si="733"/>
        <v>5</v>
      </c>
      <c r="CT75" s="37">
        <f t="shared" si="734"/>
        <v>5</v>
      </c>
      <c r="CU75" s="37">
        <f t="shared" si="735"/>
        <v>5</v>
      </c>
      <c r="CV75" s="37">
        <f t="shared" si="736"/>
        <v>5</v>
      </c>
      <c r="CW75" s="37">
        <f t="shared" si="737"/>
        <v>5</v>
      </c>
      <c r="CX75" s="37">
        <f t="shared" si="738"/>
        <v>5</v>
      </c>
      <c r="CY75" s="37">
        <f t="shared" si="739"/>
        <v>5</v>
      </c>
      <c r="CZ75" s="37">
        <f t="shared" si="740"/>
        <v>5</v>
      </c>
      <c r="DA75" s="37">
        <f t="shared" si="741"/>
        <v>5</v>
      </c>
      <c r="DB75" s="37">
        <f t="shared" si="742"/>
        <v>5</v>
      </c>
      <c r="DE75" s="134"/>
      <c r="DF75" s="3">
        <v>5</v>
      </c>
    </row>
    <row r="76" spans="1:110" s="3" customFormat="1" x14ac:dyDescent="0.2">
      <c r="A76" s="3" t="s">
        <v>29</v>
      </c>
      <c r="B76" s="3" t="e">
        <f>B74/B75</f>
        <v>#DIV/0!</v>
      </c>
      <c r="C76" s="3" t="e">
        <f t="shared" ref="C76:W76" si="745">C74/C75</f>
        <v>#DIV/0!</v>
      </c>
      <c r="D76" s="3" t="e">
        <f t="shared" si="745"/>
        <v>#DIV/0!</v>
      </c>
      <c r="E76" s="3" t="e">
        <f t="shared" ca="1" si="745"/>
        <v>#DIV/0!</v>
      </c>
      <c r="F76" s="3" t="e">
        <f t="shared" ca="1" si="745"/>
        <v>#DIV/0!</v>
      </c>
      <c r="G76" s="3" t="e">
        <f t="shared" ca="1" si="745"/>
        <v>#DIV/0!</v>
      </c>
      <c r="H76" s="3" t="e">
        <f t="shared" ca="1" si="745"/>
        <v>#DIV/0!</v>
      </c>
      <c r="I76" s="3" t="e">
        <f t="shared" ca="1" si="745"/>
        <v>#DIV/0!</v>
      </c>
      <c r="J76" s="3" t="e">
        <f t="shared" ca="1" si="745"/>
        <v>#DIV/0!</v>
      </c>
      <c r="K76" s="3" t="e">
        <f t="shared" ca="1" si="745"/>
        <v>#DIV/0!</v>
      </c>
      <c r="L76" s="3" t="e">
        <f t="shared" ca="1" si="745"/>
        <v>#DIV/0!</v>
      </c>
      <c r="M76" s="3" t="e">
        <f t="shared" ca="1" si="745"/>
        <v>#DIV/0!</v>
      </c>
      <c r="N76" s="3" t="e">
        <f t="shared" ca="1" si="745"/>
        <v>#DIV/0!</v>
      </c>
      <c r="O76" s="3" t="e">
        <f t="shared" ca="1" si="745"/>
        <v>#DIV/0!</v>
      </c>
      <c r="P76" s="3" t="e">
        <f t="shared" ca="1" si="745"/>
        <v>#DIV/0!</v>
      </c>
      <c r="Q76" s="3" t="e">
        <f t="shared" ca="1" si="745"/>
        <v>#DIV/0!</v>
      </c>
      <c r="R76" s="3" t="e">
        <f t="shared" ca="1" si="745"/>
        <v>#DIV/0!</v>
      </c>
      <c r="S76" s="3" t="e">
        <f t="shared" ca="1" si="745"/>
        <v>#DIV/0!</v>
      </c>
      <c r="T76" s="3" t="e">
        <f t="shared" ca="1" si="745"/>
        <v>#DIV/0!</v>
      </c>
      <c r="U76" s="3" t="e">
        <f t="shared" ca="1" si="745"/>
        <v>#DIV/0!</v>
      </c>
      <c r="V76" s="3" t="e">
        <f ca="1">V74/V75</f>
        <v>#DIV/0!</v>
      </c>
      <c r="W76" s="3" t="e">
        <f t="shared" ca="1" si="745"/>
        <v>#DIV/0!</v>
      </c>
      <c r="X76" s="3" t="e">
        <f t="shared" ref="X76:Y76" ca="1" si="746">X74/X75</f>
        <v>#DIV/0!</v>
      </c>
      <c r="Y76" s="3" t="e">
        <f t="shared" ca="1" si="746"/>
        <v>#DIV/0!</v>
      </c>
      <c r="Z76" s="3" t="e">
        <f t="shared" ref="Z76:AA76" ca="1" si="747">Z74/Z75</f>
        <v>#DIV/0!</v>
      </c>
      <c r="AA76" s="3" t="e">
        <f t="shared" ca="1" si="747"/>
        <v>#DIV/0!</v>
      </c>
      <c r="AB76" s="37" t="e">
        <f t="shared" ref="AA76:AD76" ca="1" si="748">AB74/AB75</f>
        <v>#DIV/0!</v>
      </c>
      <c r="AC76" s="37" t="e">
        <f t="shared" ca="1" si="748"/>
        <v>#DIV/0!</v>
      </c>
      <c r="AD76" s="37" t="e">
        <f t="shared" ca="1" si="748"/>
        <v>#DIV/0!</v>
      </c>
      <c r="AE76" s="37" t="e">
        <f t="shared" ref="AE76" ca="1" si="749">AE74/AE75</f>
        <v>#DIV/0!</v>
      </c>
      <c r="AI76" s="3">
        <f t="shared" ref="AI76" si="750">AI74/AI75</f>
        <v>2.3860000000000001</v>
      </c>
      <c r="AJ76" s="3">
        <f t="shared" ref="AJ76" si="751">AJ74/AJ75</f>
        <v>2.3860000000000001</v>
      </c>
      <c r="AK76" s="3">
        <f t="shared" ref="AK76:AM76" si="752">AK74/AK75</f>
        <v>2.3860000000000001</v>
      </c>
      <c r="AL76" s="3">
        <f t="shared" si="752"/>
        <v>2.3860000000000001</v>
      </c>
      <c r="AM76" s="3">
        <f t="shared" si="752"/>
        <v>2.3860000000000001</v>
      </c>
      <c r="AN76" s="3">
        <f t="shared" ref="AN76:AO76" si="753">AN74/AN75</f>
        <v>2.3860000000000001</v>
      </c>
      <c r="AO76" s="3">
        <f t="shared" si="753"/>
        <v>2.3860000000000001</v>
      </c>
      <c r="AP76" s="3">
        <f t="shared" ref="AP76:CD76" si="754">AP74/AP75</f>
        <v>2.3860000000000001</v>
      </c>
      <c r="AQ76" s="3">
        <f t="shared" si="754"/>
        <v>2.3860000000000001</v>
      </c>
      <c r="AR76" s="3">
        <f t="shared" si="754"/>
        <v>2.3860000000000001</v>
      </c>
      <c r="AS76" s="3">
        <f t="shared" si="754"/>
        <v>2.3860000000000001</v>
      </c>
      <c r="AT76" s="3">
        <f t="shared" si="754"/>
        <v>2.3860000000000001</v>
      </c>
      <c r="AU76" s="3">
        <f t="shared" si="754"/>
        <v>2.3860000000000001</v>
      </c>
      <c r="AV76" s="3">
        <f t="shared" si="754"/>
        <v>2.3860000000000001</v>
      </c>
      <c r="AW76" s="3">
        <f t="shared" si="754"/>
        <v>2.3860000000000001</v>
      </c>
      <c r="AX76" s="3">
        <f t="shared" si="754"/>
        <v>2.3860000000000001</v>
      </c>
      <c r="AY76" s="3">
        <f t="shared" si="754"/>
        <v>2.3860000000000001</v>
      </c>
      <c r="AZ76" s="3">
        <f t="shared" si="754"/>
        <v>2.3860000000000001</v>
      </c>
      <c r="BA76" s="3">
        <f t="shared" si="754"/>
        <v>2.3860000000000001</v>
      </c>
      <c r="BB76" s="3">
        <f t="shared" si="754"/>
        <v>2.3860000000000001</v>
      </c>
      <c r="BC76" s="3">
        <f t="shared" si="754"/>
        <v>2.3860000000000001</v>
      </c>
      <c r="BD76" s="3">
        <f t="shared" si="754"/>
        <v>2.3860000000000001</v>
      </c>
      <c r="BE76" s="3">
        <f t="shared" si="754"/>
        <v>2.3860000000000001</v>
      </c>
      <c r="BF76" s="3">
        <f t="shared" si="754"/>
        <v>2.3860000000000001</v>
      </c>
      <c r="BG76" s="3">
        <f t="shared" si="754"/>
        <v>2.3860000000000001</v>
      </c>
      <c r="BH76" s="3">
        <f t="shared" si="754"/>
        <v>2.3860000000000001</v>
      </c>
      <c r="BI76" s="3">
        <f t="shared" si="754"/>
        <v>2.3860000000000001</v>
      </c>
      <c r="BJ76" s="3">
        <f t="shared" si="754"/>
        <v>2.3860000000000001</v>
      </c>
      <c r="BK76" s="3">
        <f t="shared" si="754"/>
        <v>2.3860000000000001</v>
      </c>
      <c r="BL76" s="3">
        <f t="shared" si="754"/>
        <v>2.3860000000000001</v>
      </c>
      <c r="BM76" s="3">
        <f t="shared" si="754"/>
        <v>2.3860000000000001</v>
      </c>
      <c r="BN76" s="3">
        <f t="shared" si="754"/>
        <v>2.3860000000000001</v>
      </c>
      <c r="BO76" s="3">
        <f t="shared" si="754"/>
        <v>2.3860000000000001</v>
      </c>
      <c r="BP76" s="3">
        <f t="shared" si="754"/>
        <v>2.3860000000000001</v>
      </c>
      <c r="BQ76" s="3">
        <f t="shared" si="754"/>
        <v>2.3860000000000001</v>
      </c>
      <c r="BR76" s="3">
        <f t="shared" si="754"/>
        <v>2.3860000000000001</v>
      </c>
      <c r="BS76" s="3">
        <f t="shared" si="754"/>
        <v>2.3860000000000001</v>
      </c>
      <c r="BT76" s="3">
        <f t="shared" si="754"/>
        <v>2.3860000000000001</v>
      </c>
      <c r="BU76" s="3">
        <f t="shared" si="754"/>
        <v>2.3860000000000001</v>
      </c>
      <c r="BV76" s="3">
        <f t="shared" si="754"/>
        <v>2.3860000000000001</v>
      </c>
      <c r="BW76" s="3">
        <f t="shared" si="754"/>
        <v>2.3860000000000001</v>
      </c>
      <c r="BX76" s="3">
        <f t="shared" si="754"/>
        <v>2.3860000000000001</v>
      </c>
      <c r="BY76" s="3">
        <f t="shared" si="754"/>
        <v>2.3860000000000001</v>
      </c>
      <c r="BZ76" s="3">
        <f t="shared" si="754"/>
        <v>2.3860000000000001</v>
      </c>
      <c r="CA76" s="3">
        <f t="shared" si="754"/>
        <v>2.3860000000000001</v>
      </c>
      <c r="CB76" s="3">
        <f t="shared" si="754"/>
        <v>2.3860000000000001</v>
      </c>
      <c r="CC76" s="3">
        <f t="shared" si="754"/>
        <v>2.3860000000000001</v>
      </c>
      <c r="CD76" s="3">
        <f t="shared" si="754"/>
        <v>2.3860000000000001</v>
      </c>
      <c r="CE76" s="3">
        <f t="shared" ref="CE76:CF76" si="755">CE74/CE75</f>
        <v>2.3860000000000001</v>
      </c>
      <c r="CF76" s="3">
        <f t="shared" si="755"/>
        <v>2.3860000000000001</v>
      </c>
      <c r="CG76" s="3">
        <f t="shared" ref="CG76:CH76" si="756">CG74/CG75</f>
        <v>2.3860000000000001</v>
      </c>
      <c r="CH76" s="3">
        <f t="shared" si="756"/>
        <v>2.3860000000000001</v>
      </c>
      <c r="CI76" s="3">
        <f t="shared" ref="CI76:CJ76" si="757">CI74/CI75</f>
        <v>2.3860000000000001</v>
      </c>
      <c r="CJ76" s="3">
        <f t="shared" si="757"/>
        <v>2.3860000000000001</v>
      </c>
      <c r="CK76" s="3">
        <f t="shared" ref="CK76:CL76" si="758">CK74/CK75</f>
        <v>2.3860000000000001</v>
      </c>
      <c r="CL76" s="3">
        <f t="shared" si="758"/>
        <v>2.3860000000000001</v>
      </c>
      <c r="CM76" s="37">
        <f t="shared" ref="CM76:DB76" si="759">CM74/CM75</f>
        <v>2.3860000000000001</v>
      </c>
      <c r="CN76" s="37">
        <f t="shared" si="759"/>
        <v>2.3860000000000001</v>
      </c>
      <c r="CO76" s="37">
        <f t="shared" si="759"/>
        <v>2.3860000000000001</v>
      </c>
      <c r="CP76" s="37">
        <f t="shared" si="759"/>
        <v>2.3860000000000001</v>
      </c>
      <c r="CQ76" s="37">
        <f t="shared" si="759"/>
        <v>2.3860000000000001</v>
      </c>
      <c r="CR76" s="37">
        <f t="shared" si="759"/>
        <v>2.3860000000000001</v>
      </c>
      <c r="CS76" s="37">
        <f t="shared" si="759"/>
        <v>2.3860000000000001</v>
      </c>
      <c r="CT76" s="37">
        <f t="shared" si="759"/>
        <v>2.3860000000000001</v>
      </c>
      <c r="CU76" s="37">
        <f t="shared" si="759"/>
        <v>2.3860000000000001</v>
      </c>
      <c r="CV76" s="37">
        <f t="shared" si="759"/>
        <v>2.3860000000000001</v>
      </c>
      <c r="CW76" s="37">
        <f t="shared" si="759"/>
        <v>2.3860000000000001</v>
      </c>
      <c r="CX76" s="37">
        <f t="shared" si="759"/>
        <v>2.3860000000000001</v>
      </c>
      <c r="CY76" s="37">
        <f t="shared" si="759"/>
        <v>2.3860000000000001</v>
      </c>
      <c r="CZ76" s="37">
        <f t="shared" si="759"/>
        <v>2.3860000000000001</v>
      </c>
      <c r="DA76" s="37">
        <f t="shared" si="759"/>
        <v>2.3860000000000001</v>
      </c>
      <c r="DB76" s="37">
        <f t="shared" si="759"/>
        <v>2.3860000000000001</v>
      </c>
      <c r="DE76" s="134"/>
      <c r="DF76" s="3">
        <v>2.3860000000000001</v>
      </c>
    </row>
    <row r="77" spans="1:110" s="53" customFormat="1" x14ac:dyDescent="0.2">
      <c r="A77" s="53" t="s">
        <v>30</v>
      </c>
      <c r="B77" s="53" t="e">
        <f t="shared" ref="B77:AE77" si="760">(B59-B58)/B76</f>
        <v>#DIV/0!</v>
      </c>
      <c r="C77" s="53" t="e">
        <f t="shared" si="760"/>
        <v>#DIV/0!</v>
      </c>
      <c r="D77" s="53" t="e">
        <f t="shared" si="760"/>
        <v>#DIV/0!</v>
      </c>
      <c r="E77" s="53" t="e">
        <f t="shared" ca="1" si="760"/>
        <v>#DIV/0!</v>
      </c>
      <c r="F77" s="53" t="e">
        <f t="shared" ca="1" si="760"/>
        <v>#DIV/0!</v>
      </c>
      <c r="G77" s="53" t="e">
        <f t="shared" ca="1" si="760"/>
        <v>#DIV/0!</v>
      </c>
      <c r="H77" s="53" t="e">
        <f t="shared" ca="1" si="760"/>
        <v>#DIV/0!</v>
      </c>
      <c r="I77" s="53" t="e">
        <f t="shared" ca="1" si="760"/>
        <v>#DIV/0!</v>
      </c>
      <c r="J77" s="53" t="e">
        <f t="shared" ca="1" si="760"/>
        <v>#DIV/0!</v>
      </c>
      <c r="K77" s="53" t="e">
        <f t="shared" ca="1" si="760"/>
        <v>#DIV/0!</v>
      </c>
      <c r="L77" s="53" t="e">
        <f t="shared" ca="1" si="760"/>
        <v>#DIV/0!</v>
      </c>
      <c r="M77" s="53" t="e">
        <f t="shared" ca="1" si="760"/>
        <v>#DIV/0!</v>
      </c>
      <c r="N77" s="53" t="e">
        <f t="shared" ca="1" si="760"/>
        <v>#DIV/0!</v>
      </c>
      <c r="O77" s="53" t="e">
        <f t="shared" ca="1" si="760"/>
        <v>#DIV/0!</v>
      </c>
      <c r="P77" s="53" t="e">
        <f t="shared" ca="1" si="760"/>
        <v>#DIV/0!</v>
      </c>
      <c r="Q77" s="53" t="e">
        <f t="shared" ca="1" si="760"/>
        <v>#DIV/0!</v>
      </c>
      <c r="R77" s="53" t="e">
        <f t="shared" ca="1" si="760"/>
        <v>#DIV/0!</v>
      </c>
      <c r="S77" s="53" t="e">
        <f t="shared" ca="1" si="760"/>
        <v>#DIV/0!</v>
      </c>
      <c r="T77" s="53" t="e">
        <f t="shared" ca="1" si="760"/>
        <v>#DIV/0!</v>
      </c>
      <c r="U77" s="53" t="e">
        <f t="shared" ca="1" si="760"/>
        <v>#DIV/0!</v>
      </c>
      <c r="V77" s="53" t="e">
        <f t="shared" ca="1" si="760"/>
        <v>#DIV/0!</v>
      </c>
      <c r="W77" s="53" t="e">
        <f t="shared" ca="1" si="760"/>
        <v>#DIV/0!</v>
      </c>
      <c r="X77" s="53" t="e">
        <f t="shared" ca="1" si="760"/>
        <v>#DIV/0!</v>
      </c>
      <c r="Y77" s="53" t="e">
        <f t="shared" ca="1" si="760"/>
        <v>#DIV/0!</v>
      </c>
      <c r="Z77" s="53" t="e">
        <f t="shared" ca="1" si="760"/>
        <v>#DIV/0!</v>
      </c>
      <c r="AA77" s="53" t="e">
        <f t="shared" ref="AA77" ca="1" si="761">(AA59-AA58)/AA76</f>
        <v>#DIV/0!</v>
      </c>
      <c r="AB77" s="54" t="e">
        <f t="shared" ca="1" si="760"/>
        <v>#DIV/0!</v>
      </c>
      <c r="AC77" s="54" t="e">
        <f t="shared" ca="1" si="760"/>
        <v>#DIV/0!</v>
      </c>
      <c r="AD77" s="54" t="e">
        <f t="shared" ca="1" si="760"/>
        <v>#DIV/0!</v>
      </c>
      <c r="AE77" s="54" t="e">
        <f t="shared" ca="1" si="760"/>
        <v>#DIV/0!</v>
      </c>
      <c r="AI77" s="53">
        <f t="shared" ref="AI77:BN77" si="762">(AI59-AI58)/AI76</f>
        <v>0</v>
      </c>
      <c r="AJ77" s="53">
        <f t="shared" si="762"/>
        <v>0</v>
      </c>
      <c r="AK77" s="53">
        <f t="shared" si="762"/>
        <v>0</v>
      </c>
      <c r="AL77" s="53">
        <f t="shared" si="762"/>
        <v>0</v>
      </c>
      <c r="AM77" s="53">
        <f t="shared" si="762"/>
        <v>0</v>
      </c>
      <c r="AN77" s="53">
        <f t="shared" si="762"/>
        <v>0</v>
      </c>
      <c r="AO77" s="53">
        <f t="shared" si="762"/>
        <v>0</v>
      </c>
      <c r="AP77" s="53">
        <f t="shared" si="762"/>
        <v>0</v>
      </c>
      <c r="AQ77" s="53">
        <f t="shared" si="762"/>
        <v>0</v>
      </c>
      <c r="AR77" s="53">
        <f t="shared" si="762"/>
        <v>0</v>
      </c>
      <c r="AS77" s="53">
        <f t="shared" si="762"/>
        <v>0</v>
      </c>
      <c r="AT77" s="53">
        <f t="shared" si="762"/>
        <v>0</v>
      </c>
      <c r="AU77" s="53">
        <f t="shared" si="762"/>
        <v>0</v>
      </c>
      <c r="AV77" s="53">
        <f t="shared" si="762"/>
        <v>0</v>
      </c>
      <c r="AW77" s="53">
        <f t="shared" si="762"/>
        <v>0</v>
      </c>
      <c r="AX77" s="53">
        <f t="shared" si="762"/>
        <v>0</v>
      </c>
      <c r="AY77" s="53">
        <f t="shared" si="762"/>
        <v>0</v>
      </c>
      <c r="AZ77" s="53">
        <f t="shared" si="762"/>
        <v>0</v>
      </c>
      <c r="BA77" s="53">
        <f t="shared" si="762"/>
        <v>0</v>
      </c>
      <c r="BB77" s="53">
        <f t="shared" si="762"/>
        <v>0</v>
      </c>
      <c r="BC77" s="53">
        <f t="shared" si="762"/>
        <v>0</v>
      </c>
      <c r="BD77" s="53">
        <f t="shared" si="762"/>
        <v>0</v>
      </c>
      <c r="BE77" s="53">
        <f t="shared" si="762"/>
        <v>0</v>
      </c>
      <c r="BF77" s="53">
        <f t="shared" si="762"/>
        <v>0</v>
      </c>
      <c r="BG77" s="53">
        <f t="shared" si="762"/>
        <v>0</v>
      </c>
      <c r="BH77" s="53">
        <f t="shared" si="762"/>
        <v>0</v>
      </c>
      <c r="BI77" s="53">
        <f t="shared" si="762"/>
        <v>0</v>
      </c>
      <c r="BJ77" s="53">
        <f t="shared" si="762"/>
        <v>0</v>
      </c>
      <c r="BK77" s="53">
        <f t="shared" si="762"/>
        <v>0</v>
      </c>
      <c r="BL77" s="53">
        <f t="shared" si="762"/>
        <v>0</v>
      </c>
      <c r="BM77" s="53">
        <f t="shared" si="762"/>
        <v>0</v>
      </c>
      <c r="BN77" s="53">
        <f t="shared" si="762"/>
        <v>1.7015926236378982</v>
      </c>
      <c r="BO77" s="53">
        <f t="shared" ref="BO77:CT77" si="763">(BO59-BO58)/BO76</f>
        <v>-6.8021793797150103</v>
      </c>
      <c r="BP77" s="53">
        <f t="shared" si="763"/>
        <v>9.5683151718357013</v>
      </c>
      <c r="BQ77" s="53">
        <f t="shared" si="763"/>
        <v>18.222967309304266</v>
      </c>
      <c r="BR77" s="53">
        <f t="shared" si="763"/>
        <v>19.815590947191936</v>
      </c>
      <c r="BS77" s="53">
        <f t="shared" si="763"/>
        <v>10.088013411567468</v>
      </c>
      <c r="BT77" s="53">
        <f t="shared" si="763"/>
        <v>20.938809723386424</v>
      </c>
      <c r="BU77" s="53">
        <f t="shared" si="763"/>
        <v>15.758591785414898</v>
      </c>
      <c r="BV77" s="53">
        <f t="shared" si="763"/>
        <v>21.567476948868393</v>
      </c>
      <c r="BW77" s="53">
        <f t="shared" si="763"/>
        <v>23.738474434199514</v>
      </c>
      <c r="BX77" s="53">
        <f t="shared" si="763"/>
        <v>26.186085498742688</v>
      </c>
      <c r="BY77" s="53">
        <f t="shared" si="763"/>
        <v>21.630343671416579</v>
      </c>
      <c r="BZ77" s="53">
        <f t="shared" si="763"/>
        <v>32.54819782062026</v>
      </c>
      <c r="CA77" s="53">
        <f t="shared" si="763"/>
        <v>31.215423302598538</v>
      </c>
      <c r="CB77" s="53">
        <f t="shared" si="763"/>
        <v>39.622799664710833</v>
      </c>
      <c r="CC77" s="53">
        <f t="shared" si="763"/>
        <v>30.645431684828189</v>
      </c>
      <c r="CD77" s="53">
        <f t="shared" si="763"/>
        <v>26.12321877619447</v>
      </c>
      <c r="CE77" s="53">
        <f t="shared" si="763"/>
        <v>22.292539815590985</v>
      </c>
      <c r="CF77" s="53">
        <f t="shared" si="763"/>
        <v>25.854987426655523</v>
      </c>
      <c r="CG77" s="53">
        <f t="shared" si="763"/>
        <v>11.605196982397278</v>
      </c>
      <c r="CH77" s="53">
        <f t="shared" si="763"/>
        <v>32.468566638725946</v>
      </c>
      <c r="CI77" s="53">
        <f t="shared" si="763"/>
        <v>32.623637887678093</v>
      </c>
      <c r="CJ77" s="53">
        <f t="shared" si="763"/>
        <v>38.285834031852367</v>
      </c>
      <c r="CK77" s="53">
        <f t="shared" ref="CK77:CL77" si="764">(CK59-CK58)/CK76</f>
        <v>46.43336127409902</v>
      </c>
      <c r="CL77" s="53">
        <f t="shared" si="764"/>
        <v>49.019279128248193</v>
      </c>
      <c r="CM77" s="54">
        <f t="shared" si="763"/>
        <v>32.840415517347033</v>
      </c>
      <c r="CN77" s="54">
        <f t="shared" si="763"/>
        <v>47.521839401013111</v>
      </c>
      <c r="CO77" s="54">
        <f t="shared" si="763"/>
        <v>53.280889112194743</v>
      </c>
      <c r="CP77" s="54">
        <f t="shared" si="763"/>
        <v>63.307030308634182</v>
      </c>
      <c r="CQ77" s="54">
        <f t="shared" si="763"/>
        <v>57.765593505673003</v>
      </c>
      <c r="CR77" s="54">
        <f t="shared" si="763"/>
        <v>73.537561410445932</v>
      </c>
      <c r="CS77" s="54">
        <f t="shared" si="763"/>
        <v>78.56867937049897</v>
      </c>
      <c r="CT77" s="54">
        <f t="shared" si="763"/>
        <v>90.625445175232784</v>
      </c>
      <c r="CU77" s="54">
        <f t="shared" ref="CU77:DB77" si="765">(CU59-CU58)/CU76</f>
        <v>83.976497891177246</v>
      </c>
      <c r="CV77" s="54">
        <f t="shared" si="765"/>
        <v>101.87057209336734</v>
      </c>
      <c r="CW77" s="54">
        <f t="shared" si="765"/>
        <v>107.26045276859661</v>
      </c>
      <c r="CX77" s="54">
        <f t="shared" si="765"/>
        <v>121.27535642938609</v>
      </c>
      <c r="CY77" s="54">
        <f t="shared" si="765"/>
        <v>113.03741119673343</v>
      </c>
      <c r="CZ77" s="54">
        <f t="shared" si="765"/>
        <v>133.73018912833408</v>
      </c>
      <c r="DA77" s="54">
        <f t="shared" si="765"/>
        <v>139.73377830747211</v>
      </c>
      <c r="DB77" s="54">
        <f t="shared" si="765"/>
        <v>155.96213950214536</v>
      </c>
      <c r="DE77" s="132"/>
      <c r="DF77" s="53">
        <v>43.377636577589719</v>
      </c>
    </row>
    <row r="78" spans="1:110" s="3" customFormat="1" x14ac:dyDescent="0.2">
      <c r="A78" s="3" t="s">
        <v>31</v>
      </c>
      <c r="B78" s="3">
        <f>'Annual Raw'!C110</f>
        <v>0</v>
      </c>
      <c r="C78" s="3">
        <f>'Annual Raw'!D110</f>
        <v>0</v>
      </c>
      <c r="D78" s="3">
        <f>'Annual Raw'!E110</f>
        <v>0</v>
      </c>
      <c r="E78" s="3">
        <f>'Annual Raw'!F110</f>
        <v>0</v>
      </c>
      <c r="F78" s="3">
        <f>'Annual Raw'!G110</f>
        <v>0.126984126984127</v>
      </c>
      <c r="G78" s="3">
        <f>'Annual Raw'!H110</f>
        <v>0.126984126984127</v>
      </c>
      <c r="H78" s="3">
        <f>'Annual Raw'!I110</f>
        <v>0.28571428571428598</v>
      </c>
      <c r="I78" s="3">
        <f>'Annual Raw'!J110</f>
        <v>0.28571428571428598</v>
      </c>
      <c r="J78" s="3">
        <f>'Annual Raw'!K110</f>
        <v>0.28571428571428598</v>
      </c>
      <c r="K78" s="3">
        <f>'Annual Raw'!L110</f>
        <v>0.28571428571428598</v>
      </c>
      <c r="L78" s="3">
        <f>'Annual Raw'!M110</f>
        <v>0</v>
      </c>
      <c r="M78" s="3">
        <f>'Annual Raw'!N110</f>
        <v>0</v>
      </c>
      <c r="N78" s="3">
        <f>'Annual Raw'!O110</f>
        <v>0.28571428571428598</v>
      </c>
      <c r="O78" s="3">
        <f>'Annual Raw'!P110</f>
        <v>0.28571428571428598</v>
      </c>
      <c r="P78" s="3">
        <f>'Annual Raw'!Q110</f>
        <v>0.28571428571428598</v>
      </c>
      <c r="Q78" s="3">
        <f>'Annual Raw'!R110</f>
        <v>0.28571428571428598</v>
      </c>
      <c r="R78" s="3">
        <f>'Annual Raw'!S110</f>
        <v>0.28571428571428598</v>
      </c>
      <c r="S78" s="3">
        <f>'Annual Raw'!T110</f>
        <v>10</v>
      </c>
      <c r="T78" s="3">
        <f>'Annual Raw'!U110</f>
        <v>2.5</v>
      </c>
      <c r="U78" s="3">
        <f>'Annual Raw'!V110</f>
        <v>0</v>
      </c>
      <c r="V78" s="3">
        <f>'Annual Raw'!W110</f>
        <v>0</v>
      </c>
      <c r="W78" s="3">
        <f>'Annual Raw'!X110</f>
        <v>3.75</v>
      </c>
      <c r="X78" s="3">
        <f>'Annual Raw'!Y110</f>
        <v>11.25</v>
      </c>
      <c r="Y78" s="3">
        <f>'Annual Raw'!Z110</f>
        <v>11.25</v>
      </c>
      <c r="Z78" s="3">
        <f>'Annual Raw'!AA110</f>
        <v>5</v>
      </c>
      <c r="AA78" s="3">
        <f>'Annual Raw'!AB110</f>
        <v>0</v>
      </c>
      <c r="AB78" s="37"/>
      <c r="AC78" s="37"/>
      <c r="AD78" s="37"/>
      <c r="AE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</row>
    <row r="79" spans="1:110" s="3" customFormat="1" x14ac:dyDescent="0.2">
      <c r="A79" s="3" t="s">
        <v>32</v>
      </c>
      <c r="B79" s="3" t="e">
        <f>B78/B77</f>
        <v>#DIV/0!</v>
      </c>
      <c r="C79" s="3" t="e">
        <f t="shared" ref="C79:U79" si="766">C78/C77</f>
        <v>#DIV/0!</v>
      </c>
      <c r="D79" s="3" t="e">
        <f t="shared" si="766"/>
        <v>#DIV/0!</v>
      </c>
      <c r="E79" s="3" t="e">
        <f t="shared" ca="1" si="766"/>
        <v>#DIV/0!</v>
      </c>
      <c r="F79" s="3" t="e">
        <f t="shared" ca="1" si="766"/>
        <v>#DIV/0!</v>
      </c>
      <c r="G79" s="3" t="e">
        <f t="shared" ca="1" si="766"/>
        <v>#DIV/0!</v>
      </c>
      <c r="H79" s="3" t="e">
        <f t="shared" ca="1" si="766"/>
        <v>#DIV/0!</v>
      </c>
      <c r="I79" s="3" t="e">
        <f t="shared" ca="1" si="766"/>
        <v>#DIV/0!</v>
      </c>
      <c r="J79" s="3" t="e">
        <f t="shared" ca="1" si="766"/>
        <v>#DIV/0!</v>
      </c>
      <c r="K79" s="3" t="e">
        <f t="shared" ca="1" si="766"/>
        <v>#DIV/0!</v>
      </c>
      <c r="L79" s="3" t="e">
        <f t="shared" ca="1" si="766"/>
        <v>#DIV/0!</v>
      </c>
      <c r="M79" s="3" t="e">
        <f t="shared" ca="1" si="766"/>
        <v>#DIV/0!</v>
      </c>
      <c r="N79" s="3" t="e">
        <f t="shared" ca="1" si="766"/>
        <v>#DIV/0!</v>
      </c>
      <c r="O79" s="3" t="e">
        <f t="shared" ca="1" si="766"/>
        <v>#DIV/0!</v>
      </c>
      <c r="P79" s="3" t="e">
        <f t="shared" ca="1" si="766"/>
        <v>#DIV/0!</v>
      </c>
      <c r="Q79" s="3" t="e">
        <f t="shared" ca="1" si="766"/>
        <v>#DIV/0!</v>
      </c>
      <c r="R79" s="3" t="e">
        <f t="shared" ca="1" si="766"/>
        <v>#DIV/0!</v>
      </c>
      <c r="S79" s="3" t="e">
        <f t="shared" ca="1" si="766"/>
        <v>#DIV/0!</v>
      </c>
      <c r="T79" s="3" t="e">
        <f t="shared" ca="1" si="766"/>
        <v>#DIV/0!</v>
      </c>
      <c r="U79" s="3" t="e">
        <f t="shared" ca="1" si="766"/>
        <v>#DIV/0!</v>
      </c>
      <c r="V79" s="3" t="e">
        <f ca="1">V78/V77</f>
        <v>#DIV/0!</v>
      </c>
      <c r="W79" s="3" t="e">
        <f t="shared" ref="W79" ca="1" si="767">W78/W77</f>
        <v>#DIV/0!</v>
      </c>
      <c r="X79" s="3" t="e">
        <f t="shared" ref="X79:Y79" ca="1" si="768">X78/X77</f>
        <v>#DIV/0!</v>
      </c>
      <c r="Y79" s="3" t="e">
        <f t="shared" ca="1" si="768"/>
        <v>#DIV/0!</v>
      </c>
      <c r="Z79" s="3" t="e">
        <f t="shared" ref="Z79:AA79" ca="1" si="769">Z78/Z77</f>
        <v>#DIV/0!</v>
      </c>
      <c r="AA79" s="3" t="e">
        <f t="shared" ca="1" si="769"/>
        <v>#DIV/0!</v>
      </c>
      <c r="AB79" s="37" t="e">
        <f t="shared" ref="AA79:AD79" ca="1" si="770">AB78/AB77</f>
        <v>#DIV/0!</v>
      </c>
      <c r="AC79" s="37" t="e">
        <f t="shared" ca="1" si="770"/>
        <v>#DIV/0!</v>
      </c>
      <c r="AD79" s="37" t="e">
        <f t="shared" ca="1" si="770"/>
        <v>#DIV/0!</v>
      </c>
      <c r="AE79" s="37" t="e">
        <f t="shared" ref="AE79" ca="1" si="771">AE78/AE77</f>
        <v>#DIV/0!</v>
      </c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  <c r="DF79" s="3">
        <v>0</v>
      </c>
    </row>
    <row r="80" spans="1:110" s="3" customFormat="1" x14ac:dyDescent="0.2">
      <c r="A80" s="3" t="s">
        <v>33</v>
      </c>
      <c r="B80" s="3" t="e">
        <f>+B77</f>
        <v>#DIV/0!</v>
      </c>
      <c r="C80" s="3" t="e">
        <f t="shared" ref="C80:U80" si="772">+C77</f>
        <v>#DIV/0!</v>
      </c>
      <c r="D80" s="3" t="e">
        <f t="shared" si="772"/>
        <v>#DIV/0!</v>
      </c>
      <c r="E80" s="3" t="e">
        <f t="shared" ca="1" si="772"/>
        <v>#DIV/0!</v>
      </c>
      <c r="F80" s="3" t="e">
        <f t="shared" ca="1" si="772"/>
        <v>#DIV/0!</v>
      </c>
      <c r="G80" s="3" t="e">
        <f t="shared" ca="1" si="772"/>
        <v>#DIV/0!</v>
      </c>
      <c r="H80" s="3" t="e">
        <f t="shared" ca="1" si="772"/>
        <v>#DIV/0!</v>
      </c>
      <c r="I80" s="3" t="e">
        <f t="shared" ca="1" si="772"/>
        <v>#DIV/0!</v>
      </c>
      <c r="J80" s="3" t="e">
        <f t="shared" ca="1" si="772"/>
        <v>#DIV/0!</v>
      </c>
      <c r="K80" s="3" t="e">
        <f t="shared" ca="1" si="772"/>
        <v>#DIV/0!</v>
      </c>
      <c r="L80" s="3" t="e">
        <f t="shared" ca="1" si="772"/>
        <v>#DIV/0!</v>
      </c>
      <c r="M80" s="3" t="e">
        <f t="shared" ca="1" si="772"/>
        <v>#DIV/0!</v>
      </c>
      <c r="N80" s="3" t="e">
        <f t="shared" ca="1" si="772"/>
        <v>#DIV/0!</v>
      </c>
      <c r="O80" s="3" t="e">
        <f t="shared" ca="1" si="772"/>
        <v>#DIV/0!</v>
      </c>
      <c r="P80" s="3" t="e">
        <f t="shared" ca="1" si="772"/>
        <v>#DIV/0!</v>
      </c>
      <c r="Q80" s="3" t="e">
        <f t="shared" ca="1" si="772"/>
        <v>#DIV/0!</v>
      </c>
      <c r="R80" s="3" t="e">
        <f t="shared" ca="1" si="772"/>
        <v>#DIV/0!</v>
      </c>
      <c r="S80" s="3" t="e">
        <f t="shared" ca="1" si="772"/>
        <v>#DIV/0!</v>
      </c>
      <c r="T80" s="3" t="e">
        <f ca="1">+T77</f>
        <v>#DIV/0!</v>
      </c>
      <c r="U80" s="3" t="e">
        <f t="shared" ca="1" si="772"/>
        <v>#DIV/0!</v>
      </c>
      <c r="V80" s="3" t="e">
        <f ca="1">+V77</f>
        <v>#DIV/0!</v>
      </c>
      <c r="W80" s="3" t="e">
        <f t="shared" ref="W80" ca="1" si="773">+W77</f>
        <v>#DIV/0!</v>
      </c>
      <c r="X80" s="3" t="e">
        <f t="shared" ref="X80:Y80" ca="1" si="774">+X77</f>
        <v>#DIV/0!</v>
      </c>
      <c r="Y80" s="3" t="e">
        <f t="shared" ca="1" si="774"/>
        <v>#DIV/0!</v>
      </c>
      <c r="Z80" s="3" t="e">
        <f t="shared" ref="Z80:AA80" ca="1" si="775">+Z77</f>
        <v>#DIV/0!</v>
      </c>
      <c r="AA80" s="3" t="e">
        <f t="shared" ca="1" si="775"/>
        <v>#DIV/0!</v>
      </c>
      <c r="AB80" s="37" t="e">
        <f t="shared" ref="AA80:AD80" ca="1" si="776">+AB77</f>
        <v>#DIV/0!</v>
      </c>
      <c r="AC80" s="37" t="e">
        <f t="shared" ca="1" si="776"/>
        <v>#DIV/0!</v>
      </c>
      <c r="AD80" s="37" t="e">
        <f t="shared" ca="1" si="776"/>
        <v>#DIV/0!</v>
      </c>
      <c r="AE80" s="37" t="e">
        <f t="shared" ref="AE80" ca="1" si="777">+AE77</f>
        <v>#DIV/0!</v>
      </c>
      <c r="AL80" s="3">
        <f>SUM(AI77:AL77)</f>
        <v>0</v>
      </c>
      <c r="AM80" s="3">
        <f t="shared" ref="AM80" si="778">SUM(AJ77:AM77)</f>
        <v>0</v>
      </c>
      <c r="AN80" s="3">
        <f t="shared" ref="AN80" si="779">SUM(AK77:AN77)</f>
        <v>0</v>
      </c>
      <c r="AO80" s="3">
        <f t="shared" ref="AO80" si="780">SUM(AL77:AO77)</f>
        <v>0</v>
      </c>
      <c r="AP80" s="3">
        <f t="shared" ref="AP80" si="781">SUM(AM77:AP77)</f>
        <v>0</v>
      </c>
      <c r="AQ80" s="3">
        <f t="shared" ref="AQ80" si="782">SUM(AN77:AQ77)</f>
        <v>0</v>
      </c>
      <c r="AR80" s="3">
        <f t="shared" ref="AR80" si="783">SUM(AO77:AR77)</f>
        <v>0</v>
      </c>
      <c r="AS80" s="3">
        <f t="shared" ref="AS80" si="784">SUM(AP77:AS77)</f>
        <v>0</v>
      </c>
      <c r="AT80" s="3">
        <f t="shared" ref="AT80" si="785">SUM(AQ77:AT77)</f>
        <v>0</v>
      </c>
      <c r="AU80" s="3">
        <f t="shared" ref="AU80" si="786">SUM(AR77:AU77)</f>
        <v>0</v>
      </c>
      <c r="AV80" s="3">
        <f t="shared" ref="AV80" si="787">SUM(AS77:AV77)</f>
        <v>0</v>
      </c>
      <c r="AW80" s="3">
        <f t="shared" ref="AW80" si="788">SUM(AT77:AW77)</f>
        <v>0</v>
      </c>
      <c r="AX80" s="3">
        <f t="shared" ref="AX80" si="789">SUM(AU77:AX77)</f>
        <v>0</v>
      </c>
      <c r="AY80" s="3">
        <f t="shared" ref="AY80" si="790">SUM(AV77:AY77)</f>
        <v>0</v>
      </c>
      <c r="AZ80" s="3">
        <f t="shared" ref="AZ80" si="791">SUM(AW77:AZ77)</f>
        <v>0</v>
      </c>
      <c r="BA80" s="3">
        <f t="shared" ref="BA80" si="792">SUM(AX77:BA77)</f>
        <v>0</v>
      </c>
      <c r="BB80" s="3">
        <f t="shared" ref="BB80" si="793">SUM(AY77:BB77)</f>
        <v>0</v>
      </c>
      <c r="BC80" s="3">
        <f t="shared" ref="BC80" si="794">SUM(AZ77:BC77)</f>
        <v>0</v>
      </c>
      <c r="BD80" s="3">
        <f t="shared" ref="BD80" si="795">SUM(BA77:BD77)</f>
        <v>0</v>
      </c>
      <c r="BE80" s="3">
        <f t="shared" ref="BE80" si="796">SUM(BB77:BE77)</f>
        <v>0</v>
      </c>
      <c r="BF80" s="3">
        <f t="shared" ref="BF80" si="797">SUM(BC77:BF77)</f>
        <v>0</v>
      </c>
      <c r="BG80" s="3">
        <f t="shared" ref="BG80" si="798">SUM(BD77:BG77)</f>
        <v>0</v>
      </c>
      <c r="BH80" s="3">
        <f t="shared" ref="BH80" si="799">SUM(BE77:BH77)</f>
        <v>0</v>
      </c>
      <c r="BI80" s="3">
        <f t="shared" ref="BI80" si="800">SUM(BF77:BI77)</f>
        <v>0</v>
      </c>
      <c r="BJ80" s="3">
        <f t="shared" ref="BJ80" si="801">SUM(BG77:BJ77)</f>
        <v>0</v>
      </c>
      <c r="BK80" s="3">
        <f t="shared" ref="BK80" si="802">SUM(BH77:BK77)</f>
        <v>0</v>
      </c>
      <c r="BL80" s="3">
        <f t="shared" ref="BL80" si="803">SUM(BI77:BL77)</f>
        <v>0</v>
      </c>
      <c r="BM80" s="3">
        <f t="shared" ref="BM80" si="804">SUM(BJ77:BM77)</f>
        <v>0</v>
      </c>
      <c r="BN80" s="3">
        <f t="shared" ref="BN80" si="805">SUM(BK77:BN77)</f>
        <v>1.7015926236378982</v>
      </c>
      <c r="BO80" s="3">
        <f t="shared" ref="BO80" si="806">SUM(BL77:BO77)</f>
        <v>-5.1005867560771119</v>
      </c>
      <c r="BP80" s="3">
        <f t="shared" ref="BP80" si="807">SUM(BM77:BP77)</f>
        <v>4.4677284157585895</v>
      </c>
      <c r="BQ80" s="3">
        <f t="shared" ref="BQ80" si="808">SUM(BN77:BQ77)</f>
        <v>22.690695725062856</v>
      </c>
      <c r="BR80" s="3">
        <f t="shared" ref="BR80" si="809">SUM(BO77:BR77)</f>
        <v>40.804694048616895</v>
      </c>
      <c r="BS80" s="3">
        <f t="shared" ref="BS80" si="810">SUM(BP77:BS77)</f>
        <v>57.694886839899368</v>
      </c>
      <c r="BT80" s="3">
        <f t="shared" ref="BT80" si="811">SUM(BQ77:BT77)</f>
        <v>69.065381391450089</v>
      </c>
      <c r="BU80" s="3">
        <f t="shared" ref="BU80" si="812">SUM(BR77:BU77)</f>
        <v>66.601005867560716</v>
      </c>
      <c r="BV80" s="3">
        <f t="shared" ref="BV80" si="813">SUM(BS77:BV77)</f>
        <v>68.352891869237183</v>
      </c>
      <c r="BW80" s="3">
        <f t="shared" ref="BW80" si="814">SUM(BT77:BW77)</f>
        <v>82.003352891869227</v>
      </c>
      <c r="BX80" s="3">
        <f t="shared" ref="BX80" si="815">SUM(BU77:BX77)</f>
        <v>87.250628667225484</v>
      </c>
      <c r="BY80" s="3">
        <f t="shared" ref="BY80" si="816">SUM(BV77:BY77)</f>
        <v>93.122380553227174</v>
      </c>
      <c r="BZ80" s="3">
        <f t="shared" ref="BZ80" si="817">SUM(BW77:BZ77)</f>
        <v>104.10310142497904</v>
      </c>
      <c r="CA80" s="3">
        <f t="shared" ref="CA80" si="818">SUM(BX77:CA77)</f>
        <v>111.58005029337806</v>
      </c>
      <c r="CB80" s="3">
        <f t="shared" ref="CB80" si="819">SUM(BY77:CB77)</f>
        <v>125.01676445934621</v>
      </c>
      <c r="CC80" s="3">
        <f t="shared" ref="CC80" si="820">SUM(BZ77:CC77)</f>
        <v>134.03185247275783</v>
      </c>
      <c r="CD80" s="3">
        <f t="shared" ref="CD80" si="821">SUM(CA77:CD77)</f>
        <v>127.60687342833205</v>
      </c>
      <c r="CE80" s="3">
        <f t="shared" ref="CE80" si="822">SUM(CB77:CE77)</f>
        <v>118.68398994132447</v>
      </c>
      <c r="CF80" s="3">
        <f t="shared" ref="CF80" si="823">SUM(CC77:CF77)</f>
        <v>104.91617770326917</v>
      </c>
      <c r="CG80" s="3">
        <f t="shared" ref="CG80" si="824">SUM(CD77:CG77)</f>
        <v>85.875943000838248</v>
      </c>
      <c r="CH80" s="3">
        <f t="shared" ref="CH80:CL80" si="825">SUM(CE77:CH77)</f>
        <v>92.221290863369731</v>
      </c>
      <c r="CI80" s="3">
        <f t="shared" si="825"/>
        <v>102.55238893545683</v>
      </c>
      <c r="CJ80" s="3">
        <f t="shared" si="825"/>
        <v>114.98323554065368</v>
      </c>
      <c r="CK80" s="3">
        <f t="shared" si="825"/>
        <v>149.81139983235542</v>
      </c>
      <c r="CL80" s="3">
        <f t="shared" si="825"/>
        <v>166.36211232187767</v>
      </c>
      <c r="CM80" s="37">
        <f t="shared" ref="CM80" si="826">SUM(CJ77:CM77)</f>
        <v>166.57888995154661</v>
      </c>
      <c r="CN80" s="37">
        <f t="shared" ref="CN80" si="827">SUM(CK77:CN77)</f>
        <v>175.81489532070736</v>
      </c>
      <c r="CO80" s="37">
        <f t="shared" ref="CO80" si="828">SUM(CL77:CO77)</f>
        <v>182.66242315880311</v>
      </c>
      <c r="CP80" s="37">
        <f t="shared" ref="CP80" si="829">SUM(CM77:CP77)</f>
        <v>196.95017433918906</v>
      </c>
      <c r="CQ80" s="37">
        <f t="shared" ref="CQ80" si="830">SUM(CN77:CQ77)</f>
        <v>221.87535232751503</v>
      </c>
      <c r="CR80" s="37">
        <f t="shared" ref="CR80" si="831">SUM(CO77:CR77)</f>
        <v>247.89107433694787</v>
      </c>
      <c r="CS80" s="37">
        <f t="shared" ref="CS80" si="832">SUM(CP77:CS77)</f>
        <v>273.17886459525209</v>
      </c>
      <c r="CT80" s="37">
        <f t="shared" ref="CT80" si="833">SUM(CQ77:CT77)</f>
        <v>300.49727946185067</v>
      </c>
      <c r="CU80" s="37">
        <f t="shared" ref="CU80" si="834">SUM(CR77:CU77)</f>
        <v>326.70818384735492</v>
      </c>
      <c r="CV80" s="37">
        <f t="shared" ref="CV80" si="835">SUM(CS77:CV77)</f>
        <v>355.04119453027636</v>
      </c>
      <c r="CW80" s="37">
        <f t="shared" ref="CW80" si="836">SUM(CT77:CW77)</f>
        <v>383.73296792837397</v>
      </c>
      <c r="CX80" s="37">
        <f t="shared" ref="CX80" si="837">SUM(CU77:CX77)</f>
        <v>414.38287918252729</v>
      </c>
      <c r="CY80" s="37">
        <f t="shared" ref="CY80" si="838">SUM(CV77:CY77)</f>
        <v>443.44379248808349</v>
      </c>
      <c r="CZ80" s="37">
        <f t="shared" ref="CZ80" si="839">SUM(CW77:CZ77)</f>
        <v>475.30340952305022</v>
      </c>
      <c r="DA80" s="37">
        <f t="shared" ref="DA80" si="840">SUM(CX77:DA77)</f>
        <v>507.77673506192571</v>
      </c>
      <c r="DB80" s="37">
        <f t="shared" ref="DB80" si="841">SUM(CY77:DB77)</f>
        <v>542.46351813468505</v>
      </c>
      <c r="DE80" s="134"/>
      <c r="DF80" s="3">
        <v>160.7204697712192</v>
      </c>
    </row>
    <row r="81" spans="1:110" s="97" customFormat="1" x14ac:dyDescent="0.2">
      <c r="A81" s="97" t="s">
        <v>425</v>
      </c>
      <c r="C81" s="101" t="e">
        <f t="shared" ref="C81:AA81" si="842">+C80/B80-1</f>
        <v>#DIV/0!</v>
      </c>
      <c r="D81" s="101" t="e">
        <f t="shared" si="842"/>
        <v>#DIV/0!</v>
      </c>
      <c r="E81" s="101" t="e">
        <f t="shared" ca="1" si="842"/>
        <v>#DIV/0!</v>
      </c>
      <c r="F81" s="101" t="e">
        <f t="shared" ca="1" si="842"/>
        <v>#DIV/0!</v>
      </c>
      <c r="G81" s="101" t="e">
        <f t="shared" ca="1" si="842"/>
        <v>#DIV/0!</v>
      </c>
      <c r="H81" s="101" t="e">
        <f t="shared" ca="1" si="842"/>
        <v>#DIV/0!</v>
      </c>
      <c r="I81" s="101" t="e">
        <f t="shared" ca="1" si="842"/>
        <v>#DIV/0!</v>
      </c>
      <c r="J81" s="101" t="e">
        <f t="shared" ca="1" si="842"/>
        <v>#DIV/0!</v>
      </c>
      <c r="K81" s="101" t="e">
        <f t="shared" ca="1" si="842"/>
        <v>#DIV/0!</v>
      </c>
      <c r="L81" s="101" t="e">
        <f t="shared" ca="1" si="842"/>
        <v>#DIV/0!</v>
      </c>
      <c r="M81" s="101" t="e">
        <f t="shared" ca="1" si="842"/>
        <v>#DIV/0!</v>
      </c>
      <c r="N81" s="101" t="e">
        <f t="shared" ca="1" si="842"/>
        <v>#DIV/0!</v>
      </c>
      <c r="O81" s="101" t="e">
        <f t="shared" ca="1" si="842"/>
        <v>#DIV/0!</v>
      </c>
      <c r="P81" s="101" t="e">
        <f t="shared" ca="1" si="842"/>
        <v>#DIV/0!</v>
      </c>
      <c r="Q81" s="101" t="e">
        <f t="shared" ca="1" si="842"/>
        <v>#DIV/0!</v>
      </c>
      <c r="R81" s="101" t="e">
        <f t="shared" ca="1" si="842"/>
        <v>#DIV/0!</v>
      </c>
      <c r="S81" s="101" t="e">
        <f t="shared" ca="1" si="842"/>
        <v>#DIV/0!</v>
      </c>
      <c r="T81" s="101" t="e">
        <f t="shared" ca="1" si="842"/>
        <v>#DIV/0!</v>
      </c>
      <c r="U81" s="101" t="e">
        <f t="shared" ca="1" si="842"/>
        <v>#DIV/0!</v>
      </c>
      <c r="V81" s="101" t="e">
        <f t="shared" ca="1" si="842"/>
        <v>#DIV/0!</v>
      </c>
      <c r="W81" s="101" t="e">
        <f t="shared" ca="1" si="842"/>
        <v>#DIV/0!</v>
      </c>
      <c r="X81" s="101" t="e">
        <f t="shared" ca="1" si="842"/>
        <v>#DIV/0!</v>
      </c>
      <c r="Y81" s="101" t="e">
        <f t="shared" ca="1" si="842"/>
        <v>#DIV/0!</v>
      </c>
      <c r="Z81" s="101" t="e">
        <f t="shared" ca="1" si="842"/>
        <v>#DIV/0!</v>
      </c>
      <c r="AA81" s="101" t="e">
        <f t="shared" ca="1" si="842"/>
        <v>#DIV/0!</v>
      </c>
      <c r="AB81" s="174" t="e">
        <f t="shared" ref="AB81" ca="1" si="843">+AB80/AA80-1</f>
        <v>#DIV/0!</v>
      </c>
      <c r="AC81" s="174" t="e">
        <f t="shared" ref="AC81" ca="1" si="844">+AC80/AB80-1</f>
        <v>#DIV/0!</v>
      </c>
      <c r="AD81" s="174" t="e">
        <f t="shared" ref="AD81" ca="1" si="845">+AD80/AC80-1</f>
        <v>#DIV/0!</v>
      </c>
      <c r="AE81" s="174" t="e">
        <f t="shared" ref="AE81" ca="1" si="846">+AE80/AD80-1</f>
        <v>#DIV/0!</v>
      </c>
      <c r="AL81" s="176"/>
      <c r="AM81" s="176"/>
      <c r="AN81" s="176"/>
      <c r="AO81" s="176"/>
      <c r="AP81" s="176" t="e">
        <f t="shared" ref="AP81:CL81" si="847">+IF(AL80&lt;0,1-AP80/AL80,AP80/AL80-1)</f>
        <v>#DIV/0!</v>
      </c>
      <c r="AQ81" s="176" t="e">
        <f t="shared" si="847"/>
        <v>#DIV/0!</v>
      </c>
      <c r="AR81" s="176" t="e">
        <f t="shared" si="847"/>
        <v>#DIV/0!</v>
      </c>
      <c r="AS81" s="176" t="e">
        <f t="shared" si="847"/>
        <v>#DIV/0!</v>
      </c>
      <c r="AT81" s="176" t="e">
        <f t="shared" si="847"/>
        <v>#DIV/0!</v>
      </c>
      <c r="AU81" s="176" t="e">
        <f t="shared" si="847"/>
        <v>#DIV/0!</v>
      </c>
      <c r="AV81" s="176" t="e">
        <f t="shared" si="847"/>
        <v>#DIV/0!</v>
      </c>
      <c r="AW81" s="176" t="e">
        <f t="shared" si="847"/>
        <v>#DIV/0!</v>
      </c>
      <c r="AX81" s="176" t="e">
        <f t="shared" si="847"/>
        <v>#DIV/0!</v>
      </c>
      <c r="AY81" s="176" t="e">
        <f t="shared" si="847"/>
        <v>#DIV/0!</v>
      </c>
      <c r="AZ81" s="176" t="e">
        <f t="shared" si="847"/>
        <v>#DIV/0!</v>
      </c>
      <c r="BA81" s="176" t="e">
        <f t="shared" si="847"/>
        <v>#DIV/0!</v>
      </c>
      <c r="BB81" s="176" t="e">
        <f t="shared" si="847"/>
        <v>#DIV/0!</v>
      </c>
      <c r="BC81" s="176" t="e">
        <f t="shared" si="847"/>
        <v>#DIV/0!</v>
      </c>
      <c r="BD81" s="176" t="e">
        <f t="shared" si="847"/>
        <v>#DIV/0!</v>
      </c>
      <c r="BE81" s="176" t="e">
        <f t="shared" si="847"/>
        <v>#DIV/0!</v>
      </c>
      <c r="BF81" s="176" t="e">
        <f t="shared" si="847"/>
        <v>#DIV/0!</v>
      </c>
      <c r="BG81" s="176" t="e">
        <f t="shared" si="847"/>
        <v>#DIV/0!</v>
      </c>
      <c r="BH81" s="176" t="e">
        <f t="shared" si="847"/>
        <v>#DIV/0!</v>
      </c>
      <c r="BI81" s="176" t="e">
        <f t="shared" si="847"/>
        <v>#DIV/0!</v>
      </c>
      <c r="BJ81" s="176" t="e">
        <f t="shared" si="847"/>
        <v>#DIV/0!</v>
      </c>
      <c r="BK81" s="176" t="e">
        <f t="shared" si="847"/>
        <v>#DIV/0!</v>
      </c>
      <c r="BL81" s="176" t="e">
        <f t="shared" si="847"/>
        <v>#DIV/0!</v>
      </c>
      <c r="BM81" s="176" t="e">
        <f t="shared" si="847"/>
        <v>#DIV/0!</v>
      </c>
      <c r="BN81" s="176" t="e">
        <f t="shared" si="847"/>
        <v>#DIV/0!</v>
      </c>
      <c r="BO81" s="176" t="e">
        <f t="shared" si="847"/>
        <v>#DIV/0!</v>
      </c>
      <c r="BP81" s="176" t="e">
        <f t="shared" si="847"/>
        <v>#DIV/0!</v>
      </c>
      <c r="BQ81" s="176" t="e">
        <f t="shared" si="847"/>
        <v>#DIV/0!</v>
      </c>
      <c r="BR81" s="176">
        <f t="shared" si="847"/>
        <v>22.980295566502292</v>
      </c>
      <c r="BS81" s="176">
        <f t="shared" si="847"/>
        <v>12.311421528348399</v>
      </c>
      <c r="BT81" s="176">
        <f t="shared" si="847"/>
        <v>14.458724202626641</v>
      </c>
      <c r="BU81" s="176">
        <f t="shared" si="847"/>
        <v>1.935168082748429</v>
      </c>
      <c r="BV81" s="176">
        <f t="shared" si="847"/>
        <v>0.67512325390304095</v>
      </c>
      <c r="BW81" s="176">
        <f t="shared" si="847"/>
        <v>0.4213279093418576</v>
      </c>
      <c r="BX81" s="176">
        <f t="shared" si="847"/>
        <v>0.26330481218520618</v>
      </c>
      <c r="BY81" s="176">
        <f t="shared" si="847"/>
        <v>0.39821282486942433</v>
      </c>
      <c r="BZ81" s="176">
        <f t="shared" si="847"/>
        <v>0.52302409712428788</v>
      </c>
      <c r="CA81" s="176">
        <f t="shared" si="847"/>
        <v>0.36067668404374986</v>
      </c>
      <c r="CB81" s="176">
        <f t="shared" si="847"/>
        <v>0.4328465750792585</v>
      </c>
      <c r="CC81" s="176">
        <f t="shared" si="847"/>
        <v>0.43930869976146614</v>
      </c>
      <c r="CD81" s="176">
        <f t="shared" si="847"/>
        <v>0.22577398445992292</v>
      </c>
      <c r="CE81" s="176">
        <f t="shared" si="847"/>
        <v>6.3666754310183427E-2</v>
      </c>
      <c r="CF81" s="176">
        <f t="shared" si="847"/>
        <v>-0.16078313051057624</v>
      </c>
      <c r="CG81" s="176">
        <f t="shared" si="847"/>
        <v>-0.35928705440900577</v>
      </c>
      <c r="CH81" s="176">
        <f t="shared" si="847"/>
        <v>-0.27730154038164689</v>
      </c>
      <c r="CI81" s="176">
        <f t="shared" si="847"/>
        <v>-0.13592061586270276</v>
      </c>
      <c r="CJ81" s="176">
        <f t="shared" si="847"/>
        <v>9.5953341589100072E-2</v>
      </c>
      <c r="CK81" s="176">
        <f t="shared" si="847"/>
        <v>0.74450951683748134</v>
      </c>
      <c r="CL81" s="176">
        <f t="shared" si="847"/>
        <v>0.80394473732048621</v>
      </c>
      <c r="CM81" s="102">
        <f t="shared" ref="CM81:DB81" si="848">+IF(CI80&lt;0,1-CM80/CI80,CM80/CI80-1)</f>
        <v>0.62432968827655499</v>
      </c>
      <c r="CN81" s="102">
        <f t="shared" si="848"/>
        <v>0.52904807813088484</v>
      </c>
      <c r="CO81" s="102">
        <f t="shared" si="848"/>
        <v>0.21928253366038386</v>
      </c>
      <c r="CP81" s="102">
        <f t="shared" si="848"/>
        <v>0.18386435222780517</v>
      </c>
      <c r="CQ81" s="102">
        <f t="shared" si="848"/>
        <v>0.33195360103583771</v>
      </c>
      <c r="CR81" s="102">
        <f t="shared" si="848"/>
        <v>0.40995490674874246</v>
      </c>
      <c r="CS81" s="102">
        <f t="shared" si="848"/>
        <v>0.49553947588747227</v>
      </c>
      <c r="CT81" s="102">
        <f t="shared" si="848"/>
        <v>0.52575279747826986</v>
      </c>
      <c r="CU81" s="102">
        <f t="shared" si="848"/>
        <v>0.47248525093086435</v>
      </c>
      <c r="CV81" s="102">
        <f t="shared" si="848"/>
        <v>0.43224678613350909</v>
      </c>
      <c r="CW81" s="102">
        <f t="shared" si="848"/>
        <v>0.4046949367657755</v>
      </c>
      <c r="CX81" s="102">
        <f t="shared" si="848"/>
        <v>0.37899045184245961</v>
      </c>
      <c r="CY81" s="102">
        <f t="shared" si="848"/>
        <v>0.35730849244740659</v>
      </c>
      <c r="CZ81" s="102">
        <f t="shared" si="848"/>
        <v>0.33872749654271006</v>
      </c>
      <c r="DA81" s="102">
        <f t="shared" si="848"/>
        <v>0.32325543411924218</v>
      </c>
      <c r="DB81" s="102">
        <f t="shared" si="848"/>
        <v>0.30908767081504074</v>
      </c>
      <c r="DE81" s="135"/>
      <c r="DF81" s="97">
        <v>0.74276968221290995</v>
      </c>
    </row>
    <row r="82" spans="1:110" s="144" customFormat="1" x14ac:dyDescent="0.2">
      <c r="A82" s="144" t="s">
        <v>424</v>
      </c>
      <c r="AB82" s="145"/>
      <c r="AC82" s="145"/>
      <c r="AD82" s="145"/>
      <c r="AE82" s="145"/>
      <c r="CM82" s="145"/>
      <c r="CN82" s="145"/>
      <c r="CO82" s="145"/>
      <c r="CP82" s="145">
        <v>242</v>
      </c>
      <c r="CQ82" s="145"/>
      <c r="CR82" s="145"/>
      <c r="CS82" s="145"/>
      <c r="CT82" s="145">
        <v>308</v>
      </c>
      <c r="CU82" s="145"/>
      <c r="CV82" s="145"/>
      <c r="CW82" s="145"/>
      <c r="CX82" s="145"/>
      <c r="CY82" s="145"/>
      <c r="CZ82" s="145"/>
      <c r="DA82" s="145"/>
      <c r="DB82" s="145"/>
      <c r="DE82" s="146"/>
    </row>
    <row r="83" spans="1:110" s="144" customFormat="1" x14ac:dyDescent="0.2">
      <c r="A83" s="144" t="s">
        <v>436</v>
      </c>
      <c r="AB83" s="145"/>
      <c r="AC83" s="145"/>
      <c r="AD83" s="145"/>
      <c r="AE83" s="145"/>
      <c r="CM83" s="145"/>
      <c r="CN83" s="145"/>
      <c r="CO83" s="145"/>
      <c r="CP83" s="145"/>
      <c r="CQ83" s="145"/>
      <c r="CR83" s="145"/>
      <c r="CS83" s="145"/>
      <c r="CT83" s="145"/>
      <c r="CU83" s="145"/>
      <c r="CV83" s="145"/>
      <c r="CW83" s="145"/>
      <c r="CX83" s="145"/>
      <c r="CY83" s="145"/>
      <c r="CZ83" s="145"/>
      <c r="DA83" s="145"/>
      <c r="DB83" s="145"/>
      <c r="DE83" s="146"/>
    </row>
    <row r="84" spans="1:110" s="3" customFormat="1" x14ac:dyDescent="0.2">
      <c r="A84" s="3" t="s">
        <v>34</v>
      </c>
      <c r="B84" s="3">
        <f>'Annual Raw'!C112</f>
        <v>0</v>
      </c>
      <c r="C84" s="3">
        <f>'Annual Raw'!D112</f>
        <v>0</v>
      </c>
      <c r="D84" s="3">
        <f>'Annual Raw'!E112</f>
        <v>0</v>
      </c>
      <c r="E84" s="3">
        <f>'Annual Raw'!F112</f>
        <v>0</v>
      </c>
      <c r="F84" s="3">
        <f>'Annual Raw'!G112</f>
        <v>0</v>
      </c>
      <c r="G84" s="3">
        <f>'Annual Raw'!H112</f>
        <v>0</v>
      </c>
      <c r="H84" s="3">
        <f>'Annual Raw'!I112</f>
        <v>0</v>
      </c>
      <c r="I84" s="3">
        <f>'Annual Raw'!J112</f>
        <v>0</v>
      </c>
      <c r="J84" s="3">
        <f>'Annual Raw'!K112</f>
        <v>0</v>
      </c>
      <c r="K84" s="3">
        <f>'Annual Raw'!L112</f>
        <v>0</v>
      </c>
      <c r="L84" s="3">
        <f>'Annual Raw'!M112</f>
        <v>0</v>
      </c>
      <c r="M84" s="3">
        <f>'Annual Raw'!N112</f>
        <v>0</v>
      </c>
      <c r="N84" s="3">
        <f>'Annual Raw'!O112</f>
        <v>29.55</v>
      </c>
      <c r="O84" s="3">
        <f>'Annual Raw'!P112</f>
        <v>0</v>
      </c>
      <c r="P84" s="3">
        <f>'Annual Raw'!Q112</f>
        <v>0</v>
      </c>
      <c r="Q84" s="3">
        <f>'Annual Raw'!R112</f>
        <v>0</v>
      </c>
      <c r="R84" s="3">
        <f>'Annual Raw'!S112</f>
        <v>0</v>
      </c>
      <c r="S84" s="3">
        <f>'Annual Raw'!T112</f>
        <v>0</v>
      </c>
      <c r="T84" s="3">
        <f>'Annual Raw'!U112</f>
        <v>0</v>
      </c>
      <c r="U84" s="3">
        <f>'Annual Raw'!V112</f>
        <v>0</v>
      </c>
      <c r="V84" s="3">
        <f>'Annual Raw'!W112</f>
        <v>59.76</v>
      </c>
      <c r="W84" s="3">
        <f>'Annual Raw'!X112</f>
        <v>59.76</v>
      </c>
      <c r="X84" s="3">
        <f>'Annual Raw'!Y112</f>
        <v>58.77</v>
      </c>
      <c r="Y84" s="3">
        <f>'Annual Raw'!Z112</f>
        <v>54.99</v>
      </c>
      <c r="Z84" s="3">
        <f>'Annual Raw'!AA112</f>
        <v>48.7</v>
      </c>
      <c r="AA84" s="3">
        <f>'Annual Raw'!AB112</f>
        <v>48.7</v>
      </c>
      <c r="AB84" s="37"/>
      <c r="AC84" s="37"/>
      <c r="AD84" s="37"/>
      <c r="AE84" s="37"/>
      <c r="AI84" s="3">
        <f>'QTR Raw'!C49</f>
        <v>0</v>
      </c>
      <c r="AJ84" s="3">
        <f>'QTR Raw'!D49</f>
        <v>0</v>
      </c>
      <c r="AK84" s="3">
        <f>'QTR Raw'!E49</f>
        <v>0</v>
      </c>
      <c r="AL84" s="3">
        <f>'QTR Raw'!F49</f>
        <v>0</v>
      </c>
      <c r="AM84" s="3">
        <f>'QTR Raw'!G49</f>
        <v>0</v>
      </c>
      <c r="AN84" s="3">
        <f>'QTR Raw'!H49</f>
        <v>0</v>
      </c>
      <c r="AO84" s="3">
        <f>'QTR Raw'!I49</f>
        <v>0</v>
      </c>
      <c r="AP84" s="3">
        <f>'QTR Raw'!J49</f>
        <v>0</v>
      </c>
      <c r="AQ84" s="3">
        <f>'QTR Raw'!K49</f>
        <v>0</v>
      </c>
      <c r="AR84" s="3">
        <f>'QTR Raw'!L49</f>
        <v>0</v>
      </c>
      <c r="AS84" s="3">
        <f>'QTR Raw'!M49</f>
        <v>0</v>
      </c>
      <c r="AT84" s="3">
        <f>'QTR Raw'!N49</f>
        <v>0</v>
      </c>
      <c r="AU84" s="3">
        <f>'QTR Raw'!O49</f>
        <v>0</v>
      </c>
      <c r="AV84" s="3">
        <f>'QTR Raw'!P49</f>
        <v>0</v>
      </c>
      <c r="AW84" s="3">
        <f>'QTR Raw'!Q49</f>
        <v>0</v>
      </c>
      <c r="AX84" s="3">
        <f>'QTR Raw'!R49</f>
        <v>0</v>
      </c>
      <c r="AY84" s="3">
        <f>'QTR Raw'!S49</f>
        <v>0</v>
      </c>
      <c r="AZ84" s="3">
        <f>'QTR Raw'!T49</f>
        <v>0</v>
      </c>
      <c r="BA84" s="3">
        <f>'QTR Raw'!U49</f>
        <v>0</v>
      </c>
      <c r="BB84" s="3">
        <f>'QTR Raw'!V49</f>
        <v>0</v>
      </c>
      <c r="BC84" s="3">
        <f>'QTR Raw'!W49</f>
        <v>0</v>
      </c>
      <c r="BD84" s="3">
        <f>'QTR Raw'!X49</f>
        <v>0</v>
      </c>
      <c r="BE84" s="3">
        <f>'QTR Raw'!Y49</f>
        <v>0</v>
      </c>
      <c r="BF84" s="3">
        <f>'QTR Raw'!Z49</f>
        <v>0</v>
      </c>
      <c r="BG84" s="3">
        <f>'QTR Raw'!AA49</f>
        <v>0</v>
      </c>
      <c r="BH84" s="3">
        <f>'QTR Raw'!AB49</f>
        <v>0</v>
      </c>
      <c r="BI84" s="3">
        <f>'QTR Raw'!AC49</f>
        <v>0</v>
      </c>
      <c r="BJ84" s="3">
        <f>'QTR Raw'!AD49</f>
        <v>0</v>
      </c>
      <c r="BK84" s="3">
        <f>'QTR Raw'!AE49</f>
        <v>0</v>
      </c>
      <c r="BL84" s="3">
        <f>'QTR Raw'!AF49</f>
        <v>0</v>
      </c>
      <c r="BM84" s="3">
        <f>'QTR Raw'!AG49</f>
        <v>0</v>
      </c>
      <c r="BN84" s="3">
        <f>'QTR Raw'!AH49</f>
        <v>0</v>
      </c>
      <c r="BO84" s="3">
        <f>'QTR Raw'!AI49</f>
        <v>0</v>
      </c>
      <c r="BP84" s="3">
        <f>'QTR Raw'!AJ49</f>
        <v>0</v>
      </c>
      <c r="BQ84" s="3">
        <f>'QTR Raw'!AK49</f>
        <v>0</v>
      </c>
      <c r="BR84" s="3">
        <f>'QTR Raw'!AL49</f>
        <v>59.76</v>
      </c>
      <c r="BS84" s="3">
        <f>'QTR Raw'!AM49</f>
        <v>59.76</v>
      </c>
      <c r="BT84" s="3">
        <f>'QTR Raw'!AN49</f>
        <v>59.76</v>
      </c>
      <c r="BU84" s="3">
        <f>'QTR Raw'!AO49</f>
        <v>59.76</v>
      </c>
      <c r="BV84" s="3">
        <f>'QTR Raw'!AP49</f>
        <v>59.76</v>
      </c>
      <c r="BW84" s="3">
        <f>'QTR Raw'!AQ49</f>
        <v>59.48</v>
      </c>
      <c r="BX84" s="3">
        <f>'QTR Raw'!AR49</f>
        <v>58.77</v>
      </c>
      <c r="BY84" s="3">
        <f>'QTR Raw'!AS49</f>
        <v>58.77</v>
      </c>
      <c r="BZ84" s="3">
        <f>'QTR Raw'!AT49</f>
        <v>58.77</v>
      </c>
      <c r="CA84" s="3">
        <f>'QTR Raw'!AU49</f>
        <v>54.99</v>
      </c>
      <c r="CB84" s="3">
        <f>'QTR Raw'!AV49</f>
        <v>54.99</v>
      </c>
      <c r="CC84" s="3">
        <f>'QTR Raw'!AW49</f>
        <v>54.99</v>
      </c>
      <c r="CD84" s="3">
        <f>'QTR Raw'!AX49</f>
        <v>54.99</v>
      </c>
      <c r="CE84" s="3">
        <f>'QTR Raw'!AY49</f>
        <v>48.7</v>
      </c>
      <c r="CF84" s="3">
        <f>'QTR Raw'!AZ49</f>
        <v>48.7</v>
      </c>
      <c r="CG84" s="3">
        <f>'QTR Raw'!BA49</f>
        <v>48.7</v>
      </c>
      <c r="CH84" s="3">
        <f>'QTR Raw'!BB49</f>
        <v>48.7</v>
      </c>
      <c r="CI84" s="3">
        <f>'QTR Raw'!BC49</f>
        <v>48.7</v>
      </c>
      <c r="CJ84" s="3">
        <f>'QTR Raw'!BD49</f>
        <v>48.7</v>
      </c>
      <c r="CK84" s="3">
        <f>'QTR Raw'!BE49</f>
        <v>48.7</v>
      </c>
      <c r="CL84" s="3">
        <f>'QTR Raw'!BF49</f>
        <v>48.7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3" customFormat="1" x14ac:dyDescent="0.2">
      <c r="A85" s="3" t="s">
        <v>35</v>
      </c>
      <c r="B85" s="3">
        <f>'Annual Raw'!C113</f>
        <v>0</v>
      </c>
      <c r="C85" s="3">
        <f>'Annual Raw'!D113</f>
        <v>0</v>
      </c>
      <c r="D85" s="3">
        <f>'Annual Raw'!E113</f>
        <v>0</v>
      </c>
      <c r="E85" s="3">
        <f>'Annual Raw'!F113</f>
        <v>0</v>
      </c>
      <c r="F85" s="3">
        <f>'Annual Raw'!G113</f>
        <v>0</v>
      </c>
      <c r="G85" s="3">
        <f>'Annual Raw'!H113</f>
        <v>0</v>
      </c>
      <c r="H85" s="3">
        <f>'Annual Raw'!I113</f>
        <v>0</v>
      </c>
      <c r="I85" s="3">
        <f>'Annual Raw'!J113</f>
        <v>0</v>
      </c>
      <c r="J85" s="3">
        <f>'Annual Raw'!K113</f>
        <v>0</v>
      </c>
      <c r="K85" s="3">
        <f>'Annual Raw'!L113</f>
        <v>0</v>
      </c>
      <c r="L85" s="3">
        <f>'Annual Raw'!M113</f>
        <v>0</v>
      </c>
      <c r="M85" s="3">
        <f>'Annual Raw'!N113</f>
        <v>0</v>
      </c>
      <c r="N85" s="3">
        <f>'Annual Raw'!O113</f>
        <v>0</v>
      </c>
      <c r="O85" s="3">
        <f>'Annual Raw'!P113</f>
        <v>0</v>
      </c>
      <c r="P85" s="3">
        <f>'Annual Raw'!Q113</f>
        <v>0</v>
      </c>
      <c r="Q85" s="3">
        <f>'Annual Raw'!R113</f>
        <v>0</v>
      </c>
      <c r="R85" s="3">
        <f>'Annual Raw'!S113</f>
        <v>0</v>
      </c>
      <c r="S85" s="3">
        <f>'Annual Raw'!T113</f>
        <v>0</v>
      </c>
      <c r="T85" s="3">
        <f>'Annual Raw'!U113</f>
        <v>0</v>
      </c>
      <c r="U85" s="3">
        <f>'Annual Raw'!V113</f>
        <v>0</v>
      </c>
      <c r="V85" s="3">
        <f>'Annual Raw'!W113</f>
        <v>0</v>
      </c>
      <c r="W85" s="3">
        <f>'Annual Raw'!X113</f>
        <v>0</v>
      </c>
      <c r="X85" s="3">
        <f>'Annual Raw'!Y113</f>
        <v>0</v>
      </c>
      <c r="Y85" s="3">
        <f>'Annual Raw'!Z113</f>
        <v>0</v>
      </c>
      <c r="Z85" s="3">
        <f>'Annual Raw'!AA113</f>
        <v>0</v>
      </c>
      <c r="AA85" s="3">
        <f>'Annual Raw'!AB113</f>
        <v>0</v>
      </c>
      <c r="AB85" s="37"/>
      <c r="AC85" s="37"/>
      <c r="AD85" s="37"/>
      <c r="AE85" s="37"/>
      <c r="AI85" s="3">
        <f>'QTR Raw'!C50</f>
        <v>0</v>
      </c>
      <c r="AJ85" s="3">
        <f>'QTR Raw'!D50</f>
        <v>0</v>
      </c>
      <c r="AK85" s="3">
        <f>'QTR Raw'!E50</f>
        <v>0</v>
      </c>
      <c r="AL85" s="3">
        <f>'QTR Raw'!F50</f>
        <v>0</v>
      </c>
      <c r="AM85" s="3">
        <f>'QTR Raw'!G50</f>
        <v>0</v>
      </c>
      <c r="AN85" s="3">
        <f>'QTR Raw'!H50</f>
        <v>0</v>
      </c>
      <c r="AO85" s="3">
        <f>'QTR Raw'!I50</f>
        <v>0</v>
      </c>
      <c r="AP85" s="3">
        <f>'QTR Raw'!J50</f>
        <v>0</v>
      </c>
      <c r="AQ85" s="3">
        <f>'QTR Raw'!K50</f>
        <v>0</v>
      </c>
      <c r="AR85" s="3">
        <f>'QTR Raw'!L50</f>
        <v>0</v>
      </c>
      <c r="AS85" s="3">
        <f>'QTR Raw'!M50</f>
        <v>0</v>
      </c>
      <c r="AT85" s="3">
        <f>'QTR Raw'!N50</f>
        <v>0</v>
      </c>
      <c r="AU85" s="3">
        <f>'QTR Raw'!O50</f>
        <v>0</v>
      </c>
      <c r="AV85" s="3">
        <f>'QTR Raw'!P50</f>
        <v>0</v>
      </c>
      <c r="AW85" s="3">
        <f>'QTR Raw'!Q50</f>
        <v>0</v>
      </c>
      <c r="AX85" s="3">
        <f>'QTR Raw'!R50</f>
        <v>0</v>
      </c>
      <c r="AY85" s="3">
        <f>'QTR Raw'!S50</f>
        <v>0</v>
      </c>
      <c r="AZ85" s="3">
        <f>'QTR Raw'!T50</f>
        <v>0</v>
      </c>
      <c r="BA85" s="3">
        <f>'QTR Raw'!U50</f>
        <v>0</v>
      </c>
      <c r="BB85" s="3">
        <f>'QTR Raw'!V50</f>
        <v>0</v>
      </c>
      <c r="BC85" s="3">
        <f>'QTR Raw'!W50</f>
        <v>0</v>
      </c>
      <c r="BD85" s="3">
        <f>'QTR Raw'!X50</f>
        <v>0</v>
      </c>
      <c r="BE85" s="3">
        <f>'QTR Raw'!Y50</f>
        <v>0</v>
      </c>
      <c r="BF85" s="3">
        <f>'QTR Raw'!Z50</f>
        <v>0</v>
      </c>
      <c r="BG85" s="3">
        <f>'QTR Raw'!AA50</f>
        <v>0</v>
      </c>
      <c r="BH85" s="3">
        <f>'QTR Raw'!AB50</f>
        <v>0</v>
      </c>
      <c r="BI85" s="3">
        <f>'QTR Raw'!AC50</f>
        <v>0</v>
      </c>
      <c r="BJ85" s="3">
        <f>'QTR Raw'!AD50</f>
        <v>0</v>
      </c>
      <c r="BK85" s="3">
        <f>'QTR Raw'!AE50</f>
        <v>0</v>
      </c>
      <c r="BL85" s="3">
        <f>'QTR Raw'!AF50</f>
        <v>0</v>
      </c>
      <c r="BM85" s="3">
        <f>'QTR Raw'!AG50</f>
        <v>0</v>
      </c>
      <c r="BN85" s="3">
        <f>'QTR Raw'!AH50</f>
        <v>0</v>
      </c>
      <c r="BO85" s="3">
        <f>'QTR Raw'!AI50</f>
        <v>0</v>
      </c>
      <c r="BP85" s="3">
        <f>'QTR Raw'!AJ50</f>
        <v>0</v>
      </c>
      <c r="BQ85" s="3">
        <f>'QTR Raw'!AK50</f>
        <v>0</v>
      </c>
      <c r="BR85" s="3">
        <f>'QTR Raw'!AL50</f>
        <v>0</v>
      </c>
      <c r="BS85" s="3">
        <f>'QTR Raw'!AM50</f>
        <v>0</v>
      </c>
      <c r="BT85" s="3">
        <f>'QTR Raw'!AN50</f>
        <v>0</v>
      </c>
      <c r="BU85" s="3">
        <f>'QTR Raw'!AO50</f>
        <v>0</v>
      </c>
      <c r="BV85" s="3">
        <f>'QTR Raw'!AP50</f>
        <v>0</v>
      </c>
      <c r="BW85" s="3">
        <f>'QTR Raw'!AQ50</f>
        <v>0</v>
      </c>
      <c r="BX85" s="3">
        <f>'QTR Raw'!AR50</f>
        <v>0</v>
      </c>
      <c r="BY85" s="3">
        <f>'QTR Raw'!AS50</f>
        <v>0</v>
      </c>
      <c r="BZ85" s="3">
        <f>'QTR Raw'!AT50</f>
        <v>0</v>
      </c>
      <c r="CA85" s="3">
        <f>'QTR Raw'!AU50</f>
        <v>0</v>
      </c>
      <c r="CB85" s="3">
        <f>'QTR Raw'!AV50</f>
        <v>0</v>
      </c>
      <c r="CC85" s="3">
        <f>'QTR Raw'!AW50</f>
        <v>0</v>
      </c>
      <c r="CD85" s="3">
        <f>'QTR Raw'!AX50</f>
        <v>0</v>
      </c>
      <c r="CE85" s="3">
        <f>'QTR Raw'!AY50</f>
        <v>0</v>
      </c>
      <c r="CF85" s="3">
        <f>'QTR Raw'!AZ50</f>
        <v>0</v>
      </c>
      <c r="CG85" s="3">
        <f>'QTR Raw'!BA50</f>
        <v>0</v>
      </c>
      <c r="CH85" s="3">
        <f>'QTR Raw'!BB50</f>
        <v>0</v>
      </c>
      <c r="CI85" s="3">
        <f>'QTR Raw'!BC50</f>
        <v>0</v>
      </c>
      <c r="CJ85" s="3">
        <f>'QTR Raw'!BD50</f>
        <v>0</v>
      </c>
      <c r="CK85" s="3">
        <f>'QTR Raw'!BE50</f>
        <v>0</v>
      </c>
      <c r="CL85" s="3">
        <f>'QTR Raw'!BF50</f>
        <v>0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3" customFormat="1" x14ac:dyDescent="0.2"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13" customFormat="1" x14ac:dyDescent="0.2">
      <c r="A87" s="13" t="s">
        <v>36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457</v>
      </c>
      <c r="B88" s="13">
        <f>'Annual Raw'!C106</f>
        <v>0</v>
      </c>
      <c r="C88" s="13">
        <f>'Annual Raw'!D106</f>
        <v>0</v>
      </c>
      <c r="D88" s="13">
        <f>'Annual Raw'!E106</f>
        <v>0</v>
      </c>
      <c r="E88" s="13">
        <f>'Annual Raw'!F106</f>
        <v>0</v>
      </c>
      <c r="F88" s="13">
        <f>'Annual Raw'!G106</f>
        <v>0</v>
      </c>
      <c r="G88" s="13">
        <f>'Annual Raw'!H106</f>
        <v>0</v>
      </c>
      <c r="H88" s="13">
        <f>'Annual Raw'!I106</f>
        <v>0</v>
      </c>
      <c r="I88" s="13">
        <f>'Annual Raw'!J106</f>
        <v>0</v>
      </c>
      <c r="J88" s="13">
        <f>'Annual Raw'!K106</f>
        <v>0</v>
      </c>
      <c r="K88" s="13">
        <f>'Annual Raw'!L106</f>
        <v>0</v>
      </c>
      <c r="L88" s="13">
        <f>'Annual Raw'!M106</f>
        <v>0</v>
      </c>
      <c r="M88" s="13">
        <f>'Annual Raw'!N106</f>
        <v>0</v>
      </c>
      <c r="N88" s="13">
        <f>'Annual Raw'!O106</f>
        <v>0</v>
      </c>
      <c r="O88" s="13">
        <f>'Annual Raw'!P106</f>
        <v>0</v>
      </c>
      <c r="P88" s="13">
        <f>'Annual Raw'!Q106</f>
        <v>0</v>
      </c>
      <c r="Q88" s="13">
        <f>'Annual Raw'!R106</f>
        <v>0</v>
      </c>
      <c r="R88" s="13">
        <f>'Annual Raw'!S106</f>
        <v>0</v>
      </c>
      <c r="S88" s="13">
        <f>'Annual Raw'!T106</f>
        <v>0</v>
      </c>
      <c r="T88" s="13">
        <f>'Annual Raw'!U106</f>
        <v>0</v>
      </c>
      <c r="U88" s="13">
        <f>'Annual Raw'!V106</f>
        <v>0</v>
      </c>
      <c r="V88" s="13">
        <f>'Annual Raw'!W106</f>
        <v>1417.85</v>
      </c>
      <c r="W88" s="13">
        <f>'Annual Raw'!X106</f>
        <v>2356.1999999999998</v>
      </c>
      <c r="X88" s="13">
        <f>'Annual Raw'!Y106</f>
        <v>3246.25</v>
      </c>
      <c r="Y88" s="13">
        <f>'Annual Raw'!Z106</f>
        <v>4321.75</v>
      </c>
      <c r="Z88" s="13">
        <f>'Annual Raw'!AA106</f>
        <v>4859.5</v>
      </c>
      <c r="AA88" s="13">
        <f>'Annual Raw'!AB106</f>
        <v>6989.15</v>
      </c>
      <c r="AB88" s="37">
        <f>+CP88</f>
        <v>6989.15</v>
      </c>
      <c r="AC88" s="37">
        <f>+CT88</f>
        <v>6989.15</v>
      </c>
      <c r="AD88" s="37">
        <f>+CX88</f>
        <v>6989.15</v>
      </c>
      <c r="AE88" s="37">
        <f>+DB88</f>
        <v>6989.15</v>
      </c>
      <c r="AJ88" s="13">
        <f>'QTR Share Price'!HP21</f>
        <v>0</v>
      </c>
      <c r="AK88" s="13">
        <f>'QTR Share Price'!HQ21</f>
        <v>0</v>
      </c>
      <c r="AL88" s="13">
        <f>'QTR Share Price'!HR21</f>
        <v>0</v>
      </c>
      <c r="AM88" s="13">
        <f>'QTR Share Price'!HS21</f>
        <v>0</v>
      </c>
      <c r="AN88" s="13">
        <f>'QTR Share Price'!HT21</f>
        <v>0</v>
      </c>
      <c r="AO88" s="13">
        <f>'QTR Share Price'!HU21</f>
        <v>0</v>
      </c>
      <c r="AP88" s="13">
        <f>'QTR Share Price'!HV21</f>
        <v>0</v>
      </c>
      <c r="AQ88" s="13">
        <f>'QTR Share Price'!HW21</f>
        <v>0</v>
      </c>
      <c r="AR88" s="13">
        <f>'QTR Share Price'!HX21</f>
        <v>0</v>
      </c>
      <c r="AS88" s="13">
        <f>'QTR Share Price'!HY21</f>
        <v>0</v>
      </c>
      <c r="AT88" s="13">
        <f>'QTR Share Price'!HZ21</f>
        <v>0</v>
      </c>
      <c r="AU88" s="13">
        <f>'QTR Share Price'!IA21</f>
        <v>0</v>
      </c>
      <c r="AV88" s="13">
        <f>'QTR Share Price'!IB21</f>
        <v>0</v>
      </c>
      <c r="AW88" s="13">
        <f>'QTR Share Price'!IC21</f>
        <v>0</v>
      </c>
      <c r="AX88" s="13">
        <f>'QTR Share Price'!ID21</f>
        <v>0</v>
      </c>
      <c r="AY88" s="13">
        <f>'QTR Share Price'!IE21</f>
        <v>0</v>
      </c>
      <c r="AZ88" s="13">
        <f>'QTR Share Price'!IF21</f>
        <v>0</v>
      </c>
      <c r="BA88" s="13">
        <f>'QTR Share Price'!IG21</f>
        <v>0</v>
      </c>
      <c r="BB88" s="13">
        <f>'QTR Share Price'!IH21</f>
        <v>0</v>
      </c>
      <c r="BC88" s="13">
        <f>'QTR Share Price'!II21</f>
        <v>0</v>
      </c>
      <c r="BD88" s="13">
        <f>'QTR Share Price'!IJ21</f>
        <v>0</v>
      </c>
      <c r="BE88" s="13">
        <f>'QTR Share Price'!IK21</f>
        <v>0</v>
      </c>
      <c r="BF88" s="13">
        <f>'QTR Share Price'!IL21</f>
        <v>0</v>
      </c>
      <c r="BG88" s="13">
        <f>'QTR Share Price'!IM21</f>
        <v>0</v>
      </c>
      <c r="BH88" s="13">
        <f>'QTR Share Price'!IN21</f>
        <v>0</v>
      </c>
      <c r="BI88" s="13">
        <f>'QTR Share Price'!IO21</f>
        <v>0</v>
      </c>
      <c r="BJ88" s="13">
        <f>'QTR Share Price'!IP21</f>
        <v>0</v>
      </c>
      <c r="BK88" s="13">
        <f>'QTR Share Price'!IQ21</f>
        <v>0</v>
      </c>
      <c r="BL88" s="13">
        <f>'QTR Share Price'!IR21</f>
        <v>0</v>
      </c>
      <c r="BM88" s="13">
        <f>'QTR Share Price'!IS21</f>
        <v>0</v>
      </c>
      <c r="BN88" s="13">
        <f>'QTR Share Price'!IT21</f>
        <v>0</v>
      </c>
      <c r="BO88" s="13">
        <f>'QTR Share Price'!IU21</f>
        <v>0</v>
      </c>
      <c r="BP88" s="13">
        <f>'QTR Share Price'!IV21</f>
        <v>0</v>
      </c>
      <c r="BQ88" s="13">
        <f>'QTR Share Price'!IW21</f>
        <v>0</v>
      </c>
      <c r="BR88" s="13">
        <f>'QTR Share Price'!IX21</f>
        <v>1417.85</v>
      </c>
      <c r="BS88" s="13">
        <f>'QTR Share Price'!IY21</f>
        <v>1777.75</v>
      </c>
      <c r="BT88" s="13">
        <f>'QTR Share Price'!IZ21</f>
        <v>2109.6</v>
      </c>
      <c r="BU88" s="13">
        <f>'QTR Share Price'!JA21</f>
        <v>2265.9499999999998</v>
      </c>
      <c r="BV88" s="13">
        <f>'QTR Share Price'!JB21</f>
        <v>2356.1999999999998</v>
      </c>
      <c r="BW88" s="13">
        <f>'QTR Share Price'!JC21</f>
        <v>2268.6999999999998</v>
      </c>
      <c r="BX88" s="13">
        <f>'QTR Share Price'!JD21</f>
        <v>2755.25</v>
      </c>
      <c r="BY88" s="13">
        <f>'QTR Share Price'!JE21</f>
        <v>3506.85</v>
      </c>
      <c r="BZ88" s="13">
        <f>'QTR Share Price'!JF21</f>
        <v>3246.25</v>
      </c>
      <c r="CA88" s="13">
        <f>'QTR Share Price'!JG21</f>
        <v>4028.95</v>
      </c>
      <c r="CB88" s="13">
        <f>'QTR Share Price'!JH21</f>
        <v>4621.95</v>
      </c>
      <c r="CC88" s="13">
        <f>'QTR Share Price'!JI21</f>
        <v>5398.4</v>
      </c>
      <c r="CD88" s="13">
        <f>'QTR Share Price'!JJ21</f>
        <v>4321.75</v>
      </c>
      <c r="CE88" s="13">
        <f>'QTR Share Price'!JK21</f>
        <v>5542.65</v>
      </c>
      <c r="CF88" s="13">
        <f>'QTR Share Price'!JL21</f>
        <v>6471</v>
      </c>
      <c r="CG88" s="13">
        <f>'QTR Share Price'!JM21</f>
        <v>5376.15</v>
      </c>
      <c r="CH88" s="13">
        <f>'QTR Share Price'!JN21</f>
        <v>4859.5</v>
      </c>
      <c r="CI88" s="13">
        <f>'QTR Share Price'!JO21</f>
        <v>5559.5</v>
      </c>
      <c r="CJ88" s="13">
        <f>'QTR Share Price'!JP21</f>
        <v>6785</v>
      </c>
      <c r="CK88" s="13">
        <f>'QTR Share Price'!JQ21</f>
        <v>7655.35</v>
      </c>
      <c r="CL88" s="13">
        <f>'QTR Share Price'!JR21</f>
        <v>6989.15</v>
      </c>
      <c r="CM88" s="37">
        <f t="shared" ref="CM88" si="849">+CL88</f>
        <v>6989.15</v>
      </c>
      <c r="CN88" s="37">
        <f t="shared" ref="CN88" si="850">+CM88</f>
        <v>6989.15</v>
      </c>
      <c r="CO88" s="37">
        <f t="shared" ref="CO88" si="851">+CN88</f>
        <v>6989.15</v>
      </c>
      <c r="CP88" s="37">
        <f t="shared" ref="CP88" si="852">+CO88</f>
        <v>6989.15</v>
      </c>
      <c r="CQ88" s="37">
        <f t="shared" ref="CQ88" si="853">+CP88</f>
        <v>6989.15</v>
      </c>
      <c r="CR88" s="37">
        <f t="shared" ref="CR88" si="854">+CQ88</f>
        <v>6989.15</v>
      </c>
      <c r="CS88" s="37">
        <f t="shared" ref="CS88" si="855">+CR88</f>
        <v>6989.15</v>
      </c>
      <c r="CT88" s="37">
        <f t="shared" ref="CT88" si="856">+CS88</f>
        <v>6989.15</v>
      </c>
      <c r="CU88" s="37">
        <f t="shared" ref="CU88" si="857">+CT88</f>
        <v>6989.15</v>
      </c>
      <c r="CV88" s="37">
        <f t="shared" ref="CV88" si="858">+CU88</f>
        <v>6989.15</v>
      </c>
      <c r="CW88" s="37">
        <f t="shared" ref="CW88" si="859">+CV88</f>
        <v>6989.15</v>
      </c>
      <c r="CX88" s="37">
        <f t="shared" ref="CX88" si="860">+CW88</f>
        <v>6989.15</v>
      </c>
      <c r="CY88" s="37">
        <f t="shared" ref="CY88" si="861">+CX88</f>
        <v>6989.15</v>
      </c>
      <c r="CZ88" s="37">
        <f t="shared" ref="CZ88" si="862">+CY88</f>
        <v>6989.15</v>
      </c>
      <c r="DA88" s="37">
        <f t="shared" ref="DA88" si="863">+CZ88</f>
        <v>6989.15</v>
      </c>
      <c r="DB88" s="37">
        <f t="shared" ref="DB88" si="864">+DA88</f>
        <v>6989.15</v>
      </c>
      <c r="DE88" s="134"/>
      <c r="DF88" s="13">
        <v>6989.15</v>
      </c>
    </row>
    <row r="89" spans="1:110" s="13" customFormat="1" x14ac:dyDescent="0.2">
      <c r="A89" s="13" t="s">
        <v>458</v>
      </c>
      <c r="B89" s="13">
        <f>'Annual Raw'!C107</f>
        <v>0</v>
      </c>
      <c r="C89" s="13">
        <f>'Annual Raw'!D107</f>
        <v>0</v>
      </c>
      <c r="D89" s="13">
        <f>'Annual Raw'!E107</f>
        <v>0</v>
      </c>
      <c r="E89" s="13">
        <f>'Annual Raw'!F107</f>
        <v>0</v>
      </c>
      <c r="F89" s="13">
        <f>'Annual Raw'!G107</f>
        <v>0</v>
      </c>
      <c r="G89" s="13">
        <f>'Annual Raw'!H107</f>
        <v>0</v>
      </c>
      <c r="H89" s="13">
        <f>'Annual Raw'!I107</f>
        <v>0</v>
      </c>
      <c r="I89" s="13">
        <f>'Annual Raw'!J107</f>
        <v>0</v>
      </c>
      <c r="J89" s="13">
        <f>'Annual Raw'!K107</f>
        <v>0</v>
      </c>
      <c r="K89" s="13">
        <f>'Annual Raw'!L107</f>
        <v>0</v>
      </c>
      <c r="L89" s="13">
        <f>'Annual Raw'!M107</f>
        <v>0</v>
      </c>
      <c r="M89" s="13">
        <f>'Annual Raw'!N107</f>
        <v>0</v>
      </c>
      <c r="N89" s="13">
        <f>'Annual Raw'!O107</f>
        <v>0</v>
      </c>
      <c r="O89" s="13">
        <f>'Annual Raw'!P107</f>
        <v>0</v>
      </c>
      <c r="P89" s="13">
        <f>'Annual Raw'!Q107</f>
        <v>0</v>
      </c>
      <c r="Q89" s="13">
        <f>'Annual Raw'!R107</f>
        <v>0</v>
      </c>
      <c r="R89" s="13">
        <f>'Annual Raw'!S107</f>
        <v>0</v>
      </c>
      <c r="S89" s="13">
        <f>'Annual Raw'!T107</f>
        <v>0</v>
      </c>
      <c r="T89" s="13">
        <f>'Annual Raw'!U107</f>
        <v>0</v>
      </c>
      <c r="U89" s="13">
        <f>'Annual Raw'!V107</f>
        <v>0</v>
      </c>
      <c r="V89" s="13">
        <f>'Annual Raw'!W107</f>
        <v>1530</v>
      </c>
      <c r="W89" s="13">
        <f>'Annual Raw'!X107</f>
        <v>2772.8</v>
      </c>
      <c r="X89" s="13">
        <f>'Annual Raw'!Y107</f>
        <v>3709.95</v>
      </c>
      <c r="Y89" s="13">
        <f>'Annual Raw'!Z107</f>
        <v>5510</v>
      </c>
      <c r="Z89" s="13">
        <f>'Annual Raw'!AA107</f>
        <v>7107.15</v>
      </c>
      <c r="AA89" s="13">
        <f>'Annual Raw'!AB107</f>
        <v>8198.9500000000007</v>
      </c>
      <c r="AB89" s="37">
        <f>+MAX(CM89:CP89)</f>
        <v>9706.4446306981627</v>
      </c>
      <c r="AC89" s="37">
        <f>+MAX(CQ89:CT89)</f>
        <v>14809.635048855655</v>
      </c>
      <c r="AD89" s="37">
        <f>+MAX(CU89:CX89)</f>
        <v>20422.345327643383</v>
      </c>
      <c r="AE89" s="37">
        <f>+MAX(CY89:DB89)</f>
        <v>26734.640477545105</v>
      </c>
      <c r="AJ89" s="13">
        <f>'QTR Share Price'!HP19</f>
        <v>0</v>
      </c>
      <c r="AK89" s="13">
        <f>'QTR Share Price'!HQ19</f>
        <v>0</v>
      </c>
      <c r="AL89" s="13">
        <f>'QTR Share Price'!HR19</f>
        <v>0</v>
      </c>
      <c r="AM89" s="13">
        <f>'QTR Share Price'!HS19</f>
        <v>0</v>
      </c>
      <c r="AN89" s="13">
        <f>'QTR Share Price'!HT19</f>
        <v>0</v>
      </c>
      <c r="AO89" s="13">
        <f>'QTR Share Price'!HU19</f>
        <v>0</v>
      </c>
      <c r="AP89" s="13">
        <f>'QTR Share Price'!HV19</f>
        <v>0</v>
      </c>
      <c r="AQ89" s="13">
        <f>'QTR Share Price'!HW19</f>
        <v>0</v>
      </c>
      <c r="AR89" s="13">
        <f>'QTR Share Price'!HX19</f>
        <v>0</v>
      </c>
      <c r="AS89" s="13">
        <f>'QTR Share Price'!HY19</f>
        <v>0</v>
      </c>
      <c r="AT89" s="13">
        <f>'QTR Share Price'!HZ19</f>
        <v>0</v>
      </c>
      <c r="AU89" s="13">
        <f>'QTR Share Price'!IA19</f>
        <v>0</v>
      </c>
      <c r="AV89" s="13">
        <f>'QTR Share Price'!IB19</f>
        <v>0</v>
      </c>
      <c r="AW89" s="13">
        <f>'QTR Share Price'!IC19</f>
        <v>0</v>
      </c>
      <c r="AX89" s="13">
        <f>'QTR Share Price'!ID19</f>
        <v>0</v>
      </c>
      <c r="AY89" s="13">
        <f>'QTR Share Price'!IE19</f>
        <v>0</v>
      </c>
      <c r="AZ89" s="13">
        <f>'QTR Share Price'!IF19</f>
        <v>0</v>
      </c>
      <c r="BA89" s="13">
        <f>'QTR Share Price'!IG19</f>
        <v>0</v>
      </c>
      <c r="BB89" s="13">
        <f>'QTR Share Price'!IH19</f>
        <v>0</v>
      </c>
      <c r="BC89" s="13">
        <f>'QTR Share Price'!II19</f>
        <v>0</v>
      </c>
      <c r="BD89" s="13">
        <f>'QTR Share Price'!IJ19</f>
        <v>0</v>
      </c>
      <c r="BE89" s="13">
        <f>'QTR Share Price'!IK19</f>
        <v>0</v>
      </c>
      <c r="BF89" s="13">
        <f>'QTR Share Price'!IL19</f>
        <v>0</v>
      </c>
      <c r="BG89" s="13">
        <f>'QTR Share Price'!IM19</f>
        <v>0</v>
      </c>
      <c r="BH89" s="13">
        <f>'QTR Share Price'!IN19</f>
        <v>0</v>
      </c>
      <c r="BI89" s="13">
        <f>'QTR Share Price'!IO19</f>
        <v>0</v>
      </c>
      <c r="BJ89" s="13">
        <f>'QTR Share Price'!IP19</f>
        <v>0</v>
      </c>
      <c r="BK89" s="13">
        <f>'QTR Share Price'!IQ19</f>
        <v>0</v>
      </c>
      <c r="BL89" s="13">
        <f>'QTR Share Price'!IR19</f>
        <v>0</v>
      </c>
      <c r="BM89" s="13">
        <f>'QTR Share Price'!IS19</f>
        <v>0</v>
      </c>
      <c r="BN89" s="13">
        <f>'QTR Share Price'!IT19</f>
        <v>0</v>
      </c>
      <c r="BO89" s="13">
        <f>'QTR Share Price'!IU19</f>
        <v>0</v>
      </c>
      <c r="BP89" s="13">
        <f>'QTR Share Price'!IV19</f>
        <v>0</v>
      </c>
      <c r="BQ89" s="13">
        <f>'QTR Share Price'!IW19</f>
        <v>0</v>
      </c>
      <c r="BR89" s="13">
        <f>'QTR Share Price'!IX19</f>
        <v>1530</v>
      </c>
      <c r="BS89" s="13">
        <f>'QTR Share Price'!IY19</f>
        <v>1852.4</v>
      </c>
      <c r="BT89" s="13">
        <f>'QTR Share Price'!IZ19</f>
        <v>2242.35</v>
      </c>
      <c r="BU89" s="13">
        <f>'QTR Share Price'!JA19</f>
        <v>2772.8</v>
      </c>
      <c r="BV89" s="13">
        <f>'QTR Share Price'!JB19</f>
        <v>2446.1999999999998</v>
      </c>
      <c r="BW89" s="13">
        <f>'QTR Share Price'!JC19</f>
        <v>2495.9499999999998</v>
      </c>
      <c r="BX89" s="13">
        <f>'QTR Share Price'!JD19</f>
        <v>3005.1</v>
      </c>
      <c r="BY89" s="13">
        <f>'QTR Share Price'!JE19</f>
        <v>3709.95</v>
      </c>
      <c r="BZ89" s="13">
        <f>'QTR Share Price'!JF19</f>
        <v>3701.5</v>
      </c>
      <c r="CA89" s="13">
        <f>'QTR Share Price'!JG19</f>
        <v>4139.1000000000004</v>
      </c>
      <c r="CB89" s="13">
        <f>'QTR Share Price'!JH19</f>
        <v>5045</v>
      </c>
      <c r="CC89" s="13">
        <f>'QTR Share Price'!JI19</f>
        <v>5510</v>
      </c>
      <c r="CD89" s="13">
        <f>'QTR Share Price'!JJ19</f>
        <v>5438.3</v>
      </c>
      <c r="CE89" s="13">
        <f>'QTR Share Price'!JK19</f>
        <v>5685.8</v>
      </c>
      <c r="CF89" s="13">
        <f>'QTR Share Price'!JL19</f>
        <v>7107.15</v>
      </c>
      <c r="CG89" s="13">
        <f>'QTR Share Price'!JM19</f>
        <v>6649.95</v>
      </c>
      <c r="CH89" s="13">
        <f>'QTR Share Price'!JN19</f>
        <v>5495</v>
      </c>
      <c r="CI89" s="13">
        <f>'QTR Share Price'!JO19</f>
        <v>5838.1</v>
      </c>
      <c r="CJ89" s="13">
        <f>'QTR Share Price'!JP19</f>
        <v>7324.95</v>
      </c>
      <c r="CK89" s="13">
        <f>'QTR Share Price'!JQ19</f>
        <v>7829.3</v>
      </c>
      <c r="CL89" s="13">
        <f>'QTR Share Price'!JR19</f>
        <v>8198.9500000000007</v>
      </c>
      <c r="CM89" s="37">
        <f t="shared" ref="CM89:DB89" si="865">+CM80*CM97</f>
        <v>8209.63361613091</v>
      </c>
      <c r="CN89" s="37">
        <f t="shared" si="865"/>
        <v>8664.8186649656272</v>
      </c>
      <c r="CO89" s="37">
        <f t="shared" si="865"/>
        <v>9002.2905663774727</v>
      </c>
      <c r="CP89" s="37">
        <f t="shared" si="865"/>
        <v>9706.4446306981627</v>
      </c>
      <c r="CQ89" s="37">
        <f t="shared" si="865"/>
        <v>10934.85105819043</v>
      </c>
      <c r="CR89" s="37">
        <f t="shared" si="865"/>
        <v>12217.003592756373</v>
      </c>
      <c r="CS89" s="37">
        <f t="shared" si="865"/>
        <v>13463.280915426902</v>
      </c>
      <c r="CT89" s="37">
        <f t="shared" si="865"/>
        <v>14809.635048855655</v>
      </c>
      <c r="CU89" s="37">
        <f t="shared" si="865"/>
        <v>16101.406904311165</v>
      </c>
      <c r="CV89" s="37">
        <f t="shared" si="865"/>
        <v>17497.76413190685</v>
      </c>
      <c r="CW89" s="37">
        <f t="shared" si="865"/>
        <v>18911.802534155464</v>
      </c>
      <c r="CX89" s="37">
        <f t="shared" si="865"/>
        <v>20422.345327643383</v>
      </c>
      <c r="CY89" s="37">
        <f t="shared" si="865"/>
        <v>21854.576331572851</v>
      </c>
      <c r="CZ89" s="37">
        <f t="shared" si="865"/>
        <v>23424.737971402483</v>
      </c>
      <c r="DA89" s="37">
        <f t="shared" si="865"/>
        <v>25025.145472311269</v>
      </c>
      <c r="DB89" s="37">
        <f t="shared" si="865"/>
        <v>26734.640477545105</v>
      </c>
      <c r="DE89" s="134"/>
      <c r="DF89" s="13">
        <v>8198.9500000000007</v>
      </c>
    </row>
    <row r="90" spans="1:110" s="13" customFormat="1" x14ac:dyDescent="0.2">
      <c r="A90" s="13" t="s">
        <v>459</v>
      </c>
      <c r="B90" s="13">
        <f>'Annual Raw'!C108</f>
        <v>0</v>
      </c>
      <c r="C90" s="13">
        <f>'Annual Raw'!D108</f>
        <v>0</v>
      </c>
      <c r="D90" s="13">
        <f>'Annual Raw'!E108</f>
        <v>0</v>
      </c>
      <c r="E90" s="13">
        <f>'Annual Raw'!F108</f>
        <v>0</v>
      </c>
      <c r="F90" s="13">
        <f>'Annual Raw'!G108</f>
        <v>0</v>
      </c>
      <c r="G90" s="13">
        <f>'Annual Raw'!H108</f>
        <v>0</v>
      </c>
      <c r="H90" s="13">
        <f>'Annual Raw'!I108</f>
        <v>0</v>
      </c>
      <c r="I90" s="13">
        <f>'Annual Raw'!J108</f>
        <v>0</v>
      </c>
      <c r="J90" s="13">
        <f>'Annual Raw'!K108</f>
        <v>0</v>
      </c>
      <c r="K90" s="13">
        <f>'Annual Raw'!L108</f>
        <v>0</v>
      </c>
      <c r="L90" s="13">
        <f>'Annual Raw'!M108</f>
        <v>0</v>
      </c>
      <c r="M90" s="13">
        <f>'Annual Raw'!N108</f>
        <v>0</v>
      </c>
      <c r="N90" s="13">
        <f>'Annual Raw'!O108</f>
        <v>0</v>
      </c>
      <c r="O90" s="13">
        <f>'Annual Raw'!P108</f>
        <v>0</v>
      </c>
      <c r="P90" s="13">
        <f>'Annual Raw'!Q108</f>
        <v>0</v>
      </c>
      <c r="Q90" s="13">
        <f>'Annual Raw'!R108</f>
        <v>0</v>
      </c>
      <c r="R90" s="13">
        <f>'Annual Raw'!S108</f>
        <v>0</v>
      </c>
      <c r="S90" s="13">
        <f>'Annual Raw'!T108</f>
        <v>0</v>
      </c>
      <c r="T90" s="13">
        <f>'Annual Raw'!U108</f>
        <v>0</v>
      </c>
      <c r="U90" s="13">
        <f>'Annual Raw'!V108</f>
        <v>0</v>
      </c>
      <c r="V90" s="13">
        <f>'Annual Raw'!W108</f>
        <v>1349.2</v>
      </c>
      <c r="W90" s="13">
        <f>'Annual Raw'!X108</f>
        <v>1115</v>
      </c>
      <c r="X90" s="13">
        <f>'Annual Raw'!Y108</f>
        <v>2024</v>
      </c>
      <c r="Y90" s="13">
        <f>'Annual Raw'!Z108</f>
        <v>3001.05</v>
      </c>
      <c r="Z90" s="13">
        <f>'Annual Raw'!AA108</f>
        <v>3860.1</v>
      </c>
      <c r="AA90" s="13">
        <f>'Annual Raw'!AB108</f>
        <v>3700</v>
      </c>
      <c r="AB90" s="37">
        <f>+MIN(CM90:CP90)</f>
        <v>6259.7961929618796</v>
      </c>
      <c r="AC90" s="37">
        <f>+MIN(CQ90:CT90)</f>
        <v>8337.758080966003</v>
      </c>
      <c r="AD90" s="37">
        <f>+MIN(CU90:CX90)</f>
        <v>12277.225800052067</v>
      </c>
      <c r="AE90" s="37">
        <f>+MIN(CY90:DB90)</f>
        <v>16663.982842105077</v>
      </c>
      <c r="AJ90" s="13">
        <f>+'QTR Share Price'!HP20</f>
        <v>0</v>
      </c>
      <c r="AK90" s="13">
        <f>+'QTR Share Price'!HQ20</f>
        <v>0</v>
      </c>
      <c r="AL90" s="13">
        <f>+'QTR Share Price'!HR20</f>
        <v>0</v>
      </c>
      <c r="AM90" s="13">
        <f>+'QTR Share Price'!HS20</f>
        <v>0</v>
      </c>
      <c r="AN90" s="13">
        <f>+'QTR Share Price'!HT20</f>
        <v>0</v>
      </c>
      <c r="AO90" s="13">
        <f>+'QTR Share Price'!HU20</f>
        <v>0</v>
      </c>
      <c r="AP90" s="13">
        <f>+'QTR Share Price'!HV20</f>
        <v>0</v>
      </c>
      <c r="AQ90" s="13">
        <f>+'QTR Share Price'!HW20</f>
        <v>0</v>
      </c>
      <c r="AR90" s="13">
        <f>+'QTR Share Price'!HX20</f>
        <v>0</v>
      </c>
      <c r="AS90" s="13">
        <f>+'QTR Share Price'!HY20</f>
        <v>0</v>
      </c>
      <c r="AT90" s="13">
        <f>+'QTR Share Price'!HZ20</f>
        <v>0</v>
      </c>
      <c r="AU90" s="13">
        <f>+'QTR Share Price'!IA20</f>
        <v>0</v>
      </c>
      <c r="AV90" s="13">
        <f>+'QTR Share Price'!IB20</f>
        <v>0</v>
      </c>
      <c r="AW90" s="13">
        <f>+'QTR Share Price'!IC20</f>
        <v>0</v>
      </c>
      <c r="AX90" s="13">
        <f>+'QTR Share Price'!ID20</f>
        <v>0</v>
      </c>
      <c r="AY90" s="13">
        <f>+'QTR Share Price'!IE20</f>
        <v>0</v>
      </c>
      <c r="AZ90" s="13">
        <f>+'QTR Share Price'!IF20</f>
        <v>0</v>
      </c>
      <c r="BA90" s="13">
        <f>+'QTR Share Price'!IG20</f>
        <v>0</v>
      </c>
      <c r="BB90" s="13">
        <f>+'QTR Share Price'!IH20</f>
        <v>0</v>
      </c>
      <c r="BC90" s="13">
        <f>+'QTR Share Price'!II20</f>
        <v>0</v>
      </c>
      <c r="BD90" s="13">
        <f>+'QTR Share Price'!IJ20</f>
        <v>0</v>
      </c>
      <c r="BE90" s="13">
        <f>+'QTR Share Price'!IK20</f>
        <v>0</v>
      </c>
      <c r="BF90" s="13">
        <f>+'QTR Share Price'!IL20</f>
        <v>0</v>
      </c>
      <c r="BG90" s="13">
        <f>+'QTR Share Price'!IM20</f>
        <v>0</v>
      </c>
      <c r="BH90" s="13">
        <f>+'QTR Share Price'!IN20</f>
        <v>0</v>
      </c>
      <c r="BI90" s="13">
        <f>+'QTR Share Price'!IO20</f>
        <v>0</v>
      </c>
      <c r="BJ90" s="13">
        <f>+'QTR Share Price'!IP20</f>
        <v>0</v>
      </c>
      <c r="BK90" s="13">
        <f>+'QTR Share Price'!IQ20</f>
        <v>0</v>
      </c>
      <c r="BL90" s="13">
        <f>+'QTR Share Price'!IR20</f>
        <v>0</v>
      </c>
      <c r="BM90" s="13">
        <f>+'QTR Share Price'!IS20</f>
        <v>0</v>
      </c>
      <c r="BN90" s="13">
        <f>+'QTR Share Price'!IT20</f>
        <v>0</v>
      </c>
      <c r="BO90" s="13">
        <f>+'QTR Share Price'!IU20</f>
        <v>0</v>
      </c>
      <c r="BP90" s="13">
        <f>+'QTR Share Price'!IV20</f>
        <v>0</v>
      </c>
      <c r="BQ90" s="13">
        <f>+'QTR Share Price'!IW20</f>
        <v>0</v>
      </c>
      <c r="BR90" s="13">
        <f>+'QTR Share Price'!IX20</f>
        <v>0</v>
      </c>
      <c r="BS90" s="13">
        <f>+'QTR Share Price'!IY20</f>
        <v>1115</v>
      </c>
      <c r="BT90" s="13">
        <f>+'QTR Share Price'!IZ20</f>
        <v>1756.95</v>
      </c>
      <c r="BU90" s="13">
        <f>+'QTR Share Price'!JA20</f>
        <v>2051.9499999999998</v>
      </c>
      <c r="BV90" s="13">
        <f>+'QTR Share Price'!JB20</f>
        <v>1845</v>
      </c>
      <c r="BW90" s="13">
        <f>+'QTR Share Price'!JC20</f>
        <v>2024</v>
      </c>
      <c r="BX90" s="13">
        <f>+'QTR Share Price'!JD20</f>
        <v>2258.0500000000002</v>
      </c>
      <c r="BY90" s="13">
        <f>+'QTR Share Price'!JE20</f>
        <v>2717.35</v>
      </c>
      <c r="BZ90" s="13">
        <f>+'QTR Share Price'!JF20</f>
        <v>2699.4</v>
      </c>
      <c r="CA90" s="13">
        <f>+'QTR Share Price'!JG20</f>
        <v>3001.05</v>
      </c>
      <c r="CB90" s="13">
        <f>+'QTR Share Price'!JH20</f>
        <v>3918.45</v>
      </c>
      <c r="CC90" s="13">
        <f>+'QTR Share Price'!JI20</f>
        <v>4210.55</v>
      </c>
      <c r="CD90" s="13">
        <f>+'QTR Share Price'!JJ20</f>
        <v>3782.05</v>
      </c>
      <c r="CE90" s="13">
        <f>+'QTR Share Price'!JK20</f>
        <v>4095</v>
      </c>
      <c r="CF90" s="13">
        <f>+'QTR Share Price'!JL20</f>
        <v>4850.1000000000004</v>
      </c>
      <c r="CG90" s="13">
        <f>+'QTR Share Price'!JM20</f>
        <v>4610.8999999999996</v>
      </c>
      <c r="CH90" s="13">
        <f>+'QTR Share Price'!JN20</f>
        <v>3860.1</v>
      </c>
      <c r="CI90" s="13">
        <f>+'QTR Share Price'!JO20</f>
        <v>3700</v>
      </c>
      <c r="CJ90" s="13">
        <f>+'QTR Share Price'!JP20</f>
        <v>5533.4</v>
      </c>
      <c r="CK90" s="13">
        <f>+'QTR Share Price'!JQ20</f>
        <v>6318.1</v>
      </c>
      <c r="CL90" s="13">
        <f>+'QTR Share Price'!JR20</f>
        <v>6251.65</v>
      </c>
      <c r="CM90" s="37">
        <f t="shared" ref="CM90:DB90" si="866">+CM98*CM80</f>
        <v>6259.7961929618796</v>
      </c>
      <c r="CN90" s="37">
        <f t="shared" si="866"/>
        <v>6606.8720515227387</v>
      </c>
      <c r="CO90" s="37">
        <f t="shared" si="866"/>
        <v>6864.1923440554856</v>
      </c>
      <c r="CP90" s="37">
        <f t="shared" si="866"/>
        <v>7401.1055776049579</v>
      </c>
      <c r="CQ90" s="37">
        <f t="shared" si="866"/>
        <v>8337.758080966003</v>
      </c>
      <c r="CR90" s="37">
        <f t="shared" si="866"/>
        <v>9315.3916673056156</v>
      </c>
      <c r="CS90" s="37">
        <f t="shared" si="866"/>
        <v>10265.670620619541</v>
      </c>
      <c r="CT90" s="37">
        <f t="shared" si="866"/>
        <v>11292.257539462791</v>
      </c>
      <c r="CU90" s="37">
        <f t="shared" si="866"/>
        <v>12277.225800052067</v>
      </c>
      <c r="CV90" s="37">
        <f t="shared" si="866"/>
        <v>13341.939777073338</v>
      </c>
      <c r="CW90" s="37">
        <f t="shared" si="866"/>
        <v>14420.135543289445</v>
      </c>
      <c r="CX90" s="37">
        <f t="shared" si="866"/>
        <v>15571.915326665214</v>
      </c>
      <c r="CY90" s="37">
        <f t="shared" si="866"/>
        <v>16663.982842105077</v>
      </c>
      <c r="CZ90" s="37">
        <f t="shared" si="866"/>
        <v>17861.221636784994</v>
      </c>
      <c r="DA90" s="37">
        <f t="shared" si="866"/>
        <v>19081.522718393786</v>
      </c>
      <c r="DB90" s="37">
        <f t="shared" si="866"/>
        <v>20385.002365113196</v>
      </c>
      <c r="DE90" s="134"/>
      <c r="DF90" s="13">
        <v>6251.65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51" customFormat="1" x14ac:dyDescent="0.2">
      <c r="A92" s="51" t="s">
        <v>346</v>
      </c>
      <c r="AB92" s="48">
        <f t="shared" ref="AB92:AD92" si="867">+AB89/AB88-1</f>
        <v>0.38878756797295289</v>
      </c>
      <c r="AC92" s="48">
        <f t="shared" si="867"/>
        <v>1.1189465169377759</v>
      </c>
      <c r="AD92" s="48">
        <f t="shared" si="867"/>
        <v>1.9220070148220292</v>
      </c>
      <c r="AE92" s="48">
        <f t="shared" ref="AE92" si="868">+AE89/AE88-1</f>
        <v>2.8251633571385799</v>
      </c>
      <c r="CM92" s="48">
        <f t="shared" ref="CM92:DB92" si="869">+CM89/CM88-1</f>
        <v>0.17462547178568366</v>
      </c>
      <c r="CN92" s="48">
        <f t="shared" si="869"/>
        <v>0.23975285477713704</v>
      </c>
      <c r="CO92" s="48">
        <f t="shared" si="869"/>
        <v>0.28803796833341289</v>
      </c>
      <c r="CP92" s="48">
        <f t="shared" si="869"/>
        <v>0.38878756797295289</v>
      </c>
      <c r="CQ92" s="48">
        <f t="shared" si="869"/>
        <v>0.56454662701336078</v>
      </c>
      <c r="CR92" s="48">
        <f t="shared" si="869"/>
        <v>0.74799562074878545</v>
      </c>
      <c r="CS92" s="48">
        <f t="shared" si="869"/>
        <v>0.92631162808451695</v>
      </c>
      <c r="CT92" s="48">
        <f t="shared" si="869"/>
        <v>1.1189465169377759</v>
      </c>
      <c r="CU92" s="48">
        <f t="shared" si="869"/>
        <v>1.3037718326708063</v>
      </c>
      <c r="CV92" s="48">
        <f t="shared" si="869"/>
        <v>1.503561109992896</v>
      </c>
      <c r="CW92" s="48">
        <f t="shared" si="869"/>
        <v>1.7058801906033589</v>
      </c>
      <c r="CX92" s="48">
        <f t="shared" si="869"/>
        <v>1.9220070148220292</v>
      </c>
      <c r="CY92" s="48">
        <f t="shared" si="869"/>
        <v>2.1269290731452113</v>
      </c>
      <c r="CZ92" s="48">
        <f t="shared" si="869"/>
        <v>2.3515860972224782</v>
      </c>
      <c r="DA92" s="48">
        <f t="shared" si="869"/>
        <v>2.5805706662915049</v>
      </c>
      <c r="DB92" s="48">
        <f t="shared" si="869"/>
        <v>2.8251633571385799</v>
      </c>
      <c r="DE92" s="129"/>
      <c r="DF92" s="51">
        <v>0.17309687157951981</v>
      </c>
    </row>
    <row r="93" spans="1:110" s="51" customFormat="1" x14ac:dyDescent="0.2">
      <c r="A93" s="51" t="s">
        <v>347</v>
      </c>
      <c r="AB93" s="48">
        <f t="shared" ref="AB93:AD93" si="870">+AB90/AB88-1</f>
        <v>-0.10435515149025565</v>
      </c>
      <c r="AC93" s="48">
        <f t="shared" si="870"/>
        <v>0.19295738122175132</v>
      </c>
      <c r="AD93" s="48">
        <f t="shared" si="870"/>
        <v>0.75661214883813743</v>
      </c>
      <c r="AE93" s="48">
        <f t="shared" ref="AE93" si="871">+AE90/AE88-1</f>
        <v>1.3842645875542918</v>
      </c>
      <c r="CM93" s="48">
        <f t="shared" ref="CM93:DB93" si="872">+CM90/CM88-1</f>
        <v>-0.10435515149025565</v>
      </c>
      <c r="CN93" s="48">
        <f t="shared" si="872"/>
        <v>-5.4695914163705339E-2</v>
      </c>
      <c r="CO93" s="48">
        <f t="shared" si="872"/>
        <v>-1.7878805855435109E-2</v>
      </c>
      <c r="CP93" s="48">
        <f t="shared" si="872"/>
        <v>5.8942157144281859E-2</v>
      </c>
      <c r="CQ93" s="48">
        <f t="shared" si="872"/>
        <v>0.19295738122175132</v>
      </c>
      <c r="CR93" s="48">
        <f t="shared" si="872"/>
        <v>0.33283613419451807</v>
      </c>
      <c r="CS93" s="48">
        <f t="shared" si="872"/>
        <v>0.46880101594894108</v>
      </c>
      <c r="CT93" s="48">
        <f t="shared" si="872"/>
        <v>0.6156839586305618</v>
      </c>
      <c r="CU93" s="48">
        <f t="shared" si="872"/>
        <v>0.75661214883813743</v>
      </c>
      <c r="CV93" s="48">
        <f t="shared" si="872"/>
        <v>0.90895026964270875</v>
      </c>
      <c r="CW93" s="48">
        <f t="shared" si="872"/>
        <v>1.0632173502199045</v>
      </c>
      <c r="CX93" s="48">
        <f t="shared" si="872"/>
        <v>1.2280127521465722</v>
      </c>
      <c r="CY93" s="48">
        <f t="shared" si="872"/>
        <v>1.3842645875542918</v>
      </c>
      <c r="CZ93" s="48">
        <f t="shared" si="872"/>
        <v>1.5555642155033151</v>
      </c>
      <c r="DA93" s="48">
        <f t="shared" si="872"/>
        <v>1.7301635704475919</v>
      </c>
      <c r="DB93" s="48">
        <f t="shared" si="872"/>
        <v>1.9166640242537643</v>
      </c>
      <c r="DE93" s="129"/>
      <c r="DF93" s="51">
        <v>-0.47060801385003892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40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460</v>
      </c>
      <c r="B96" s="13" t="e">
        <f t="shared" ref="B96:D96" si="873">+B88/B80</f>
        <v>#DIV/0!</v>
      </c>
      <c r="C96" s="13" t="e">
        <f t="shared" si="873"/>
        <v>#DIV/0!</v>
      </c>
      <c r="D96" s="13" t="e">
        <f t="shared" si="873"/>
        <v>#DIV/0!</v>
      </c>
      <c r="E96" s="13" t="e">
        <f t="shared" ref="E96:AE96" ca="1" si="874">+E88/E80</f>
        <v>#DIV/0!</v>
      </c>
      <c r="F96" s="13" t="e">
        <f t="shared" ca="1" si="874"/>
        <v>#DIV/0!</v>
      </c>
      <c r="G96" s="13" t="e">
        <f t="shared" ca="1" si="874"/>
        <v>#DIV/0!</v>
      </c>
      <c r="H96" s="13" t="e">
        <f t="shared" ca="1" si="874"/>
        <v>#DIV/0!</v>
      </c>
      <c r="I96" s="13" t="e">
        <f t="shared" ca="1" si="874"/>
        <v>#DIV/0!</v>
      </c>
      <c r="J96" s="13" t="e">
        <f t="shared" ca="1" si="874"/>
        <v>#DIV/0!</v>
      </c>
      <c r="K96" s="13" t="e">
        <f t="shared" ca="1" si="874"/>
        <v>#DIV/0!</v>
      </c>
      <c r="L96" s="13" t="e">
        <f t="shared" ca="1" si="874"/>
        <v>#DIV/0!</v>
      </c>
      <c r="M96" s="13" t="e">
        <f t="shared" ca="1" si="874"/>
        <v>#DIV/0!</v>
      </c>
      <c r="N96" s="13" t="e">
        <f t="shared" ca="1" si="874"/>
        <v>#DIV/0!</v>
      </c>
      <c r="O96" s="13" t="e">
        <f t="shared" ca="1" si="874"/>
        <v>#DIV/0!</v>
      </c>
      <c r="P96" s="13" t="e">
        <f t="shared" ca="1" si="874"/>
        <v>#DIV/0!</v>
      </c>
      <c r="Q96" s="13" t="e">
        <f t="shared" ca="1" si="874"/>
        <v>#DIV/0!</v>
      </c>
      <c r="R96" s="13" t="e">
        <f t="shared" ca="1" si="874"/>
        <v>#DIV/0!</v>
      </c>
      <c r="S96" s="13" t="e">
        <f t="shared" ca="1" si="874"/>
        <v>#DIV/0!</v>
      </c>
      <c r="T96" s="13" t="e">
        <f t="shared" ca="1" si="874"/>
        <v>#DIV/0!</v>
      </c>
      <c r="U96" s="13" t="e">
        <f t="shared" ca="1" si="874"/>
        <v>#DIV/0!</v>
      </c>
      <c r="V96" s="13" t="e">
        <f t="shared" ca="1" si="874"/>
        <v>#DIV/0!</v>
      </c>
      <c r="W96" s="13" t="e">
        <f t="shared" ca="1" si="874"/>
        <v>#DIV/0!</v>
      </c>
      <c r="X96" s="13" t="e">
        <f t="shared" ca="1" si="874"/>
        <v>#DIV/0!</v>
      </c>
      <c r="Y96" s="13" t="e">
        <f t="shared" ca="1" si="874"/>
        <v>#DIV/0!</v>
      </c>
      <c r="Z96" s="13" t="e">
        <f t="shared" ref="Z96:AA96" ca="1" si="875">+Z88/Z80</f>
        <v>#DIV/0!</v>
      </c>
      <c r="AA96" s="13" t="e">
        <f t="shared" ca="1" si="875"/>
        <v>#DIV/0!</v>
      </c>
      <c r="AB96" s="37" t="e">
        <f t="shared" ca="1" si="874"/>
        <v>#DIV/0!</v>
      </c>
      <c r="AC96" s="37" t="e">
        <f t="shared" ca="1" si="874"/>
        <v>#DIV/0!</v>
      </c>
      <c r="AD96" s="37" t="e">
        <f t="shared" ca="1" si="874"/>
        <v>#DIV/0!</v>
      </c>
      <c r="AE96" s="37" t="e">
        <f t="shared" ca="1" si="874"/>
        <v>#DIV/0!</v>
      </c>
      <c r="AL96" s="13" t="e">
        <f t="shared" ref="AL96:BQ96" si="876">+AL88/AL80</f>
        <v>#DIV/0!</v>
      </c>
      <c r="AM96" s="13" t="e">
        <f t="shared" si="876"/>
        <v>#DIV/0!</v>
      </c>
      <c r="AN96" s="13" t="e">
        <f t="shared" si="876"/>
        <v>#DIV/0!</v>
      </c>
      <c r="AO96" s="13" t="e">
        <f t="shared" si="876"/>
        <v>#DIV/0!</v>
      </c>
      <c r="AP96" s="13" t="e">
        <f t="shared" si="876"/>
        <v>#DIV/0!</v>
      </c>
      <c r="AQ96" s="13" t="e">
        <f t="shared" si="876"/>
        <v>#DIV/0!</v>
      </c>
      <c r="AR96" s="13" t="e">
        <f t="shared" si="876"/>
        <v>#DIV/0!</v>
      </c>
      <c r="AS96" s="13" t="e">
        <f t="shared" si="876"/>
        <v>#DIV/0!</v>
      </c>
      <c r="AT96" s="13" t="e">
        <f t="shared" si="876"/>
        <v>#DIV/0!</v>
      </c>
      <c r="AU96" s="13" t="e">
        <f t="shared" si="876"/>
        <v>#DIV/0!</v>
      </c>
      <c r="AV96" s="13" t="e">
        <f t="shared" si="876"/>
        <v>#DIV/0!</v>
      </c>
      <c r="AW96" s="13" t="e">
        <f t="shared" si="876"/>
        <v>#DIV/0!</v>
      </c>
      <c r="AX96" s="13" t="e">
        <f t="shared" si="876"/>
        <v>#DIV/0!</v>
      </c>
      <c r="AY96" s="13" t="e">
        <f t="shared" si="876"/>
        <v>#DIV/0!</v>
      </c>
      <c r="AZ96" s="13" t="e">
        <f t="shared" si="876"/>
        <v>#DIV/0!</v>
      </c>
      <c r="BA96" s="13" t="e">
        <f t="shared" si="876"/>
        <v>#DIV/0!</v>
      </c>
      <c r="BB96" s="13" t="e">
        <f t="shared" si="876"/>
        <v>#DIV/0!</v>
      </c>
      <c r="BC96" s="13" t="e">
        <f t="shared" si="876"/>
        <v>#DIV/0!</v>
      </c>
      <c r="BD96" s="13" t="e">
        <f t="shared" si="876"/>
        <v>#DIV/0!</v>
      </c>
      <c r="BE96" s="13" t="e">
        <f t="shared" si="876"/>
        <v>#DIV/0!</v>
      </c>
      <c r="BF96" s="13" t="e">
        <f t="shared" si="876"/>
        <v>#DIV/0!</v>
      </c>
      <c r="BG96" s="13" t="e">
        <f t="shared" si="876"/>
        <v>#DIV/0!</v>
      </c>
      <c r="BH96" s="13" t="e">
        <f t="shared" si="876"/>
        <v>#DIV/0!</v>
      </c>
      <c r="BI96" s="13" t="e">
        <f t="shared" si="876"/>
        <v>#DIV/0!</v>
      </c>
      <c r="BJ96" s="13" t="e">
        <f t="shared" si="876"/>
        <v>#DIV/0!</v>
      </c>
      <c r="BK96" s="13" t="e">
        <f t="shared" si="876"/>
        <v>#DIV/0!</v>
      </c>
      <c r="BL96" s="13" t="e">
        <f t="shared" si="876"/>
        <v>#DIV/0!</v>
      </c>
      <c r="BM96" s="13" t="e">
        <f t="shared" si="876"/>
        <v>#DIV/0!</v>
      </c>
      <c r="BN96" s="13">
        <f t="shared" si="876"/>
        <v>0</v>
      </c>
      <c r="BO96" s="13">
        <f t="shared" si="876"/>
        <v>0</v>
      </c>
      <c r="BP96" s="13">
        <f t="shared" si="876"/>
        <v>0</v>
      </c>
      <c r="BQ96" s="13">
        <f t="shared" si="876"/>
        <v>0</v>
      </c>
      <c r="BR96" s="13">
        <f t="shared" ref="BR96:DB96" si="877">+BR88/BR80</f>
        <v>34.747227814297482</v>
      </c>
      <c r="BS96" s="13">
        <f t="shared" si="877"/>
        <v>30.812955833212285</v>
      </c>
      <c r="BT96" s="13">
        <f t="shared" si="877"/>
        <v>30.544969961769539</v>
      </c>
      <c r="BU96" s="13">
        <f t="shared" si="877"/>
        <v>34.02275942357312</v>
      </c>
      <c r="BV96" s="13">
        <f t="shared" si="877"/>
        <v>34.471109203507282</v>
      </c>
      <c r="BW96" s="13">
        <f t="shared" si="877"/>
        <v>27.665941940100176</v>
      </c>
      <c r="BX96" s="13">
        <f t="shared" si="877"/>
        <v>31.578569026803727</v>
      </c>
      <c r="BY96" s="13">
        <f t="shared" si="877"/>
        <v>37.658508933795396</v>
      </c>
      <c r="BZ96" s="13">
        <f t="shared" si="877"/>
        <v>31.183028704859293</v>
      </c>
      <c r="CA96" s="13">
        <f t="shared" si="877"/>
        <v>36.108157232468159</v>
      </c>
      <c r="CB96" s="13">
        <f t="shared" si="877"/>
        <v>36.970641657447445</v>
      </c>
      <c r="CC96" s="13">
        <f t="shared" si="877"/>
        <v>40.276993120700411</v>
      </c>
      <c r="CD96" s="13">
        <f t="shared" si="877"/>
        <v>33.867689755969359</v>
      </c>
      <c r="CE96" s="13">
        <f t="shared" si="877"/>
        <v>46.7009071968359</v>
      </c>
      <c r="CF96" s="13">
        <f t="shared" si="877"/>
        <v>61.677809291734853</v>
      </c>
      <c r="CG96" s="13">
        <f t="shared" si="877"/>
        <v>62.603679355783285</v>
      </c>
      <c r="CH96" s="13">
        <f t="shared" si="877"/>
        <v>52.693905653517497</v>
      </c>
      <c r="CI96" s="13">
        <f t="shared" ref="CI96:CJ96" si="878">+CI88/CI80</f>
        <v>54.211316359475255</v>
      </c>
      <c r="CJ96" s="13">
        <f t="shared" si="878"/>
        <v>59.008602150537705</v>
      </c>
      <c r="CK96" s="13">
        <f t="shared" ref="CK96:CL96" si="879">+CK88/CK80</f>
        <v>51.099916351937331</v>
      </c>
      <c r="CL96" s="13">
        <f t="shared" si="879"/>
        <v>42.011669017987586</v>
      </c>
      <c r="CM96" s="37">
        <f t="shared" si="877"/>
        <v>41.956997084282158</v>
      </c>
      <c r="CN96" s="37">
        <f t="shared" si="877"/>
        <v>39.752888896307425</v>
      </c>
      <c r="CO96" s="37">
        <f t="shared" si="877"/>
        <v>38.262658948325516</v>
      </c>
      <c r="CP96" s="37">
        <f t="shared" si="877"/>
        <v>35.486894202811079</v>
      </c>
      <c r="CQ96" s="37">
        <f t="shared" si="877"/>
        <v>31.500344345067962</v>
      </c>
      <c r="CR96" s="37">
        <f t="shared" si="877"/>
        <v>28.194439911539305</v>
      </c>
      <c r="CS96" s="37">
        <f t="shared" si="877"/>
        <v>25.584519543103308</v>
      </c>
      <c r="CT96" s="37">
        <f t="shared" si="877"/>
        <v>23.258613231096824</v>
      </c>
      <c r="CU96" s="37">
        <f t="shared" si="877"/>
        <v>21.392638279503522</v>
      </c>
      <c r="CV96" s="37">
        <f t="shared" si="877"/>
        <v>19.685462159529759</v>
      </c>
      <c r="CW96" s="37">
        <f t="shared" si="877"/>
        <v>18.213577107361196</v>
      </c>
      <c r="CX96" s="37">
        <f t="shared" si="877"/>
        <v>16.866406290211184</v>
      </c>
      <c r="CY96" s="37">
        <f t="shared" si="877"/>
        <v>15.761073034273711</v>
      </c>
      <c r="CZ96" s="37">
        <f t="shared" si="877"/>
        <v>14.704607330743448</v>
      </c>
      <c r="DA96" s="37">
        <f t="shared" si="877"/>
        <v>13.764218636656603</v>
      </c>
      <c r="DB96" s="37">
        <f t="shared" si="877"/>
        <v>12.884092231737334</v>
      </c>
      <c r="DE96" s="134"/>
      <c r="DF96" s="13">
        <v>43.486371150786496</v>
      </c>
    </row>
    <row r="97" spans="1:110" s="13" customFormat="1" x14ac:dyDescent="0.2">
      <c r="A97" s="13" t="s">
        <v>461</v>
      </c>
      <c r="B97" s="13" t="e">
        <f t="shared" ref="B97:D97" si="880">+B89/B80</f>
        <v>#DIV/0!</v>
      </c>
      <c r="C97" s="13" t="e">
        <f t="shared" si="880"/>
        <v>#DIV/0!</v>
      </c>
      <c r="D97" s="13" t="e">
        <f t="shared" si="880"/>
        <v>#DIV/0!</v>
      </c>
      <c r="E97" s="13" t="e">
        <f t="shared" ref="E97:AE97" ca="1" si="881">+E89/E80</f>
        <v>#DIV/0!</v>
      </c>
      <c r="F97" s="13" t="e">
        <f t="shared" ca="1" si="881"/>
        <v>#DIV/0!</v>
      </c>
      <c r="G97" s="13" t="e">
        <f t="shared" ca="1" si="881"/>
        <v>#DIV/0!</v>
      </c>
      <c r="H97" s="13" t="e">
        <f t="shared" ca="1" si="881"/>
        <v>#DIV/0!</v>
      </c>
      <c r="I97" s="13" t="e">
        <f t="shared" ca="1" si="881"/>
        <v>#DIV/0!</v>
      </c>
      <c r="J97" s="13" t="e">
        <f t="shared" ca="1" si="881"/>
        <v>#DIV/0!</v>
      </c>
      <c r="K97" s="13" t="e">
        <f t="shared" ca="1" si="881"/>
        <v>#DIV/0!</v>
      </c>
      <c r="L97" s="13" t="e">
        <f t="shared" ca="1" si="881"/>
        <v>#DIV/0!</v>
      </c>
      <c r="M97" s="13" t="e">
        <f t="shared" ca="1" si="881"/>
        <v>#DIV/0!</v>
      </c>
      <c r="N97" s="13" t="e">
        <f t="shared" ca="1" si="881"/>
        <v>#DIV/0!</v>
      </c>
      <c r="O97" s="13" t="e">
        <f t="shared" ca="1" si="881"/>
        <v>#DIV/0!</v>
      </c>
      <c r="P97" s="13" t="e">
        <f t="shared" ca="1" si="881"/>
        <v>#DIV/0!</v>
      </c>
      <c r="Q97" s="13" t="e">
        <f t="shared" ca="1" si="881"/>
        <v>#DIV/0!</v>
      </c>
      <c r="R97" s="13" t="e">
        <f t="shared" ca="1" si="881"/>
        <v>#DIV/0!</v>
      </c>
      <c r="S97" s="13" t="e">
        <f t="shared" ca="1" si="881"/>
        <v>#DIV/0!</v>
      </c>
      <c r="T97" s="13" t="e">
        <f t="shared" ca="1" si="881"/>
        <v>#DIV/0!</v>
      </c>
      <c r="U97" s="13" t="e">
        <f t="shared" ca="1" si="881"/>
        <v>#DIV/0!</v>
      </c>
      <c r="V97" s="13" t="e">
        <f t="shared" ca="1" si="881"/>
        <v>#DIV/0!</v>
      </c>
      <c r="W97" s="13" t="e">
        <f t="shared" ca="1" si="881"/>
        <v>#DIV/0!</v>
      </c>
      <c r="X97" s="13" t="e">
        <f t="shared" ca="1" si="881"/>
        <v>#DIV/0!</v>
      </c>
      <c r="Y97" s="13" t="e">
        <f t="shared" ca="1" si="881"/>
        <v>#DIV/0!</v>
      </c>
      <c r="Z97" s="13" t="e">
        <f t="shared" ref="Z97:AA97" ca="1" si="882">+Z89/Z80</f>
        <v>#DIV/0!</v>
      </c>
      <c r="AA97" s="13" t="e">
        <f t="shared" ca="1" si="882"/>
        <v>#DIV/0!</v>
      </c>
      <c r="AB97" s="60" t="e">
        <f t="shared" ca="1" si="881"/>
        <v>#DIV/0!</v>
      </c>
      <c r="AC97" s="60" t="e">
        <f t="shared" ca="1" si="881"/>
        <v>#DIV/0!</v>
      </c>
      <c r="AD97" s="60" t="e">
        <f t="shared" ca="1" si="881"/>
        <v>#DIV/0!</v>
      </c>
      <c r="AE97" s="60" t="e">
        <f t="shared" ca="1" si="881"/>
        <v>#DIV/0!</v>
      </c>
      <c r="AL97" s="13" t="e">
        <f t="shared" ref="AL97:BQ97" si="883">+AL89/AL80</f>
        <v>#DIV/0!</v>
      </c>
      <c r="AM97" s="13" t="e">
        <f t="shared" si="883"/>
        <v>#DIV/0!</v>
      </c>
      <c r="AN97" s="13" t="e">
        <f t="shared" si="883"/>
        <v>#DIV/0!</v>
      </c>
      <c r="AO97" s="13" t="e">
        <f t="shared" si="883"/>
        <v>#DIV/0!</v>
      </c>
      <c r="AP97" s="13" t="e">
        <f t="shared" si="883"/>
        <v>#DIV/0!</v>
      </c>
      <c r="AQ97" s="13" t="e">
        <f t="shared" si="883"/>
        <v>#DIV/0!</v>
      </c>
      <c r="AR97" s="13" t="e">
        <f t="shared" si="883"/>
        <v>#DIV/0!</v>
      </c>
      <c r="AS97" s="13" t="e">
        <f t="shared" si="883"/>
        <v>#DIV/0!</v>
      </c>
      <c r="AT97" s="13" t="e">
        <f t="shared" si="883"/>
        <v>#DIV/0!</v>
      </c>
      <c r="AU97" s="13" t="e">
        <f t="shared" si="883"/>
        <v>#DIV/0!</v>
      </c>
      <c r="AV97" s="13" t="e">
        <f t="shared" si="883"/>
        <v>#DIV/0!</v>
      </c>
      <c r="AW97" s="13" t="e">
        <f t="shared" si="883"/>
        <v>#DIV/0!</v>
      </c>
      <c r="AX97" s="13" t="e">
        <f t="shared" si="883"/>
        <v>#DIV/0!</v>
      </c>
      <c r="AY97" s="13" t="e">
        <f t="shared" si="883"/>
        <v>#DIV/0!</v>
      </c>
      <c r="AZ97" s="13" t="e">
        <f t="shared" si="883"/>
        <v>#DIV/0!</v>
      </c>
      <c r="BA97" s="13" t="e">
        <f t="shared" si="883"/>
        <v>#DIV/0!</v>
      </c>
      <c r="BB97" s="13" t="e">
        <f t="shared" si="883"/>
        <v>#DIV/0!</v>
      </c>
      <c r="BC97" s="13" t="e">
        <f t="shared" si="883"/>
        <v>#DIV/0!</v>
      </c>
      <c r="BD97" s="13" t="e">
        <f t="shared" si="883"/>
        <v>#DIV/0!</v>
      </c>
      <c r="BE97" s="13" t="e">
        <f t="shared" si="883"/>
        <v>#DIV/0!</v>
      </c>
      <c r="BF97" s="13" t="e">
        <f t="shared" si="883"/>
        <v>#DIV/0!</v>
      </c>
      <c r="BG97" s="13" t="e">
        <f t="shared" si="883"/>
        <v>#DIV/0!</v>
      </c>
      <c r="BH97" s="13" t="e">
        <f t="shared" si="883"/>
        <v>#DIV/0!</v>
      </c>
      <c r="BI97" s="13" t="e">
        <f t="shared" si="883"/>
        <v>#DIV/0!</v>
      </c>
      <c r="BJ97" s="13" t="e">
        <f t="shared" si="883"/>
        <v>#DIV/0!</v>
      </c>
      <c r="BK97" s="13" t="e">
        <f t="shared" si="883"/>
        <v>#DIV/0!</v>
      </c>
      <c r="BL97" s="13" t="e">
        <f t="shared" si="883"/>
        <v>#DIV/0!</v>
      </c>
      <c r="BM97" s="13" t="e">
        <f t="shared" si="883"/>
        <v>#DIV/0!</v>
      </c>
      <c r="BN97" s="13">
        <f t="shared" si="883"/>
        <v>0</v>
      </c>
      <c r="BO97" s="13">
        <f t="shared" si="883"/>
        <v>0</v>
      </c>
      <c r="BP97" s="13">
        <f t="shared" si="883"/>
        <v>0</v>
      </c>
      <c r="BQ97" s="13">
        <f t="shared" si="883"/>
        <v>0</v>
      </c>
      <c r="BR97" s="13">
        <f t="shared" ref="BR97:CH97" si="884">+BR89/BR80</f>
        <v>37.495686113393624</v>
      </c>
      <c r="BS97" s="13">
        <f t="shared" si="884"/>
        <v>32.106831323550807</v>
      </c>
      <c r="BT97" s="13">
        <f t="shared" si="884"/>
        <v>32.467061714909903</v>
      </c>
      <c r="BU97" s="13">
        <f t="shared" si="884"/>
        <v>41.633004845510072</v>
      </c>
      <c r="BV97" s="13">
        <f t="shared" si="884"/>
        <v>35.787805506162258</v>
      </c>
      <c r="BW97" s="13">
        <f t="shared" si="884"/>
        <v>30.437170090974142</v>
      </c>
      <c r="BX97" s="13">
        <f t="shared" si="884"/>
        <v>34.442158708809679</v>
      </c>
      <c r="BY97" s="13">
        <f t="shared" si="884"/>
        <v>39.839509878932439</v>
      </c>
      <c r="BZ97" s="13">
        <f t="shared" si="884"/>
        <v>35.556097266395589</v>
      </c>
      <c r="CA97" s="13">
        <f t="shared" si="884"/>
        <v>37.095340870675727</v>
      </c>
      <c r="CB97" s="13">
        <f t="shared" si="884"/>
        <v>40.354587817224839</v>
      </c>
      <c r="CC97" s="13">
        <f t="shared" si="884"/>
        <v>41.109631019387095</v>
      </c>
      <c r="CD97" s="13">
        <f t="shared" si="884"/>
        <v>42.617610273590138</v>
      </c>
      <c r="CE97" s="13">
        <f t="shared" si="884"/>
        <v>47.90705134543397</v>
      </c>
      <c r="CF97" s="13">
        <f t="shared" si="884"/>
        <v>67.74122118803173</v>
      </c>
      <c r="CG97" s="13">
        <f t="shared" si="884"/>
        <v>77.436704245973615</v>
      </c>
      <c r="CH97" s="13">
        <f t="shared" si="884"/>
        <v>59.584939101981412</v>
      </c>
      <c r="CI97" s="13">
        <f t="shared" ref="CI97:CJ97" si="885">+CI89/CI80</f>
        <v>56.927976623482778</v>
      </c>
      <c r="CJ97" s="13">
        <f t="shared" si="885"/>
        <v>63.704504100601497</v>
      </c>
      <c r="CK97" s="13">
        <f t="shared" ref="CK97:CL97" si="886">+CK89/CK80</f>
        <v>52.261042943068958</v>
      </c>
      <c r="CL97" s="13">
        <f t="shared" si="886"/>
        <v>49.283757494835477</v>
      </c>
      <c r="CM97" s="60">
        <f t="shared" ref="CM97:CM98" si="887">+CL97</f>
        <v>49.283757494835477</v>
      </c>
      <c r="CN97" s="60">
        <f t="shared" ref="CN97:CN98" si="888">+CM97</f>
        <v>49.283757494835477</v>
      </c>
      <c r="CO97" s="60">
        <f t="shared" ref="CO97:CO98" si="889">+CN97</f>
        <v>49.283757494835477</v>
      </c>
      <c r="CP97" s="60">
        <f t="shared" ref="CP97:CP98" si="890">+CO97</f>
        <v>49.283757494835477</v>
      </c>
      <c r="CQ97" s="60">
        <f t="shared" ref="CQ97:CQ98" si="891">+CP97</f>
        <v>49.283757494835477</v>
      </c>
      <c r="CR97" s="60">
        <f t="shared" ref="CR97:CR98" si="892">+CQ97</f>
        <v>49.283757494835477</v>
      </c>
      <c r="CS97" s="60">
        <f t="shared" ref="CS97:CS98" si="893">+CR97</f>
        <v>49.283757494835477</v>
      </c>
      <c r="CT97" s="60">
        <f t="shared" ref="CT97:CT98" si="894">+CS97</f>
        <v>49.283757494835477</v>
      </c>
      <c r="CU97" s="60">
        <f t="shared" ref="CU97:CU98" si="895">+CT97</f>
        <v>49.283757494835477</v>
      </c>
      <c r="CV97" s="60">
        <f t="shared" ref="CV97:CV98" si="896">+CU97</f>
        <v>49.283757494835477</v>
      </c>
      <c r="CW97" s="60">
        <f t="shared" ref="CW97:CW98" si="897">+CV97</f>
        <v>49.283757494835477</v>
      </c>
      <c r="CX97" s="60">
        <f t="shared" ref="CX97:CX98" si="898">+CW97</f>
        <v>49.283757494835477</v>
      </c>
      <c r="CY97" s="60">
        <f t="shared" ref="CY97:CY98" si="899">+CX97</f>
        <v>49.283757494835477</v>
      </c>
      <c r="CZ97" s="60">
        <f t="shared" ref="CZ97:CZ98" si="900">+CY97</f>
        <v>49.283757494835477</v>
      </c>
      <c r="DA97" s="60">
        <f t="shared" ref="DA97:DA98" si="901">+CZ97</f>
        <v>49.283757494835477</v>
      </c>
      <c r="DB97" s="60">
        <f t="shared" ref="DB97:DB98" si="902">+DA97</f>
        <v>49.283757494835477</v>
      </c>
      <c r="DE97" s="136"/>
      <c r="DF97" s="13">
        <v>51.01372595333352</v>
      </c>
    </row>
    <row r="98" spans="1:110" s="13" customFormat="1" x14ac:dyDescent="0.2">
      <c r="A98" s="13" t="s">
        <v>462</v>
      </c>
      <c r="B98" s="13" t="e">
        <f t="shared" ref="B98:D98" si="903">+B90/B80</f>
        <v>#DIV/0!</v>
      </c>
      <c r="C98" s="13" t="e">
        <f t="shared" si="903"/>
        <v>#DIV/0!</v>
      </c>
      <c r="D98" s="13" t="e">
        <f t="shared" si="903"/>
        <v>#DIV/0!</v>
      </c>
      <c r="E98" s="13" t="e">
        <f t="shared" ref="E98:AE98" ca="1" si="904">+E90/E80</f>
        <v>#DIV/0!</v>
      </c>
      <c r="F98" s="13" t="e">
        <f t="shared" ca="1" si="904"/>
        <v>#DIV/0!</v>
      </c>
      <c r="G98" s="13" t="e">
        <f t="shared" ca="1" si="904"/>
        <v>#DIV/0!</v>
      </c>
      <c r="H98" s="13" t="e">
        <f t="shared" ca="1" si="904"/>
        <v>#DIV/0!</v>
      </c>
      <c r="I98" s="13" t="e">
        <f t="shared" ca="1" si="904"/>
        <v>#DIV/0!</v>
      </c>
      <c r="J98" s="13" t="e">
        <f t="shared" ca="1" si="904"/>
        <v>#DIV/0!</v>
      </c>
      <c r="K98" s="13" t="e">
        <f t="shared" ca="1" si="904"/>
        <v>#DIV/0!</v>
      </c>
      <c r="L98" s="13" t="e">
        <f t="shared" ca="1" si="904"/>
        <v>#DIV/0!</v>
      </c>
      <c r="M98" s="13" t="e">
        <f t="shared" ca="1" si="904"/>
        <v>#DIV/0!</v>
      </c>
      <c r="N98" s="13" t="e">
        <f t="shared" ca="1" si="904"/>
        <v>#DIV/0!</v>
      </c>
      <c r="O98" s="13" t="e">
        <f t="shared" ca="1" si="904"/>
        <v>#DIV/0!</v>
      </c>
      <c r="P98" s="13" t="e">
        <f t="shared" ca="1" si="904"/>
        <v>#DIV/0!</v>
      </c>
      <c r="Q98" s="13" t="e">
        <f t="shared" ca="1" si="904"/>
        <v>#DIV/0!</v>
      </c>
      <c r="R98" s="13" t="e">
        <f t="shared" ca="1" si="904"/>
        <v>#DIV/0!</v>
      </c>
      <c r="S98" s="13" t="e">
        <f t="shared" ca="1" si="904"/>
        <v>#DIV/0!</v>
      </c>
      <c r="T98" s="13" t="e">
        <f t="shared" ca="1" si="904"/>
        <v>#DIV/0!</v>
      </c>
      <c r="U98" s="13" t="e">
        <f t="shared" ca="1" si="904"/>
        <v>#DIV/0!</v>
      </c>
      <c r="V98" s="13" t="e">
        <f t="shared" ca="1" si="904"/>
        <v>#DIV/0!</v>
      </c>
      <c r="W98" s="13" t="e">
        <f t="shared" ca="1" si="904"/>
        <v>#DIV/0!</v>
      </c>
      <c r="X98" s="13" t="e">
        <f t="shared" ca="1" si="904"/>
        <v>#DIV/0!</v>
      </c>
      <c r="Y98" s="13" t="e">
        <f t="shared" ca="1" si="904"/>
        <v>#DIV/0!</v>
      </c>
      <c r="Z98" s="13" t="e">
        <f t="shared" ref="Z98:AA98" ca="1" si="905">+Z90/Z80</f>
        <v>#DIV/0!</v>
      </c>
      <c r="AA98" s="13" t="e">
        <f t="shared" ca="1" si="905"/>
        <v>#DIV/0!</v>
      </c>
      <c r="AB98" s="60" t="e">
        <f t="shared" ca="1" si="904"/>
        <v>#DIV/0!</v>
      </c>
      <c r="AC98" s="60" t="e">
        <f t="shared" ca="1" si="904"/>
        <v>#DIV/0!</v>
      </c>
      <c r="AD98" s="60" t="e">
        <f t="shared" ca="1" si="904"/>
        <v>#DIV/0!</v>
      </c>
      <c r="AE98" s="60" t="e">
        <f t="shared" ca="1" si="904"/>
        <v>#DIV/0!</v>
      </c>
      <c r="AL98" s="13" t="e">
        <f t="shared" ref="AL98:BQ98" si="906">+AL90/AL80</f>
        <v>#DIV/0!</v>
      </c>
      <c r="AM98" s="13" t="e">
        <f t="shared" si="906"/>
        <v>#DIV/0!</v>
      </c>
      <c r="AN98" s="13" t="e">
        <f t="shared" si="906"/>
        <v>#DIV/0!</v>
      </c>
      <c r="AO98" s="13" t="e">
        <f t="shared" si="906"/>
        <v>#DIV/0!</v>
      </c>
      <c r="AP98" s="13" t="e">
        <f t="shared" si="906"/>
        <v>#DIV/0!</v>
      </c>
      <c r="AQ98" s="13" t="e">
        <f t="shared" si="906"/>
        <v>#DIV/0!</v>
      </c>
      <c r="AR98" s="13" t="e">
        <f t="shared" si="906"/>
        <v>#DIV/0!</v>
      </c>
      <c r="AS98" s="13" t="e">
        <f t="shared" si="906"/>
        <v>#DIV/0!</v>
      </c>
      <c r="AT98" s="13" t="e">
        <f t="shared" si="906"/>
        <v>#DIV/0!</v>
      </c>
      <c r="AU98" s="13" t="e">
        <f t="shared" si="906"/>
        <v>#DIV/0!</v>
      </c>
      <c r="AV98" s="13" t="e">
        <f t="shared" si="906"/>
        <v>#DIV/0!</v>
      </c>
      <c r="AW98" s="13" t="e">
        <f t="shared" si="906"/>
        <v>#DIV/0!</v>
      </c>
      <c r="AX98" s="13" t="e">
        <f t="shared" si="906"/>
        <v>#DIV/0!</v>
      </c>
      <c r="AY98" s="13" t="e">
        <f t="shared" si="906"/>
        <v>#DIV/0!</v>
      </c>
      <c r="AZ98" s="13" t="e">
        <f t="shared" si="906"/>
        <v>#DIV/0!</v>
      </c>
      <c r="BA98" s="13" t="e">
        <f t="shared" si="906"/>
        <v>#DIV/0!</v>
      </c>
      <c r="BB98" s="13" t="e">
        <f t="shared" si="906"/>
        <v>#DIV/0!</v>
      </c>
      <c r="BC98" s="13" t="e">
        <f t="shared" si="906"/>
        <v>#DIV/0!</v>
      </c>
      <c r="BD98" s="13" t="e">
        <f t="shared" si="906"/>
        <v>#DIV/0!</v>
      </c>
      <c r="BE98" s="13" t="e">
        <f t="shared" si="906"/>
        <v>#DIV/0!</v>
      </c>
      <c r="BF98" s="13" t="e">
        <f t="shared" si="906"/>
        <v>#DIV/0!</v>
      </c>
      <c r="BG98" s="13" t="e">
        <f t="shared" si="906"/>
        <v>#DIV/0!</v>
      </c>
      <c r="BH98" s="13" t="e">
        <f t="shared" si="906"/>
        <v>#DIV/0!</v>
      </c>
      <c r="BI98" s="13" t="e">
        <f t="shared" si="906"/>
        <v>#DIV/0!</v>
      </c>
      <c r="BJ98" s="13" t="e">
        <f t="shared" si="906"/>
        <v>#DIV/0!</v>
      </c>
      <c r="BK98" s="13" t="e">
        <f t="shared" si="906"/>
        <v>#DIV/0!</v>
      </c>
      <c r="BL98" s="13" t="e">
        <f t="shared" si="906"/>
        <v>#DIV/0!</v>
      </c>
      <c r="BM98" s="13" t="e">
        <f t="shared" si="906"/>
        <v>#DIV/0!</v>
      </c>
      <c r="BN98" s="13">
        <f t="shared" si="906"/>
        <v>0</v>
      </c>
      <c r="BO98" s="13">
        <f t="shared" si="906"/>
        <v>0</v>
      </c>
      <c r="BP98" s="13">
        <f t="shared" si="906"/>
        <v>0</v>
      </c>
      <c r="BQ98" s="13">
        <f t="shared" si="906"/>
        <v>0</v>
      </c>
      <c r="BR98" s="13">
        <f t="shared" ref="BR98:CH98" si="907">+BR90/BR80</f>
        <v>0</v>
      </c>
      <c r="BS98" s="13">
        <f t="shared" si="907"/>
        <v>19.325802702310053</v>
      </c>
      <c r="BT98" s="13">
        <f t="shared" si="907"/>
        <v>25.438938649189893</v>
      </c>
      <c r="BU98" s="13">
        <f t="shared" si="907"/>
        <v>30.809594739160556</v>
      </c>
      <c r="BV98" s="13">
        <f t="shared" si="907"/>
        <v>26.992274204427016</v>
      </c>
      <c r="BW98" s="13">
        <f t="shared" si="907"/>
        <v>24.681917612184403</v>
      </c>
      <c r="BX98" s="13">
        <f t="shared" si="907"/>
        <v>25.88004275146508</v>
      </c>
      <c r="BY98" s="13">
        <f t="shared" si="907"/>
        <v>29.180418110626036</v>
      </c>
      <c r="BZ98" s="13">
        <f t="shared" si="907"/>
        <v>25.930063207053426</v>
      </c>
      <c r="CA98" s="13">
        <f t="shared" si="907"/>
        <v>26.895936971791304</v>
      </c>
      <c r="CB98" s="13">
        <f t="shared" si="907"/>
        <v>31.343396359247706</v>
      </c>
      <c r="CC98" s="13">
        <f t="shared" si="907"/>
        <v>31.414547529706049</v>
      </c>
      <c r="CD98" s="13">
        <f t="shared" si="907"/>
        <v>29.638293756363492</v>
      </c>
      <c r="CE98" s="13">
        <f t="shared" si="907"/>
        <v>34.503390069920172</v>
      </c>
      <c r="CF98" s="13">
        <f t="shared" si="907"/>
        <v>46.228333000439378</v>
      </c>
      <c r="CG98" s="13">
        <f t="shared" si="907"/>
        <v>53.69256905807709</v>
      </c>
      <c r="CH98" s="13">
        <f t="shared" si="907"/>
        <v>41.856928740229016</v>
      </c>
      <c r="CI98" s="13">
        <f t="shared" ref="CI98:CJ98" si="908">+CI90/CI80</f>
        <v>36.079120519841432</v>
      </c>
      <c r="CJ98" s="13">
        <f t="shared" si="908"/>
        <v>48.123537087661802</v>
      </c>
      <c r="CK98" s="13">
        <f t="shared" ref="CK98:CL98" si="909">+CK90/CK80</f>
        <v>42.173693103930617</v>
      </c>
      <c r="CL98" s="13">
        <f t="shared" si="909"/>
        <v>37.578568297475677</v>
      </c>
      <c r="CM98" s="60">
        <f t="shared" si="887"/>
        <v>37.578568297475677</v>
      </c>
      <c r="CN98" s="60">
        <f t="shared" si="888"/>
        <v>37.578568297475677</v>
      </c>
      <c r="CO98" s="60">
        <f t="shared" si="889"/>
        <v>37.578568297475677</v>
      </c>
      <c r="CP98" s="60">
        <f t="shared" si="890"/>
        <v>37.578568297475677</v>
      </c>
      <c r="CQ98" s="60">
        <f t="shared" si="891"/>
        <v>37.578568297475677</v>
      </c>
      <c r="CR98" s="60">
        <f t="shared" si="892"/>
        <v>37.578568297475677</v>
      </c>
      <c r="CS98" s="60">
        <f t="shared" si="893"/>
        <v>37.578568297475677</v>
      </c>
      <c r="CT98" s="60">
        <f t="shared" si="894"/>
        <v>37.578568297475677</v>
      </c>
      <c r="CU98" s="60">
        <f t="shared" si="895"/>
        <v>37.578568297475677</v>
      </c>
      <c r="CV98" s="60">
        <f t="shared" si="896"/>
        <v>37.578568297475677</v>
      </c>
      <c r="CW98" s="60">
        <f t="shared" si="897"/>
        <v>37.578568297475677</v>
      </c>
      <c r="CX98" s="60">
        <f t="shared" si="898"/>
        <v>37.578568297475677</v>
      </c>
      <c r="CY98" s="60">
        <f t="shared" si="899"/>
        <v>37.578568297475677</v>
      </c>
      <c r="CZ98" s="60">
        <f t="shared" si="900"/>
        <v>37.578568297475677</v>
      </c>
      <c r="DA98" s="60">
        <f t="shared" si="901"/>
        <v>37.578568297475677</v>
      </c>
      <c r="DB98" s="60">
        <f t="shared" si="902"/>
        <v>37.578568297475677</v>
      </c>
      <c r="DE98" s="136"/>
      <c r="DF98" s="13">
        <v>38.897658829015604</v>
      </c>
    </row>
    <row r="99" spans="1:110" s="13" customFormat="1" x14ac:dyDescent="0.2">
      <c r="AB99" s="60"/>
      <c r="AC99" s="60"/>
      <c r="AD99" s="60"/>
      <c r="AE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E99" s="136"/>
    </row>
    <row r="100" spans="1:110" s="13" customFormat="1" x14ac:dyDescent="0.2">
      <c r="A100" s="13" t="s">
        <v>463</v>
      </c>
      <c r="B100" s="13" t="e">
        <f t="shared" ref="B100:AD100" si="910">+B89/C80</f>
        <v>#DIV/0!</v>
      </c>
      <c r="C100" s="13" t="e">
        <f t="shared" si="910"/>
        <v>#DIV/0!</v>
      </c>
      <c r="D100" s="13" t="e">
        <f t="shared" ca="1" si="910"/>
        <v>#DIV/0!</v>
      </c>
      <c r="E100" s="13" t="e">
        <f t="shared" ca="1" si="910"/>
        <v>#DIV/0!</v>
      </c>
      <c r="F100" s="13" t="e">
        <f t="shared" ca="1" si="910"/>
        <v>#DIV/0!</v>
      </c>
      <c r="G100" s="13" t="e">
        <f t="shared" ca="1" si="910"/>
        <v>#DIV/0!</v>
      </c>
      <c r="H100" s="13" t="e">
        <f t="shared" ca="1" si="910"/>
        <v>#DIV/0!</v>
      </c>
      <c r="I100" s="13" t="e">
        <f t="shared" ca="1" si="910"/>
        <v>#DIV/0!</v>
      </c>
      <c r="J100" s="13" t="e">
        <f t="shared" ca="1" si="910"/>
        <v>#DIV/0!</v>
      </c>
      <c r="K100" s="13" t="e">
        <f t="shared" ca="1" si="910"/>
        <v>#DIV/0!</v>
      </c>
      <c r="L100" s="13" t="e">
        <f t="shared" ca="1" si="910"/>
        <v>#DIV/0!</v>
      </c>
      <c r="M100" s="13" t="e">
        <f t="shared" ca="1" si="910"/>
        <v>#DIV/0!</v>
      </c>
      <c r="N100" s="13" t="e">
        <f t="shared" ca="1" si="910"/>
        <v>#DIV/0!</v>
      </c>
      <c r="O100" s="13" t="e">
        <f t="shared" ca="1" si="910"/>
        <v>#DIV/0!</v>
      </c>
      <c r="P100" s="13" t="e">
        <f t="shared" ca="1" si="910"/>
        <v>#DIV/0!</v>
      </c>
      <c r="Q100" s="13" t="e">
        <f t="shared" ca="1" si="910"/>
        <v>#DIV/0!</v>
      </c>
      <c r="R100" s="13" t="e">
        <f t="shared" ca="1" si="910"/>
        <v>#DIV/0!</v>
      </c>
      <c r="S100" s="13" t="e">
        <f t="shared" ca="1" si="910"/>
        <v>#DIV/0!</v>
      </c>
      <c r="T100" s="13" t="e">
        <f t="shared" ca="1" si="910"/>
        <v>#DIV/0!</v>
      </c>
      <c r="U100" s="13" t="e">
        <f t="shared" ca="1" si="910"/>
        <v>#DIV/0!</v>
      </c>
      <c r="V100" s="13" t="e">
        <f t="shared" ca="1" si="910"/>
        <v>#DIV/0!</v>
      </c>
      <c r="W100" s="13" t="e">
        <f t="shared" ca="1" si="910"/>
        <v>#DIV/0!</v>
      </c>
      <c r="X100" s="13" t="e">
        <f t="shared" ca="1" si="910"/>
        <v>#DIV/0!</v>
      </c>
      <c r="Y100" s="13" t="e">
        <f t="shared" ca="1" si="910"/>
        <v>#DIV/0!</v>
      </c>
      <c r="Z100" s="13" t="e">
        <f t="shared" ref="Z100:AA100" ca="1" si="911">+Z89/AA80</f>
        <v>#DIV/0!</v>
      </c>
      <c r="AA100" s="13" t="e">
        <f t="shared" ca="1" si="911"/>
        <v>#DIV/0!</v>
      </c>
      <c r="AB100" s="37" t="e">
        <f t="shared" ca="1" si="910"/>
        <v>#DIV/0!</v>
      </c>
      <c r="AC100" s="37" t="e">
        <f t="shared" ca="1" si="910"/>
        <v>#DIV/0!</v>
      </c>
      <c r="AD100" s="37" t="e">
        <f t="shared" ca="1" si="910"/>
        <v>#DIV/0!</v>
      </c>
      <c r="AE100" s="37"/>
      <c r="AL100" s="13" t="e">
        <f t="shared" ref="AL100:BQ100" si="912">+AL89/AP80</f>
        <v>#DIV/0!</v>
      </c>
      <c r="AM100" s="13" t="e">
        <f t="shared" si="912"/>
        <v>#DIV/0!</v>
      </c>
      <c r="AN100" s="13" t="e">
        <f t="shared" si="912"/>
        <v>#DIV/0!</v>
      </c>
      <c r="AO100" s="13" t="e">
        <f t="shared" si="912"/>
        <v>#DIV/0!</v>
      </c>
      <c r="AP100" s="13" t="e">
        <f t="shared" si="912"/>
        <v>#DIV/0!</v>
      </c>
      <c r="AQ100" s="13" t="e">
        <f t="shared" si="912"/>
        <v>#DIV/0!</v>
      </c>
      <c r="AR100" s="13" t="e">
        <f t="shared" si="912"/>
        <v>#DIV/0!</v>
      </c>
      <c r="AS100" s="13" t="e">
        <f t="shared" si="912"/>
        <v>#DIV/0!</v>
      </c>
      <c r="AT100" s="13" t="e">
        <f t="shared" si="912"/>
        <v>#DIV/0!</v>
      </c>
      <c r="AU100" s="13" t="e">
        <f t="shared" si="912"/>
        <v>#DIV/0!</v>
      </c>
      <c r="AV100" s="13" t="e">
        <f t="shared" si="912"/>
        <v>#DIV/0!</v>
      </c>
      <c r="AW100" s="13" t="e">
        <f t="shared" si="912"/>
        <v>#DIV/0!</v>
      </c>
      <c r="AX100" s="13" t="e">
        <f t="shared" si="912"/>
        <v>#DIV/0!</v>
      </c>
      <c r="AY100" s="13" t="e">
        <f t="shared" si="912"/>
        <v>#DIV/0!</v>
      </c>
      <c r="AZ100" s="13" t="e">
        <f t="shared" si="912"/>
        <v>#DIV/0!</v>
      </c>
      <c r="BA100" s="13" t="e">
        <f t="shared" si="912"/>
        <v>#DIV/0!</v>
      </c>
      <c r="BB100" s="13" t="e">
        <f t="shared" si="912"/>
        <v>#DIV/0!</v>
      </c>
      <c r="BC100" s="13" t="e">
        <f t="shared" si="912"/>
        <v>#DIV/0!</v>
      </c>
      <c r="BD100" s="13" t="e">
        <f t="shared" si="912"/>
        <v>#DIV/0!</v>
      </c>
      <c r="BE100" s="13" t="e">
        <f t="shared" si="912"/>
        <v>#DIV/0!</v>
      </c>
      <c r="BF100" s="13" t="e">
        <f t="shared" si="912"/>
        <v>#DIV/0!</v>
      </c>
      <c r="BG100" s="13" t="e">
        <f t="shared" si="912"/>
        <v>#DIV/0!</v>
      </c>
      <c r="BH100" s="13" t="e">
        <f t="shared" si="912"/>
        <v>#DIV/0!</v>
      </c>
      <c r="BI100" s="13" t="e">
        <f t="shared" si="912"/>
        <v>#DIV/0!</v>
      </c>
      <c r="BJ100" s="13">
        <f t="shared" si="912"/>
        <v>0</v>
      </c>
      <c r="BK100" s="13">
        <f t="shared" si="912"/>
        <v>0</v>
      </c>
      <c r="BL100" s="13">
        <f t="shared" si="912"/>
        <v>0</v>
      </c>
      <c r="BM100" s="13">
        <f t="shared" si="912"/>
        <v>0</v>
      </c>
      <c r="BN100" s="13">
        <f t="shared" si="912"/>
        <v>0</v>
      </c>
      <c r="BO100" s="13">
        <f t="shared" si="912"/>
        <v>0</v>
      </c>
      <c r="BP100" s="13">
        <f t="shared" si="912"/>
        <v>0</v>
      </c>
      <c r="BQ100" s="13">
        <f t="shared" si="912"/>
        <v>0</v>
      </c>
      <c r="BR100" s="13">
        <f t="shared" ref="BR100:CL100" si="913">+BR89/BV80</f>
        <v>22.383837145134599</v>
      </c>
      <c r="BS100" s="13">
        <f t="shared" si="913"/>
        <v>22.58932024941225</v>
      </c>
      <c r="BT100" s="13">
        <f t="shared" si="913"/>
        <v>25.700101354596981</v>
      </c>
      <c r="BU100" s="13">
        <f t="shared" si="913"/>
        <v>29.775871101309686</v>
      </c>
      <c r="BV100" s="13">
        <f t="shared" si="913"/>
        <v>23.497859012037519</v>
      </c>
      <c r="BW100" s="13">
        <f t="shared" si="913"/>
        <v>22.369142095180852</v>
      </c>
      <c r="BX100" s="13">
        <f t="shared" si="913"/>
        <v>24.03757618425022</v>
      </c>
      <c r="BY100" s="13">
        <f t="shared" si="913"/>
        <v>27.679614446529062</v>
      </c>
      <c r="BZ100" s="13">
        <f t="shared" si="913"/>
        <v>29.007058166650218</v>
      </c>
      <c r="CA100" s="13">
        <f t="shared" si="913"/>
        <v>34.874965039903927</v>
      </c>
      <c r="CB100" s="13">
        <f t="shared" si="913"/>
        <v>48.08600647145763</v>
      </c>
      <c r="CC100" s="13">
        <f t="shared" si="913"/>
        <v>64.162323084431407</v>
      </c>
      <c r="CD100" s="13">
        <f t="shared" si="913"/>
        <v>58.97011361570619</v>
      </c>
      <c r="CE100" s="13">
        <f t="shared" si="913"/>
        <v>55.44288201397687</v>
      </c>
      <c r="CF100" s="13">
        <f t="shared" si="913"/>
        <v>61.810314926189243</v>
      </c>
      <c r="CG100" s="13">
        <f t="shared" si="913"/>
        <v>44.388811582039438</v>
      </c>
      <c r="CH100" s="13">
        <f t="shared" si="913"/>
        <v>33.03035723283115</v>
      </c>
      <c r="CI100" s="13">
        <f t="shared" si="913"/>
        <v>35.04705789369919</v>
      </c>
      <c r="CJ100" s="13">
        <f t="shared" si="913"/>
        <v>41.662852209640235</v>
      </c>
      <c r="CK100" s="13">
        <f t="shared" si="913"/>
        <v>42.862127111898438</v>
      </c>
      <c r="CL100" s="13">
        <f t="shared" si="913"/>
        <v>41.629564571391079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  <c r="DF100" s="13">
        <v>34.702140039417081</v>
      </c>
    </row>
    <row r="101" spans="1:110" s="98" customFormat="1" x14ac:dyDescent="0.2">
      <c r="A101" s="98" t="s">
        <v>426</v>
      </c>
      <c r="AB101" s="99"/>
      <c r="AC101" s="99"/>
      <c r="AD101" s="99"/>
      <c r="AE101" s="99"/>
      <c r="AL101" s="175"/>
      <c r="AM101" s="175"/>
      <c r="AN101" s="175"/>
      <c r="AO101" s="175" t="e">
        <f t="shared" ref="AO101:CI101" si="914">+CORREL(AL80:AO80,AL97:AO97)</f>
        <v>#DIV/0!</v>
      </c>
      <c r="AP101" s="175" t="e">
        <f t="shared" si="914"/>
        <v>#DIV/0!</v>
      </c>
      <c r="AQ101" s="175" t="e">
        <f t="shared" si="914"/>
        <v>#DIV/0!</v>
      </c>
      <c r="AR101" s="175" t="e">
        <f t="shared" si="914"/>
        <v>#DIV/0!</v>
      </c>
      <c r="AS101" s="175" t="e">
        <f t="shared" si="914"/>
        <v>#DIV/0!</v>
      </c>
      <c r="AT101" s="175" t="e">
        <f t="shared" si="914"/>
        <v>#DIV/0!</v>
      </c>
      <c r="AU101" s="175" t="e">
        <f t="shared" si="914"/>
        <v>#DIV/0!</v>
      </c>
      <c r="AV101" s="175" t="e">
        <f t="shared" si="914"/>
        <v>#DIV/0!</v>
      </c>
      <c r="AW101" s="175" t="e">
        <f t="shared" si="914"/>
        <v>#DIV/0!</v>
      </c>
      <c r="AX101" s="175" t="e">
        <f t="shared" si="914"/>
        <v>#DIV/0!</v>
      </c>
      <c r="AY101" s="175" t="e">
        <f t="shared" si="914"/>
        <v>#DIV/0!</v>
      </c>
      <c r="AZ101" s="175" t="e">
        <f t="shared" si="914"/>
        <v>#DIV/0!</v>
      </c>
      <c r="BA101" s="175" t="e">
        <f t="shared" si="914"/>
        <v>#DIV/0!</v>
      </c>
      <c r="BB101" s="175" t="e">
        <f t="shared" si="914"/>
        <v>#DIV/0!</v>
      </c>
      <c r="BC101" s="175" t="e">
        <f t="shared" si="914"/>
        <v>#DIV/0!</v>
      </c>
      <c r="BD101" s="175" t="e">
        <f t="shared" si="914"/>
        <v>#DIV/0!</v>
      </c>
      <c r="BE101" s="175" t="e">
        <f t="shared" si="914"/>
        <v>#DIV/0!</v>
      </c>
      <c r="BF101" s="175" t="e">
        <f t="shared" si="914"/>
        <v>#DIV/0!</v>
      </c>
      <c r="BG101" s="175" t="e">
        <f t="shared" si="914"/>
        <v>#DIV/0!</v>
      </c>
      <c r="BH101" s="175" t="e">
        <f t="shared" si="914"/>
        <v>#DIV/0!</v>
      </c>
      <c r="BI101" s="175" t="e">
        <f t="shared" si="914"/>
        <v>#DIV/0!</v>
      </c>
      <c r="BJ101" s="175" t="e">
        <f t="shared" si="914"/>
        <v>#DIV/0!</v>
      </c>
      <c r="BK101" s="175" t="e">
        <f t="shared" si="914"/>
        <v>#DIV/0!</v>
      </c>
      <c r="BL101" s="175" t="e">
        <f t="shared" si="914"/>
        <v>#DIV/0!</v>
      </c>
      <c r="BM101" s="175" t="e">
        <f t="shared" si="914"/>
        <v>#DIV/0!</v>
      </c>
      <c r="BN101" s="175" t="e">
        <f t="shared" si="914"/>
        <v>#DIV/0!</v>
      </c>
      <c r="BO101" s="175" t="e">
        <f t="shared" si="914"/>
        <v>#DIV/0!</v>
      </c>
      <c r="BP101" s="175" t="e">
        <f t="shared" si="914"/>
        <v>#DIV/0!</v>
      </c>
      <c r="BQ101" s="175" t="e">
        <f t="shared" si="914"/>
        <v>#DIV/0!</v>
      </c>
      <c r="BR101" s="175">
        <f t="shared" si="914"/>
        <v>0.82338600615243995</v>
      </c>
      <c r="BS101" s="175">
        <f t="shared" si="914"/>
        <v>0.85906600780317266</v>
      </c>
      <c r="BT101" s="175">
        <f t="shared" si="914"/>
        <v>0.73759147042233919</v>
      </c>
      <c r="BU101" s="175">
        <f t="shared" si="914"/>
        <v>-8.6338330293776716E-2</v>
      </c>
      <c r="BV101" s="175">
        <f t="shared" si="914"/>
        <v>0.33390587817788847</v>
      </c>
      <c r="BW101" s="175">
        <f t="shared" si="914"/>
        <v>-0.73889625604924836</v>
      </c>
      <c r="BX101" s="175">
        <f t="shared" si="914"/>
        <v>-0.72353085408342666</v>
      </c>
      <c r="BY101" s="175">
        <f t="shared" si="914"/>
        <v>0.3233337775174861</v>
      </c>
      <c r="BZ101" s="175">
        <f t="shared" si="914"/>
        <v>0.55045014184604424</v>
      </c>
      <c r="CA101" s="175">
        <f t="shared" si="914"/>
        <v>9.4192593434564847E-2</v>
      </c>
      <c r="CB101" s="175">
        <f t="shared" si="914"/>
        <v>0.20339969831812182</v>
      </c>
      <c r="CC101" s="175">
        <f t="shared" si="914"/>
        <v>0.98704259339993172</v>
      </c>
      <c r="CD101" s="175">
        <f t="shared" si="914"/>
        <v>0.85310724522232406</v>
      </c>
      <c r="CE101" s="175">
        <f t="shared" si="914"/>
        <v>-0.75615803727948083</v>
      </c>
      <c r="CF101" s="175">
        <f t="shared" si="914"/>
        <v>-0.95747788490423047</v>
      </c>
      <c r="CG101" s="175">
        <f t="shared" si="914"/>
        <v>-0.97704813918019751</v>
      </c>
      <c r="CH101" s="175">
        <f t="shared" si="914"/>
        <v>-0.80000387127834727</v>
      </c>
      <c r="CI101" s="175">
        <f t="shared" si="914"/>
        <v>-0.54451011919483061</v>
      </c>
      <c r="CJ101" s="175">
        <f>+CORREL(CG80:CJ80,CG97:CJ97)</f>
        <v>-0.50566259197448959</v>
      </c>
      <c r="CK101" s="175">
        <f>+CORREL(CH80:CK80,CH97:CK97)</f>
        <v>-0.61672208948208618</v>
      </c>
      <c r="CL101" s="175">
        <f>+CORREL(CI80:CL80,CI97:CL97)</f>
        <v>-0.80935594754999984</v>
      </c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E101" s="137"/>
      <c r="DF101" s="98">
        <v>-0.77164751541735288</v>
      </c>
    </row>
    <row r="102" spans="1:110" s="4" customFormat="1" x14ac:dyDescent="0.2">
      <c r="A102" s="3"/>
      <c r="AB102" s="17"/>
      <c r="AC102" s="17"/>
      <c r="AD102" s="17"/>
      <c r="AE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9"/>
    </row>
    <row r="103" spans="1:110" s="162" customFormat="1" x14ac:dyDescent="0.2">
      <c r="A103" s="49" t="s">
        <v>505</v>
      </c>
      <c r="E103" s="162" t="e">
        <f t="shared" ref="E103:AE103" ca="1" si="915">+E$131/E$76</f>
        <v>#DIV/0!</v>
      </c>
      <c r="F103" s="162" t="e">
        <f t="shared" ca="1" si="915"/>
        <v>#DIV/0!</v>
      </c>
      <c r="G103" s="162" t="e">
        <f t="shared" ca="1" si="915"/>
        <v>#DIV/0!</v>
      </c>
      <c r="H103" s="162" t="e">
        <f t="shared" ca="1" si="915"/>
        <v>#DIV/0!</v>
      </c>
      <c r="I103" s="162" t="e">
        <f t="shared" ca="1" si="915"/>
        <v>#DIV/0!</v>
      </c>
      <c r="J103" s="162" t="e">
        <f t="shared" ca="1" si="915"/>
        <v>#DIV/0!</v>
      </c>
      <c r="K103" s="162" t="e">
        <f t="shared" ca="1" si="915"/>
        <v>#DIV/0!</v>
      </c>
      <c r="L103" s="162" t="e">
        <f t="shared" ca="1" si="915"/>
        <v>#DIV/0!</v>
      </c>
      <c r="M103" s="162" t="e">
        <f t="shared" ca="1" si="915"/>
        <v>#DIV/0!</v>
      </c>
      <c r="N103" s="162" t="e">
        <f t="shared" ca="1" si="915"/>
        <v>#DIV/0!</v>
      </c>
      <c r="O103" s="162" t="e">
        <f t="shared" ca="1" si="915"/>
        <v>#DIV/0!</v>
      </c>
      <c r="P103" s="162" t="e">
        <f t="shared" ca="1" si="915"/>
        <v>#DIV/0!</v>
      </c>
      <c r="Q103" s="162" t="e">
        <f t="shared" ca="1" si="915"/>
        <v>#DIV/0!</v>
      </c>
      <c r="R103" s="162" t="e">
        <f t="shared" ca="1" si="915"/>
        <v>#DIV/0!</v>
      </c>
      <c r="S103" s="162" t="e">
        <f t="shared" ca="1" si="915"/>
        <v>#DIV/0!</v>
      </c>
      <c r="T103" s="162" t="e">
        <f t="shared" ca="1" si="915"/>
        <v>#DIV/0!</v>
      </c>
      <c r="U103" s="162" t="e">
        <f t="shared" ca="1" si="915"/>
        <v>#DIV/0!</v>
      </c>
      <c r="V103" s="162" t="e">
        <f t="shared" ca="1" si="915"/>
        <v>#DIV/0!</v>
      </c>
      <c r="W103" s="162" t="e">
        <f t="shared" ca="1" si="915"/>
        <v>#DIV/0!</v>
      </c>
      <c r="X103" s="162" t="e">
        <f t="shared" ca="1" si="915"/>
        <v>#DIV/0!</v>
      </c>
      <c r="Y103" s="162" t="e">
        <f t="shared" ca="1" si="915"/>
        <v>#DIV/0!</v>
      </c>
      <c r="Z103" s="162" t="e">
        <f t="shared" ca="1" si="915"/>
        <v>#DIV/0!</v>
      </c>
      <c r="AA103" s="162" t="e">
        <f t="shared" ca="1" si="915"/>
        <v>#DIV/0!</v>
      </c>
      <c r="AB103" s="21" t="e">
        <f t="shared" ca="1" si="915"/>
        <v>#DIV/0!</v>
      </c>
      <c r="AC103" s="21" t="e">
        <f t="shared" ca="1" si="915"/>
        <v>#DIV/0!</v>
      </c>
      <c r="AD103" s="21" t="e">
        <f t="shared" ca="1" si="915"/>
        <v>#DIV/0!</v>
      </c>
      <c r="AE103" s="21" t="e">
        <f t="shared" ca="1" si="915"/>
        <v>#DIV/0!</v>
      </c>
      <c r="AL103" s="162">
        <f t="shared" ref="AL103:BQ103" si="916">+AL$131/AL$76</f>
        <v>0</v>
      </c>
      <c r="AM103" s="162">
        <f t="shared" si="916"/>
        <v>0</v>
      </c>
      <c r="AN103" s="162">
        <f t="shared" si="916"/>
        <v>0</v>
      </c>
      <c r="AO103" s="162">
        <f t="shared" si="916"/>
        <v>0</v>
      </c>
      <c r="AP103" s="162">
        <f t="shared" si="916"/>
        <v>0</v>
      </c>
      <c r="AQ103" s="162">
        <f t="shared" si="916"/>
        <v>0</v>
      </c>
      <c r="AR103" s="162">
        <f t="shared" si="916"/>
        <v>0</v>
      </c>
      <c r="AS103" s="162">
        <f t="shared" si="916"/>
        <v>0</v>
      </c>
      <c r="AT103" s="162">
        <f t="shared" si="916"/>
        <v>0</v>
      </c>
      <c r="AU103" s="162">
        <f t="shared" si="916"/>
        <v>0</v>
      </c>
      <c r="AV103" s="162">
        <f t="shared" si="916"/>
        <v>0</v>
      </c>
      <c r="AW103" s="162">
        <f t="shared" si="916"/>
        <v>0</v>
      </c>
      <c r="AX103" s="162">
        <f t="shared" si="916"/>
        <v>0</v>
      </c>
      <c r="AY103" s="162">
        <f t="shared" si="916"/>
        <v>0</v>
      </c>
      <c r="AZ103" s="162">
        <f t="shared" si="916"/>
        <v>0</v>
      </c>
      <c r="BA103" s="162">
        <f t="shared" si="916"/>
        <v>0</v>
      </c>
      <c r="BB103" s="162">
        <f t="shared" si="916"/>
        <v>0</v>
      </c>
      <c r="BC103" s="162">
        <f t="shared" si="916"/>
        <v>0</v>
      </c>
      <c r="BD103" s="162">
        <f t="shared" si="916"/>
        <v>0</v>
      </c>
      <c r="BE103" s="162">
        <f t="shared" si="916"/>
        <v>0</v>
      </c>
      <c r="BF103" s="162">
        <f t="shared" si="916"/>
        <v>0</v>
      </c>
      <c r="BG103" s="162">
        <f t="shared" si="916"/>
        <v>0</v>
      </c>
      <c r="BH103" s="162">
        <f t="shared" si="916"/>
        <v>0</v>
      </c>
      <c r="BI103" s="162">
        <f t="shared" si="916"/>
        <v>0</v>
      </c>
      <c r="BJ103" s="162">
        <f t="shared" si="916"/>
        <v>0</v>
      </c>
      <c r="BK103" s="162">
        <f t="shared" si="916"/>
        <v>0</v>
      </c>
      <c r="BL103" s="162">
        <f t="shared" si="916"/>
        <v>0</v>
      </c>
      <c r="BM103" s="162">
        <f t="shared" si="916"/>
        <v>0</v>
      </c>
      <c r="BN103" s="162">
        <f t="shared" si="916"/>
        <v>302.42665549036036</v>
      </c>
      <c r="BO103" s="162">
        <f t="shared" si="916"/>
        <v>295.62447611064539</v>
      </c>
      <c r="BP103" s="162">
        <f t="shared" si="916"/>
        <v>0</v>
      </c>
      <c r="BQ103" s="162">
        <f t="shared" si="916"/>
        <v>18.222967309304266</v>
      </c>
      <c r="BR103" s="162">
        <f t="shared" ref="BR103:DB103" si="917">+BR$131/BR$76</f>
        <v>406.29924559932937</v>
      </c>
      <c r="BS103" s="162">
        <f t="shared" si="917"/>
        <v>416.38725901089686</v>
      </c>
      <c r="BT103" s="162">
        <f t="shared" si="917"/>
        <v>437.8248113998323</v>
      </c>
      <c r="BU103" s="162">
        <f t="shared" si="917"/>
        <v>453.58340318524716</v>
      </c>
      <c r="BV103" s="162">
        <f t="shared" si="917"/>
        <v>476.00167644593461</v>
      </c>
      <c r="BW103" s="162">
        <f t="shared" si="917"/>
        <v>499.74015088013414</v>
      </c>
      <c r="BX103" s="162">
        <f t="shared" si="917"/>
        <v>521.17770326906953</v>
      </c>
      <c r="BY103" s="162">
        <f t="shared" si="917"/>
        <v>542.80804694048607</v>
      </c>
      <c r="BZ103" s="162">
        <f t="shared" si="917"/>
        <v>577.07460184409047</v>
      </c>
      <c r="CA103" s="162">
        <f t="shared" si="917"/>
        <v>608.29002514668889</v>
      </c>
      <c r="CB103" s="162">
        <f t="shared" si="917"/>
        <v>638.13076278290021</v>
      </c>
      <c r="CC103" s="162">
        <f t="shared" si="917"/>
        <v>668.77619446772837</v>
      </c>
      <c r="CD103" s="162">
        <f t="shared" si="917"/>
        <v>694.8784576697401</v>
      </c>
      <c r="CE103" s="162">
        <f t="shared" si="917"/>
        <v>717.1709974853311</v>
      </c>
      <c r="CF103" s="162">
        <f t="shared" si="917"/>
        <v>1166.9111483654651</v>
      </c>
      <c r="CG103" s="162">
        <f t="shared" si="917"/>
        <v>1172.3302598491198</v>
      </c>
      <c r="CH103" s="162">
        <f t="shared" si="917"/>
        <v>1197.2925398155908</v>
      </c>
      <c r="CI103" s="162">
        <f t="shared" si="917"/>
        <v>1226.4626990779545</v>
      </c>
      <c r="CJ103" s="162">
        <f t="shared" si="917"/>
        <v>1269.8491198658842</v>
      </c>
      <c r="CK103" s="162">
        <f t="shared" si="917"/>
        <v>1314.740150880134</v>
      </c>
      <c r="CL103" s="162">
        <f t="shared" si="917"/>
        <v>1368.0050293378038</v>
      </c>
      <c r="CM103" s="21">
        <f t="shared" si="917"/>
        <v>1400.8454448551508</v>
      </c>
      <c r="CN103" s="21">
        <f t="shared" si="917"/>
        <v>1448.3672842561639</v>
      </c>
      <c r="CO103" s="21">
        <f t="shared" si="917"/>
        <v>1501.6481733683588</v>
      </c>
      <c r="CP103" s="21">
        <f t="shared" si="917"/>
        <v>1564.9552036769928</v>
      </c>
      <c r="CQ103" s="21">
        <f t="shared" si="917"/>
        <v>1622.7207971826658</v>
      </c>
      <c r="CR103" s="21">
        <f t="shared" si="917"/>
        <v>1696.2583585931118</v>
      </c>
      <c r="CS103" s="21">
        <f t="shared" si="917"/>
        <v>1774.8270379636108</v>
      </c>
      <c r="CT103" s="21">
        <f t="shared" si="917"/>
        <v>1865.4524831388435</v>
      </c>
      <c r="CU103" s="21">
        <f t="shared" si="917"/>
        <v>1949.4289810300209</v>
      </c>
      <c r="CV103" s="21">
        <f t="shared" si="917"/>
        <v>2051.2995531233883</v>
      </c>
      <c r="CW103" s="21">
        <f t="shared" si="917"/>
        <v>2158.5600058919849</v>
      </c>
      <c r="CX103" s="21">
        <f t="shared" si="917"/>
        <v>2279.8353623213707</v>
      </c>
      <c r="CY103" s="21">
        <f t="shared" si="917"/>
        <v>2392.8727735181042</v>
      </c>
      <c r="CZ103" s="21">
        <f t="shared" si="917"/>
        <v>2526.6029626464383</v>
      </c>
      <c r="DA103" s="21">
        <f t="shared" si="917"/>
        <v>2666.336740953911</v>
      </c>
      <c r="DB103" s="21">
        <f t="shared" si="917"/>
        <v>2822.2988804560559</v>
      </c>
      <c r="DE103" s="22"/>
      <c r="DF103" s="162">
        <v>1358.1177874577238</v>
      </c>
    </row>
    <row r="104" spans="1:110" s="162" customFormat="1" x14ac:dyDescent="0.2">
      <c r="A104" s="49" t="s">
        <v>501</v>
      </c>
      <c r="AB104" s="21"/>
      <c r="AC104" s="21"/>
      <c r="AD104" s="21"/>
      <c r="AE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E104" s="22"/>
    </row>
    <row r="105" spans="1:110" s="162" customFormat="1" x14ac:dyDescent="0.2">
      <c r="A105" s="49" t="s">
        <v>502</v>
      </c>
      <c r="E105" s="162" t="e">
        <f t="shared" ref="E105:AE107" ca="1" si="918">+E88/E$103</f>
        <v>#DIV/0!</v>
      </c>
      <c r="F105" s="162" t="e">
        <f t="shared" ca="1" si="918"/>
        <v>#DIV/0!</v>
      </c>
      <c r="G105" s="162" t="e">
        <f t="shared" ca="1" si="918"/>
        <v>#DIV/0!</v>
      </c>
      <c r="H105" s="162" t="e">
        <f t="shared" ca="1" si="918"/>
        <v>#DIV/0!</v>
      </c>
      <c r="I105" s="162" t="e">
        <f t="shared" ca="1" si="918"/>
        <v>#DIV/0!</v>
      </c>
      <c r="J105" s="162" t="e">
        <f t="shared" ca="1" si="918"/>
        <v>#DIV/0!</v>
      </c>
      <c r="K105" s="162" t="e">
        <f t="shared" ca="1" si="918"/>
        <v>#DIV/0!</v>
      </c>
      <c r="L105" s="162" t="e">
        <f t="shared" ca="1" si="918"/>
        <v>#DIV/0!</v>
      </c>
      <c r="M105" s="162" t="e">
        <f t="shared" ca="1" si="918"/>
        <v>#DIV/0!</v>
      </c>
      <c r="N105" s="162" t="e">
        <f t="shared" ca="1" si="918"/>
        <v>#DIV/0!</v>
      </c>
      <c r="O105" s="162" t="e">
        <f t="shared" ca="1" si="918"/>
        <v>#DIV/0!</v>
      </c>
      <c r="P105" s="162" t="e">
        <f t="shared" ca="1" si="918"/>
        <v>#DIV/0!</v>
      </c>
      <c r="Q105" s="162" t="e">
        <f t="shared" ca="1" si="918"/>
        <v>#DIV/0!</v>
      </c>
      <c r="R105" s="162" t="e">
        <f t="shared" ca="1" si="918"/>
        <v>#DIV/0!</v>
      </c>
      <c r="S105" s="162" t="e">
        <f t="shared" ca="1" si="918"/>
        <v>#DIV/0!</v>
      </c>
      <c r="T105" s="162" t="e">
        <f t="shared" ca="1" si="918"/>
        <v>#DIV/0!</v>
      </c>
      <c r="U105" s="162" t="e">
        <f t="shared" ca="1" si="918"/>
        <v>#DIV/0!</v>
      </c>
      <c r="V105" s="162" t="e">
        <f t="shared" ca="1" si="918"/>
        <v>#DIV/0!</v>
      </c>
      <c r="W105" s="162" t="e">
        <f t="shared" ca="1" si="918"/>
        <v>#DIV/0!</v>
      </c>
      <c r="X105" s="162" t="e">
        <f t="shared" ca="1" si="918"/>
        <v>#DIV/0!</v>
      </c>
      <c r="Y105" s="162" t="e">
        <f t="shared" ca="1" si="918"/>
        <v>#DIV/0!</v>
      </c>
      <c r="Z105" s="162" t="e">
        <f t="shared" ca="1" si="918"/>
        <v>#DIV/0!</v>
      </c>
      <c r="AA105" s="162" t="e">
        <f t="shared" ref="AA105" ca="1" si="919">+AA88/AA$103</f>
        <v>#DIV/0!</v>
      </c>
      <c r="AB105" s="21" t="e">
        <f t="shared" ca="1" si="918"/>
        <v>#DIV/0!</v>
      </c>
      <c r="AC105" s="21" t="e">
        <f t="shared" ca="1" si="918"/>
        <v>#DIV/0!</v>
      </c>
      <c r="AD105" s="21" t="e">
        <f t="shared" ca="1" si="918"/>
        <v>#DIV/0!</v>
      </c>
      <c r="AE105" s="21" t="e">
        <f t="shared" ca="1" si="918"/>
        <v>#DIV/0!</v>
      </c>
      <c r="AL105" s="162" t="e">
        <f t="shared" ref="AL105:CI107" si="920">+AL88/AL$103</f>
        <v>#DIV/0!</v>
      </c>
      <c r="AM105" s="162" t="e">
        <f t="shared" si="920"/>
        <v>#DIV/0!</v>
      </c>
      <c r="AN105" s="162" t="e">
        <f t="shared" si="920"/>
        <v>#DIV/0!</v>
      </c>
      <c r="AO105" s="162" t="e">
        <f t="shared" si="920"/>
        <v>#DIV/0!</v>
      </c>
      <c r="AP105" s="162" t="e">
        <f t="shared" si="920"/>
        <v>#DIV/0!</v>
      </c>
      <c r="AQ105" s="162" t="e">
        <f t="shared" si="920"/>
        <v>#DIV/0!</v>
      </c>
      <c r="AR105" s="162" t="e">
        <f t="shared" si="920"/>
        <v>#DIV/0!</v>
      </c>
      <c r="AS105" s="162" t="e">
        <f t="shared" si="920"/>
        <v>#DIV/0!</v>
      </c>
      <c r="AT105" s="162" t="e">
        <f t="shared" si="920"/>
        <v>#DIV/0!</v>
      </c>
      <c r="AU105" s="162" t="e">
        <f t="shared" si="920"/>
        <v>#DIV/0!</v>
      </c>
      <c r="AV105" s="162" t="e">
        <f t="shared" si="920"/>
        <v>#DIV/0!</v>
      </c>
      <c r="AW105" s="162" t="e">
        <f t="shared" si="920"/>
        <v>#DIV/0!</v>
      </c>
      <c r="AX105" s="162" t="e">
        <f t="shared" si="920"/>
        <v>#DIV/0!</v>
      </c>
      <c r="AY105" s="162" t="e">
        <f t="shared" si="920"/>
        <v>#DIV/0!</v>
      </c>
      <c r="AZ105" s="162" t="e">
        <f t="shared" si="920"/>
        <v>#DIV/0!</v>
      </c>
      <c r="BA105" s="162" t="e">
        <f t="shared" si="920"/>
        <v>#DIV/0!</v>
      </c>
      <c r="BB105" s="162" t="e">
        <f t="shared" si="920"/>
        <v>#DIV/0!</v>
      </c>
      <c r="BC105" s="162" t="e">
        <f t="shared" si="920"/>
        <v>#DIV/0!</v>
      </c>
      <c r="BD105" s="162" t="e">
        <f t="shared" si="920"/>
        <v>#DIV/0!</v>
      </c>
      <c r="BE105" s="162" t="e">
        <f t="shared" si="920"/>
        <v>#DIV/0!</v>
      </c>
      <c r="BF105" s="162" t="e">
        <f t="shared" si="920"/>
        <v>#DIV/0!</v>
      </c>
      <c r="BG105" s="162" t="e">
        <f t="shared" si="920"/>
        <v>#DIV/0!</v>
      </c>
      <c r="BH105" s="162" t="e">
        <f t="shared" si="920"/>
        <v>#DIV/0!</v>
      </c>
      <c r="BI105" s="162" t="e">
        <f t="shared" si="920"/>
        <v>#DIV/0!</v>
      </c>
      <c r="BJ105" s="162" t="e">
        <f t="shared" si="920"/>
        <v>#DIV/0!</v>
      </c>
      <c r="BK105" s="162" t="e">
        <f t="shared" si="920"/>
        <v>#DIV/0!</v>
      </c>
      <c r="BL105" s="162" t="e">
        <f t="shared" si="920"/>
        <v>#DIV/0!</v>
      </c>
      <c r="BM105" s="162" t="e">
        <f t="shared" si="920"/>
        <v>#DIV/0!</v>
      </c>
      <c r="BN105" s="162">
        <f t="shared" si="920"/>
        <v>0</v>
      </c>
      <c r="BO105" s="162">
        <f t="shared" si="920"/>
        <v>0</v>
      </c>
      <c r="BP105" s="162" t="e">
        <f t="shared" si="920"/>
        <v>#DIV/0!</v>
      </c>
      <c r="BQ105" s="162">
        <f t="shared" si="920"/>
        <v>0</v>
      </c>
      <c r="BR105" s="162">
        <f t="shared" si="920"/>
        <v>3.489669290201459</v>
      </c>
      <c r="BS105" s="162">
        <f t="shared" si="920"/>
        <v>4.2694630095621546</v>
      </c>
      <c r="BT105" s="162">
        <f t="shared" si="920"/>
        <v>4.8183655769875084</v>
      </c>
      <c r="BU105" s="162">
        <f t="shared" si="920"/>
        <v>4.995663386463387</v>
      </c>
      <c r="BV105" s="162">
        <f t="shared" si="920"/>
        <v>4.9499825664324577</v>
      </c>
      <c r="BW105" s="162">
        <f t="shared" si="920"/>
        <v>4.5397593049195724</v>
      </c>
      <c r="BX105" s="162">
        <f t="shared" si="920"/>
        <v>5.2865845616913143</v>
      </c>
      <c r="BY105" s="162">
        <f t="shared" si="920"/>
        <v>6.4605711351668553</v>
      </c>
      <c r="BZ105" s="162">
        <f t="shared" si="920"/>
        <v>5.6253558718861214</v>
      </c>
      <c r="CA105" s="162">
        <f t="shared" si="920"/>
        <v>6.6234030371095107</v>
      </c>
      <c r="CB105" s="162">
        <f t="shared" si="920"/>
        <v>7.2429512406573053</v>
      </c>
      <c r="CC105" s="162">
        <f t="shared" si="920"/>
        <v>8.0720576549476721</v>
      </c>
      <c r="CD105" s="162">
        <f t="shared" si="920"/>
        <v>6.2194329847163417</v>
      </c>
      <c r="CE105" s="162">
        <f t="shared" si="920"/>
        <v>7.7284915584074048</v>
      </c>
      <c r="CF105" s="162">
        <f t="shared" si="920"/>
        <v>5.5454093562000546</v>
      </c>
      <c r="CG105" s="162">
        <f t="shared" si="920"/>
        <v>4.5858664440615193</v>
      </c>
      <c r="CH105" s="162">
        <f t="shared" si="920"/>
        <v>4.0587407324432752</v>
      </c>
      <c r="CI105" s="162">
        <f t="shared" si="920"/>
        <v>4.5329548172802898</v>
      </c>
      <c r="CJ105" s="162">
        <f>+CJ88/CJ$103</f>
        <v>5.3431544691833954</v>
      </c>
      <c r="CK105" s="162">
        <f>+CK88/CK$103</f>
        <v>5.8227095254337788</v>
      </c>
      <c r="CL105" s="162">
        <f>+CL88/CL$103</f>
        <v>5.1090089949326911</v>
      </c>
      <c r="CM105" s="21">
        <f t="shared" ref="CM105:DB105" si="921">+CM88/CM$103</f>
        <v>4.989237053715577</v>
      </c>
      <c r="CN105" s="21">
        <f t="shared" si="921"/>
        <v>4.8255370553950394</v>
      </c>
      <c r="CO105" s="21">
        <f t="shared" si="921"/>
        <v>4.6543192499762327</v>
      </c>
      <c r="CP105" s="21">
        <f t="shared" si="921"/>
        <v>4.4660383783372257</v>
      </c>
      <c r="CQ105" s="21">
        <f t="shared" si="921"/>
        <v>4.3070564031313436</v>
      </c>
      <c r="CR105" s="21">
        <f t="shared" si="921"/>
        <v>4.1203334177211355</v>
      </c>
      <c r="CS105" s="21">
        <f t="shared" si="921"/>
        <v>3.9379330213603034</v>
      </c>
      <c r="CT105" s="21">
        <f t="shared" si="921"/>
        <v>3.7466245123756416</v>
      </c>
      <c r="CU105" s="21">
        <f t="shared" si="921"/>
        <v>3.5852293507543624</v>
      </c>
      <c r="CV105" s="21">
        <f t="shared" si="921"/>
        <v>3.407181554423901</v>
      </c>
      <c r="CW105" s="21">
        <f t="shared" si="921"/>
        <v>3.2378761678723231</v>
      </c>
      <c r="CX105" s="21">
        <f t="shared" si="921"/>
        <v>3.065638034881395</v>
      </c>
      <c r="CY105" s="21">
        <f t="shared" si="921"/>
        <v>2.920819726543276</v>
      </c>
      <c r="CZ105" s="21">
        <f t="shared" si="921"/>
        <v>2.7662240974653804</v>
      </c>
      <c r="DA105" s="21">
        <f t="shared" si="921"/>
        <v>2.6212555573530278</v>
      </c>
      <c r="DB105" s="21">
        <f t="shared" si="921"/>
        <v>2.4764032074698696</v>
      </c>
      <c r="DE105" s="22"/>
      <c r="DF105" s="162">
        <v>5.1462031235766883</v>
      </c>
    </row>
    <row r="106" spans="1:110" s="162" customFormat="1" x14ac:dyDescent="0.2">
      <c r="A106" s="49" t="s">
        <v>503</v>
      </c>
      <c r="E106" s="162" t="e">
        <f t="shared" ca="1" si="918"/>
        <v>#DIV/0!</v>
      </c>
      <c r="F106" s="162" t="e">
        <f t="shared" ca="1" si="918"/>
        <v>#DIV/0!</v>
      </c>
      <c r="G106" s="162" t="e">
        <f t="shared" ca="1" si="918"/>
        <v>#DIV/0!</v>
      </c>
      <c r="H106" s="162" t="e">
        <f t="shared" ca="1" si="918"/>
        <v>#DIV/0!</v>
      </c>
      <c r="I106" s="162" t="e">
        <f t="shared" ca="1" si="918"/>
        <v>#DIV/0!</v>
      </c>
      <c r="J106" s="162" t="e">
        <f t="shared" ca="1" si="918"/>
        <v>#DIV/0!</v>
      </c>
      <c r="K106" s="162" t="e">
        <f t="shared" ca="1" si="918"/>
        <v>#DIV/0!</v>
      </c>
      <c r="L106" s="162" t="e">
        <f t="shared" ca="1" si="918"/>
        <v>#DIV/0!</v>
      </c>
      <c r="M106" s="162" t="e">
        <f t="shared" ca="1" si="918"/>
        <v>#DIV/0!</v>
      </c>
      <c r="N106" s="162" t="e">
        <f t="shared" ca="1" si="918"/>
        <v>#DIV/0!</v>
      </c>
      <c r="O106" s="162" t="e">
        <f t="shared" ca="1" si="918"/>
        <v>#DIV/0!</v>
      </c>
      <c r="P106" s="162" t="e">
        <f t="shared" ca="1" si="918"/>
        <v>#DIV/0!</v>
      </c>
      <c r="Q106" s="162" t="e">
        <f t="shared" ca="1" si="918"/>
        <v>#DIV/0!</v>
      </c>
      <c r="R106" s="162" t="e">
        <f t="shared" ca="1" si="918"/>
        <v>#DIV/0!</v>
      </c>
      <c r="S106" s="162" t="e">
        <f t="shared" ca="1" si="918"/>
        <v>#DIV/0!</v>
      </c>
      <c r="T106" s="162" t="e">
        <f t="shared" ca="1" si="918"/>
        <v>#DIV/0!</v>
      </c>
      <c r="U106" s="162" t="e">
        <f t="shared" ca="1" si="918"/>
        <v>#DIV/0!</v>
      </c>
      <c r="V106" s="162" t="e">
        <f t="shared" ca="1" si="918"/>
        <v>#DIV/0!</v>
      </c>
      <c r="W106" s="162" t="e">
        <f t="shared" ca="1" si="918"/>
        <v>#DIV/0!</v>
      </c>
      <c r="X106" s="162" t="e">
        <f t="shared" ca="1" si="918"/>
        <v>#DIV/0!</v>
      </c>
      <c r="Y106" s="162" t="e">
        <f t="shared" ca="1" si="918"/>
        <v>#DIV/0!</v>
      </c>
      <c r="Z106" s="162" t="e">
        <f t="shared" ca="1" si="918"/>
        <v>#DIV/0!</v>
      </c>
      <c r="AA106" s="162" t="e">
        <f t="shared" ref="AA106" ca="1" si="922">+AA89/AA$103</f>
        <v>#DIV/0!</v>
      </c>
      <c r="AB106" s="21" t="e">
        <f t="shared" ca="1" si="918"/>
        <v>#DIV/0!</v>
      </c>
      <c r="AC106" s="21" t="e">
        <f t="shared" ca="1" si="918"/>
        <v>#DIV/0!</v>
      </c>
      <c r="AD106" s="21" t="e">
        <f t="shared" ca="1" si="918"/>
        <v>#DIV/0!</v>
      </c>
      <c r="AE106" s="21" t="e">
        <f t="shared" ca="1" si="918"/>
        <v>#DIV/0!</v>
      </c>
      <c r="AL106" s="162" t="e">
        <f t="shared" si="920"/>
        <v>#DIV/0!</v>
      </c>
      <c r="AM106" s="162" t="e">
        <f t="shared" si="920"/>
        <v>#DIV/0!</v>
      </c>
      <c r="AN106" s="162" t="e">
        <f t="shared" si="920"/>
        <v>#DIV/0!</v>
      </c>
      <c r="AO106" s="162" t="e">
        <f t="shared" si="920"/>
        <v>#DIV/0!</v>
      </c>
      <c r="AP106" s="162" t="e">
        <f t="shared" si="920"/>
        <v>#DIV/0!</v>
      </c>
      <c r="AQ106" s="162" t="e">
        <f t="shared" si="920"/>
        <v>#DIV/0!</v>
      </c>
      <c r="AR106" s="162" t="e">
        <f t="shared" si="920"/>
        <v>#DIV/0!</v>
      </c>
      <c r="AS106" s="162" t="e">
        <f t="shared" si="920"/>
        <v>#DIV/0!</v>
      </c>
      <c r="AT106" s="162" t="e">
        <f t="shared" si="920"/>
        <v>#DIV/0!</v>
      </c>
      <c r="AU106" s="162" t="e">
        <f t="shared" si="920"/>
        <v>#DIV/0!</v>
      </c>
      <c r="AV106" s="162" t="e">
        <f t="shared" si="920"/>
        <v>#DIV/0!</v>
      </c>
      <c r="AW106" s="162" t="e">
        <f t="shared" si="920"/>
        <v>#DIV/0!</v>
      </c>
      <c r="AX106" s="162" t="e">
        <f t="shared" si="920"/>
        <v>#DIV/0!</v>
      </c>
      <c r="AY106" s="162" t="e">
        <f t="shared" si="920"/>
        <v>#DIV/0!</v>
      </c>
      <c r="AZ106" s="162" t="e">
        <f t="shared" si="920"/>
        <v>#DIV/0!</v>
      </c>
      <c r="BA106" s="162" t="e">
        <f t="shared" si="920"/>
        <v>#DIV/0!</v>
      </c>
      <c r="BB106" s="162" t="e">
        <f t="shared" si="920"/>
        <v>#DIV/0!</v>
      </c>
      <c r="BC106" s="162" t="e">
        <f t="shared" si="920"/>
        <v>#DIV/0!</v>
      </c>
      <c r="BD106" s="162" t="e">
        <f t="shared" si="920"/>
        <v>#DIV/0!</v>
      </c>
      <c r="BE106" s="162" t="e">
        <f t="shared" si="920"/>
        <v>#DIV/0!</v>
      </c>
      <c r="BF106" s="162" t="e">
        <f t="shared" si="920"/>
        <v>#DIV/0!</v>
      </c>
      <c r="BG106" s="162" t="e">
        <f t="shared" si="920"/>
        <v>#DIV/0!</v>
      </c>
      <c r="BH106" s="162" t="e">
        <f t="shared" si="920"/>
        <v>#DIV/0!</v>
      </c>
      <c r="BI106" s="162" t="e">
        <f t="shared" si="920"/>
        <v>#DIV/0!</v>
      </c>
      <c r="BJ106" s="162" t="e">
        <f t="shared" si="920"/>
        <v>#DIV/0!</v>
      </c>
      <c r="BK106" s="162" t="e">
        <f t="shared" si="920"/>
        <v>#DIV/0!</v>
      </c>
      <c r="BL106" s="162" t="e">
        <f t="shared" si="920"/>
        <v>#DIV/0!</v>
      </c>
      <c r="BM106" s="162" t="e">
        <f t="shared" si="920"/>
        <v>#DIV/0!</v>
      </c>
      <c r="BN106" s="162">
        <f t="shared" si="920"/>
        <v>0</v>
      </c>
      <c r="BO106" s="162">
        <f t="shared" si="920"/>
        <v>0</v>
      </c>
      <c r="BP106" s="162" t="e">
        <f t="shared" si="920"/>
        <v>#DIV/0!</v>
      </c>
      <c r="BQ106" s="162">
        <f t="shared" si="920"/>
        <v>0</v>
      </c>
      <c r="BR106" s="162">
        <f t="shared" si="920"/>
        <v>3.7656973685567814</v>
      </c>
      <c r="BS106" s="162">
        <f t="shared" si="920"/>
        <v>4.4487432310015107</v>
      </c>
      <c r="BT106" s="162">
        <f t="shared" si="920"/>
        <v>5.1215690422629594</v>
      </c>
      <c r="BU106" s="162">
        <f t="shared" si="920"/>
        <v>6.1130984522984546</v>
      </c>
      <c r="BV106" s="162">
        <f t="shared" si="920"/>
        <v>5.1390575307728881</v>
      </c>
      <c r="BW106" s="162">
        <f t="shared" si="920"/>
        <v>4.9944956305875641</v>
      </c>
      <c r="BX106" s="162">
        <f t="shared" si="920"/>
        <v>5.7659795903597022</v>
      </c>
      <c r="BY106" s="162">
        <f t="shared" si="920"/>
        <v>6.83473655357722</v>
      </c>
      <c r="BZ106" s="162">
        <f t="shared" si="920"/>
        <v>6.4142486745587926</v>
      </c>
      <c r="CA106" s="162">
        <f t="shared" si="920"/>
        <v>6.8044844217227762</v>
      </c>
      <c r="CB106" s="162">
        <f t="shared" si="920"/>
        <v>7.9059031380945504</v>
      </c>
      <c r="CC106" s="162">
        <f t="shared" si="920"/>
        <v>8.2389296233627878</v>
      </c>
      <c r="CD106" s="162">
        <f t="shared" si="920"/>
        <v>7.8262607510343924</v>
      </c>
      <c r="CE106" s="162">
        <f t="shared" si="920"/>
        <v>7.9280952798377724</v>
      </c>
      <c r="CF106" s="162">
        <f t="shared" si="920"/>
        <v>6.0905665439525905</v>
      </c>
      <c r="CG106" s="162">
        <f t="shared" si="920"/>
        <v>5.6724203304756937</v>
      </c>
      <c r="CH106" s="162">
        <f t="shared" si="920"/>
        <v>4.58952162254878</v>
      </c>
      <c r="CI106" s="162">
        <f t="shared" si="920"/>
        <v>4.760112153748369</v>
      </c>
      <c r="CJ106" s="162">
        <f t="shared" ref="CJ106:CK107" si="923">+CJ89/CJ$103</f>
        <v>5.7683624655924701</v>
      </c>
      <c r="CK106" s="162">
        <f t="shared" si="923"/>
        <v>5.9550170387348302</v>
      </c>
      <c r="CL106" s="162">
        <f t="shared" ref="CL106" si="924">+CL89/CL$103</f>
        <v>5.9933624688271667</v>
      </c>
      <c r="CM106" s="94">
        <f t="shared" ref="CM106:DB106" si="925">+CL106</f>
        <v>5.9933624688271667</v>
      </c>
      <c r="CN106" s="94">
        <f t="shared" si="925"/>
        <v>5.9933624688271667</v>
      </c>
      <c r="CO106" s="94">
        <f t="shared" si="925"/>
        <v>5.9933624688271667</v>
      </c>
      <c r="CP106" s="94">
        <f t="shared" si="925"/>
        <v>5.9933624688271667</v>
      </c>
      <c r="CQ106" s="94">
        <f t="shared" si="925"/>
        <v>5.9933624688271667</v>
      </c>
      <c r="CR106" s="94">
        <f t="shared" si="925"/>
        <v>5.9933624688271667</v>
      </c>
      <c r="CS106" s="94">
        <f t="shared" si="925"/>
        <v>5.9933624688271667</v>
      </c>
      <c r="CT106" s="94">
        <f t="shared" si="925"/>
        <v>5.9933624688271667</v>
      </c>
      <c r="CU106" s="94">
        <f t="shared" si="925"/>
        <v>5.9933624688271667</v>
      </c>
      <c r="CV106" s="94">
        <f t="shared" si="925"/>
        <v>5.9933624688271667</v>
      </c>
      <c r="CW106" s="94">
        <f t="shared" si="925"/>
        <v>5.9933624688271667</v>
      </c>
      <c r="CX106" s="94">
        <f t="shared" si="925"/>
        <v>5.9933624688271667</v>
      </c>
      <c r="CY106" s="94">
        <f t="shared" si="925"/>
        <v>5.9933624688271667</v>
      </c>
      <c r="CZ106" s="94">
        <f t="shared" si="925"/>
        <v>5.9933624688271667</v>
      </c>
      <c r="DA106" s="94">
        <f t="shared" si="925"/>
        <v>5.9933624688271667</v>
      </c>
      <c r="DB106" s="94">
        <f t="shared" si="925"/>
        <v>5.9933624688271667</v>
      </c>
      <c r="DC106" s="94"/>
      <c r="DE106" s="22"/>
      <c r="DF106" s="162">
        <v>6.0369947847805667</v>
      </c>
    </row>
    <row r="107" spans="1:110" s="162" customFormat="1" x14ac:dyDescent="0.2">
      <c r="A107" s="49" t="s">
        <v>504</v>
      </c>
      <c r="E107" s="162" t="e">
        <f t="shared" ca="1" si="918"/>
        <v>#DIV/0!</v>
      </c>
      <c r="F107" s="162" t="e">
        <f t="shared" ca="1" si="918"/>
        <v>#DIV/0!</v>
      </c>
      <c r="G107" s="162" t="e">
        <f t="shared" ca="1" si="918"/>
        <v>#DIV/0!</v>
      </c>
      <c r="H107" s="162" t="e">
        <f t="shared" ca="1" si="918"/>
        <v>#DIV/0!</v>
      </c>
      <c r="I107" s="162" t="e">
        <f t="shared" ca="1" si="918"/>
        <v>#DIV/0!</v>
      </c>
      <c r="J107" s="162" t="e">
        <f t="shared" ca="1" si="918"/>
        <v>#DIV/0!</v>
      </c>
      <c r="K107" s="162" t="e">
        <f t="shared" ca="1" si="918"/>
        <v>#DIV/0!</v>
      </c>
      <c r="L107" s="162" t="e">
        <f t="shared" ca="1" si="918"/>
        <v>#DIV/0!</v>
      </c>
      <c r="M107" s="162" t="e">
        <f t="shared" ca="1" si="918"/>
        <v>#DIV/0!</v>
      </c>
      <c r="N107" s="162" t="e">
        <f t="shared" ca="1" si="918"/>
        <v>#DIV/0!</v>
      </c>
      <c r="O107" s="162" t="e">
        <f t="shared" ca="1" si="918"/>
        <v>#DIV/0!</v>
      </c>
      <c r="P107" s="162" t="e">
        <f t="shared" ca="1" si="918"/>
        <v>#DIV/0!</v>
      </c>
      <c r="Q107" s="162" t="e">
        <f t="shared" ca="1" si="918"/>
        <v>#DIV/0!</v>
      </c>
      <c r="R107" s="162" t="e">
        <f t="shared" ca="1" si="918"/>
        <v>#DIV/0!</v>
      </c>
      <c r="S107" s="162" t="e">
        <f t="shared" ca="1" si="918"/>
        <v>#DIV/0!</v>
      </c>
      <c r="T107" s="162" t="e">
        <f t="shared" ca="1" si="918"/>
        <v>#DIV/0!</v>
      </c>
      <c r="U107" s="162" t="e">
        <f t="shared" ca="1" si="918"/>
        <v>#DIV/0!</v>
      </c>
      <c r="V107" s="162" t="e">
        <f t="shared" ca="1" si="918"/>
        <v>#DIV/0!</v>
      </c>
      <c r="W107" s="162" t="e">
        <f t="shared" ca="1" si="918"/>
        <v>#DIV/0!</v>
      </c>
      <c r="X107" s="162" t="e">
        <f t="shared" ca="1" si="918"/>
        <v>#DIV/0!</v>
      </c>
      <c r="Y107" s="162" t="e">
        <f t="shared" ca="1" si="918"/>
        <v>#DIV/0!</v>
      </c>
      <c r="Z107" s="162" t="e">
        <f t="shared" ca="1" si="918"/>
        <v>#DIV/0!</v>
      </c>
      <c r="AA107" s="162" t="e">
        <f t="shared" ref="AA107" ca="1" si="926">+AA90/AA$103</f>
        <v>#DIV/0!</v>
      </c>
      <c r="AB107" s="21" t="e">
        <f t="shared" ca="1" si="918"/>
        <v>#DIV/0!</v>
      </c>
      <c r="AC107" s="21" t="e">
        <f t="shared" ca="1" si="918"/>
        <v>#DIV/0!</v>
      </c>
      <c r="AD107" s="21" t="e">
        <f t="shared" ca="1" si="918"/>
        <v>#DIV/0!</v>
      </c>
      <c r="AE107" s="21" t="e">
        <f t="shared" ca="1" si="918"/>
        <v>#DIV/0!</v>
      </c>
      <c r="AL107" s="162" t="e">
        <f t="shared" si="920"/>
        <v>#DIV/0!</v>
      </c>
      <c r="AM107" s="162" t="e">
        <f t="shared" si="920"/>
        <v>#DIV/0!</v>
      </c>
      <c r="AN107" s="162" t="e">
        <f t="shared" si="920"/>
        <v>#DIV/0!</v>
      </c>
      <c r="AO107" s="162" t="e">
        <f t="shared" si="920"/>
        <v>#DIV/0!</v>
      </c>
      <c r="AP107" s="162" t="e">
        <f t="shared" si="920"/>
        <v>#DIV/0!</v>
      </c>
      <c r="AQ107" s="162" t="e">
        <f t="shared" si="920"/>
        <v>#DIV/0!</v>
      </c>
      <c r="AR107" s="162" t="e">
        <f t="shared" si="920"/>
        <v>#DIV/0!</v>
      </c>
      <c r="AS107" s="162" t="e">
        <f t="shared" si="920"/>
        <v>#DIV/0!</v>
      </c>
      <c r="AT107" s="162" t="e">
        <f t="shared" si="920"/>
        <v>#DIV/0!</v>
      </c>
      <c r="AU107" s="162" t="e">
        <f t="shared" si="920"/>
        <v>#DIV/0!</v>
      </c>
      <c r="AV107" s="162" t="e">
        <f t="shared" si="920"/>
        <v>#DIV/0!</v>
      </c>
      <c r="AW107" s="162" t="e">
        <f t="shared" si="920"/>
        <v>#DIV/0!</v>
      </c>
      <c r="AX107" s="162" t="e">
        <f t="shared" si="920"/>
        <v>#DIV/0!</v>
      </c>
      <c r="AY107" s="162" t="e">
        <f t="shared" si="920"/>
        <v>#DIV/0!</v>
      </c>
      <c r="AZ107" s="162" t="e">
        <f t="shared" si="920"/>
        <v>#DIV/0!</v>
      </c>
      <c r="BA107" s="162" t="e">
        <f t="shared" si="920"/>
        <v>#DIV/0!</v>
      </c>
      <c r="BB107" s="162" t="e">
        <f t="shared" si="920"/>
        <v>#DIV/0!</v>
      </c>
      <c r="BC107" s="162" t="e">
        <f t="shared" si="920"/>
        <v>#DIV/0!</v>
      </c>
      <c r="BD107" s="162" t="e">
        <f t="shared" si="920"/>
        <v>#DIV/0!</v>
      </c>
      <c r="BE107" s="162" t="e">
        <f t="shared" si="920"/>
        <v>#DIV/0!</v>
      </c>
      <c r="BF107" s="162" t="e">
        <f t="shared" si="920"/>
        <v>#DIV/0!</v>
      </c>
      <c r="BG107" s="162" t="e">
        <f t="shared" si="920"/>
        <v>#DIV/0!</v>
      </c>
      <c r="BH107" s="162" t="e">
        <f t="shared" si="920"/>
        <v>#DIV/0!</v>
      </c>
      <c r="BI107" s="162" t="e">
        <f t="shared" si="920"/>
        <v>#DIV/0!</v>
      </c>
      <c r="BJ107" s="162" t="e">
        <f t="shared" si="920"/>
        <v>#DIV/0!</v>
      </c>
      <c r="BK107" s="162" t="e">
        <f t="shared" si="920"/>
        <v>#DIV/0!</v>
      </c>
      <c r="BL107" s="162" t="e">
        <f t="shared" si="920"/>
        <v>#DIV/0!</v>
      </c>
      <c r="BM107" s="162" t="e">
        <f t="shared" si="920"/>
        <v>#DIV/0!</v>
      </c>
      <c r="BN107" s="162">
        <f t="shared" si="920"/>
        <v>0</v>
      </c>
      <c r="BO107" s="162">
        <f t="shared" si="920"/>
        <v>0</v>
      </c>
      <c r="BP107" s="162" t="e">
        <f t="shared" si="920"/>
        <v>#DIV/0!</v>
      </c>
      <c r="BQ107" s="162">
        <f t="shared" si="920"/>
        <v>0</v>
      </c>
      <c r="BR107" s="162">
        <f t="shared" si="920"/>
        <v>0</v>
      </c>
      <c r="BS107" s="162">
        <f t="shared" si="920"/>
        <v>2.6777956718671367</v>
      </c>
      <c r="BT107" s="162">
        <f t="shared" si="920"/>
        <v>4.0129064279902362</v>
      </c>
      <c r="BU107" s="162">
        <f t="shared" si="920"/>
        <v>4.5238648186648192</v>
      </c>
      <c r="BV107" s="162">
        <f t="shared" si="920"/>
        <v>3.8760367689788158</v>
      </c>
      <c r="BW107" s="162">
        <f t="shared" si="920"/>
        <v>4.0501048323521021</v>
      </c>
      <c r="BX107" s="162">
        <f t="shared" si="920"/>
        <v>4.3325913327382537</v>
      </c>
      <c r="BY107" s="162">
        <f t="shared" si="920"/>
        <v>5.0060974875303064</v>
      </c>
      <c r="BZ107" s="162">
        <f t="shared" si="920"/>
        <v>4.6777314256663525</v>
      </c>
      <c r="CA107" s="162">
        <f t="shared" si="920"/>
        <v>4.9335841061610344</v>
      </c>
      <c r="CB107" s="162">
        <f t="shared" si="920"/>
        <v>6.140512616742634</v>
      </c>
      <c r="CC107" s="162">
        <f t="shared" si="920"/>
        <v>6.2959029266152795</v>
      </c>
      <c r="CD107" s="162">
        <f t="shared" si="920"/>
        <v>5.4427503950590488</v>
      </c>
      <c r="CE107" s="162">
        <f t="shared" si="920"/>
        <v>5.7099353074212384</v>
      </c>
      <c r="CF107" s="162">
        <f t="shared" si="920"/>
        <v>4.1563575828320021</v>
      </c>
      <c r="CG107" s="162">
        <f t="shared" si="920"/>
        <v>3.9331067003196076</v>
      </c>
      <c r="CH107" s="162">
        <f t="shared" si="920"/>
        <v>3.2240240973977334</v>
      </c>
      <c r="CI107" s="162">
        <f t="shared" si="920"/>
        <v>3.0168059760656663</v>
      </c>
      <c r="CJ107" s="162">
        <f t="shared" si="923"/>
        <v>4.3575255622371989</v>
      </c>
      <c r="CK107" s="162">
        <f t="shared" si="923"/>
        <v>4.8055883862453266</v>
      </c>
      <c r="CL107" s="162">
        <f t="shared" ref="CL107" si="927">+CL90/CL$103</f>
        <v>4.5699027897771485</v>
      </c>
      <c r="CM107" s="94">
        <f t="shared" ref="CM107:DB107" si="928">+CL107</f>
        <v>4.5699027897771485</v>
      </c>
      <c r="CN107" s="94">
        <f t="shared" si="928"/>
        <v>4.5699027897771485</v>
      </c>
      <c r="CO107" s="94">
        <f t="shared" si="928"/>
        <v>4.5699027897771485</v>
      </c>
      <c r="CP107" s="94">
        <f t="shared" si="928"/>
        <v>4.5699027897771485</v>
      </c>
      <c r="CQ107" s="94">
        <f t="shared" si="928"/>
        <v>4.5699027897771485</v>
      </c>
      <c r="CR107" s="94">
        <f t="shared" si="928"/>
        <v>4.5699027897771485</v>
      </c>
      <c r="CS107" s="94">
        <f t="shared" si="928"/>
        <v>4.5699027897771485</v>
      </c>
      <c r="CT107" s="94">
        <f t="shared" si="928"/>
        <v>4.5699027897771485</v>
      </c>
      <c r="CU107" s="94">
        <f t="shared" si="928"/>
        <v>4.5699027897771485</v>
      </c>
      <c r="CV107" s="94">
        <f t="shared" si="928"/>
        <v>4.5699027897771485</v>
      </c>
      <c r="CW107" s="94">
        <f t="shared" si="928"/>
        <v>4.5699027897771485</v>
      </c>
      <c r="CX107" s="94">
        <f t="shared" si="928"/>
        <v>4.5699027897771485</v>
      </c>
      <c r="CY107" s="94">
        <f t="shared" si="928"/>
        <v>4.5699027897771485</v>
      </c>
      <c r="CZ107" s="94">
        <f t="shared" si="928"/>
        <v>4.5699027897771485</v>
      </c>
      <c r="DA107" s="94">
        <f t="shared" si="928"/>
        <v>4.5699027897771485</v>
      </c>
      <c r="DB107" s="94">
        <f t="shared" si="928"/>
        <v>4.5699027897771485</v>
      </c>
      <c r="DC107" s="94"/>
      <c r="DE107" s="22"/>
      <c r="DF107" s="162">
        <v>4.6031721679328967</v>
      </c>
    </row>
    <row r="108" spans="1:110" s="4" customFormat="1" x14ac:dyDescent="0.2">
      <c r="A108" s="3"/>
      <c r="AB108" s="17"/>
      <c r="AC108" s="17"/>
      <c r="AD108" s="17"/>
      <c r="AE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E108" s="119"/>
    </row>
    <row r="109" spans="1:110" s="177" customFormat="1" x14ac:dyDescent="0.2">
      <c r="A109" s="177" t="s">
        <v>510</v>
      </c>
      <c r="E109" s="177">
        <f t="shared" ref="E109:Y109" si="929">+E21</f>
        <v>0</v>
      </c>
      <c r="F109" s="177">
        <f t="shared" si="929"/>
        <v>79.860124400000004</v>
      </c>
      <c r="G109" s="177">
        <f t="shared" si="929"/>
        <v>114.01338200000001</v>
      </c>
      <c r="H109" s="177">
        <f t="shared" si="929"/>
        <v>150.511428</v>
      </c>
      <c r="I109" s="177">
        <f t="shared" si="929"/>
        <v>208.3421329</v>
      </c>
      <c r="J109" s="177">
        <f t="shared" si="929"/>
        <v>252.04937409999999</v>
      </c>
      <c r="K109" s="177">
        <f t="shared" si="929"/>
        <v>189.75612100000001</v>
      </c>
      <c r="L109" s="177">
        <f t="shared" si="929"/>
        <v>0</v>
      </c>
      <c r="M109" s="177">
        <f t="shared" si="929"/>
        <v>0</v>
      </c>
      <c r="N109" s="177">
        <f t="shared" si="929"/>
        <v>603.62199999999996</v>
      </c>
      <c r="O109" s="177">
        <f t="shared" si="929"/>
        <v>615.99</v>
      </c>
      <c r="P109" s="177">
        <f t="shared" si="929"/>
        <v>800.10699999999997</v>
      </c>
      <c r="Q109" s="177">
        <f t="shared" si="929"/>
        <v>895.08800000000008</v>
      </c>
      <c r="R109" s="177">
        <f t="shared" si="929"/>
        <v>1101.874</v>
      </c>
      <c r="S109" s="177">
        <f t="shared" si="929"/>
        <v>1479.09</v>
      </c>
      <c r="T109" s="177">
        <f t="shared" si="929"/>
        <v>1818.0070000000001</v>
      </c>
      <c r="U109" s="177">
        <f t="shared" si="929"/>
        <v>1492.46</v>
      </c>
      <c r="V109" s="177">
        <f t="shared" si="929"/>
        <v>1559.95</v>
      </c>
      <c r="W109" s="177">
        <f t="shared" si="929"/>
        <v>2217.02</v>
      </c>
      <c r="X109" s="177">
        <f t="shared" si="929"/>
        <v>3182.6</v>
      </c>
      <c r="Y109" s="177">
        <f t="shared" si="929"/>
        <v>4451.7299999999996</v>
      </c>
      <c r="Z109" s="177">
        <f>+Z21</f>
        <v>5690.48</v>
      </c>
      <c r="AA109" s="177">
        <f>+AA21</f>
        <v>8069.27</v>
      </c>
      <c r="AB109" s="178">
        <f t="shared" ref="AA109:AE109" si="930">+AB21</f>
        <v>9521.7386000000006</v>
      </c>
      <c r="AC109" s="178">
        <f t="shared" si="930"/>
        <v>11235.651548000002</v>
      </c>
      <c r="AD109" s="178">
        <f t="shared" si="930"/>
        <v>13258.068826640001</v>
      </c>
      <c r="AE109" s="178">
        <f t="shared" si="930"/>
        <v>15644.521215435201</v>
      </c>
      <c r="AL109" s="177">
        <f t="shared" ref="AL109:BQ109" si="931">+SUM(AI19:AL19)</f>
        <v>0</v>
      </c>
      <c r="AM109" s="177">
        <f t="shared" si="931"/>
        <v>0</v>
      </c>
      <c r="AN109" s="177">
        <f t="shared" si="931"/>
        <v>0</v>
      </c>
      <c r="AO109" s="177">
        <f t="shared" si="931"/>
        <v>0</v>
      </c>
      <c r="AP109" s="177">
        <f t="shared" si="931"/>
        <v>0</v>
      </c>
      <c r="AQ109" s="177">
        <f t="shared" si="931"/>
        <v>0</v>
      </c>
      <c r="AR109" s="177">
        <f t="shared" si="931"/>
        <v>0</v>
      </c>
      <c r="AS109" s="177">
        <f t="shared" si="931"/>
        <v>0</v>
      </c>
      <c r="AT109" s="177">
        <f t="shared" si="931"/>
        <v>0</v>
      </c>
      <c r="AU109" s="177">
        <f t="shared" si="931"/>
        <v>0</v>
      </c>
      <c r="AV109" s="177">
        <f t="shared" si="931"/>
        <v>0</v>
      </c>
      <c r="AW109" s="177">
        <f t="shared" si="931"/>
        <v>0</v>
      </c>
      <c r="AX109" s="177">
        <f t="shared" si="931"/>
        <v>0</v>
      </c>
      <c r="AY109" s="177">
        <f t="shared" si="931"/>
        <v>0</v>
      </c>
      <c r="AZ109" s="177">
        <f t="shared" si="931"/>
        <v>0</v>
      </c>
      <c r="BA109" s="177">
        <f t="shared" si="931"/>
        <v>0</v>
      </c>
      <c r="BB109" s="177">
        <f t="shared" si="931"/>
        <v>0</v>
      </c>
      <c r="BC109" s="177">
        <f t="shared" si="931"/>
        <v>0</v>
      </c>
      <c r="BD109" s="177">
        <f t="shared" si="931"/>
        <v>0</v>
      </c>
      <c r="BE109" s="177">
        <f t="shared" si="931"/>
        <v>0</v>
      </c>
      <c r="BF109" s="177">
        <f t="shared" si="931"/>
        <v>0</v>
      </c>
      <c r="BG109" s="177">
        <f t="shared" si="931"/>
        <v>0</v>
      </c>
      <c r="BH109" s="177">
        <f t="shared" si="931"/>
        <v>0</v>
      </c>
      <c r="BI109" s="177">
        <f t="shared" si="931"/>
        <v>0</v>
      </c>
      <c r="BJ109" s="177">
        <f t="shared" si="931"/>
        <v>0</v>
      </c>
      <c r="BK109" s="177">
        <f t="shared" si="931"/>
        <v>0</v>
      </c>
      <c r="BL109" s="177">
        <f t="shared" si="931"/>
        <v>0</v>
      </c>
      <c r="BM109" s="177">
        <f t="shared" si="931"/>
        <v>0</v>
      </c>
      <c r="BN109" s="177">
        <f t="shared" si="931"/>
        <v>334.41</v>
      </c>
      <c r="BO109" s="177">
        <f t="shared" si="931"/>
        <v>497.41</v>
      </c>
      <c r="BP109" s="177">
        <f t="shared" si="931"/>
        <v>868.13000000000011</v>
      </c>
      <c r="BQ109" s="177">
        <f t="shared" si="931"/>
        <v>1357.2</v>
      </c>
      <c r="BR109" s="177">
        <f t="shared" ref="BR109:CW109" si="932">+SUM(BO19:BR19)</f>
        <v>1559.9499999999998</v>
      </c>
      <c r="BS109" s="177">
        <f t="shared" si="932"/>
        <v>1832.1399999999999</v>
      </c>
      <c r="BT109" s="177">
        <f t="shared" si="932"/>
        <v>2032.43</v>
      </c>
      <c r="BU109" s="177">
        <f t="shared" si="932"/>
        <v>2097.5099999999998</v>
      </c>
      <c r="BV109" s="177">
        <f t="shared" si="932"/>
        <v>2217.02</v>
      </c>
      <c r="BW109" s="177">
        <f t="shared" si="932"/>
        <v>2458.79</v>
      </c>
      <c r="BX109" s="177">
        <f t="shared" si="932"/>
        <v>2664.02</v>
      </c>
      <c r="BY109" s="177">
        <f t="shared" si="932"/>
        <v>2858.8999999999996</v>
      </c>
      <c r="BZ109" s="177">
        <f t="shared" si="932"/>
        <v>3182.6</v>
      </c>
      <c r="CA109" s="177">
        <f t="shared" si="932"/>
        <v>3543.27</v>
      </c>
      <c r="CB109" s="177">
        <f t="shared" si="932"/>
        <v>3946.09</v>
      </c>
      <c r="CC109" s="177">
        <f t="shared" si="932"/>
        <v>4326.76</v>
      </c>
      <c r="CD109" s="177">
        <f t="shared" si="932"/>
        <v>4451.7300000000005</v>
      </c>
      <c r="CE109" s="177">
        <f t="shared" si="932"/>
        <v>4565.2900000000009</v>
      </c>
      <c r="CF109" s="177">
        <f t="shared" si="932"/>
        <v>4600.18</v>
      </c>
      <c r="CG109" s="177">
        <f t="shared" si="932"/>
        <v>5046.57</v>
      </c>
      <c r="CH109" s="177">
        <f t="shared" si="932"/>
        <v>5690.4800000000005</v>
      </c>
      <c r="CI109" s="177">
        <f t="shared" si="932"/>
        <v>6323.29</v>
      </c>
      <c r="CJ109" s="177">
        <f t="shared" si="932"/>
        <v>7110.93</v>
      </c>
      <c r="CK109" s="177">
        <f t="shared" si="932"/>
        <v>7592.1200000000008</v>
      </c>
      <c r="CL109" s="177">
        <f t="shared" si="932"/>
        <v>8069.27</v>
      </c>
      <c r="CM109" s="178">
        <f t="shared" si="932"/>
        <v>8390.39</v>
      </c>
      <c r="CN109" s="178">
        <f t="shared" si="932"/>
        <v>8750.6761999999999</v>
      </c>
      <c r="CO109" s="178">
        <f t="shared" si="932"/>
        <v>9120.9866000000002</v>
      </c>
      <c r="CP109" s="178">
        <f t="shared" si="932"/>
        <v>9521.7386000000006</v>
      </c>
      <c r="CQ109" s="178">
        <f t="shared" si="932"/>
        <v>9900.6602000000003</v>
      </c>
      <c r="CR109" s="178">
        <f t="shared" si="932"/>
        <v>10325.797916</v>
      </c>
      <c r="CS109" s="178">
        <f t="shared" si="932"/>
        <v>10762.764188000001</v>
      </c>
      <c r="CT109" s="178">
        <f t="shared" si="932"/>
        <v>11235.651548000002</v>
      </c>
      <c r="CU109" s="178">
        <f t="shared" si="932"/>
        <v>11682.779036000002</v>
      </c>
      <c r="CV109" s="178">
        <f t="shared" si="932"/>
        <v>12184.44154088</v>
      </c>
      <c r="CW109" s="178">
        <f t="shared" si="932"/>
        <v>12700.061741840002</v>
      </c>
      <c r="CX109" s="178">
        <f t="shared" ref="CX109:DB109" si="933">+SUM(CU19:CX19)</f>
        <v>13258.068826640001</v>
      </c>
      <c r="CY109" s="178">
        <f t="shared" si="933"/>
        <v>13785.67926248</v>
      </c>
      <c r="CZ109" s="178">
        <f t="shared" si="933"/>
        <v>14377.641018238402</v>
      </c>
      <c r="DA109" s="178">
        <f t="shared" si="933"/>
        <v>14986.072855371202</v>
      </c>
      <c r="DB109" s="178">
        <f t="shared" si="933"/>
        <v>15644.521215435201</v>
      </c>
      <c r="DE109" s="179"/>
      <c r="DF109" s="177">
        <v>7941.9700000000012</v>
      </c>
    </row>
    <row r="110" spans="1:110" s="163" customFormat="1" x14ac:dyDescent="0.2">
      <c r="A110" s="163" t="s">
        <v>511</v>
      </c>
      <c r="E110" s="163" t="e">
        <f t="shared" ref="E110:AE110" ca="1" si="934">+E109/E76</f>
        <v>#DIV/0!</v>
      </c>
      <c r="F110" s="163" t="e">
        <f t="shared" ca="1" si="934"/>
        <v>#DIV/0!</v>
      </c>
      <c r="G110" s="163" t="e">
        <f t="shared" ca="1" si="934"/>
        <v>#DIV/0!</v>
      </c>
      <c r="H110" s="163" t="e">
        <f t="shared" ca="1" si="934"/>
        <v>#DIV/0!</v>
      </c>
      <c r="I110" s="163" t="e">
        <f t="shared" ca="1" si="934"/>
        <v>#DIV/0!</v>
      </c>
      <c r="J110" s="163" t="e">
        <f t="shared" ca="1" si="934"/>
        <v>#DIV/0!</v>
      </c>
      <c r="K110" s="163" t="e">
        <f t="shared" ca="1" si="934"/>
        <v>#DIV/0!</v>
      </c>
      <c r="L110" s="163" t="e">
        <f t="shared" ca="1" si="934"/>
        <v>#DIV/0!</v>
      </c>
      <c r="M110" s="163" t="e">
        <f t="shared" ca="1" si="934"/>
        <v>#DIV/0!</v>
      </c>
      <c r="N110" s="163" t="e">
        <f t="shared" ca="1" si="934"/>
        <v>#DIV/0!</v>
      </c>
      <c r="O110" s="163" t="e">
        <f t="shared" ca="1" si="934"/>
        <v>#DIV/0!</v>
      </c>
      <c r="P110" s="163" t="e">
        <f t="shared" ca="1" si="934"/>
        <v>#DIV/0!</v>
      </c>
      <c r="Q110" s="163" t="e">
        <f t="shared" ca="1" si="934"/>
        <v>#DIV/0!</v>
      </c>
      <c r="R110" s="163" t="e">
        <f t="shared" ca="1" si="934"/>
        <v>#DIV/0!</v>
      </c>
      <c r="S110" s="163" t="e">
        <f t="shared" ca="1" si="934"/>
        <v>#DIV/0!</v>
      </c>
      <c r="T110" s="163" t="e">
        <f t="shared" ca="1" si="934"/>
        <v>#DIV/0!</v>
      </c>
      <c r="U110" s="163" t="e">
        <f t="shared" ca="1" si="934"/>
        <v>#DIV/0!</v>
      </c>
      <c r="V110" s="163" t="e">
        <f t="shared" ca="1" si="934"/>
        <v>#DIV/0!</v>
      </c>
      <c r="W110" s="163" t="e">
        <f t="shared" ca="1" si="934"/>
        <v>#DIV/0!</v>
      </c>
      <c r="X110" s="163" t="e">
        <f t="shared" ca="1" si="934"/>
        <v>#DIV/0!</v>
      </c>
      <c r="Y110" s="163" t="e">
        <f t="shared" ca="1" si="934"/>
        <v>#DIV/0!</v>
      </c>
      <c r="Z110" s="163" t="e">
        <f t="shared" ref="Z110:AA110" ca="1" si="935">+Z109/Z76</f>
        <v>#DIV/0!</v>
      </c>
      <c r="AA110" s="163" t="e">
        <f t="shared" ca="1" si="935"/>
        <v>#DIV/0!</v>
      </c>
      <c r="AB110" s="94" t="e">
        <f t="shared" ca="1" si="934"/>
        <v>#DIV/0!</v>
      </c>
      <c r="AC110" s="94" t="e">
        <f t="shared" ca="1" si="934"/>
        <v>#DIV/0!</v>
      </c>
      <c r="AD110" s="94" t="e">
        <f t="shared" ca="1" si="934"/>
        <v>#DIV/0!</v>
      </c>
      <c r="AE110" s="94" t="e">
        <f t="shared" ca="1" si="934"/>
        <v>#DIV/0!</v>
      </c>
      <c r="AL110" s="163">
        <f t="shared" ref="AL110:BQ110" si="936">+AL109/AL76</f>
        <v>0</v>
      </c>
      <c r="AM110" s="163">
        <f t="shared" si="936"/>
        <v>0</v>
      </c>
      <c r="AN110" s="163">
        <f t="shared" si="936"/>
        <v>0</v>
      </c>
      <c r="AO110" s="163">
        <f t="shared" si="936"/>
        <v>0</v>
      </c>
      <c r="AP110" s="163">
        <f t="shared" si="936"/>
        <v>0</v>
      </c>
      <c r="AQ110" s="163">
        <f t="shared" si="936"/>
        <v>0</v>
      </c>
      <c r="AR110" s="163">
        <f t="shared" si="936"/>
        <v>0</v>
      </c>
      <c r="AS110" s="163">
        <f t="shared" si="936"/>
        <v>0</v>
      </c>
      <c r="AT110" s="163">
        <f t="shared" si="936"/>
        <v>0</v>
      </c>
      <c r="AU110" s="163">
        <f t="shared" si="936"/>
        <v>0</v>
      </c>
      <c r="AV110" s="163">
        <f t="shared" si="936"/>
        <v>0</v>
      </c>
      <c r="AW110" s="163">
        <f t="shared" si="936"/>
        <v>0</v>
      </c>
      <c r="AX110" s="163">
        <f t="shared" si="936"/>
        <v>0</v>
      </c>
      <c r="AY110" s="163">
        <f t="shared" si="936"/>
        <v>0</v>
      </c>
      <c r="AZ110" s="163">
        <f t="shared" si="936"/>
        <v>0</v>
      </c>
      <c r="BA110" s="163">
        <f t="shared" si="936"/>
        <v>0</v>
      </c>
      <c r="BB110" s="163">
        <f t="shared" si="936"/>
        <v>0</v>
      </c>
      <c r="BC110" s="163">
        <f t="shared" si="936"/>
        <v>0</v>
      </c>
      <c r="BD110" s="163">
        <f t="shared" si="936"/>
        <v>0</v>
      </c>
      <c r="BE110" s="163">
        <f t="shared" si="936"/>
        <v>0</v>
      </c>
      <c r="BF110" s="163">
        <f t="shared" si="936"/>
        <v>0</v>
      </c>
      <c r="BG110" s="163">
        <f t="shared" si="936"/>
        <v>0</v>
      </c>
      <c r="BH110" s="163">
        <f t="shared" si="936"/>
        <v>0</v>
      </c>
      <c r="BI110" s="163">
        <f t="shared" si="936"/>
        <v>0</v>
      </c>
      <c r="BJ110" s="163">
        <f t="shared" si="936"/>
        <v>0</v>
      </c>
      <c r="BK110" s="163">
        <f t="shared" si="936"/>
        <v>0</v>
      </c>
      <c r="BL110" s="163">
        <f t="shared" si="936"/>
        <v>0</v>
      </c>
      <c r="BM110" s="163">
        <f t="shared" si="936"/>
        <v>0</v>
      </c>
      <c r="BN110" s="163">
        <f t="shared" si="936"/>
        <v>140.15507124895223</v>
      </c>
      <c r="BO110" s="163">
        <f t="shared" si="936"/>
        <v>208.47024308466052</v>
      </c>
      <c r="BP110" s="163">
        <f t="shared" si="936"/>
        <v>363.8432523051132</v>
      </c>
      <c r="BQ110" s="163">
        <f t="shared" si="936"/>
        <v>568.81810561609382</v>
      </c>
      <c r="BR110" s="163">
        <f t="shared" ref="BR110:CW110" si="937">+BR109/BR76</f>
        <v>653.79295892707444</v>
      </c>
      <c r="BS110" s="163">
        <f t="shared" si="937"/>
        <v>767.87091366303423</v>
      </c>
      <c r="BT110" s="163">
        <f t="shared" si="937"/>
        <v>851.8147527242246</v>
      </c>
      <c r="BU110" s="163">
        <f t="shared" si="937"/>
        <v>879.09052808046931</v>
      </c>
      <c r="BV110" s="163">
        <f t="shared" si="937"/>
        <v>929.17854149203686</v>
      </c>
      <c r="BW110" s="163">
        <f t="shared" si="937"/>
        <v>1030.507124895222</v>
      </c>
      <c r="BX110" s="163">
        <f t="shared" si="937"/>
        <v>1116.5213746856664</v>
      </c>
      <c r="BY110" s="163">
        <f t="shared" si="937"/>
        <v>1198.1978206202848</v>
      </c>
      <c r="BZ110" s="163">
        <f t="shared" si="937"/>
        <v>1333.8642078792957</v>
      </c>
      <c r="CA110" s="163">
        <f t="shared" si="937"/>
        <v>1485.0251466890193</v>
      </c>
      <c r="CB110" s="163">
        <f t="shared" si="937"/>
        <v>1653.8516345347862</v>
      </c>
      <c r="CC110" s="163">
        <f t="shared" si="937"/>
        <v>1813.3948030176027</v>
      </c>
      <c r="CD110" s="163">
        <f t="shared" si="937"/>
        <v>1865.7711651299246</v>
      </c>
      <c r="CE110" s="163">
        <f t="shared" si="937"/>
        <v>1913.365465213747</v>
      </c>
      <c r="CF110" s="163">
        <f t="shared" si="937"/>
        <v>1927.9882648784576</v>
      </c>
      <c r="CG110" s="163">
        <f t="shared" si="937"/>
        <v>2115.0754400670576</v>
      </c>
      <c r="CH110" s="163">
        <f t="shared" si="937"/>
        <v>2384.945515507125</v>
      </c>
      <c r="CI110" s="163">
        <f t="shared" si="937"/>
        <v>2650.1634534786253</v>
      </c>
      <c r="CJ110" s="163">
        <f t="shared" si="937"/>
        <v>2980.2724224643753</v>
      </c>
      <c r="CK110" s="163">
        <f t="shared" ref="CK110:CL110" si="938">+CK109/CK76</f>
        <v>3181.9446772841579</v>
      </c>
      <c r="CL110" s="163">
        <f t="shared" si="938"/>
        <v>3381.9237217099749</v>
      </c>
      <c r="CM110" s="50">
        <f t="shared" si="937"/>
        <v>3516.5088013411564</v>
      </c>
      <c r="CN110" s="50">
        <f t="shared" si="937"/>
        <v>3667.5088851634532</v>
      </c>
      <c r="CO110" s="50">
        <f t="shared" si="937"/>
        <v>3822.7102263202009</v>
      </c>
      <c r="CP110" s="50">
        <f t="shared" si="937"/>
        <v>3990.6699916177704</v>
      </c>
      <c r="CQ110" s="50">
        <f t="shared" si="937"/>
        <v>4149.4803855825648</v>
      </c>
      <c r="CR110" s="50">
        <f t="shared" si="937"/>
        <v>4327.6604844928743</v>
      </c>
      <c r="CS110" s="50">
        <f t="shared" si="937"/>
        <v>4510.7980670578372</v>
      </c>
      <c r="CT110" s="50">
        <f t="shared" si="937"/>
        <v>4708.9905901089696</v>
      </c>
      <c r="CU110" s="50">
        <f t="shared" si="937"/>
        <v>4896.3868549874269</v>
      </c>
      <c r="CV110" s="50">
        <f t="shared" si="937"/>
        <v>5106.6393717015926</v>
      </c>
      <c r="CW110" s="50">
        <f t="shared" si="937"/>
        <v>5322.7417191282484</v>
      </c>
      <c r="CX110" s="50">
        <f t="shared" ref="CX110:DB110" si="939">+CX109/CX76</f>
        <v>5556.6088963285838</v>
      </c>
      <c r="CY110" s="50">
        <f t="shared" si="939"/>
        <v>5777.7364888851635</v>
      </c>
      <c r="CZ110" s="50">
        <f t="shared" si="939"/>
        <v>6025.8344586078802</v>
      </c>
      <c r="DA110" s="50">
        <f t="shared" si="939"/>
        <v>6280.8352285713327</v>
      </c>
      <c r="DB110" s="50">
        <f t="shared" si="939"/>
        <v>6556.798497667729</v>
      </c>
      <c r="DE110" s="164"/>
      <c r="DF110" s="163">
        <v>3328.570829840738</v>
      </c>
    </row>
    <row r="111" spans="1:110" s="163" customFormat="1" x14ac:dyDescent="0.2"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0" s="163" customFormat="1" x14ac:dyDescent="0.2">
      <c r="A112" s="163" t="s">
        <v>506</v>
      </c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507</v>
      </c>
      <c r="E113" s="163" t="e">
        <f t="shared" ref="E113:AE115" ca="1" si="940">+E88/E$110</f>
        <v>#DIV/0!</v>
      </c>
      <c r="F113" s="163" t="e">
        <f t="shared" ca="1" si="940"/>
        <v>#DIV/0!</v>
      </c>
      <c r="G113" s="163" t="e">
        <f t="shared" ca="1" si="940"/>
        <v>#DIV/0!</v>
      </c>
      <c r="H113" s="163" t="e">
        <f t="shared" ca="1" si="940"/>
        <v>#DIV/0!</v>
      </c>
      <c r="I113" s="163" t="e">
        <f t="shared" ca="1" si="940"/>
        <v>#DIV/0!</v>
      </c>
      <c r="J113" s="163" t="e">
        <f t="shared" ca="1" si="940"/>
        <v>#DIV/0!</v>
      </c>
      <c r="K113" s="163" t="e">
        <f t="shared" ca="1" si="940"/>
        <v>#DIV/0!</v>
      </c>
      <c r="L113" s="163" t="e">
        <f t="shared" ca="1" si="940"/>
        <v>#DIV/0!</v>
      </c>
      <c r="M113" s="163" t="e">
        <f t="shared" ca="1" si="940"/>
        <v>#DIV/0!</v>
      </c>
      <c r="N113" s="163" t="e">
        <f t="shared" ca="1" si="940"/>
        <v>#DIV/0!</v>
      </c>
      <c r="O113" s="163" t="e">
        <f t="shared" ca="1" si="940"/>
        <v>#DIV/0!</v>
      </c>
      <c r="P113" s="163" t="e">
        <f t="shared" ca="1" si="940"/>
        <v>#DIV/0!</v>
      </c>
      <c r="Q113" s="163" t="e">
        <f t="shared" ca="1" si="940"/>
        <v>#DIV/0!</v>
      </c>
      <c r="R113" s="163" t="e">
        <f t="shared" ca="1" si="940"/>
        <v>#DIV/0!</v>
      </c>
      <c r="S113" s="163" t="e">
        <f t="shared" ca="1" si="940"/>
        <v>#DIV/0!</v>
      </c>
      <c r="T113" s="163" t="e">
        <f t="shared" ca="1" si="940"/>
        <v>#DIV/0!</v>
      </c>
      <c r="U113" s="163" t="e">
        <f t="shared" ca="1" si="940"/>
        <v>#DIV/0!</v>
      </c>
      <c r="V113" s="163" t="e">
        <f t="shared" ca="1" si="940"/>
        <v>#DIV/0!</v>
      </c>
      <c r="W113" s="163" t="e">
        <f t="shared" ca="1" si="940"/>
        <v>#DIV/0!</v>
      </c>
      <c r="X113" s="163" t="e">
        <f t="shared" ca="1" si="940"/>
        <v>#DIV/0!</v>
      </c>
      <c r="Y113" s="163" t="e">
        <f t="shared" ca="1" si="940"/>
        <v>#DIV/0!</v>
      </c>
      <c r="Z113" s="163" t="e">
        <f ca="1">+Z88/Z$110</f>
        <v>#DIV/0!</v>
      </c>
      <c r="AA113" s="163" t="e">
        <f ca="1">+AA88/AA$110</f>
        <v>#DIV/0!</v>
      </c>
      <c r="AB113" s="50" t="e">
        <f t="shared" ref="AA113:AE113" ca="1" si="941">+AB88/AB$110</f>
        <v>#DIV/0!</v>
      </c>
      <c r="AC113" s="50" t="e">
        <f t="shared" ca="1" si="941"/>
        <v>#DIV/0!</v>
      </c>
      <c r="AD113" s="50" t="e">
        <f t="shared" ca="1" si="941"/>
        <v>#DIV/0!</v>
      </c>
      <c r="AE113" s="50" t="e">
        <f t="shared" ca="1" si="941"/>
        <v>#DIV/0!</v>
      </c>
      <c r="AL113" s="163" t="e">
        <f t="shared" ref="AL113:BQ113" si="942">+AL88/AL110</f>
        <v>#DIV/0!</v>
      </c>
      <c r="AM113" s="163" t="e">
        <f t="shared" si="942"/>
        <v>#DIV/0!</v>
      </c>
      <c r="AN113" s="163" t="e">
        <f t="shared" si="942"/>
        <v>#DIV/0!</v>
      </c>
      <c r="AO113" s="163" t="e">
        <f t="shared" si="942"/>
        <v>#DIV/0!</v>
      </c>
      <c r="AP113" s="163" t="e">
        <f t="shared" si="942"/>
        <v>#DIV/0!</v>
      </c>
      <c r="AQ113" s="163" t="e">
        <f t="shared" si="942"/>
        <v>#DIV/0!</v>
      </c>
      <c r="AR113" s="163" t="e">
        <f t="shared" si="942"/>
        <v>#DIV/0!</v>
      </c>
      <c r="AS113" s="163" t="e">
        <f t="shared" si="942"/>
        <v>#DIV/0!</v>
      </c>
      <c r="AT113" s="163" t="e">
        <f t="shared" si="942"/>
        <v>#DIV/0!</v>
      </c>
      <c r="AU113" s="163" t="e">
        <f t="shared" si="942"/>
        <v>#DIV/0!</v>
      </c>
      <c r="AV113" s="163" t="e">
        <f t="shared" si="942"/>
        <v>#DIV/0!</v>
      </c>
      <c r="AW113" s="163" t="e">
        <f t="shared" si="942"/>
        <v>#DIV/0!</v>
      </c>
      <c r="AX113" s="163" t="e">
        <f t="shared" si="942"/>
        <v>#DIV/0!</v>
      </c>
      <c r="AY113" s="163" t="e">
        <f t="shared" si="942"/>
        <v>#DIV/0!</v>
      </c>
      <c r="AZ113" s="163" t="e">
        <f t="shared" si="942"/>
        <v>#DIV/0!</v>
      </c>
      <c r="BA113" s="163" t="e">
        <f t="shared" si="942"/>
        <v>#DIV/0!</v>
      </c>
      <c r="BB113" s="163" t="e">
        <f t="shared" si="942"/>
        <v>#DIV/0!</v>
      </c>
      <c r="BC113" s="163" t="e">
        <f t="shared" si="942"/>
        <v>#DIV/0!</v>
      </c>
      <c r="BD113" s="163" t="e">
        <f t="shared" si="942"/>
        <v>#DIV/0!</v>
      </c>
      <c r="BE113" s="163" t="e">
        <f t="shared" si="942"/>
        <v>#DIV/0!</v>
      </c>
      <c r="BF113" s="163" t="e">
        <f t="shared" si="942"/>
        <v>#DIV/0!</v>
      </c>
      <c r="BG113" s="163" t="e">
        <f t="shared" si="942"/>
        <v>#DIV/0!</v>
      </c>
      <c r="BH113" s="163" t="e">
        <f t="shared" si="942"/>
        <v>#DIV/0!</v>
      </c>
      <c r="BI113" s="163" t="e">
        <f t="shared" si="942"/>
        <v>#DIV/0!</v>
      </c>
      <c r="BJ113" s="163" t="e">
        <f t="shared" si="942"/>
        <v>#DIV/0!</v>
      </c>
      <c r="BK113" s="163" t="e">
        <f t="shared" si="942"/>
        <v>#DIV/0!</v>
      </c>
      <c r="BL113" s="163" t="e">
        <f t="shared" si="942"/>
        <v>#DIV/0!</v>
      </c>
      <c r="BM113" s="163" t="e">
        <f t="shared" si="942"/>
        <v>#DIV/0!</v>
      </c>
      <c r="BN113" s="163">
        <f t="shared" si="942"/>
        <v>0</v>
      </c>
      <c r="BO113" s="163">
        <f t="shared" si="942"/>
        <v>0</v>
      </c>
      <c r="BP113" s="163">
        <f t="shared" si="942"/>
        <v>0</v>
      </c>
      <c r="BQ113" s="163">
        <f t="shared" si="942"/>
        <v>0</v>
      </c>
      <c r="BR113" s="163">
        <f t="shared" ref="BR113:DB113" si="943">+BR88/BR110</f>
        <v>2.1686529055418449</v>
      </c>
      <c r="BS113" s="163">
        <f t="shared" si="943"/>
        <v>2.3151677819380621</v>
      </c>
      <c r="BT113" s="163">
        <f t="shared" si="943"/>
        <v>2.4765948150735819</v>
      </c>
      <c r="BU113" s="163">
        <f t="shared" si="943"/>
        <v>2.5776071151031461</v>
      </c>
      <c r="BV113" s="163">
        <f t="shared" si="943"/>
        <v>2.5357882202235431</v>
      </c>
      <c r="BW113" s="163">
        <f t="shared" si="943"/>
        <v>2.201537422878733</v>
      </c>
      <c r="BX113" s="163">
        <f t="shared" si="943"/>
        <v>2.467709138820279</v>
      </c>
      <c r="BY113" s="163">
        <f t="shared" si="943"/>
        <v>2.9267704711602369</v>
      </c>
      <c r="BZ113" s="163">
        <f t="shared" si="943"/>
        <v>2.4337185005969966</v>
      </c>
      <c r="CA113" s="163">
        <f t="shared" si="943"/>
        <v>2.7130517008300243</v>
      </c>
      <c r="CB113" s="163">
        <f t="shared" si="943"/>
        <v>2.7946581806294333</v>
      </c>
      <c r="CC113" s="163">
        <f t="shared" si="943"/>
        <v>2.9769579084580609</v>
      </c>
      <c r="CD113" s="163">
        <f t="shared" si="943"/>
        <v>2.3163344362753358</v>
      </c>
      <c r="CE113" s="163">
        <f t="shared" si="943"/>
        <v>2.8968067526925996</v>
      </c>
      <c r="CF113" s="163">
        <f t="shared" si="943"/>
        <v>3.3563482298518754</v>
      </c>
      <c r="CG113" s="163">
        <f t="shared" si="943"/>
        <v>2.5418242291298845</v>
      </c>
      <c r="CH113" s="163">
        <f t="shared" si="943"/>
        <v>2.0375727530893704</v>
      </c>
      <c r="CI113" s="163">
        <f t="shared" si="943"/>
        <v>2.0977951351274418</v>
      </c>
      <c r="CJ113" s="163">
        <f t="shared" si="943"/>
        <v>2.2766375143616941</v>
      </c>
      <c r="CK113" s="163">
        <f t="shared" ref="CK113:CL113" si="944">+CK88/CK110</f>
        <v>2.4058714957087082</v>
      </c>
      <c r="CL113" s="163">
        <f t="shared" si="944"/>
        <v>2.0666196446518703</v>
      </c>
      <c r="CM113" s="50">
        <f t="shared" si="943"/>
        <v>1.9875252401854979</v>
      </c>
      <c r="CN113" s="50">
        <f t="shared" si="943"/>
        <v>1.9056940879608824</v>
      </c>
      <c r="CO113" s="50">
        <f t="shared" si="943"/>
        <v>1.8283232539778098</v>
      </c>
      <c r="CP113" s="50">
        <f t="shared" si="943"/>
        <v>1.7513725802134497</v>
      </c>
      <c r="CQ113" s="50">
        <f t="shared" si="943"/>
        <v>1.6843434238860151</v>
      </c>
      <c r="CR113" s="50">
        <f t="shared" si="943"/>
        <v>1.6149949897973581</v>
      </c>
      <c r="CS113" s="50">
        <f t="shared" si="943"/>
        <v>1.5494264864218728</v>
      </c>
      <c r="CT113" s="50">
        <f t="shared" si="943"/>
        <v>1.4842140510283468</v>
      </c>
      <c r="CU113" s="50">
        <f t="shared" si="943"/>
        <v>1.4274096812593349</v>
      </c>
      <c r="CV113" s="50">
        <f t="shared" si="943"/>
        <v>1.3686398218621676</v>
      </c>
      <c r="CW113" s="50">
        <f t="shared" si="943"/>
        <v>1.3130732935778582</v>
      </c>
      <c r="CX113" s="50">
        <f t="shared" si="943"/>
        <v>1.2578085178206331</v>
      </c>
      <c r="CY113" s="50">
        <f t="shared" si="943"/>
        <v>1.2096692214062159</v>
      </c>
      <c r="CZ113" s="50">
        <f t="shared" si="943"/>
        <v>1.1598642558153962</v>
      </c>
      <c r="DA113" s="50">
        <f t="shared" si="943"/>
        <v>1.1127739776083545</v>
      </c>
      <c r="DB113" s="50">
        <f t="shared" si="943"/>
        <v>1.0659394218818925</v>
      </c>
      <c r="DE113" s="106"/>
      <c r="DF113" s="163">
        <v>2.0997450128872304</v>
      </c>
    </row>
    <row r="114" spans="1:110" s="163" customFormat="1" x14ac:dyDescent="0.2">
      <c r="A114" s="163" t="s">
        <v>508</v>
      </c>
      <c r="E114" s="163" t="e">
        <f t="shared" ca="1" si="940"/>
        <v>#DIV/0!</v>
      </c>
      <c r="F114" s="163" t="e">
        <f t="shared" ca="1" si="940"/>
        <v>#DIV/0!</v>
      </c>
      <c r="G114" s="163" t="e">
        <f t="shared" ca="1" si="940"/>
        <v>#DIV/0!</v>
      </c>
      <c r="H114" s="163" t="e">
        <f t="shared" ca="1" si="940"/>
        <v>#DIV/0!</v>
      </c>
      <c r="I114" s="163" t="e">
        <f t="shared" ca="1" si="940"/>
        <v>#DIV/0!</v>
      </c>
      <c r="J114" s="163" t="e">
        <f t="shared" ca="1" si="940"/>
        <v>#DIV/0!</v>
      </c>
      <c r="K114" s="163" t="e">
        <f t="shared" ca="1" si="940"/>
        <v>#DIV/0!</v>
      </c>
      <c r="L114" s="163" t="e">
        <f t="shared" ca="1" si="940"/>
        <v>#DIV/0!</v>
      </c>
      <c r="M114" s="163" t="e">
        <f t="shared" ca="1" si="940"/>
        <v>#DIV/0!</v>
      </c>
      <c r="N114" s="163" t="e">
        <f t="shared" ca="1" si="940"/>
        <v>#DIV/0!</v>
      </c>
      <c r="O114" s="163" t="e">
        <f t="shared" ca="1" si="940"/>
        <v>#DIV/0!</v>
      </c>
      <c r="P114" s="163" t="e">
        <f t="shared" ca="1" si="940"/>
        <v>#DIV/0!</v>
      </c>
      <c r="Q114" s="163" t="e">
        <f t="shared" ca="1" si="940"/>
        <v>#DIV/0!</v>
      </c>
      <c r="R114" s="163" t="e">
        <f t="shared" ca="1" si="940"/>
        <v>#DIV/0!</v>
      </c>
      <c r="S114" s="163" t="e">
        <f t="shared" ca="1" si="940"/>
        <v>#DIV/0!</v>
      </c>
      <c r="T114" s="163" t="e">
        <f t="shared" ca="1" si="940"/>
        <v>#DIV/0!</v>
      </c>
      <c r="U114" s="163" t="e">
        <f t="shared" ca="1" si="940"/>
        <v>#DIV/0!</v>
      </c>
      <c r="V114" s="163" t="e">
        <f t="shared" ca="1" si="940"/>
        <v>#DIV/0!</v>
      </c>
      <c r="W114" s="163" t="e">
        <f t="shared" ca="1" si="940"/>
        <v>#DIV/0!</v>
      </c>
      <c r="X114" s="163" t="e">
        <f t="shared" ca="1" si="940"/>
        <v>#DIV/0!</v>
      </c>
      <c r="Y114" s="163" t="e">
        <f t="shared" ca="1" si="940"/>
        <v>#DIV/0!</v>
      </c>
      <c r="Z114" s="163" t="e">
        <f t="shared" ref="Z114:AA115" ca="1" si="945">+Z89/Z$110</f>
        <v>#DIV/0!</v>
      </c>
      <c r="AA114" s="163" t="e">
        <f t="shared" ca="1" si="945"/>
        <v>#DIV/0!</v>
      </c>
      <c r="AB114" s="94" t="e">
        <f t="shared" ca="1" si="940"/>
        <v>#DIV/0!</v>
      </c>
      <c r="AC114" s="94" t="e">
        <f t="shared" ca="1" si="940"/>
        <v>#DIV/0!</v>
      </c>
      <c r="AD114" s="94" t="e">
        <f t="shared" ca="1" si="940"/>
        <v>#DIV/0!</v>
      </c>
      <c r="AE114" s="94" t="e">
        <f t="shared" ca="1" si="940"/>
        <v>#DIV/0!</v>
      </c>
      <c r="AL114" s="163" t="e">
        <f t="shared" ref="AL114:BQ114" si="946">+AL89/AL110</f>
        <v>#DIV/0!</v>
      </c>
      <c r="AM114" s="163" t="e">
        <f t="shared" si="946"/>
        <v>#DIV/0!</v>
      </c>
      <c r="AN114" s="163" t="e">
        <f t="shared" si="946"/>
        <v>#DIV/0!</v>
      </c>
      <c r="AO114" s="163" t="e">
        <f t="shared" si="946"/>
        <v>#DIV/0!</v>
      </c>
      <c r="AP114" s="163" t="e">
        <f t="shared" si="946"/>
        <v>#DIV/0!</v>
      </c>
      <c r="AQ114" s="163" t="e">
        <f t="shared" si="946"/>
        <v>#DIV/0!</v>
      </c>
      <c r="AR114" s="163" t="e">
        <f t="shared" si="946"/>
        <v>#DIV/0!</v>
      </c>
      <c r="AS114" s="163" t="e">
        <f t="shared" si="946"/>
        <v>#DIV/0!</v>
      </c>
      <c r="AT114" s="163" t="e">
        <f t="shared" si="946"/>
        <v>#DIV/0!</v>
      </c>
      <c r="AU114" s="163" t="e">
        <f t="shared" si="946"/>
        <v>#DIV/0!</v>
      </c>
      <c r="AV114" s="163" t="e">
        <f t="shared" si="946"/>
        <v>#DIV/0!</v>
      </c>
      <c r="AW114" s="163" t="e">
        <f t="shared" si="946"/>
        <v>#DIV/0!</v>
      </c>
      <c r="AX114" s="163" t="e">
        <f t="shared" si="946"/>
        <v>#DIV/0!</v>
      </c>
      <c r="AY114" s="163" t="e">
        <f t="shared" si="946"/>
        <v>#DIV/0!</v>
      </c>
      <c r="AZ114" s="163" t="e">
        <f t="shared" si="946"/>
        <v>#DIV/0!</v>
      </c>
      <c r="BA114" s="163" t="e">
        <f t="shared" si="946"/>
        <v>#DIV/0!</v>
      </c>
      <c r="BB114" s="163" t="e">
        <f t="shared" si="946"/>
        <v>#DIV/0!</v>
      </c>
      <c r="BC114" s="163" t="e">
        <f t="shared" si="946"/>
        <v>#DIV/0!</v>
      </c>
      <c r="BD114" s="163" t="e">
        <f t="shared" si="946"/>
        <v>#DIV/0!</v>
      </c>
      <c r="BE114" s="163" t="e">
        <f t="shared" si="946"/>
        <v>#DIV/0!</v>
      </c>
      <c r="BF114" s="163" t="e">
        <f t="shared" si="946"/>
        <v>#DIV/0!</v>
      </c>
      <c r="BG114" s="163" t="e">
        <f t="shared" si="946"/>
        <v>#DIV/0!</v>
      </c>
      <c r="BH114" s="163" t="e">
        <f t="shared" si="946"/>
        <v>#DIV/0!</v>
      </c>
      <c r="BI114" s="163" t="e">
        <f t="shared" si="946"/>
        <v>#DIV/0!</v>
      </c>
      <c r="BJ114" s="163" t="e">
        <f t="shared" si="946"/>
        <v>#DIV/0!</v>
      </c>
      <c r="BK114" s="163" t="e">
        <f t="shared" si="946"/>
        <v>#DIV/0!</v>
      </c>
      <c r="BL114" s="163" t="e">
        <f t="shared" si="946"/>
        <v>#DIV/0!</v>
      </c>
      <c r="BM114" s="163" t="e">
        <f t="shared" si="946"/>
        <v>#DIV/0!</v>
      </c>
      <c r="BN114" s="163">
        <f t="shared" si="946"/>
        <v>0</v>
      </c>
      <c r="BO114" s="163">
        <f t="shared" si="946"/>
        <v>0</v>
      </c>
      <c r="BP114" s="163">
        <f t="shared" si="946"/>
        <v>0</v>
      </c>
      <c r="BQ114" s="163">
        <f t="shared" si="946"/>
        <v>0</v>
      </c>
      <c r="BR114" s="163">
        <f t="shared" ref="BR114:CJ114" si="947">+BR89/BR110</f>
        <v>2.3401903907176518</v>
      </c>
      <c r="BS114" s="163">
        <f t="shared" si="947"/>
        <v>2.4123846430949607</v>
      </c>
      <c r="BT114" s="163">
        <f t="shared" si="947"/>
        <v>2.6324385587695516</v>
      </c>
      <c r="BU114" s="163">
        <f t="shared" si="947"/>
        <v>3.154168895499903</v>
      </c>
      <c r="BV114" s="163">
        <f t="shared" si="947"/>
        <v>2.6326479688951836</v>
      </c>
      <c r="BW114" s="163">
        <f t="shared" si="947"/>
        <v>2.4220599156495677</v>
      </c>
      <c r="BX114" s="163">
        <f t="shared" si="947"/>
        <v>2.6914845233894638</v>
      </c>
      <c r="BY114" s="163">
        <f t="shared" si="947"/>
        <v>3.0962750358529507</v>
      </c>
      <c r="BZ114" s="163">
        <f t="shared" si="947"/>
        <v>2.7750201093445614</v>
      </c>
      <c r="CA114" s="163">
        <f t="shared" si="947"/>
        <v>2.7872255289605365</v>
      </c>
      <c r="CB114" s="163">
        <f t="shared" si="947"/>
        <v>3.0504550073617178</v>
      </c>
      <c r="CC114" s="163">
        <f t="shared" si="947"/>
        <v>3.0384999399088461</v>
      </c>
      <c r="CD114" s="163">
        <f t="shared" si="947"/>
        <v>2.9147733128469158</v>
      </c>
      <c r="CE114" s="163">
        <f t="shared" si="947"/>
        <v>2.9716225694315144</v>
      </c>
      <c r="CF114" s="163">
        <f t="shared" si="947"/>
        <v>3.6863035576868732</v>
      </c>
      <c r="CG114" s="163">
        <f t="shared" si="947"/>
        <v>3.1440722510536863</v>
      </c>
      <c r="CH114" s="163">
        <f t="shared" si="947"/>
        <v>2.3040358634069533</v>
      </c>
      <c r="CI114" s="163">
        <f t="shared" si="947"/>
        <v>2.2029207263940132</v>
      </c>
      <c r="CJ114" s="163">
        <f t="shared" si="947"/>
        <v>2.457812227092659</v>
      </c>
      <c r="CK114" s="163">
        <f t="shared" ref="CK114:CL114" si="948">+CK89/CK110</f>
        <v>2.4605393223500154</v>
      </c>
      <c r="CL114" s="163">
        <f t="shared" si="948"/>
        <v>2.4243450398858881</v>
      </c>
      <c r="CM114" s="94">
        <f t="shared" ref="CM114:DB114" si="949">+CL114</f>
        <v>2.4243450398858881</v>
      </c>
      <c r="CN114" s="94">
        <f t="shared" si="949"/>
        <v>2.4243450398858881</v>
      </c>
      <c r="CO114" s="94">
        <f t="shared" si="949"/>
        <v>2.4243450398858881</v>
      </c>
      <c r="CP114" s="94">
        <f t="shared" si="949"/>
        <v>2.4243450398858881</v>
      </c>
      <c r="CQ114" s="94">
        <f t="shared" si="949"/>
        <v>2.4243450398858881</v>
      </c>
      <c r="CR114" s="94">
        <f t="shared" si="949"/>
        <v>2.4243450398858881</v>
      </c>
      <c r="CS114" s="94">
        <f t="shared" si="949"/>
        <v>2.4243450398858881</v>
      </c>
      <c r="CT114" s="94">
        <f t="shared" si="949"/>
        <v>2.4243450398858881</v>
      </c>
      <c r="CU114" s="94">
        <f t="shared" si="949"/>
        <v>2.4243450398858881</v>
      </c>
      <c r="CV114" s="94">
        <f t="shared" si="949"/>
        <v>2.4243450398858881</v>
      </c>
      <c r="CW114" s="94">
        <f t="shared" si="949"/>
        <v>2.4243450398858881</v>
      </c>
      <c r="CX114" s="94">
        <f t="shared" si="949"/>
        <v>2.4243450398858881</v>
      </c>
      <c r="CY114" s="94">
        <f t="shared" si="949"/>
        <v>2.4243450398858881</v>
      </c>
      <c r="CZ114" s="94">
        <f t="shared" si="949"/>
        <v>2.4243450398858881</v>
      </c>
      <c r="DA114" s="94">
        <f t="shared" si="949"/>
        <v>2.4243450398858881</v>
      </c>
      <c r="DB114" s="94">
        <f t="shared" si="949"/>
        <v>2.4243450398858881</v>
      </c>
      <c r="DE114" s="164"/>
      <c r="DF114" s="163">
        <v>2.4632043057327087</v>
      </c>
    </row>
    <row r="115" spans="1:110" s="163" customFormat="1" x14ac:dyDescent="0.2">
      <c r="A115" s="163" t="s">
        <v>509</v>
      </c>
      <c r="E115" s="163" t="e">
        <f t="shared" ca="1" si="940"/>
        <v>#DIV/0!</v>
      </c>
      <c r="F115" s="163" t="e">
        <f t="shared" ca="1" si="940"/>
        <v>#DIV/0!</v>
      </c>
      <c r="G115" s="163" t="e">
        <f t="shared" ca="1" si="940"/>
        <v>#DIV/0!</v>
      </c>
      <c r="H115" s="163" t="e">
        <f t="shared" ca="1" si="940"/>
        <v>#DIV/0!</v>
      </c>
      <c r="I115" s="163" t="e">
        <f t="shared" ca="1" si="940"/>
        <v>#DIV/0!</v>
      </c>
      <c r="J115" s="163" t="e">
        <f t="shared" ca="1" si="940"/>
        <v>#DIV/0!</v>
      </c>
      <c r="K115" s="163" t="e">
        <f t="shared" ca="1" si="940"/>
        <v>#DIV/0!</v>
      </c>
      <c r="L115" s="163" t="e">
        <f t="shared" ca="1" si="940"/>
        <v>#DIV/0!</v>
      </c>
      <c r="M115" s="163" t="e">
        <f t="shared" ca="1" si="940"/>
        <v>#DIV/0!</v>
      </c>
      <c r="N115" s="163" t="e">
        <f t="shared" ca="1" si="940"/>
        <v>#DIV/0!</v>
      </c>
      <c r="O115" s="163" t="e">
        <f t="shared" ca="1" si="940"/>
        <v>#DIV/0!</v>
      </c>
      <c r="P115" s="163" t="e">
        <f t="shared" ca="1" si="940"/>
        <v>#DIV/0!</v>
      </c>
      <c r="Q115" s="163" t="e">
        <f t="shared" ca="1" si="940"/>
        <v>#DIV/0!</v>
      </c>
      <c r="R115" s="163" t="e">
        <f t="shared" ca="1" si="940"/>
        <v>#DIV/0!</v>
      </c>
      <c r="S115" s="163" t="e">
        <f t="shared" ca="1" si="940"/>
        <v>#DIV/0!</v>
      </c>
      <c r="T115" s="163" t="e">
        <f t="shared" ca="1" si="940"/>
        <v>#DIV/0!</v>
      </c>
      <c r="U115" s="163" t="e">
        <f t="shared" ca="1" si="940"/>
        <v>#DIV/0!</v>
      </c>
      <c r="V115" s="163" t="e">
        <f t="shared" ca="1" si="940"/>
        <v>#DIV/0!</v>
      </c>
      <c r="W115" s="163" t="e">
        <f t="shared" ca="1" si="940"/>
        <v>#DIV/0!</v>
      </c>
      <c r="X115" s="163" t="e">
        <f t="shared" ca="1" si="940"/>
        <v>#DIV/0!</v>
      </c>
      <c r="Y115" s="163" t="e">
        <f t="shared" ca="1" si="940"/>
        <v>#DIV/0!</v>
      </c>
      <c r="Z115" s="163" t="e">
        <f t="shared" ca="1" si="945"/>
        <v>#DIV/0!</v>
      </c>
      <c r="AA115" s="163" t="e">
        <f t="shared" ca="1" si="945"/>
        <v>#DIV/0!</v>
      </c>
      <c r="AB115" s="94" t="e">
        <f t="shared" ca="1" si="940"/>
        <v>#DIV/0!</v>
      </c>
      <c r="AC115" s="94" t="e">
        <f t="shared" ca="1" si="940"/>
        <v>#DIV/0!</v>
      </c>
      <c r="AD115" s="94" t="e">
        <f t="shared" ca="1" si="940"/>
        <v>#DIV/0!</v>
      </c>
      <c r="AE115" s="94" t="e">
        <f t="shared" ca="1" si="940"/>
        <v>#DIV/0!</v>
      </c>
      <c r="AL115" s="163" t="e">
        <f t="shared" ref="AL115:BQ115" si="950">+AL90/AL110</f>
        <v>#DIV/0!</v>
      </c>
      <c r="AM115" s="163" t="e">
        <f t="shared" si="950"/>
        <v>#DIV/0!</v>
      </c>
      <c r="AN115" s="163" t="e">
        <f t="shared" si="950"/>
        <v>#DIV/0!</v>
      </c>
      <c r="AO115" s="163" t="e">
        <f t="shared" si="950"/>
        <v>#DIV/0!</v>
      </c>
      <c r="AP115" s="163" t="e">
        <f t="shared" si="950"/>
        <v>#DIV/0!</v>
      </c>
      <c r="AQ115" s="163" t="e">
        <f t="shared" si="950"/>
        <v>#DIV/0!</v>
      </c>
      <c r="AR115" s="163" t="e">
        <f t="shared" si="950"/>
        <v>#DIV/0!</v>
      </c>
      <c r="AS115" s="163" t="e">
        <f t="shared" si="950"/>
        <v>#DIV/0!</v>
      </c>
      <c r="AT115" s="163" t="e">
        <f t="shared" si="950"/>
        <v>#DIV/0!</v>
      </c>
      <c r="AU115" s="163" t="e">
        <f t="shared" si="950"/>
        <v>#DIV/0!</v>
      </c>
      <c r="AV115" s="163" t="e">
        <f t="shared" si="950"/>
        <v>#DIV/0!</v>
      </c>
      <c r="AW115" s="163" t="e">
        <f t="shared" si="950"/>
        <v>#DIV/0!</v>
      </c>
      <c r="AX115" s="163" t="e">
        <f t="shared" si="950"/>
        <v>#DIV/0!</v>
      </c>
      <c r="AY115" s="163" t="e">
        <f t="shared" si="950"/>
        <v>#DIV/0!</v>
      </c>
      <c r="AZ115" s="163" t="e">
        <f t="shared" si="950"/>
        <v>#DIV/0!</v>
      </c>
      <c r="BA115" s="163" t="e">
        <f t="shared" si="950"/>
        <v>#DIV/0!</v>
      </c>
      <c r="BB115" s="163" t="e">
        <f t="shared" si="950"/>
        <v>#DIV/0!</v>
      </c>
      <c r="BC115" s="163" t="e">
        <f t="shared" si="950"/>
        <v>#DIV/0!</v>
      </c>
      <c r="BD115" s="163" t="e">
        <f t="shared" si="950"/>
        <v>#DIV/0!</v>
      </c>
      <c r="BE115" s="163" t="e">
        <f t="shared" si="950"/>
        <v>#DIV/0!</v>
      </c>
      <c r="BF115" s="163" t="e">
        <f t="shared" si="950"/>
        <v>#DIV/0!</v>
      </c>
      <c r="BG115" s="163" t="e">
        <f t="shared" si="950"/>
        <v>#DIV/0!</v>
      </c>
      <c r="BH115" s="163" t="e">
        <f t="shared" si="950"/>
        <v>#DIV/0!</v>
      </c>
      <c r="BI115" s="163" t="e">
        <f t="shared" si="950"/>
        <v>#DIV/0!</v>
      </c>
      <c r="BJ115" s="163" t="e">
        <f t="shared" si="950"/>
        <v>#DIV/0!</v>
      </c>
      <c r="BK115" s="163" t="e">
        <f t="shared" si="950"/>
        <v>#DIV/0!</v>
      </c>
      <c r="BL115" s="163" t="e">
        <f t="shared" si="950"/>
        <v>#DIV/0!</v>
      </c>
      <c r="BM115" s="163" t="e">
        <f t="shared" si="950"/>
        <v>#DIV/0!</v>
      </c>
      <c r="BN115" s="163">
        <f t="shared" si="950"/>
        <v>0</v>
      </c>
      <c r="BO115" s="163">
        <f t="shared" si="950"/>
        <v>0</v>
      </c>
      <c r="BP115" s="163">
        <f t="shared" si="950"/>
        <v>0</v>
      </c>
      <c r="BQ115" s="163">
        <f t="shared" si="950"/>
        <v>0</v>
      </c>
      <c r="BR115" s="163">
        <f t="shared" ref="BR115:CJ115" si="951">+BR90/BR110</f>
        <v>0</v>
      </c>
      <c r="BS115" s="163">
        <f t="shared" si="951"/>
        <v>1.4520669817808685</v>
      </c>
      <c r="BT115" s="163">
        <f t="shared" si="951"/>
        <v>2.0625963501818023</v>
      </c>
      <c r="BU115" s="163">
        <f t="shared" si="951"/>
        <v>2.3341737107332028</v>
      </c>
      <c r="BV115" s="163">
        <f t="shared" si="951"/>
        <v>1.9856248477686265</v>
      </c>
      <c r="BW115" s="163">
        <f t="shared" si="951"/>
        <v>1.9640815197719206</v>
      </c>
      <c r="BX115" s="163">
        <f t="shared" si="951"/>
        <v>2.0223974669859839</v>
      </c>
      <c r="BY115" s="163">
        <f t="shared" si="951"/>
        <v>2.2678642484871805</v>
      </c>
      <c r="BZ115" s="163">
        <f t="shared" si="951"/>
        <v>2.0237442342738645</v>
      </c>
      <c r="CA115" s="163">
        <f t="shared" si="951"/>
        <v>2.0208748698236376</v>
      </c>
      <c r="CB115" s="163">
        <f t="shared" si="951"/>
        <v>2.3692874972441076</v>
      </c>
      <c r="CC115" s="163">
        <f t="shared" si="951"/>
        <v>2.3219157753145541</v>
      </c>
      <c r="CD115" s="163">
        <f t="shared" si="951"/>
        <v>2.0270706669092688</v>
      </c>
      <c r="CE115" s="163">
        <f t="shared" si="951"/>
        <v>2.1402079605019613</v>
      </c>
      <c r="CF115" s="163">
        <f t="shared" si="951"/>
        <v>2.5156273450169344</v>
      </c>
      <c r="CG115" s="163">
        <f t="shared" si="951"/>
        <v>2.1800168034922729</v>
      </c>
      <c r="CH115" s="163">
        <f t="shared" si="951"/>
        <v>1.6185275407347006</v>
      </c>
      <c r="CI115" s="163">
        <f t="shared" si="951"/>
        <v>1.3961403003816051</v>
      </c>
      <c r="CJ115" s="163">
        <f t="shared" si="951"/>
        <v>1.8566759059644802</v>
      </c>
      <c r="CK115" s="163">
        <f t="shared" ref="CK115:CL115" si="952">+CK90/CK110</f>
        <v>1.9856096320922219</v>
      </c>
      <c r="CL115" s="163">
        <f t="shared" si="952"/>
        <v>1.8485484932342082</v>
      </c>
      <c r="CM115" s="94">
        <f t="shared" ref="CM115:DB115" si="953">+CL115</f>
        <v>1.8485484932342082</v>
      </c>
      <c r="CN115" s="94">
        <f t="shared" si="953"/>
        <v>1.8485484932342082</v>
      </c>
      <c r="CO115" s="94">
        <f t="shared" si="953"/>
        <v>1.8485484932342082</v>
      </c>
      <c r="CP115" s="94">
        <f t="shared" si="953"/>
        <v>1.8485484932342082</v>
      </c>
      <c r="CQ115" s="94">
        <f t="shared" si="953"/>
        <v>1.8485484932342082</v>
      </c>
      <c r="CR115" s="94">
        <f t="shared" si="953"/>
        <v>1.8485484932342082</v>
      </c>
      <c r="CS115" s="94">
        <f t="shared" si="953"/>
        <v>1.8485484932342082</v>
      </c>
      <c r="CT115" s="94">
        <f t="shared" si="953"/>
        <v>1.8485484932342082</v>
      </c>
      <c r="CU115" s="94">
        <f t="shared" si="953"/>
        <v>1.8485484932342082</v>
      </c>
      <c r="CV115" s="94">
        <f t="shared" si="953"/>
        <v>1.8485484932342082</v>
      </c>
      <c r="CW115" s="94">
        <f t="shared" si="953"/>
        <v>1.8485484932342082</v>
      </c>
      <c r="CX115" s="94">
        <f t="shared" si="953"/>
        <v>1.8485484932342082</v>
      </c>
      <c r="CY115" s="94">
        <f t="shared" si="953"/>
        <v>1.8485484932342082</v>
      </c>
      <c r="CZ115" s="94">
        <f t="shared" si="953"/>
        <v>1.8485484932342082</v>
      </c>
      <c r="DA115" s="94">
        <f t="shared" si="953"/>
        <v>1.8485484932342082</v>
      </c>
      <c r="DB115" s="94">
        <f t="shared" si="953"/>
        <v>1.8485484932342082</v>
      </c>
      <c r="DE115" s="164"/>
      <c r="DF115" s="163">
        <v>1.8781784494275346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62" customFormat="1" x14ac:dyDescent="0.2">
      <c r="A118" s="49" t="s">
        <v>340</v>
      </c>
      <c r="B118" s="162" t="e">
        <f t="shared" ref="B118:AE118" si="954">+B89*B76</f>
        <v>#DIV/0!</v>
      </c>
      <c r="C118" s="162" t="e">
        <f t="shared" si="954"/>
        <v>#DIV/0!</v>
      </c>
      <c r="D118" s="162" t="e">
        <f t="shared" si="954"/>
        <v>#DIV/0!</v>
      </c>
      <c r="E118" s="162" t="e">
        <f t="shared" ca="1" si="954"/>
        <v>#DIV/0!</v>
      </c>
      <c r="F118" s="162" t="e">
        <f t="shared" ca="1" si="954"/>
        <v>#DIV/0!</v>
      </c>
      <c r="G118" s="162" t="e">
        <f t="shared" ca="1" si="954"/>
        <v>#DIV/0!</v>
      </c>
      <c r="H118" s="162" t="e">
        <f t="shared" ca="1" si="954"/>
        <v>#DIV/0!</v>
      </c>
      <c r="I118" s="162" t="e">
        <f t="shared" ca="1" si="954"/>
        <v>#DIV/0!</v>
      </c>
      <c r="J118" s="162" t="e">
        <f t="shared" ca="1" si="954"/>
        <v>#DIV/0!</v>
      </c>
      <c r="K118" s="162" t="e">
        <f t="shared" ca="1" si="954"/>
        <v>#DIV/0!</v>
      </c>
      <c r="L118" s="162" t="e">
        <f t="shared" ca="1" si="954"/>
        <v>#DIV/0!</v>
      </c>
      <c r="M118" s="162" t="e">
        <f t="shared" ca="1" si="954"/>
        <v>#DIV/0!</v>
      </c>
      <c r="N118" s="162" t="e">
        <f t="shared" ca="1" si="954"/>
        <v>#DIV/0!</v>
      </c>
      <c r="O118" s="162" t="e">
        <f t="shared" ca="1" si="954"/>
        <v>#DIV/0!</v>
      </c>
      <c r="P118" s="162" t="e">
        <f t="shared" ca="1" si="954"/>
        <v>#DIV/0!</v>
      </c>
      <c r="Q118" s="162" t="e">
        <f t="shared" ca="1" si="954"/>
        <v>#DIV/0!</v>
      </c>
      <c r="R118" s="162" t="e">
        <f t="shared" ca="1" si="954"/>
        <v>#DIV/0!</v>
      </c>
      <c r="S118" s="162" t="e">
        <f t="shared" ca="1" si="954"/>
        <v>#DIV/0!</v>
      </c>
      <c r="T118" s="162" t="e">
        <f t="shared" ca="1" si="954"/>
        <v>#DIV/0!</v>
      </c>
      <c r="U118" s="162" t="e">
        <f t="shared" ca="1" si="954"/>
        <v>#DIV/0!</v>
      </c>
      <c r="V118" s="162" t="e">
        <f t="shared" ca="1" si="954"/>
        <v>#DIV/0!</v>
      </c>
      <c r="W118" s="162" t="e">
        <f t="shared" ca="1" si="954"/>
        <v>#DIV/0!</v>
      </c>
      <c r="X118" s="162" t="e">
        <f t="shared" ca="1" si="954"/>
        <v>#DIV/0!</v>
      </c>
      <c r="Y118" s="162" t="e">
        <f t="shared" ca="1" si="954"/>
        <v>#DIV/0!</v>
      </c>
      <c r="Z118" s="162" t="e">
        <f t="shared" ca="1" si="954"/>
        <v>#DIV/0!</v>
      </c>
      <c r="AA118" s="162" t="e">
        <f t="shared" ref="AA118" ca="1" si="955">+AA89*AA76</f>
        <v>#DIV/0!</v>
      </c>
      <c r="AB118" s="21" t="e">
        <f t="shared" ca="1" si="954"/>
        <v>#DIV/0!</v>
      </c>
      <c r="AC118" s="21" t="e">
        <f t="shared" ca="1" si="954"/>
        <v>#DIV/0!</v>
      </c>
      <c r="AD118" s="21" t="e">
        <f t="shared" ca="1" si="954"/>
        <v>#DIV/0!</v>
      </c>
      <c r="AE118" s="21" t="e">
        <f t="shared" ca="1" si="954"/>
        <v>#DIV/0!</v>
      </c>
      <c r="AL118" s="162">
        <f t="shared" ref="AL118:BQ118" si="956">+AL89*AL76</f>
        <v>0</v>
      </c>
      <c r="AM118" s="162">
        <f t="shared" si="956"/>
        <v>0</v>
      </c>
      <c r="AN118" s="162">
        <f t="shared" si="956"/>
        <v>0</v>
      </c>
      <c r="AO118" s="162">
        <f t="shared" si="956"/>
        <v>0</v>
      </c>
      <c r="AP118" s="162">
        <f t="shared" si="956"/>
        <v>0</v>
      </c>
      <c r="AQ118" s="162">
        <f t="shared" si="956"/>
        <v>0</v>
      </c>
      <c r="AR118" s="162">
        <f t="shared" si="956"/>
        <v>0</v>
      </c>
      <c r="AS118" s="162">
        <f t="shared" si="956"/>
        <v>0</v>
      </c>
      <c r="AT118" s="162">
        <f t="shared" si="956"/>
        <v>0</v>
      </c>
      <c r="AU118" s="162">
        <f t="shared" si="956"/>
        <v>0</v>
      </c>
      <c r="AV118" s="162">
        <f t="shared" si="956"/>
        <v>0</v>
      </c>
      <c r="AW118" s="162">
        <f t="shared" si="956"/>
        <v>0</v>
      </c>
      <c r="AX118" s="162">
        <f t="shared" si="956"/>
        <v>0</v>
      </c>
      <c r="AY118" s="162">
        <f t="shared" si="956"/>
        <v>0</v>
      </c>
      <c r="AZ118" s="162">
        <f t="shared" si="956"/>
        <v>0</v>
      </c>
      <c r="BA118" s="162">
        <f t="shared" si="956"/>
        <v>0</v>
      </c>
      <c r="BB118" s="162">
        <f t="shared" si="956"/>
        <v>0</v>
      </c>
      <c r="BC118" s="162">
        <f t="shared" si="956"/>
        <v>0</v>
      </c>
      <c r="BD118" s="162">
        <f t="shared" si="956"/>
        <v>0</v>
      </c>
      <c r="BE118" s="162">
        <f t="shared" si="956"/>
        <v>0</v>
      </c>
      <c r="BF118" s="162">
        <f t="shared" si="956"/>
        <v>0</v>
      </c>
      <c r="BG118" s="162">
        <f t="shared" si="956"/>
        <v>0</v>
      </c>
      <c r="BH118" s="162">
        <f t="shared" si="956"/>
        <v>0</v>
      </c>
      <c r="BI118" s="162">
        <f t="shared" si="956"/>
        <v>0</v>
      </c>
      <c r="BJ118" s="162">
        <f t="shared" si="956"/>
        <v>0</v>
      </c>
      <c r="BK118" s="162">
        <f t="shared" si="956"/>
        <v>0</v>
      </c>
      <c r="BL118" s="162">
        <f t="shared" si="956"/>
        <v>0</v>
      </c>
      <c r="BM118" s="162">
        <f t="shared" si="956"/>
        <v>0</v>
      </c>
      <c r="BN118" s="162">
        <f t="shared" si="956"/>
        <v>0</v>
      </c>
      <c r="BO118" s="162">
        <f t="shared" si="956"/>
        <v>0</v>
      </c>
      <c r="BP118" s="162">
        <f t="shared" si="956"/>
        <v>0</v>
      </c>
      <c r="BQ118" s="162">
        <f t="shared" si="956"/>
        <v>0</v>
      </c>
      <c r="BR118" s="162">
        <f t="shared" ref="BR118:CJ118" si="957">+BR89*BR76</f>
        <v>3650.5800000000004</v>
      </c>
      <c r="BS118" s="162">
        <f t="shared" si="957"/>
        <v>4419.8264000000008</v>
      </c>
      <c r="BT118" s="162">
        <f t="shared" si="957"/>
        <v>5350.2471000000005</v>
      </c>
      <c r="BU118" s="162">
        <f t="shared" si="957"/>
        <v>6615.9008000000003</v>
      </c>
      <c r="BV118" s="162">
        <f t="shared" si="957"/>
        <v>5836.6332000000002</v>
      </c>
      <c r="BW118" s="162">
        <f t="shared" si="957"/>
        <v>5955.3366999999998</v>
      </c>
      <c r="BX118" s="162">
        <f t="shared" si="957"/>
        <v>7170.1686</v>
      </c>
      <c r="BY118" s="162">
        <f t="shared" si="957"/>
        <v>8851.9406999999992</v>
      </c>
      <c r="BZ118" s="162">
        <f t="shared" si="957"/>
        <v>8831.7790000000005</v>
      </c>
      <c r="CA118" s="162">
        <f t="shared" si="957"/>
        <v>9875.892600000001</v>
      </c>
      <c r="CB118" s="162">
        <f t="shared" si="957"/>
        <v>12037.37</v>
      </c>
      <c r="CC118" s="162">
        <f t="shared" si="957"/>
        <v>13146.86</v>
      </c>
      <c r="CD118" s="162">
        <f t="shared" si="957"/>
        <v>12975.783800000001</v>
      </c>
      <c r="CE118" s="162">
        <f t="shared" si="957"/>
        <v>13566.318800000001</v>
      </c>
      <c r="CF118" s="162">
        <f t="shared" si="957"/>
        <v>16957.659899999999</v>
      </c>
      <c r="CG118" s="162">
        <f t="shared" si="957"/>
        <v>15866.780700000001</v>
      </c>
      <c r="CH118" s="162">
        <f t="shared" si="957"/>
        <v>13111.070000000002</v>
      </c>
      <c r="CI118" s="162">
        <f t="shared" si="957"/>
        <v>13929.706600000001</v>
      </c>
      <c r="CJ118" s="162">
        <f t="shared" si="957"/>
        <v>17477.330700000002</v>
      </c>
      <c r="CK118" s="162">
        <f t="shared" ref="CK118:CL118" si="958">+CK89*CK76</f>
        <v>18680.709800000001</v>
      </c>
      <c r="CL118" s="162">
        <f t="shared" si="958"/>
        <v>19562.694700000004</v>
      </c>
      <c r="CM118" s="21">
        <f t="shared" ref="CM118:DB118" si="959">+CM89*CM76</f>
        <v>19588.185808088354</v>
      </c>
      <c r="CN118" s="21">
        <f t="shared" si="959"/>
        <v>20674.257334607988</v>
      </c>
      <c r="CO118" s="21">
        <f t="shared" si="959"/>
        <v>21479.465291376651</v>
      </c>
      <c r="CP118" s="21">
        <f t="shared" si="959"/>
        <v>23159.576888845819</v>
      </c>
      <c r="CQ118" s="21">
        <f t="shared" si="959"/>
        <v>26090.554624842367</v>
      </c>
      <c r="CR118" s="21">
        <f t="shared" si="959"/>
        <v>29149.770572316709</v>
      </c>
      <c r="CS118" s="21">
        <f t="shared" si="959"/>
        <v>32123.388264208588</v>
      </c>
      <c r="CT118" s="21">
        <f t="shared" si="959"/>
        <v>35335.789226569592</v>
      </c>
      <c r="CU118" s="21">
        <f t="shared" si="959"/>
        <v>38417.956873686438</v>
      </c>
      <c r="CV118" s="21">
        <f t="shared" si="959"/>
        <v>41749.665218729744</v>
      </c>
      <c r="CW118" s="21">
        <f t="shared" si="959"/>
        <v>45123.56084649494</v>
      </c>
      <c r="CX118" s="21">
        <f t="shared" si="959"/>
        <v>48727.715951757113</v>
      </c>
      <c r="CY118" s="21">
        <f t="shared" si="959"/>
        <v>52145.019127132822</v>
      </c>
      <c r="CZ118" s="21">
        <f t="shared" si="959"/>
        <v>55891.424799766326</v>
      </c>
      <c r="DA118" s="21">
        <f t="shared" si="959"/>
        <v>59709.99709693469</v>
      </c>
      <c r="DB118" s="21">
        <f t="shared" si="959"/>
        <v>63788.852179422625</v>
      </c>
      <c r="DE118" s="22"/>
      <c r="DF118" s="162">
        <v>19562.694700000004</v>
      </c>
    </row>
    <row r="119" spans="1:110" s="162" customFormat="1" x14ac:dyDescent="0.2">
      <c r="A119" s="49" t="s">
        <v>341</v>
      </c>
      <c r="B119" s="162" t="e">
        <f t="shared" ref="B119:AE119" si="960">+B90*B76</f>
        <v>#DIV/0!</v>
      </c>
      <c r="C119" s="162" t="e">
        <f t="shared" si="960"/>
        <v>#DIV/0!</v>
      </c>
      <c r="D119" s="162" t="e">
        <f t="shared" si="960"/>
        <v>#DIV/0!</v>
      </c>
      <c r="E119" s="162" t="e">
        <f t="shared" ca="1" si="960"/>
        <v>#DIV/0!</v>
      </c>
      <c r="F119" s="162" t="e">
        <f t="shared" ca="1" si="960"/>
        <v>#DIV/0!</v>
      </c>
      <c r="G119" s="162" t="e">
        <f t="shared" ca="1" si="960"/>
        <v>#DIV/0!</v>
      </c>
      <c r="H119" s="162" t="e">
        <f t="shared" ca="1" si="960"/>
        <v>#DIV/0!</v>
      </c>
      <c r="I119" s="162" t="e">
        <f t="shared" ca="1" si="960"/>
        <v>#DIV/0!</v>
      </c>
      <c r="J119" s="162" t="e">
        <f t="shared" ca="1" si="960"/>
        <v>#DIV/0!</v>
      </c>
      <c r="K119" s="162" t="e">
        <f t="shared" ca="1" si="960"/>
        <v>#DIV/0!</v>
      </c>
      <c r="L119" s="162" t="e">
        <f t="shared" ca="1" si="960"/>
        <v>#DIV/0!</v>
      </c>
      <c r="M119" s="162" t="e">
        <f t="shared" ca="1" si="960"/>
        <v>#DIV/0!</v>
      </c>
      <c r="N119" s="162" t="e">
        <f t="shared" ca="1" si="960"/>
        <v>#DIV/0!</v>
      </c>
      <c r="O119" s="162" t="e">
        <f t="shared" ca="1" si="960"/>
        <v>#DIV/0!</v>
      </c>
      <c r="P119" s="162" t="e">
        <f t="shared" ca="1" si="960"/>
        <v>#DIV/0!</v>
      </c>
      <c r="Q119" s="162" t="e">
        <f t="shared" ca="1" si="960"/>
        <v>#DIV/0!</v>
      </c>
      <c r="R119" s="162" t="e">
        <f t="shared" ca="1" si="960"/>
        <v>#DIV/0!</v>
      </c>
      <c r="S119" s="162" t="e">
        <f t="shared" ca="1" si="960"/>
        <v>#DIV/0!</v>
      </c>
      <c r="T119" s="162" t="e">
        <f t="shared" ca="1" si="960"/>
        <v>#DIV/0!</v>
      </c>
      <c r="U119" s="162" t="e">
        <f t="shared" ca="1" si="960"/>
        <v>#DIV/0!</v>
      </c>
      <c r="V119" s="162" t="e">
        <f t="shared" ca="1" si="960"/>
        <v>#DIV/0!</v>
      </c>
      <c r="W119" s="162" t="e">
        <f t="shared" ca="1" si="960"/>
        <v>#DIV/0!</v>
      </c>
      <c r="X119" s="162" t="e">
        <f t="shared" ca="1" si="960"/>
        <v>#DIV/0!</v>
      </c>
      <c r="Y119" s="162" t="e">
        <f t="shared" ca="1" si="960"/>
        <v>#DIV/0!</v>
      </c>
      <c r="Z119" s="162" t="e">
        <f t="shared" ca="1" si="960"/>
        <v>#DIV/0!</v>
      </c>
      <c r="AA119" s="162" t="e">
        <f t="shared" ref="AA119" ca="1" si="961">+AA90*AA76</f>
        <v>#DIV/0!</v>
      </c>
      <c r="AB119" s="21" t="e">
        <f t="shared" ca="1" si="960"/>
        <v>#DIV/0!</v>
      </c>
      <c r="AC119" s="21" t="e">
        <f t="shared" ca="1" si="960"/>
        <v>#DIV/0!</v>
      </c>
      <c r="AD119" s="21" t="e">
        <f t="shared" ca="1" si="960"/>
        <v>#DIV/0!</v>
      </c>
      <c r="AE119" s="21" t="e">
        <f t="shared" ca="1" si="960"/>
        <v>#DIV/0!</v>
      </c>
      <c r="AL119" s="162">
        <f t="shared" ref="AL119:BQ119" si="962">+AL90*AL76</f>
        <v>0</v>
      </c>
      <c r="AM119" s="162">
        <f t="shared" si="962"/>
        <v>0</v>
      </c>
      <c r="AN119" s="162">
        <f t="shared" si="962"/>
        <v>0</v>
      </c>
      <c r="AO119" s="162">
        <f t="shared" si="962"/>
        <v>0</v>
      </c>
      <c r="AP119" s="162">
        <f t="shared" si="962"/>
        <v>0</v>
      </c>
      <c r="AQ119" s="162">
        <f t="shared" si="962"/>
        <v>0</v>
      </c>
      <c r="AR119" s="162">
        <f t="shared" si="962"/>
        <v>0</v>
      </c>
      <c r="AS119" s="162">
        <f t="shared" si="962"/>
        <v>0</v>
      </c>
      <c r="AT119" s="162">
        <f t="shared" si="962"/>
        <v>0</v>
      </c>
      <c r="AU119" s="162">
        <f t="shared" si="962"/>
        <v>0</v>
      </c>
      <c r="AV119" s="162">
        <f t="shared" si="962"/>
        <v>0</v>
      </c>
      <c r="AW119" s="162">
        <f t="shared" si="962"/>
        <v>0</v>
      </c>
      <c r="AX119" s="162">
        <f t="shared" si="962"/>
        <v>0</v>
      </c>
      <c r="AY119" s="162">
        <f t="shared" si="962"/>
        <v>0</v>
      </c>
      <c r="AZ119" s="162">
        <f t="shared" si="962"/>
        <v>0</v>
      </c>
      <c r="BA119" s="162">
        <f t="shared" si="962"/>
        <v>0</v>
      </c>
      <c r="BB119" s="162">
        <f t="shared" si="962"/>
        <v>0</v>
      </c>
      <c r="BC119" s="162">
        <f t="shared" si="962"/>
        <v>0</v>
      </c>
      <c r="BD119" s="162">
        <f t="shared" si="962"/>
        <v>0</v>
      </c>
      <c r="BE119" s="162">
        <f t="shared" si="962"/>
        <v>0</v>
      </c>
      <c r="BF119" s="162">
        <f t="shared" si="962"/>
        <v>0</v>
      </c>
      <c r="BG119" s="162">
        <f t="shared" si="962"/>
        <v>0</v>
      </c>
      <c r="BH119" s="162">
        <f t="shared" si="962"/>
        <v>0</v>
      </c>
      <c r="BI119" s="162">
        <f t="shared" si="962"/>
        <v>0</v>
      </c>
      <c r="BJ119" s="162">
        <f t="shared" si="962"/>
        <v>0</v>
      </c>
      <c r="BK119" s="162">
        <f t="shared" si="962"/>
        <v>0</v>
      </c>
      <c r="BL119" s="162">
        <f t="shared" si="962"/>
        <v>0</v>
      </c>
      <c r="BM119" s="162">
        <f t="shared" si="962"/>
        <v>0</v>
      </c>
      <c r="BN119" s="162">
        <f t="shared" si="962"/>
        <v>0</v>
      </c>
      <c r="BO119" s="162">
        <f t="shared" si="962"/>
        <v>0</v>
      </c>
      <c r="BP119" s="162">
        <f t="shared" si="962"/>
        <v>0</v>
      </c>
      <c r="BQ119" s="162">
        <f t="shared" si="962"/>
        <v>0</v>
      </c>
      <c r="BR119" s="162">
        <f t="shared" ref="BR119:CJ119" si="963">+BR90*BR76</f>
        <v>0</v>
      </c>
      <c r="BS119" s="162">
        <f t="shared" si="963"/>
        <v>2660.3900000000003</v>
      </c>
      <c r="BT119" s="162">
        <f t="shared" si="963"/>
        <v>4192.0826999999999</v>
      </c>
      <c r="BU119" s="162">
        <f t="shared" si="963"/>
        <v>4895.9526999999998</v>
      </c>
      <c r="BV119" s="162">
        <f t="shared" si="963"/>
        <v>4402.17</v>
      </c>
      <c r="BW119" s="162">
        <f t="shared" si="963"/>
        <v>4829.2640000000001</v>
      </c>
      <c r="BX119" s="162">
        <f t="shared" si="963"/>
        <v>5387.7073000000009</v>
      </c>
      <c r="BY119" s="162">
        <f t="shared" si="963"/>
        <v>6483.5971</v>
      </c>
      <c r="BZ119" s="162">
        <f t="shared" si="963"/>
        <v>6440.7684000000008</v>
      </c>
      <c r="CA119" s="162">
        <f t="shared" si="963"/>
        <v>7160.5053000000007</v>
      </c>
      <c r="CB119" s="162">
        <f t="shared" si="963"/>
        <v>9349.4217000000008</v>
      </c>
      <c r="CC119" s="162">
        <f t="shared" si="963"/>
        <v>10046.372300000001</v>
      </c>
      <c r="CD119" s="162">
        <f t="shared" si="963"/>
        <v>9023.9713000000011</v>
      </c>
      <c r="CE119" s="162">
        <f t="shared" si="963"/>
        <v>9770.67</v>
      </c>
      <c r="CF119" s="162">
        <f t="shared" si="963"/>
        <v>11572.338600000001</v>
      </c>
      <c r="CG119" s="162">
        <f t="shared" si="963"/>
        <v>11001.607399999999</v>
      </c>
      <c r="CH119" s="162">
        <f t="shared" si="963"/>
        <v>9210.1985999999997</v>
      </c>
      <c r="CI119" s="162">
        <f t="shared" si="963"/>
        <v>8828.2000000000007</v>
      </c>
      <c r="CJ119" s="162">
        <f t="shared" si="963"/>
        <v>13202.6924</v>
      </c>
      <c r="CK119" s="162">
        <f t="shared" ref="CK119:CL119" si="964">+CK90*CK76</f>
        <v>15074.986600000002</v>
      </c>
      <c r="CL119" s="162">
        <f t="shared" si="964"/>
        <v>14916.436900000001</v>
      </c>
      <c r="CM119" s="21">
        <f t="shared" ref="CM119:DB119" si="965">+CM90*CM76</f>
        <v>14935.873716407046</v>
      </c>
      <c r="CN119" s="21">
        <f t="shared" si="965"/>
        <v>15763.996714933255</v>
      </c>
      <c r="CO119" s="21">
        <f t="shared" si="965"/>
        <v>16377.962932916389</v>
      </c>
      <c r="CP119" s="21">
        <f t="shared" si="965"/>
        <v>17659.037908165432</v>
      </c>
      <c r="CQ119" s="21">
        <f t="shared" si="965"/>
        <v>19893.890781184884</v>
      </c>
      <c r="CR119" s="21">
        <f t="shared" si="965"/>
        <v>22226.5245181912</v>
      </c>
      <c r="CS119" s="21">
        <f t="shared" si="965"/>
        <v>24493.890100798228</v>
      </c>
      <c r="CT119" s="21">
        <f t="shared" si="965"/>
        <v>26943.326489158222</v>
      </c>
      <c r="CU119" s="21">
        <f t="shared" si="965"/>
        <v>29293.460758924233</v>
      </c>
      <c r="CV119" s="21">
        <f t="shared" si="965"/>
        <v>31833.868308096986</v>
      </c>
      <c r="CW119" s="21">
        <f t="shared" si="965"/>
        <v>34406.443406288621</v>
      </c>
      <c r="CX119" s="21">
        <f t="shared" si="965"/>
        <v>37154.589969423199</v>
      </c>
      <c r="CY119" s="21">
        <f t="shared" si="965"/>
        <v>39760.263061262718</v>
      </c>
      <c r="CZ119" s="21">
        <f t="shared" si="965"/>
        <v>42616.874825368999</v>
      </c>
      <c r="DA119" s="21">
        <f t="shared" si="965"/>
        <v>45528.513206087577</v>
      </c>
      <c r="DB119" s="21">
        <f t="shared" si="965"/>
        <v>48638.61564316009</v>
      </c>
      <c r="DE119" s="22"/>
      <c r="DF119" s="162">
        <v>14916.436900000001</v>
      </c>
    </row>
    <row r="120" spans="1:110" s="162" customFormat="1" x14ac:dyDescent="0.2">
      <c r="A120" s="49" t="s">
        <v>80</v>
      </c>
      <c r="B120" s="162">
        <f>+B179</f>
        <v>0</v>
      </c>
      <c r="C120" s="162">
        <f t="shared" ref="C120:W120" si="966">+C179</f>
        <v>0</v>
      </c>
      <c r="D120" s="162">
        <f t="shared" si="966"/>
        <v>0</v>
      </c>
      <c r="E120" s="162">
        <f t="shared" si="966"/>
        <v>0</v>
      </c>
      <c r="F120" s="162">
        <f t="shared" si="966"/>
        <v>44.602998300000003</v>
      </c>
      <c r="G120" s="162">
        <f t="shared" si="966"/>
        <v>58.128928899999998</v>
      </c>
      <c r="H120" s="162">
        <f t="shared" si="966"/>
        <v>76.548727799999995</v>
      </c>
      <c r="I120" s="162">
        <f t="shared" si="966"/>
        <v>134.50618510000001</v>
      </c>
      <c r="J120" s="162">
        <f t="shared" si="966"/>
        <v>192.37412140000001</v>
      </c>
      <c r="K120" s="162">
        <f t="shared" si="966"/>
        <v>192.68589550000002</v>
      </c>
      <c r="L120" s="162">
        <f t="shared" si="966"/>
        <v>263.69035150000002</v>
      </c>
      <c r="M120" s="162">
        <f t="shared" si="966"/>
        <v>472.41065379999998</v>
      </c>
      <c r="N120" s="162">
        <f t="shared" si="966"/>
        <v>472.91399999999999</v>
      </c>
      <c r="O120" s="162">
        <f t="shared" si="966"/>
        <v>516.64800000000002</v>
      </c>
      <c r="P120" s="162">
        <f t="shared" si="966"/>
        <v>532.36199999999997</v>
      </c>
      <c r="Q120" s="162">
        <f t="shared" si="966"/>
        <v>600.24800000000005</v>
      </c>
      <c r="R120" s="162">
        <f t="shared" si="966"/>
        <v>737.28700000000003</v>
      </c>
      <c r="S120" s="162">
        <f t="shared" si="966"/>
        <v>798.00999999999988</v>
      </c>
      <c r="T120" s="162">
        <f t="shared" si="966"/>
        <v>958.68200000000002</v>
      </c>
      <c r="U120" s="162">
        <f t="shared" si="966"/>
        <v>986.79000000000008</v>
      </c>
      <c r="V120" s="162">
        <f t="shared" si="966"/>
        <v>656.88</v>
      </c>
      <c r="W120" s="162">
        <f t="shared" si="966"/>
        <v>672.12</v>
      </c>
      <c r="X120" s="162">
        <f t="shared" ref="X120:Y120" si="967">+X179</f>
        <v>1105.3800000000001</v>
      </c>
      <c r="Y120" s="162">
        <f t="shared" si="967"/>
        <v>1463.4099999999999</v>
      </c>
      <c r="Z120" s="162">
        <f t="shared" ref="Z120:AA120" si="968">+Z179</f>
        <v>1931.0300000000002</v>
      </c>
      <c r="AA120" s="162">
        <f t="shared" si="968"/>
        <v>3161.85</v>
      </c>
      <c r="AB120" s="21">
        <f t="shared" ref="AA120:AD120" si="969">+AB179</f>
        <v>2477.4113967187409</v>
      </c>
      <c r="AC120" s="21">
        <f t="shared" si="969"/>
        <v>1680.2115663318668</v>
      </c>
      <c r="AD120" s="21">
        <f t="shared" si="969"/>
        <v>746.20929090704021</v>
      </c>
      <c r="AE120" s="21">
        <f t="shared" ref="AE120" si="970">+AE179</f>
        <v>-354.5187897572896</v>
      </c>
      <c r="AL120" s="162">
        <f t="shared" ref="AL120:AM120" si="971">+AL179</f>
        <v>0</v>
      </c>
      <c r="AM120" s="162" t="e">
        <f t="shared" si="971"/>
        <v>#DIV/0!</v>
      </c>
      <c r="AN120" s="162">
        <f t="shared" ref="AN120:AO120" si="972">+AN179</f>
        <v>0</v>
      </c>
      <c r="AO120" s="162" t="e">
        <f t="shared" si="972"/>
        <v>#DIV/0!</v>
      </c>
      <c r="AP120" s="162">
        <f t="shared" ref="AP120:CD120" si="973">+AP179</f>
        <v>0</v>
      </c>
      <c r="AQ120" s="162" t="e">
        <f t="shared" si="973"/>
        <v>#DIV/0!</v>
      </c>
      <c r="AR120" s="162">
        <f t="shared" si="973"/>
        <v>0</v>
      </c>
      <c r="AS120" s="162" t="e">
        <f t="shared" si="973"/>
        <v>#DIV/0!</v>
      </c>
      <c r="AT120" s="162">
        <f t="shared" si="973"/>
        <v>0</v>
      </c>
      <c r="AU120" s="162" t="e">
        <f t="shared" si="973"/>
        <v>#DIV/0!</v>
      </c>
      <c r="AV120" s="162">
        <f t="shared" si="973"/>
        <v>0</v>
      </c>
      <c r="AW120" s="162" t="e">
        <f t="shared" si="973"/>
        <v>#DIV/0!</v>
      </c>
      <c r="AX120" s="162">
        <f t="shared" si="973"/>
        <v>0</v>
      </c>
      <c r="AY120" s="162" t="e">
        <f t="shared" si="973"/>
        <v>#DIV/0!</v>
      </c>
      <c r="AZ120" s="162">
        <f t="shared" si="973"/>
        <v>0</v>
      </c>
      <c r="BA120" s="162" t="e">
        <f t="shared" si="973"/>
        <v>#DIV/0!</v>
      </c>
      <c r="BB120" s="162">
        <f t="shared" si="973"/>
        <v>0</v>
      </c>
      <c r="BC120" s="162" t="e">
        <f t="shared" si="973"/>
        <v>#DIV/0!</v>
      </c>
      <c r="BD120" s="162">
        <f t="shared" si="973"/>
        <v>0</v>
      </c>
      <c r="BE120" s="162" t="e">
        <f t="shared" si="973"/>
        <v>#DIV/0!</v>
      </c>
      <c r="BF120" s="162">
        <f t="shared" si="973"/>
        <v>0</v>
      </c>
      <c r="BG120" s="162" t="e">
        <f t="shared" si="973"/>
        <v>#DIV/0!</v>
      </c>
      <c r="BH120" s="162">
        <f t="shared" si="973"/>
        <v>0</v>
      </c>
      <c r="BI120" s="162" t="e">
        <f t="shared" si="973"/>
        <v>#DIV/0!</v>
      </c>
      <c r="BJ120" s="162">
        <f t="shared" si="973"/>
        <v>0</v>
      </c>
      <c r="BK120" s="162" t="e">
        <f t="shared" si="973"/>
        <v>#DIV/0!</v>
      </c>
      <c r="BL120" s="162">
        <f t="shared" si="973"/>
        <v>0</v>
      </c>
      <c r="BM120" s="162" t="e">
        <f t="shared" si="973"/>
        <v>#DIV/0!</v>
      </c>
      <c r="BN120" s="162">
        <f t="shared" si="973"/>
        <v>840.91</v>
      </c>
      <c r="BO120" s="162">
        <f t="shared" si="973"/>
        <v>735.0704102748125</v>
      </c>
      <c r="BP120" s="162">
        <f t="shared" si="973"/>
        <v>0</v>
      </c>
      <c r="BQ120" s="162">
        <f t="shared" si="973"/>
        <v>-43.479999999999976</v>
      </c>
      <c r="BR120" s="162">
        <f t="shared" si="973"/>
        <v>656.88</v>
      </c>
      <c r="BS120" s="162">
        <f t="shared" si="973"/>
        <v>577.29751377615582</v>
      </c>
      <c r="BT120" s="162">
        <f t="shared" si="973"/>
        <v>684.22</v>
      </c>
      <c r="BU120" s="162">
        <f t="shared" si="973"/>
        <v>635.47871736046659</v>
      </c>
      <c r="BV120" s="162">
        <f t="shared" si="973"/>
        <v>672.11999999999989</v>
      </c>
      <c r="BW120" s="162">
        <f t="shared" si="973"/>
        <v>629.69508124324238</v>
      </c>
      <c r="BX120" s="162">
        <f t="shared" si="973"/>
        <v>680.82</v>
      </c>
      <c r="BY120" s="162">
        <f t="shared" si="973"/>
        <v>610.00694140987355</v>
      </c>
      <c r="BZ120" s="162">
        <f t="shared" si="973"/>
        <v>1105.3800000000001</v>
      </c>
      <c r="CA120" s="162">
        <f t="shared" si="973"/>
        <v>1069.4296131052563</v>
      </c>
      <c r="CB120" s="162">
        <f t="shared" si="973"/>
        <v>1336.21</v>
      </c>
      <c r="CC120" s="162">
        <f t="shared" si="973"/>
        <v>1228.563202042305</v>
      </c>
      <c r="CD120" s="162">
        <f t="shared" si="973"/>
        <v>1463.4099999999999</v>
      </c>
      <c r="CE120" s="162">
        <f t="shared" ref="CE120:CF120" si="974">+CE179</f>
        <v>1444.1016459189025</v>
      </c>
      <c r="CF120" s="162">
        <f t="shared" si="974"/>
        <v>1193.27</v>
      </c>
      <c r="CG120" s="162">
        <f t="shared" ref="CG120:CH120" si="975">+CG179</f>
        <v>1488.3029371885164</v>
      </c>
      <c r="CH120" s="162">
        <f t="shared" si="975"/>
        <v>1931.0300000000002</v>
      </c>
      <c r="CI120" s="162">
        <f t="shared" ref="CI120:CJ120" si="976">+CI179</f>
        <v>1774.8094740603124</v>
      </c>
      <c r="CJ120" s="162">
        <f t="shared" si="976"/>
        <v>2862.13</v>
      </c>
      <c r="CK120" s="162">
        <f t="shared" ref="CK120:CL120" si="977">+CK179</f>
        <v>2691.3371612068404</v>
      </c>
      <c r="CL120" s="162">
        <f t="shared" si="977"/>
        <v>3161.85</v>
      </c>
      <c r="CM120" s="21">
        <f t="shared" ref="CM120:DB120" si="978">+CM179</f>
        <v>2838.5922584980535</v>
      </c>
      <c r="CN120" s="21">
        <f t="shared" si="978"/>
        <v>2799.0194686625305</v>
      </c>
      <c r="CO120" s="21">
        <f t="shared" si="978"/>
        <v>2592.2626026063153</v>
      </c>
      <c r="CP120" s="21">
        <f t="shared" si="978"/>
        <v>2477.4113967187409</v>
      </c>
      <c r="CQ120" s="21">
        <f t="shared" si="978"/>
        <v>2096.230121046663</v>
      </c>
      <c r="CR120" s="21">
        <f t="shared" si="978"/>
        <v>2051.8606325796322</v>
      </c>
      <c r="CS120" s="21">
        <f t="shared" si="978"/>
        <v>1812.8433092916537</v>
      </c>
      <c r="CT120" s="21">
        <f t="shared" si="978"/>
        <v>1680.2115663318668</v>
      </c>
      <c r="CU120" s="21">
        <f t="shared" si="978"/>
        <v>1232.1036389000883</v>
      </c>
      <c r="CV120" s="21">
        <f t="shared" si="978"/>
        <v>1181.7275350418995</v>
      </c>
      <c r="CW120" s="21">
        <f t="shared" si="978"/>
        <v>901.60616218656742</v>
      </c>
      <c r="CX120" s="21">
        <f t="shared" si="978"/>
        <v>746.20929090704021</v>
      </c>
      <c r="CY120" s="21">
        <f t="shared" si="978"/>
        <v>218.21708607804612</v>
      </c>
      <c r="CZ120" s="21">
        <f t="shared" si="978"/>
        <v>159.33228862098167</v>
      </c>
      <c r="DA120" s="21">
        <f t="shared" si="978"/>
        <v>-170.98100146529487</v>
      </c>
      <c r="DB120" s="21">
        <f t="shared" si="978"/>
        <v>-354.5187897572896</v>
      </c>
      <c r="DE120" s="22"/>
      <c r="DF120" s="162">
        <v>2515.2847867862679</v>
      </c>
    </row>
    <row r="121" spans="1:110" s="162" customFormat="1" x14ac:dyDescent="0.2">
      <c r="A121" s="49" t="s">
        <v>342</v>
      </c>
      <c r="B121" s="162" t="e">
        <f>+B118+B120</f>
        <v>#DIV/0!</v>
      </c>
      <c r="C121" s="162" t="e">
        <f t="shared" ref="C121:W121" si="979">+C118+C120</f>
        <v>#DIV/0!</v>
      </c>
      <c r="D121" s="162" t="e">
        <f t="shared" si="979"/>
        <v>#DIV/0!</v>
      </c>
      <c r="E121" s="162" t="e">
        <f t="shared" ca="1" si="979"/>
        <v>#DIV/0!</v>
      </c>
      <c r="F121" s="162" t="e">
        <f t="shared" ca="1" si="979"/>
        <v>#DIV/0!</v>
      </c>
      <c r="G121" s="162" t="e">
        <f t="shared" ca="1" si="979"/>
        <v>#DIV/0!</v>
      </c>
      <c r="H121" s="162" t="e">
        <f t="shared" ca="1" si="979"/>
        <v>#DIV/0!</v>
      </c>
      <c r="I121" s="162" t="e">
        <f t="shared" ca="1" si="979"/>
        <v>#DIV/0!</v>
      </c>
      <c r="J121" s="162" t="e">
        <f t="shared" ca="1" si="979"/>
        <v>#DIV/0!</v>
      </c>
      <c r="K121" s="162" t="e">
        <f t="shared" ca="1" si="979"/>
        <v>#DIV/0!</v>
      </c>
      <c r="L121" s="162" t="e">
        <f t="shared" ca="1" si="979"/>
        <v>#DIV/0!</v>
      </c>
      <c r="M121" s="162" t="e">
        <f t="shared" ca="1" si="979"/>
        <v>#DIV/0!</v>
      </c>
      <c r="N121" s="162" t="e">
        <f t="shared" ca="1" si="979"/>
        <v>#DIV/0!</v>
      </c>
      <c r="O121" s="162" t="e">
        <f t="shared" ca="1" si="979"/>
        <v>#DIV/0!</v>
      </c>
      <c r="P121" s="162" t="e">
        <f t="shared" ca="1" si="979"/>
        <v>#DIV/0!</v>
      </c>
      <c r="Q121" s="162" t="e">
        <f t="shared" ca="1" si="979"/>
        <v>#DIV/0!</v>
      </c>
      <c r="R121" s="162" t="e">
        <f t="shared" ca="1" si="979"/>
        <v>#DIV/0!</v>
      </c>
      <c r="S121" s="162" t="e">
        <f t="shared" ca="1" si="979"/>
        <v>#DIV/0!</v>
      </c>
      <c r="T121" s="162" t="e">
        <f t="shared" ca="1" si="979"/>
        <v>#DIV/0!</v>
      </c>
      <c r="U121" s="162" t="e">
        <f t="shared" ca="1" si="979"/>
        <v>#DIV/0!</v>
      </c>
      <c r="V121" s="162" t="e">
        <f t="shared" ca="1" si="979"/>
        <v>#DIV/0!</v>
      </c>
      <c r="W121" s="162" t="e">
        <f t="shared" ca="1" si="979"/>
        <v>#DIV/0!</v>
      </c>
      <c r="X121" s="162" t="e">
        <f t="shared" ref="X121:Y121" ca="1" si="980">+X118+X120</f>
        <v>#DIV/0!</v>
      </c>
      <c r="Y121" s="162" t="e">
        <f t="shared" ca="1" si="980"/>
        <v>#DIV/0!</v>
      </c>
      <c r="Z121" s="162" t="e">
        <f t="shared" ref="Z121:AA121" ca="1" si="981">+Z118+Z120</f>
        <v>#DIV/0!</v>
      </c>
      <c r="AA121" s="162" t="e">
        <f t="shared" ca="1" si="981"/>
        <v>#DIV/0!</v>
      </c>
      <c r="AB121" s="21" t="e">
        <f t="shared" ref="AA121:AD121" ca="1" si="982">+AB118+AB120</f>
        <v>#DIV/0!</v>
      </c>
      <c r="AC121" s="21" t="e">
        <f t="shared" ca="1" si="982"/>
        <v>#DIV/0!</v>
      </c>
      <c r="AD121" s="21" t="e">
        <f t="shared" ca="1" si="982"/>
        <v>#DIV/0!</v>
      </c>
      <c r="AE121" s="21" t="e">
        <f t="shared" ref="AE121" ca="1" si="983">+AE118+AE120</f>
        <v>#DIV/0!</v>
      </c>
      <c r="AL121" s="162">
        <f t="shared" ref="AL121" si="984">+AL118+AL120</f>
        <v>0</v>
      </c>
      <c r="AM121" s="162" t="e">
        <f t="shared" ref="AM121:AO121" si="985">+AM118+AM120</f>
        <v>#DIV/0!</v>
      </c>
      <c r="AN121" s="162">
        <f t="shared" si="985"/>
        <v>0</v>
      </c>
      <c r="AO121" s="162" t="e">
        <f t="shared" si="985"/>
        <v>#DIV/0!</v>
      </c>
      <c r="AP121" s="162">
        <f t="shared" ref="AP121:CD121" si="986">+AP118+AP120</f>
        <v>0</v>
      </c>
      <c r="AQ121" s="162" t="e">
        <f t="shared" si="986"/>
        <v>#DIV/0!</v>
      </c>
      <c r="AR121" s="162">
        <f t="shared" si="986"/>
        <v>0</v>
      </c>
      <c r="AS121" s="162" t="e">
        <f t="shared" si="986"/>
        <v>#DIV/0!</v>
      </c>
      <c r="AT121" s="162">
        <f t="shared" si="986"/>
        <v>0</v>
      </c>
      <c r="AU121" s="162" t="e">
        <f t="shared" si="986"/>
        <v>#DIV/0!</v>
      </c>
      <c r="AV121" s="162">
        <f t="shared" si="986"/>
        <v>0</v>
      </c>
      <c r="AW121" s="162" t="e">
        <f t="shared" si="986"/>
        <v>#DIV/0!</v>
      </c>
      <c r="AX121" s="162">
        <f t="shared" si="986"/>
        <v>0</v>
      </c>
      <c r="AY121" s="162" t="e">
        <f t="shared" si="986"/>
        <v>#DIV/0!</v>
      </c>
      <c r="AZ121" s="162">
        <f t="shared" si="986"/>
        <v>0</v>
      </c>
      <c r="BA121" s="162" t="e">
        <f t="shared" si="986"/>
        <v>#DIV/0!</v>
      </c>
      <c r="BB121" s="162">
        <f t="shared" si="986"/>
        <v>0</v>
      </c>
      <c r="BC121" s="162" t="e">
        <f t="shared" si="986"/>
        <v>#DIV/0!</v>
      </c>
      <c r="BD121" s="162">
        <f t="shared" si="986"/>
        <v>0</v>
      </c>
      <c r="BE121" s="162" t="e">
        <f t="shared" si="986"/>
        <v>#DIV/0!</v>
      </c>
      <c r="BF121" s="162">
        <f t="shared" si="986"/>
        <v>0</v>
      </c>
      <c r="BG121" s="162" t="e">
        <f t="shared" si="986"/>
        <v>#DIV/0!</v>
      </c>
      <c r="BH121" s="162">
        <f t="shared" si="986"/>
        <v>0</v>
      </c>
      <c r="BI121" s="162" t="e">
        <f t="shared" si="986"/>
        <v>#DIV/0!</v>
      </c>
      <c r="BJ121" s="162">
        <f t="shared" si="986"/>
        <v>0</v>
      </c>
      <c r="BK121" s="162" t="e">
        <f t="shared" si="986"/>
        <v>#DIV/0!</v>
      </c>
      <c r="BL121" s="162">
        <f t="shared" si="986"/>
        <v>0</v>
      </c>
      <c r="BM121" s="162" t="e">
        <f t="shared" si="986"/>
        <v>#DIV/0!</v>
      </c>
      <c r="BN121" s="162">
        <f t="shared" si="986"/>
        <v>840.91</v>
      </c>
      <c r="BO121" s="162">
        <f t="shared" si="986"/>
        <v>735.0704102748125</v>
      </c>
      <c r="BP121" s="162">
        <f t="shared" si="986"/>
        <v>0</v>
      </c>
      <c r="BQ121" s="162">
        <f t="shared" si="986"/>
        <v>-43.479999999999976</v>
      </c>
      <c r="BR121" s="162">
        <f t="shared" si="986"/>
        <v>4307.46</v>
      </c>
      <c r="BS121" s="162">
        <f t="shared" si="986"/>
        <v>4997.1239137761568</v>
      </c>
      <c r="BT121" s="162">
        <f t="shared" si="986"/>
        <v>6034.4671000000008</v>
      </c>
      <c r="BU121" s="162">
        <f t="shared" si="986"/>
        <v>7251.3795173604667</v>
      </c>
      <c r="BV121" s="162">
        <f t="shared" si="986"/>
        <v>6508.7532000000001</v>
      </c>
      <c r="BW121" s="162">
        <f t="shared" si="986"/>
        <v>6585.0317812432422</v>
      </c>
      <c r="BX121" s="162">
        <f t="shared" si="986"/>
        <v>7850.9885999999997</v>
      </c>
      <c r="BY121" s="162">
        <f t="shared" si="986"/>
        <v>9461.9476414098735</v>
      </c>
      <c r="BZ121" s="162">
        <f t="shared" si="986"/>
        <v>9937.1589999999997</v>
      </c>
      <c r="CA121" s="162">
        <f t="shared" si="986"/>
        <v>10945.322213105257</v>
      </c>
      <c r="CB121" s="162">
        <f t="shared" si="986"/>
        <v>13373.580000000002</v>
      </c>
      <c r="CC121" s="162">
        <f t="shared" si="986"/>
        <v>14375.423202042306</v>
      </c>
      <c r="CD121" s="162">
        <f t="shared" si="986"/>
        <v>14439.193800000001</v>
      </c>
      <c r="CE121" s="162">
        <f t="shared" ref="CE121:CF121" si="987">+CE118+CE120</f>
        <v>15010.420445918904</v>
      </c>
      <c r="CF121" s="162">
        <f t="shared" si="987"/>
        <v>18150.929899999999</v>
      </c>
      <c r="CG121" s="162">
        <f t="shared" ref="CG121:CH121" si="988">+CG118+CG120</f>
        <v>17355.083637188516</v>
      </c>
      <c r="CH121" s="162">
        <f t="shared" si="988"/>
        <v>15042.100000000002</v>
      </c>
      <c r="CI121" s="162">
        <f t="shared" ref="CI121:CJ121" si="989">+CI118+CI120</f>
        <v>15704.516074060313</v>
      </c>
      <c r="CJ121" s="162">
        <f t="shared" si="989"/>
        <v>20339.460700000003</v>
      </c>
      <c r="CK121" s="162">
        <f t="shared" ref="CK121:CL121" si="990">+CK118+CK120</f>
        <v>21372.046961206841</v>
      </c>
      <c r="CL121" s="162">
        <f t="shared" si="990"/>
        <v>22724.544700000002</v>
      </c>
      <c r="CM121" s="21">
        <f t="shared" ref="CM121:DB121" si="991">+CM118+CM120</f>
        <v>22426.778066586408</v>
      </c>
      <c r="CN121" s="21">
        <f t="shared" si="991"/>
        <v>23473.276803270517</v>
      </c>
      <c r="CO121" s="21">
        <f t="shared" si="991"/>
        <v>24071.727893982967</v>
      </c>
      <c r="CP121" s="21">
        <f t="shared" si="991"/>
        <v>25636.988285564559</v>
      </c>
      <c r="CQ121" s="21">
        <f t="shared" si="991"/>
        <v>28186.784745889032</v>
      </c>
      <c r="CR121" s="21">
        <f t="shared" si="991"/>
        <v>31201.631204896341</v>
      </c>
      <c r="CS121" s="21">
        <f t="shared" si="991"/>
        <v>33936.231573500241</v>
      </c>
      <c r="CT121" s="21">
        <f t="shared" si="991"/>
        <v>37016.000792901461</v>
      </c>
      <c r="CU121" s="21">
        <f t="shared" si="991"/>
        <v>39650.060512586526</v>
      </c>
      <c r="CV121" s="21">
        <f t="shared" si="991"/>
        <v>42931.392753771644</v>
      </c>
      <c r="CW121" s="21">
        <f t="shared" si="991"/>
        <v>46025.167008681507</v>
      </c>
      <c r="CX121" s="21">
        <f t="shared" si="991"/>
        <v>49473.925242664154</v>
      </c>
      <c r="CY121" s="21">
        <f t="shared" si="991"/>
        <v>52363.236213210868</v>
      </c>
      <c r="CZ121" s="21">
        <f t="shared" si="991"/>
        <v>56050.757088387305</v>
      </c>
      <c r="DA121" s="21">
        <f t="shared" si="991"/>
        <v>59539.016095469393</v>
      </c>
      <c r="DB121" s="21">
        <f t="shared" si="991"/>
        <v>63434.333389665335</v>
      </c>
      <c r="DE121" s="22"/>
      <c r="DF121" s="162">
        <v>22077.979486786273</v>
      </c>
    </row>
    <row r="122" spans="1:110" s="162" customFormat="1" x14ac:dyDescent="0.2">
      <c r="A122" s="49" t="s">
        <v>345</v>
      </c>
      <c r="B122" s="162" t="e">
        <f>+B119+B120</f>
        <v>#DIV/0!</v>
      </c>
      <c r="C122" s="162" t="e">
        <f t="shared" ref="C122:W122" si="992">+C119+C120</f>
        <v>#DIV/0!</v>
      </c>
      <c r="D122" s="162" t="e">
        <f t="shared" si="992"/>
        <v>#DIV/0!</v>
      </c>
      <c r="E122" s="162" t="e">
        <f t="shared" ca="1" si="992"/>
        <v>#DIV/0!</v>
      </c>
      <c r="F122" s="162" t="e">
        <f t="shared" ca="1" si="992"/>
        <v>#DIV/0!</v>
      </c>
      <c r="G122" s="162" t="e">
        <f t="shared" ca="1" si="992"/>
        <v>#DIV/0!</v>
      </c>
      <c r="H122" s="162" t="e">
        <f t="shared" ca="1" si="992"/>
        <v>#DIV/0!</v>
      </c>
      <c r="I122" s="162" t="e">
        <f t="shared" ca="1" si="992"/>
        <v>#DIV/0!</v>
      </c>
      <c r="J122" s="162" t="e">
        <f t="shared" ca="1" si="992"/>
        <v>#DIV/0!</v>
      </c>
      <c r="K122" s="162" t="e">
        <f t="shared" ca="1" si="992"/>
        <v>#DIV/0!</v>
      </c>
      <c r="L122" s="162" t="e">
        <f t="shared" ca="1" si="992"/>
        <v>#DIV/0!</v>
      </c>
      <c r="M122" s="162" t="e">
        <f t="shared" ca="1" si="992"/>
        <v>#DIV/0!</v>
      </c>
      <c r="N122" s="162" t="e">
        <f t="shared" ca="1" si="992"/>
        <v>#DIV/0!</v>
      </c>
      <c r="O122" s="162" t="e">
        <f t="shared" ca="1" si="992"/>
        <v>#DIV/0!</v>
      </c>
      <c r="P122" s="162" t="e">
        <f t="shared" ca="1" si="992"/>
        <v>#DIV/0!</v>
      </c>
      <c r="Q122" s="162" t="e">
        <f t="shared" ca="1" si="992"/>
        <v>#DIV/0!</v>
      </c>
      <c r="R122" s="162" t="e">
        <f t="shared" ca="1" si="992"/>
        <v>#DIV/0!</v>
      </c>
      <c r="S122" s="162" t="e">
        <f t="shared" ca="1" si="992"/>
        <v>#DIV/0!</v>
      </c>
      <c r="T122" s="162" t="e">
        <f t="shared" ca="1" si="992"/>
        <v>#DIV/0!</v>
      </c>
      <c r="U122" s="162" t="e">
        <f t="shared" ca="1" si="992"/>
        <v>#DIV/0!</v>
      </c>
      <c r="V122" s="162" t="e">
        <f t="shared" ca="1" si="992"/>
        <v>#DIV/0!</v>
      </c>
      <c r="W122" s="162" t="e">
        <f t="shared" ca="1" si="992"/>
        <v>#DIV/0!</v>
      </c>
      <c r="X122" s="162" t="e">
        <f t="shared" ref="X122:Y122" ca="1" si="993">+X119+X120</f>
        <v>#DIV/0!</v>
      </c>
      <c r="Y122" s="162" t="e">
        <f t="shared" ca="1" si="993"/>
        <v>#DIV/0!</v>
      </c>
      <c r="Z122" s="162" t="e">
        <f t="shared" ref="Z122:AA122" ca="1" si="994">+Z119+Z120</f>
        <v>#DIV/0!</v>
      </c>
      <c r="AA122" s="162" t="e">
        <f t="shared" ca="1" si="994"/>
        <v>#DIV/0!</v>
      </c>
      <c r="AB122" s="21" t="e">
        <f t="shared" ref="AA122:AD122" ca="1" si="995">+AB119+AB120</f>
        <v>#DIV/0!</v>
      </c>
      <c r="AC122" s="21" t="e">
        <f t="shared" ca="1" si="995"/>
        <v>#DIV/0!</v>
      </c>
      <c r="AD122" s="21" t="e">
        <f t="shared" ca="1" si="995"/>
        <v>#DIV/0!</v>
      </c>
      <c r="AE122" s="21" t="e">
        <f t="shared" ref="AE122" ca="1" si="996">+AE119+AE120</f>
        <v>#DIV/0!</v>
      </c>
      <c r="AL122" s="162">
        <f t="shared" ref="AL122:AM122" si="997">+AL119+AL120</f>
        <v>0</v>
      </c>
      <c r="AM122" s="162" t="e">
        <f t="shared" si="997"/>
        <v>#DIV/0!</v>
      </c>
      <c r="AN122" s="162">
        <f t="shared" ref="AN122:AO122" si="998">+AN119+AN120</f>
        <v>0</v>
      </c>
      <c r="AO122" s="162" t="e">
        <f t="shared" si="998"/>
        <v>#DIV/0!</v>
      </c>
      <c r="AP122" s="162">
        <f t="shared" ref="AP122:CD122" si="999">+AP119+AP120</f>
        <v>0</v>
      </c>
      <c r="AQ122" s="162" t="e">
        <f t="shared" si="999"/>
        <v>#DIV/0!</v>
      </c>
      <c r="AR122" s="162">
        <f t="shared" si="999"/>
        <v>0</v>
      </c>
      <c r="AS122" s="162" t="e">
        <f t="shared" si="999"/>
        <v>#DIV/0!</v>
      </c>
      <c r="AT122" s="162">
        <f t="shared" si="999"/>
        <v>0</v>
      </c>
      <c r="AU122" s="162" t="e">
        <f t="shared" si="999"/>
        <v>#DIV/0!</v>
      </c>
      <c r="AV122" s="162">
        <f t="shared" si="999"/>
        <v>0</v>
      </c>
      <c r="AW122" s="162" t="e">
        <f t="shared" si="999"/>
        <v>#DIV/0!</v>
      </c>
      <c r="AX122" s="162">
        <f t="shared" si="999"/>
        <v>0</v>
      </c>
      <c r="AY122" s="162" t="e">
        <f t="shared" si="999"/>
        <v>#DIV/0!</v>
      </c>
      <c r="AZ122" s="162">
        <f t="shared" si="999"/>
        <v>0</v>
      </c>
      <c r="BA122" s="162" t="e">
        <f t="shared" si="999"/>
        <v>#DIV/0!</v>
      </c>
      <c r="BB122" s="162">
        <f t="shared" si="999"/>
        <v>0</v>
      </c>
      <c r="BC122" s="162" t="e">
        <f t="shared" si="999"/>
        <v>#DIV/0!</v>
      </c>
      <c r="BD122" s="162">
        <f t="shared" si="999"/>
        <v>0</v>
      </c>
      <c r="BE122" s="162" t="e">
        <f t="shared" si="999"/>
        <v>#DIV/0!</v>
      </c>
      <c r="BF122" s="162">
        <f t="shared" si="999"/>
        <v>0</v>
      </c>
      <c r="BG122" s="162" t="e">
        <f t="shared" si="999"/>
        <v>#DIV/0!</v>
      </c>
      <c r="BH122" s="162">
        <f t="shared" si="999"/>
        <v>0</v>
      </c>
      <c r="BI122" s="162" t="e">
        <f t="shared" si="999"/>
        <v>#DIV/0!</v>
      </c>
      <c r="BJ122" s="162">
        <f t="shared" si="999"/>
        <v>0</v>
      </c>
      <c r="BK122" s="162" t="e">
        <f t="shared" si="999"/>
        <v>#DIV/0!</v>
      </c>
      <c r="BL122" s="162">
        <f t="shared" si="999"/>
        <v>0</v>
      </c>
      <c r="BM122" s="162" t="e">
        <f t="shared" si="999"/>
        <v>#DIV/0!</v>
      </c>
      <c r="BN122" s="162">
        <f t="shared" si="999"/>
        <v>840.91</v>
      </c>
      <c r="BO122" s="162">
        <f t="shared" si="999"/>
        <v>735.0704102748125</v>
      </c>
      <c r="BP122" s="162">
        <f t="shared" si="999"/>
        <v>0</v>
      </c>
      <c r="BQ122" s="162">
        <f t="shared" si="999"/>
        <v>-43.479999999999976</v>
      </c>
      <c r="BR122" s="162">
        <f t="shared" si="999"/>
        <v>656.88</v>
      </c>
      <c r="BS122" s="162">
        <f t="shared" si="999"/>
        <v>3237.6875137761563</v>
      </c>
      <c r="BT122" s="162">
        <f t="shared" si="999"/>
        <v>4876.3027000000002</v>
      </c>
      <c r="BU122" s="162">
        <f t="shared" si="999"/>
        <v>5531.4314173604662</v>
      </c>
      <c r="BV122" s="162">
        <f t="shared" si="999"/>
        <v>5074.29</v>
      </c>
      <c r="BW122" s="162">
        <f t="shared" si="999"/>
        <v>5458.9590812432425</v>
      </c>
      <c r="BX122" s="162">
        <f t="shared" si="999"/>
        <v>6068.5273000000007</v>
      </c>
      <c r="BY122" s="162">
        <f t="shared" si="999"/>
        <v>7093.6040414098734</v>
      </c>
      <c r="BZ122" s="162">
        <f t="shared" si="999"/>
        <v>7546.1484000000009</v>
      </c>
      <c r="CA122" s="162">
        <f t="shared" si="999"/>
        <v>8229.9349131052568</v>
      </c>
      <c r="CB122" s="162">
        <f t="shared" si="999"/>
        <v>10685.631700000002</v>
      </c>
      <c r="CC122" s="162">
        <f t="shared" si="999"/>
        <v>11274.935502042306</v>
      </c>
      <c r="CD122" s="162">
        <f t="shared" si="999"/>
        <v>10487.381300000001</v>
      </c>
      <c r="CE122" s="162">
        <f t="shared" ref="CE122:CF122" si="1000">+CE119+CE120</f>
        <v>11214.771645918903</v>
      </c>
      <c r="CF122" s="162">
        <f t="shared" si="1000"/>
        <v>12765.608600000001</v>
      </c>
      <c r="CG122" s="162">
        <f t="shared" ref="CG122:CH122" si="1001">+CG119+CG120</f>
        <v>12489.910337188516</v>
      </c>
      <c r="CH122" s="162">
        <f t="shared" si="1001"/>
        <v>11141.2286</v>
      </c>
      <c r="CI122" s="162">
        <f t="shared" ref="CI122:CJ122" si="1002">+CI119+CI120</f>
        <v>10603.009474060313</v>
      </c>
      <c r="CJ122" s="162">
        <f t="shared" si="1002"/>
        <v>16064.822400000001</v>
      </c>
      <c r="CK122" s="162">
        <f t="shared" ref="CK122:CL122" si="1003">+CK119+CK120</f>
        <v>17766.323761206841</v>
      </c>
      <c r="CL122" s="162">
        <f t="shared" si="1003"/>
        <v>18078.286899999999</v>
      </c>
      <c r="CM122" s="21">
        <f t="shared" ref="CM122:DB122" si="1004">+CM119+CM120</f>
        <v>17774.465974905099</v>
      </c>
      <c r="CN122" s="21">
        <f t="shared" si="1004"/>
        <v>18563.016183595784</v>
      </c>
      <c r="CO122" s="21">
        <f t="shared" si="1004"/>
        <v>18970.225535522703</v>
      </c>
      <c r="CP122" s="21">
        <f t="shared" si="1004"/>
        <v>20136.449304884172</v>
      </c>
      <c r="CQ122" s="21">
        <f t="shared" si="1004"/>
        <v>21990.120902231545</v>
      </c>
      <c r="CR122" s="21">
        <f t="shared" si="1004"/>
        <v>24278.385150770831</v>
      </c>
      <c r="CS122" s="21">
        <f t="shared" si="1004"/>
        <v>26306.733410089881</v>
      </c>
      <c r="CT122" s="21">
        <f t="shared" si="1004"/>
        <v>28623.538055490088</v>
      </c>
      <c r="CU122" s="21">
        <f t="shared" si="1004"/>
        <v>30525.564397824321</v>
      </c>
      <c r="CV122" s="21">
        <f t="shared" si="1004"/>
        <v>33015.595843138886</v>
      </c>
      <c r="CW122" s="21">
        <f t="shared" si="1004"/>
        <v>35308.049568475188</v>
      </c>
      <c r="CX122" s="21">
        <f t="shared" si="1004"/>
        <v>37900.799260330241</v>
      </c>
      <c r="CY122" s="21">
        <f t="shared" si="1004"/>
        <v>39978.480147340764</v>
      </c>
      <c r="CZ122" s="21">
        <f t="shared" si="1004"/>
        <v>42776.207113989978</v>
      </c>
      <c r="DA122" s="21">
        <f t="shared" si="1004"/>
        <v>45357.532204622279</v>
      </c>
      <c r="DB122" s="21">
        <f t="shared" si="1004"/>
        <v>48284.0968534028</v>
      </c>
      <c r="DE122" s="22"/>
      <c r="DF122" s="162">
        <v>17431.72168678627</v>
      </c>
    </row>
    <row r="123" spans="1:110" s="162" customFormat="1" x14ac:dyDescent="0.2">
      <c r="A123" s="49" t="s">
        <v>13</v>
      </c>
      <c r="B123" s="162">
        <f t="shared" ref="B123:AE123" si="1005">+B39</f>
        <v>0</v>
      </c>
      <c r="C123" s="162">
        <f t="shared" si="1005"/>
        <v>0</v>
      </c>
      <c r="D123" s="162">
        <f t="shared" si="1005"/>
        <v>0</v>
      </c>
      <c r="E123" s="162">
        <f t="shared" si="1005"/>
        <v>0</v>
      </c>
      <c r="F123" s="162">
        <f t="shared" si="1005"/>
        <v>12.549970000000009</v>
      </c>
      <c r="G123" s="162">
        <f t="shared" si="1005"/>
        <v>18.374706700000004</v>
      </c>
      <c r="H123" s="162">
        <f t="shared" si="1005"/>
        <v>18.147446399999978</v>
      </c>
      <c r="I123" s="162">
        <f t="shared" si="1005"/>
        <v>14.789942800000006</v>
      </c>
      <c r="J123" s="162">
        <f t="shared" si="1005"/>
        <v>26.551738799999981</v>
      </c>
      <c r="K123" s="162">
        <f t="shared" si="1005"/>
        <v>31.737905099999992</v>
      </c>
      <c r="L123" s="162">
        <f t="shared" si="1005"/>
        <v>0</v>
      </c>
      <c r="M123" s="162">
        <f t="shared" si="1005"/>
        <v>0</v>
      </c>
      <c r="N123" s="162">
        <f t="shared" si="1005"/>
        <v>167.72799999999989</v>
      </c>
      <c r="O123" s="162">
        <f t="shared" si="1005"/>
        <v>163.15000000000009</v>
      </c>
      <c r="P123" s="162">
        <f t="shared" si="1005"/>
        <v>189.81499999999988</v>
      </c>
      <c r="Q123" s="162">
        <f t="shared" si="1005"/>
        <v>223.52900000000011</v>
      </c>
      <c r="R123" s="162">
        <f t="shared" si="1005"/>
        <v>227.4980000000001</v>
      </c>
      <c r="S123" s="162">
        <f t="shared" si="1005"/>
        <v>276.2700000000001</v>
      </c>
      <c r="T123" s="162">
        <f t="shared" si="1005"/>
        <v>442.08300000000008</v>
      </c>
      <c r="U123" s="162">
        <f t="shared" si="1005"/>
        <v>397.29000000000008</v>
      </c>
      <c r="V123" s="162">
        <f t="shared" si="1005"/>
        <v>437.48</v>
      </c>
      <c r="W123" s="162">
        <f t="shared" si="1005"/>
        <v>533.59000000000015</v>
      </c>
      <c r="X123" s="162">
        <f t="shared" si="1005"/>
        <v>683.61</v>
      </c>
      <c r="Y123" s="162">
        <f t="shared" si="1005"/>
        <v>877.87999999999988</v>
      </c>
      <c r="Z123" s="162">
        <f t="shared" si="1005"/>
        <v>832.70999999999958</v>
      </c>
      <c r="AA123" s="162">
        <f t="shared" ref="AA123" si="1006">+AA39</f>
        <v>1237.5900000000006</v>
      </c>
      <c r="AB123" s="21">
        <f t="shared" si="1005"/>
        <v>1471.8875879395923</v>
      </c>
      <c r="AC123" s="21">
        <f t="shared" si="1005"/>
        <v>1740.2303673158876</v>
      </c>
      <c r="AD123" s="21">
        <f t="shared" si="1005"/>
        <v>2054.3020295014067</v>
      </c>
      <c r="AE123" s="21">
        <f t="shared" si="1005"/>
        <v>2424.2496540852908</v>
      </c>
      <c r="AL123" s="162">
        <f t="shared" ref="AL123:BQ123" si="1007">+SUM(AI39:AL39)</f>
        <v>0</v>
      </c>
      <c r="AM123" s="162">
        <f t="shared" si="1007"/>
        <v>0</v>
      </c>
      <c r="AN123" s="162">
        <f t="shared" si="1007"/>
        <v>0</v>
      </c>
      <c r="AO123" s="162">
        <f t="shared" si="1007"/>
        <v>0</v>
      </c>
      <c r="AP123" s="162">
        <f t="shared" si="1007"/>
        <v>0</v>
      </c>
      <c r="AQ123" s="162">
        <f t="shared" si="1007"/>
        <v>0</v>
      </c>
      <c r="AR123" s="162">
        <f t="shared" si="1007"/>
        <v>0</v>
      </c>
      <c r="AS123" s="162">
        <f t="shared" si="1007"/>
        <v>0</v>
      </c>
      <c r="AT123" s="162">
        <f t="shared" si="1007"/>
        <v>0</v>
      </c>
      <c r="AU123" s="162">
        <f t="shared" si="1007"/>
        <v>0</v>
      </c>
      <c r="AV123" s="162">
        <f t="shared" si="1007"/>
        <v>0</v>
      </c>
      <c r="AW123" s="162">
        <f t="shared" si="1007"/>
        <v>0</v>
      </c>
      <c r="AX123" s="162">
        <f t="shared" si="1007"/>
        <v>0</v>
      </c>
      <c r="AY123" s="162">
        <f t="shared" si="1007"/>
        <v>0</v>
      </c>
      <c r="AZ123" s="162">
        <f t="shared" si="1007"/>
        <v>0</v>
      </c>
      <c r="BA123" s="162">
        <f t="shared" si="1007"/>
        <v>0</v>
      </c>
      <c r="BB123" s="162">
        <f t="shared" si="1007"/>
        <v>0</v>
      </c>
      <c r="BC123" s="162">
        <f t="shared" si="1007"/>
        <v>0</v>
      </c>
      <c r="BD123" s="162">
        <f t="shared" si="1007"/>
        <v>0</v>
      </c>
      <c r="BE123" s="162">
        <f t="shared" si="1007"/>
        <v>0</v>
      </c>
      <c r="BF123" s="162">
        <f t="shared" si="1007"/>
        <v>0</v>
      </c>
      <c r="BG123" s="162">
        <f t="shared" si="1007"/>
        <v>0</v>
      </c>
      <c r="BH123" s="162">
        <f t="shared" si="1007"/>
        <v>0</v>
      </c>
      <c r="BI123" s="162">
        <f t="shared" si="1007"/>
        <v>0</v>
      </c>
      <c r="BJ123" s="162">
        <f t="shared" si="1007"/>
        <v>0</v>
      </c>
      <c r="BK123" s="162">
        <f t="shared" si="1007"/>
        <v>0</v>
      </c>
      <c r="BL123" s="162">
        <f t="shared" si="1007"/>
        <v>0</v>
      </c>
      <c r="BM123" s="162">
        <f t="shared" si="1007"/>
        <v>0</v>
      </c>
      <c r="BN123" s="162">
        <f t="shared" si="1007"/>
        <v>86.350000000000023</v>
      </c>
      <c r="BO123" s="162">
        <f t="shared" si="1007"/>
        <v>131.04000000000002</v>
      </c>
      <c r="BP123" s="162">
        <f t="shared" si="1007"/>
        <v>232.3</v>
      </c>
      <c r="BQ123" s="162">
        <f t="shared" si="1007"/>
        <v>373.78999999999996</v>
      </c>
      <c r="BR123" s="162">
        <f t="shared" ref="BR123:CW123" si="1008">+SUM(BO39:BR39)</f>
        <v>438.2399999999999</v>
      </c>
      <c r="BS123" s="162">
        <f t="shared" si="1008"/>
        <v>501.28999999999996</v>
      </c>
      <c r="BT123" s="162">
        <f t="shared" si="1008"/>
        <v>543.63</v>
      </c>
      <c r="BU123" s="162">
        <f t="shared" si="1008"/>
        <v>529.94999999999993</v>
      </c>
      <c r="BV123" s="162">
        <f t="shared" si="1008"/>
        <v>534.16</v>
      </c>
      <c r="BW123" s="162">
        <f t="shared" si="1008"/>
        <v>591.1</v>
      </c>
      <c r="BX123" s="162">
        <f t="shared" si="1008"/>
        <v>619.69000000000005</v>
      </c>
      <c r="BY123" s="162">
        <f t="shared" si="1008"/>
        <v>650.18000000000006</v>
      </c>
      <c r="BZ123" s="162">
        <f t="shared" si="1008"/>
        <v>683.61</v>
      </c>
      <c r="CA123" s="162">
        <f t="shared" si="1008"/>
        <v>733.16000000000008</v>
      </c>
      <c r="CB123" s="162">
        <f t="shared" si="1008"/>
        <v>798.47</v>
      </c>
      <c r="CC123" s="162">
        <f t="shared" si="1008"/>
        <v>860.37000000000012</v>
      </c>
      <c r="CD123" s="162">
        <f t="shared" si="1008"/>
        <v>878.83000000000038</v>
      </c>
      <c r="CE123" s="162">
        <f t="shared" si="1008"/>
        <v>861.93000000000029</v>
      </c>
      <c r="CF123" s="162">
        <f t="shared" si="1008"/>
        <v>817.21000000000026</v>
      </c>
      <c r="CG123" s="162">
        <f t="shared" si="1008"/>
        <v>795.99000000000012</v>
      </c>
      <c r="CH123" s="162">
        <f t="shared" si="1008"/>
        <v>832.71000000000026</v>
      </c>
      <c r="CI123" s="162">
        <f t="shared" si="1008"/>
        <v>900.32</v>
      </c>
      <c r="CJ123" s="162">
        <f t="shared" si="1008"/>
        <v>1009.4399999999997</v>
      </c>
      <c r="CK123" s="162">
        <f t="shared" si="1008"/>
        <v>1122.68</v>
      </c>
      <c r="CL123" s="162">
        <f t="shared" si="1008"/>
        <v>1237.5900000000001</v>
      </c>
      <c r="CM123" s="21">
        <f t="shared" si="1008"/>
        <v>1294.8061471648166</v>
      </c>
      <c r="CN123" s="21">
        <f t="shared" si="1008"/>
        <v>1357.0271018439262</v>
      </c>
      <c r="CO123" s="21">
        <f t="shared" si="1008"/>
        <v>1421.08349291942</v>
      </c>
      <c r="CP123" s="21">
        <f t="shared" si="1008"/>
        <v>1471.8875879395916</v>
      </c>
      <c r="CQ123" s="21">
        <f t="shared" si="1008"/>
        <v>1533.5218103957245</v>
      </c>
      <c r="CR123" s="21">
        <f t="shared" si="1008"/>
        <v>1601.0238788354072</v>
      </c>
      <c r="CS123" s="21">
        <f t="shared" si="1008"/>
        <v>1668.8832162296922</v>
      </c>
      <c r="CT123" s="21">
        <f t="shared" si="1008"/>
        <v>1740.2303673158858</v>
      </c>
      <c r="CU123" s="21">
        <f t="shared" si="1008"/>
        <v>1810.3853358741387</v>
      </c>
      <c r="CV123" s="21">
        <f t="shared" si="1008"/>
        <v>1888.3751080795651</v>
      </c>
      <c r="CW123" s="21">
        <f t="shared" si="1008"/>
        <v>1968.1075482258464</v>
      </c>
      <c r="CX123" s="21">
        <f t="shared" ref="CX123:DB123" si="1009">+SUM(CU39:CX39)</f>
        <v>2054.3020295014057</v>
      </c>
      <c r="CY123" s="21">
        <f t="shared" si="1009"/>
        <v>2136.2750959735631</v>
      </c>
      <c r="CZ123" s="21">
        <f t="shared" si="1009"/>
        <v>2228.0190701958918</v>
      </c>
      <c r="DA123" s="21">
        <f t="shared" si="1009"/>
        <v>2322.2426617076999</v>
      </c>
      <c r="DB123" s="21">
        <f t="shared" si="1009"/>
        <v>2424.2496540852885</v>
      </c>
      <c r="DE123" s="22"/>
      <c r="DF123" s="162">
        <v>1188.8733418481397</v>
      </c>
    </row>
    <row r="124" spans="1:110" s="162" customFormat="1" x14ac:dyDescent="0.2">
      <c r="A124" s="49" t="s">
        <v>343</v>
      </c>
      <c r="B124" s="162" t="e">
        <f>+B121/B123</f>
        <v>#DIV/0!</v>
      </c>
      <c r="C124" s="162" t="e">
        <f t="shared" ref="C124:W124" si="1010">+C121/C123</f>
        <v>#DIV/0!</v>
      </c>
      <c r="D124" s="162" t="e">
        <f t="shared" si="1010"/>
        <v>#DIV/0!</v>
      </c>
      <c r="E124" s="162" t="e">
        <f t="shared" ca="1" si="1010"/>
        <v>#DIV/0!</v>
      </c>
      <c r="F124" s="162" t="e">
        <f t="shared" ca="1" si="1010"/>
        <v>#DIV/0!</v>
      </c>
      <c r="G124" s="162" t="e">
        <f t="shared" ca="1" si="1010"/>
        <v>#DIV/0!</v>
      </c>
      <c r="H124" s="162" t="e">
        <f t="shared" ca="1" si="1010"/>
        <v>#DIV/0!</v>
      </c>
      <c r="I124" s="162" t="e">
        <f t="shared" ca="1" si="1010"/>
        <v>#DIV/0!</v>
      </c>
      <c r="J124" s="162" t="e">
        <f t="shared" ca="1" si="1010"/>
        <v>#DIV/0!</v>
      </c>
      <c r="K124" s="162" t="e">
        <f t="shared" ca="1" si="1010"/>
        <v>#DIV/0!</v>
      </c>
      <c r="L124" s="162" t="e">
        <f t="shared" ca="1" si="1010"/>
        <v>#DIV/0!</v>
      </c>
      <c r="M124" s="162" t="e">
        <f t="shared" ca="1" si="1010"/>
        <v>#DIV/0!</v>
      </c>
      <c r="N124" s="162" t="e">
        <f t="shared" ca="1" si="1010"/>
        <v>#DIV/0!</v>
      </c>
      <c r="O124" s="162" t="e">
        <f t="shared" ca="1" si="1010"/>
        <v>#DIV/0!</v>
      </c>
      <c r="P124" s="162" t="e">
        <f t="shared" ca="1" si="1010"/>
        <v>#DIV/0!</v>
      </c>
      <c r="Q124" s="162" t="e">
        <f t="shared" ca="1" si="1010"/>
        <v>#DIV/0!</v>
      </c>
      <c r="R124" s="162" t="e">
        <f t="shared" ca="1" si="1010"/>
        <v>#DIV/0!</v>
      </c>
      <c r="S124" s="162" t="e">
        <f t="shared" ca="1" si="1010"/>
        <v>#DIV/0!</v>
      </c>
      <c r="T124" s="162" t="e">
        <f t="shared" ca="1" si="1010"/>
        <v>#DIV/0!</v>
      </c>
      <c r="U124" s="162" t="e">
        <f t="shared" ca="1" si="1010"/>
        <v>#DIV/0!</v>
      </c>
      <c r="V124" s="162" t="e">
        <f t="shared" ca="1" si="1010"/>
        <v>#DIV/0!</v>
      </c>
      <c r="W124" s="162" t="e">
        <f t="shared" ca="1" si="1010"/>
        <v>#DIV/0!</v>
      </c>
      <c r="X124" s="162" t="e">
        <f t="shared" ref="X124:Y124" ca="1" si="1011">+X121/X123</f>
        <v>#DIV/0!</v>
      </c>
      <c r="Y124" s="162" t="e">
        <f t="shared" ca="1" si="1011"/>
        <v>#DIV/0!</v>
      </c>
      <c r="Z124" s="162" t="e">
        <f t="shared" ref="Z124:AA124" ca="1" si="1012">+Z121/Z123</f>
        <v>#DIV/0!</v>
      </c>
      <c r="AA124" s="162" t="e">
        <f t="shared" ca="1" si="1012"/>
        <v>#DIV/0!</v>
      </c>
      <c r="AB124" s="21" t="e">
        <f t="shared" ref="AA124:AD124" ca="1" si="1013">+AB121/AB123</f>
        <v>#DIV/0!</v>
      </c>
      <c r="AC124" s="21" t="e">
        <f t="shared" ca="1" si="1013"/>
        <v>#DIV/0!</v>
      </c>
      <c r="AD124" s="21" t="e">
        <f t="shared" ca="1" si="1013"/>
        <v>#DIV/0!</v>
      </c>
      <c r="AE124" s="21" t="e">
        <f t="shared" ref="AE124" ca="1" si="1014">+AE121/AE123</f>
        <v>#DIV/0!</v>
      </c>
      <c r="AL124" s="162" t="e">
        <f t="shared" ref="AL124" si="1015">+AL121/AL123</f>
        <v>#DIV/0!</v>
      </c>
      <c r="AM124" s="162" t="e">
        <f t="shared" ref="AM124:AO124" si="1016">+AM121/AM123</f>
        <v>#DIV/0!</v>
      </c>
      <c r="AN124" s="162" t="e">
        <f t="shared" si="1016"/>
        <v>#DIV/0!</v>
      </c>
      <c r="AO124" s="162" t="e">
        <f t="shared" si="1016"/>
        <v>#DIV/0!</v>
      </c>
      <c r="AP124" s="162" t="e">
        <f t="shared" ref="AP124:CD124" si="1017">+AP121/AP123</f>
        <v>#DIV/0!</v>
      </c>
      <c r="AQ124" s="162" t="e">
        <f t="shared" si="1017"/>
        <v>#DIV/0!</v>
      </c>
      <c r="AR124" s="162" t="e">
        <f t="shared" si="1017"/>
        <v>#DIV/0!</v>
      </c>
      <c r="AS124" s="162" t="e">
        <f t="shared" si="1017"/>
        <v>#DIV/0!</v>
      </c>
      <c r="AT124" s="162" t="e">
        <f t="shared" si="1017"/>
        <v>#DIV/0!</v>
      </c>
      <c r="AU124" s="162" t="e">
        <f t="shared" si="1017"/>
        <v>#DIV/0!</v>
      </c>
      <c r="AV124" s="162" t="e">
        <f t="shared" si="1017"/>
        <v>#DIV/0!</v>
      </c>
      <c r="AW124" s="162" t="e">
        <f t="shared" si="1017"/>
        <v>#DIV/0!</v>
      </c>
      <c r="AX124" s="162" t="e">
        <f t="shared" si="1017"/>
        <v>#DIV/0!</v>
      </c>
      <c r="AY124" s="162" t="e">
        <f t="shared" si="1017"/>
        <v>#DIV/0!</v>
      </c>
      <c r="AZ124" s="162" t="e">
        <f t="shared" si="1017"/>
        <v>#DIV/0!</v>
      </c>
      <c r="BA124" s="162" t="e">
        <f t="shared" si="1017"/>
        <v>#DIV/0!</v>
      </c>
      <c r="BB124" s="162" t="e">
        <f t="shared" si="1017"/>
        <v>#DIV/0!</v>
      </c>
      <c r="BC124" s="162" t="e">
        <f t="shared" si="1017"/>
        <v>#DIV/0!</v>
      </c>
      <c r="BD124" s="162" t="e">
        <f t="shared" si="1017"/>
        <v>#DIV/0!</v>
      </c>
      <c r="BE124" s="162" t="e">
        <f t="shared" si="1017"/>
        <v>#DIV/0!</v>
      </c>
      <c r="BF124" s="162" t="e">
        <f t="shared" si="1017"/>
        <v>#DIV/0!</v>
      </c>
      <c r="BG124" s="162" t="e">
        <f t="shared" si="1017"/>
        <v>#DIV/0!</v>
      </c>
      <c r="BH124" s="162" t="e">
        <f t="shared" si="1017"/>
        <v>#DIV/0!</v>
      </c>
      <c r="BI124" s="162" t="e">
        <f t="shared" si="1017"/>
        <v>#DIV/0!</v>
      </c>
      <c r="BJ124" s="162" t="e">
        <f t="shared" si="1017"/>
        <v>#DIV/0!</v>
      </c>
      <c r="BK124" s="162" t="e">
        <f t="shared" si="1017"/>
        <v>#DIV/0!</v>
      </c>
      <c r="BL124" s="162" t="e">
        <f t="shared" si="1017"/>
        <v>#DIV/0!</v>
      </c>
      <c r="BM124" s="162" t="e">
        <f t="shared" si="1017"/>
        <v>#DIV/0!</v>
      </c>
      <c r="BN124" s="162">
        <f t="shared" si="1017"/>
        <v>9.7383902721482318</v>
      </c>
      <c r="BO124" s="162">
        <f t="shared" si="1017"/>
        <v>5.6095116779213399</v>
      </c>
      <c r="BP124" s="162">
        <f t="shared" si="1017"/>
        <v>0</v>
      </c>
      <c r="BQ124" s="162">
        <f t="shared" si="1017"/>
        <v>-0.11632199898338634</v>
      </c>
      <c r="BR124" s="162">
        <f t="shared" si="1017"/>
        <v>9.8289978094194979</v>
      </c>
      <c r="BS124" s="162">
        <f t="shared" si="1017"/>
        <v>9.968529022673815</v>
      </c>
      <c r="BT124" s="162">
        <f t="shared" si="1017"/>
        <v>11.100320254584922</v>
      </c>
      <c r="BU124" s="162">
        <f t="shared" si="1017"/>
        <v>13.683139008133725</v>
      </c>
      <c r="BV124" s="162">
        <f t="shared" si="1017"/>
        <v>12.185025460536171</v>
      </c>
      <c r="BW124" s="162">
        <f t="shared" si="1017"/>
        <v>11.140300763395773</v>
      </c>
      <c r="BX124" s="162">
        <f t="shared" si="1017"/>
        <v>12.669219448433893</v>
      </c>
      <c r="BY124" s="162">
        <f t="shared" si="1017"/>
        <v>14.552812515626245</v>
      </c>
      <c r="BZ124" s="162">
        <f t="shared" si="1017"/>
        <v>14.536298474276268</v>
      </c>
      <c r="CA124" s="162">
        <f t="shared" si="1017"/>
        <v>14.928968046681838</v>
      </c>
      <c r="CB124" s="162">
        <f t="shared" si="1017"/>
        <v>16.749007476799381</v>
      </c>
      <c r="CC124" s="162">
        <f t="shared" si="1017"/>
        <v>16.708419868245411</v>
      </c>
      <c r="CD124" s="162">
        <f t="shared" si="1017"/>
        <v>16.430019230112759</v>
      </c>
      <c r="CE124" s="162">
        <f t="shared" ref="CE124:CF124" si="1018">+CE121/CE123</f>
        <v>17.414894998339655</v>
      </c>
      <c r="CF124" s="162">
        <f t="shared" si="1018"/>
        <v>22.210851433536046</v>
      </c>
      <c r="CG124" s="162">
        <f t="shared" ref="CG124:CH124" si="1019">+CG121/CG123</f>
        <v>21.803142799769486</v>
      </c>
      <c r="CH124" s="162">
        <f t="shared" si="1019"/>
        <v>18.064031895858097</v>
      </c>
      <c r="CI124" s="162">
        <f t="shared" ref="CI124:CJ124" si="1020">+CI121/CI123</f>
        <v>17.443260256420288</v>
      </c>
      <c r="CJ124" s="162">
        <f t="shared" si="1020"/>
        <v>20.149251763353949</v>
      </c>
      <c r="CK124" s="162">
        <f t="shared" ref="CK124:CL124" si="1021">+CK121/CK123</f>
        <v>19.03663284391531</v>
      </c>
      <c r="CL124" s="162">
        <f t="shared" si="1021"/>
        <v>18.361933031133088</v>
      </c>
      <c r="CM124" s="21">
        <f t="shared" ref="CM124:DB124" si="1022">+CM121/CM123</f>
        <v>17.320568114148511</v>
      </c>
      <c r="CN124" s="21">
        <f t="shared" si="1022"/>
        <v>17.297574065672723</v>
      </c>
      <c r="CO124" s="21">
        <f t="shared" si="1022"/>
        <v>16.938996205304534</v>
      </c>
      <c r="CP124" s="21">
        <f t="shared" si="1022"/>
        <v>17.417762399540486</v>
      </c>
      <c r="CQ124" s="21">
        <f t="shared" si="1022"/>
        <v>18.380426385077268</v>
      </c>
      <c r="CR124" s="21">
        <f t="shared" si="1022"/>
        <v>19.488548307969374</v>
      </c>
      <c r="CS124" s="21">
        <f t="shared" si="1022"/>
        <v>20.334695228206741</v>
      </c>
      <c r="CT124" s="21">
        <f t="shared" si="1022"/>
        <v>21.270747533267436</v>
      </c>
      <c r="CU124" s="21">
        <f t="shared" si="1022"/>
        <v>21.901448120955763</v>
      </c>
      <c r="CV124" s="21">
        <f t="shared" si="1022"/>
        <v>22.734568238103872</v>
      </c>
      <c r="CW124" s="21">
        <f t="shared" si="1022"/>
        <v>23.38549387210621</v>
      </c>
      <c r="CX124" s="21">
        <f t="shared" si="1022"/>
        <v>24.083082493313722</v>
      </c>
      <c r="CY124" s="21">
        <f t="shared" si="1022"/>
        <v>24.511466857384026</v>
      </c>
      <c r="CZ124" s="21">
        <f t="shared" si="1022"/>
        <v>25.15721603920527</v>
      </c>
      <c r="DA124" s="21">
        <f t="shared" si="1022"/>
        <v>25.638585095877268</v>
      </c>
      <c r="DB124" s="21">
        <f t="shared" si="1022"/>
        <v>26.166584486365622</v>
      </c>
      <c r="DE124" s="22"/>
      <c r="DF124" s="162">
        <v>18.570505965307778</v>
      </c>
    </row>
    <row r="125" spans="1:110" s="162" customFormat="1" x14ac:dyDescent="0.2">
      <c r="A125" s="49" t="s">
        <v>344</v>
      </c>
      <c r="B125" s="162" t="e">
        <f>+B122/B123</f>
        <v>#DIV/0!</v>
      </c>
      <c r="C125" s="162" t="e">
        <f t="shared" ref="C125:W125" si="1023">+C122/C123</f>
        <v>#DIV/0!</v>
      </c>
      <c r="D125" s="162" t="e">
        <f t="shared" si="1023"/>
        <v>#DIV/0!</v>
      </c>
      <c r="E125" s="162" t="e">
        <f t="shared" ca="1" si="1023"/>
        <v>#DIV/0!</v>
      </c>
      <c r="F125" s="162" t="e">
        <f t="shared" ca="1" si="1023"/>
        <v>#DIV/0!</v>
      </c>
      <c r="G125" s="162" t="e">
        <f t="shared" ca="1" si="1023"/>
        <v>#DIV/0!</v>
      </c>
      <c r="H125" s="162" t="e">
        <f t="shared" ca="1" si="1023"/>
        <v>#DIV/0!</v>
      </c>
      <c r="I125" s="162" t="e">
        <f t="shared" ca="1" si="1023"/>
        <v>#DIV/0!</v>
      </c>
      <c r="J125" s="162" t="e">
        <f t="shared" ca="1" si="1023"/>
        <v>#DIV/0!</v>
      </c>
      <c r="K125" s="162" t="e">
        <f t="shared" ca="1" si="1023"/>
        <v>#DIV/0!</v>
      </c>
      <c r="L125" s="162" t="e">
        <f t="shared" ca="1" si="1023"/>
        <v>#DIV/0!</v>
      </c>
      <c r="M125" s="162" t="e">
        <f t="shared" ca="1" si="1023"/>
        <v>#DIV/0!</v>
      </c>
      <c r="N125" s="162" t="e">
        <f t="shared" ca="1" si="1023"/>
        <v>#DIV/0!</v>
      </c>
      <c r="O125" s="162" t="e">
        <f t="shared" ca="1" si="1023"/>
        <v>#DIV/0!</v>
      </c>
      <c r="P125" s="162" t="e">
        <f t="shared" ca="1" si="1023"/>
        <v>#DIV/0!</v>
      </c>
      <c r="Q125" s="162" t="e">
        <f t="shared" ca="1" si="1023"/>
        <v>#DIV/0!</v>
      </c>
      <c r="R125" s="162" t="e">
        <f t="shared" ca="1" si="1023"/>
        <v>#DIV/0!</v>
      </c>
      <c r="S125" s="162" t="e">
        <f t="shared" ca="1" si="1023"/>
        <v>#DIV/0!</v>
      </c>
      <c r="T125" s="162" t="e">
        <f t="shared" ca="1" si="1023"/>
        <v>#DIV/0!</v>
      </c>
      <c r="U125" s="162" t="e">
        <f t="shared" ca="1" si="1023"/>
        <v>#DIV/0!</v>
      </c>
      <c r="V125" s="162" t="e">
        <f t="shared" ca="1" si="1023"/>
        <v>#DIV/0!</v>
      </c>
      <c r="W125" s="162" t="e">
        <f t="shared" ca="1" si="1023"/>
        <v>#DIV/0!</v>
      </c>
      <c r="X125" s="162" t="e">
        <f t="shared" ref="X125:Y125" ca="1" si="1024">+X122/X123</f>
        <v>#DIV/0!</v>
      </c>
      <c r="Y125" s="162" t="e">
        <f t="shared" ca="1" si="1024"/>
        <v>#DIV/0!</v>
      </c>
      <c r="Z125" s="162" t="e">
        <f t="shared" ref="Z125:AA125" ca="1" si="1025">+Z122/Z123</f>
        <v>#DIV/0!</v>
      </c>
      <c r="AA125" s="162" t="e">
        <f t="shared" ca="1" si="1025"/>
        <v>#DIV/0!</v>
      </c>
      <c r="AB125" s="21" t="e">
        <f t="shared" ref="AA125:AD125" ca="1" si="1026">+AB122/AB123</f>
        <v>#DIV/0!</v>
      </c>
      <c r="AC125" s="21" t="e">
        <f t="shared" ca="1" si="1026"/>
        <v>#DIV/0!</v>
      </c>
      <c r="AD125" s="21" t="e">
        <f t="shared" ca="1" si="1026"/>
        <v>#DIV/0!</v>
      </c>
      <c r="AE125" s="21" t="e">
        <f t="shared" ref="AE125" ca="1" si="1027">+AE122/AE123</f>
        <v>#DIV/0!</v>
      </c>
      <c r="AL125" s="162" t="e">
        <f t="shared" ref="AL125:AM125" si="1028">+AL122/AL123</f>
        <v>#DIV/0!</v>
      </c>
      <c r="AM125" s="162" t="e">
        <f t="shared" si="1028"/>
        <v>#DIV/0!</v>
      </c>
      <c r="AN125" s="162" t="e">
        <f t="shared" ref="AN125:AO125" si="1029">+AN122/AN123</f>
        <v>#DIV/0!</v>
      </c>
      <c r="AO125" s="162" t="e">
        <f t="shared" si="1029"/>
        <v>#DIV/0!</v>
      </c>
      <c r="AP125" s="162" t="e">
        <f t="shared" ref="AP125:CD125" si="1030">+AP122/AP123</f>
        <v>#DIV/0!</v>
      </c>
      <c r="AQ125" s="162" t="e">
        <f t="shared" si="1030"/>
        <v>#DIV/0!</v>
      </c>
      <c r="AR125" s="162" t="e">
        <f t="shared" si="1030"/>
        <v>#DIV/0!</v>
      </c>
      <c r="AS125" s="162" t="e">
        <f t="shared" si="1030"/>
        <v>#DIV/0!</v>
      </c>
      <c r="AT125" s="162" t="e">
        <f t="shared" si="1030"/>
        <v>#DIV/0!</v>
      </c>
      <c r="AU125" s="162" t="e">
        <f t="shared" si="1030"/>
        <v>#DIV/0!</v>
      </c>
      <c r="AV125" s="162" t="e">
        <f t="shared" si="1030"/>
        <v>#DIV/0!</v>
      </c>
      <c r="AW125" s="162" t="e">
        <f t="shared" si="1030"/>
        <v>#DIV/0!</v>
      </c>
      <c r="AX125" s="162" t="e">
        <f t="shared" si="1030"/>
        <v>#DIV/0!</v>
      </c>
      <c r="AY125" s="162" t="e">
        <f t="shared" si="1030"/>
        <v>#DIV/0!</v>
      </c>
      <c r="AZ125" s="162" t="e">
        <f t="shared" si="1030"/>
        <v>#DIV/0!</v>
      </c>
      <c r="BA125" s="162" t="e">
        <f t="shared" si="1030"/>
        <v>#DIV/0!</v>
      </c>
      <c r="BB125" s="162" t="e">
        <f t="shared" si="1030"/>
        <v>#DIV/0!</v>
      </c>
      <c r="BC125" s="162" t="e">
        <f t="shared" si="1030"/>
        <v>#DIV/0!</v>
      </c>
      <c r="BD125" s="162" t="e">
        <f t="shared" si="1030"/>
        <v>#DIV/0!</v>
      </c>
      <c r="BE125" s="162" t="e">
        <f t="shared" si="1030"/>
        <v>#DIV/0!</v>
      </c>
      <c r="BF125" s="162" t="e">
        <f t="shared" si="1030"/>
        <v>#DIV/0!</v>
      </c>
      <c r="BG125" s="162" t="e">
        <f t="shared" si="1030"/>
        <v>#DIV/0!</v>
      </c>
      <c r="BH125" s="162" t="e">
        <f t="shared" si="1030"/>
        <v>#DIV/0!</v>
      </c>
      <c r="BI125" s="162" t="e">
        <f t="shared" si="1030"/>
        <v>#DIV/0!</v>
      </c>
      <c r="BJ125" s="162" t="e">
        <f t="shared" si="1030"/>
        <v>#DIV/0!</v>
      </c>
      <c r="BK125" s="162" t="e">
        <f t="shared" si="1030"/>
        <v>#DIV/0!</v>
      </c>
      <c r="BL125" s="162" t="e">
        <f t="shared" si="1030"/>
        <v>#DIV/0!</v>
      </c>
      <c r="BM125" s="162" t="e">
        <f t="shared" si="1030"/>
        <v>#DIV/0!</v>
      </c>
      <c r="BN125" s="162">
        <f t="shared" si="1030"/>
        <v>9.7383902721482318</v>
      </c>
      <c r="BO125" s="162">
        <f t="shared" si="1030"/>
        <v>5.6095116779213399</v>
      </c>
      <c r="BP125" s="162">
        <f t="shared" si="1030"/>
        <v>0</v>
      </c>
      <c r="BQ125" s="162">
        <f t="shared" si="1030"/>
        <v>-0.11632199898338634</v>
      </c>
      <c r="BR125" s="162">
        <f t="shared" si="1030"/>
        <v>1.4989047097480837</v>
      </c>
      <c r="BS125" s="162">
        <f t="shared" si="1030"/>
        <v>6.4587115517488014</v>
      </c>
      <c r="BT125" s="162">
        <f t="shared" si="1030"/>
        <v>8.9698925739933415</v>
      </c>
      <c r="BU125" s="162">
        <f t="shared" si="1030"/>
        <v>10.437647735372142</v>
      </c>
      <c r="BV125" s="162">
        <f t="shared" si="1030"/>
        <v>9.4995694174030252</v>
      </c>
      <c r="BW125" s="162">
        <f t="shared" si="1030"/>
        <v>9.2352547474932205</v>
      </c>
      <c r="BX125" s="162">
        <f t="shared" si="1030"/>
        <v>9.7928436799044682</v>
      </c>
      <c r="BY125" s="162">
        <f t="shared" si="1030"/>
        <v>10.91021569628391</v>
      </c>
      <c r="BZ125" s="162">
        <f t="shared" si="1030"/>
        <v>11.038674682933253</v>
      </c>
      <c r="CA125" s="162">
        <f t="shared" si="1030"/>
        <v>11.225291768652484</v>
      </c>
      <c r="CB125" s="162">
        <f t="shared" si="1030"/>
        <v>13.382633912357385</v>
      </c>
      <c r="CC125" s="162">
        <f t="shared" si="1030"/>
        <v>13.104752027665196</v>
      </c>
      <c r="CD125" s="162">
        <f t="shared" si="1030"/>
        <v>11.933344674169062</v>
      </c>
      <c r="CE125" s="162">
        <f t="shared" ref="CE125:CF125" si="1031">+CE122/CE123</f>
        <v>13.011232519948139</v>
      </c>
      <c r="CF125" s="162">
        <f t="shared" si="1031"/>
        <v>15.620964745903743</v>
      </c>
      <c r="CG125" s="162">
        <f t="shared" ref="CG125:CH125" si="1032">+CG122/CG123</f>
        <v>15.691039255755115</v>
      </c>
      <c r="CH125" s="162">
        <f t="shared" si="1032"/>
        <v>13.379482172665149</v>
      </c>
      <c r="CI125" s="162">
        <f t="shared" ref="CI125:CJ125" si="1033">+CI122/CI123</f>
        <v>11.776934283432904</v>
      </c>
      <c r="CJ125" s="162">
        <f t="shared" si="1033"/>
        <v>15.914588682834053</v>
      </c>
      <c r="CK125" s="162">
        <f t="shared" ref="CK125:CL125" si="1034">+CK122/CK123</f>
        <v>15.824922294159368</v>
      </c>
      <c r="CL125" s="162">
        <f t="shared" si="1034"/>
        <v>14.607654312009629</v>
      </c>
      <c r="CM125" s="21">
        <f t="shared" ref="CM125:DB125" si="1035">+CM122/CM123</f>
        <v>13.727511267864392</v>
      </c>
      <c r="CN125" s="21">
        <f t="shared" si="1035"/>
        <v>13.679178668113842</v>
      </c>
      <c r="CO125" s="21">
        <f t="shared" si="1035"/>
        <v>13.34912806322941</v>
      </c>
      <c r="CP125" s="21">
        <f t="shared" si="1035"/>
        <v>13.680697812712721</v>
      </c>
      <c r="CQ125" s="21">
        <f t="shared" si="1035"/>
        <v>14.339620573480468</v>
      </c>
      <c r="CR125" s="21">
        <f t="shared" si="1035"/>
        <v>15.164286724087495</v>
      </c>
      <c r="CS125" s="21">
        <f t="shared" si="1035"/>
        <v>15.763076262173414</v>
      </c>
      <c r="CT125" s="21">
        <f t="shared" si="1035"/>
        <v>16.448131576762879</v>
      </c>
      <c r="CU125" s="21">
        <f t="shared" si="1035"/>
        <v>16.861363044064401</v>
      </c>
      <c r="CV125" s="21">
        <f t="shared" si="1035"/>
        <v>17.483600425508151</v>
      </c>
      <c r="CW125" s="21">
        <f t="shared" si="1035"/>
        <v>17.94010169835672</v>
      </c>
      <c r="CX125" s="21">
        <f t="shared" si="1035"/>
        <v>18.44947759192403</v>
      </c>
      <c r="CY125" s="21">
        <f t="shared" si="1035"/>
        <v>18.714106728432089</v>
      </c>
      <c r="CZ125" s="21">
        <f t="shared" si="1035"/>
        <v>19.199210494293037</v>
      </c>
      <c r="DA125" s="21">
        <f t="shared" si="1035"/>
        <v>19.531779754346541</v>
      </c>
      <c r="DB125" s="21">
        <f t="shared" si="1035"/>
        <v>19.917130552967421</v>
      </c>
      <c r="DE125" s="22"/>
      <c r="DF125" s="162">
        <v>14.662387550626821</v>
      </c>
    </row>
    <row r="126" spans="1:110" s="10" customFormat="1" x14ac:dyDescent="0.2">
      <c r="A126" s="149" t="s">
        <v>490</v>
      </c>
      <c r="AB126" s="20"/>
      <c r="AC126" s="20"/>
      <c r="AD126" s="20"/>
      <c r="AE126" s="20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E126" s="126"/>
    </row>
    <row r="127" spans="1:110" x14ac:dyDescent="0.2">
      <c r="A127" s="152" t="s">
        <v>491</v>
      </c>
      <c r="AA127" s="2"/>
      <c r="CL127" s="2"/>
    </row>
    <row r="128" spans="1:110" s="23" customFormat="1" outlineLevel="1" x14ac:dyDescent="0.2">
      <c r="A128" s="23" t="s">
        <v>41</v>
      </c>
      <c r="B128" s="23">
        <f>'Annual Raw'!C41</f>
        <v>0</v>
      </c>
      <c r="C128" s="23">
        <f>'Annual Raw'!D41</f>
        <v>0</v>
      </c>
      <c r="D128" s="23">
        <f>'Annual Raw'!E41</f>
        <v>0</v>
      </c>
      <c r="E128" s="23">
        <f>'Annual Raw'!F41</f>
        <v>0</v>
      </c>
      <c r="F128" s="23">
        <f>'Annual Raw'!G41</f>
        <v>0.85</v>
      </c>
      <c r="G128" s="23">
        <f>'Annual Raw'!H41</f>
        <v>0.85</v>
      </c>
      <c r="H128" s="23">
        <f>'Annual Raw'!I41</f>
        <v>4.05</v>
      </c>
      <c r="I128" s="23">
        <f>'Annual Raw'!J41</f>
        <v>4.05</v>
      </c>
      <c r="J128" s="23">
        <f>'Annual Raw'!K41</f>
        <v>4.05</v>
      </c>
      <c r="K128" s="23">
        <f>'Annual Raw'!L41</f>
        <v>4.05</v>
      </c>
      <c r="L128" s="23">
        <f>'Annual Raw'!M41</f>
        <v>4.7126299999999999</v>
      </c>
      <c r="M128" s="23">
        <f>'Annual Raw'!N41</f>
        <v>4.7126299999999999</v>
      </c>
      <c r="N128" s="23">
        <f>'Annual Raw'!O41</f>
        <v>5.7489999999999997</v>
      </c>
      <c r="O128" s="23">
        <f>'Annual Raw'!P41</f>
        <v>5.7489999999999997</v>
      </c>
      <c r="P128" s="23">
        <f>'Annual Raw'!Q41</f>
        <v>5.7489999999999997</v>
      </c>
      <c r="Q128" s="23">
        <f>'Annual Raw'!R41</f>
        <v>5.7489999999999997</v>
      </c>
      <c r="R128" s="23">
        <f>'Annual Raw'!S41</f>
        <v>5.7489999999999997</v>
      </c>
      <c r="S128" s="23">
        <f>'Annual Raw'!T41</f>
        <v>10.06</v>
      </c>
      <c r="T128" s="23">
        <f>'Annual Raw'!U41</f>
        <v>10.061</v>
      </c>
      <c r="U128" s="23">
        <f>'Annual Raw'!V41</f>
        <v>10.06</v>
      </c>
      <c r="V128" s="23">
        <f>'Annual Raw'!W41</f>
        <v>10.56</v>
      </c>
      <c r="W128" s="23">
        <f>'Annual Raw'!X41</f>
        <v>10.56</v>
      </c>
      <c r="X128" s="23">
        <f>'Annual Raw'!Y41</f>
        <v>10.56</v>
      </c>
      <c r="Y128" s="23">
        <f>'Annual Raw'!Z41</f>
        <v>10.56</v>
      </c>
      <c r="Z128" s="23">
        <f>'Annual Raw'!AA41</f>
        <v>11.93</v>
      </c>
      <c r="AA128" s="23">
        <f>'Annual Raw'!AB41</f>
        <v>11.93</v>
      </c>
      <c r="AB128" s="24">
        <f>+CP128</f>
        <v>11.93</v>
      </c>
      <c r="AC128" s="24">
        <f>+CT128</f>
        <v>11.93</v>
      </c>
      <c r="AD128" s="24">
        <f>+CX128</f>
        <v>11.93</v>
      </c>
      <c r="AE128" s="24">
        <f>+DB128</f>
        <v>11.93</v>
      </c>
      <c r="AJ128" s="23">
        <f>+'QTR Raw'!D56</f>
        <v>0</v>
      </c>
      <c r="AK128" s="23">
        <f t="shared" ref="AK128:CE128" si="1036">+AJ128</f>
        <v>0</v>
      </c>
      <c r="AL128" s="23">
        <f>+'QTR Raw'!F56</f>
        <v>0</v>
      </c>
      <c r="AM128" s="23">
        <f t="shared" si="1036"/>
        <v>0</v>
      </c>
      <c r="AN128" s="23">
        <f>+'QTR Raw'!H56</f>
        <v>0</v>
      </c>
      <c r="AO128" s="23">
        <f t="shared" si="1036"/>
        <v>0</v>
      </c>
      <c r="AP128" s="23">
        <f>+'QTR Raw'!J56</f>
        <v>0</v>
      </c>
      <c r="AQ128" s="23">
        <f t="shared" si="1036"/>
        <v>0</v>
      </c>
      <c r="AR128" s="23">
        <f>+'QTR Raw'!L56</f>
        <v>0</v>
      </c>
      <c r="AS128" s="23">
        <f t="shared" si="1036"/>
        <v>0</v>
      </c>
      <c r="AT128" s="23">
        <f>+'QTR Raw'!N56</f>
        <v>0</v>
      </c>
      <c r="AU128" s="23">
        <f t="shared" si="1036"/>
        <v>0</v>
      </c>
      <c r="AV128" s="23">
        <f>+'QTR Raw'!P56</f>
        <v>0</v>
      </c>
      <c r="AW128" s="23">
        <f t="shared" si="1036"/>
        <v>0</v>
      </c>
      <c r="AX128" s="23">
        <f>+'QTR Raw'!R56</f>
        <v>0</v>
      </c>
      <c r="AY128" s="23">
        <f t="shared" si="1036"/>
        <v>0</v>
      </c>
      <c r="AZ128" s="23">
        <f>+'QTR Raw'!T56</f>
        <v>0</v>
      </c>
      <c r="BA128" s="23">
        <f t="shared" si="1036"/>
        <v>0</v>
      </c>
      <c r="BB128" s="23">
        <f>+'QTR Raw'!V56</f>
        <v>0</v>
      </c>
      <c r="BC128" s="23">
        <f t="shared" si="1036"/>
        <v>0</v>
      </c>
      <c r="BD128" s="23">
        <f>+'QTR Raw'!X56</f>
        <v>0</v>
      </c>
      <c r="BE128" s="23">
        <f t="shared" si="1036"/>
        <v>0</v>
      </c>
      <c r="BF128" s="23">
        <f>+'QTR Raw'!Z56</f>
        <v>0</v>
      </c>
      <c r="BG128" s="23">
        <f t="shared" si="1036"/>
        <v>0</v>
      </c>
      <c r="BH128" s="23">
        <f>+'QTR Raw'!AB56</f>
        <v>0</v>
      </c>
      <c r="BI128" s="23">
        <f t="shared" si="1036"/>
        <v>0</v>
      </c>
      <c r="BJ128" s="23">
        <f>+'QTR Raw'!AD56</f>
        <v>0</v>
      </c>
      <c r="BK128" s="23">
        <f t="shared" si="1036"/>
        <v>0</v>
      </c>
      <c r="BL128" s="23">
        <f>+'QTR Raw'!AF56</f>
        <v>0</v>
      </c>
      <c r="BM128" s="23">
        <f t="shared" si="1036"/>
        <v>0</v>
      </c>
      <c r="BN128" s="23">
        <f>+'QTR Raw'!AH56</f>
        <v>10.06</v>
      </c>
      <c r="BO128" s="23">
        <f t="shared" si="1036"/>
        <v>10.06</v>
      </c>
      <c r="BP128" s="23">
        <f>+'QTR Raw'!AJ56</f>
        <v>0</v>
      </c>
      <c r="BQ128" s="23">
        <f t="shared" si="1036"/>
        <v>0</v>
      </c>
      <c r="BR128" s="23">
        <f>+'QTR Raw'!AL56</f>
        <v>10.56</v>
      </c>
      <c r="BS128" s="23">
        <f t="shared" si="1036"/>
        <v>10.56</v>
      </c>
      <c r="BT128" s="23">
        <f>+'QTR Raw'!AN56</f>
        <v>10.56</v>
      </c>
      <c r="BU128" s="23">
        <f t="shared" si="1036"/>
        <v>10.56</v>
      </c>
      <c r="BV128" s="23">
        <f>+'QTR Raw'!AP56</f>
        <v>10.56</v>
      </c>
      <c r="BW128" s="23">
        <f t="shared" si="1036"/>
        <v>10.56</v>
      </c>
      <c r="BX128" s="23">
        <f>+'QTR Raw'!AR56</f>
        <v>10.56</v>
      </c>
      <c r="BY128" s="23">
        <f t="shared" si="1036"/>
        <v>10.56</v>
      </c>
      <c r="BZ128" s="23">
        <f>+'QTR Raw'!AT56</f>
        <v>10.56</v>
      </c>
      <c r="CA128" s="23">
        <f t="shared" si="1036"/>
        <v>10.56</v>
      </c>
      <c r="CB128" s="23">
        <f>+'QTR Raw'!AV56</f>
        <v>10.56</v>
      </c>
      <c r="CC128" s="23">
        <f t="shared" si="1036"/>
        <v>10.56</v>
      </c>
      <c r="CD128" s="23">
        <f>+'QTR Raw'!AX56</f>
        <v>10.56</v>
      </c>
      <c r="CE128" s="23">
        <f t="shared" si="1036"/>
        <v>10.56</v>
      </c>
      <c r="CF128" s="23">
        <f>+'QTR Raw'!AZ56</f>
        <v>11.93</v>
      </c>
      <c r="CG128" s="23">
        <f t="shared" ref="CG128:CG129" si="1037">+CF128</f>
        <v>11.93</v>
      </c>
      <c r="CH128" s="23">
        <f>Z128</f>
        <v>11.93</v>
      </c>
      <c r="CI128" s="23">
        <f>CH128</f>
        <v>11.93</v>
      </c>
      <c r="CJ128" s="23">
        <f>+'QTR Raw'!BD56</f>
        <v>11.93</v>
      </c>
      <c r="CK128" s="23">
        <f t="shared" ref="CK128:DB128" si="1038">CJ128</f>
        <v>11.93</v>
      </c>
      <c r="CL128" s="23">
        <f>+'QTR Raw'!BF56</f>
        <v>11.93</v>
      </c>
      <c r="CM128" s="24">
        <f t="shared" si="1038"/>
        <v>11.93</v>
      </c>
      <c r="CN128" s="24">
        <f t="shared" si="1038"/>
        <v>11.93</v>
      </c>
      <c r="CO128" s="24">
        <f t="shared" si="1038"/>
        <v>11.93</v>
      </c>
      <c r="CP128" s="24">
        <f t="shared" si="1038"/>
        <v>11.93</v>
      </c>
      <c r="CQ128" s="24">
        <f t="shared" si="1038"/>
        <v>11.93</v>
      </c>
      <c r="CR128" s="24">
        <f t="shared" si="1038"/>
        <v>11.93</v>
      </c>
      <c r="CS128" s="24">
        <f t="shared" si="1038"/>
        <v>11.93</v>
      </c>
      <c r="CT128" s="24">
        <f t="shared" si="1038"/>
        <v>11.93</v>
      </c>
      <c r="CU128" s="24">
        <f t="shared" si="1038"/>
        <v>11.93</v>
      </c>
      <c r="CV128" s="24">
        <f t="shared" si="1038"/>
        <v>11.93</v>
      </c>
      <c r="CW128" s="24">
        <f t="shared" si="1038"/>
        <v>11.93</v>
      </c>
      <c r="CX128" s="24">
        <f t="shared" si="1038"/>
        <v>11.93</v>
      </c>
      <c r="CY128" s="24">
        <f t="shared" si="1038"/>
        <v>11.93</v>
      </c>
      <c r="CZ128" s="24">
        <f t="shared" si="1038"/>
        <v>11.93</v>
      </c>
      <c r="DA128" s="24">
        <f t="shared" si="1038"/>
        <v>11.93</v>
      </c>
      <c r="DB128" s="24">
        <f t="shared" si="1038"/>
        <v>11.93</v>
      </c>
      <c r="DE128" s="123"/>
      <c r="DF128" s="23">
        <v>11.93</v>
      </c>
    </row>
    <row r="129" spans="1:110" s="23" customFormat="1" outlineLevel="1" x14ac:dyDescent="0.2">
      <c r="A129" s="23" t="s">
        <v>42</v>
      </c>
      <c r="B129" s="23">
        <f>'Annual Raw'!C42</f>
        <v>0</v>
      </c>
      <c r="C129" s="23">
        <f>'Annual Raw'!D42</f>
        <v>0</v>
      </c>
      <c r="D129" s="23">
        <f>'Annual Raw'!E42</f>
        <v>0</v>
      </c>
      <c r="E129" s="23">
        <f>'Annual Raw'!F42</f>
        <v>0</v>
      </c>
      <c r="F129" s="23">
        <f>'Annual Raw'!G42</f>
        <v>0</v>
      </c>
      <c r="G129" s="23">
        <f>'Annual Raw'!H42</f>
        <v>0</v>
      </c>
      <c r="H129" s="23">
        <f>'Annual Raw'!I42</f>
        <v>0</v>
      </c>
      <c r="I129" s="23">
        <f>'Annual Raw'!J42</f>
        <v>0</v>
      </c>
      <c r="J129" s="23">
        <f>'Annual Raw'!K42</f>
        <v>0</v>
      </c>
      <c r="K129" s="23">
        <f>'Annual Raw'!L42</f>
        <v>0</v>
      </c>
      <c r="L129" s="23">
        <f>'Annual Raw'!M42</f>
        <v>0</v>
      </c>
      <c r="M129" s="23">
        <f>'Annual Raw'!N42</f>
        <v>0</v>
      </c>
      <c r="N129" s="23">
        <f>'Annual Raw'!O42</f>
        <v>0</v>
      </c>
      <c r="O129" s="23">
        <f>'Annual Raw'!P42</f>
        <v>0</v>
      </c>
      <c r="P129" s="23">
        <f>'Annual Raw'!Q42</f>
        <v>0</v>
      </c>
      <c r="Q129" s="23">
        <f>'Annual Raw'!R42</f>
        <v>0</v>
      </c>
      <c r="R129" s="23">
        <f>'Annual Raw'!S42</f>
        <v>0</v>
      </c>
      <c r="S129" s="23">
        <f>'Annual Raw'!T42</f>
        <v>0</v>
      </c>
      <c r="T129" s="23">
        <f>'Annual Raw'!U42</f>
        <v>0</v>
      </c>
      <c r="U129" s="23">
        <f>'Annual Raw'!V42</f>
        <v>0</v>
      </c>
      <c r="V129" s="23">
        <f>'Annual Raw'!W42</f>
        <v>0</v>
      </c>
      <c r="W129" s="23">
        <f>'Annual Raw'!X42</f>
        <v>0</v>
      </c>
      <c r="X129" s="23">
        <f>'Annual Raw'!Y42</f>
        <v>0</v>
      </c>
      <c r="Y129" s="23">
        <f>'Annual Raw'!Z42</f>
        <v>0</v>
      </c>
      <c r="Z129" s="23">
        <f>'Annual Raw'!AA42</f>
        <v>0</v>
      </c>
      <c r="AA129" s="23">
        <f>'Annual Raw'!AB42</f>
        <v>0</v>
      </c>
      <c r="AB129" s="24">
        <f t="shared" ref="AB129:AB130" si="1039">+CP129</f>
        <v>0</v>
      </c>
      <c r="AC129" s="24">
        <f t="shared" ref="AC129:AC130" si="1040">+CT129</f>
        <v>0</v>
      </c>
      <c r="AD129" s="24">
        <f t="shared" ref="AD129:AD130" si="1041">+CX129</f>
        <v>0</v>
      </c>
      <c r="AE129" s="24">
        <f t="shared" ref="AE129:AE130" si="1042">+DB129</f>
        <v>0</v>
      </c>
      <c r="AJ129" s="23">
        <f>+'QTR Raw'!D57</f>
        <v>0</v>
      </c>
      <c r="AK129" s="23">
        <f t="shared" ref="AK129:CE129" si="1043">+AJ129</f>
        <v>0</v>
      </c>
      <c r="AL129" s="23">
        <f>+'QTR Raw'!F57</f>
        <v>0</v>
      </c>
      <c r="AM129" s="23">
        <f t="shared" si="1043"/>
        <v>0</v>
      </c>
      <c r="AN129" s="23">
        <f>+'QTR Raw'!H57</f>
        <v>0</v>
      </c>
      <c r="AO129" s="23">
        <f t="shared" si="1043"/>
        <v>0</v>
      </c>
      <c r="AP129" s="23">
        <f>+'QTR Raw'!J57</f>
        <v>0</v>
      </c>
      <c r="AQ129" s="23">
        <f t="shared" si="1043"/>
        <v>0</v>
      </c>
      <c r="AR129" s="23">
        <f>+'QTR Raw'!L57</f>
        <v>0</v>
      </c>
      <c r="AS129" s="23">
        <f t="shared" si="1043"/>
        <v>0</v>
      </c>
      <c r="AT129" s="23">
        <f>+'QTR Raw'!N57</f>
        <v>0</v>
      </c>
      <c r="AU129" s="23">
        <f t="shared" si="1043"/>
        <v>0</v>
      </c>
      <c r="AV129" s="23">
        <f>+'QTR Raw'!P57</f>
        <v>0</v>
      </c>
      <c r="AW129" s="23">
        <f t="shared" si="1043"/>
        <v>0</v>
      </c>
      <c r="AX129" s="23">
        <f>+'QTR Raw'!R57</f>
        <v>0</v>
      </c>
      <c r="AY129" s="23">
        <f t="shared" si="1043"/>
        <v>0</v>
      </c>
      <c r="AZ129" s="23">
        <f>+'QTR Raw'!T57</f>
        <v>0</v>
      </c>
      <c r="BA129" s="23">
        <f t="shared" si="1043"/>
        <v>0</v>
      </c>
      <c r="BB129" s="23">
        <f>+'QTR Raw'!V57</f>
        <v>0</v>
      </c>
      <c r="BC129" s="23">
        <f t="shared" si="1043"/>
        <v>0</v>
      </c>
      <c r="BD129" s="23">
        <f>+'QTR Raw'!X57</f>
        <v>0</v>
      </c>
      <c r="BE129" s="23">
        <f t="shared" si="1043"/>
        <v>0</v>
      </c>
      <c r="BF129" s="23">
        <f>+'QTR Raw'!Z57</f>
        <v>0</v>
      </c>
      <c r="BG129" s="23">
        <f t="shared" si="1043"/>
        <v>0</v>
      </c>
      <c r="BH129" s="23">
        <f>+'QTR Raw'!AB57</f>
        <v>0</v>
      </c>
      <c r="BI129" s="23">
        <f t="shared" si="1043"/>
        <v>0</v>
      </c>
      <c r="BJ129" s="23">
        <f>+'QTR Raw'!AD57</f>
        <v>0</v>
      </c>
      <c r="BK129" s="23">
        <f t="shared" si="1043"/>
        <v>0</v>
      </c>
      <c r="BL129" s="23">
        <f>+'QTR Raw'!AF57</f>
        <v>0</v>
      </c>
      <c r="BM129" s="23">
        <f t="shared" si="1043"/>
        <v>0</v>
      </c>
      <c r="BN129" s="23">
        <f>+'QTR Raw'!AH57</f>
        <v>0</v>
      </c>
      <c r="BO129" s="23">
        <f t="shared" si="1043"/>
        <v>0</v>
      </c>
      <c r="BP129" s="23">
        <f>+'QTR Raw'!AJ57</f>
        <v>0</v>
      </c>
      <c r="BQ129" s="23">
        <f t="shared" si="1043"/>
        <v>0</v>
      </c>
      <c r="BR129" s="23">
        <f>+'QTR Raw'!AL57</f>
        <v>0</v>
      </c>
      <c r="BS129" s="23">
        <f t="shared" si="1043"/>
        <v>0</v>
      </c>
      <c r="BT129" s="23">
        <f>+'QTR Raw'!AN57</f>
        <v>0</v>
      </c>
      <c r="BU129" s="23">
        <f t="shared" si="1043"/>
        <v>0</v>
      </c>
      <c r="BV129" s="23">
        <f>+'QTR Raw'!AP57</f>
        <v>0</v>
      </c>
      <c r="BW129" s="23">
        <f t="shared" si="1043"/>
        <v>0</v>
      </c>
      <c r="BX129" s="23">
        <f>+'QTR Raw'!AR57</f>
        <v>0</v>
      </c>
      <c r="BY129" s="23">
        <f t="shared" si="1043"/>
        <v>0</v>
      </c>
      <c r="BZ129" s="23">
        <f>+'QTR Raw'!AT57</f>
        <v>0</v>
      </c>
      <c r="CA129" s="23">
        <f t="shared" si="1043"/>
        <v>0</v>
      </c>
      <c r="CB129" s="23">
        <f>+'QTR Raw'!AV57</f>
        <v>0</v>
      </c>
      <c r="CC129" s="23">
        <f t="shared" si="1043"/>
        <v>0</v>
      </c>
      <c r="CD129" s="23">
        <f>+'QTR Raw'!AX57</f>
        <v>0</v>
      </c>
      <c r="CE129" s="23">
        <f t="shared" si="1043"/>
        <v>0</v>
      </c>
      <c r="CF129" s="23">
        <f>+'QTR Raw'!AZ57</f>
        <v>0</v>
      </c>
      <c r="CG129" s="23">
        <f t="shared" si="1037"/>
        <v>0</v>
      </c>
      <c r="CH129" s="23">
        <f t="shared" ref="CH129:CH130" si="1044">Z129</f>
        <v>0</v>
      </c>
      <c r="CI129" s="23">
        <f>CH129</f>
        <v>0</v>
      </c>
      <c r="CJ129" s="23">
        <f>+'QTR Raw'!BD57</f>
        <v>0</v>
      </c>
      <c r="CK129" s="23">
        <f t="shared" ref="CK129:DB129" si="1045">CJ129</f>
        <v>0</v>
      </c>
      <c r="CL129" s="23">
        <f>+'QTR Raw'!BF57</f>
        <v>0</v>
      </c>
      <c r="CM129" s="24">
        <f t="shared" si="1045"/>
        <v>0</v>
      </c>
      <c r="CN129" s="24">
        <f t="shared" si="1045"/>
        <v>0</v>
      </c>
      <c r="CO129" s="24">
        <f t="shared" si="1045"/>
        <v>0</v>
      </c>
      <c r="CP129" s="24">
        <f t="shared" si="1045"/>
        <v>0</v>
      </c>
      <c r="CQ129" s="24">
        <f t="shared" si="1045"/>
        <v>0</v>
      </c>
      <c r="CR129" s="24">
        <f t="shared" si="1045"/>
        <v>0</v>
      </c>
      <c r="CS129" s="24">
        <f t="shared" si="1045"/>
        <v>0</v>
      </c>
      <c r="CT129" s="24">
        <f t="shared" si="1045"/>
        <v>0</v>
      </c>
      <c r="CU129" s="24">
        <f t="shared" si="1045"/>
        <v>0</v>
      </c>
      <c r="CV129" s="24">
        <f t="shared" si="1045"/>
        <v>0</v>
      </c>
      <c r="CW129" s="24">
        <f t="shared" si="1045"/>
        <v>0</v>
      </c>
      <c r="CX129" s="24">
        <f t="shared" si="1045"/>
        <v>0</v>
      </c>
      <c r="CY129" s="24">
        <f t="shared" si="1045"/>
        <v>0</v>
      </c>
      <c r="CZ129" s="24">
        <f t="shared" si="1045"/>
        <v>0</v>
      </c>
      <c r="DA129" s="24">
        <f t="shared" si="1045"/>
        <v>0</v>
      </c>
      <c r="DB129" s="24">
        <f t="shared" si="1045"/>
        <v>0</v>
      </c>
      <c r="DE129" s="123"/>
      <c r="DF129" s="23">
        <v>0</v>
      </c>
    </row>
    <row r="130" spans="1:110" s="23" customFormat="1" outlineLevel="1" x14ac:dyDescent="0.2">
      <c r="A130" s="23" t="s">
        <v>43</v>
      </c>
      <c r="B130" s="23">
        <f>'Annual Raw'!C43</f>
        <v>0</v>
      </c>
      <c r="C130" s="23">
        <f>'Annual Raw'!D43</f>
        <v>0</v>
      </c>
      <c r="D130" s="23">
        <f>'Annual Raw'!E43</f>
        <v>0</v>
      </c>
      <c r="E130" s="23">
        <f>'Annual Raw'!F43</f>
        <v>0</v>
      </c>
      <c r="F130" s="23">
        <f>'Annual Raw'!G43</f>
        <v>20.632903599999999</v>
      </c>
      <c r="G130" s="23">
        <f>'Annual Raw'!H43</f>
        <v>30.6333701</v>
      </c>
      <c r="H130" s="23">
        <f>'Annual Raw'!I43</f>
        <v>39.374696900000004</v>
      </c>
      <c r="I130" s="23">
        <f>'Annual Raw'!J43</f>
        <v>55.830981199999997</v>
      </c>
      <c r="J130" s="23">
        <f>'Annual Raw'!K43</f>
        <v>62.290927699999997</v>
      </c>
      <c r="K130" s="23">
        <f>'Annual Raw'!L43</f>
        <v>72.602367599999994</v>
      </c>
      <c r="L130" s="23">
        <f>'Annual Raw'!M43</f>
        <v>132.13632920000001</v>
      </c>
      <c r="M130" s="23">
        <f>'Annual Raw'!N43</f>
        <v>177.67815540000001</v>
      </c>
      <c r="N130" s="23">
        <f>'Annual Raw'!O43</f>
        <v>430.57900000000001</v>
      </c>
      <c r="O130" s="23">
        <f>'Annual Raw'!P43</f>
        <v>452.46699999999998</v>
      </c>
      <c r="P130" s="23">
        <f>'Annual Raw'!Q43</f>
        <v>486.541</v>
      </c>
      <c r="Q130" s="23">
        <f>'Annual Raw'!R43</f>
        <v>528.15300000000002</v>
      </c>
      <c r="R130" s="23">
        <f>'Annual Raw'!S43</f>
        <v>570.98400000000004</v>
      </c>
      <c r="S130" s="23">
        <f>'Annual Raw'!T43</f>
        <v>588.21</v>
      </c>
      <c r="T130" s="23">
        <f>'Annual Raw'!U43</f>
        <v>673.19799999999998</v>
      </c>
      <c r="U130" s="23">
        <f>'Annual Raw'!V43</f>
        <v>711.53</v>
      </c>
      <c r="V130" s="23">
        <f>'Annual Raw'!W43</f>
        <v>958.87</v>
      </c>
      <c r="W130" s="23">
        <f>'Annual Raw'!X43</f>
        <v>1125.18</v>
      </c>
      <c r="X130" s="23">
        <f>'Annual Raw'!Y43</f>
        <v>1366.34</v>
      </c>
      <c r="Y130" s="23">
        <f>'Annual Raw'!Z43</f>
        <v>1647.42</v>
      </c>
      <c r="Z130" s="23">
        <f>'Annual Raw'!AA43</f>
        <v>2844.81</v>
      </c>
      <c r="AA130" s="23">
        <f>'Annual Raw'!AB43</f>
        <v>3252.13</v>
      </c>
      <c r="AB130" s="24">
        <f t="shared" si="1039"/>
        <v>3722.0531159733055</v>
      </c>
      <c r="AC130" s="24">
        <f t="shared" si="1040"/>
        <v>4439.0396247692806</v>
      </c>
      <c r="AD130" s="24">
        <f t="shared" si="1041"/>
        <v>5427.7571744987908</v>
      </c>
      <c r="AE130" s="24">
        <f t="shared" si="1042"/>
        <v>6722.0751287681496</v>
      </c>
      <c r="AJ130" s="23">
        <f>+'QTR Raw'!D58</f>
        <v>0</v>
      </c>
      <c r="AK130" s="23">
        <f>+AJ130+AK59</f>
        <v>0</v>
      </c>
      <c r="AL130" s="23">
        <f>+'QTR Raw'!F58</f>
        <v>0</v>
      </c>
      <c r="AM130" s="23">
        <f>+AL130+AM59</f>
        <v>0</v>
      </c>
      <c r="AN130" s="23">
        <f>+'QTR Raw'!H58</f>
        <v>0</v>
      </c>
      <c r="AO130" s="23">
        <f>+AN130+AO59</f>
        <v>0</v>
      </c>
      <c r="AP130" s="23">
        <f>+'QTR Raw'!J58</f>
        <v>0</v>
      </c>
      <c r="AQ130" s="23">
        <f>+AP130+AQ59</f>
        <v>0</v>
      </c>
      <c r="AR130" s="23">
        <f>+'QTR Raw'!L58</f>
        <v>0</v>
      </c>
      <c r="AS130" s="23">
        <f>+AR130+AS59</f>
        <v>0</v>
      </c>
      <c r="AT130" s="23">
        <f>+'QTR Raw'!N58</f>
        <v>0</v>
      </c>
      <c r="AU130" s="23">
        <f>+AT130+AU59</f>
        <v>0</v>
      </c>
      <c r="AV130" s="23">
        <f>+'QTR Raw'!P58</f>
        <v>0</v>
      </c>
      <c r="AW130" s="23">
        <f>+AV130+AW59</f>
        <v>0</v>
      </c>
      <c r="AX130" s="23">
        <f>+'QTR Raw'!R58</f>
        <v>0</v>
      </c>
      <c r="AY130" s="23">
        <f>+AX130+AY59</f>
        <v>0</v>
      </c>
      <c r="AZ130" s="23">
        <f>+'QTR Raw'!T58</f>
        <v>0</v>
      </c>
      <c r="BA130" s="23">
        <f>+AZ130+BA59</f>
        <v>0</v>
      </c>
      <c r="BB130" s="23">
        <f>+'QTR Raw'!V58</f>
        <v>0</v>
      </c>
      <c r="BC130" s="23">
        <f>+BB130+BC59</f>
        <v>0</v>
      </c>
      <c r="BD130" s="23">
        <f>+'QTR Raw'!X58</f>
        <v>0</v>
      </c>
      <c r="BE130" s="23">
        <f>+BD130+BE59</f>
        <v>0</v>
      </c>
      <c r="BF130" s="23">
        <f>+'QTR Raw'!Z58</f>
        <v>0</v>
      </c>
      <c r="BG130" s="23">
        <f>+BF130+BG59</f>
        <v>0</v>
      </c>
      <c r="BH130" s="23">
        <f>+'QTR Raw'!AB58</f>
        <v>0</v>
      </c>
      <c r="BI130" s="23">
        <f>+BH130+BI59</f>
        <v>0</v>
      </c>
      <c r="BJ130" s="23">
        <f>+'QTR Raw'!AD58</f>
        <v>0</v>
      </c>
      <c r="BK130" s="23">
        <f>+BJ130+BK59</f>
        <v>0</v>
      </c>
      <c r="BL130" s="23">
        <f>+'QTR Raw'!AF58</f>
        <v>0</v>
      </c>
      <c r="BM130" s="23">
        <f>+BL130+BM59</f>
        <v>0</v>
      </c>
      <c r="BN130" s="23">
        <f>+'QTR Raw'!AH58</f>
        <v>711.53</v>
      </c>
      <c r="BO130" s="23">
        <f>+BN130+BO59</f>
        <v>695.3</v>
      </c>
      <c r="BP130" s="23">
        <f>+'QTR Raw'!AJ58</f>
        <v>0</v>
      </c>
      <c r="BQ130" s="23">
        <f>+BP130+BQ59</f>
        <v>43.479999999999983</v>
      </c>
      <c r="BR130" s="23">
        <f>+'QTR Raw'!AL58</f>
        <v>958.87</v>
      </c>
      <c r="BS130" s="23">
        <f>+BR130+BS59</f>
        <v>982.93999999999994</v>
      </c>
      <c r="BT130" s="23">
        <f>+'QTR Raw'!AN58</f>
        <v>1034.0899999999999</v>
      </c>
      <c r="BU130" s="23">
        <f>+BT130+BU59</f>
        <v>1071.6899999999998</v>
      </c>
      <c r="BV130" s="23">
        <f>+'QTR Raw'!AP58</f>
        <v>1125.18</v>
      </c>
      <c r="BW130" s="23">
        <f>+BV130+BW59</f>
        <v>1181.8200000000002</v>
      </c>
      <c r="BX130" s="23">
        <f>+'QTR Raw'!AR58</f>
        <v>1232.97</v>
      </c>
      <c r="BY130" s="23">
        <f>+BX130+BY59</f>
        <v>1284.58</v>
      </c>
      <c r="BZ130" s="23">
        <f>+'QTR Raw'!AT58</f>
        <v>1366.34</v>
      </c>
      <c r="CA130" s="23">
        <f>+BZ130+CA59</f>
        <v>1440.82</v>
      </c>
      <c r="CB130" s="23">
        <f>+'QTR Raw'!AV58</f>
        <v>1512.02</v>
      </c>
      <c r="CC130" s="23">
        <f>+CB130+CC59</f>
        <v>1585.14</v>
      </c>
      <c r="CD130" s="23">
        <f>+'QTR Raw'!AX58</f>
        <v>1647.42</v>
      </c>
      <c r="CE130" s="23">
        <f>+CD130+CE59</f>
        <v>1700.6100000000001</v>
      </c>
      <c r="CF130" s="23">
        <f>+'QTR Raw'!AZ58</f>
        <v>2772.32</v>
      </c>
      <c r="CG130" s="23">
        <f>+CF130+CG59</f>
        <v>2785.25</v>
      </c>
      <c r="CH130" s="23">
        <f t="shared" si="1044"/>
        <v>2844.81</v>
      </c>
      <c r="CI130" s="23">
        <f>CH130+CI59</f>
        <v>2914.41</v>
      </c>
      <c r="CJ130" s="23">
        <f>+'QTR Raw'!BD58</f>
        <v>3017.93</v>
      </c>
      <c r="CK130" s="23">
        <f t="shared" ref="CK130:DB130" si="1046">CJ130+CK59</f>
        <v>3125.04</v>
      </c>
      <c r="CL130" s="23">
        <f>+'QTR Raw'!BF58</f>
        <v>3252.13</v>
      </c>
      <c r="CM130" s="24">
        <f t="shared" si="1046"/>
        <v>3330.4872314243903</v>
      </c>
      <c r="CN130" s="24">
        <f t="shared" si="1046"/>
        <v>3443.8743402352075</v>
      </c>
      <c r="CO130" s="24">
        <f t="shared" si="1046"/>
        <v>3571.0025416569042</v>
      </c>
      <c r="CP130" s="24">
        <f t="shared" si="1046"/>
        <v>3722.0531159733055</v>
      </c>
      <c r="CQ130" s="24">
        <f t="shared" si="1046"/>
        <v>3859.8818220778412</v>
      </c>
      <c r="CR130" s="24">
        <f t="shared" si="1046"/>
        <v>4035.3424436031651</v>
      </c>
      <c r="CS130" s="24">
        <f t="shared" si="1046"/>
        <v>4222.8073125811752</v>
      </c>
      <c r="CT130" s="24">
        <f t="shared" si="1046"/>
        <v>4439.0396247692806</v>
      </c>
      <c r="CU130" s="24">
        <f t="shared" si="1046"/>
        <v>4639.4075487376294</v>
      </c>
      <c r="CV130" s="24">
        <f t="shared" si="1046"/>
        <v>4882.4707337524042</v>
      </c>
      <c r="CW130" s="24">
        <f t="shared" si="1046"/>
        <v>5138.3941740582759</v>
      </c>
      <c r="CX130" s="24">
        <f t="shared" si="1046"/>
        <v>5427.7571744987908</v>
      </c>
      <c r="CY130" s="24">
        <f t="shared" si="1046"/>
        <v>5697.4644376141969</v>
      </c>
      <c r="CZ130" s="24">
        <f t="shared" si="1046"/>
        <v>6016.5446688744023</v>
      </c>
      <c r="DA130" s="24">
        <f t="shared" si="1046"/>
        <v>6349.9494639160312</v>
      </c>
      <c r="DB130" s="24">
        <f t="shared" si="1046"/>
        <v>6722.0751287681496</v>
      </c>
      <c r="DE130" s="123"/>
      <c r="DF130" s="23">
        <v>3228.5390408741291</v>
      </c>
    </row>
    <row r="131" spans="1:110" s="22" customFormat="1" x14ac:dyDescent="0.2">
      <c r="A131" s="22" t="s">
        <v>44</v>
      </c>
      <c r="B131" s="22">
        <f>B128+B129+B130</f>
        <v>0</v>
      </c>
      <c r="C131" s="22">
        <f t="shared" ref="C131:V131" si="1047">C128+C129+C130</f>
        <v>0</v>
      </c>
      <c r="D131" s="22">
        <f t="shared" si="1047"/>
        <v>0</v>
      </c>
      <c r="E131" s="22">
        <f t="shared" si="1047"/>
        <v>0</v>
      </c>
      <c r="F131" s="22">
        <f t="shared" si="1047"/>
        <v>21.4829036</v>
      </c>
      <c r="G131" s="22">
        <f t="shared" si="1047"/>
        <v>31.483370100000002</v>
      </c>
      <c r="H131" s="22">
        <f t="shared" si="1047"/>
        <v>43.424696900000001</v>
      </c>
      <c r="I131" s="22">
        <f t="shared" si="1047"/>
        <v>59.880981199999994</v>
      </c>
      <c r="J131" s="22">
        <f t="shared" si="1047"/>
        <v>66.340927699999995</v>
      </c>
      <c r="K131" s="22">
        <f t="shared" si="1047"/>
        <v>76.652367599999991</v>
      </c>
      <c r="L131" s="22">
        <f t="shared" si="1047"/>
        <v>136.8489592</v>
      </c>
      <c r="M131" s="22">
        <f>M128+M129+M130</f>
        <v>182.3907854</v>
      </c>
      <c r="N131" s="22">
        <f t="shared" si="1047"/>
        <v>436.32800000000003</v>
      </c>
      <c r="O131" s="22">
        <f t="shared" si="1047"/>
        <v>458.21600000000001</v>
      </c>
      <c r="P131" s="22">
        <f t="shared" si="1047"/>
        <v>492.29</v>
      </c>
      <c r="Q131" s="22">
        <f t="shared" si="1047"/>
        <v>533.90200000000004</v>
      </c>
      <c r="R131" s="22">
        <f t="shared" si="1047"/>
        <v>576.73300000000006</v>
      </c>
      <c r="S131" s="22">
        <f t="shared" si="1047"/>
        <v>598.27</v>
      </c>
      <c r="T131" s="22">
        <f t="shared" si="1047"/>
        <v>683.25900000000001</v>
      </c>
      <c r="U131" s="22">
        <f t="shared" si="1047"/>
        <v>721.58999999999992</v>
      </c>
      <c r="V131" s="22">
        <f t="shared" si="1047"/>
        <v>969.43</v>
      </c>
      <c r="W131" s="22">
        <f t="shared" ref="W131" si="1048">W128+W129+W130</f>
        <v>1135.74</v>
      </c>
      <c r="X131" s="22">
        <f t="shared" ref="X131:Y131" si="1049">X128+X129+X130</f>
        <v>1376.8999999999999</v>
      </c>
      <c r="Y131" s="22">
        <f t="shared" si="1049"/>
        <v>1657.98</v>
      </c>
      <c r="Z131" s="22">
        <f t="shared" ref="Z131:AA131" si="1050">Z128+Z129+Z130</f>
        <v>2856.74</v>
      </c>
      <c r="AA131" s="22">
        <f t="shared" si="1050"/>
        <v>3264.06</v>
      </c>
      <c r="AB131" s="21">
        <f t="shared" ref="AA131:AD131" si="1051">AB128+AB129+AB130</f>
        <v>3733.9831159733053</v>
      </c>
      <c r="AC131" s="21">
        <f t="shared" si="1051"/>
        <v>4450.9696247692809</v>
      </c>
      <c r="AD131" s="21">
        <f t="shared" si="1051"/>
        <v>5439.6871744987911</v>
      </c>
      <c r="AE131" s="21">
        <f t="shared" ref="AE131" si="1052">AE128+AE129+AE130</f>
        <v>6734.0051287681499</v>
      </c>
      <c r="AJ131" s="22">
        <f t="shared" ref="AJ131" si="1053">AJ128+AJ129+AJ130</f>
        <v>0</v>
      </c>
      <c r="AK131" s="22">
        <f t="shared" ref="AK131" si="1054">AK128+AK129+AK130</f>
        <v>0</v>
      </c>
      <c r="AL131" s="22">
        <f t="shared" ref="AL131:AM131" si="1055">AL128+AL129+AL130</f>
        <v>0</v>
      </c>
      <c r="AM131" s="22">
        <f t="shared" si="1055"/>
        <v>0</v>
      </c>
      <c r="AN131" s="22">
        <f t="shared" ref="AN131:AO131" si="1056">AN128+AN129+AN130</f>
        <v>0</v>
      </c>
      <c r="AO131" s="22">
        <f t="shared" si="1056"/>
        <v>0</v>
      </c>
      <c r="AP131" s="22">
        <f t="shared" ref="AP131:CE131" si="1057">AP128+AP129+AP130</f>
        <v>0</v>
      </c>
      <c r="AQ131" s="22">
        <f t="shared" si="1057"/>
        <v>0</v>
      </c>
      <c r="AR131" s="22">
        <f t="shared" si="1057"/>
        <v>0</v>
      </c>
      <c r="AS131" s="22">
        <f t="shared" si="1057"/>
        <v>0</v>
      </c>
      <c r="AT131" s="22">
        <f t="shared" si="1057"/>
        <v>0</v>
      </c>
      <c r="AU131" s="22">
        <f t="shared" si="1057"/>
        <v>0</v>
      </c>
      <c r="AV131" s="22">
        <f t="shared" si="1057"/>
        <v>0</v>
      </c>
      <c r="AW131" s="22">
        <f t="shared" si="1057"/>
        <v>0</v>
      </c>
      <c r="AX131" s="22">
        <f t="shared" si="1057"/>
        <v>0</v>
      </c>
      <c r="AY131" s="22">
        <f t="shared" si="1057"/>
        <v>0</v>
      </c>
      <c r="AZ131" s="22">
        <f t="shared" si="1057"/>
        <v>0</v>
      </c>
      <c r="BA131" s="22">
        <f t="shared" si="1057"/>
        <v>0</v>
      </c>
      <c r="BB131" s="22">
        <f t="shared" si="1057"/>
        <v>0</v>
      </c>
      <c r="BC131" s="22">
        <f t="shared" si="1057"/>
        <v>0</v>
      </c>
      <c r="BD131" s="22">
        <f t="shared" si="1057"/>
        <v>0</v>
      </c>
      <c r="BE131" s="22">
        <f t="shared" si="1057"/>
        <v>0</v>
      </c>
      <c r="BF131" s="22">
        <f t="shared" si="1057"/>
        <v>0</v>
      </c>
      <c r="BG131" s="22">
        <f t="shared" si="1057"/>
        <v>0</v>
      </c>
      <c r="BH131" s="22">
        <f t="shared" si="1057"/>
        <v>0</v>
      </c>
      <c r="BI131" s="22">
        <f t="shared" si="1057"/>
        <v>0</v>
      </c>
      <c r="BJ131" s="22">
        <f t="shared" si="1057"/>
        <v>0</v>
      </c>
      <c r="BK131" s="22">
        <f t="shared" si="1057"/>
        <v>0</v>
      </c>
      <c r="BL131" s="22">
        <f t="shared" si="1057"/>
        <v>0</v>
      </c>
      <c r="BM131" s="22">
        <f t="shared" si="1057"/>
        <v>0</v>
      </c>
      <c r="BN131" s="22">
        <f t="shared" si="1057"/>
        <v>721.58999999999992</v>
      </c>
      <c r="BO131" s="22">
        <f t="shared" si="1057"/>
        <v>705.3599999999999</v>
      </c>
      <c r="BP131" s="22">
        <f t="shared" si="1057"/>
        <v>0</v>
      </c>
      <c r="BQ131" s="22">
        <f t="shared" si="1057"/>
        <v>43.479999999999983</v>
      </c>
      <c r="BR131" s="22">
        <f t="shared" si="1057"/>
        <v>969.43</v>
      </c>
      <c r="BS131" s="22">
        <f t="shared" si="1057"/>
        <v>993.49999999999989</v>
      </c>
      <c r="BT131" s="22">
        <f t="shared" si="1057"/>
        <v>1044.6499999999999</v>
      </c>
      <c r="BU131" s="22">
        <f t="shared" si="1057"/>
        <v>1082.2499999999998</v>
      </c>
      <c r="BV131" s="22">
        <f t="shared" si="1057"/>
        <v>1135.74</v>
      </c>
      <c r="BW131" s="22">
        <f t="shared" si="1057"/>
        <v>1192.3800000000001</v>
      </c>
      <c r="BX131" s="22">
        <f t="shared" si="1057"/>
        <v>1243.53</v>
      </c>
      <c r="BY131" s="22">
        <f t="shared" si="1057"/>
        <v>1295.1399999999999</v>
      </c>
      <c r="BZ131" s="22">
        <f t="shared" si="1057"/>
        <v>1376.8999999999999</v>
      </c>
      <c r="CA131" s="22">
        <f t="shared" si="1057"/>
        <v>1451.3799999999999</v>
      </c>
      <c r="CB131" s="22">
        <f t="shared" si="1057"/>
        <v>1522.58</v>
      </c>
      <c r="CC131" s="22">
        <f t="shared" si="1057"/>
        <v>1595.7</v>
      </c>
      <c r="CD131" s="22">
        <f t="shared" si="1057"/>
        <v>1657.98</v>
      </c>
      <c r="CE131" s="22">
        <f t="shared" si="1057"/>
        <v>1711.17</v>
      </c>
      <c r="CF131" s="22">
        <f t="shared" ref="CF131:CG131" si="1058">CF128+CF129+CF130</f>
        <v>2784.25</v>
      </c>
      <c r="CG131" s="22">
        <f t="shared" si="1058"/>
        <v>2797.18</v>
      </c>
      <c r="CH131" s="22">
        <f t="shared" ref="CH131:CI131" si="1059">CH128+CH129+CH130</f>
        <v>2856.74</v>
      </c>
      <c r="CI131" s="22">
        <f t="shared" si="1059"/>
        <v>2926.3399999999997</v>
      </c>
      <c r="CJ131" s="22">
        <f t="shared" ref="CJ131:DB131" si="1060">CJ128+CJ129+CJ130</f>
        <v>3029.8599999999997</v>
      </c>
      <c r="CK131" s="22">
        <f t="shared" si="1060"/>
        <v>3136.97</v>
      </c>
      <c r="CL131" s="22">
        <f t="shared" ref="CL131" si="1061">CL128+CL129+CL130</f>
        <v>3264.06</v>
      </c>
      <c r="CM131" s="21">
        <f t="shared" si="1060"/>
        <v>3342.4172314243901</v>
      </c>
      <c r="CN131" s="21">
        <f t="shared" si="1060"/>
        <v>3455.8043402352073</v>
      </c>
      <c r="CO131" s="21">
        <f t="shared" si="1060"/>
        <v>3582.932541656904</v>
      </c>
      <c r="CP131" s="21">
        <f t="shared" si="1060"/>
        <v>3733.9831159733053</v>
      </c>
      <c r="CQ131" s="21">
        <f t="shared" si="1060"/>
        <v>3871.811822077841</v>
      </c>
      <c r="CR131" s="21">
        <f t="shared" si="1060"/>
        <v>4047.2724436031649</v>
      </c>
      <c r="CS131" s="21">
        <f t="shared" si="1060"/>
        <v>4234.7373125811755</v>
      </c>
      <c r="CT131" s="21">
        <f t="shared" si="1060"/>
        <v>4450.9696247692809</v>
      </c>
      <c r="CU131" s="21">
        <f t="shared" si="1060"/>
        <v>4651.3375487376297</v>
      </c>
      <c r="CV131" s="21">
        <f t="shared" si="1060"/>
        <v>4894.4007337524044</v>
      </c>
      <c r="CW131" s="21">
        <f t="shared" si="1060"/>
        <v>5150.3241740582762</v>
      </c>
      <c r="CX131" s="21">
        <f t="shared" si="1060"/>
        <v>5439.6871744987911</v>
      </c>
      <c r="CY131" s="21">
        <f t="shared" si="1060"/>
        <v>5709.3944376141972</v>
      </c>
      <c r="CZ131" s="21">
        <f t="shared" si="1060"/>
        <v>6028.4746688744026</v>
      </c>
      <c r="DA131" s="21">
        <f t="shared" si="1060"/>
        <v>6361.8794639160315</v>
      </c>
      <c r="DB131" s="21">
        <f t="shared" si="1060"/>
        <v>6734.0051287681499</v>
      </c>
      <c r="DE131" s="126"/>
      <c r="DF131" s="22">
        <v>3240.469040874129</v>
      </c>
    </row>
    <row r="132" spans="1:110" s="22" customFormat="1" x14ac:dyDescent="0.2">
      <c r="AB132" s="21"/>
      <c r="AC132" s="21"/>
      <c r="AD132" s="21"/>
      <c r="AE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E132" s="126"/>
    </row>
    <row r="133" spans="1:110" s="23" customFormat="1" x14ac:dyDescent="0.2">
      <c r="A133" s="23" t="s">
        <v>23</v>
      </c>
      <c r="B133" s="23">
        <f>'Annual Raw'!C45</f>
        <v>0</v>
      </c>
      <c r="C133" s="23">
        <f>'Annual Raw'!D45</f>
        <v>0</v>
      </c>
      <c r="D133" s="23">
        <f>'Annual Raw'!E45</f>
        <v>0</v>
      </c>
      <c r="E133" s="23">
        <f>'Annual Raw'!F45</f>
        <v>0</v>
      </c>
      <c r="F133" s="23">
        <f>'Annual Raw'!G45</f>
        <v>0</v>
      </c>
      <c r="G133" s="23">
        <f>'Annual Raw'!H45</f>
        <v>0</v>
      </c>
      <c r="H133" s="23">
        <f>'Annual Raw'!I45</f>
        <v>0</v>
      </c>
      <c r="I133" s="23">
        <f>'Annual Raw'!J45</f>
        <v>0</v>
      </c>
      <c r="J133" s="23">
        <f>'Annual Raw'!K45</f>
        <v>0</v>
      </c>
      <c r="K133" s="23">
        <f>'Annual Raw'!L45</f>
        <v>0</v>
      </c>
      <c r="L133" s="23">
        <f>'Annual Raw'!M45</f>
        <v>0</v>
      </c>
      <c r="M133" s="23">
        <f>'Annual Raw'!N45</f>
        <v>0</v>
      </c>
      <c r="N133" s="23">
        <f>'Annual Raw'!O45</f>
        <v>0</v>
      </c>
      <c r="O133" s="23">
        <f>'Annual Raw'!P45</f>
        <v>0</v>
      </c>
      <c r="P133" s="23">
        <f>'Annual Raw'!Q45</f>
        <v>0</v>
      </c>
      <c r="Q133" s="23">
        <f>'Annual Raw'!R45</f>
        <v>0</v>
      </c>
      <c r="R133" s="23">
        <f>'Annual Raw'!S45</f>
        <v>0</v>
      </c>
      <c r="S133" s="23">
        <f>'Annual Raw'!T45</f>
        <v>0</v>
      </c>
      <c r="T133" s="23">
        <f>'Annual Raw'!U45</f>
        <v>0</v>
      </c>
      <c r="U133" s="23">
        <f>'Annual Raw'!V45</f>
        <v>0</v>
      </c>
      <c r="V133" s="23">
        <f>'Annual Raw'!W45</f>
        <v>0</v>
      </c>
      <c r="W133" s="23">
        <f>'Annual Raw'!X45</f>
        <v>0</v>
      </c>
      <c r="X133" s="23">
        <f>'Annual Raw'!Y45</f>
        <v>61</v>
      </c>
      <c r="Y133" s="23">
        <f>'Annual Raw'!Z45</f>
        <v>93.68</v>
      </c>
      <c r="Z133" s="23">
        <f>'Annual Raw'!AA45</f>
        <v>0</v>
      </c>
      <c r="AA133" s="23">
        <f>'Annual Raw'!AB45</f>
        <v>0</v>
      </c>
      <c r="AB133" s="24">
        <f>+CP133</f>
        <v>0</v>
      </c>
      <c r="AC133" s="24">
        <f>+CT133</f>
        <v>0</v>
      </c>
      <c r="AD133" s="24">
        <f>+CX133</f>
        <v>0</v>
      </c>
      <c r="AE133" s="24">
        <f>+DB133</f>
        <v>0</v>
      </c>
      <c r="AJ133" s="23">
        <f>+'QTR Raw'!D60</f>
        <v>0</v>
      </c>
      <c r="AK133" s="23">
        <f t="shared" ref="AK133:CE133" si="1062">+AJ133</f>
        <v>0</v>
      </c>
      <c r="AL133" s="23">
        <f>+'QTR Raw'!F60</f>
        <v>0</v>
      </c>
      <c r="AM133" s="23">
        <f t="shared" si="1062"/>
        <v>0</v>
      </c>
      <c r="AN133" s="23">
        <f>+'QTR Raw'!H60</f>
        <v>0</v>
      </c>
      <c r="AO133" s="23">
        <f t="shared" si="1062"/>
        <v>0</v>
      </c>
      <c r="AP133" s="23">
        <f>+'QTR Raw'!J60</f>
        <v>0</v>
      </c>
      <c r="AQ133" s="23">
        <f t="shared" si="1062"/>
        <v>0</v>
      </c>
      <c r="AR133" s="23">
        <f>+'QTR Raw'!L60</f>
        <v>0</v>
      </c>
      <c r="AS133" s="23">
        <f t="shared" si="1062"/>
        <v>0</v>
      </c>
      <c r="AT133" s="23">
        <f>+'QTR Raw'!N60</f>
        <v>0</v>
      </c>
      <c r="AU133" s="23">
        <f t="shared" si="1062"/>
        <v>0</v>
      </c>
      <c r="AV133" s="23">
        <f>+'QTR Raw'!P60</f>
        <v>0</v>
      </c>
      <c r="AW133" s="23">
        <f t="shared" si="1062"/>
        <v>0</v>
      </c>
      <c r="AX133" s="23">
        <f>+'QTR Raw'!R60</f>
        <v>0</v>
      </c>
      <c r="AY133" s="23">
        <f t="shared" si="1062"/>
        <v>0</v>
      </c>
      <c r="AZ133" s="23">
        <f>+'QTR Raw'!T60</f>
        <v>0</v>
      </c>
      <c r="BA133" s="23">
        <f t="shared" si="1062"/>
        <v>0</v>
      </c>
      <c r="BB133" s="23">
        <f>+'QTR Raw'!V60</f>
        <v>0</v>
      </c>
      <c r="BC133" s="23">
        <f t="shared" si="1062"/>
        <v>0</v>
      </c>
      <c r="BD133" s="23">
        <f>+'QTR Raw'!X60</f>
        <v>0</v>
      </c>
      <c r="BE133" s="23">
        <f t="shared" si="1062"/>
        <v>0</v>
      </c>
      <c r="BF133" s="23">
        <f>+'QTR Raw'!Z60</f>
        <v>0</v>
      </c>
      <c r="BG133" s="23">
        <f t="shared" si="1062"/>
        <v>0</v>
      </c>
      <c r="BH133" s="22">
        <f>+'QTR Raw'!AB60</f>
        <v>0</v>
      </c>
      <c r="BI133" s="23">
        <f t="shared" si="1062"/>
        <v>0</v>
      </c>
      <c r="BJ133" s="23">
        <f>+'QTR Raw'!AD60</f>
        <v>0</v>
      </c>
      <c r="BK133" s="23">
        <f t="shared" si="1062"/>
        <v>0</v>
      </c>
      <c r="BL133" s="23">
        <f>+'QTR Raw'!AF60</f>
        <v>0</v>
      </c>
      <c r="BM133" s="23">
        <f t="shared" si="1062"/>
        <v>0</v>
      </c>
      <c r="BN133" s="23">
        <f>+'QTR Raw'!AH60</f>
        <v>0</v>
      </c>
      <c r="BO133" s="23">
        <f t="shared" si="1062"/>
        <v>0</v>
      </c>
      <c r="BP133" s="23">
        <f>+'QTR Raw'!AJ60</f>
        <v>0</v>
      </c>
      <c r="BQ133" s="23">
        <f t="shared" si="1062"/>
        <v>0</v>
      </c>
      <c r="BR133" s="23">
        <f>+'QTR Raw'!AL60</f>
        <v>0</v>
      </c>
      <c r="BS133" s="23">
        <f t="shared" si="1062"/>
        <v>0</v>
      </c>
      <c r="BT133" s="23">
        <f>+'QTR Raw'!AN60</f>
        <v>0</v>
      </c>
      <c r="BU133" s="23">
        <f t="shared" si="1062"/>
        <v>0</v>
      </c>
      <c r="BV133" s="23">
        <f>+'QTR Raw'!AP60</f>
        <v>0</v>
      </c>
      <c r="BW133" s="23">
        <f t="shared" si="1062"/>
        <v>0</v>
      </c>
      <c r="BX133" s="23">
        <f>+'QTR Raw'!AR60</f>
        <v>0</v>
      </c>
      <c r="BY133" s="23">
        <f t="shared" si="1062"/>
        <v>0</v>
      </c>
      <c r="BZ133" s="23">
        <f>+'QTR Raw'!AT60</f>
        <v>61</v>
      </c>
      <c r="CA133" s="23">
        <f t="shared" si="1062"/>
        <v>61</v>
      </c>
      <c r="CB133" s="23">
        <f>+'QTR Raw'!AV60</f>
        <v>77.239999999999995</v>
      </c>
      <c r="CC133" s="23">
        <f t="shared" si="1062"/>
        <v>77.239999999999995</v>
      </c>
      <c r="CD133" s="23">
        <f>+'QTR Raw'!AX60</f>
        <v>93.68</v>
      </c>
      <c r="CE133" s="23">
        <f t="shared" si="1062"/>
        <v>93.68</v>
      </c>
      <c r="CF133" s="23">
        <f>+'QTR Raw'!AZ60</f>
        <v>0</v>
      </c>
      <c r="CG133" s="23">
        <f t="shared" ref="CG133:CI133" si="1063">+CF133</f>
        <v>0</v>
      </c>
      <c r="CH133" s="23">
        <f t="shared" ref="CH133:CH138" si="1064">Z133</f>
        <v>0</v>
      </c>
      <c r="CI133" s="23">
        <f t="shared" si="1063"/>
        <v>0</v>
      </c>
      <c r="CJ133" s="23">
        <f>+'QTR Raw'!BD60</f>
        <v>0</v>
      </c>
      <c r="CK133" s="23">
        <f t="shared" ref="CK133" si="1065">+CJ133</f>
        <v>0</v>
      </c>
      <c r="CL133" s="23">
        <f>+'QTR Raw'!BF60</f>
        <v>0</v>
      </c>
      <c r="CM133" s="24">
        <f t="shared" ref="CM133" si="1066">+CL133</f>
        <v>0</v>
      </c>
      <c r="CN133" s="24">
        <f t="shared" ref="CN133" si="1067">+CM133</f>
        <v>0</v>
      </c>
      <c r="CO133" s="24">
        <f t="shared" ref="CO133" si="1068">+CN133</f>
        <v>0</v>
      </c>
      <c r="CP133" s="24">
        <f t="shared" ref="CP133" si="1069">+CO133</f>
        <v>0</v>
      </c>
      <c r="CQ133" s="24">
        <f t="shared" ref="CQ133" si="1070">+CP133</f>
        <v>0</v>
      </c>
      <c r="CR133" s="24">
        <f t="shared" ref="CR133" si="1071">+CQ133</f>
        <v>0</v>
      </c>
      <c r="CS133" s="24">
        <f t="shared" ref="CS133" si="1072">+CR133</f>
        <v>0</v>
      </c>
      <c r="CT133" s="24">
        <f t="shared" ref="CT133" si="1073">+CS133</f>
        <v>0</v>
      </c>
      <c r="CU133" s="24">
        <f t="shared" ref="CU133" si="1074">+CT133</f>
        <v>0</v>
      </c>
      <c r="CV133" s="24">
        <f t="shared" ref="CV133" si="1075">+CU133</f>
        <v>0</v>
      </c>
      <c r="CW133" s="24">
        <f t="shared" ref="CW133" si="1076">+CV133</f>
        <v>0</v>
      </c>
      <c r="CX133" s="24">
        <f t="shared" ref="CX133" si="1077">+CW133</f>
        <v>0</v>
      </c>
      <c r="CY133" s="24">
        <f t="shared" ref="CY133" si="1078">+CX133</f>
        <v>0</v>
      </c>
      <c r="CZ133" s="24">
        <f t="shared" ref="CZ133" si="1079">+CY133</f>
        <v>0</v>
      </c>
      <c r="DA133" s="24">
        <f t="shared" ref="DA133" si="1080">+CZ133</f>
        <v>0</v>
      </c>
      <c r="DB133" s="24">
        <f t="shared" ref="DB133" si="1081">+DA133</f>
        <v>0</v>
      </c>
      <c r="DE133" s="123"/>
      <c r="DF133" s="23">
        <v>0</v>
      </c>
    </row>
    <row r="134" spans="1:110" s="23" customFormat="1" x14ac:dyDescent="0.2">
      <c r="AB134" s="24"/>
      <c r="AC134" s="24"/>
      <c r="AD134" s="24"/>
      <c r="AE134" s="24"/>
      <c r="BH134" s="22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E134" s="123"/>
    </row>
    <row r="135" spans="1:110" s="23" customFormat="1" outlineLevel="1" x14ac:dyDescent="0.2">
      <c r="A135" s="23" t="s">
        <v>45</v>
      </c>
      <c r="B135" s="23">
        <f>'Annual Raw'!C47</f>
        <v>0</v>
      </c>
      <c r="C135" s="23">
        <f>'Annual Raw'!D47</f>
        <v>0</v>
      </c>
      <c r="D135" s="23">
        <f>'Annual Raw'!E47</f>
        <v>0</v>
      </c>
      <c r="E135" s="23">
        <f>'Annual Raw'!F47</f>
        <v>0</v>
      </c>
      <c r="F135" s="23">
        <f>'Annual Raw'!G47</f>
        <v>48.6706845</v>
      </c>
      <c r="G135" s="23">
        <f>'Annual Raw'!H47</f>
        <v>58.976467599999999</v>
      </c>
      <c r="H135" s="23">
        <f>'Annual Raw'!I47</f>
        <v>80.698287300000004</v>
      </c>
      <c r="I135" s="23">
        <f>'Annual Raw'!J47</f>
        <v>141.4967269</v>
      </c>
      <c r="J135" s="23">
        <f>'Annual Raw'!K47</f>
        <v>197.5739001</v>
      </c>
      <c r="K135" s="23">
        <f>'Annual Raw'!L47</f>
        <v>199.05396200000001</v>
      </c>
      <c r="L135" s="23">
        <f>'Annual Raw'!M47</f>
        <v>149.34706420000001</v>
      </c>
      <c r="M135" s="23">
        <f>'Annual Raw'!N47</f>
        <v>297.95483769999998</v>
      </c>
      <c r="N135" s="23">
        <f>'Annual Raw'!O47</f>
        <v>263.17700000000002</v>
      </c>
      <c r="O135" s="23">
        <f>'Annual Raw'!P47</f>
        <v>276.61</v>
      </c>
      <c r="P135" s="23">
        <f>'Annual Raw'!Q47</f>
        <v>303.916</v>
      </c>
      <c r="Q135" s="23">
        <f>'Annual Raw'!R47</f>
        <v>315.90600000000001</v>
      </c>
      <c r="R135" s="23">
        <f>'Annual Raw'!S47</f>
        <v>434.108</v>
      </c>
      <c r="S135" s="23">
        <f>'Annual Raw'!T47</f>
        <v>430.33</v>
      </c>
      <c r="T135" s="23">
        <f>'Annual Raw'!U47</f>
        <v>693.20100000000002</v>
      </c>
      <c r="U135" s="23">
        <f>'Annual Raw'!V47</f>
        <v>668.28</v>
      </c>
      <c r="V135" s="23">
        <f>'Annual Raw'!W47</f>
        <v>437.19</v>
      </c>
      <c r="W135" s="23">
        <f>'Annual Raw'!X47</f>
        <v>373.78</v>
      </c>
      <c r="X135" s="23">
        <f>'Annual Raw'!Y47</f>
        <v>906.17</v>
      </c>
      <c r="Y135" s="23">
        <f>'Annual Raw'!Z47</f>
        <v>1124.8399999999999</v>
      </c>
      <c r="Z135" s="23">
        <f>'Annual Raw'!AA47</f>
        <v>1651.86</v>
      </c>
      <c r="AA135" s="23">
        <f>'Annual Raw'!AB47</f>
        <v>2410.98</v>
      </c>
      <c r="AB135" s="24">
        <f t="shared" ref="AB135:AB138" si="1082">+CP135</f>
        <v>0</v>
      </c>
      <c r="AC135" s="24">
        <f t="shared" ref="AC135:AC138" si="1083">+CT135</f>
        <v>0</v>
      </c>
      <c r="AD135" s="24">
        <f t="shared" ref="AD135:AD138" si="1084">+CX135</f>
        <v>0</v>
      </c>
      <c r="AE135" s="24">
        <f t="shared" ref="AE135:AE138" si="1085">+DB135</f>
        <v>0</v>
      </c>
      <c r="AJ135" s="23">
        <f>+'QTR Raw'!D62</f>
        <v>0</v>
      </c>
      <c r="AK135" s="23">
        <f t="shared" ref="AK135:CC138" si="1086">+AJ135</f>
        <v>0</v>
      </c>
      <c r="AL135" s="23">
        <f>+'QTR Raw'!F62</f>
        <v>0</v>
      </c>
      <c r="AM135" s="23">
        <f t="shared" si="1086"/>
        <v>0</v>
      </c>
      <c r="AN135" s="23">
        <f>+'QTR Raw'!H62</f>
        <v>0</v>
      </c>
      <c r="AO135" s="23">
        <f t="shared" si="1086"/>
        <v>0</v>
      </c>
      <c r="AP135" s="23">
        <f>+'QTR Raw'!J62</f>
        <v>0</v>
      </c>
      <c r="AQ135" s="23">
        <f t="shared" si="1086"/>
        <v>0</v>
      </c>
      <c r="AR135" s="23">
        <f>+'QTR Raw'!L62</f>
        <v>0</v>
      </c>
      <c r="AS135" s="23">
        <f t="shared" si="1086"/>
        <v>0</v>
      </c>
      <c r="AT135" s="23">
        <f>+'QTR Raw'!N62</f>
        <v>0</v>
      </c>
      <c r="AU135" s="23">
        <f t="shared" si="1086"/>
        <v>0</v>
      </c>
      <c r="AV135" s="23">
        <f>+'QTR Raw'!P62</f>
        <v>0</v>
      </c>
      <c r="AW135" s="23">
        <f t="shared" si="1086"/>
        <v>0</v>
      </c>
      <c r="AX135" s="23">
        <f>+'QTR Raw'!R62</f>
        <v>0</v>
      </c>
      <c r="AY135" s="23">
        <f t="shared" si="1086"/>
        <v>0</v>
      </c>
      <c r="AZ135" s="23">
        <f>+'QTR Raw'!T62</f>
        <v>0</v>
      </c>
      <c r="BA135" s="23">
        <f t="shared" si="1086"/>
        <v>0</v>
      </c>
      <c r="BB135" s="23">
        <f>+'QTR Raw'!V62</f>
        <v>0</v>
      </c>
      <c r="BC135" s="23">
        <f t="shared" si="1086"/>
        <v>0</v>
      </c>
      <c r="BD135" s="23">
        <f>+'QTR Raw'!X62</f>
        <v>0</v>
      </c>
      <c r="BE135" s="23">
        <f t="shared" si="1086"/>
        <v>0</v>
      </c>
      <c r="BF135" s="23">
        <f>+'QTR Raw'!Z62</f>
        <v>0</v>
      </c>
      <c r="BG135" s="23">
        <f t="shared" si="1086"/>
        <v>0</v>
      </c>
      <c r="BH135" s="22">
        <f>+'QTR Raw'!AB62</f>
        <v>0</v>
      </c>
      <c r="BI135" s="23">
        <f t="shared" si="1086"/>
        <v>0</v>
      </c>
      <c r="BJ135" s="23">
        <f>+'QTR Raw'!AD62</f>
        <v>0</v>
      </c>
      <c r="BK135" s="23">
        <f t="shared" si="1086"/>
        <v>0</v>
      </c>
      <c r="BL135" s="23">
        <f>+'QTR Raw'!AF62</f>
        <v>0</v>
      </c>
      <c r="BM135" s="23">
        <f t="shared" si="1086"/>
        <v>0</v>
      </c>
      <c r="BN135" s="23">
        <f>+'QTR Raw'!AH62</f>
        <v>0</v>
      </c>
      <c r="BO135" s="23">
        <f t="shared" si="1086"/>
        <v>0</v>
      </c>
      <c r="BP135" s="23">
        <f>+'QTR Raw'!AJ62</f>
        <v>0</v>
      </c>
      <c r="BQ135" s="23">
        <f t="shared" si="1086"/>
        <v>0</v>
      </c>
      <c r="BR135" s="23">
        <f>+'QTR Raw'!AL62</f>
        <v>0</v>
      </c>
      <c r="BS135" s="23">
        <f t="shared" si="1086"/>
        <v>0</v>
      </c>
      <c r="BT135" s="23">
        <f>+'QTR Raw'!AN62</f>
        <v>418.29</v>
      </c>
      <c r="BU135" s="23">
        <f t="shared" si="1086"/>
        <v>418.29</v>
      </c>
      <c r="BV135" s="23">
        <f>+'QTR Raw'!AP62</f>
        <v>0</v>
      </c>
      <c r="BW135" s="23">
        <f t="shared" si="1086"/>
        <v>0</v>
      </c>
      <c r="BX135" s="23">
        <f>+'QTR Raw'!AR62</f>
        <v>0</v>
      </c>
      <c r="BY135" s="23">
        <f t="shared" si="1086"/>
        <v>0</v>
      </c>
      <c r="BZ135" s="23">
        <f>+'QTR Raw'!AT62</f>
        <v>0</v>
      </c>
      <c r="CA135" s="23">
        <f t="shared" si="1086"/>
        <v>0</v>
      </c>
      <c r="CB135" s="23">
        <f>+'QTR Raw'!AV62</f>
        <v>0</v>
      </c>
      <c r="CC135" s="23">
        <f t="shared" si="1086"/>
        <v>0</v>
      </c>
      <c r="CD135" s="23">
        <f>+'QTR Raw'!AX62</f>
        <v>0</v>
      </c>
      <c r="CE135" s="23">
        <f t="shared" ref="CE135:CE138" si="1087">+CD135</f>
        <v>0</v>
      </c>
      <c r="CF135" s="23">
        <f>+'QTR Raw'!AZ62</f>
        <v>0</v>
      </c>
      <c r="CG135" s="23">
        <f t="shared" ref="CG135:CI138" si="1088">+CF135</f>
        <v>0</v>
      </c>
      <c r="CH135" s="23">
        <f t="shared" si="1064"/>
        <v>1651.86</v>
      </c>
      <c r="CI135" s="23">
        <f t="shared" si="1088"/>
        <v>1651.86</v>
      </c>
      <c r="CJ135" s="23">
        <f>+'QTR Raw'!BD62</f>
        <v>0</v>
      </c>
      <c r="CK135" s="23">
        <f t="shared" ref="CK135:CK138" si="1089">+CJ135</f>
        <v>0</v>
      </c>
      <c r="CL135" s="23">
        <f>+'QTR Raw'!BF62</f>
        <v>0</v>
      </c>
      <c r="CM135" s="24">
        <f t="shared" ref="CM135:CM138" si="1090">+CL135</f>
        <v>0</v>
      </c>
      <c r="CN135" s="24">
        <f t="shared" ref="CN135:CN138" si="1091">+CM135</f>
        <v>0</v>
      </c>
      <c r="CO135" s="24">
        <f t="shared" ref="CO135:CO138" si="1092">+CN135</f>
        <v>0</v>
      </c>
      <c r="CP135" s="24">
        <f t="shared" ref="CP135:CP138" si="1093">+CO135</f>
        <v>0</v>
      </c>
      <c r="CQ135" s="24">
        <f t="shared" ref="CQ135:CQ138" si="1094">+CP135</f>
        <v>0</v>
      </c>
      <c r="CR135" s="24">
        <f t="shared" ref="CR135:CR138" si="1095">+CQ135</f>
        <v>0</v>
      </c>
      <c r="CS135" s="24">
        <f t="shared" ref="CS135:CS138" si="1096">+CR135</f>
        <v>0</v>
      </c>
      <c r="CT135" s="24">
        <f t="shared" ref="CT135:CT138" si="1097">+CS135</f>
        <v>0</v>
      </c>
      <c r="CU135" s="24">
        <f t="shared" ref="CU135:CU138" si="1098">+CT135</f>
        <v>0</v>
      </c>
      <c r="CV135" s="24">
        <f t="shared" ref="CV135:CV138" si="1099">+CU135</f>
        <v>0</v>
      </c>
      <c r="CW135" s="24">
        <f t="shared" ref="CW135:CW138" si="1100">+CV135</f>
        <v>0</v>
      </c>
      <c r="CX135" s="24">
        <f t="shared" ref="CX135:CX138" si="1101">+CW135</f>
        <v>0</v>
      </c>
      <c r="CY135" s="24">
        <f t="shared" ref="CY135:CY138" si="1102">+CX135</f>
        <v>0</v>
      </c>
      <c r="CZ135" s="24">
        <f t="shared" ref="CZ135:CZ138" si="1103">+CY135</f>
        <v>0</v>
      </c>
      <c r="DA135" s="24">
        <f t="shared" ref="DA135:DA138" si="1104">+CZ135</f>
        <v>0</v>
      </c>
      <c r="DB135" s="24">
        <f t="shared" ref="DB135:DB138" si="1105">+DA135</f>
        <v>0</v>
      </c>
      <c r="DE135" s="123"/>
      <c r="DF135" s="23">
        <v>0</v>
      </c>
    </row>
    <row r="136" spans="1:110" s="23" customFormat="1" outlineLevel="1" x14ac:dyDescent="0.2">
      <c r="A136" s="23" t="s">
        <v>46</v>
      </c>
      <c r="B136" s="23">
        <f>'Annual Raw'!C48</f>
        <v>0</v>
      </c>
      <c r="C136" s="23">
        <f>'Annual Raw'!D48</f>
        <v>0</v>
      </c>
      <c r="D136" s="23">
        <f>'Annual Raw'!E48</f>
        <v>0</v>
      </c>
      <c r="E136" s="23">
        <f>'Annual Raw'!F48</f>
        <v>0</v>
      </c>
      <c r="F136" s="23">
        <f>'Annual Raw'!G48</f>
        <v>1.0564811999999999</v>
      </c>
      <c r="G136" s="23">
        <f>'Annual Raw'!H48</f>
        <v>1.4748486000000001</v>
      </c>
      <c r="H136" s="23">
        <f>'Annual Raw'!I48</f>
        <v>1.8039999</v>
      </c>
      <c r="I136" s="23">
        <f>'Annual Raw'!J48</f>
        <v>1.0266468</v>
      </c>
      <c r="J136" s="23">
        <f>'Annual Raw'!K48</f>
        <v>0.18756429999999999</v>
      </c>
      <c r="K136" s="23">
        <f>'Annual Raw'!L48</f>
        <v>0.37621739999999998</v>
      </c>
      <c r="L136" s="23">
        <f>'Annual Raw'!M48</f>
        <v>0</v>
      </c>
      <c r="M136" s="23">
        <f>'Annual Raw'!N48</f>
        <v>0</v>
      </c>
      <c r="N136" s="23">
        <f>'Annual Raw'!O48</f>
        <v>0</v>
      </c>
      <c r="O136" s="23">
        <f>'Annual Raw'!P48</f>
        <v>0</v>
      </c>
      <c r="P136" s="23">
        <f>'Annual Raw'!Q48</f>
        <v>0</v>
      </c>
      <c r="Q136" s="23">
        <f>'Annual Raw'!R48</f>
        <v>0</v>
      </c>
      <c r="R136" s="23">
        <f>'Annual Raw'!S48</f>
        <v>0</v>
      </c>
      <c r="S136" s="23">
        <f>'Annual Raw'!T48</f>
        <v>0</v>
      </c>
      <c r="T136" s="23">
        <f>'Annual Raw'!U48</f>
        <v>0</v>
      </c>
      <c r="U136" s="23">
        <f>'Annual Raw'!V48</f>
        <v>0</v>
      </c>
      <c r="V136" s="23">
        <f>'Annual Raw'!W48</f>
        <v>0</v>
      </c>
      <c r="W136" s="23">
        <f>'Annual Raw'!X48</f>
        <v>0</v>
      </c>
      <c r="X136" s="23">
        <f>'Annual Raw'!Y48</f>
        <v>0</v>
      </c>
      <c r="Y136" s="23">
        <f>'Annual Raw'!Z48</f>
        <v>0</v>
      </c>
      <c r="Z136" s="23">
        <f>'Annual Raw'!AA48</f>
        <v>0</v>
      </c>
      <c r="AA136" s="23">
        <f>'Annual Raw'!AB48</f>
        <v>0</v>
      </c>
      <c r="AB136" s="24">
        <f t="shared" si="1082"/>
        <v>2410.98</v>
      </c>
      <c r="AC136" s="24">
        <f t="shared" si="1083"/>
        <v>2410.98</v>
      </c>
      <c r="AD136" s="24">
        <f t="shared" si="1084"/>
        <v>2410.98</v>
      </c>
      <c r="AE136" s="24">
        <f t="shared" si="1085"/>
        <v>2410.98</v>
      </c>
      <c r="AJ136" s="23">
        <f>+'QTR Raw'!D63</f>
        <v>0</v>
      </c>
      <c r="AK136" s="23">
        <f t="shared" si="1086"/>
        <v>0</v>
      </c>
      <c r="AL136" s="23">
        <f>+'QTR Raw'!F63</f>
        <v>0</v>
      </c>
      <c r="AM136" s="23">
        <f t="shared" si="1086"/>
        <v>0</v>
      </c>
      <c r="AN136" s="23">
        <f>+'QTR Raw'!H63</f>
        <v>0</v>
      </c>
      <c r="AO136" s="23">
        <f t="shared" si="1086"/>
        <v>0</v>
      </c>
      <c r="AP136" s="23">
        <f>+'QTR Raw'!J63</f>
        <v>0</v>
      </c>
      <c r="AQ136" s="23">
        <f t="shared" si="1086"/>
        <v>0</v>
      </c>
      <c r="AR136" s="23">
        <f>+'QTR Raw'!L63</f>
        <v>0</v>
      </c>
      <c r="AS136" s="23">
        <f t="shared" si="1086"/>
        <v>0</v>
      </c>
      <c r="AT136" s="23">
        <f>+'QTR Raw'!N63</f>
        <v>0</v>
      </c>
      <c r="AU136" s="23">
        <f t="shared" si="1086"/>
        <v>0</v>
      </c>
      <c r="AV136" s="23">
        <f>+'QTR Raw'!P63</f>
        <v>0</v>
      </c>
      <c r="AW136" s="23">
        <f t="shared" si="1086"/>
        <v>0</v>
      </c>
      <c r="AX136" s="23">
        <f>+'QTR Raw'!R63</f>
        <v>0</v>
      </c>
      <c r="AY136" s="23">
        <f t="shared" si="1086"/>
        <v>0</v>
      </c>
      <c r="AZ136" s="23">
        <f>+'QTR Raw'!T63</f>
        <v>0</v>
      </c>
      <c r="BA136" s="23">
        <f t="shared" si="1086"/>
        <v>0</v>
      </c>
      <c r="BB136" s="23">
        <f>+'QTR Raw'!V63</f>
        <v>0</v>
      </c>
      <c r="BC136" s="23">
        <f t="shared" si="1086"/>
        <v>0</v>
      </c>
      <c r="BD136" s="23">
        <f>+'QTR Raw'!X63</f>
        <v>0</v>
      </c>
      <c r="BE136" s="23">
        <f t="shared" si="1086"/>
        <v>0</v>
      </c>
      <c r="BF136" s="23">
        <f>+'QTR Raw'!Z63</f>
        <v>0</v>
      </c>
      <c r="BG136" s="23">
        <f t="shared" si="1086"/>
        <v>0</v>
      </c>
      <c r="BH136" s="23">
        <f>+'QTR Raw'!AB63</f>
        <v>0</v>
      </c>
      <c r="BI136" s="23">
        <f t="shared" si="1086"/>
        <v>0</v>
      </c>
      <c r="BJ136" s="23">
        <f>+'QTR Raw'!AD63</f>
        <v>0</v>
      </c>
      <c r="BK136" s="23">
        <f t="shared" si="1086"/>
        <v>0</v>
      </c>
      <c r="BL136" s="23">
        <f>+'QTR Raw'!AF63</f>
        <v>0</v>
      </c>
      <c r="BM136" s="23">
        <f t="shared" si="1086"/>
        <v>0</v>
      </c>
      <c r="BN136" s="23">
        <f>+'QTR Raw'!AH63</f>
        <v>668.28</v>
      </c>
      <c r="BO136" s="23">
        <f t="shared" si="1086"/>
        <v>668.28</v>
      </c>
      <c r="BP136" s="23">
        <f>+'QTR Raw'!AJ63</f>
        <v>0</v>
      </c>
      <c r="BQ136" s="23">
        <f t="shared" si="1086"/>
        <v>0</v>
      </c>
      <c r="BR136" s="23">
        <f>+'QTR Raw'!AL63</f>
        <v>437.19</v>
      </c>
      <c r="BS136" s="23">
        <f t="shared" si="1086"/>
        <v>437.19</v>
      </c>
      <c r="BT136" s="23">
        <f>+'QTR Raw'!AN63</f>
        <v>0</v>
      </c>
      <c r="BU136" s="23">
        <f t="shared" si="1086"/>
        <v>0</v>
      </c>
      <c r="BV136" s="23">
        <f>+'QTR Raw'!AP63</f>
        <v>373.78</v>
      </c>
      <c r="BW136" s="23">
        <f t="shared" si="1086"/>
        <v>373.78</v>
      </c>
      <c r="BX136" s="23">
        <f>+'QTR Raw'!AR63</f>
        <v>444.56</v>
      </c>
      <c r="BY136" s="23">
        <f t="shared" si="1086"/>
        <v>444.56</v>
      </c>
      <c r="BZ136" s="23">
        <f>+'QTR Raw'!AT63</f>
        <v>906.17</v>
      </c>
      <c r="CA136" s="23">
        <f t="shared" si="1086"/>
        <v>906.17</v>
      </c>
      <c r="CB136" s="23">
        <f>+'QTR Raw'!AV63</f>
        <v>981.96</v>
      </c>
      <c r="CC136" s="23">
        <f t="shared" si="1086"/>
        <v>981.96</v>
      </c>
      <c r="CD136" s="23">
        <f>+'QTR Raw'!AX63</f>
        <v>1124.8399999999999</v>
      </c>
      <c r="CE136" s="23">
        <f t="shared" si="1087"/>
        <v>1124.8399999999999</v>
      </c>
      <c r="CF136" s="23">
        <f>+'QTR Raw'!AZ63</f>
        <v>1089.8699999999999</v>
      </c>
      <c r="CG136" s="23">
        <f t="shared" si="1088"/>
        <v>1089.8699999999999</v>
      </c>
      <c r="CH136" s="23">
        <f t="shared" si="1064"/>
        <v>0</v>
      </c>
      <c r="CI136" s="23">
        <f t="shared" si="1088"/>
        <v>0</v>
      </c>
      <c r="CJ136" s="23">
        <f>+'QTR Raw'!BD63</f>
        <v>1926.46</v>
      </c>
      <c r="CK136" s="23">
        <f t="shared" si="1089"/>
        <v>1926.46</v>
      </c>
      <c r="CL136" s="23">
        <f>+'QTR Raw'!BF63</f>
        <v>2410.98</v>
      </c>
      <c r="CM136" s="24">
        <f t="shared" si="1090"/>
        <v>2410.98</v>
      </c>
      <c r="CN136" s="24">
        <f t="shared" si="1091"/>
        <v>2410.98</v>
      </c>
      <c r="CO136" s="24">
        <f t="shared" si="1092"/>
        <v>2410.98</v>
      </c>
      <c r="CP136" s="24">
        <f t="shared" si="1093"/>
        <v>2410.98</v>
      </c>
      <c r="CQ136" s="24">
        <f t="shared" si="1094"/>
        <v>2410.98</v>
      </c>
      <c r="CR136" s="24">
        <f t="shared" si="1095"/>
        <v>2410.98</v>
      </c>
      <c r="CS136" s="24">
        <f t="shared" si="1096"/>
        <v>2410.98</v>
      </c>
      <c r="CT136" s="24">
        <f t="shared" si="1097"/>
        <v>2410.98</v>
      </c>
      <c r="CU136" s="24">
        <f t="shared" si="1098"/>
        <v>2410.98</v>
      </c>
      <c r="CV136" s="24">
        <f t="shared" si="1099"/>
        <v>2410.98</v>
      </c>
      <c r="CW136" s="24">
        <f t="shared" si="1100"/>
        <v>2410.98</v>
      </c>
      <c r="CX136" s="24">
        <f t="shared" si="1101"/>
        <v>2410.98</v>
      </c>
      <c r="CY136" s="24">
        <f t="shared" si="1102"/>
        <v>2410.98</v>
      </c>
      <c r="CZ136" s="24">
        <f t="shared" si="1103"/>
        <v>2410.98</v>
      </c>
      <c r="DA136" s="24">
        <f t="shared" si="1104"/>
        <v>2410.98</v>
      </c>
      <c r="DB136" s="24">
        <f t="shared" si="1105"/>
        <v>2410.98</v>
      </c>
      <c r="DE136" s="123"/>
      <c r="DF136" s="23">
        <v>1926.46</v>
      </c>
    </row>
    <row r="137" spans="1:110" s="23" customFormat="1" outlineLevel="1" x14ac:dyDescent="0.2">
      <c r="A137" s="23" t="s">
        <v>47</v>
      </c>
      <c r="B137" s="23">
        <f>'Annual Raw'!C87+'Annual Raw'!C88+'Annual Raw'!C89+'Annual Raw'!C90</f>
        <v>0</v>
      </c>
      <c r="C137" s="23">
        <f>'Annual Raw'!D87+'Annual Raw'!D88+'Annual Raw'!D89+'Annual Raw'!D90</f>
        <v>0</v>
      </c>
      <c r="D137" s="23">
        <f>'Annual Raw'!E87+'Annual Raw'!E88+'Annual Raw'!E89+'Annual Raw'!E90</f>
        <v>0</v>
      </c>
      <c r="E137" s="23">
        <f>'Annual Raw'!F87+'Annual Raw'!F88+'Annual Raw'!F89+'Annual Raw'!F90</f>
        <v>0</v>
      </c>
      <c r="F137" s="23">
        <f>'Annual Raw'!G87+'Annual Raw'!G88+'Annual Raw'!G89+'Annual Raw'!G90</f>
        <v>0</v>
      </c>
      <c r="G137" s="23">
        <f>'Annual Raw'!H87+'Annual Raw'!H88+'Annual Raw'!H89+'Annual Raw'!H90</f>
        <v>0</v>
      </c>
      <c r="H137" s="23">
        <f>'Annual Raw'!I87+'Annual Raw'!I88+'Annual Raw'!I89+'Annual Raw'!I90</f>
        <v>0</v>
      </c>
      <c r="I137" s="23">
        <f>'Annual Raw'!J87+'Annual Raw'!J88+'Annual Raw'!J89+'Annual Raw'!J90</f>
        <v>0</v>
      </c>
      <c r="J137" s="23">
        <f>'Annual Raw'!K87+'Annual Raw'!K88+'Annual Raw'!K89+'Annual Raw'!K90</f>
        <v>0</v>
      </c>
      <c r="K137" s="23">
        <f>'Annual Raw'!L87+'Annual Raw'!L88+'Annual Raw'!L89+'Annual Raw'!L90</f>
        <v>0</v>
      </c>
      <c r="L137" s="23">
        <f>'Annual Raw'!M87+'Annual Raw'!M88+'Annual Raw'!M89+'Annual Raw'!M90</f>
        <v>34.547800000000002</v>
      </c>
      <c r="M137" s="23">
        <f>'Annual Raw'!N87+'Annual Raw'!N88+'Annual Raw'!N89+'Annual Raw'!N90</f>
        <v>49.034700000000001</v>
      </c>
      <c r="N137" s="23">
        <f>'Annual Raw'!O87+'Annual Raw'!O88+'Annual Raw'!O89+'Annual Raw'!O90</f>
        <v>58.888999999999996</v>
      </c>
      <c r="O137" s="23">
        <f>'Annual Raw'!P87+'Annual Raw'!P88+'Annual Raw'!P89+'Annual Raw'!P90</f>
        <v>80.141000000000005</v>
      </c>
      <c r="P137" s="23">
        <f>'Annual Raw'!Q87+'Annual Raw'!Q88+'Annual Raw'!Q89+'Annual Raw'!Q90</f>
        <v>86.498000000000005</v>
      </c>
      <c r="Q137" s="23">
        <f>'Annual Raw'!R87+'Annual Raw'!R88+'Annual Raw'!R89+'Annual Raw'!R90</f>
        <v>95.37</v>
      </c>
      <c r="R137" s="23">
        <f>'Annual Raw'!S87+'Annual Raw'!S88+'Annual Raw'!S89+'Annual Raw'!S90</f>
        <v>119.381</v>
      </c>
      <c r="S137" s="23">
        <f>'Annual Raw'!T87+'Annual Raw'!T88+'Annual Raw'!T89+'Annual Raw'!T90</f>
        <v>144.26999999999998</v>
      </c>
      <c r="T137" s="23">
        <f>'Annual Raw'!U87+'Annual Raw'!U88+'Annual Raw'!U89+'Annual Raw'!U90</f>
        <v>157.048</v>
      </c>
      <c r="U137" s="23">
        <f>'Annual Raw'!V87+'Annual Raw'!V88+'Annual Raw'!V89+'Annual Raw'!V90</f>
        <v>145.88</v>
      </c>
      <c r="V137" s="23">
        <f>'Annual Raw'!W87+'Annual Raw'!W88+'Annual Raw'!W89+'Annual Raw'!W90</f>
        <v>108.21</v>
      </c>
      <c r="W137" s="23">
        <f>'Annual Raw'!X87+'Annual Raw'!X88+'Annual Raw'!X89+'Annual Raw'!X90</f>
        <v>148.6</v>
      </c>
      <c r="X137" s="23">
        <f>'Annual Raw'!Y87+'Annual Raw'!Y88+'Annual Raw'!Y89+'Annual Raw'!Y90</f>
        <v>116.07</v>
      </c>
      <c r="Y137" s="23">
        <f>'Annual Raw'!Z87+'Annual Raw'!Z88+'Annual Raw'!Z89+'Annual Raw'!Z90</f>
        <v>141.38</v>
      </c>
      <c r="Z137" s="23">
        <f>'Annual Raw'!AA87+'Annual Raw'!AA88+'Annual Raw'!AA89+'Annual Raw'!AA90</f>
        <v>185.62</v>
      </c>
      <c r="AA137" s="23">
        <f>'Annual Raw'!AB87+'Annual Raw'!AB88+'Annual Raw'!AB89+'Annual Raw'!AB90</f>
        <v>312.10000000000002</v>
      </c>
      <c r="AB137" s="24">
        <f t="shared" si="1082"/>
        <v>0</v>
      </c>
      <c r="AC137" s="24">
        <f t="shared" si="1083"/>
        <v>0</v>
      </c>
      <c r="AD137" s="24">
        <f t="shared" si="1084"/>
        <v>0</v>
      </c>
      <c r="AE137" s="24">
        <f t="shared" si="1085"/>
        <v>0</v>
      </c>
      <c r="AJ137" s="23">
        <f>+'QTR Raw'!D90</f>
        <v>0</v>
      </c>
      <c r="AK137" s="23">
        <f t="shared" si="1086"/>
        <v>0</v>
      </c>
      <c r="AL137" s="23">
        <f>+'QTR Raw'!F90</f>
        <v>0</v>
      </c>
      <c r="AM137" s="23">
        <f t="shared" si="1086"/>
        <v>0</v>
      </c>
      <c r="AN137" s="23">
        <f>+'QTR Raw'!H90</f>
        <v>0</v>
      </c>
      <c r="AO137" s="23">
        <f t="shared" si="1086"/>
        <v>0</v>
      </c>
      <c r="AP137" s="23">
        <f>+'QTR Raw'!J90</f>
        <v>0</v>
      </c>
      <c r="AQ137" s="23">
        <f t="shared" si="1086"/>
        <v>0</v>
      </c>
      <c r="AR137" s="23">
        <f>+'QTR Raw'!L90</f>
        <v>0</v>
      </c>
      <c r="AS137" s="23">
        <f t="shared" si="1086"/>
        <v>0</v>
      </c>
      <c r="AT137" s="23">
        <f>+'QTR Raw'!N90</f>
        <v>0</v>
      </c>
      <c r="AU137" s="23">
        <f t="shared" si="1086"/>
        <v>0</v>
      </c>
      <c r="AV137" s="23">
        <f>+'QTR Raw'!P90</f>
        <v>0</v>
      </c>
      <c r="AW137" s="23">
        <f t="shared" si="1086"/>
        <v>0</v>
      </c>
      <c r="AX137" s="23">
        <f>+'QTR Raw'!R90</f>
        <v>0</v>
      </c>
      <c r="AY137" s="23">
        <f t="shared" si="1086"/>
        <v>0</v>
      </c>
      <c r="AZ137" s="23">
        <f>+'QTR Raw'!T90</f>
        <v>0</v>
      </c>
      <c r="BA137" s="23">
        <f t="shared" si="1086"/>
        <v>0</v>
      </c>
      <c r="BB137" s="23">
        <f>+'QTR Raw'!V90</f>
        <v>0</v>
      </c>
      <c r="BC137" s="23">
        <f t="shared" si="1086"/>
        <v>0</v>
      </c>
      <c r="BD137" s="23">
        <f>+'QTR Raw'!X90</f>
        <v>0</v>
      </c>
      <c r="BE137" s="23">
        <f t="shared" si="1086"/>
        <v>0</v>
      </c>
      <c r="BF137" s="23">
        <f>+'QTR Raw'!Z90</f>
        <v>0</v>
      </c>
      <c r="BG137" s="23">
        <f t="shared" si="1086"/>
        <v>0</v>
      </c>
      <c r="BH137" s="22">
        <f>+'QTR Raw'!AB90</f>
        <v>0</v>
      </c>
      <c r="BI137" s="23">
        <f t="shared" si="1086"/>
        <v>0</v>
      </c>
      <c r="BJ137" s="23">
        <f>+'QTR Raw'!AD90</f>
        <v>0</v>
      </c>
      <c r="BK137" s="23">
        <f t="shared" si="1086"/>
        <v>0</v>
      </c>
      <c r="BL137" s="23">
        <f>+'QTR Raw'!AF90</f>
        <v>0</v>
      </c>
      <c r="BM137" s="23">
        <f t="shared" si="1086"/>
        <v>0</v>
      </c>
      <c r="BN137" s="23">
        <f>+'QTR Raw'!AH90</f>
        <v>0</v>
      </c>
      <c r="BO137" s="23">
        <f t="shared" si="1086"/>
        <v>0</v>
      </c>
      <c r="BP137" s="23">
        <f>+'QTR Raw'!AJ90</f>
        <v>0</v>
      </c>
      <c r="BQ137" s="23">
        <f t="shared" si="1086"/>
        <v>0</v>
      </c>
      <c r="BR137" s="23">
        <f>+'QTR Raw'!AL90</f>
        <v>0</v>
      </c>
      <c r="BS137" s="23">
        <f t="shared" si="1086"/>
        <v>0</v>
      </c>
      <c r="BT137" s="23">
        <f>+'QTR Raw'!AN90</f>
        <v>0</v>
      </c>
      <c r="BU137" s="23">
        <f t="shared" si="1086"/>
        <v>0</v>
      </c>
      <c r="BV137" s="23">
        <f>+'QTR Raw'!AP90</f>
        <v>0</v>
      </c>
      <c r="BW137" s="23">
        <f t="shared" si="1086"/>
        <v>0</v>
      </c>
      <c r="BX137" s="23">
        <f>+'QTR Raw'!AR90</f>
        <v>0</v>
      </c>
      <c r="BY137" s="23">
        <f t="shared" si="1086"/>
        <v>0</v>
      </c>
      <c r="BZ137" s="23">
        <f>+'QTR Raw'!AT90</f>
        <v>0</v>
      </c>
      <c r="CA137" s="23">
        <f t="shared" si="1086"/>
        <v>0</v>
      </c>
      <c r="CB137" s="23">
        <f>+'QTR Raw'!AV90</f>
        <v>0</v>
      </c>
      <c r="CC137" s="23">
        <f t="shared" si="1086"/>
        <v>0</v>
      </c>
      <c r="CD137" s="23">
        <f>+'QTR Raw'!AX90</f>
        <v>0</v>
      </c>
      <c r="CE137" s="23">
        <f t="shared" si="1087"/>
        <v>0</v>
      </c>
      <c r="CF137" s="23">
        <f>+'QTR Raw'!AZ90</f>
        <v>0</v>
      </c>
      <c r="CG137" s="23">
        <f t="shared" si="1088"/>
        <v>0</v>
      </c>
      <c r="CH137" s="23">
        <f>+Z137</f>
        <v>185.62</v>
      </c>
      <c r="CI137" s="23">
        <f t="shared" si="1088"/>
        <v>185.62</v>
      </c>
      <c r="CJ137" s="23">
        <f>+'QTR Raw'!BD90</f>
        <v>0</v>
      </c>
      <c r="CK137" s="23">
        <f t="shared" si="1089"/>
        <v>0</v>
      </c>
      <c r="CL137" s="23">
        <f>+'QTR Raw'!BF90</f>
        <v>0</v>
      </c>
      <c r="CM137" s="24">
        <f t="shared" si="1090"/>
        <v>0</v>
      </c>
      <c r="CN137" s="24">
        <f t="shared" si="1091"/>
        <v>0</v>
      </c>
      <c r="CO137" s="24">
        <f t="shared" si="1092"/>
        <v>0</v>
      </c>
      <c r="CP137" s="24">
        <f t="shared" si="1093"/>
        <v>0</v>
      </c>
      <c r="CQ137" s="24">
        <f t="shared" si="1094"/>
        <v>0</v>
      </c>
      <c r="CR137" s="24">
        <f t="shared" si="1095"/>
        <v>0</v>
      </c>
      <c r="CS137" s="24">
        <f t="shared" si="1096"/>
        <v>0</v>
      </c>
      <c r="CT137" s="24">
        <f t="shared" si="1097"/>
        <v>0</v>
      </c>
      <c r="CU137" s="24">
        <f t="shared" si="1098"/>
        <v>0</v>
      </c>
      <c r="CV137" s="24">
        <f t="shared" si="1099"/>
        <v>0</v>
      </c>
      <c r="CW137" s="24">
        <f t="shared" si="1100"/>
        <v>0</v>
      </c>
      <c r="CX137" s="24">
        <f t="shared" si="1101"/>
        <v>0</v>
      </c>
      <c r="CY137" s="24">
        <f t="shared" si="1102"/>
        <v>0</v>
      </c>
      <c r="CZ137" s="24">
        <f t="shared" si="1103"/>
        <v>0</v>
      </c>
      <c r="DA137" s="24">
        <f t="shared" si="1104"/>
        <v>0</v>
      </c>
      <c r="DB137" s="24">
        <f t="shared" si="1105"/>
        <v>0</v>
      </c>
      <c r="DE137" s="123"/>
      <c r="DF137" s="23">
        <v>0</v>
      </c>
    </row>
    <row r="138" spans="1:110" s="23" customFormat="1" outlineLevel="1" x14ac:dyDescent="0.2">
      <c r="A138" s="23" t="s">
        <v>48</v>
      </c>
      <c r="B138" s="23">
        <f>'Annual Raw'!C56</f>
        <v>0</v>
      </c>
      <c r="C138" s="23">
        <f>'Annual Raw'!D56</f>
        <v>0</v>
      </c>
      <c r="D138" s="23">
        <f>'Annual Raw'!E56</f>
        <v>0</v>
      </c>
      <c r="E138" s="23">
        <f>'Annual Raw'!F56</f>
        <v>0</v>
      </c>
      <c r="F138" s="23">
        <f>'Annual Raw'!G56</f>
        <v>0</v>
      </c>
      <c r="G138" s="23">
        <f>'Annual Raw'!H56</f>
        <v>0</v>
      </c>
      <c r="H138" s="23">
        <f>'Annual Raw'!I56</f>
        <v>0</v>
      </c>
      <c r="I138" s="23">
        <f>'Annual Raw'!J56</f>
        <v>0</v>
      </c>
      <c r="J138" s="23">
        <f>'Annual Raw'!K56</f>
        <v>0</v>
      </c>
      <c r="K138" s="23">
        <f>'Annual Raw'!L56</f>
        <v>0</v>
      </c>
      <c r="L138" s="23">
        <f>'Annual Raw'!M56</f>
        <v>95.679677799999993</v>
      </c>
      <c r="M138" s="23">
        <f>'Annual Raw'!N56</f>
        <v>145.7094778</v>
      </c>
      <c r="N138" s="23">
        <f>'Annual Raw'!O56</f>
        <v>162.56800000000001</v>
      </c>
      <c r="O138" s="23">
        <f>'Annual Raw'!P56</f>
        <v>166.898</v>
      </c>
      <c r="P138" s="23">
        <f>'Annual Raw'!Q56</f>
        <v>158.63800000000001</v>
      </c>
      <c r="Q138" s="23">
        <f>'Annual Raw'!R56</f>
        <v>205.482</v>
      </c>
      <c r="R138" s="23">
        <f>'Annual Raw'!S56</f>
        <v>223.542</v>
      </c>
      <c r="S138" s="23">
        <f>'Annual Raw'!T56</f>
        <v>272.08999999999997</v>
      </c>
      <c r="T138" s="23">
        <f>'Annual Raw'!U56</f>
        <v>135.01400000000001</v>
      </c>
      <c r="U138" s="23">
        <f>'Annual Raw'!V56</f>
        <v>244.27</v>
      </c>
      <c r="V138" s="23">
        <f>'Annual Raw'!W56</f>
        <v>158.13999999999999</v>
      </c>
      <c r="W138" s="23">
        <f>'Annual Raw'!X56</f>
        <v>193.22</v>
      </c>
      <c r="X138" s="23">
        <f>'Annual Raw'!Y56</f>
        <v>130.47999999999999</v>
      </c>
      <c r="Y138" s="23">
        <f>'Annual Raw'!Z56</f>
        <v>280.20999999999998</v>
      </c>
      <c r="Z138" s="23">
        <f>'Annual Raw'!AA56</f>
        <v>216.78</v>
      </c>
      <c r="AA138" s="23">
        <f>'Annual Raw'!AB56</f>
        <v>617.54999999999995</v>
      </c>
      <c r="AB138" s="24">
        <f t="shared" si="1082"/>
        <v>929.65</v>
      </c>
      <c r="AC138" s="24">
        <f t="shared" si="1083"/>
        <v>929.65</v>
      </c>
      <c r="AD138" s="24">
        <f t="shared" si="1084"/>
        <v>929.65</v>
      </c>
      <c r="AE138" s="24">
        <f t="shared" si="1085"/>
        <v>929.65</v>
      </c>
      <c r="AJ138" s="23">
        <f>+'QTR Raw'!D88</f>
        <v>0</v>
      </c>
      <c r="AK138" s="23">
        <f t="shared" si="1086"/>
        <v>0</v>
      </c>
      <c r="AL138" s="23">
        <f>+'QTR Raw'!F88</f>
        <v>0</v>
      </c>
      <c r="AM138" s="23">
        <f t="shared" si="1086"/>
        <v>0</v>
      </c>
      <c r="AN138" s="23">
        <f>+'QTR Raw'!H88</f>
        <v>0</v>
      </c>
      <c r="AO138" s="23">
        <f t="shared" si="1086"/>
        <v>0</v>
      </c>
      <c r="AP138" s="23">
        <f>+'QTR Raw'!J88</f>
        <v>0</v>
      </c>
      <c r="AQ138" s="23">
        <f t="shared" si="1086"/>
        <v>0</v>
      </c>
      <c r="AR138" s="23">
        <f>+'QTR Raw'!L88</f>
        <v>0</v>
      </c>
      <c r="AS138" s="23">
        <f t="shared" si="1086"/>
        <v>0</v>
      </c>
      <c r="AT138" s="23">
        <f>+'QTR Raw'!N88</f>
        <v>0</v>
      </c>
      <c r="AU138" s="23">
        <f t="shared" si="1086"/>
        <v>0</v>
      </c>
      <c r="AV138" s="23">
        <f>+'QTR Raw'!P88</f>
        <v>0</v>
      </c>
      <c r="AW138" s="23">
        <f t="shared" si="1086"/>
        <v>0</v>
      </c>
      <c r="AX138" s="23">
        <f>+'QTR Raw'!R88</f>
        <v>0</v>
      </c>
      <c r="AY138" s="23">
        <f t="shared" si="1086"/>
        <v>0</v>
      </c>
      <c r="AZ138" s="23">
        <f>+'QTR Raw'!T88</f>
        <v>0</v>
      </c>
      <c r="BA138" s="23">
        <f t="shared" si="1086"/>
        <v>0</v>
      </c>
      <c r="BB138" s="23">
        <f>+'QTR Raw'!V88</f>
        <v>0</v>
      </c>
      <c r="BC138" s="23">
        <f t="shared" si="1086"/>
        <v>0</v>
      </c>
      <c r="BD138" s="23">
        <f>+'QTR Raw'!X88</f>
        <v>0</v>
      </c>
      <c r="BE138" s="23">
        <f t="shared" si="1086"/>
        <v>0</v>
      </c>
      <c r="BF138" s="23">
        <f>+'QTR Raw'!Z88</f>
        <v>0</v>
      </c>
      <c r="BG138" s="23">
        <f t="shared" si="1086"/>
        <v>0</v>
      </c>
      <c r="BH138" s="23">
        <f>+'QTR Raw'!AB88</f>
        <v>0</v>
      </c>
      <c r="BI138" s="23">
        <f t="shared" si="1086"/>
        <v>0</v>
      </c>
      <c r="BJ138" s="23">
        <f>+'QTR Raw'!AD88</f>
        <v>0</v>
      </c>
      <c r="BK138" s="23">
        <f t="shared" si="1086"/>
        <v>0</v>
      </c>
      <c r="BL138" s="23">
        <f>+'QTR Raw'!AF88</f>
        <v>0</v>
      </c>
      <c r="BM138" s="23">
        <f t="shared" si="1086"/>
        <v>0</v>
      </c>
      <c r="BN138" s="23">
        <f>+'QTR Raw'!AH88</f>
        <v>244.27</v>
      </c>
      <c r="BO138" s="23">
        <f t="shared" si="1086"/>
        <v>244.27</v>
      </c>
      <c r="BP138" s="23">
        <f>+'QTR Raw'!AJ88</f>
        <v>0</v>
      </c>
      <c r="BQ138" s="23">
        <f t="shared" si="1086"/>
        <v>0</v>
      </c>
      <c r="BR138" s="23">
        <f>+'QTR Raw'!AL88</f>
        <v>266.35000000000002</v>
      </c>
      <c r="BS138" s="23">
        <f t="shared" si="1086"/>
        <v>266.35000000000002</v>
      </c>
      <c r="BT138" s="23">
        <f>+'QTR Raw'!AN88</f>
        <v>308.48</v>
      </c>
      <c r="BU138" s="23">
        <f t="shared" si="1086"/>
        <v>308.48</v>
      </c>
      <c r="BV138" s="23">
        <f>+'QTR Raw'!AP88</f>
        <v>341.82</v>
      </c>
      <c r="BW138" s="23">
        <f t="shared" si="1086"/>
        <v>341.82</v>
      </c>
      <c r="BX138" s="23">
        <f>+'QTR Raw'!AR88</f>
        <v>284.10000000000002</v>
      </c>
      <c r="BY138" s="23">
        <f t="shared" si="1086"/>
        <v>284.10000000000002</v>
      </c>
      <c r="BZ138" s="23">
        <f>+'QTR Raw'!AT88</f>
        <v>246.55</v>
      </c>
      <c r="CA138" s="23">
        <f t="shared" si="1086"/>
        <v>246.55</v>
      </c>
      <c r="CB138" s="23">
        <f>+'QTR Raw'!AV88</f>
        <v>393.91</v>
      </c>
      <c r="CC138" s="23">
        <f t="shared" si="1086"/>
        <v>393.91</v>
      </c>
      <c r="CD138" s="23">
        <f>+'QTR Raw'!AX88</f>
        <v>421.59</v>
      </c>
      <c r="CE138" s="23">
        <f t="shared" si="1087"/>
        <v>421.59</v>
      </c>
      <c r="CF138" s="23">
        <f>+'QTR Raw'!AZ88</f>
        <v>642.22</v>
      </c>
      <c r="CG138" s="23">
        <f t="shared" si="1088"/>
        <v>642.22</v>
      </c>
      <c r="CH138" s="23">
        <f t="shared" si="1064"/>
        <v>216.78</v>
      </c>
      <c r="CI138" s="23">
        <f t="shared" si="1088"/>
        <v>216.78</v>
      </c>
      <c r="CJ138" s="23">
        <f>+'QTR Raw'!BD88</f>
        <v>1112.67</v>
      </c>
      <c r="CK138" s="23">
        <f t="shared" si="1089"/>
        <v>1112.67</v>
      </c>
      <c r="CL138" s="23">
        <f>+'QTR Raw'!BF88</f>
        <v>929.65</v>
      </c>
      <c r="CM138" s="24">
        <f t="shared" si="1090"/>
        <v>929.65</v>
      </c>
      <c r="CN138" s="24">
        <f t="shared" si="1091"/>
        <v>929.65</v>
      </c>
      <c r="CO138" s="24">
        <f t="shared" si="1092"/>
        <v>929.65</v>
      </c>
      <c r="CP138" s="24">
        <f t="shared" si="1093"/>
        <v>929.65</v>
      </c>
      <c r="CQ138" s="24">
        <f t="shared" si="1094"/>
        <v>929.65</v>
      </c>
      <c r="CR138" s="24">
        <f t="shared" si="1095"/>
        <v>929.65</v>
      </c>
      <c r="CS138" s="24">
        <f t="shared" si="1096"/>
        <v>929.65</v>
      </c>
      <c r="CT138" s="24">
        <f t="shared" si="1097"/>
        <v>929.65</v>
      </c>
      <c r="CU138" s="24">
        <f t="shared" si="1098"/>
        <v>929.65</v>
      </c>
      <c r="CV138" s="24">
        <f t="shared" si="1099"/>
        <v>929.65</v>
      </c>
      <c r="CW138" s="24">
        <f t="shared" si="1100"/>
        <v>929.65</v>
      </c>
      <c r="CX138" s="24">
        <f t="shared" si="1101"/>
        <v>929.65</v>
      </c>
      <c r="CY138" s="24">
        <f t="shared" si="1102"/>
        <v>929.65</v>
      </c>
      <c r="CZ138" s="24">
        <f t="shared" si="1103"/>
        <v>929.65</v>
      </c>
      <c r="DA138" s="24">
        <f t="shared" si="1104"/>
        <v>929.65</v>
      </c>
      <c r="DB138" s="24">
        <f t="shared" si="1105"/>
        <v>929.65</v>
      </c>
      <c r="DE138" s="123"/>
      <c r="DF138" s="23">
        <v>1112.67</v>
      </c>
    </row>
    <row r="139" spans="1:110" s="22" customFormat="1" x14ac:dyDescent="0.2">
      <c r="A139" s="22" t="s">
        <v>49</v>
      </c>
      <c r="B139" s="22">
        <f>SUM(B135:B138)</f>
        <v>0</v>
      </c>
      <c r="C139" s="22">
        <f t="shared" ref="C139:V139" si="1106">SUM(C135:C138)</f>
        <v>0</v>
      </c>
      <c r="D139" s="22">
        <f t="shared" si="1106"/>
        <v>0</v>
      </c>
      <c r="E139" s="22">
        <f t="shared" si="1106"/>
        <v>0</v>
      </c>
      <c r="F139" s="22">
        <f t="shared" si="1106"/>
        <v>49.7271657</v>
      </c>
      <c r="G139" s="22">
        <f t="shared" si="1106"/>
        <v>60.451316200000001</v>
      </c>
      <c r="H139" s="22">
        <f t="shared" si="1106"/>
        <v>82.502287199999998</v>
      </c>
      <c r="I139" s="22">
        <f t="shared" si="1106"/>
        <v>142.52337370000001</v>
      </c>
      <c r="J139" s="22">
        <f t="shared" si="1106"/>
        <v>197.76146439999999</v>
      </c>
      <c r="K139" s="22">
        <f t="shared" si="1106"/>
        <v>199.43017940000001</v>
      </c>
      <c r="L139" s="22">
        <f t="shared" si="1106"/>
        <v>279.57454200000001</v>
      </c>
      <c r="M139" s="22">
        <f t="shared" si="1106"/>
        <v>492.69901549999997</v>
      </c>
      <c r="N139" s="22">
        <f t="shared" si="1106"/>
        <v>484.63400000000001</v>
      </c>
      <c r="O139" s="22">
        <f t="shared" si="1106"/>
        <v>523.649</v>
      </c>
      <c r="P139" s="22">
        <f t="shared" si="1106"/>
        <v>549.05200000000002</v>
      </c>
      <c r="Q139" s="22">
        <f t="shared" si="1106"/>
        <v>616.75800000000004</v>
      </c>
      <c r="R139" s="22">
        <f t="shared" si="1106"/>
        <v>777.03100000000006</v>
      </c>
      <c r="S139" s="22">
        <f t="shared" si="1106"/>
        <v>846.68999999999983</v>
      </c>
      <c r="T139" s="22">
        <f t="shared" si="1106"/>
        <v>985.26300000000003</v>
      </c>
      <c r="U139" s="22">
        <f t="shared" si="1106"/>
        <v>1058.43</v>
      </c>
      <c r="V139" s="22">
        <f t="shared" si="1106"/>
        <v>703.54</v>
      </c>
      <c r="W139" s="22">
        <f t="shared" ref="W139" si="1107">SUM(W135:W138)</f>
        <v>715.6</v>
      </c>
      <c r="X139" s="22">
        <f t="shared" ref="X139:Y139" si="1108">SUM(X135:X138)</f>
        <v>1152.72</v>
      </c>
      <c r="Y139" s="22">
        <f t="shared" si="1108"/>
        <v>1546.4299999999998</v>
      </c>
      <c r="Z139" s="22">
        <f t="shared" ref="Z139:AA139" si="1109">SUM(Z135:Z138)</f>
        <v>2054.2600000000002</v>
      </c>
      <c r="AA139" s="22">
        <f t="shared" si="1109"/>
        <v>3340.63</v>
      </c>
      <c r="AB139" s="21">
        <f t="shared" ref="AA139:AD139" si="1110">SUM(AB135:AB138)</f>
        <v>3340.63</v>
      </c>
      <c r="AC139" s="21">
        <f t="shared" si="1110"/>
        <v>3340.63</v>
      </c>
      <c r="AD139" s="21">
        <f t="shared" si="1110"/>
        <v>3340.63</v>
      </c>
      <c r="AE139" s="21">
        <f t="shared" ref="AE139" si="1111">SUM(AE135:AE138)</f>
        <v>3340.63</v>
      </c>
      <c r="AJ139" s="22">
        <f t="shared" ref="AJ139" si="1112">SUM(AJ135:AJ138)</f>
        <v>0</v>
      </c>
      <c r="AK139" s="22">
        <f t="shared" ref="AK139" si="1113">SUM(AK135:AK138)</f>
        <v>0</v>
      </c>
      <c r="AL139" s="22">
        <f t="shared" ref="AL139:AM139" si="1114">SUM(AL135:AL138)</f>
        <v>0</v>
      </c>
      <c r="AM139" s="22">
        <f t="shared" si="1114"/>
        <v>0</v>
      </c>
      <c r="AN139" s="22">
        <f t="shared" ref="AN139:AO139" si="1115">SUM(AN135:AN138)</f>
        <v>0</v>
      </c>
      <c r="AO139" s="22">
        <f t="shared" si="1115"/>
        <v>0</v>
      </c>
      <c r="AP139" s="22">
        <f t="shared" ref="AP139:CE139" si="1116">SUM(AP135:AP138)</f>
        <v>0</v>
      </c>
      <c r="AQ139" s="22">
        <f t="shared" si="1116"/>
        <v>0</v>
      </c>
      <c r="AR139" s="22">
        <f t="shared" si="1116"/>
        <v>0</v>
      </c>
      <c r="AS139" s="22">
        <f t="shared" si="1116"/>
        <v>0</v>
      </c>
      <c r="AT139" s="22">
        <f t="shared" si="1116"/>
        <v>0</v>
      </c>
      <c r="AU139" s="22">
        <f t="shared" si="1116"/>
        <v>0</v>
      </c>
      <c r="AV139" s="22">
        <f t="shared" si="1116"/>
        <v>0</v>
      </c>
      <c r="AW139" s="22">
        <f t="shared" si="1116"/>
        <v>0</v>
      </c>
      <c r="AX139" s="22">
        <f t="shared" si="1116"/>
        <v>0</v>
      </c>
      <c r="AY139" s="22">
        <f t="shared" si="1116"/>
        <v>0</v>
      </c>
      <c r="AZ139" s="22">
        <f t="shared" si="1116"/>
        <v>0</v>
      </c>
      <c r="BA139" s="22">
        <f t="shared" si="1116"/>
        <v>0</v>
      </c>
      <c r="BB139" s="22">
        <f t="shared" si="1116"/>
        <v>0</v>
      </c>
      <c r="BC139" s="22">
        <f t="shared" si="1116"/>
        <v>0</v>
      </c>
      <c r="BD139" s="22">
        <f t="shared" si="1116"/>
        <v>0</v>
      </c>
      <c r="BE139" s="22">
        <f t="shared" si="1116"/>
        <v>0</v>
      </c>
      <c r="BF139" s="22">
        <f t="shared" si="1116"/>
        <v>0</v>
      </c>
      <c r="BG139" s="22">
        <f t="shared" si="1116"/>
        <v>0</v>
      </c>
      <c r="BH139" s="22">
        <f t="shared" ref="BH139" si="1117">SUM(BH135:BH138)</f>
        <v>0</v>
      </c>
      <c r="BI139" s="22">
        <f t="shared" si="1116"/>
        <v>0</v>
      </c>
      <c r="BJ139" s="22">
        <f t="shared" si="1116"/>
        <v>0</v>
      </c>
      <c r="BK139" s="22">
        <f t="shared" si="1116"/>
        <v>0</v>
      </c>
      <c r="BL139" s="22">
        <f t="shared" si="1116"/>
        <v>0</v>
      </c>
      <c r="BM139" s="22">
        <f t="shared" si="1116"/>
        <v>0</v>
      </c>
      <c r="BN139" s="22">
        <f t="shared" si="1116"/>
        <v>912.55</v>
      </c>
      <c r="BO139" s="22">
        <f t="shared" si="1116"/>
        <v>912.55</v>
      </c>
      <c r="BP139" s="22">
        <f t="shared" si="1116"/>
        <v>0</v>
      </c>
      <c r="BQ139" s="22">
        <f t="shared" si="1116"/>
        <v>0</v>
      </c>
      <c r="BR139" s="22">
        <f t="shared" si="1116"/>
        <v>703.54</v>
      </c>
      <c r="BS139" s="22">
        <f t="shared" si="1116"/>
        <v>703.54</v>
      </c>
      <c r="BT139" s="22">
        <f t="shared" si="1116"/>
        <v>726.77</v>
      </c>
      <c r="BU139" s="22">
        <f t="shared" si="1116"/>
        <v>726.77</v>
      </c>
      <c r="BV139" s="22">
        <f t="shared" si="1116"/>
        <v>715.59999999999991</v>
      </c>
      <c r="BW139" s="22">
        <f t="shared" si="1116"/>
        <v>715.59999999999991</v>
      </c>
      <c r="BX139" s="22">
        <f t="shared" si="1116"/>
        <v>728.66000000000008</v>
      </c>
      <c r="BY139" s="22">
        <f t="shared" si="1116"/>
        <v>728.66000000000008</v>
      </c>
      <c r="BZ139" s="22">
        <f t="shared" si="1116"/>
        <v>1152.72</v>
      </c>
      <c r="CA139" s="22">
        <f t="shared" si="1116"/>
        <v>1152.72</v>
      </c>
      <c r="CB139" s="22">
        <f t="shared" si="1116"/>
        <v>1375.8700000000001</v>
      </c>
      <c r="CC139" s="22">
        <f t="shared" si="1116"/>
        <v>1375.8700000000001</v>
      </c>
      <c r="CD139" s="22">
        <f t="shared" si="1116"/>
        <v>1546.4299999999998</v>
      </c>
      <c r="CE139" s="22">
        <f t="shared" si="1116"/>
        <v>1546.4299999999998</v>
      </c>
      <c r="CF139" s="22">
        <f t="shared" ref="CF139:CG139" si="1118">SUM(CF135:CF138)</f>
        <v>1732.09</v>
      </c>
      <c r="CG139" s="22">
        <f t="shared" si="1118"/>
        <v>1732.09</v>
      </c>
      <c r="CH139" s="22">
        <f t="shared" ref="CH139:CI139" si="1119">SUM(CH135:CH138)</f>
        <v>2054.2600000000002</v>
      </c>
      <c r="CI139" s="22">
        <f t="shared" si="1119"/>
        <v>2054.2600000000002</v>
      </c>
      <c r="CJ139" s="22">
        <f t="shared" ref="CJ139:DB139" si="1120">SUM(CJ135:CJ138)</f>
        <v>3039.13</v>
      </c>
      <c r="CK139" s="22">
        <f t="shared" si="1120"/>
        <v>3039.13</v>
      </c>
      <c r="CL139" s="22">
        <f t="shared" ref="CL139" si="1121">SUM(CL135:CL138)</f>
        <v>3340.63</v>
      </c>
      <c r="CM139" s="21">
        <f t="shared" si="1120"/>
        <v>3340.63</v>
      </c>
      <c r="CN139" s="21">
        <f t="shared" si="1120"/>
        <v>3340.63</v>
      </c>
      <c r="CO139" s="21">
        <f t="shared" si="1120"/>
        <v>3340.63</v>
      </c>
      <c r="CP139" s="21">
        <f t="shared" si="1120"/>
        <v>3340.63</v>
      </c>
      <c r="CQ139" s="21">
        <f t="shared" si="1120"/>
        <v>3340.63</v>
      </c>
      <c r="CR139" s="21">
        <f t="shared" si="1120"/>
        <v>3340.63</v>
      </c>
      <c r="CS139" s="21">
        <f t="shared" si="1120"/>
        <v>3340.63</v>
      </c>
      <c r="CT139" s="21">
        <f t="shared" si="1120"/>
        <v>3340.63</v>
      </c>
      <c r="CU139" s="21">
        <f t="shared" si="1120"/>
        <v>3340.63</v>
      </c>
      <c r="CV139" s="21">
        <f t="shared" si="1120"/>
        <v>3340.63</v>
      </c>
      <c r="CW139" s="21">
        <f t="shared" si="1120"/>
        <v>3340.63</v>
      </c>
      <c r="CX139" s="21">
        <f t="shared" si="1120"/>
        <v>3340.63</v>
      </c>
      <c r="CY139" s="21">
        <f t="shared" si="1120"/>
        <v>3340.63</v>
      </c>
      <c r="CZ139" s="21">
        <f t="shared" si="1120"/>
        <v>3340.63</v>
      </c>
      <c r="DA139" s="21">
        <f t="shared" si="1120"/>
        <v>3340.63</v>
      </c>
      <c r="DB139" s="21">
        <f t="shared" si="1120"/>
        <v>3340.63</v>
      </c>
      <c r="DE139" s="126"/>
      <c r="DF139" s="22">
        <v>3039.13</v>
      </c>
    </row>
    <row r="140" spans="1:110" s="26" customFormat="1" x14ac:dyDescent="0.2">
      <c r="A140" s="26" t="s">
        <v>437</v>
      </c>
      <c r="B140" s="26">
        <f>B139+B131+B133</f>
        <v>0</v>
      </c>
      <c r="C140" s="26">
        <f t="shared" ref="C140:V140" si="1122">C139+C131+C133</f>
        <v>0</v>
      </c>
      <c r="D140" s="26">
        <f>D139+D131+D133</f>
        <v>0</v>
      </c>
      <c r="E140" s="26">
        <f t="shared" si="1122"/>
        <v>0</v>
      </c>
      <c r="F140" s="26">
        <f t="shared" si="1122"/>
        <v>71.210069300000001</v>
      </c>
      <c r="G140" s="26">
        <f t="shared" si="1122"/>
        <v>91.93468630000001</v>
      </c>
      <c r="H140" s="26">
        <f t="shared" si="1122"/>
        <v>125.9269841</v>
      </c>
      <c r="I140" s="26">
        <f t="shared" si="1122"/>
        <v>202.40435489999999</v>
      </c>
      <c r="J140" s="26">
        <f t="shared" si="1122"/>
        <v>264.10239209999997</v>
      </c>
      <c r="K140" s="26">
        <f t="shared" si="1122"/>
        <v>276.08254699999998</v>
      </c>
      <c r="L140" s="26">
        <f t="shared" si="1122"/>
        <v>416.42350120000003</v>
      </c>
      <c r="M140" s="26">
        <f t="shared" si="1122"/>
        <v>675.0898009</v>
      </c>
      <c r="N140" s="26">
        <f t="shared" si="1122"/>
        <v>920.96199999999999</v>
      </c>
      <c r="O140" s="26">
        <f t="shared" si="1122"/>
        <v>981.86500000000001</v>
      </c>
      <c r="P140" s="26">
        <f t="shared" si="1122"/>
        <v>1041.3420000000001</v>
      </c>
      <c r="Q140" s="26">
        <f t="shared" si="1122"/>
        <v>1150.6600000000001</v>
      </c>
      <c r="R140" s="26">
        <f t="shared" si="1122"/>
        <v>1353.7640000000001</v>
      </c>
      <c r="S140" s="26">
        <f t="shared" si="1122"/>
        <v>1444.9599999999998</v>
      </c>
      <c r="T140" s="26">
        <f t="shared" si="1122"/>
        <v>1668.5219999999999</v>
      </c>
      <c r="U140" s="26">
        <f t="shared" si="1122"/>
        <v>1780.02</v>
      </c>
      <c r="V140" s="26">
        <f t="shared" si="1122"/>
        <v>1672.9699999999998</v>
      </c>
      <c r="W140" s="26">
        <f t="shared" ref="W140" si="1123">W139+W131+W133</f>
        <v>1851.3400000000001</v>
      </c>
      <c r="X140" s="26">
        <f t="shared" ref="X140:Y140" si="1124">X139+X131+X133</f>
        <v>2590.62</v>
      </c>
      <c r="Y140" s="26">
        <f t="shared" si="1124"/>
        <v>3298.0899999999997</v>
      </c>
      <c r="Z140" s="26">
        <f t="shared" ref="Z140:AA140" si="1125">Z139+Z131+Z133</f>
        <v>4911</v>
      </c>
      <c r="AA140" s="26">
        <f t="shared" si="1125"/>
        <v>6604.6900000000005</v>
      </c>
      <c r="AB140" s="27">
        <f t="shared" ref="AA140:AD140" si="1126">AB139+AB131+AB133</f>
        <v>7074.613115973305</v>
      </c>
      <c r="AC140" s="27">
        <f t="shared" si="1126"/>
        <v>7791.599624769281</v>
      </c>
      <c r="AD140" s="27">
        <f t="shared" si="1126"/>
        <v>8780.3171744987922</v>
      </c>
      <c r="AE140" s="27">
        <f t="shared" ref="AE140" si="1127">AE139+AE131+AE133</f>
        <v>10074.63512876815</v>
      </c>
      <c r="AJ140" s="26">
        <f t="shared" ref="AJ140" si="1128">AJ139+AJ131+AJ133</f>
        <v>0</v>
      </c>
      <c r="AK140" s="26">
        <f t="shared" ref="AK140" si="1129">AK139+AK131+AK133</f>
        <v>0</v>
      </c>
      <c r="AL140" s="26">
        <f t="shared" ref="AL140" si="1130">AL139+AL131+AL133</f>
        <v>0</v>
      </c>
      <c r="AM140" s="26">
        <f t="shared" ref="AM140:AO140" si="1131">AM139+AM131+AM133</f>
        <v>0</v>
      </c>
      <c r="AN140" s="26">
        <f t="shared" si="1131"/>
        <v>0</v>
      </c>
      <c r="AO140" s="26">
        <f t="shared" si="1131"/>
        <v>0</v>
      </c>
      <c r="AP140" s="26">
        <f t="shared" ref="AP140:CE140" si="1132">AP139+AP131+AP133</f>
        <v>0</v>
      </c>
      <c r="AQ140" s="26">
        <f t="shared" si="1132"/>
        <v>0</v>
      </c>
      <c r="AR140" s="26">
        <f t="shared" si="1132"/>
        <v>0</v>
      </c>
      <c r="AS140" s="26">
        <f t="shared" si="1132"/>
        <v>0</v>
      </c>
      <c r="AT140" s="26">
        <f t="shared" si="1132"/>
        <v>0</v>
      </c>
      <c r="AU140" s="26">
        <f t="shared" si="1132"/>
        <v>0</v>
      </c>
      <c r="AV140" s="26">
        <f t="shared" si="1132"/>
        <v>0</v>
      </c>
      <c r="AW140" s="26">
        <f t="shared" si="1132"/>
        <v>0</v>
      </c>
      <c r="AX140" s="26">
        <f t="shared" si="1132"/>
        <v>0</v>
      </c>
      <c r="AY140" s="26">
        <f t="shared" si="1132"/>
        <v>0</v>
      </c>
      <c r="AZ140" s="26">
        <f t="shared" si="1132"/>
        <v>0</v>
      </c>
      <c r="BA140" s="26">
        <f t="shared" si="1132"/>
        <v>0</v>
      </c>
      <c r="BB140" s="26">
        <f t="shared" si="1132"/>
        <v>0</v>
      </c>
      <c r="BC140" s="26">
        <f t="shared" si="1132"/>
        <v>0</v>
      </c>
      <c r="BD140" s="26">
        <f t="shared" si="1132"/>
        <v>0</v>
      </c>
      <c r="BE140" s="26">
        <f t="shared" si="1132"/>
        <v>0</v>
      </c>
      <c r="BF140" s="26">
        <f t="shared" si="1132"/>
        <v>0</v>
      </c>
      <c r="BG140" s="26">
        <f t="shared" si="1132"/>
        <v>0</v>
      </c>
      <c r="BH140" s="26">
        <f t="shared" ref="BH140" si="1133">BH139+BH131+BH133</f>
        <v>0</v>
      </c>
      <c r="BI140" s="26">
        <f t="shared" si="1132"/>
        <v>0</v>
      </c>
      <c r="BJ140" s="26">
        <f t="shared" si="1132"/>
        <v>0</v>
      </c>
      <c r="BK140" s="26">
        <f t="shared" si="1132"/>
        <v>0</v>
      </c>
      <c r="BL140" s="26">
        <f t="shared" si="1132"/>
        <v>0</v>
      </c>
      <c r="BM140" s="26">
        <f t="shared" si="1132"/>
        <v>0</v>
      </c>
      <c r="BN140" s="26">
        <f t="shared" si="1132"/>
        <v>1634.1399999999999</v>
      </c>
      <c r="BO140" s="26">
        <f t="shared" si="1132"/>
        <v>1617.9099999999999</v>
      </c>
      <c r="BP140" s="26">
        <f t="shared" si="1132"/>
        <v>0</v>
      </c>
      <c r="BQ140" s="26">
        <f t="shared" si="1132"/>
        <v>43.479999999999983</v>
      </c>
      <c r="BR140" s="26">
        <f t="shared" si="1132"/>
        <v>1672.9699999999998</v>
      </c>
      <c r="BS140" s="26">
        <f t="shared" si="1132"/>
        <v>1697.04</v>
      </c>
      <c r="BT140" s="26">
        <f t="shared" si="1132"/>
        <v>1771.4199999999998</v>
      </c>
      <c r="BU140" s="26">
        <f t="shared" si="1132"/>
        <v>1809.0199999999998</v>
      </c>
      <c r="BV140" s="26">
        <f t="shared" si="1132"/>
        <v>1851.34</v>
      </c>
      <c r="BW140" s="26">
        <f t="shared" si="1132"/>
        <v>1907.98</v>
      </c>
      <c r="BX140" s="26">
        <f t="shared" si="1132"/>
        <v>1972.19</v>
      </c>
      <c r="BY140" s="26">
        <f t="shared" si="1132"/>
        <v>2023.8</v>
      </c>
      <c r="BZ140" s="26">
        <f t="shared" si="1132"/>
        <v>2590.62</v>
      </c>
      <c r="CA140" s="26">
        <f t="shared" si="1132"/>
        <v>2665.1</v>
      </c>
      <c r="CB140" s="26">
        <f t="shared" si="1132"/>
        <v>2975.6899999999996</v>
      </c>
      <c r="CC140" s="26">
        <f t="shared" si="1132"/>
        <v>3048.81</v>
      </c>
      <c r="CD140" s="26">
        <f t="shared" si="1132"/>
        <v>3298.0899999999997</v>
      </c>
      <c r="CE140" s="26">
        <f t="shared" si="1132"/>
        <v>3351.2799999999997</v>
      </c>
      <c r="CF140" s="26">
        <f t="shared" ref="CF140:CG140" si="1134">CF139+CF131+CF133</f>
        <v>4516.34</v>
      </c>
      <c r="CG140" s="26">
        <f t="shared" si="1134"/>
        <v>4529.2699999999995</v>
      </c>
      <c r="CH140" s="26">
        <f t="shared" ref="CH140:CI140" si="1135">CH139+CH131+CH133</f>
        <v>4911</v>
      </c>
      <c r="CI140" s="26">
        <f t="shared" si="1135"/>
        <v>4980.6000000000004</v>
      </c>
      <c r="CJ140" s="26">
        <f t="shared" ref="CJ140:DB140" si="1136">CJ139+CJ131+CJ133</f>
        <v>6068.99</v>
      </c>
      <c r="CK140" s="26">
        <f t="shared" si="1136"/>
        <v>6176.1</v>
      </c>
      <c r="CL140" s="26">
        <f t="shared" ref="CL140" si="1137">CL139+CL131+CL133</f>
        <v>6604.6900000000005</v>
      </c>
      <c r="CM140" s="27">
        <f t="shared" si="1136"/>
        <v>6683.0472314243907</v>
      </c>
      <c r="CN140" s="27">
        <f t="shared" si="1136"/>
        <v>6796.4343402352079</v>
      </c>
      <c r="CO140" s="27">
        <f t="shared" si="1136"/>
        <v>6923.5625416569037</v>
      </c>
      <c r="CP140" s="27">
        <f t="shared" si="1136"/>
        <v>7074.613115973305</v>
      </c>
      <c r="CQ140" s="27">
        <f t="shared" si="1136"/>
        <v>7212.4418220778407</v>
      </c>
      <c r="CR140" s="27">
        <f t="shared" si="1136"/>
        <v>7387.902443603165</v>
      </c>
      <c r="CS140" s="27">
        <f t="shared" si="1136"/>
        <v>7575.3673125811756</v>
      </c>
      <c r="CT140" s="27">
        <f t="shared" si="1136"/>
        <v>7791.599624769281</v>
      </c>
      <c r="CU140" s="27">
        <f t="shared" si="1136"/>
        <v>7991.9675487376298</v>
      </c>
      <c r="CV140" s="27">
        <f t="shared" si="1136"/>
        <v>8235.0307337524046</v>
      </c>
      <c r="CW140" s="27">
        <f t="shared" si="1136"/>
        <v>8490.9541740582754</v>
      </c>
      <c r="CX140" s="27">
        <f t="shared" si="1136"/>
        <v>8780.3171744987922</v>
      </c>
      <c r="CY140" s="27">
        <f t="shared" si="1136"/>
        <v>9050.0244376141964</v>
      </c>
      <c r="CZ140" s="27">
        <f t="shared" si="1136"/>
        <v>9369.1046688744027</v>
      </c>
      <c r="DA140" s="27">
        <f t="shared" si="1136"/>
        <v>9702.5094639160307</v>
      </c>
      <c r="DB140" s="27">
        <f t="shared" si="1136"/>
        <v>10074.63512876815</v>
      </c>
      <c r="DE140" s="121"/>
      <c r="DF140" s="26">
        <v>6279.5990408741291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50</v>
      </c>
      <c r="B142" s="23">
        <f>'Annual Raw'!C62</f>
        <v>0</v>
      </c>
      <c r="C142" s="23">
        <f>'Annual Raw'!D62</f>
        <v>0</v>
      </c>
      <c r="D142" s="23">
        <f>'Annual Raw'!E62</f>
        <v>0</v>
      </c>
      <c r="E142" s="23">
        <f>'Annual Raw'!F62-E146</f>
        <v>0</v>
      </c>
      <c r="F142" s="23">
        <f>'Annual Raw'!G62-F146</f>
        <v>77.276709600000004</v>
      </c>
      <c r="G142" s="23">
        <f>'Annual Raw'!H62-G146</f>
        <v>93.8256023</v>
      </c>
      <c r="H142" s="23">
        <f>'Annual Raw'!I62-H146</f>
        <v>129.76693320000001</v>
      </c>
      <c r="I142" s="23">
        <f>'Annual Raw'!J62-I146</f>
        <v>194.86751599999999</v>
      </c>
      <c r="J142" s="23">
        <f>'Annual Raw'!K62-J146</f>
        <v>261.53473639999999</v>
      </c>
      <c r="K142" s="23">
        <f>'Annual Raw'!L62-K146</f>
        <v>300.22244819999997</v>
      </c>
      <c r="L142" s="23">
        <f>'Annual Raw'!M62-L146</f>
        <v>435.24108869999998</v>
      </c>
      <c r="M142" s="23">
        <f>'Annual Raw'!N62-M146</f>
        <v>667.50093430000004</v>
      </c>
      <c r="N142" s="23">
        <f>'Annual Raw'!O62-N146</f>
        <v>858.16899999999998</v>
      </c>
      <c r="O142" s="23">
        <f>'Annual Raw'!P62-O146</f>
        <v>1011.077</v>
      </c>
      <c r="P142" s="23">
        <f>'Annual Raw'!Q62-P146</f>
        <v>1167.3309999999999</v>
      </c>
      <c r="Q142" s="23">
        <f>'Annual Raw'!R62-Q146</f>
        <v>1321.2380000000001</v>
      </c>
      <c r="R142" s="23">
        <f>'Annual Raw'!S62-R146</f>
        <v>1659.2</v>
      </c>
      <c r="S142" s="23">
        <f>'Annual Raw'!T62-S146</f>
        <v>1592.68</v>
      </c>
      <c r="T142" s="23">
        <f>'Annual Raw'!U62-T146</f>
        <v>2094.9499999999998</v>
      </c>
      <c r="U142" s="23">
        <f>'Annual Raw'!V62-U146</f>
        <v>2207.6999999999998</v>
      </c>
      <c r="V142" s="23">
        <f>'Annual Raw'!W62-V146</f>
        <v>2367.2199999999998</v>
      </c>
      <c r="W142" s="23">
        <f>'Annual Raw'!X62-W146</f>
        <v>2599.15</v>
      </c>
      <c r="X142" s="23">
        <f>'Annual Raw'!Y62-X146</f>
        <v>3125.55</v>
      </c>
      <c r="Y142" s="23">
        <f>'Annual Raw'!Z62-Y146</f>
        <v>3822.92</v>
      </c>
      <c r="Z142" s="23">
        <f>'Annual Raw'!AA62-Z146</f>
        <v>5562.6500000000005</v>
      </c>
      <c r="AA142" s="23">
        <f>'Annual Raw'!AB62-AA146</f>
        <v>6955.9500000000007</v>
      </c>
      <c r="AB142" s="24">
        <f t="shared" ref="AB142:AB148" si="1138">+CP142</f>
        <v>6566.9700000000012</v>
      </c>
      <c r="AC142" s="24">
        <f t="shared" ref="AC142:AC148" si="1139">+CT142</f>
        <v>6566.9700000000012</v>
      </c>
      <c r="AD142" s="24">
        <f t="shared" ref="AD142:AD148" si="1140">+CX142</f>
        <v>6566.9700000000012</v>
      </c>
      <c r="AE142" s="24">
        <f t="shared" ref="AE142:AE148" si="1141">+DB142</f>
        <v>6566.9700000000012</v>
      </c>
      <c r="AJ142" s="23">
        <f>+'QTR Raw'!D68</f>
        <v>0</v>
      </c>
      <c r="AL142" s="23">
        <f>+'QTR Raw'!F68</f>
        <v>0</v>
      </c>
      <c r="AN142" s="23">
        <f>+'QTR Raw'!H68</f>
        <v>0</v>
      </c>
      <c r="AP142" s="23">
        <f>+'QTR Raw'!J68</f>
        <v>0</v>
      </c>
      <c r="AR142" s="23">
        <f>+'QTR Raw'!L68</f>
        <v>0</v>
      </c>
      <c r="AT142" s="23">
        <f>+'QTR Raw'!N68</f>
        <v>0</v>
      </c>
      <c r="AV142" s="23">
        <f>+'QTR Raw'!P68</f>
        <v>0</v>
      </c>
      <c r="AX142" s="23">
        <f>+'QTR Raw'!R68</f>
        <v>0</v>
      </c>
      <c r="AZ142" s="23">
        <f>+'QTR Raw'!T68</f>
        <v>0</v>
      </c>
      <c r="BB142" s="23">
        <f>+'QTR Raw'!V68</f>
        <v>0</v>
      </c>
      <c r="BD142" s="23">
        <f>+'QTR Raw'!X68</f>
        <v>0</v>
      </c>
      <c r="BF142" s="23">
        <f>+'QTR Raw'!Z68</f>
        <v>0</v>
      </c>
      <c r="BH142" s="23">
        <f>+'QTR Raw'!AB68</f>
        <v>0</v>
      </c>
      <c r="BJ142" s="23">
        <f>+'QTR Raw'!AD68</f>
        <v>0</v>
      </c>
      <c r="BL142" s="23">
        <f>+'QTR Raw'!AF68</f>
        <v>0</v>
      </c>
      <c r="BN142" s="23">
        <f>+'QTR Raw'!AH68</f>
        <v>1437.32</v>
      </c>
      <c r="BP142" s="23">
        <f>+'QTR Raw'!AJ68</f>
        <v>0</v>
      </c>
      <c r="BR142" s="23">
        <f>+'QTR Raw'!AL68</f>
        <v>1427.06</v>
      </c>
      <c r="BT142" s="23">
        <f>+'QTR Raw'!AN68</f>
        <v>1420.79</v>
      </c>
      <c r="BV142" s="23">
        <f>+'QTR Raw'!AP68</f>
        <v>1457.96</v>
      </c>
      <c r="BX142" s="23">
        <f>+'QTR Raw'!AR68</f>
        <v>1499.88</v>
      </c>
      <c r="BZ142" s="23">
        <f>+'QTR Raw'!AT68</f>
        <v>1841.93</v>
      </c>
      <c r="CB142" s="23">
        <f>+'QTR Raw'!AV68</f>
        <v>1954.23</v>
      </c>
      <c r="CD142" s="23">
        <f>+'QTR Raw'!AX68</f>
        <v>2137.7600000000002</v>
      </c>
      <c r="CF142" s="23">
        <f>+'QTR Raw'!AZ68</f>
        <v>2305.3200000000002</v>
      </c>
      <c r="CH142" s="23">
        <f t="shared" ref="CH142:CH148" si="1142">Z142</f>
        <v>5562.6500000000005</v>
      </c>
      <c r="CI142" s="23">
        <f>CH142</f>
        <v>5562.6500000000005</v>
      </c>
      <c r="CJ142" s="23">
        <f>+CJ143+CJ145</f>
        <v>5719.1100000000006</v>
      </c>
      <c r="CK142" s="23">
        <f>+CJ142</f>
        <v>5719.1100000000006</v>
      </c>
      <c r="CL142" s="23">
        <f>+CL143+CL145</f>
        <v>6566.9700000000012</v>
      </c>
      <c r="CM142" s="24">
        <f t="shared" ref="CM142:DB142" si="1143">+CL142</f>
        <v>6566.9700000000012</v>
      </c>
      <c r="CN142" s="24">
        <f t="shared" si="1143"/>
        <v>6566.9700000000012</v>
      </c>
      <c r="CO142" s="24">
        <f t="shared" si="1143"/>
        <v>6566.9700000000012</v>
      </c>
      <c r="CP142" s="24">
        <f t="shared" si="1143"/>
        <v>6566.9700000000012</v>
      </c>
      <c r="CQ142" s="24">
        <f t="shared" si="1143"/>
        <v>6566.9700000000012</v>
      </c>
      <c r="CR142" s="24">
        <f t="shared" si="1143"/>
        <v>6566.9700000000012</v>
      </c>
      <c r="CS142" s="24">
        <f t="shared" si="1143"/>
        <v>6566.9700000000012</v>
      </c>
      <c r="CT142" s="24">
        <f t="shared" si="1143"/>
        <v>6566.9700000000012</v>
      </c>
      <c r="CU142" s="24">
        <f t="shared" si="1143"/>
        <v>6566.9700000000012</v>
      </c>
      <c r="CV142" s="24">
        <f t="shared" si="1143"/>
        <v>6566.9700000000012</v>
      </c>
      <c r="CW142" s="24">
        <f t="shared" si="1143"/>
        <v>6566.9700000000012</v>
      </c>
      <c r="CX142" s="24">
        <f t="shared" si="1143"/>
        <v>6566.9700000000012</v>
      </c>
      <c r="CY142" s="24">
        <f t="shared" si="1143"/>
        <v>6566.9700000000012</v>
      </c>
      <c r="CZ142" s="24">
        <f t="shared" si="1143"/>
        <v>6566.9700000000012</v>
      </c>
      <c r="DA142" s="24">
        <f t="shared" si="1143"/>
        <v>6566.9700000000012</v>
      </c>
      <c r="DB142" s="24">
        <f t="shared" si="1143"/>
        <v>6566.9700000000012</v>
      </c>
      <c r="DE142" s="123"/>
      <c r="DF142" s="23">
        <v>5719.1100000000006</v>
      </c>
    </row>
    <row r="143" spans="1:110" s="23" customFormat="1" outlineLevel="1" x14ac:dyDescent="0.2">
      <c r="A143" s="23" t="s">
        <v>51</v>
      </c>
      <c r="B143" s="23">
        <f>'Annual Raw'!C63</f>
        <v>0</v>
      </c>
      <c r="C143" s="23">
        <f>'Annual Raw'!D63</f>
        <v>0</v>
      </c>
      <c r="D143" s="23">
        <f>'Annual Raw'!E63</f>
        <v>0</v>
      </c>
      <c r="E143" s="23">
        <f>'Annual Raw'!F63</f>
        <v>0</v>
      </c>
      <c r="F143" s="23">
        <f>'Annual Raw'!G63</f>
        <v>13.429452299999999</v>
      </c>
      <c r="G143" s="23">
        <f>'Annual Raw'!H63</f>
        <v>19.054111899999999</v>
      </c>
      <c r="H143" s="23">
        <f>'Annual Raw'!I63</f>
        <v>26.041831200000001</v>
      </c>
      <c r="I143" s="23">
        <f>'Annual Raw'!J63</f>
        <v>36.449240500000002</v>
      </c>
      <c r="J143" s="23">
        <f>'Annual Raw'!K63</f>
        <v>52.146787799999998</v>
      </c>
      <c r="K143" s="23">
        <f>'Annual Raw'!L63</f>
        <v>71.140459100000001</v>
      </c>
      <c r="L143" s="23">
        <f>'Annual Raw'!M63</f>
        <v>98.0023506</v>
      </c>
      <c r="M143" s="23">
        <f>'Annual Raw'!N63</f>
        <v>139.26902179999999</v>
      </c>
      <c r="N143" s="23">
        <f>'Annual Raw'!O63</f>
        <v>64.591999999999999</v>
      </c>
      <c r="O143" s="23">
        <f>'Annual Raw'!P63</f>
        <v>146.60499999999999</v>
      </c>
      <c r="P143" s="23">
        <f>'Annual Raw'!Q63</f>
        <v>232.81100000000001</v>
      </c>
      <c r="Q143" s="23">
        <f>'Annual Raw'!R63</f>
        <v>329.959</v>
      </c>
      <c r="R143" s="23">
        <f>'Annual Raw'!S63</f>
        <v>431.53199999999998</v>
      </c>
      <c r="S143" s="23">
        <f>'Annual Raw'!T63</f>
        <v>332.97</v>
      </c>
      <c r="T143" s="23">
        <f>'Annual Raw'!U63</f>
        <v>506.36399999999998</v>
      </c>
      <c r="U143" s="23">
        <f>'Annual Raw'!V63</f>
        <v>661.91</v>
      </c>
      <c r="V143" s="23">
        <f>'Annual Raw'!W63</f>
        <v>856.73</v>
      </c>
      <c r="W143" s="23">
        <f>'Annual Raw'!X63</f>
        <v>1055.3699999999999</v>
      </c>
      <c r="X143" s="23">
        <f>'Annual Raw'!Y63</f>
        <v>1191.6600000000001</v>
      </c>
      <c r="Y143" s="23">
        <f>'Annual Raw'!Z63</f>
        <v>1446.2</v>
      </c>
      <c r="Z143" s="23">
        <f>'Annual Raw'!AA63</f>
        <v>2107.3000000000002</v>
      </c>
      <c r="AA143" s="23">
        <f>'Annual Raw'!AB63</f>
        <v>2490.7800000000002</v>
      </c>
      <c r="AB143" s="24">
        <f t="shared" si="1138"/>
        <v>3098.0336873079541</v>
      </c>
      <c r="AC143" s="24">
        <f t="shared" si="1139"/>
        <v>3570.4414848988536</v>
      </c>
      <c r="AD143" s="24">
        <f t="shared" si="1140"/>
        <v>3978.5156922741699</v>
      </c>
      <c r="AE143" s="24">
        <f t="shared" si="1141"/>
        <v>4331.0174070515404</v>
      </c>
      <c r="AJ143" s="23">
        <f>+'QTR Raw'!D69</f>
        <v>0</v>
      </c>
      <c r="AL143" s="23">
        <f>+'QTR Raw'!F69</f>
        <v>0</v>
      </c>
      <c r="AN143" s="23">
        <f>+'QTR Raw'!H69</f>
        <v>0</v>
      </c>
      <c r="AP143" s="23">
        <f>+'QTR Raw'!J69</f>
        <v>0</v>
      </c>
      <c r="AR143" s="23">
        <f>+'QTR Raw'!L69</f>
        <v>0</v>
      </c>
      <c r="AT143" s="23">
        <f>+'QTR Raw'!N69</f>
        <v>0</v>
      </c>
      <c r="AV143" s="23">
        <f>+'QTR Raw'!P69</f>
        <v>0</v>
      </c>
      <c r="AX143" s="23">
        <f>+'QTR Raw'!R69</f>
        <v>0</v>
      </c>
      <c r="AZ143" s="23">
        <f>+'QTR Raw'!T69</f>
        <v>0</v>
      </c>
      <c r="BB143" s="23">
        <f>+'QTR Raw'!V69</f>
        <v>0</v>
      </c>
      <c r="BD143" s="23">
        <f>+'QTR Raw'!X69</f>
        <v>0</v>
      </c>
      <c r="BF143" s="23">
        <f>+'QTR Raw'!Z69</f>
        <v>0</v>
      </c>
      <c r="BH143" s="23">
        <f>+'QTR Raw'!AB69</f>
        <v>0</v>
      </c>
      <c r="BJ143" s="23">
        <f>+'QTR Raw'!AD69</f>
        <v>0</v>
      </c>
      <c r="BL143" s="23">
        <f>+'QTR Raw'!AF69</f>
        <v>0</v>
      </c>
      <c r="BN143" s="23">
        <f>+'QTR Raw'!AH69</f>
        <v>0</v>
      </c>
      <c r="BP143" s="23">
        <f>+'QTR Raw'!AJ69</f>
        <v>0</v>
      </c>
      <c r="BR143" s="23">
        <f>+'QTR Raw'!AL69</f>
        <v>0</v>
      </c>
      <c r="BT143" s="23">
        <f>+'QTR Raw'!AN69</f>
        <v>0</v>
      </c>
      <c r="BV143" s="23">
        <f>+'QTR Raw'!AP69</f>
        <v>0</v>
      </c>
      <c r="BX143" s="23">
        <f>+'QTR Raw'!AR69</f>
        <v>0</v>
      </c>
      <c r="BZ143" s="23">
        <f>+'QTR Raw'!AT69</f>
        <v>0</v>
      </c>
      <c r="CB143" s="23">
        <f>+'QTR Raw'!AV69</f>
        <v>0</v>
      </c>
      <c r="CD143" s="23">
        <f>+'QTR Raw'!AX69</f>
        <v>0</v>
      </c>
      <c r="CF143" s="23">
        <f>+'QTR Raw'!AZ69</f>
        <v>0</v>
      </c>
      <c r="CH143" s="23">
        <f t="shared" si="1142"/>
        <v>2107.3000000000002</v>
      </c>
      <c r="CI143" s="23">
        <f t="shared" ref="CI143:DB143" si="1144">CH143+CI43</f>
        <v>2209.17</v>
      </c>
      <c r="CJ143" s="23">
        <f t="shared" si="1144"/>
        <v>2318.1800000000003</v>
      </c>
      <c r="CK143" s="23">
        <f t="shared" si="1144"/>
        <v>2433.0600000000004</v>
      </c>
      <c r="CL143" s="23">
        <f t="shared" si="1144"/>
        <v>2551.1500000000005</v>
      </c>
      <c r="CM143" s="24">
        <f t="shared" si="1144"/>
        <v>2695.4655715220406</v>
      </c>
      <c r="CN143" s="24">
        <f t="shared" si="1144"/>
        <v>2834.5949085555494</v>
      </c>
      <c r="CO143" s="24">
        <f t="shared" si="1144"/>
        <v>2968.7243875801155</v>
      </c>
      <c r="CP143" s="24">
        <f t="shared" si="1144"/>
        <v>3098.0336873079541</v>
      </c>
      <c r="CQ143" s="24">
        <f t="shared" si="1144"/>
        <v>3222.6960293799871</v>
      </c>
      <c r="CR143" s="24">
        <f t="shared" si="1144"/>
        <v>3342.8784104120828</v>
      </c>
      <c r="CS143" s="24">
        <f t="shared" si="1144"/>
        <v>3458.741825702306</v>
      </c>
      <c r="CT143" s="24">
        <f t="shared" si="1144"/>
        <v>3570.4414848988536</v>
      </c>
      <c r="CU143" s="24">
        <f t="shared" si="1144"/>
        <v>3678.1270199175824</v>
      </c>
      <c r="CV143" s="24">
        <f t="shared" si="1144"/>
        <v>3781.9426853876553</v>
      </c>
      <c r="CW143" s="24">
        <f t="shared" si="1144"/>
        <v>3882.027551893817</v>
      </c>
      <c r="CX143" s="24">
        <f t="shared" si="1144"/>
        <v>3978.5156922741699</v>
      </c>
      <c r="CY143" s="24">
        <f t="shared" si="1144"/>
        <v>4071.5363612230121</v>
      </c>
      <c r="CZ143" s="24">
        <f t="shared" si="1144"/>
        <v>4161.2141684393282</v>
      </c>
      <c r="DA143" s="24">
        <f t="shared" si="1144"/>
        <v>4247.6692455528837</v>
      </c>
      <c r="DB143" s="24">
        <f t="shared" si="1144"/>
        <v>4331.0174070515404</v>
      </c>
      <c r="DE143" s="123"/>
      <c r="DF143" s="23">
        <v>2544.0594689687823</v>
      </c>
    </row>
    <row r="144" spans="1:110" s="23" customFormat="1" outlineLevel="1" x14ac:dyDescent="0.2">
      <c r="A144" s="23" t="s">
        <v>52</v>
      </c>
      <c r="B144" s="23">
        <f>'Annual Raw'!C64</f>
        <v>0</v>
      </c>
      <c r="C144" s="23">
        <f>'Annual Raw'!D64</f>
        <v>0</v>
      </c>
      <c r="D144" s="23">
        <f>'Annual Raw'!E64</f>
        <v>0</v>
      </c>
      <c r="E144" s="23">
        <f>'Annual Raw'!F64</f>
        <v>0</v>
      </c>
      <c r="F144" s="23">
        <f>'Annual Raw'!G64</f>
        <v>0</v>
      </c>
      <c r="G144" s="23">
        <f>'Annual Raw'!H64</f>
        <v>0</v>
      </c>
      <c r="H144" s="23">
        <f>'Annual Raw'!I64</f>
        <v>0</v>
      </c>
      <c r="I144" s="23">
        <f>'Annual Raw'!J64</f>
        <v>0</v>
      </c>
      <c r="J144" s="23">
        <f>'Annual Raw'!K64</f>
        <v>0</v>
      </c>
      <c r="K144" s="23">
        <f>'Annual Raw'!L64</f>
        <v>0</v>
      </c>
      <c r="L144" s="23">
        <f>'Annual Raw'!M64</f>
        <v>0</v>
      </c>
      <c r="M144" s="23">
        <f>'Annual Raw'!N64</f>
        <v>0</v>
      </c>
      <c r="N144" s="23">
        <f>'Annual Raw'!O64</f>
        <v>0</v>
      </c>
      <c r="O144" s="23">
        <f>'Annual Raw'!P64</f>
        <v>0</v>
      </c>
      <c r="P144" s="23">
        <f>'Annual Raw'!Q64</f>
        <v>0</v>
      </c>
      <c r="Q144" s="23">
        <f>'Annual Raw'!R64</f>
        <v>0</v>
      </c>
      <c r="R144" s="23">
        <f>'Annual Raw'!S64</f>
        <v>0</v>
      </c>
      <c r="S144" s="23">
        <f>'Annual Raw'!T64</f>
        <v>0</v>
      </c>
      <c r="T144" s="23">
        <f>'Annual Raw'!U64</f>
        <v>0</v>
      </c>
      <c r="U144" s="23">
        <f>'Annual Raw'!V64</f>
        <v>0</v>
      </c>
      <c r="V144" s="23">
        <f>'Annual Raw'!W64</f>
        <v>0</v>
      </c>
      <c r="W144" s="23">
        <f>'Annual Raw'!X64</f>
        <v>0</v>
      </c>
      <c r="X144" s="23">
        <f>'Annual Raw'!Y64</f>
        <v>0</v>
      </c>
      <c r="Y144" s="23">
        <f>'Annual Raw'!Z64</f>
        <v>0</v>
      </c>
      <c r="Z144" s="23">
        <f>'Annual Raw'!AA64</f>
        <v>0</v>
      </c>
      <c r="AA144" s="23">
        <f>'Annual Raw'!AB64</f>
        <v>0</v>
      </c>
      <c r="AB144" s="24">
        <f t="shared" si="1138"/>
        <v>0</v>
      </c>
      <c r="AC144" s="24">
        <f t="shared" si="1139"/>
        <v>0</v>
      </c>
      <c r="AD144" s="24">
        <f t="shared" si="1140"/>
        <v>0</v>
      </c>
      <c r="AE144" s="24">
        <f t="shared" si="1141"/>
        <v>0</v>
      </c>
      <c r="AJ144" s="23">
        <f>+'QTR Raw'!D70</f>
        <v>0</v>
      </c>
      <c r="AL144" s="23">
        <f>+'QTR Raw'!F70</f>
        <v>0</v>
      </c>
      <c r="AN144" s="23">
        <f>+'QTR Raw'!H70</f>
        <v>0</v>
      </c>
      <c r="AP144" s="23">
        <f>+'QTR Raw'!J70</f>
        <v>0</v>
      </c>
      <c r="AR144" s="23">
        <f>+'QTR Raw'!L70</f>
        <v>0</v>
      </c>
      <c r="AT144" s="23">
        <f>+'QTR Raw'!N70</f>
        <v>0</v>
      </c>
      <c r="AV144" s="23">
        <f>+'QTR Raw'!P70</f>
        <v>0</v>
      </c>
      <c r="AX144" s="23">
        <f>+'QTR Raw'!R70</f>
        <v>0</v>
      </c>
      <c r="AZ144" s="23">
        <f>+'QTR Raw'!T70</f>
        <v>0</v>
      </c>
      <c r="BB144" s="23">
        <f>+'QTR Raw'!V70</f>
        <v>0</v>
      </c>
      <c r="BD144" s="23">
        <f>+'QTR Raw'!X70</f>
        <v>0</v>
      </c>
      <c r="BF144" s="23">
        <f>+'QTR Raw'!Z70</f>
        <v>0</v>
      </c>
      <c r="BH144" s="23">
        <f>+'QTR Raw'!AB70</f>
        <v>0</v>
      </c>
      <c r="BJ144" s="23">
        <f>+'QTR Raw'!AD70</f>
        <v>0</v>
      </c>
      <c r="BL144" s="23">
        <f>+'QTR Raw'!AF70</f>
        <v>0</v>
      </c>
      <c r="BN144" s="23">
        <f>+'QTR Raw'!AH70</f>
        <v>0</v>
      </c>
      <c r="BP144" s="23">
        <f>+'QTR Raw'!AJ70</f>
        <v>0</v>
      </c>
      <c r="BR144" s="23">
        <f>+'QTR Raw'!AL70</f>
        <v>0</v>
      </c>
      <c r="BT144" s="23">
        <f>+'QTR Raw'!AN70</f>
        <v>0</v>
      </c>
      <c r="BV144" s="23">
        <f>+'QTR Raw'!AP70</f>
        <v>0</v>
      </c>
      <c r="BX144" s="23">
        <f>+'QTR Raw'!AR70</f>
        <v>0</v>
      </c>
      <c r="BZ144" s="23">
        <f>+'QTR Raw'!AT70</f>
        <v>0</v>
      </c>
      <c r="CB144" s="23">
        <f>+'QTR Raw'!AV70</f>
        <v>0</v>
      </c>
      <c r="CD144" s="23">
        <f>+'QTR Raw'!AX70</f>
        <v>0</v>
      </c>
      <c r="CF144" s="23">
        <f>+'QTR Raw'!AZ70</f>
        <v>0</v>
      </c>
      <c r="CH144" s="23">
        <f t="shared" si="1142"/>
        <v>0</v>
      </c>
      <c r="CI144" s="23">
        <f>CH144</f>
        <v>0</v>
      </c>
      <c r="CJ144" s="23">
        <f>+'QTR Raw'!BD70</f>
        <v>0</v>
      </c>
      <c r="CK144" s="23">
        <f t="shared" ref="CK144:DB144" si="1145">CJ144</f>
        <v>0</v>
      </c>
      <c r="CL144" s="23">
        <f>+'QTR Raw'!BF70</f>
        <v>0</v>
      </c>
      <c r="CM144" s="24">
        <f t="shared" si="1145"/>
        <v>0</v>
      </c>
      <c r="CN144" s="24">
        <f t="shared" si="1145"/>
        <v>0</v>
      </c>
      <c r="CO144" s="24">
        <f t="shared" si="1145"/>
        <v>0</v>
      </c>
      <c r="CP144" s="24">
        <f t="shared" si="1145"/>
        <v>0</v>
      </c>
      <c r="CQ144" s="24">
        <f t="shared" si="1145"/>
        <v>0</v>
      </c>
      <c r="CR144" s="24">
        <f t="shared" si="1145"/>
        <v>0</v>
      </c>
      <c r="CS144" s="24">
        <f t="shared" si="1145"/>
        <v>0</v>
      </c>
      <c r="CT144" s="24">
        <f t="shared" si="1145"/>
        <v>0</v>
      </c>
      <c r="CU144" s="24">
        <f t="shared" si="1145"/>
        <v>0</v>
      </c>
      <c r="CV144" s="24">
        <f t="shared" si="1145"/>
        <v>0</v>
      </c>
      <c r="CW144" s="24">
        <f t="shared" si="1145"/>
        <v>0</v>
      </c>
      <c r="CX144" s="24">
        <f t="shared" si="1145"/>
        <v>0</v>
      </c>
      <c r="CY144" s="24">
        <f t="shared" si="1145"/>
        <v>0</v>
      </c>
      <c r="CZ144" s="24">
        <f t="shared" si="1145"/>
        <v>0</v>
      </c>
      <c r="DA144" s="24">
        <f t="shared" si="1145"/>
        <v>0</v>
      </c>
      <c r="DB144" s="24">
        <f t="shared" si="1145"/>
        <v>0</v>
      </c>
      <c r="DE144" s="123"/>
      <c r="DF144" s="23">
        <v>0</v>
      </c>
    </row>
    <row r="145" spans="1:110" s="22" customFormat="1" outlineLevel="1" x14ac:dyDescent="0.2">
      <c r="A145" s="22" t="s">
        <v>53</v>
      </c>
      <c r="B145" s="22">
        <f>+B142-B143-B144</f>
        <v>0</v>
      </c>
      <c r="C145" s="22">
        <f t="shared" ref="C145:W145" si="1146">+C142-C143-C144</f>
        <v>0</v>
      </c>
      <c r="D145" s="22">
        <f t="shared" si="1146"/>
        <v>0</v>
      </c>
      <c r="E145" s="22">
        <f t="shared" si="1146"/>
        <v>0</v>
      </c>
      <c r="F145" s="22">
        <f t="shared" si="1146"/>
        <v>63.847257300000003</v>
      </c>
      <c r="G145" s="22">
        <f t="shared" si="1146"/>
        <v>74.771490400000005</v>
      </c>
      <c r="H145" s="22">
        <f t="shared" si="1146"/>
        <v>103.72510200000001</v>
      </c>
      <c r="I145" s="22">
        <f t="shared" si="1146"/>
        <v>158.41827549999999</v>
      </c>
      <c r="J145" s="22">
        <f t="shared" si="1146"/>
        <v>209.38794859999999</v>
      </c>
      <c r="K145" s="22">
        <f t="shared" si="1146"/>
        <v>229.08198909999999</v>
      </c>
      <c r="L145" s="22">
        <f t="shared" si="1146"/>
        <v>337.23873809999998</v>
      </c>
      <c r="M145" s="22">
        <f t="shared" si="1146"/>
        <v>528.23191250000002</v>
      </c>
      <c r="N145" s="22">
        <f t="shared" si="1146"/>
        <v>793.577</v>
      </c>
      <c r="O145" s="22">
        <f t="shared" si="1146"/>
        <v>864.47199999999998</v>
      </c>
      <c r="P145" s="22">
        <f t="shared" si="1146"/>
        <v>934.51999999999987</v>
      </c>
      <c r="Q145" s="22">
        <f t="shared" si="1146"/>
        <v>991.279</v>
      </c>
      <c r="R145" s="22">
        <f t="shared" si="1146"/>
        <v>1227.6680000000001</v>
      </c>
      <c r="S145" s="22">
        <f t="shared" si="1146"/>
        <v>1259.71</v>
      </c>
      <c r="T145" s="22">
        <f t="shared" si="1146"/>
        <v>1588.5859999999998</v>
      </c>
      <c r="U145" s="22">
        <f t="shared" si="1146"/>
        <v>1545.79</v>
      </c>
      <c r="V145" s="22">
        <f t="shared" si="1146"/>
        <v>1510.4899999999998</v>
      </c>
      <c r="W145" s="22">
        <f t="shared" si="1146"/>
        <v>1543.7800000000002</v>
      </c>
      <c r="X145" s="22">
        <f t="shared" ref="X145:Y145" si="1147">+X142-X143-X144</f>
        <v>1933.89</v>
      </c>
      <c r="Y145" s="22">
        <f t="shared" si="1147"/>
        <v>2376.7200000000003</v>
      </c>
      <c r="Z145" s="22">
        <f t="shared" ref="Z145:AE145" si="1148">+Z142-Z143-Z144</f>
        <v>3455.3500000000004</v>
      </c>
      <c r="AA145" s="22">
        <f t="shared" ref="AA145" si="1149">+AA142-AA143-AA144</f>
        <v>4465.17</v>
      </c>
      <c r="AB145" s="21">
        <f t="shared" si="1148"/>
        <v>3468.9363126920471</v>
      </c>
      <c r="AC145" s="21">
        <f t="shared" si="1148"/>
        <v>2996.5285151011476</v>
      </c>
      <c r="AD145" s="21">
        <f t="shared" si="1148"/>
        <v>2588.4543077258313</v>
      </c>
      <c r="AE145" s="21">
        <f t="shared" si="1148"/>
        <v>2235.9525929484607</v>
      </c>
      <c r="AJ145" s="22">
        <f t="shared" ref="AJ145:AL145" si="1150">+AJ142-AJ143-AJ144</f>
        <v>0</v>
      </c>
      <c r="AK145" s="22">
        <f t="shared" ref="AK145:CE145" si="1151">+AJ145</f>
        <v>0</v>
      </c>
      <c r="AL145" s="22">
        <f t="shared" si="1150"/>
        <v>0</v>
      </c>
      <c r="AM145" s="22">
        <f t="shared" si="1151"/>
        <v>0</v>
      </c>
      <c r="AN145" s="22">
        <f t="shared" ref="AN145" si="1152">+AN142-AN143-AN144</f>
        <v>0</v>
      </c>
      <c r="AO145" s="22">
        <f t="shared" si="1151"/>
        <v>0</v>
      </c>
      <c r="AP145" s="22">
        <f t="shared" ref="AP145:CD145" si="1153">+AP142-AP143-AP144</f>
        <v>0</v>
      </c>
      <c r="AQ145" s="22">
        <f t="shared" si="1151"/>
        <v>0</v>
      </c>
      <c r="AR145" s="22">
        <f t="shared" si="1153"/>
        <v>0</v>
      </c>
      <c r="AS145" s="22">
        <f t="shared" si="1151"/>
        <v>0</v>
      </c>
      <c r="AT145" s="22">
        <f t="shared" si="1153"/>
        <v>0</v>
      </c>
      <c r="AU145" s="22">
        <f t="shared" si="1151"/>
        <v>0</v>
      </c>
      <c r="AV145" s="22">
        <f t="shared" si="1153"/>
        <v>0</v>
      </c>
      <c r="AW145" s="22">
        <f t="shared" si="1151"/>
        <v>0</v>
      </c>
      <c r="AX145" s="22">
        <f t="shared" si="1153"/>
        <v>0</v>
      </c>
      <c r="AY145" s="22">
        <f t="shared" si="1151"/>
        <v>0</v>
      </c>
      <c r="AZ145" s="22">
        <f t="shared" si="1153"/>
        <v>0</v>
      </c>
      <c r="BA145" s="22">
        <f t="shared" si="1151"/>
        <v>0</v>
      </c>
      <c r="BB145" s="22">
        <f t="shared" si="1153"/>
        <v>0</v>
      </c>
      <c r="BC145" s="22">
        <f t="shared" si="1151"/>
        <v>0</v>
      </c>
      <c r="BD145" s="22">
        <f t="shared" si="1153"/>
        <v>0</v>
      </c>
      <c r="BE145" s="22">
        <f t="shared" si="1151"/>
        <v>0</v>
      </c>
      <c r="BF145" s="22">
        <f t="shared" si="1153"/>
        <v>0</v>
      </c>
      <c r="BG145" s="22">
        <f t="shared" si="1151"/>
        <v>0</v>
      </c>
      <c r="BH145" s="22">
        <f t="shared" si="1153"/>
        <v>0</v>
      </c>
      <c r="BI145" s="22">
        <f t="shared" si="1151"/>
        <v>0</v>
      </c>
      <c r="BJ145" s="22">
        <f t="shared" si="1153"/>
        <v>0</v>
      </c>
      <c r="BK145" s="22">
        <f t="shared" si="1151"/>
        <v>0</v>
      </c>
      <c r="BL145" s="22">
        <f t="shared" si="1153"/>
        <v>0</v>
      </c>
      <c r="BM145" s="22">
        <f t="shared" si="1151"/>
        <v>0</v>
      </c>
      <c r="BN145" s="22">
        <f t="shared" si="1153"/>
        <v>1437.32</v>
      </c>
      <c r="BO145" s="22">
        <f t="shared" si="1151"/>
        <v>1437.32</v>
      </c>
      <c r="BP145" s="22">
        <f t="shared" si="1153"/>
        <v>0</v>
      </c>
      <c r="BQ145" s="22">
        <f t="shared" si="1151"/>
        <v>0</v>
      </c>
      <c r="BR145" s="22">
        <f t="shared" si="1153"/>
        <v>1427.06</v>
      </c>
      <c r="BS145" s="22">
        <f t="shared" si="1151"/>
        <v>1427.06</v>
      </c>
      <c r="BT145" s="22">
        <f t="shared" si="1153"/>
        <v>1420.79</v>
      </c>
      <c r="BU145" s="22">
        <f t="shared" si="1151"/>
        <v>1420.79</v>
      </c>
      <c r="BV145" s="22">
        <f t="shared" si="1153"/>
        <v>1457.96</v>
      </c>
      <c r="BW145" s="22">
        <f t="shared" si="1151"/>
        <v>1457.96</v>
      </c>
      <c r="BX145" s="22">
        <f t="shared" si="1153"/>
        <v>1499.88</v>
      </c>
      <c r="BY145" s="22">
        <f t="shared" si="1151"/>
        <v>1499.88</v>
      </c>
      <c r="BZ145" s="22">
        <f t="shared" si="1153"/>
        <v>1841.93</v>
      </c>
      <c r="CA145" s="22">
        <f t="shared" si="1151"/>
        <v>1841.93</v>
      </c>
      <c r="CB145" s="22">
        <f t="shared" si="1153"/>
        <v>1954.23</v>
      </c>
      <c r="CC145" s="22">
        <f t="shared" si="1151"/>
        <v>1954.23</v>
      </c>
      <c r="CD145" s="22">
        <f t="shared" si="1153"/>
        <v>2137.7600000000002</v>
      </c>
      <c r="CE145" s="22">
        <f t="shared" si="1151"/>
        <v>2137.7600000000002</v>
      </c>
      <c r="CF145" s="22">
        <f t="shared" ref="CF145:CI145" si="1154">+CF142-CF143-CF144</f>
        <v>2305.3200000000002</v>
      </c>
      <c r="CG145" s="22">
        <f t="shared" ref="CG145:CI148" si="1155">+CF145</f>
        <v>2305.3200000000002</v>
      </c>
      <c r="CH145" s="22">
        <f t="shared" si="1154"/>
        <v>3455.3500000000004</v>
      </c>
      <c r="CI145" s="22">
        <f t="shared" si="1154"/>
        <v>3353.4800000000005</v>
      </c>
      <c r="CJ145" s="23">
        <f>+'QTR Raw'!BD68</f>
        <v>3400.93</v>
      </c>
      <c r="CK145" s="23">
        <f t="shared" ref="CK145:DB145" si="1156">+CK142-CK143-CK144</f>
        <v>3286.05</v>
      </c>
      <c r="CL145" s="23">
        <f>+'QTR Raw'!BF68</f>
        <v>4015.82</v>
      </c>
      <c r="CM145" s="21">
        <f t="shared" si="1156"/>
        <v>3871.5044284779606</v>
      </c>
      <c r="CN145" s="21">
        <f t="shared" si="1156"/>
        <v>3732.3750914444518</v>
      </c>
      <c r="CO145" s="21">
        <f t="shared" si="1156"/>
        <v>3598.2456124198857</v>
      </c>
      <c r="CP145" s="21">
        <f t="shared" si="1156"/>
        <v>3468.9363126920471</v>
      </c>
      <c r="CQ145" s="21">
        <f t="shared" si="1156"/>
        <v>3344.2739706200141</v>
      </c>
      <c r="CR145" s="21">
        <f t="shared" si="1156"/>
        <v>3224.0915895879184</v>
      </c>
      <c r="CS145" s="21">
        <f t="shared" si="1156"/>
        <v>3108.2281742976952</v>
      </c>
      <c r="CT145" s="21">
        <f t="shared" si="1156"/>
        <v>2996.5285151011476</v>
      </c>
      <c r="CU145" s="21">
        <f t="shared" si="1156"/>
        <v>2888.8429800824188</v>
      </c>
      <c r="CV145" s="21">
        <f t="shared" si="1156"/>
        <v>2785.0273146123459</v>
      </c>
      <c r="CW145" s="21">
        <f t="shared" si="1156"/>
        <v>2684.9424481061842</v>
      </c>
      <c r="CX145" s="21">
        <f t="shared" si="1156"/>
        <v>2588.4543077258313</v>
      </c>
      <c r="CY145" s="21">
        <f t="shared" si="1156"/>
        <v>2495.433638776989</v>
      </c>
      <c r="CZ145" s="21">
        <f t="shared" si="1156"/>
        <v>2405.755831560673</v>
      </c>
      <c r="DA145" s="21">
        <f t="shared" si="1156"/>
        <v>2319.3007544471175</v>
      </c>
      <c r="DB145" s="21">
        <f t="shared" si="1156"/>
        <v>2235.9525929484607</v>
      </c>
      <c r="DE145" s="126"/>
      <c r="DF145" s="22">
        <v>3175.0505310312183</v>
      </c>
    </row>
    <row r="146" spans="1:110" s="23" customFormat="1" outlineLevel="1" x14ac:dyDescent="0.2">
      <c r="A146" s="23" t="s">
        <v>54</v>
      </c>
      <c r="B146" s="23">
        <f>'Annual Raw'!C86</f>
        <v>0</v>
      </c>
      <c r="C146" s="23">
        <f>'Annual Raw'!D86</f>
        <v>0</v>
      </c>
      <c r="D146" s="23">
        <f>'Annual Raw'!E86</f>
        <v>0</v>
      </c>
      <c r="E146" s="23">
        <f>'Annual Raw'!F86</f>
        <v>0</v>
      </c>
      <c r="F146" s="23">
        <f>'Annual Raw'!G86</f>
        <v>0</v>
      </c>
      <c r="G146" s="23">
        <f>'Annual Raw'!H86</f>
        <v>0</v>
      </c>
      <c r="H146" s="23">
        <f>'Annual Raw'!I86</f>
        <v>0</v>
      </c>
      <c r="I146" s="23">
        <f>'Annual Raw'!J86</f>
        <v>0</v>
      </c>
      <c r="J146" s="23">
        <f>'Annual Raw'!K86</f>
        <v>0</v>
      </c>
      <c r="K146" s="23">
        <f>'Annual Raw'!L86</f>
        <v>0</v>
      </c>
      <c r="L146" s="23">
        <f>'Annual Raw'!M86</f>
        <v>0</v>
      </c>
      <c r="M146" s="23">
        <f>'Annual Raw'!N86</f>
        <v>0</v>
      </c>
      <c r="N146" s="23">
        <f>'Annual Raw'!O86</f>
        <v>0</v>
      </c>
      <c r="O146" s="23">
        <f>'Annual Raw'!P86</f>
        <v>0</v>
      </c>
      <c r="P146" s="23">
        <f>'Annual Raw'!Q86</f>
        <v>0</v>
      </c>
      <c r="Q146" s="23">
        <f>'Annual Raw'!R86</f>
        <v>0</v>
      </c>
      <c r="R146" s="23">
        <f>'Annual Raw'!S86</f>
        <v>0</v>
      </c>
      <c r="S146" s="23">
        <f>'Annual Raw'!T86</f>
        <v>0</v>
      </c>
      <c r="T146" s="23">
        <f>'Annual Raw'!U86</f>
        <v>0</v>
      </c>
      <c r="U146" s="23">
        <f>'Annual Raw'!V86</f>
        <v>0</v>
      </c>
      <c r="V146" s="23">
        <f>'Annual Raw'!W86</f>
        <v>0</v>
      </c>
      <c r="W146" s="23">
        <f>'Annual Raw'!X86</f>
        <v>0</v>
      </c>
      <c r="X146" s="23">
        <f>'Annual Raw'!Y86</f>
        <v>189.99</v>
      </c>
      <c r="Y146" s="23">
        <f>'Annual Raw'!Z86</f>
        <v>189.99</v>
      </c>
      <c r="Z146" s="23">
        <f>'Annual Raw'!AA86</f>
        <v>214.98</v>
      </c>
      <c r="AA146" s="23">
        <f>'Annual Raw'!AB86</f>
        <v>211.15</v>
      </c>
      <c r="AB146" s="24">
        <f t="shared" si="1138"/>
        <v>190.06</v>
      </c>
      <c r="AC146" s="24">
        <f t="shared" si="1139"/>
        <v>190.06</v>
      </c>
      <c r="AD146" s="24">
        <f t="shared" si="1140"/>
        <v>190.06</v>
      </c>
      <c r="AE146" s="24">
        <f t="shared" si="1141"/>
        <v>190.06</v>
      </c>
      <c r="AJ146" s="23">
        <f>+'QTR Raw'!D72</f>
        <v>0</v>
      </c>
      <c r="AK146" s="23">
        <f>+AJ146</f>
        <v>0</v>
      </c>
      <c r="AL146" s="23">
        <f>+'QTR Raw'!F72</f>
        <v>0</v>
      </c>
      <c r="AM146" s="23">
        <f t="shared" ref="AK146:CE148" si="1157">+AL146</f>
        <v>0</v>
      </c>
      <c r="AN146" s="23">
        <f>+'QTR Raw'!H72</f>
        <v>0</v>
      </c>
      <c r="AO146" s="23">
        <f t="shared" si="1157"/>
        <v>0</v>
      </c>
      <c r="AP146" s="23">
        <f>+'QTR Raw'!J72</f>
        <v>0</v>
      </c>
      <c r="AQ146" s="23">
        <f t="shared" si="1157"/>
        <v>0</v>
      </c>
      <c r="AR146" s="23">
        <f>+'QTR Raw'!L72</f>
        <v>0</v>
      </c>
      <c r="AS146" s="23">
        <f t="shared" si="1157"/>
        <v>0</v>
      </c>
      <c r="AT146" s="23">
        <f>+'QTR Raw'!N72</f>
        <v>0</v>
      </c>
      <c r="AU146" s="23">
        <f t="shared" si="1157"/>
        <v>0</v>
      </c>
      <c r="AV146" s="23">
        <f>+'QTR Raw'!P72</f>
        <v>0</v>
      </c>
      <c r="AW146" s="23">
        <f t="shared" si="1157"/>
        <v>0</v>
      </c>
      <c r="AX146" s="23">
        <f>+'QTR Raw'!R72</f>
        <v>0</v>
      </c>
      <c r="AY146" s="23">
        <f t="shared" si="1157"/>
        <v>0</v>
      </c>
      <c r="AZ146" s="23">
        <f>+'QTR Raw'!T72</f>
        <v>0</v>
      </c>
      <c r="BA146" s="23">
        <f t="shared" si="1157"/>
        <v>0</v>
      </c>
      <c r="BB146" s="23">
        <f>+'QTR Raw'!V72</f>
        <v>0</v>
      </c>
      <c r="BC146" s="23">
        <f t="shared" si="1157"/>
        <v>0</v>
      </c>
      <c r="BD146" s="23">
        <f>+'QTR Raw'!X72</f>
        <v>0</v>
      </c>
      <c r="BE146" s="23">
        <f t="shared" si="1157"/>
        <v>0</v>
      </c>
      <c r="BF146" s="23">
        <f>+'QTR Raw'!Z72</f>
        <v>0</v>
      </c>
      <c r="BG146" s="23">
        <f t="shared" si="1157"/>
        <v>0</v>
      </c>
      <c r="BH146" s="23">
        <f>+'QTR Raw'!AB72</f>
        <v>0</v>
      </c>
      <c r="BI146" s="23">
        <f t="shared" si="1157"/>
        <v>0</v>
      </c>
      <c r="BJ146" s="23">
        <f>+'QTR Raw'!AD72</f>
        <v>0</v>
      </c>
      <c r="BK146" s="23">
        <f t="shared" si="1157"/>
        <v>0</v>
      </c>
      <c r="BL146" s="23">
        <f>+'QTR Raw'!AF72</f>
        <v>0</v>
      </c>
      <c r="BM146" s="23">
        <f t="shared" si="1157"/>
        <v>0</v>
      </c>
      <c r="BN146" s="23">
        <f>+'QTR Raw'!AH72</f>
        <v>0</v>
      </c>
      <c r="BO146" s="23">
        <f t="shared" si="1157"/>
        <v>0</v>
      </c>
      <c r="BP146" s="23">
        <f>+'QTR Raw'!AJ72</f>
        <v>0</v>
      </c>
      <c r="BQ146" s="23">
        <f t="shared" si="1157"/>
        <v>0</v>
      </c>
      <c r="BR146" s="23">
        <f>+'QTR Raw'!AL72</f>
        <v>0</v>
      </c>
      <c r="BS146" s="23">
        <f t="shared" si="1157"/>
        <v>0</v>
      </c>
      <c r="BT146" s="23">
        <f>+'QTR Raw'!AN72</f>
        <v>0</v>
      </c>
      <c r="BU146" s="23">
        <f t="shared" si="1157"/>
        <v>0</v>
      </c>
      <c r="BV146" s="23">
        <f>+'QTR Raw'!AP72</f>
        <v>0</v>
      </c>
      <c r="BW146" s="23">
        <f t="shared" si="1157"/>
        <v>0</v>
      </c>
      <c r="BX146" s="23">
        <f>+'QTR Raw'!AR72</f>
        <v>0</v>
      </c>
      <c r="BY146" s="23">
        <f t="shared" si="1157"/>
        <v>0</v>
      </c>
      <c r="BZ146" s="23">
        <f>+'QTR Raw'!AT72</f>
        <v>189.99</v>
      </c>
      <c r="CA146" s="23">
        <f t="shared" si="1157"/>
        <v>189.99</v>
      </c>
      <c r="CB146" s="23">
        <f>+'QTR Raw'!AV72</f>
        <v>189.99</v>
      </c>
      <c r="CC146" s="23">
        <f t="shared" si="1157"/>
        <v>189.99</v>
      </c>
      <c r="CD146" s="23">
        <f>+'QTR Raw'!AX72</f>
        <v>189.99</v>
      </c>
      <c r="CE146" s="23">
        <f t="shared" si="1157"/>
        <v>189.99</v>
      </c>
      <c r="CF146" s="23">
        <f>+'QTR Raw'!AZ72</f>
        <v>189.99</v>
      </c>
      <c r="CG146" s="23">
        <f t="shared" si="1155"/>
        <v>189.99</v>
      </c>
      <c r="CH146" s="23">
        <f t="shared" si="1142"/>
        <v>214.98</v>
      </c>
      <c r="CI146" s="23">
        <f t="shared" si="1155"/>
        <v>214.98</v>
      </c>
      <c r="CJ146" s="23">
        <f>+'QTR Raw'!BD72</f>
        <v>190.06</v>
      </c>
      <c r="CK146" s="23">
        <f t="shared" ref="CK146:CK148" si="1158">+CJ146</f>
        <v>190.06</v>
      </c>
      <c r="CL146" s="23">
        <f>+'QTR Raw'!BF72</f>
        <v>190.06</v>
      </c>
      <c r="CM146" s="24">
        <f t="shared" ref="CM146:CM148" si="1159">+CL146</f>
        <v>190.06</v>
      </c>
      <c r="CN146" s="24">
        <f t="shared" ref="CN146:CN148" si="1160">+CM146</f>
        <v>190.06</v>
      </c>
      <c r="CO146" s="24">
        <f t="shared" ref="CO146:CO148" si="1161">+CN146</f>
        <v>190.06</v>
      </c>
      <c r="CP146" s="24">
        <f t="shared" ref="CP146:CP148" si="1162">+CO146</f>
        <v>190.06</v>
      </c>
      <c r="CQ146" s="24">
        <f t="shared" ref="CQ146:CQ148" si="1163">+CP146</f>
        <v>190.06</v>
      </c>
      <c r="CR146" s="24">
        <f t="shared" ref="CR146:CR148" si="1164">+CQ146</f>
        <v>190.06</v>
      </c>
      <c r="CS146" s="24">
        <f t="shared" ref="CS146:CS148" si="1165">+CR146</f>
        <v>190.06</v>
      </c>
      <c r="CT146" s="24">
        <f t="shared" ref="CT146:CT148" si="1166">+CS146</f>
        <v>190.06</v>
      </c>
      <c r="CU146" s="24">
        <f t="shared" ref="CU146:CU148" si="1167">+CT146</f>
        <v>190.06</v>
      </c>
      <c r="CV146" s="24">
        <f t="shared" ref="CV146:CV148" si="1168">+CU146</f>
        <v>190.06</v>
      </c>
      <c r="CW146" s="24">
        <f t="shared" ref="CW146:CW148" si="1169">+CV146</f>
        <v>190.06</v>
      </c>
      <c r="CX146" s="24">
        <f t="shared" ref="CX146:CX148" si="1170">+CW146</f>
        <v>190.06</v>
      </c>
      <c r="CY146" s="24">
        <f t="shared" ref="CY146:CY148" si="1171">+CX146</f>
        <v>190.06</v>
      </c>
      <c r="CZ146" s="24">
        <f t="shared" ref="CZ146:CZ148" si="1172">+CY146</f>
        <v>190.06</v>
      </c>
      <c r="DA146" s="24">
        <f t="shared" ref="DA146:DA148" si="1173">+CZ146</f>
        <v>190.06</v>
      </c>
      <c r="DB146" s="24">
        <f t="shared" ref="DB146:DB148" si="1174">+DA146</f>
        <v>190.06</v>
      </c>
      <c r="DE146" s="123"/>
      <c r="DF146" s="23">
        <v>190.06</v>
      </c>
    </row>
    <row r="147" spans="1:110" s="23" customFormat="1" outlineLevel="1" x14ac:dyDescent="0.2">
      <c r="A147" s="23" t="s">
        <v>55</v>
      </c>
      <c r="B147" s="23">
        <f>'Annual Raw'!C68</f>
        <v>0</v>
      </c>
      <c r="C147" s="23">
        <f>'Annual Raw'!D68</f>
        <v>0</v>
      </c>
      <c r="D147" s="23">
        <f>'Annual Raw'!E68</f>
        <v>0</v>
      </c>
      <c r="E147" s="23">
        <f>'Annual Raw'!F68</f>
        <v>0</v>
      </c>
      <c r="F147" s="23">
        <f>'Annual Raw'!G68</f>
        <v>0</v>
      </c>
      <c r="G147" s="23">
        <f>'Annual Raw'!H68</f>
        <v>0</v>
      </c>
      <c r="H147" s="23">
        <f>'Annual Raw'!I68</f>
        <v>0</v>
      </c>
      <c r="I147" s="23">
        <f>'Annual Raw'!J68</f>
        <v>0</v>
      </c>
      <c r="J147" s="23">
        <f>'Annual Raw'!K68</f>
        <v>0</v>
      </c>
      <c r="K147" s="23">
        <f>'Annual Raw'!L68</f>
        <v>0</v>
      </c>
      <c r="L147" s="23">
        <f>'Annual Raw'!M68</f>
        <v>0</v>
      </c>
      <c r="M147" s="23">
        <f>'Annual Raw'!N68</f>
        <v>0</v>
      </c>
      <c r="N147" s="23">
        <f>'Annual Raw'!O68</f>
        <v>0</v>
      </c>
      <c r="O147" s="23">
        <f>'Annual Raw'!P68</f>
        <v>0</v>
      </c>
      <c r="P147" s="23">
        <f>'Annual Raw'!Q68</f>
        <v>0</v>
      </c>
      <c r="Q147" s="23">
        <f>'Annual Raw'!R68</f>
        <v>0</v>
      </c>
      <c r="R147" s="23">
        <f>'Annual Raw'!S68</f>
        <v>0</v>
      </c>
      <c r="S147" s="23">
        <f>'Annual Raw'!T68</f>
        <v>0</v>
      </c>
      <c r="T147" s="23">
        <f>'Annual Raw'!U68</f>
        <v>0</v>
      </c>
      <c r="U147" s="23">
        <f>'Annual Raw'!V68</f>
        <v>0</v>
      </c>
      <c r="V147" s="23">
        <f>'Annual Raw'!W68</f>
        <v>0</v>
      </c>
      <c r="W147" s="23">
        <f>'Annual Raw'!X68</f>
        <v>0</v>
      </c>
      <c r="X147" s="23">
        <f>'Annual Raw'!Y68</f>
        <v>0</v>
      </c>
      <c r="Y147" s="23">
        <f>'Annual Raw'!Z68</f>
        <v>0</v>
      </c>
      <c r="Z147" s="23">
        <f>'Annual Raw'!AA68</f>
        <v>0</v>
      </c>
      <c r="AA147" s="23">
        <f>'Annual Raw'!AB68</f>
        <v>0</v>
      </c>
      <c r="AB147" s="24">
        <f t="shared" si="1138"/>
        <v>0</v>
      </c>
      <c r="AC147" s="24">
        <f t="shared" si="1139"/>
        <v>0</v>
      </c>
      <c r="AD147" s="24">
        <f t="shared" si="1140"/>
        <v>0</v>
      </c>
      <c r="AE147" s="24">
        <f t="shared" si="1141"/>
        <v>0</v>
      </c>
      <c r="AK147" s="23">
        <f t="shared" si="1157"/>
        <v>0</v>
      </c>
      <c r="AM147" s="23">
        <f t="shared" si="1157"/>
        <v>0</v>
      </c>
      <c r="AO147" s="23">
        <f t="shared" si="1157"/>
        <v>0</v>
      </c>
      <c r="AQ147" s="23">
        <f t="shared" si="1157"/>
        <v>0</v>
      </c>
      <c r="AS147" s="23">
        <f t="shared" si="1157"/>
        <v>0</v>
      </c>
      <c r="AU147" s="23">
        <f t="shared" si="1157"/>
        <v>0</v>
      </c>
      <c r="AW147" s="23">
        <f t="shared" si="1157"/>
        <v>0</v>
      </c>
      <c r="AY147" s="23">
        <f t="shared" si="1157"/>
        <v>0</v>
      </c>
      <c r="BA147" s="23">
        <f t="shared" si="1157"/>
        <v>0</v>
      </c>
      <c r="BC147" s="23">
        <f t="shared" si="1157"/>
        <v>0</v>
      </c>
      <c r="BE147" s="23">
        <f t="shared" si="1157"/>
        <v>0</v>
      </c>
      <c r="BG147" s="23">
        <f t="shared" si="1157"/>
        <v>0</v>
      </c>
      <c r="BI147" s="23">
        <f t="shared" si="1157"/>
        <v>0</v>
      </c>
      <c r="BK147" s="23">
        <f t="shared" si="1157"/>
        <v>0</v>
      </c>
      <c r="BM147" s="23">
        <f t="shared" si="1157"/>
        <v>0</v>
      </c>
      <c r="BO147" s="23">
        <f t="shared" si="1157"/>
        <v>0</v>
      </c>
      <c r="BQ147" s="23">
        <f t="shared" si="1157"/>
        <v>0</v>
      </c>
      <c r="BS147" s="23">
        <f t="shared" si="1157"/>
        <v>0</v>
      </c>
      <c r="BU147" s="23">
        <f t="shared" si="1157"/>
        <v>0</v>
      </c>
      <c r="BW147" s="23">
        <f t="shared" si="1157"/>
        <v>0</v>
      </c>
      <c r="BY147" s="23">
        <f t="shared" si="1157"/>
        <v>0</v>
      </c>
      <c r="CA147" s="23">
        <f t="shared" si="1157"/>
        <v>0</v>
      </c>
      <c r="CC147" s="23">
        <f t="shared" si="1157"/>
        <v>0</v>
      </c>
      <c r="CE147" s="23">
        <f t="shared" si="1157"/>
        <v>0</v>
      </c>
      <c r="CG147" s="23">
        <f t="shared" si="1155"/>
        <v>0</v>
      </c>
      <c r="CH147" s="23">
        <f t="shared" si="1142"/>
        <v>0</v>
      </c>
      <c r="CI147" s="23">
        <f t="shared" si="1155"/>
        <v>0</v>
      </c>
      <c r="CK147" s="23">
        <f t="shared" si="1158"/>
        <v>0</v>
      </c>
      <c r="CM147" s="24">
        <f t="shared" si="1159"/>
        <v>0</v>
      </c>
      <c r="CN147" s="24">
        <f t="shared" si="1160"/>
        <v>0</v>
      </c>
      <c r="CO147" s="24">
        <f t="shared" si="1161"/>
        <v>0</v>
      </c>
      <c r="CP147" s="24">
        <f t="shared" si="1162"/>
        <v>0</v>
      </c>
      <c r="CQ147" s="24">
        <f t="shared" si="1163"/>
        <v>0</v>
      </c>
      <c r="CR147" s="24">
        <f t="shared" si="1164"/>
        <v>0</v>
      </c>
      <c r="CS147" s="24">
        <f t="shared" si="1165"/>
        <v>0</v>
      </c>
      <c r="CT147" s="24">
        <f t="shared" si="1166"/>
        <v>0</v>
      </c>
      <c r="CU147" s="24">
        <f t="shared" si="1167"/>
        <v>0</v>
      </c>
      <c r="CV147" s="24">
        <f t="shared" si="1168"/>
        <v>0</v>
      </c>
      <c r="CW147" s="24">
        <f t="shared" si="1169"/>
        <v>0</v>
      </c>
      <c r="CX147" s="24">
        <f t="shared" si="1170"/>
        <v>0</v>
      </c>
      <c r="CY147" s="24">
        <f t="shared" si="1171"/>
        <v>0</v>
      </c>
      <c r="CZ147" s="24">
        <f t="shared" si="1172"/>
        <v>0</v>
      </c>
      <c r="DA147" s="24">
        <f t="shared" si="1173"/>
        <v>0</v>
      </c>
      <c r="DB147" s="24">
        <f t="shared" si="1174"/>
        <v>0</v>
      </c>
      <c r="DE147" s="123"/>
      <c r="DF147" s="23">
        <v>0</v>
      </c>
    </row>
    <row r="148" spans="1:110" s="23" customFormat="1" outlineLevel="1" x14ac:dyDescent="0.2">
      <c r="A148" s="23" t="s">
        <v>56</v>
      </c>
      <c r="B148" s="23">
        <f>'Annual Raw'!C67+'Annual Raw'!C66+'Annual Raw'!C69+'Annual Raw'!C70</f>
        <v>0</v>
      </c>
      <c r="C148" s="23">
        <f>'Annual Raw'!D67+'Annual Raw'!D66+'Annual Raw'!D69+'Annual Raw'!D70</f>
        <v>0</v>
      </c>
      <c r="D148" s="23">
        <f>'Annual Raw'!E67+'Annual Raw'!E66+'Annual Raw'!E69+'Annual Raw'!E70</f>
        <v>0</v>
      </c>
      <c r="E148" s="23">
        <f>'Annual Raw'!F67+'Annual Raw'!F66+'Annual Raw'!F69+'Annual Raw'!F70</f>
        <v>0</v>
      </c>
      <c r="F148" s="23">
        <f>'Annual Raw'!G67+'Annual Raw'!G66+'Annual Raw'!G69+'Annual Raw'!G70</f>
        <v>5.5630560999999998</v>
      </c>
      <c r="G148" s="23">
        <f>'Annual Raw'!H67+'Annual Raw'!H66+'Annual Raw'!H69+'Annual Raw'!H70</f>
        <v>1.6438562999999999</v>
      </c>
      <c r="H148" s="23">
        <f>'Annual Raw'!I67+'Annual Raw'!I66+'Annual Raw'!I69+'Annual Raw'!I70</f>
        <v>1.8894599000000001</v>
      </c>
      <c r="I148" s="23">
        <f>'Annual Raw'!J67+'Annual Raw'!J66+'Annual Raw'!J69+'Annual Raw'!J70</f>
        <v>0</v>
      </c>
      <c r="J148" s="23">
        <f>'Annual Raw'!K67+'Annual Raw'!K66+'Annual Raw'!K69+'Annual Raw'!K70</f>
        <v>3.0769223000000001</v>
      </c>
      <c r="K148" s="23">
        <f>'Annual Raw'!L67+'Annual Raw'!L66+'Annual Raw'!L69+'Annual Raw'!L70</f>
        <v>4.8874770999999999</v>
      </c>
      <c r="L148" s="23">
        <f>'Annual Raw'!M67+'Annual Raw'!M66+'Annual Raw'!M69+'Annual Raw'!M70</f>
        <v>9.2763513999999994</v>
      </c>
      <c r="M148" s="23">
        <f>'Annual Raw'!N67+'Annual Raw'!N66+'Annual Raw'!N69+'Annual Raw'!N70</f>
        <v>55.7195508</v>
      </c>
      <c r="N148" s="23">
        <f>'Annual Raw'!O67+'Annual Raw'!O66+'Annual Raw'!O69+'Annual Raw'!O70</f>
        <v>11.554</v>
      </c>
      <c r="O148" s="23">
        <f>'Annual Raw'!P67+'Annual Raw'!P66+'Annual Raw'!P69+'Annual Raw'!P70</f>
        <v>12.659000000000001</v>
      </c>
      <c r="P148" s="23">
        <f>'Annual Raw'!Q67+'Annual Raw'!Q66+'Annual Raw'!Q69+'Annual Raw'!Q70</f>
        <v>54.238</v>
      </c>
      <c r="Q148" s="23">
        <f>'Annual Raw'!R67+'Annual Raw'!R66+'Annual Raw'!R69+'Annual Raw'!R70</f>
        <v>40.031999999999996</v>
      </c>
      <c r="R148" s="23">
        <f>'Annual Raw'!S67+'Annual Raw'!S66+'Annual Raw'!S69+'Annual Raw'!S70</f>
        <v>11.154999999999999</v>
      </c>
      <c r="S148" s="23">
        <f>'Annual Raw'!T67+'Annual Raw'!T66+'Annual Raw'!T69+'Annual Raw'!T70</f>
        <v>24.31</v>
      </c>
      <c r="T148" s="23">
        <f>'Annual Raw'!U67+'Annual Raw'!U66+'Annual Raw'!U69+'Annual Raw'!U70</f>
        <v>90.614000000000004</v>
      </c>
      <c r="U148" s="23">
        <f>'Annual Raw'!V67+'Annual Raw'!V66+'Annual Raw'!V69+'Annual Raw'!V70</f>
        <v>88.82</v>
      </c>
      <c r="V148" s="23">
        <f>'Annual Raw'!W67+'Annual Raw'!W66+'Annual Raw'!W69+'Annual Raw'!W70</f>
        <v>31.98</v>
      </c>
      <c r="W148" s="23">
        <f>'Annual Raw'!X67+'Annual Raw'!X66+'Annual Raw'!X69+'Annual Raw'!X70</f>
        <v>41.98</v>
      </c>
      <c r="X148" s="23">
        <f>'Annual Raw'!Y67+'Annual Raw'!Y66+'Annual Raw'!Y69+'Annual Raw'!Y70</f>
        <v>96.63</v>
      </c>
      <c r="Y148" s="23">
        <f>'Annual Raw'!Z67+'Annual Raw'!Z66+'Annual Raw'!Z69+'Annual Raw'!Z70</f>
        <v>178.61</v>
      </c>
      <c r="Z148" s="23">
        <f>'Annual Raw'!AA67+'Annual Raw'!AA66+'Annual Raw'!AA69+'Annual Raw'!AA70</f>
        <v>345.26</v>
      </c>
      <c r="AA148" s="23">
        <f>'Annual Raw'!AB67+'Annual Raw'!AB66+'Annual Raw'!AB69+'Annual Raw'!AB70</f>
        <v>382.33</v>
      </c>
      <c r="AB148" s="24">
        <f t="shared" si="1138"/>
        <v>382.33</v>
      </c>
      <c r="AC148" s="24">
        <f t="shared" si="1139"/>
        <v>382.33</v>
      </c>
      <c r="AD148" s="24">
        <f t="shared" si="1140"/>
        <v>382.33</v>
      </c>
      <c r="AE148" s="24">
        <f t="shared" si="1141"/>
        <v>382.33</v>
      </c>
      <c r="AJ148" s="23">
        <f>+'QTR Raw'!D74+'QTR Raw'!D75</f>
        <v>0</v>
      </c>
      <c r="AK148" s="23">
        <f t="shared" si="1157"/>
        <v>0</v>
      </c>
      <c r="AL148" s="23">
        <f>+'QTR Raw'!F74+'QTR Raw'!F75</f>
        <v>0</v>
      </c>
      <c r="AM148" s="23">
        <f t="shared" si="1157"/>
        <v>0</v>
      </c>
      <c r="AN148" s="23">
        <f>+'QTR Raw'!H74+'QTR Raw'!H75</f>
        <v>0</v>
      </c>
      <c r="AO148" s="23">
        <f t="shared" si="1157"/>
        <v>0</v>
      </c>
      <c r="AP148" s="23">
        <f>+'QTR Raw'!J74+'QTR Raw'!J75</f>
        <v>0</v>
      </c>
      <c r="AQ148" s="23">
        <f t="shared" si="1157"/>
        <v>0</v>
      </c>
      <c r="AR148" s="23">
        <f>+'QTR Raw'!L74+'QTR Raw'!L75</f>
        <v>0</v>
      </c>
      <c r="AS148" s="23">
        <f t="shared" si="1157"/>
        <v>0</v>
      </c>
      <c r="AT148" s="23">
        <f>+'QTR Raw'!N74+'QTR Raw'!N75</f>
        <v>0</v>
      </c>
      <c r="AU148" s="23">
        <f t="shared" si="1157"/>
        <v>0</v>
      </c>
      <c r="AV148" s="23">
        <f>+'QTR Raw'!P74+'QTR Raw'!P75</f>
        <v>0</v>
      </c>
      <c r="AW148" s="23">
        <f t="shared" si="1157"/>
        <v>0</v>
      </c>
      <c r="AX148" s="23">
        <f>+'QTR Raw'!R74+'QTR Raw'!R75</f>
        <v>0</v>
      </c>
      <c r="AY148" s="23">
        <f t="shared" si="1157"/>
        <v>0</v>
      </c>
      <c r="AZ148" s="23">
        <f>+'QTR Raw'!T74+'QTR Raw'!T75</f>
        <v>0</v>
      </c>
      <c r="BA148" s="23">
        <f t="shared" si="1157"/>
        <v>0</v>
      </c>
      <c r="BB148" s="23">
        <f>+'QTR Raw'!V74+'QTR Raw'!V75</f>
        <v>0</v>
      </c>
      <c r="BC148" s="23">
        <f t="shared" si="1157"/>
        <v>0</v>
      </c>
      <c r="BD148" s="23">
        <f>+'QTR Raw'!X74+'QTR Raw'!X75</f>
        <v>0</v>
      </c>
      <c r="BE148" s="23">
        <f t="shared" si="1157"/>
        <v>0</v>
      </c>
      <c r="BF148" s="23">
        <f>+'QTR Raw'!Z74+'QTR Raw'!Z75</f>
        <v>0</v>
      </c>
      <c r="BG148" s="23">
        <f t="shared" si="1157"/>
        <v>0</v>
      </c>
      <c r="BH148" s="23">
        <f>+'QTR Raw'!AB74+'QTR Raw'!AB75</f>
        <v>0</v>
      </c>
      <c r="BI148" s="23">
        <f t="shared" si="1157"/>
        <v>0</v>
      </c>
      <c r="BJ148" s="23">
        <f>+'QTR Raw'!AD74+'QTR Raw'!AD75</f>
        <v>0</v>
      </c>
      <c r="BK148" s="23">
        <f t="shared" si="1157"/>
        <v>0</v>
      </c>
      <c r="BL148" s="23">
        <f>+'QTR Raw'!AF74+'QTR Raw'!AF75</f>
        <v>0</v>
      </c>
      <c r="BM148" s="23">
        <f t="shared" si="1157"/>
        <v>0</v>
      </c>
      <c r="BN148" s="23">
        <f>+'QTR Raw'!AH74+'QTR Raw'!AH75</f>
        <v>88.82</v>
      </c>
      <c r="BO148" s="23">
        <f t="shared" si="1157"/>
        <v>88.82</v>
      </c>
      <c r="BP148" s="23">
        <f>+'QTR Raw'!AJ74+'QTR Raw'!AJ75</f>
        <v>0</v>
      </c>
      <c r="BQ148" s="23">
        <f t="shared" si="1157"/>
        <v>0</v>
      </c>
      <c r="BR148" s="23">
        <f>+'QTR Raw'!AL74+'QTR Raw'!AL75</f>
        <v>31.98</v>
      </c>
      <c r="BS148" s="23">
        <f t="shared" si="1157"/>
        <v>31.98</v>
      </c>
      <c r="BT148" s="23">
        <f>+'QTR Raw'!AN74+'QTR Raw'!AN75</f>
        <v>38.76</v>
      </c>
      <c r="BU148" s="23">
        <f t="shared" si="1157"/>
        <v>38.76</v>
      </c>
      <c r="BV148" s="23">
        <f>+'QTR Raw'!AP74+'QTR Raw'!AP75</f>
        <v>41.98</v>
      </c>
      <c r="BW148" s="23">
        <f t="shared" si="1157"/>
        <v>41.98</v>
      </c>
      <c r="BX148" s="23">
        <f>+'QTR Raw'!AR74+'QTR Raw'!AR75</f>
        <v>67.14</v>
      </c>
      <c r="BY148" s="23">
        <f t="shared" si="1157"/>
        <v>67.14</v>
      </c>
      <c r="BZ148" s="23">
        <f>+'QTR Raw'!AT74+'QTR Raw'!AT75</f>
        <v>96.63</v>
      </c>
      <c r="CA148" s="23">
        <f t="shared" si="1157"/>
        <v>96.63</v>
      </c>
      <c r="CB148" s="23">
        <f>+'QTR Raw'!AV74+'QTR Raw'!AV75</f>
        <v>154.33000000000001</v>
      </c>
      <c r="CC148" s="23">
        <f t="shared" si="1157"/>
        <v>154.33000000000001</v>
      </c>
      <c r="CD148" s="23">
        <f>+'QTR Raw'!AX74+'QTR Raw'!AX75</f>
        <v>178.61</v>
      </c>
      <c r="CE148" s="23">
        <f t="shared" si="1157"/>
        <v>178.61</v>
      </c>
      <c r="CF148" s="23">
        <f>+'QTR Raw'!AZ74+'QTR Raw'!AZ75</f>
        <v>393.59</v>
      </c>
      <c r="CG148" s="23">
        <f t="shared" si="1155"/>
        <v>393.59</v>
      </c>
      <c r="CH148" s="23">
        <f t="shared" si="1142"/>
        <v>345.26</v>
      </c>
      <c r="CI148" s="23">
        <f t="shared" si="1155"/>
        <v>345.26</v>
      </c>
      <c r="CJ148" s="23">
        <f>+'QTR Raw'!BD74+'QTR Raw'!BD75</f>
        <v>452.53</v>
      </c>
      <c r="CK148" s="23">
        <f t="shared" si="1158"/>
        <v>452.53</v>
      </c>
      <c r="CL148" s="23">
        <f>+'QTR Raw'!BF74+'QTR Raw'!BF75</f>
        <v>382.33</v>
      </c>
      <c r="CM148" s="24">
        <f t="shared" si="1159"/>
        <v>382.33</v>
      </c>
      <c r="CN148" s="24">
        <f t="shared" si="1160"/>
        <v>382.33</v>
      </c>
      <c r="CO148" s="24">
        <f t="shared" si="1161"/>
        <v>382.33</v>
      </c>
      <c r="CP148" s="24">
        <f t="shared" si="1162"/>
        <v>382.33</v>
      </c>
      <c r="CQ148" s="24">
        <f t="shared" si="1163"/>
        <v>382.33</v>
      </c>
      <c r="CR148" s="24">
        <f t="shared" si="1164"/>
        <v>382.33</v>
      </c>
      <c r="CS148" s="24">
        <f t="shared" si="1165"/>
        <v>382.33</v>
      </c>
      <c r="CT148" s="24">
        <f t="shared" si="1166"/>
        <v>382.33</v>
      </c>
      <c r="CU148" s="24">
        <f t="shared" si="1167"/>
        <v>382.33</v>
      </c>
      <c r="CV148" s="24">
        <f t="shared" si="1168"/>
        <v>382.33</v>
      </c>
      <c r="CW148" s="24">
        <f t="shared" si="1169"/>
        <v>382.33</v>
      </c>
      <c r="CX148" s="24">
        <f t="shared" si="1170"/>
        <v>382.33</v>
      </c>
      <c r="CY148" s="24">
        <f t="shared" si="1171"/>
        <v>382.33</v>
      </c>
      <c r="CZ148" s="24">
        <f t="shared" si="1172"/>
        <v>382.33</v>
      </c>
      <c r="DA148" s="24">
        <f t="shared" si="1173"/>
        <v>382.33</v>
      </c>
      <c r="DB148" s="24">
        <f t="shared" si="1174"/>
        <v>382.33</v>
      </c>
      <c r="DE148" s="123"/>
      <c r="DF148" s="23">
        <v>452.53</v>
      </c>
    </row>
    <row r="149" spans="1:110" s="22" customFormat="1" x14ac:dyDescent="0.2">
      <c r="A149" s="22" t="s">
        <v>57</v>
      </c>
      <c r="B149" s="22">
        <f>B145+B148+B147</f>
        <v>0</v>
      </c>
      <c r="C149" s="22">
        <f t="shared" ref="C149:D149" si="1175">C145+C148+C147</f>
        <v>0</v>
      </c>
      <c r="D149" s="22">
        <f t="shared" si="1175"/>
        <v>0</v>
      </c>
      <c r="E149" s="22">
        <f t="shared" ref="E149:Y149" si="1176">E145+E148+E147+E146</f>
        <v>0</v>
      </c>
      <c r="F149" s="22">
        <f t="shared" si="1176"/>
        <v>69.410313400000007</v>
      </c>
      <c r="G149" s="22">
        <f t="shared" si="1176"/>
        <v>76.415346700000001</v>
      </c>
      <c r="H149" s="22">
        <f t="shared" si="1176"/>
        <v>105.61456190000001</v>
      </c>
      <c r="I149" s="22">
        <f t="shared" si="1176"/>
        <v>158.41827549999999</v>
      </c>
      <c r="J149" s="22">
        <f t="shared" si="1176"/>
        <v>212.46487089999999</v>
      </c>
      <c r="K149" s="22">
        <f t="shared" si="1176"/>
        <v>233.9694662</v>
      </c>
      <c r="L149" s="22">
        <f t="shared" si="1176"/>
        <v>346.51508949999999</v>
      </c>
      <c r="M149" s="22">
        <f t="shared" si="1176"/>
        <v>583.9514633</v>
      </c>
      <c r="N149" s="22">
        <f t="shared" si="1176"/>
        <v>805.13099999999997</v>
      </c>
      <c r="O149" s="22">
        <f t="shared" si="1176"/>
        <v>877.13099999999997</v>
      </c>
      <c r="P149" s="22">
        <f t="shared" si="1176"/>
        <v>988.75799999999981</v>
      </c>
      <c r="Q149" s="22">
        <f t="shared" si="1176"/>
        <v>1031.3109999999999</v>
      </c>
      <c r="R149" s="22">
        <f t="shared" si="1176"/>
        <v>1238.8230000000001</v>
      </c>
      <c r="S149" s="22">
        <f t="shared" si="1176"/>
        <v>1284.02</v>
      </c>
      <c r="T149" s="22">
        <f t="shared" si="1176"/>
        <v>1679.1999999999998</v>
      </c>
      <c r="U149" s="22">
        <f t="shared" si="1176"/>
        <v>1634.61</v>
      </c>
      <c r="V149" s="22">
        <f t="shared" si="1176"/>
        <v>1542.4699999999998</v>
      </c>
      <c r="W149" s="22">
        <f t="shared" si="1176"/>
        <v>1585.7600000000002</v>
      </c>
      <c r="X149" s="22">
        <f t="shared" si="1176"/>
        <v>2220.5100000000002</v>
      </c>
      <c r="Y149" s="22">
        <f t="shared" si="1176"/>
        <v>2745.3200000000006</v>
      </c>
      <c r="Z149" s="22">
        <f>Z145+Z148+Z147+Z146</f>
        <v>4015.5900000000006</v>
      </c>
      <c r="AA149" s="22">
        <f>AA145+AA148+AA147+AA146</f>
        <v>5058.6499999999996</v>
      </c>
      <c r="AB149" s="161">
        <f t="shared" ref="AB149:AE149" si="1177">AB145+AB148+AB147+AB146</f>
        <v>4041.3263126920469</v>
      </c>
      <c r="AC149" s="161">
        <f t="shared" si="1177"/>
        <v>3568.9185151011475</v>
      </c>
      <c r="AD149" s="161">
        <f t="shared" si="1177"/>
        <v>3160.8443077258312</v>
      </c>
      <c r="AE149" s="161">
        <f t="shared" si="1177"/>
        <v>2808.3425929484606</v>
      </c>
      <c r="AJ149" s="22">
        <f t="shared" ref="AJ149" si="1178">AJ145+AJ148+AJ146+AJ147</f>
        <v>0</v>
      </c>
      <c r="AK149" s="22">
        <f t="shared" ref="AK149" si="1179">AK145+AK148+AK146+AK147</f>
        <v>0</v>
      </c>
      <c r="AL149" s="22">
        <f t="shared" ref="AL149:AM149" si="1180">AL145+AL148+AL146+AL147</f>
        <v>0</v>
      </c>
      <c r="AM149" s="22">
        <f t="shared" si="1180"/>
        <v>0</v>
      </c>
      <c r="AN149" s="22">
        <f t="shared" ref="AN149:AO149" si="1181">AN145+AN148+AN146+AN147</f>
        <v>0</v>
      </c>
      <c r="AO149" s="22">
        <f t="shared" si="1181"/>
        <v>0</v>
      </c>
      <c r="AP149" s="22">
        <f t="shared" ref="AP149:CE149" si="1182">AP145+AP148+AP146+AP147</f>
        <v>0</v>
      </c>
      <c r="AQ149" s="22">
        <f t="shared" si="1182"/>
        <v>0</v>
      </c>
      <c r="AR149" s="22">
        <f t="shared" si="1182"/>
        <v>0</v>
      </c>
      <c r="AS149" s="22">
        <f t="shared" si="1182"/>
        <v>0</v>
      </c>
      <c r="AT149" s="22">
        <f t="shared" si="1182"/>
        <v>0</v>
      </c>
      <c r="AU149" s="22">
        <f t="shared" si="1182"/>
        <v>0</v>
      </c>
      <c r="AV149" s="22">
        <f t="shared" si="1182"/>
        <v>0</v>
      </c>
      <c r="AW149" s="22">
        <f t="shared" si="1182"/>
        <v>0</v>
      </c>
      <c r="AX149" s="22">
        <f t="shared" si="1182"/>
        <v>0</v>
      </c>
      <c r="AY149" s="22">
        <f t="shared" si="1182"/>
        <v>0</v>
      </c>
      <c r="AZ149" s="22">
        <f t="shared" si="1182"/>
        <v>0</v>
      </c>
      <c r="BA149" s="22">
        <f t="shared" si="1182"/>
        <v>0</v>
      </c>
      <c r="BB149" s="22">
        <f t="shared" si="1182"/>
        <v>0</v>
      </c>
      <c r="BC149" s="22">
        <f t="shared" si="1182"/>
        <v>0</v>
      </c>
      <c r="BD149" s="22">
        <f t="shared" si="1182"/>
        <v>0</v>
      </c>
      <c r="BE149" s="22">
        <f t="shared" si="1182"/>
        <v>0</v>
      </c>
      <c r="BF149" s="22">
        <f t="shared" si="1182"/>
        <v>0</v>
      </c>
      <c r="BG149" s="22">
        <f t="shared" si="1182"/>
        <v>0</v>
      </c>
      <c r="BH149" s="22">
        <f t="shared" si="1182"/>
        <v>0</v>
      </c>
      <c r="BI149" s="22">
        <f t="shared" si="1182"/>
        <v>0</v>
      </c>
      <c r="BJ149" s="22">
        <f t="shared" si="1182"/>
        <v>0</v>
      </c>
      <c r="BK149" s="22">
        <f t="shared" si="1182"/>
        <v>0</v>
      </c>
      <c r="BL149" s="22">
        <f t="shared" si="1182"/>
        <v>0</v>
      </c>
      <c r="BM149" s="22">
        <f t="shared" si="1182"/>
        <v>0</v>
      </c>
      <c r="BN149" s="22">
        <f t="shared" si="1182"/>
        <v>1526.1399999999999</v>
      </c>
      <c r="BO149" s="22">
        <f t="shared" si="1182"/>
        <v>1526.1399999999999</v>
      </c>
      <c r="BP149" s="22">
        <f t="shared" si="1182"/>
        <v>0</v>
      </c>
      <c r="BQ149" s="22">
        <f t="shared" si="1182"/>
        <v>0</v>
      </c>
      <c r="BR149" s="22">
        <f t="shared" si="1182"/>
        <v>1459.04</v>
      </c>
      <c r="BS149" s="22">
        <f t="shared" si="1182"/>
        <v>1459.04</v>
      </c>
      <c r="BT149" s="22">
        <f t="shared" si="1182"/>
        <v>1459.55</v>
      </c>
      <c r="BU149" s="22">
        <f t="shared" si="1182"/>
        <v>1459.55</v>
      </c>
      <c r="BV149" s="22">
        <f t="shared" si="1182"/>
        <v>1499.94</v>
      </c>
      <c r="BW149" s="22">
        <f t="shared" si="1182"/>
        <v>1499.94</v>
      </c>
      <c r="BX149" s="22">
        <f t="shared" si="1182"/>
        <v>1567.0200000000002</v>
      </c>
      <c r="BY149" s="22">
        <f t="shared" si="1182"/>
        <v>1567.0200000000002</v>
      </c>
      <c r="BZ149" s="22">
        <f t="shared" si="1182"/>
        <v>2128.5500000000002</v>
      </c>
      <c r="CA149" s="22">
        <f t="shared" si="1182"/>
        <v>2128.5500000000002</v>
      </c>
      <c r="CB149" s="22">
        <f t="shared" si="1182"/>
        <v>2298.5500000000002</v>
      </c>
      <c r="CC149" s="22">
        <f t="shared" si="1182"/>
        <v>2298.5500000000002</v>
      </c>
      <c r="CD149" s="22">
        <f t="shared" si="1182"/>
        <v>2506.3600000000006</v>
      </c>
      <c r="CE149" s="22">
        <f t="shared" si="1182"/>
        <v>2506.3600000000006</v>
      </c>
      <c r="CF149" s="22">
        <f t="shared" ref="CF149:CG149" si="1183">CF145+CF148+CF146+CF147</f>
        <v>2888.9000000000005</v>
      </c>
      <c r="CG149" s="22">
        <f t="shared" si="1183"/>
        <v>2888.9000000000005</v>
      </c>
      <c r="CH149" s="22">
        <f t="shared" ref="CH149:CJ149" si="1184">CH145+CH148+CH146+CH147</f>
        <v>4015.5900000000006</v>
      </c>
      <c r="CI149" s="22">
        <f t="shared" si="1184"/>
        <v>3913.7200000000007</v>
      </c>
      <c r="CJ149" s="22">
        <f t="shared" si="1184"/>
        <v>4043.52</v>
      </c>
      <c r="CK149" s="22">
        <f t="shared" ref="CK149:DB149" si="1185">CK145+CK148+CK146+CK147</f>
        <v>3928.64</v>
      </c>
      <c r="CL149" s="22">
        <f t="shared" si="1185"/>
        <v>4588.2100000000009</v>
      </c>
      <c r="CM149" s="21">
        <f t="shared" si="1185"/>
        <v>4443.8944284779609</v>
      </c>
      <c r="CN149" s="21">
        <f t="shared" si="1185"/>
        <v>4304.7650914444521</v>
      </c>
      <c r="CO149" s="21">
        <f t="shared" si="1185"/>
        <v>4170.6356124198855</v>
      </c>
      <c r="CP149" s="21">
        <f t="shared" si="1185"/>
        <v>4041.3263126920469</v>
      </c>
      <c r="CQ149" s="21">
        <f t="shared" si="1185"/>
        <v>3916.663970620014</v>
      </c>
      <c r="CR149" s="21">
        <f t="shared" si="1185"/>
        <v>3796.4815895879183</v>
      </c>
      <c r="CS149" s="21">
        <f t="shared" si="1185"/>
        <v>3680.6181742976951</v>
      </c>
      <c r="CT149" s="21">
        <f t="shared" si="1185"/>
        <v>3568.9185151011475</v>
      </c>
      <c r="CU149" s="21">
        <f t="shared" si="1185"/>
        <v>3461.2329800824186</v>
      </c>
      <c r="CV149" s="21">
        <f t="shared" si="1185"/>
        <v>3357.4173146123458</v>
      </c>
      <c r="CW149" s="21">
        <f t="shared" si="1185"/>
        <v>3257.3324481061841</v>
      </c>
      <c r="CX149" s="21">
        <f t="shared" si="1185"/>
        <v>3160.8443077258312</v>
      </c>
      <c r="CY149" s="21">
        <f t="shared" si="1185"/>
        <v>3067.8236387769889</v>
      </c>
      <c r="CZ149" s="21">
        <f t="shared" si="1185"/>
        <v>2978.1458315606728</v>
      </c>
      <c r="DA149" s="21">
        <f t="shared" si="1185"/>
        <v>2891.6907544471173</v>
      </c>
      <c r="DB149" s="21">
        <f t="shared" si="1185"/>
        <v>2808.3425929484606</v>
      </c>
      <c r="DE149" s="126"/>
      <c r="DF149" s="22">
        <v>3817.640531031218</v>
      </c>
    </row>
    <row r="150" spans="1:110" s="23" customFormat="1" x14ac:dyDescent="0.2">
      <c r="AB150" s="24"/>
      <c r="AC150" s="24"/>
      <c r="AD150" s="24"/>
      <c r="AE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x14ac:dyDescent="0.2">
      <c r="A151" s="23" t="s">
        <v>58</v>
      </c>
      <c r="B151" s="23">
        <f>'Annual Raw'!C71</f>
        <v>0</v>
      </c>
      <c r="C151" s="23">
        <f>'Annual Raw'!D71</f>
        <v>0</v>
      </c>
      <c r="D151" s="23">
        <f>'Annual Raw'!E71</f>
        <v>0</v>
      </c>
      <c r="E151" s="23">
        <f>'Annual Raw'!F71</f>
        <v>0</v>
      </c>
      <c r="F151" s="23">
        <f>'Annual Raw'!G71</f>
        <v>0.19400000000000001</v>
      </c>
      <c r="G151" s="23">
        <f>'Annual Raw'!H71</f>
        <v>0.19400000000000001</v>
      </c>
      <c r="H151" s="23">
        <f>'Annual Raw'!I71</f>
        <v>0.19400000000000001</v>
      </c>
      <c r="I151" s="23">
        <f>'Annual Raw'!J71</f>
        <v>2.1349885999999998</v>
      </c>
      <c r="J151" s="23">
        <f>'Annual Raw'!K71</f>
        <v>3.3752697999999999</v>
      </c>
      <c r="K151" s="23">
        <f>'Annual Raw'!L71</f>
        <v>3.3732698000000001</v>
      </c>
      <c r="L151" s="23">
        <f>'Annual Raw'!M71</f>
        <v>0.01</v>
      </c>
      <c r="M151" s="23">
        <f>'Annual Raw'!N71</f>
        <v>0.01</v>
      </c>
      <c r="N151" s="23">
        <f>'Annual Raw'!O71</f>
        <v>2.12</v>
      </c>
      <c r="O151" s="23">
        <f>'Annual Raw'!P71</f>
        <v>2.1800000000000002</v>
      </c>
      <c r="P151" s="23">
        <f>'Annual Raw'!Q71</f>
        <v>2.323</v>
      </c>
      <c r="Q151" s="23">
        <f>'Annual Raw'!R71</f>
        <v>2.4079999999999999</v>
      </c>
      <c r="R151" s="23">
        <f>'Annual Raw'!S71</f>
        <v>2.629</v>
      </c>
      <c r="S151" s="23">
        <f>'Annual Raw'!T71</f>
        <v>3.87</v>
      </c>
      <c r="T151" s="23">
        <f>'Annual Raw'!U71</f>
        <v>4.1589999999999998</v>
      </c>
      <c r="U151" s="23">
        <f>'Annual Raw'!V71</f>
        <v>3.2</v>
      </c>
      <c r="V151" s="23">
        <f>'Annual Raw'!W71</f>
        <v>2.25</v>
      </c>
      <c r="W151" s="23">
        <f>'Annual Raw'!X71</f>
        <v>2.65</v>
      </c>
      <c r="X151" s="23">
        <f>'Annual Raw'!Y71</f>
        <v>3.43</v>
      </c>
      <c r="Y151" s="23">
        <f>'Annual Raw'!Z71</f>
        <v>4.47</v>
      </c>
      <c r="Z151" s="23">
        <f>'Annual Raw'!AA71</f>
        <v>10.61</v>
      </c>
      <c r="AA151" s="23">
        <f>'Annual Raw'!AB71</f>
        <v>13.54</v>
      </c>
      <c r="AB151" s="24">
        <f>+CP151</f>
        <v>13.54</v>
      </c>
      <c r="AC151" s="24">
        <f>+CT151</f>
        <v>13.54</v>
      </c>
      <c r="AD151" s="24">
        <f>+CX151</f>
        <v>13.54</v>
      </c>
      <c r="AE151" s="24">
        <f>+DB151</f>
        <v>13.54</v>
      </c>
      <c r="AJ151" s="23">
        <f>+'QTR Raw'!D77</f>
        <v>0</v>
      </c>
      <c r="AK151" s="23">
        <f t="shared" ref="AK151:CE151" si="1186">+AJ151</f>
        <v>0</v>
      </c>
      <c r="AL151" s="23">
        <f>+'QTR Raw'!F77</f>
        <v>0</v>
      </c>
      <c r="AM151" s="23">
        <f t="shared" si="1186"/>
        <v>0</v>
      </c>
      <c r="AN151" s="23">
        <f>+'QTR Raw'!H77</f>
        <v>0</v>
      </c>
      <c r="AO151" s="23">
        <f t="shared" si="1186"/>
        <v>0</v>
      </c>
      <c r="AP151" s="23">
        <f>+'QTR Raw'!J77</f>
        <v>0</v>
      </c>
      <c r="AQ151" s="23">
        <f t="shared" si="1186"/>
        <v>0</v>
      </c>
      <c r="AR151" s="23">
        <f>+'QTR Raw'!L77</f>
        <v>0</v>
      </c>
      <c r="AS151" s="23">
        <f t="shared" si="1186"/>
        <v>0</v>
      </c>
      <c r="AT151" s="23">
        <f>+'QTR Raw'!N77</f>
        <v>0</v>
      </c>
      <c r="AU151" s="23">
        <f t="shared" si="1186"/>
        <v>0</v>
      </c>
      <c r="AV151" s="23">
        <f>+'QTR Raw'!P77</f>
        <v>0</v>
      </c>
      <c r="AW151" s="23">
        <f t="shared" si="1186"/>
        <v>0</v>
      </c>
      <c r="AX151" s="23">
        <f>+'QTR Raw'!R77</f>
        <v>0</v>
      </c>
      <c r="AY151" s="23">
        <f t="shared" si="1186"/>
        <v>0</v>
      </c>
      <c r="AZ151" s="23">
        <f>+'QTR Raw'!T77</f>
        <v>0</v>
      </c>
      <c r="BA151" s="23">
        <f t="shared" si="1186"/>
        <v>0</v>
      </c>
      <c r="BB151" s="23">
        <f>+'QTR Raw'!V77</f>
        <v>0</v>
      </c>
      <c r="BC151" s="23">
        <f t="shared" si="1186"/>
        <v>0</v>
      </c>
      <c r="BD151" s="23">
        <f>+'QTR Raw'!X77</f>
        <v>0</v>
      </c>
      <c r="BE151" s="23">
        <f t="shared" si="1186"/>
        <v>0</v>
      </c>
      <c r="BF151" s="23">
        <f>+'QTR Raw'!Z77</f>
        <v>0</v>
      </c>
      <c r="BG151" s="23">
        <f t="shared" si="1186"/>
        <v>0</v>
      </c>
      <c r="BH151" s="23">
        <f>+'QTR Raw'!AB77</f>
        <v>0</v>
      </c>
      <c r="BI151" s="23">
        <f t="shared" si="1186"/>
        <v>0</v>
      </c>
      <c r="BJ151" s="23">
        <f>+'QTR Raw'!AD77</f>
        <v>0</v>
      </c>
      <c r="BK151" s="23">
        <f t="shared" si="1186"/>
        <v>0</v>
      </c>
      <c r="BL151" s="23">
        <f>+'QTR Raw'!AF77</f>
        <v>0</v>
      </c>
      <c r="BM151" s="23">
        <f t="shared" si="1186"/>
        <v>0</v>
      </c>
      <c r="BN151" s="23">
        <f>+'QTR Raw'!AH77</f>
        <v>3.2</v>
      </c>
      <c r="BO151" s="23">
        <f t="shared" si="1186"/>
        <v>3.2</v>
      </c>
      <c r="BP151" s="23">
        <f>+'QTR Raw'!AJ77</f>
        <v>0</v>
      </c>
      <c r="BQ151" s="23">
        <f t="shared" si="1186"/>
        <v>0</v>
      </c>
      <c r="BR151" s="23">
        <f>+'QTR Raw'!AL77</f>
        <v>2.25</v>
      </c>
      <c r="BS151" s="23">
        <f t="shared" si="1186"/>
        <v>2.25</v>
      </c>
      <c r="BT151" s="23">
        <f>+'QTR Raw'!AN77</f>
        <v>2.39</v>
      </c>
      <c r="BU151" s="23">
        <f t="shared" si="1186"/>
        <v>2.39</v>
      </c>
      <c r="BV151" s="23">
        <f>+'QTR Raw'!AP77</f>
        <v>2.65</v>
      </c>
      <c r="BW151" s="23">
        <f t="shared" si="1186"/>
        <v>2.65</v>
      </c>
      <c r="BX151" s="23">
        <f>+'QTR Raw'!AR77</f>
        <v>2.59</v>
      </c>
      <c r="BY151" s="23">
        <f t="shared" si="1186"/>
        <v>2.59</v>
      </c>
      <c r="BZ151" s="23">
        <f>+'QTR Raw'!AT77</f>
        <v>3.43</v>
      </c>
      <c r="CA151" s="23">
        <f t="shared" si="1186"/>
        <v>3.43</v>
      </c>
      <c r="CB151" s="23">
        <f>+'QTR Raw'!AV77</f>
        <v>3.87</v>
      </c>
      <c r="CC151" s="23">
        <f t="shared" si="1186"/>
        <v>3.87</v>
      </c>
      <c r="CD151" s="23">
        <f>+'QTR Raw'!AX77</f>
        <v>4.47</v>
      </c>
      <c r="CE151" s="23">
        <f t="shared" si="1186"/>
        <v>4.47</v>
      </c>
      <c r="CF151" s="23">
        <f>+'QTR Raw'!AZ77</f>
        <v>6.1</v>
      </c>
      <c r="CG151" s="23">
        <f t="shared" ref="CG151:CI154" si="1187">+CF151</f>
        <v>6.1</v>
      </c>
      <c r="CH151" s="23">
        <f t="shared" ref="CH151:CH166" si="1188">Z151</f>
        <v>10.61</v>
      </c>
      <c r="CI151" s="23">
        <f t="shared" si="1187"/>
        <v>10.61</v>
      </c>
      <c r="CJ151" s="23">
        <f>+'QTR Raw'!BD77</f>
        <v>12.9</v>
      </c>
      <c r="CK151" s="23">
        <f t="shared" ref="CK151" si="1189">+CJ151</f>
        <v>12.9</v>
      </c>
      <c r="CL151" s="23">
        <f>+'QTR Raw'!BF77</f>
        <v>13.54</v>
      </c>
      <c r="CM151" s="24">
        <f t="shared" ref="CM151" si="1190">+CL151</f>
        <v>13.54</v>
      </c>
      <c r="CN151" s="24">
        <f t="shared" ref="CN151" si="1191">+CM151</f>
        <v>13.54</v>
      </c>
      <c r="CO151" s="24">
        <f t="shared" ref="CO151" si="1192">+CN151</f>
        <v>13.54</v>
      </c>
      <c r="CP151" s="24">
        <f t="shared" ref="CP151" si="1193">+CO151</f>
        <v>13.54</v>
      </c>
      <c r="CQ151" s="24">
        <f t="shared" ref="CQ151" si="1194">+CP151</f>
        <v>13.54</v>
      </c>
      <c r="CR151" s="24">
        <f t="shared" ref="CR151" si="1195">+CQ151</f>
        <v>13.54</v>
      </c>
      <c r="CS151" s="24">
        <f t="shared" ref="CS151" si="1196">+CR151</f>
        <v>13.54</v>
      </c>
      <c r="CT151" s="24">
        <f t="shared" ref="CT151" si="1197">+CS151</f>
        <v>13.54</v>
      </c>
      <c r="CU151" s="24">
        <f t="shared" ref="CU151" si="1198">+CT151</f>
        <v>13.54</v>
      </c>
      <c r="CV151" s="24">
        <f t="shared" ref="CV151" si="1199">+CU151</f>
        <v>13.54</v>
      </c>
      <c r="CW151" s="24">
        <f t="shared" ref="CW151" si="1200">+CV151</f>
        <v>13.54</v>
      </c>
      <c r="CX151" s="24">
        <f t="shared" ref="CX151" si="1201">+CW151</f>
        <v>13.54</v>
      </c>
      <c r="CY151" s="24">
        <f t="shared" ref="CY151" si="1202">+CX151</f>
        <v>13.54</v>
      </c>
      <c r="CZ151" s="24">
        <f t="shared" ref="CZ151" si="1203">+CY151</f>
        <v>13.54</v>
      </c>
      <c r="DA151" s="24">
        <f t="shared" ref="DA151" si="1204">+CZ151</f>
        <v>13.54</v>
      </c>
      <c r="DB151" s="24">
        <f t="shared" ref="DB151" si="1205">+DA151</f>
        <v>13.54</v>
      </c>
      <c r="DE151" s="123"/>
      <c r="DF151" s="23">
        <v>12.9</v>
      </c>
    </row>
    <row r="152" spans="1:110" s="23" customFormat="1" x14ac:dyDescent="0.2">
      <c r="AB152" s="24"/>
      <c r="AC152" s="24"/>
      <c r="AD152" s="24"/>
      <c r="AE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</row>
    <row r="153" spans="1:110" s="23" customFormat="1" outlineLevel="1" x14ac:dyDescent="0.2">
      <c r="A153" s="23" t="s">
        <v>59</v>
      </c>
      <c r="B153" s="23">
        <f>'Annual Raw'!C72</f>
        <v>0</v>
      </c>
      <c r="C153" s="23">
        <f>'Annual Raw'!D72</f>
        <v>0</v>
      </c>
      <c r="D153" s="23">
        <f>'Annual Raw'!E72</f>
        <v>0</v>
      </c>
      <c r="E153" s="23">
        <f>'Annual Raw'!F72+'Annual Raw'!F61</f>
        <v>0</v>
      </c>
      <c r="F153" s="23">
        <f>'Annual Raw'!G72+'Annual Raw'!G61</f>
        <v>0</v>
      </c>
      <c r="G153" s="23">
        <f>'Annual Raw'!H72+'Annual Raw'!H61</f>
        <v>0</v>
      </c>
      <c r="H153" s="23">
        <f>'Annual Raw'!I72+'Annual Raw'!I61</f>
        <v>0</v>
      </c>
      <c r="I153" s="23">
        <f>'Annual Raw'!J72+'Annual Raw'!J61</f>
        <v>0</v>
      </c>
      <c r="J153" s="23">
        <f>'Annual Raw'!K72+'Annual Raw'!K61</f>
        <v>0</v>
      </c>
      <c r="K153" s="23">
        <f>'Annual Raw'!L72+'Annual Raw'!L61</f>
        <v>0</v>
      </c>
      <c r="L153" s="23">
        <f>'Annual Raw'!M72+'Annual Raw'!M61</f>
        <v>25.8269612</v>
      </c>
      <c r="M153" s="23">
        <f>'Annual Raw'!N72+'Annual Raw'!N61</f>
        <v>46.541775700000002</v>
      </c>
      <c r="N153" s="23">
        <f>'Annual Raw'!O72+'Annual Raw'!O61</f>
        <v>15.382999999999999</v>
      </c>
      <c r="O153" s="23">
        <f>'Annual Raw'!P72+'Annual Raw'!P61</f>
        <v>38.597999999999999</v>
      </c>
      <c r="P153" s="23">
        <f>'Annual Raw'!Q72+'Annual Raw'!Q61</f>
        <v>22.643000000000001</v>
      </c>
      <c r="Q153" s="23">
        <f>'Annual Raw'!R72+'Annual Raw'!R61</f>
        <v>13.407</v>
      </c>
      <c r="R153" s="23">
        <f>'Annual Raw'!S72+'Annual Raw'!S61</f>
        <v>19.393999999999998</v>
      </c>
      <c r="S153" s="23">
        <f>'Annual Raw'!T72+'Annual Raw'!T61</f>
        <v>49.19</v>
      </c>
      <c r="T153" s="23">
        <f>'Annual Raw'!U72+'Annual Raw'!U61</f>
        <v>32.731000000000002</v>
      </c>
      <c r="U153" s="23">
        <f>'Annual Raw'!V72+'Annual Raw'!V61</f>
        <v>29.79</v>
      </c>
      <c r="V153" s="23">
        <f>'Annual Raw'!W72+'Annual Raw'!W61</f>
        <v>32.729999999999997</v>
      </c>
      <c r="W153" s="23">
        <f>'Annual Raw'!X72+'Annual Raw'!X61</f>
        <v>56.55</v>
      </c>
      <c r="X153" s="23">
        <f>'Annual Raw'!Y72+'Annual Raw'!Y61</f>
        <v>93.5</v>
      </c>
      <c r="Y153" s="23">
        <f>'Annual Raw'!Z72+'Annual Raw'!Z61</f>
        <v>172.13</v>
      </c>
      <c r="Z153" s="23">
        <f>'Annual Raw'!AA72+'Annual Raw'!AA61</f>
        <v>191.7</v>
      </c>
      <c r="AA153" s="23">
        <f>'Annual Raw'!AB72+'Annual Raw'!AB61</f>
        <v>284.20999999999998</v>
      </c>
      <c r="AB153" s="24">
        <f t="shared" ref="AB153:AB158" si="1206">+CP153</f>
        <v>0</v>
      </c>
      <c r="AC153" s="24">
        <f t="shared" ref="AC153:AC158" si="1207">+CT153</f>
        <v>0</v>
      </c>
      <c r="AD153" s="24">
        <f t="shared" ref="AD153:AD158" si="1208">+CX153</f>
        <v>0</v>
      </c>
      <c r="AE153" s="24">
        <f t="shared" ref="AE153:AE158" si="1209">+DB153</f>
        <v>0</v>
      </c>
      <c r="AJ153" s="23">
        <f>+'QTR Raw'!D78</f>
        <v>0</v>
      </c>
      <c r="AK153" s="23">
        <f t="shared" ref="AK153:CE158" si="1210">+AJ153</f>
        <v>0</v>
      </c>
      <c r="AL153" s="23">
        <f>+'QTR Raw'!F78</f>
        <v>0</v>
      </c>
      <c r="AM153" s="23">
        <f t="shared" si="1210"/>
        <v>0</v>
      </c>
      <c r="AN153" s="23">
        <f>+'QTR Raw'!H78</f>
        <v>0</v>
      </c>
      <c r="AO153" s="23">
        <f t="shared" si="1210"/>
        <v>0</v>
      </c>
      <c r="AP153" s="23">
        <f>+'QTR Raw'!J78</f>
        <v>0</v>
      </c>
      <c r="AQ153" s="23">
        <f t="shared" si="1210"/>
        <v>0</v>
      </c>
      <c r="AR153" s="23">
        <f>+'QTR Raw'!L78</f>
        <v>0</v>
      </c>
      <c r="AS153" s="23">
        <f t="shared" si="1210"/>
        <v>0</v>
      </c>
      <c r="AT153" s="23">
        <f>+'QTR Raw'!N78</f>
        <v>0</v>
      </c>
      <c r="AU153" s="23">
        <f t="shared" si="1210"/>
        <v>0</v>
      </c>
      <c r="AV153" s="23">
        <f>+'QTR Raw'!P78</f>
        <v>0</v>
      </c>
      <c r="AW153" s="23">
        <f t="shared" si="1210"/>
        <v>0</v>
      </c>
      <c r="AX153" s="23">
        <f>+'QTR Raw'!R78</f>
        <v>0</v>
      </c>
      <c r="AY153" s="23">
        <f t="shared" si="1210"/>
        <v>0</v>
      </c>
      <c r="AZ153" s="23">
        <f>+'QTR Raw'!T78</f>
        <v>0</v>
      </c>
      <c r="BA153" s="23">
        <f t="shared" si="1210"/>
        <v>0</v>
      </c>
      <c r="BB153" s="23">
        <f>+'QTR Raw'!V78</f>
        <v>0</v>
      </c>
      <c r="BC153" s="23">
        <f t="shared" si="1210"/>
        <v>0</v>
      </c>
      <c r="BD153" s="23">
        <f>+'QTR Raw'!X78</f>
        <v>0</v>
      </c>
      <c r="BE153" s="23">
        <f t="shared" si="1210"/>
        <v>0</v>
      </c>
      <c r="BF153" s="23">
        <f>+'QTR Raw'!Z78</f>
        <v>0</v>
      </c>
      <c r="BG153" s="23">
        <f t="shared" si="1210"/>
        <v>0</v>
      </c>
      <c r="BH153" s="23">
        <f>+'QTR Raw'!AB78</f>
        <v>0</v>
      </c>
      <c r="BI153" s="23">
        <f t="shared" si="1210"/>
        <v>0</v>
      </c>
      <c r="BJ153" s="23">
        <f>+'QTR Raw'!AD78</f>
        <v>0</v>
      </c>
      <c r="BK153" s="23">
        <f t="shared" si="1210"/>
        <v>0</v>
      </c>
      <c r="BL153" s="23">
        <f>+'QTR Raw'!AF78</f>
        <v>0</v>
      </c>
      <c r="BM153" s="23">
        <f t="shared" si="1210"/>
        <v>0</v>
      </c>
      <c r="BN153" s="23">
        <f>+'QTR Raw'!AH78</f>
        <v>0</v>
      </c>
      <c r="BO153" s="23">
        <f t="shared" si="1210"/>
        <v>0</v>
      </c>
      <c r="BP153" s="23">
        <f>+'QTR Raw'!AJ78</f>
        <v>0</v>
      </c>
      <c r="BQ153" s="23">
        <f t="shared" si="1210"/>
        <v>0</v>
      </c>
      <c r="BR153" s="23">
        <f>+'QTR Raw'!AL78</f>
        <v>0</v>
      </c>
      <c r="BS153" s="23">
        <f t="shared" si="1210"/>
        <v>0</v>
      </c>
      <c r="BT153" s="23">
        <f>+'QTR Raw'!AN78</f>
        <v>0</v>
      </c>
      <c r="BU153" s="23">
        <f t="shared" si="1210"/>
        <v>0</v>
      </c>
      <c r="BV153" s="23">
        <f>+'QTR Raw'!AP78</f>
        <v>0</v>
      </c>
      <c r="BW153" s="23">
        <f t="shared" si="1210"/>
        <v>0</v>
      </c>
      <c r="BX153" s="23">
        <f>+'QTR Raw'!AR78</f>
        <v>0</v>
      </c>
      <c r="BY153" s="23">
        <f t="shared" si="1210"/>
        <v>0</v>
      </c>
      <c r="BZ153" s="23">
        <f>+'QTR Raw'!AT78</f>
        <v>0</v>
      </c>
      <c r="CA153" s="23">
        <f t="shared" si="1210"/>
        <v>0</v>
      </c>
      <c r="CB153" s="23">
        <f>+'QTR Raw'!AV78</f>
        <v>0</v>
      </c>
      <c r="CC153" s="23">
        <f t="shared" si="1210"/>
        <v>0</v>
      </c>
      <c r="CD153" s="23">
        <f>+'QTR Raw'!AX78</f>
        <v>0</v>
      </c>
      <c r="CE153" s="23">
        <f t="shared" si="1210"/>
        <v>0</v>
      </c>
      <c r="CF153" s="23">
        <f>+'QTR Raw'!AZ78</f>
        <v>0</v>
      </c>
      <c r="CG153" s="23">
        <f t="shared" si="1187"/>
        <v>0</v>
      </c>
      <c r="CH153" s="23">
        <f t="shared" si="1188"/>
        <v>191.7</v>
      </c>
      <c r="CJ153" s="23">
        <f>+'QTR Raw'!BD78</f>
        <v>0</v>
      </c>
      <c r="CL153" s="23">
        <f>+'QTR Raw'!BF78</f>
        <v>0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0</v>
      </c>
    </row>
    <row r="154" spans="1:110" s="23" customFormat="1" outlineLevel="1" x14ac:dyDescent="0.2">
      <c r="A154" s="23" t="s">
        <v>60</v>
      </c>
      <c r="B154" s="23">
        <f>'Annual Raw'!C73+'Annual Raw'!C81</f>
        <v>0</v>
      </c>
      <c r="C154" s="23">
        <f>'Annual Raw'!D73+'Annual Raw'!D81</f>
        <v>0</v>
      </c>
      <c r="D154" s="23">
        <f>'Annual Raw'!E73+'Annual Raw'!E81</f>
        <v>0</v>
      </c>
      <c r="E154" s="23">
        <f>'Annual Raw'!F73+'Annual Raw'!F81</f>
        <v>0</v>
      </c>
      <c r="F154" s="23">
        <f>'Annual Raw'!G73+'Annual Raw'!G81</f>
        <v>0</v>
      </c>
      <c r="G154" s="23">
        <f>'Annual Raw'!H73+'Annual Raw'!H81</f>
        <v>0</v>
      </c>
      <c r="H154" s="23">
        <f>'Annual Raw'!I73+'Annual Raw'!I81</f>
        <v>0</v>
      </c>
      <c r="I154" s="23">
        <f>'Annual Raw'!J73+'Annual Raw'!J81</f>
        <v>0</v>
      </c>
      <c r="J154" s="23">
        <f>'Annual Raw'!K73+'Annual Raw'!K81</f>
        <v>0</v>
      </c>
      <c r="K154" s="23">
        <f>'Annual Raw'!L73+'Annual Raw'!L81</f>
        <v>0</v>
      </c>
      <c r="L154" s="23">
        <f>'Annual Raw'!M73+'Annual Raw'!M81</f>
        <v>0.13672300000000001</v>
      </c>
      <c r="M154" s="23">
        <f>'Annual Raw'!N73+'Annual Raw'!N81</f>
        <v>0.78703780000000001</v>
      </c>
      <c r="N154" s="23">
        <f>'Annual Raw'!O73+'Annual Raw'!O81</f>
        <v>1.2609999999999999</v>
      </c>
      <c r="O154" s="23">
        <f>'Annual Raw'!P73+'Annual Raw'!P81</f>
        <v>1.23</v>
      </c>
      <c r="P154" s="23">
        <f>'Annual Raw'!Q73+'Annual Raw'!Q81</f>
        <v>8.8049999999999997</v>
      </c>
      <c r="Q154" s="23">
        <f>'Annual Raw'!R73+'Annual Raw'!R81</f>
        <v>8.6969999999999992</v>
      </c>
      <c r="R154" s="23">
        <f>'Annual Raw'!S73+'Annual Raw'!S81</f>
        <v>8.5890000000000004</v>
      </c>
      <c r="S154" s="23">
        <f>'Annual Raw'!T73+'Annual Raw'!T81</f>
        <v>9.89</v>
      </c>
      <c r="T154" s="23">
        <f>'Annual Raw'!U73+'Annual Raw'!U81</f>
        <v>0.58499999999999996</v>
      </c>
      <c r="U154" s="23">
        <f>'Annual Raw'!V73+'Annual Raw'!V81</f>
        <v>13.12</v>
      </c>
      <c r="V154" s="23">
        <f>'Annual Raw'!W73+'Annual Raw'!W81</f>
        <v>1.46</v>
      </c>
      <c r="W154" s="23">
        <f>'Annual Raw'!X73+'Annual Raw'!X81</f>
        <v>0.43</v>
      </c>
      <c r="X154" s="23">
        <f>'Annual Raw'!Y73+'Annual Raw'!Y81</f>
        <v>1.38</v>
      </c>
      <c r="Y154" s="23">
        <f>'Annual Raw'!Z73+'Annual Raw'!Z81</f>
        <v>0.84</v>
      </c>
      <c r="Z154" s="23">
        <f>'Annual Raw'!AA73+'Annual Raw'!AA81</f>
        <v>349.60999999999996</v>
      </c>
      <c r="AA154" s="23">
        <f>'Annual Raw'!AB73+'Annual Raw'!AB81</f>
        <v>350.13</v>
      </c>
      <c r="AB154" s="24">
        <f t="shared" si="1206"/>
        <v>0</v>
      </c>
      <c r="AC154" s="24">
        <f t="shared" si="1207"/>
        <v>0</v>
      </c>
      <c r="AD154" s="24">
        <f t="shared" si="1208"/>
        <v>0</v>
      </c>
      <c r="AE154" s="24">
        <f t="shared" si="1209"/>
        <v>0</v>
      </c>
      <c r="AJ154" s="23">
        <f>+'QTR Raw'!D79+'QTR Raw'!D76</f>
        <v>0</v>
      </c>
      <c r="AK154" s="23">
        <f t="shared" si="1210"/>
        <v>0</v>
      </c>
      <c r="AL154" s="23">
        <f>+'QTR Raw'!F79+'QTR Raw'!F76</f>
        <v>0</v>
      </c>
      <c r="AM154" s="23">
        <f t="shared" si="1210"/>
        <v>0</v>
      </c>
      <c r="AN154" s="23">
        <f>+'QTR Raw'!H79+'QTR Raw'!H76</f>
        <v>0</v>
      </c>
      <c r="AO154" s="23">
        <f t="shared" si="1210"/>
        <v>0</v>
      </c>
      <c r="AP154" s="23">
        <f>+'QTR Raw'!J79+'QTR Raw'!J76</f>
        <v>0</v>
      </c>
      <c r="AQ154" s="23">
        <f t="shared" si="1210"/>
        <v>0</v>
      </c>
      <c r="AR154" s="23">
        <f>+'QTR Raw'!L79+'QTR Raw'!L76</f>
        <v>0</v>
      </c>
      <c r="AS154" s="23">
        <f t="shared" si="1210"/>
        <v>0</v>
      </c>
      <c r="AT154" s="23">
        <f>+'QTR Raw'!N79+'QTR Raw'!N76</f>
        <v>0</v>
      </c>
      <c r="AU154" s="23">
        <f t="shared" si="1210"/>
        <v>0</v>
      </c>
      <c r="AV154" s="23">
        <f>+'QTR Raw'!P79+'QTR Raw'!P76</f>
        <v>0</v>
      </c>
      <c r="AW154" s="23">
        <f t="shared" si="1210"/>
        <v>0</v>
      </c>
      <c r="AX154" s="23">
        <f>+'QTR Raw'!R79+'QTR Raw'!R76</f>
        <v>0</v>
      </c>
      <c r="AY154" s="23">
        <f t="shared" si="1210"/>
        <v>0</v>
      </c>
      <c r="AZ154" s="23">
        <f>+'QTR Raw'!T79+'QTR Raw'!T76</f>
        <v>0</v>
      </c>
      <c r="BA154" s="23">
        <f t="shared" si="1210"/>
        <v>0</v>
      </c>
      <c r="BB154" s="23">
        <f>+'QTR Raw'!V79+'QTR Raw'!V76</f>
        <v>0</v>
      </c>
      <c r="BC154" s="23">
        <f t="shared" si="1210"/>
        <v>0</v>
      </c>
      <c r="BD154" s="23">
        <f>+'QTR Raw'!X79+'QTR Raw'!X76</f>
        <v>0</v>
      </c>
      <c r="BE154" s="23">
        <f t="shared" si="1210"/>
        <v>0</v>
      </c>
      <c r="BF154" s="23">
        <f>+'QTR Raw'!Z79+'QTR Raw'!Z76</f>
        <v>0</v>
      </c>
      <c r="BG154" s="23">
        <f t="shared" si="1210"/>
        <v>0</v>
      </c>
      <c r="BH154" s="23">
        <f>+'QTR Raw'!AB79+'QTR Raw'!AB76</f>
        <v>0</v>
      </c>
      <c r="BI154" s="23">
        <f t="shared" si="1210"/>
        <v>0</v>
      </c>
      <c r="BJ154" s="23">
        <f>+'QTR Raw'!AD79+'QTR Raw'!AD76</f>
        <v>0</v>
      </c>
      <c r="BK154" s="23">
        <f t="shared" si="1210"/>
        <v>0</v>
      </c>
      <c r="BL154" s="23">
        <f>+'QTR Raw'!AF79+'QTR Raw'!AF76</f>
        <v>0</v>
      </c>
      <c r="BM154" s="23">
        <f t="shared" si="1210"/>
        <v>0</v>
      </c>
      <c r="BN154" s="23">
        <f>+'QTR Raw'!AH79+'QTR Raw'!AH76</f>
        <v>151.38</v>
      </c>
      <c r="BO154" s="23">
        <f t="shared" si="1210"/>
        <v>151.38</v>
      </c>
      <c r="BP154" s="23">
        <f>+'QTR Raw'!AJ79+'QTR Raw'!AJ76</f>
        <v>0</v>
      </c>
      <c r="BQ154" s="23">
        <f t="shared" si="1210"/>
        <v>0</v>
      </c>
      <c r="BR154" s="23">
        <f>+'QTR Raw'!AL79+'QTR Raw'!AL76</f>
        <v>117.62</v>
      </c>
      <c r="BS154" s="23">
        <f t="shared" si="1210"/>
        <v>117.62</v>
      </c>
      <c r="BT154" s="23">
        <f>+'QTR Raw'!AN79+'QTR Raw'!AN76</f>
        <v>136.51</v>
      </c>
      <c r="BU154" s="23">
        <f t="shared" si="1210"/>
        <v>136.51</v>
      </c>
      <c r="BV154" s="23">
        <f>+'QTR Raw'!AP79+'QTR Raw'!AP76</f>
        <v>142.80000000000001</v>
      </c>
      <c r="BW154" s="23">
        <f t="shared" si="1210"/>
        <v>142.80000000000001</v>
      </c>
      <c r="BX154" s="23">
        <f>+'QTR Raw'!AR79+'QTR Raw'!AR76</f>
        <v>161.65</v>
      </c>
      <c r="BY154" s="23">
        <f t="shared" si="1210"/>
        <v>161.65</v>
      </c>
      <c r="BZ154" s="23">
        <f>+'QTR Raw'!AT79+'QTR Raw'!AT76</f>
        <v>186.84</v>
      </c>
      <c r="CA154" s="23">
        <f t="shared" si="1210"/>
        <v>186.84</v>
      </c>
      <c r="CB154" s="23">
        <f>+'QTR Raw'!AV79+'QTR Raw'!AV76</f>
        <v>250.55</v>
      </c>
      <c r="CC154" s="23">
        <f t="shared" si="1210"/>
        <v>250.55</v>
      </c>
      <c r="CD154" s="23">
        <f>+'QTR Raw'!AX79+'QTR Raw'!AX76</f>
        <v>411.93</v>
      </c>
      <c r="CE154" s="23">
        <f t="shared" si="1210"/>
        <v>411.93</v>
      </c>
      <c r="CF154" s="23">
        <f>+'QTR Raw'!AZ79+'QTR Raw'!AZ76</f>
        <v>526.16</v>
      </c>
      <c r="CG154" s="23">
        <f t="shared" si="1187"/>
        <v>526.16</v>
      </c>
      <c r="CH154" s="23">
        <f t="shared" si="1188"/>
        <v>349.60999999999996</v>
      </c>
      <c r="CJ154" s="23">
        <f>+'QTR Raw'!BD79+'QTR Raw'!BD76</f>
        <v>696.16</v>
      </c>
      <c r="CL154" s="23">
        <f>+'QTR Raw'!BF79+'QTR Raw'!BF76</f>
        <v>1104.78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1104.78</v>
      </c>
    </row>
    <row r="155" spans="1:110" s="23" customFormat="1" outlineLevel="1" x14ac:dyDescent="0.2">
      <c r="A155" s="23" t="s">
        <v>61</v>
      </c>
      <c r="B155" s="23">
        <f>'Annual Raw'!C76</f>
        <v>0</v>
      </c>
      <c r="C155" s="23">
        <f>'Annual Raw'!D76</f>
        <v>0</v>
      </c>
      <c r="D155" s="23">
        <f>'Annual Raw'!E76</f>
        <v>0</v>
      </c>
      <c r="E155" s="23">
        <f>'Annual Raw'!F76</f>
        <v>0</v>
      </c>
      <c r="F155" s="23">
        <f>'Annual Raw'!G76</f>
        <v>17.934824299999999</v>
      </c>
      <c r="G155" s="23">
        <f>'Annual Raw'!H76</f>
        <v>20.045900499999998</v>
      </c>
      <c r="H155" s="23">
        <f>'Annual Raw'!I76</f>
        <v>28.019516899999999</v>
      </c>
      <c r="I155" s="23">
        <f>'Annual Raw'!J76</f>
        <v>48.698444799999997</v>
      </c>
      <c r="J155" s="23">
        <f>'Annual Raw'!K76</f>
        <v>61.525756100000002</v>
      </c>
      <c r="K155" s="23">
        <f>'Annual Raw'!L76</f>
        <v>68.568196700000001</v>
      </c>
      <c r="L155" s="23">
        <f>'Annual Raw'!M76</f>
        <v>103.2018202</v>
      </c>
      <c r="M155" s="23">
        <f>'Annual Raw'!N76</f>
        <v>147.4281435</v>
      </c>
      <c r="N155" s="23">
        <f>'Annual Raw'!O76</f>
        <v>119.247</v>
      </c>
      <c r="O155" s="23">
        <f>'Annual Raw'!P76</f>
        <v>126.755</v>
      </c>
      <c r="P155" s="23">
        <f>'Annual Raw'!Q76</f>
        <v>147.898</v>
      </c>
      <c r="Q155" s="23">
        <f>'Annual Raw'!R76</f>
        <v>181.93899999999999</v>
      </c>
      <c r="R155" s="23">
        <f>'Annual Raw'!S76</f>
        <v>225.99700000000001</v>
      </c>
      <c r="S155" s="23">
        <f>'Annual Raw'!T76</f>
        <v>300.45999999999998</v>
      </c>
      <c r="T155" s="23">
        <f>'Annual Raw'!U76</f>
        <v>323.30799999999999</v>
      </c>
      <c r="U155" s="23">
        <f>'Annual Raw'!V76</f>
        <v>325.61</v>
      </c>
      <c r="V155" s="23">
        <f>'Annual Raw'!W76</f>
        <v>405.64</v>
      </c>
      <c r="W155" s="23">
        <f>'Annual Raw'!X76</f>
        <v>626.41</v>
      </c>
      <c r="X155" s="23">
        <f>'Annual Raw'!Y76</f>
        <v>836.01</v>
      </c>
      <c r="Y155" s="23">
        <f>'Annual Raw'!Z76</f>
        <v>1040.82</v>
      </c>
      <c r="Z155" s="23">
        <f>'Annual Raw'!AA76</f>
        <v>1332.05</v>
      </c>
      <c r="AA155" s="23">
        <f>'Annual Raw'!AB76</f>
        <v>1745.41</v>
      </c>
      <c r="AB155" s="24">
        <f t="shared" si="1206"/>
        <v>2059.5838000000003</v>
      </c>
      <c r="AC155" s="24">
        <f t="shared" si="1207"/>
        <v>2430.3088840000005</v>
      </c>
      <c r="AD155" s="24">
        <f t="shared" si="1208"/>
        <v>2867.7644831200005</v>
      </c>
      <c r="AE155" s="24">
        <f t="shared" si="1209"/>
        <v>3383.9620900815999</v>
      </c>
      <c r="AJ155" s="23">
        <f>+'QTR Raw'!D81</f>
        <v>0</v>
      </c>
      <c r="AK155" s="23" t="e">
        <f>+AK190*AK21/90</f>
        <v>#DIV/0!</v>
      </c>
      <c r="AL155" s="23">
        <f>+'QTR Raw'!F81</f>
        <v>0</v>
      </c>
      <c r="AM155" s="23" t="e">
        <f>+AM190*AM21/90</f>
        <v>#DIV/0!</v>
      </c>
      <c r="AN155" s="23">
        <f>+'QTR Raw'!H81</f>
        <v>0</v>
      </c>
      <c r="AO155" s="23" t="e">
        <f>+AO190*AO21/90</f>
        <v>#DIV/0!</v>
      </c>
      <c r="AP155" s="23">
        <f>+'QTR Raw'!J81</f>
        <v>0</v>
      </c>
      <c r="AQ155" s="23" t="e">
        <f>+AQ190*AQ21/90</f>
        <v>#DIV/0!</v>
      </c>
      <c r="AR155" s="23">
        <f>+'QTR Raw'!L81</f>
        <v>0</v>
      </c>
      <c r="AS155" s="23" t="e">
        <f>+AS190*AS21/90</f>
        <v>#DIV/0!</v>
      </c>
      <c r="AT155" s="23">
        <f>+'QTR Raw'!N81</f>
        <v>0</v>
      </c>
      <c r="AU155" s="23" t="e">
        <f>+AU190*AU21/90</f>
        <v>#DIV/0!</v>
      </c>
      <c r="AV155" s="23">
        <f>+'QTR Raw'!P81</f>
        <v>0</v>
      </c>
      <c r="AW155" s="23" t="e">
        <f>+AW190*AW21/90</f>
        <v>#DIV/0!</v>
      </c>
      <c r="AX155" s="23">
        <f>+'QTR Raw'!R81</f>
        <v>0</v>
      </c>
      <c r="AY155" s="23" t="e">
        <f>+AY190*AY21/90</f>
        <v>#DIV/0!</v>
      </c>
      <c r="AZ155" s="23">
        <f>+'QTR Raw'!T81</f>
        <v>0</v>
      </c>
      <c r="BA155" s="23" t="e">
        <f>+BA190*BA21/90</f>
        <v>#DIV/0!</v>
      </c>
      <c r="BB155" s="23">
        <f>+'QTR Raw'!V81</f>
        <v>0</v>
      </c>
      <c r="BC155" s="23" t="e">
        <f>+BC190*BC21/90</f>
        <v>#DIV/0!</v>
      </c>
      <c r="BD155" s="23">
        <f>+'QTR Raw'!X81</f>
        <v>0</v>
      </c>
      <c r="BE155" s="23" t="e">
        <f>+BE190*BE21/90</f>
        <v>#DIV/0!</v>
      </c>
      <c r="BF155" s="23">
        <f>+'QTR Raw'!Z81</f>
        <v>0</v>
      </c>
      <c r="BG155" s="23" t="e">
        <f>+BG190*BG21/90</f>
        <v>#DIV/0!</v>
      </c>
      <c r="BH155" s="23">
        <f>+'QTR Raw'!AB81</f>
        <v>0</v>
      </c>
      <c r="BI155" s="23" t="e">
        <f>+BI190*BI21/90</f>
        <v>#DIV/0!</v>
      </c>
      <c r="BJ155" s="23">
        <f>+'QTR Raw'!AD81</f>
        <v>0</v>
      </c>
      <c r="BK155" s="23" t="e">
        <f>+BK190*BK21/90</f>
        <v>#DIV/0!</v>
      </c>
      <c r="BL155" s="23">
        <f>+'QTR Raw'!AF81</f>
        <v>0</v>
      </c>
      <c r="BM155" s="23" t="e">
        <f>+BM190*BM21/90</f>
        <v>#DIV/0!</v>
      </c>
      <c r="BN155" s="23">
        <f>+'QTR Raw'!AH81</f>
        <v>325.61</v>
      </c>
      <c r="BO155" s="23">
        <f>+BO190*BO21/90</f>
        <v>158.71065458568822</v>
      </c>
      <c r="BP155" s="23">
        <f>+'QTR Raw'!AJ81</f>
        <v>0</v>
      </c>
      <c r="BQ155" s="23">
        <f>+BQ190*BQ21/90</f>
        <v>0</v>
      </c>
      <c r="BR155" s="23">
        <f>+'QTR Raw'!AL81</f>
        <v>405.64</v>
      </c>
      <c r="BS155" s="23">
        <f>+BS190*BS21/90</f>
        <v>328.63666617022864</v>
      </c>
      <c r="BT155" s="23">
        <f>+'QTR Raw'!AN81</f>
        <v>476.59</v>
      </c>
      <c r="BU155" s="23">
        <f>+BU190*BU21/90</f>
        <v>462.51790423985562</v>
      </c>
      <c r="BV155" s="23">
        <f>+'QTR Raw'!AP81</f>
        <v>626.41</v>
      </c>
      <c r="BW155" s="23">
        <f>+BW190*BW21/90</f>
        <v>645.76501682732589</v>
      </c>
      <c r="BX155" s="23">
        <f>+'QTR Raw'!AR81</f>
        <v>632.09</v>
      </c>
      <c r="BY155" s="23">
        <f>+BY190*BY21/90</f>
        <v>609.93297523961667</v>
      </c>
      <c r="BZ155" s="23">
        <f>+'QTR Raw'!AT81</f>
        <v>836.01</v>
      </c>
      <c r="CA155" s="23">
        <f>+CA190*CA21/90</f>
        <v>884.83843477462585</v>
      </c>
      <c r="CB155" s="23">
        <f>+'QTR Raw'!AV81</f>
        <v>965.23</v>
      </c>
      <c r="CC155" s="23">
        <f>+CC190*CC21/90</f>
        <v>924.82174868115283</v>
      </c>
      <c r="CD155" s="23">
        <f>+'QTR Raw'!AX81</f>
        <v>1040.82</v>
      </c>
      <c r="CE155" s="23">
        <f>+CE190*CE21/90</f>
        <v>1083.993681401198</v>
      </c>
      <c r="CF155" s="23">
        <f>+'QTR Raw'!AZ81</f>
        <v>1143.1199999999999</v>
      </c>
      <c r="CG155" s="23">
        <f>+CG190*CG21/90</f>
        <v>1484.1303190411463</v>
      </c>
      <c r="CH155" s="23">
        <f t="shared" si="1188"/>
        <v>1332.05</v>
      </c>
      <c r="CI155" s="23">
        <f>+CI190*CI21/90</f>
        <v>1358.5120480205803</v>
      </c>
      <c r="CJ155" s="23">
        <f>+'QTR Raw'!BD81</f>
        <v>1614.19</v>
      </c>
      <c r="CK155" s="23">
        <f t="shared" ref="CK155:DB155" si="1211">+CK190*CK21/90</f>
        <v>1659.1014159743008</v>
      </c>
      <c r="CL155" s="23">
        <f>+'QTR Raw'!BF81</f>
        <v>1745.41</v>
      </c>
      <c r="CM155" s="24">
        <f t="shared" si="1211"/>
        <v>1650.3312518864534</v>
      </c>
      <c r="CN155" s="24">
        <f t="shared" si="1211"/>
        <v>1851.618010349443</v>
      </c>
      <c r="CO155" s="24">
        <f t="shared" si="1211"/>
        <v>1903.1353575565936</v>
      </c>
      <c r="CP155" s="24">
        <f t="shared" si="1211"/>
        <v>2059.5838000000003</v>
      </c>
      <c r="CQ155" s="24">
        <f t="shared" si="1211"/>
        <v>1947.3908772260152</v>
      </c>
      <c r="CR155" s="24">
        <f t="shared" si="1211"/>
        <v>2184.9092522123428</v>
      </c>
      <c r="CS155" s="24">
        <f t="shared" si="1211"/>
        <v>2245.6997219167806</v>
      </c>
      <c r="CT155" s="24">
        <f t="shared" si="1211"/>
        <v>2430.3088840000005</v>
      </c>
      <c r="CU155" s="24">
        <f t="shared" si="1211"/>
        <v>2297.9212351266979</v>
      </c>
      <c r="CV155" s="24">
        <f t="shared" si="1211"/>
        <v>2578.1929176105646</v>
      </c>
      <c r="CW155" s="24">
        <f t="shared" si="1211"/>
        <v>2649.9256718618012</v>
      </c>
      <c r="CX155" s="24">
        <f t="shared" si="1211"/>
        <v>2867.7644831200005</v>
      </c>
      <c r="CY155" s="24">
        <f t="shared" si="1211"/>
        <v>2711.5470574495039</v>
      </c>
      <c r="CZ155" s="24">
        <f t="shared" si="1211"/>
        <v>3042.2676427804663</v>
      </c>
      <c r="DA155" s="24">
        <f t="shared" si="1211"/>
        <v>3126.9122927969256</v>
      </c>
      <c r="DB155" s="24">
        <f t="shared" si="1211"/>
        <v>3383.9620900815999</v>
      </c>
      <c r="DE155" s="123"/>
      <c r="DF155" s="23">
        <v>1692.8273167831574</v>
      </c>
    </row>
    <row r="156" spans="1:110" s="23" customFormat="1" outlineLevel="1" x14ac:dyDescent="0.2">
      <c r="A156" s="23" t="s">
        <v>62</v>
      </c>
      <c r="B156" s="23">
        <f>'Annual Raw'!C77</f>
        <v>0</v>
      </c>
      <c r="C156" s="23">
        <f>'Annual Raw'!D77</f>
        <v>0</v>
      </c>
      <c r="D156" s="23">
        <f>'Annual Raw'!E77</f>
        <v>0</v>
      </c>
      <c r="E156" s="23">
        <f>'Annual Raw'!F77</f>
        <v>0</v>
      </c>
      <c r="F156" s="23">
        <f>'Annual Raw'!G77</f>
        <v>16.414101899999999</v>
      </c>
      <c r="G156" s="23">
        <f>'Annual Raw'!H77</f>
        <v>21.6258774</v>
      </c>
      <c r="H156" s="23">
        <f>'Annual Raw'!I77</f>
        <v>30.182686700000001</v>
      </c>
      <c r="I156" s="23">
        <f>'Annual Raw'!J77</f>
        <v>53.027276299999997</v>
      </c>
      <c r="J156" s="23">
        <f>'Annual Raw'!K77</f>
        <v>49.152511500000003</v>
      </c>
      <c r="K156" s="23">
        <f>'Annual Raw'!L77</f>
        <v>40.754997600000003</v>
      </c>
      <c r="L156" s="23">
        <f>'Annual Raw'!M77</f>
        <v>64.276691999999997</v>
      </c>
      <c r="M156" s="23">
        <f>'Annual Raw'!N77</f>
        <v>91.353911600000004</v>
      </c>
      <c r="N156" s="23">
        <f>'Annual Raw'!O77</f>
        <v>95.100999999999999</v>
      </c>
      <c r="O156" s="23">
        <f>'Annual Raw'!P77</f>
        <v>131.83099999999999</v>
      </c>
      <c r="P156" s="23">
        <f>'Annual Raw'!Q77</f>
        <v>125.435</v>
      </c>
      <c r="Q156" s="23">
        <f>'Annual Raw'!R77</f>
        <v>134.81</v>
      </c>
      <c r="R156" s="23">
        <f>'Annual Raw'!S77</f>
        <v>174.11099999999999</v>
      </c>
      <c r="S156" s="23">
        <f>'Annual Raw'!T77</f>
        <v>201.69</v>
      </c>
      <c r="T156" s="23">
        <f>'Annual Raw'!U77</f>
        <v>210.03200000000001</v>
      </c>
      <c r="U156" s="23">
        <f>'Annual Raw'!V77</f>
        <v>194.32</v>
      </c>
      <c r="V156" s="23">
        <f>'Annual Raw'!W77</f>
        <v>238.95</v>
      </c>
      <c r="W156" s="23">
        <f>'Annual Raw'!X77</f>
        <v>296.20999999999998</v>
      </c>
      <c r="X156" s="23">
        <f>'Annual Raw'!Y77</f>
        <v>535.29</v>
      </c>
      <c r="Y156" s="23">
        <f>'Annual Raw'!Z77</f>
        <v>576.63</v>
      </c>
      <c r="Z156" s="23">
        <f>'Annual Raw'!AA77</f>
        <v>920.59</v>
      </c>
      <c r="AA156" s="23">
        <f>'Annual Raw'!AB77</f>
        <v>1110.54</v>
      </c>
      <c r="AB156" s="24">
        <f t="shared" si="1206"/>
        <v>1310.4371999999998</v>
      </c>
      <c r="AC156" s="24">
        <f t="shared" si="1207"/>
        <v>1546.3158960000001</v>
      </c>
      <c r="AD156" s="24">
        <f t="shared" si="1208"/>
        <v>1824.6527572799998</v>
      </c>
      <c r="AE156" s="24">
        <f t="shared" si="1209"/>
        <v>2153.0902535903997</v>
      </c>
      <c r="AJ156" s="23">
        <f>+'QTR Raw'!D82</f>
        <v>0</v>
      </c>
      <c r="AK156" s="23" t="e">
        <f>+AK191*AK21/90</f>
        <v>#DIV/0!</v>
      </c>
      <c r="AL156" s="23">
        <f>+'QTR Raw'!F82</f>
        <v>0</v>
      </c>
      <c r="AM156" s="23" t="e">
        <f>+AM191*AM21/90</f>
        <v>#DIV/0!</v>
      </c>
      <c r="AN156" s="23">
        <f>+'QTR Raw'!H82</f>
        <v>0</v>
      </c>
      <c r="AO156" s="23" t="e">
        <f>+AO191*AO21/90</f>
        <v>#DIV/0!</v>
      </c>
      <c r="AP156" s="23">
        <f>+'QTR Raw'!J82</f>
        <v>0</v>
      </c>
      <c r="AQ156" s="23" t="e">
        <f>+AQ191*AQ21/90</f>
        <v>#DIV/0!</v>
      </c>
      <c r="AR156" s="23">
        <f>+'QTR Raw'!L82</f>
        <v>0</v>
      </c>
      <c r="AS156" s="23" t="e">
        <f>+AS191*AS21/90</f>
        <v>#DIV/0!</v>
      </c>
      <c r="AT156" s="23">
        <f>+'QTR Raw'!N82</f>
        <v>0</v>
      </c>
      <c r="AU156" s="23" t="e">
        <f>+AU191*AU21/90</f>
        <v>#DIV/0!</v>
      </c>
      <c r="AV156" s="23">
        <f>+'QTR Raw'!P82</f>
        <v>0</v>
      </c>
      <c r="AW156" s="23" t="e">
        <f>+AW191*AW21/90</f>
        <v>#DIV/0!</v>
      </c>
      <c r="AX156" s="23">
        <f>+'QTR Raw'!R82</f>
        <v>0</v>
      </c>
      <c r="AY156" s="23" t="e">
        <f>+AY191*AY21/90</f>
        <v>#DIV/0!</v>
      </c>
      <c r="AZ156" s="23">
        <f>+'QTR Raw'!T82</f>
        <v>0</v>
      </c>
      <c r="BA156" s="23" t="e">
        <f>+BA191*BA21/90</f>
        <v>#DIV/0!</v>
      </c>
      <c r="BB156" s="23">
        <f>+'QTR Raw'!V82</f>
        <v>0</v>
      </c>
      <c r="BC156" s="23" t="e">
        <f>+BC191*BC21/90</f>
        <v>#DIV/0!</v>
      </c>
      <c r="BD156" s="23">
        <f>+'QTR Raw'!X82</f>
        <v>0</v>
      </c>
      <c r="BE156" s="23" t="e">
        <f>+BE191*BE21/90</f>
        <v>#DIV/0!</v>
      </c>
      <c r="BF156" s="23">
        <f>+'QTR Raw'!Z82</f>
        <v>0</v>
      </c>
      <c r="BG156" s="23" t="e">
        <f>+BG191*BG21/90</f>
        <v>#DIV/0!</v>
      </c>
      <c r="BH156" s="23">
        <f>+'QTR Raw'!AB82</f>
        <v>0</v>
      </c>
      <c r="BI156" s="23" t="e">
        <f>+BI191*BI21/90</f>
        <v>#DIV/0!</v>
      </c>
      <c r="BJ156" s="23">
        <f>+'QTR Raw'!AD82</f>
        <v>0</v>
      </c>
      <c r="BK156" s="23" t="e">
        <f>+BK191*BK21/90</f>
        <v>#DIV/0!</v>
      </c>
      <c r="BL156" s="23">
        <f>+'QTR Raw'!AF82</f>
        <v>0</v>
      </c>
      <c r="BM156" s="23" t="e">
        <f>+BM191*BM21/90</f>
        <v>#DIV/0!</v>
      </c>
      <c r="BN156" s="23">
        <f>+'QTR Raw'!AH82</f>
        <v>194.32</v>
      </c>
      <c r="BO156" s="23">
        <f>+BO191*BO21/90</f>
        <v>94.71654555784815</v>
      </c>
      <c r="BP156" s="23">
        <f>+'QTR Raw'!AJ82</f>
        <v>0</v>
      </c>
      <c r="BQ156" s="23">
        <f>+BQ191*BQ21/90</f>
        <v>0</v>
      </c>
      <c r="BR156" s="23">
        <f>+'QTR Raw'!AL82</f>
        <v>238.95</v>
      </c>
      <c r="BS156" s="23">
        <f>+BS191*BS21/90</f>
        <v>193.58971349318639</v>
      </c>
      <c r="BT156" s="23">
        <f>+'QTR Raw'!AN82</f>
        <v>234.61</v>
      </c>
      <c r="BU156" s="23">
        <f>+BU191*BU21/90</f>
        <v>227.68275774504829</v>
      </c>
      <c r="BV156" s="23">
        <f>+'QTR Raw'!AP82</f>
        <v>296.20999999999998</v>
      </c>
      <c r="BW156" s="23">
        <f>+BW191*BW21/90</f>
        <v>305.36239145994182</v>
      </c>
      <c r="BX156" s="23">
        <f>+'QTR Raw'!AR82</f>
        <v>374.4</v>
      </c>
      <c r="BY156" s="23">
        <f>+BY191*BY21/90</f>
        <v>361.27593527774906</v>
      </c>
      <c r="BZ156" s="23">
        <f>+'QTR Raw'!AT82</f>
        <v>535.29</v>
      </c>
      <c r="CA156" s="23">
        <f>+CA191*CA21/90</f>
        <v>566.5544260840295</v>
      </c>
      <c r="CB156" s="23">
        <f>+'QTR Raw'!AV82</f>
        <v>615.85</v>
      </c>
      <c r="CC156" s="23">
        <f>+CC191*CC21/90</f>
        <v>590.06814326667018</v>
      </c>
      <c r="CD156" s="23">
        <f>+'QTR Raw'!AX82</f>
        <v>576.63</v>
      </c>
      <c r="CE156" s="23">
        <f>+CE191*CE21/90</f>
        <v>600.54887156892914</v>
      </c>
      <c r="CF156" s="23">
        <f>+'QTR Raw'!AZ82</f>
        <v>623.69000000000005</v>
      </c>
      <c r="CG156" s="23">
        <f>+CG191*CG21/90</f>
        <v>809.74634218872268</v>
      </c>
      <c r="CH156" s="23">
        <f t="shared" si="1188"/>
        <v>920.59</v>
      </c>
      <c r="CI156" s="23">
        <f>+CI191*CI21/90</f>
        <v>938.87812491067598</v>
      </c>
      <c r="CJ156" s="23">
        <f>+'QTR Raw'!BD82</f>
        <v>1144.9100000000001</v>
      </c>
      <c r="CK156" s="23">
        <f t="shared" ref="CK156:DB156" si="1212">+CK191*CK21/90</f>
        <v>1176.7646944678982</v>
      </c>
      <c r="CL156" s="23">
        <f>+'QTR Raw'!BF82</f>
        <v>1110.54</v>
      </c>
      <c r="CM156" s="24">
        <f t="shared" si="1212"/>
        <v>1050.0448997484727</v>
      </c>
      <c r="CN156" s="24">
        <f t="shared" si="1212"/>
        <v>1178.1162392867407</v>
      </c>
      <c r="CO156" s="24">
        <f t="shared" si="1212"/>
        <v>1210.894826992454</v>
      </c>
      <c r="CP156" s="24">
        <f t="shared" si="1212"/>
        <v>1310.4371999999998</v>
      </c>
      <c r="CQ156" s="24">
        <f t="shared" si="1212"/>
        <v>1239.0529817031977</v>
      </c>
      <c r="CR156" s="24">
        <f t="shared" si="1212"/>
        <v>1390.1771623583541</v>
      </c>
      <c r="CS156" s="24">
        <f t="shared" si="1212"/>
        <v>1428.855895851096</v>
      </c>
      <c r="CT156" s="24">
        <f t="shared" si="1212"/>
        <v>1546.3158960000001</v>
      </c>
      <c r="CU156" s="24">
        <f t="shared" si="1212"/>
        <v>1462.0825184097735</v>
      </c>
      <c r="CV156" s="24">
        <f t="shared" si="1212"/>
        <v>1640.4090515828577</v>
      </c>
      <c r="CW156" s="24">
        <f t="shared" si="1212"/>
        <v>1686.0499571042931</v>
      </c>
      <c r="CX156" s="24">
        <f t="shared" si="1212"/>
        <v>1824.6527572799998</v>
      </c>
      <c r="CY156" s="24">
        <f t="shared" si="1212"/>
        <v>1725.257371723533</v>
      </c>
      <c r="CZ156" s="24">
        <f t="shared" si="1212"/>
        <v>1935.6826808677724</v>
      </c>
      <c r="DA156" s="24">
        <f t="shared" si="1212"/>
        <v>1989.5389493830658</v>
      </c>
      <c r="DB156" s="24">
        <f t="shared" si="1212"/>
        <v>2153.0902535903997</v>
      </c>
      <c r="DE156" s="123"/>
      <c r="DF156" s="23">
        <v>1200.6857453324608</v>
      </c>
    </row>
    <row r="157" spans="1:110" s="23" customFormat="1" outlineLevel="1" x14ac:dyDescent="0.2">
      <c r="A157" s="23" t="s">
        <v>63</v>
      </c>
      <c r="B157" s="23">
        <f>'Annual Raw'!C79</f>
        <v>0</v>
      </c>
      <c r="C157" s="23">
        <f>'Annual Raw'!D79</f>
        <v>0</v>
      </c>
      <c r="D157" s="23">
        <f>'Annual Raw'!E79</f>
        <v>0</v>
      </c>
      <c r="E157" s="23">
        <f>'Annual Raw'!F79</f>
        <v>0</v>
      </c>
      <c r="F157" s="23">
        <f>'Annual Raw'!G79</f>
        <v>0</v>
      </c>
      <c r="G157" s="23">
        <f>'Annual Raw'!H79</f>
        <v>0</v>
      </c>
      <c r="H157" s="23">
        <f>'Annual Raw'!I79</f>
        <v>0</v>
      </c>
      <c r="I157" s="23">
        <f>'Annual Raw'!J79</f>
        <v>0</v>
      </c>
      <c r="J157" s="23">
        <f>'Annual Raw'!K79</f>
        <v>0</v>
      </c>
      <c r="K157" s="23">
        <f>'Annual Raw'!L79</f>
        <v>0</v>
      </c>
      <c r="L157" s="23">
        <f>'Annual Raw'!M79</f>
        <v>17.808469500000001</v>
      </c>
      <c r="M157" s="23">
        <f>'Annual Raw'!N79</f>
        <v>2.2021533999999998</v>
      </c>
      <c r="N157" s="23">
        <f>'Annual Raw'!O79</f>
        <v>6.1589999999999998</v>
      </c>
      <c r="O157" s="23">
        <f>'Annual Raw'!P79</f>
        <v>10.749000000000001</v>
      </c>
      <c r="P157" s="23">
        <f>'Annual Raw'!Q79</f>
        <v>8.3490000000000002</v>
      </c>
      <c r="Q157" s="23">
        <f>'Annual Raw'!R79</f>
        <v>7.9130000000000003</v>
      </c>
      <c r="R157" s="23">
        <f>'Annual Raw'!S79</f>
        <v>9.7509999999999994</v>
      </c>
      <c r="S157" s="23">
        <f>'Annual Raw'!T79</f>
        <v>14.33</v>
      </c>
      <c r="T157" s="23">
        <f>'Annual Raw'!U79</f>
        <v>19.32</v>
      </c>
      <c r="U157" s="23">
        <f>'Annual Raw'!V79</f>
        <v>16.59</v>
      </c>
      <c r="V157" s="23">
        <f>'Annual Raw'!W79</f>
        <v>16.91</v>
      </c>
      <c r="W157" s="23">
        <f>'Annual Raw'!X79</f>
        <v>22.61</v>
      </c>
      <c r="X157" s="23">
        <f>'Annual Raw'!Y79</f>
        <v>19.78</v>
      </c>
      <c r="Y157" s="23">
        <f>'Annual Raw'!Z79</f>
        <v>23.09</v>
      </c>
      <c r="Z157" s="23">
        <f>'Annual Raw'!AA79</f>
        <v>36.119999999999997</v>
      </c>
      <c r="AA157" s="23">
        <f>'Annual Raw'!AB79</f>
        <v>44.7</v>
      </c>
      <c r="AB157" s="24">
        <f t="shared" si="1206"/>
        <v>1583.3476000000005</v>
      </c>
      <c r="AC157" s="24">
        <f t="shared" si="1207"/>
        <v>1868.3501680000006</v>
      </c>
      <c r="AD157" s="24">
        <f t="shared" si="1208"/>
        <v>2204.6531982400006</v>
      </c>
      <c r="AE157" s="24">
        <f t="shared" si="1209"/>
        <v>2601.4907739232003</v>
      </c>
      <c r="AJ157" s="23">
        <f>+'QTR Raw'!D84</f>
        <v>0</v>
      </c>
      <c r="AK157" s="23">
        <f t="shared" si="1210"/>
        <v>0</v>
      </c>
      <c r="AL157" s="23">
        <f>+'QTR Raw'!F84</f>
        <v>0</v>
      </c>
      <c r="AM157" s="23">
        <f t="shared" si="1210"/>
        <v>0</v>
      </c>
      <c r="AN157" s="23">
        <f>+'QTR Raw'!H84</f>
        <v>0</v>
      </c>
      <c r="AO157" s="23">
        <f t="shared" si="1210"/>
        <v>0</v>
      </c>
      <c r="AP157" s="23">
        <f>+'QTR Raw'!J84</f>
        <v>0</v>
      </c>
      <c r="AQ157" s="23">
        <f t="shared" si="1210"/>
        <v>0</v>
      </c>
      <c r="AR157" s="23">
        <f>+'QTR Raw'!L84</f>
        <v>0</v>
      </c>
      <c r="AS157" s="23">
        <f t="shared" si="1210"/>
        <v>0</v>
      </c>
      <c r="AT157" s="23">
        <f>+'QTR Raw'!N84</f>
        <v>0</v>
      </c>
      <c r="AU157" s="23">
        <f t="shared" si="1210"/>
        <v>0</v>
      </c>
      <c r="AV157" s="23">
        <f>+'QTR Raw'!P84</f>
        <v>0</v>
      </c>
      <c r="AW157" s="23">
        <f t="shared" si="1210"/>
        <v>0</v>
      </c>
      <c r="AX157" s="23">
        <f>+'QTR Raw'!R84</f>
        <v>0</v>
      </c>
      <c r="AY157" s="23">
        <f t="shared" si="1210"/>
        <v>0</v>
      </c>
      <c r="AZ157" s="23">
        <f>+'QTR Raw'!T84</f>
        <v>0</v>
      </c>
      <c r="BA157" s="23">
        <f t="shared" si="1210"/>
        <v>0</v>
      </c>
      <c r="BB157" s="23">
        <f>+'QTR Raw'!V84</f>
        <v>0</v>
      </c>
      <c r="BC157" s="23">
        <f t="shared" si="1210"/>
        <v>0</v>
      </c>
      <c r="BD157" s="23">
        <f>+'QTR Raw'!X84</f>
        <v>0</v>
      </c>
      <c r="BE157" s="23">
        <f t="shared" si="1210"/>
        <v>0</v>
      </c>
      <c r="BF157" s="23">
        <f>+'QTR Raw'!Z84</f>
        <v>0</v>
      </c>
      <c r="BG157" s="23">
        <f t="shared" si="1210"/>
        <v>0</v>
      </c>
      <c r="BH157" s="23">
        <f>+'QTR Raw'!AB84</f>
        <v>0</v>
      </c>
      <c r="BI157" s="23">
        <f t="shared" si="1210"/>
        <v>0</v>
      </c>
      <c r="BJ157" s="23">
        <f>+'QTR Raw'!AD84</f>
        <v>0</v>
      </c>
      <c r="BK157" s="23">
        <f t="shared" si="1210"/>
        <v>0</v>
      </c>
      <c r="BL157" s="23">
        <f>+'QTR Raw'!AF84</f>
        <v>0</v>
      </c>
      <c r="BM157" s="23">
        <f t="shared" si="1210"/>
        <v>0</v>
      </c>
      <c r="BN157" s="23">
        <f>+'QTR Raw'!AH84</f>
        <v>34.99</v>
      </c>
      <c r="BO157" s="23">
        <f t="shared" si="1210"/>
        <v>34.99</v>
      </c>
      <c r="BP157" s="23">
        <f>+'QTR Raw'!AJ84</f>
        <v>0</v>
      </c>
      <c r="BQ157" s="23">
        <f t="shared" si="1210"/>
        <v>0</v>
      </c>
      <c r="BR157" s="23">
        <f>+'QTR Raw'!AL84</f>
        <v>81.739999999999995</v>
      </c>
      <c r="BS157" s="23">
        <f t="shared" si="1210"/>
        <v>81.739999999999995</v>
      </c>
      <c r="BT157" s="23">
        <f>+'QTR Raw'!AN84</f>
        <v>75.849999999999994</v>
      </c>
      <c r="BU157" s="23">
        <f t="shared" si="1210"/>
        <v>75.849999999999994</v>
      </c>
      <c r="BV157" s="23">
        <f>+'QTR Raw'!AP84</f>
        <v>63.29</v>
      </c>
      <c r="BW157" s="23">
        <f t="shared" si="1210"/>
        <v>63.29</v>
      </c>
      <c r="BX157" s="23">
        <f>+'QTR Raw'!AR84</f>
        <v>70.45</v>
      </c>
      <c r="BY157" s="23">
        <f t="shared" si="1210"/>
        <v>70.45</v>
      </c>
      <c r="BZ157" s="23">
        <f>+'QTR Raw'!AT84</f>
        <v>69.260000000000005</v>
      </c>
      <c r="CA157" s="23">
        <f t="shared" si="1210"/>
        <v>69.260000000000005</v>
      </c>
      <c r="CB157" s="23">
        <f>+'QTR Raw'!AV84</f>
        <v>73.09</v>
      </c>
      <c r="CC157" s="23">
        <f t="shared" si="1210"/>
        <v>73.09</v>
      </c>
      <c r="CD157" s="23">
        <f>+'QTR Raw'!AX84</f>
        <v>82.51</v>
      </c>
      <c r="CE157" s="23">
        <f t="shared" si="1210"/>
        <v>82.51</v>
      </c>
      <c r="CF157" s="23">
        <f>+'QTR Raw'!AZ84</f>
        <v>203.27</v>
      </c>
      <c r="CG157" s="23">
        <f t="shared" ref="CG157:CG158" si="1213">+CF157</f>
        <v>203.27</v>
      </c>
      <c r="CH157" s="23">
        <f t="shared" si="1188"/>
        <v>36.119999999999997</v>
      </c>
      <c r="CI157" s="23">
        <f>CI21/90*CI192</f>
        <v>728.5614291839355</v>
      </c>
      <c r="CJ157" s="23">
        <f>+'QTR Raw'!BD84</f>
        <v>577.23</v>
      </c>
      <c r="CK157" s="23">
        <f t="shared" ref="CK157:DB157" si="1214">CK21/90*CK192</f>
        <v>1308.8193781943357</v>
      </c>
      <c r="CL157" s="23">
        <f>+'QTR Raw'!BF84</f>
        <v>237.04</v>
      </c>
      <c r="CM157" s="24">
        <f t="shared" si="1214"/>
        <v>1268.7262479338845</v>
      </c>
      <c r="CN157" s="24">
        <f t="shared" si="1214"/>
        <v>1423.469602355372</v>
      </c>
      <c r="CO157" s="24">
        <f t="shared" si="1214"/>
        <v>1463.0746274380169</v>
      </c>
      <c r="CP157" s="24">
        <f t="shared" si="1214"/>
        <v>1583.3476000000005</v>
      </c>
      <c r="CQ157" s="24">
        <f t="shared" si="1214"/>
        <v>1497.0969725619839</v>
      </c>
      <c r="CR157" s="24">
        <f t="shared" si="1214"/>
        <v>1679.694130779339</v>
      </c>
      <c r="CS157" s="24">
        <f t="shared" si="1214"/>
        <v>1726.42806037686</v>
      </c>
      <c r="CT157" s="24">
        <f t="shared" si="1214"/>
        <v>1868.3501680000006</v>
      </c>
      <c r="CU157" s="24">
        <f t="shared" si="1214"/>
        <v>1766.574427623141</v>
      </c>
      <c r="CV157" s="24">
        <f t="shared" si="1214"/>
        <v>1982.0390743196201</v>
      </c>
      <c r="CW157" s="24">
        <f t="shared" si="1214"/>
        <v>2037.185111244695</v>
      </c>
      <c r="CX157" s="24">
        <f t="shared" si="1214"/>
        <v>2204.6531982400006</v>
      </c>
      <c r="CY157" s="24">
        <f t="shared" si="1214"/>
        <v>2084.5578245953066</v>
      </c>
      <c r="CZ157" s="24">
        <f t="shared" si="1214"/>
        <v>2338.8061076971521</v>
      </c>
      <c r="DA157" s="24">
        <f t="shared" si="1214"/>
        <v>2403.8784312687399</v>
      </c>
      <c r="DB157" s="24">
        <f t="shared" si="1214"/>
        <v>2601.4907739232003</v>
      </c>
      <c r="DE157" s="123"/>
      <c r="DF157" s="23">
        <v>1335.424811774639</v>
      </c>
    </row>
    <row r="158" spans="1:110" s="23" customFormat="1" outlineLevel="1" x14ac:dyDescent="0.2">
      <c r="A158" s="23" t="s">
        <v>64</v>
      </c>
      <c r="B158" s="23">
        <f>'Annual Raw'!C80</f>
        <v>0</v>
      </c>
      <c r="C158" s="23">
        <f>'Annual Raw'!D80</f>
        <v>0</v>
      </c>
      <c r="D158" s="23">
        <f>'Annual Raw'!E80</f>
        <v>0</v>
      </c>
      <c r="E158" s="23">
        <f>'Annual Raw'!F80</f>
        <v>0</v>
      </c>
      <c r="F158" s="23">
        <f>'Annual Raw'!G80</f>
        <v>7.1058519999999996</v>
      </c>
      <c r="G158" s="23">
        <f>'Annual Raw'!H80</f>
        <v>8.0620113</v>
      </c>
      <c r="H158" s="23">
        <f>'Annual Raw'!I80</f>
        <v>19.969212500000001</v>
      </c>
      <c r="I158" s="23">
        <f>'Annual Raw'!J80</f>
        <v>18.212963299999998</v>
      </c>
      <c r="J158" s="23">
        <f>'Annual Raw'!K80</f>
        <v>24.4790888</v>
      </c>
      <c r="K158" s="23">
        <f>'Annual Raw'!L80</f>
        <v>37.045144100000002</v>
      </c>
      <c r="L158" s="23">
        <f>'Annual Raw'!M80</f>
        <v>12.511737699999999</v>
      </c>
      <c r="M158" s="23">
        <f>'Annual Raw'!N80</f>
        <v>42.585262899999996</v>
      </c>
      <c r="N158" s="23">
        <f>'Annual Raw'!O80</f>
        <v>57.128999999999998</v>
      </c>
      <c r="O158" s="23">
        <f>'Annual Raw'!P80</f>
        <v>62.22</v>
      </c>
      <c r="P158" s="23">
        <f>'Annual Raw'!Q80</f>
        <v>56.463999999999999</v>
      </c>
      <c r="Q158" s="23">
        <f>'Annual Raw'!R80</f>
        <v>73.057000000000002</v>
      </c>
      <c r="R158" s="23">
        <f>'Annual Raw'!S80</f>
        <v>95.656000000000006</v>
      </c>
      <c r="S158" s="23">
        <f>'Annual Raw'!T80</f>
        <v>32.049999999999997</v>
      </c>
      <c r="T158" s="23">
        <f>'Annual Raw'!U80</f>
        <v>29.481999999999999</v>
      </c>
      <c r="U158" s="23">
        <f>'Annual Raw'!V80</f>
        <v>18.399999999999999</v>
      </c>
      <c r="V158" s="23">
        <f>'Annual Raw'!W80</f>
        <v>64.83</v>
      </c>
      <c r="W158" s="23">
        <f>'Annual Raw'!X80</f>
        <v>40.68</v>
      </c>
      <c r="X158" s="23">
        <f>'Annual Raw'!Y80</f>
        <v>49.48</v>
      </c>
      <c r="Y158" s="23">
        <f>'Annual Raw'!Z80</f>
        <v>59.42</v>
      </c>
      <c r="Z158" s="23">
        <f>'Annual Raw'!AA80</f>
        <v>136.94</v>
      </c>
      <c r="AA158" s="23">
        <f>'Annual Raw'!AB80</f>
        <v>192.34</v>
      </c>
      <c r="AB158" s="24">
        <f t="shared" si="1206"/>
        <v>0</v>
      </c>
      <c r="AC158" s="24">
        <f t="shared" si="1207"/>
        <v>0</v>
      </c>
      <c r="AD158" s="24">
        <f t="shared" si="1208"/>
        <v>0</v>
      </c>
      <c r="AE158" s="24">
        <f t="shared" si="1209"/>
        <v>0</v>
      </c>
      <c r="AJ158" s="23">
        <f>+'QTR Raw'!D85</f>
        <v>0</v>
      </c>
      <c r="AK158" s="23">
        <f t="shared" si="1210"/>
        <v>0</v>
      </c>
      <c r="AL158" s="23">
        <f>+'QTR Raw'!F85</f>
        <v>0</v>
      </c>
      <c r="AM158" s="23">
        <f t="shared" si="1210"/>
        <v>0</v>
      </c>
      <c r="AN158" s="23">
        <f>+'QTR Raw'!H85</f>
        <v>0</v>
      </c>
      <c r="AO158" s="23">
        <f t="shared" si="1210"/>
        <v>0</v>
      </c>
      <c r="AP158" s="23">
        <f>+'QTR Raw'!J85</f>
        <v>0</v>
      </c>
      <c r="AQ158" s="23">
        <f t="shared" si="1210"/>
        <v>0</v>
      </c>
      <c r="AR158" s="23">
        <f>+'QTR Raw'!L85</f>
        <v>0</v>
      </c>
      <c r="AS158" s="23">
        <f t="shared" si="1210"/>
        <v>0</v>
      </c>
      <c r="AT158" s="23">
        <f>+'QTR Raw'!N85</f>
        <v>0</v>
      </c>
      <c r="AU158" s="23">
        <f t="shared" si="1210"/>
        <v>0</v>
      </c>
      <c r="AV158" s="23">
        <f>+'QTR Raw'!P85</f>
        <v>0</v>
      </c>
      <c r="AW158" s="23">
        <f t="shared" si="1210"/>
        <v>0</v>
      </c>
      <c r="AX158" s="23">
        <f>+'QTR Raw'!R85</f>
        <v>0</v>
      </c>
      <c r="AY158" s="23">
        <f t="shared" si="1210"/>
        <v>0</v>
      </c>
      <c r="AZ158" s="23">
        <f>+'QTR Raw'!T85</f>
        <v>0</v>
      </c>
      <c r="BA158" s="23">
        <f t="shared" si="1210"/>
        <v>0</v>
      </c>
      <c r="BB158" s="23">
        <f>+'QTR Raw'!V85</f>
        <v>0</v>
      </c>
      <c r="BC158" s="23">
        <f t="shared" si="1210"/>
        <v>0</v>
      </c>
      <c r="BD158" s="23">
        <f>+'QTR Raw'!X85</f>
        <v>0</v>
      </c>
      <c r="BE158" s="23">
        <f t="shared" si="1210"/>
        <v>0</v>
      </c>
      <c r="BF158" s="23">
        <f>+'QTR Raw'!Z85</f>
        <v>0</v>
      </c>
      <c r="BG158" s="23">
        <f t="shared" si="1210"/>
        <v>0</v>
      </c>
      <c r="BH158" s="23">
        <f>+'QTR Raw'!AB85</f>
        <v>0</v>
      </c>
      <c r="BI158" s="23">
        <f t="shared" si="1210"/>
        <v>0</v>
      </c>
      <c r="BJ158" s="23">
        <f>+'QTR Raw'!AD85</f>
        <v>0</v>
      </c>
      <c r="BK158" s="23">
        <f t="shared" si="1210"/>
        <v>0</v>
      </c>
      <c r="BL158" s="23">
        <f>+'QTR Raw'!AF85</f>
        <v>0</v>
      </c>
      <c r="BM158" s="23">
        <f t="shared" si="1210"/>
        <v>0</v>
      </c>
      <c r="BN158" s="23">
        <f>+'QTR Raw'!AH85</f>
        <v>0</v>
      </c>
      <c r="BO158" s="23">
        <f t="shared" si="1210"/>
        <v>0</v>
      </c>
      <c r="BP158" s="23">
        <f>+'QTR Raw'!AJ85</f>
        <v>0</v>
      </c>
      <c r="BQ158" s="23">
        <f t="shared" si="1210"/>
        <v>0</v>
      </c>
      <c r="BR158" s="23">
        <f>+'QTR Raw'!AL85</f>
        <v>0</v>
      </c>
      <c r="BS158" s="23">
        <f t="shared" si="1210"/>
        <v>0</v>
      </c>
      <c r="BT158" s="23">
        <f>+'QTR Raw'!AN85</f>
        <v>0</v>
      </c>
      <c r="BU158" s="23">
        <f t="shared" si="1210"/>
        <v>0</v>
      </c>
      <c r="BV158" s="23">
        <f>+'QTR Raw'!AP85</f>
        <v>0</v>
      </c>
      <c r="BW158" s="23">
        <f t="shared" si="1210"/>
        <v>0</v>
      </c>
      <c r="BX158" s="23">
        <f>+'QTR Raw'!AR85</f>
        <v>0</v>
      </c>
      <c r="BY158" s="23">
        <f t="shared" si="1210"/>
        <v>0</v>
      </c>
      <c r="BZ158" s="23">
        <f>+'QTR Raw'!AT85</f>
        <v>0</v>
      </c>
      <c r="CA158" s="23">
        <f t="shared" si="1210"/>
        <v>0</v>
      </c>
      <c r="CB158" s="23">
        <f>+'QTR Raw'!AV85</f>
        <v>0</v>
      </c>
      <c r="CC158" s="23">
        <f t="shared" si="1210"/>
        <v>0</v>
      </c>
      <c r="CD158" s="23">
        <f>+'QTR Raw'!AX85</f>
        <v>0</v>
      </c>
      <c r="CE158" s="23">
        <f t="shared" si="1210"/>
        <v>0</v>
      </c>
      <c r="CF158" s="23">
        <f>+'QTR Raw'!AZ85</f>
        <v>0</v>
      </c>
      <c r="CG158" s="23">
        <f t="shared" si="1213"/>
        <v>0</v>
      </c>
      <c r="CH158" s="23">
        <f t="shared" si="1188"/>
        <v>136.94</v>
      </c>
      <c r="CJ158" s="23">
        <f>+'QTR Raw'!BD85</f>
        <v>0</v>
      </c>
      <c r="CL158" s="23">
        <f>+'QTR Raw'!BF85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2" customFormat="1" x14ac:dyDescent="0.2">
      <c r="A159" s="22" t="s">
        <v>65</v>
      </c>
      <c r="B159" s="22">
        <f>SUM(B153:B158)</f>
        <v>0</v>
      </c>
      <c r="C159" s="22">
        <f t="shared" ref="C159:V159" si="1215">SUM(C153:C158)</f>
        <v>0</v>
      </c>
      <c r="D159" s="22">
        <f t="shared" si="1215"/>
        <v>0</v>
      </c>
      <c r="E159" s="22">
        <f t="shared" si="1215"/>
        <v>0</v>
      </c>
      <c r="F159" s="22">
        <f t="shared" si="1215"/>
        <v>41.454778199999993</v>
      </c>
      <c r="G159" s="22">
        <f t="shared" si="1215"/>
        <v>49.733789199999997</v>
      </c>
      <c r="H159" s="22">
        <f t="shared" si="1215"/>
        <v>78.171416100000002</v>
      </c>
      <c r="I159" s="22">
        <f t="shared" si="1215"/>
        <v>119.93868439999999</v>
      </c>
      <c r="J159" s="22">
        <f t="shared" si="1215"/>
        <v>135.1573564</v>
      </c>
      <c r="K159" s="22">
        <f t="shared" si="1215"/>
        <v>146.36833840000003</v>
      </c>
      <c r="L159" s="22">
        <f>SUM(L153:L158)</f>
        <v>223.7624036</v>
      </c>
      <c r="M159" s="22">
        <f>SUM(M153:M158)</f>
        <v>330.89828489999996</v>
      </c>
      <c r="N159" s="22">
        <f t="shared" si="1215"/>
        <v>294.27999999999997</v>
      </c>
      <c r="O159" s="22">
        <f t="shared" si="1215"/>
        <v>371.38300000000004</v>
      </c>
      <c r="P159" s="22">
        <f t="shared" si="1215"/>
        <v>369.59399999999999</v>
      </c>
      <c r="Q159" s="22">
        <f t="shared" si="1215"/>
        <v>419.82300000000004</v>
      </c>
      <c r="R159" s="22">
        <f t="shared" si="1215"/>
        <v>533.49800000000005</v>
      </c>
      <c r="S159" s="22">
        <f t="shared" si="1215"/>
        <v>607.61</v>
      </c>
      <c r="T159" s="22">
        <f t="shared" si="1215"/>
        <v>615.45800000000008</v>
      </c>
      <c r="U159" s="22">
        <f t="shared" si="1215"/>
        <v>597.82999999999993</v>
      </c>
      <c r="V159" s="22">
        <f t="shared" si="1215"/>
        <v>760.52</v>
      </c>
      <c r="W159" s="22">
        <f t="shared" ref="W159" si="1216">SUM(W153:W158)</f>
        <v>1042.8899999999999</v>
      </c>
      <c r="X159" s="22">
        <f t="shared" ref="X159:Y159" si="1217">SUM(X153:X158)</f>
        <v>1535.4399999999998</v>
      </c>
      <c r="Y159" s="22">
        <f t="shared" si="1217"/>
        <v>1872.93</v>
      </c>
      <c r="Z159" s="22">
        <f t="shared" ref="Z159:AA159" si="1218">SUM(Z153:Z158)</f>
        <v>2967.0099999999998</v>
      </c>
      <c r="AA159" s="22">
        <f t="shared" si="1218"/>
        <v>3727.33</v>
      </c>
      <c r="AB159" s="21">
        <f t="shared" ref="AA159:AD159" si="1219">SUM(AB153:AB158)</f>
        <v>4953.3686000000007</v>
      </c>
      <c r="AC159" s="21">
        <f t="shared" si="1219"/>
        <v>5844.9749480000009</v>
      </c>
      <c r="AD159" s="21">
        <f t="shared" si="1219"/>
        <v>6897.0704386400012</v>
      </c>
      <c r="AE159" s="21">
        <f t="shared" ref="AE159" si="1220">SUM(AE153:AE158)</f>
        <v>8138.5431175951999</v>
      </c>
      <c r="AJ159" s="22">
        <f t="shared" ref="AJ159" si="1221">SUM(AJ153:AJ158)</f>
        <v>0</v>
      </c>
      <c r="AK159" s="22" t="e">
        <f t="shared" ref="AK159" si="1222">SUM(AK153:AK158)</f>
        <v>#DIV/0!</v>
      </c>
      <c r="AL159" s="22">
        <f t="shared" ref="AL159:AM159" si="1223">SUM(AL153:AL158)</f>
        <v>0</v>
      </c>
      <c r="AM159" s="22" t="e">
        <f t="shared" si="1223"/>
        <v>#DIV/0!</v>
      </c>
      <c r="AN159" s="22">
        <f t="shared" ref="AN159:AO159" si="1224">SUM(AN153:AN158)</f>
        <v>0</v>
      </c>
      <c r="AO159" s="22" t="e">
        <f t="shared" si="1224"/>
        <v>#DIV/0!</v>
      </c>
      <c r="AP159" s="22">
        <f t="shared" ref="AP159:CE159" si="1225">SUM(AP153:AP158)</f>
        <v>0</v>
      </c>
      <c r="AQ159" s="22" t="e">
        <f t="shared" si="1225"/>
        <v>#DIV/0!</v>
      </c>
      <c r="AR159" s="22">
        <f t="shared" si="1225"/>
        <v>0</v>
      </c>
      <c r="AS159" s="22" t="e">
        <f t="shared" si="1225"/>
        <v>#DIV/0!</v>
      </c>
      <c r="AT159" s="22">
        <f t="shared" si="1225"/>
        <v>0</v>
      </c>
      <c r="AU159" s="22" t="e">
        <f t="shared" si="1225"/>
        <v>#DIV/0!</v>
      </c>
      <c r="AV159" s="22">
        <f t="shared" si="1225"/>
        <v>0</v>
      </c>
      <c r="AW159" s="22" t="e">
        <f t="shared" si="1225"/>
        <v>#DIV/0!</v>
      </c>
      <c r="AX159" s="22">
        <f t="shared" si="1225"/>
        <v>0</v>
      </c>
      <c r="AY159" s="22" t="e">
        <f t="shared" si="1225"/>
        <v>#DIV/0!</v>
      </c>
      <c r="AZ159" s="22">
        <f t="shared" si="1225"/>
        <v>0</v>
      </c>
      <c r="BA159" s="22" t="e">
        <f t="shared" si="1225"/>
        <v>#DIV/0!</v>
      </c>
      <c r="BB159" s="22">
        <f t="shared" si="1225"/>
        <v>0</v>
      </c>
      <c r="BC159" s="22" t="e">
        <f t="shared" si="1225"/>
        <v>#DIV/0!</v>
      </c>
      <c r="BD159" s="22">
        <f t="shared" si="1225"/>
        <v>0</v>
      </c>
      <c r="BE159" s="22" t="e">
        <f t="shared" si="1225"/>
        <v>#DIV/0!</v>
      </c>
      <c r="BF159" s="22">
        <f t="shared" si="1225"/>
        <v>0</v>
      </c>
      <c r="BG159" s="22" t="e">
        <f t="shared" si="1225"/>
        <v>#DIV/0!</v>
      </c>
      <c r="BH159" s="22">
        <f t="shared" si="1225"/>
        <v>0</v>
      </c>
      <c r="BI159" s="22" t="e">
        <f t="shared" si="1225"/>
        <v>#DIV/0!</v>
      </c>
      <c r="BJ159" s="22">
        <f t="shared" si="1225"/>
        <v>0</v>
      </c>
      <c r="BK159" s="22" t="e">
        <f t="shared" si="1225"/>
        <v>#DIV/0!</v>
      </c>
      <c r="BL159" s="22">
        <f t="shared" si="1225"/>
        <v>0</v>
      </c>
      <c r="BM159" s="22" t="e">
        <f t="shared" si="1225"/>
        <v>#DIV/0!</v>
      </c>
      <c r="BN159" s="22">
        <f t="shared" si="1225"/>
        <v>706.3</v>
      </c>
      <c r="BO159" s="22">
        <f t="shared" si="1225"/>
        <v>439.79720014353632</v>
      </c>
      <c r="BP159" s="22">
        <f t="shared" si="1225"/>
        <v>0</v>
      </c>
      <c r="BQ159" s="22">
        <f t="shared" si="1225"/>
        <v>0</v>
      </c>
      <c r="BR159" s="22">
        <f t="shared" si="1225"/>
        <v>843.95</v>
      </c>
      <c r="BS159" s="22">
        <f t="shared" si="1225"/>
        <v>721.58637966341507</v>
      </c>
      <c r="BT159" s="22">
        <f t="shared" si="1225"/>
        <v>923.56</v>
      </c>
      <c r="BU159" s="22">
        <f t="shared" si="1225"/>
        <v>902.56066198490396</v>
      </c>
      <c r="BV159" s="22">
        <f t="shared" si="1225"/>
        <v>1128.71</v>
      </c>
      <c r="BW159" s="22">
        <f t="shared" si="1225"/>
        <v>1157.2174082872677</v>
      </c>
      <c r="BX159" s="22">
        <f t="shared" si="1225"/>
        <v>1238.5899999999999</v>
      </c>
      <c r="BY159" s="22">
        <f t="shared" si="1225"/>
        <v>1203.3089105173658</v>
      </c>
      <c r="BZ159" s="22">
        <f t="shared" si="1225"/>
        <v>1627.3999999999999</v>
      </c>
      <c r="CA159" s="22">
        <f t="shared" si="1225"/>
        <v>1707.4928608586554</v>
      </c>
      <c r="CB159" s="22">
        <f t="shared" si="1225"/>
        <v>1904.72</v>
      </c>
      <c r="CC159" s="22">
        <f t="shared" si="1225"/>
        <v>1838.529891947823</v>
      </c>
      <c r="CD159" s="22">
        <f t="shared" si="1225"/>
        <v>2111.8900000000003</v>
      </c>
      <c r="CE159" s="22">
        <f t="shared" si="1225"/>
        <v>2178.9825529701275</v>
      </c>
      <c r="CF159" s="22">
        <f t="shared" ref="CF159:CG159" si="1226">SUM(CF153:CF158)</f>
        <v>2496.2399999999998</v>
      </c>
      <c r="CG159" s="22">
        <f t="shared" si="1226"/>
        <v>3023.306661229869</v>
      </c>
      <c r="CH159" s="22">
        <f t="shared" ref="CH159:CI159" si="1227">SUM(CH153:CH158)</f>
        <v>2967.0099999999998</v>
      </c>
      <c r="CI159" s="22">
        <f t="shared" si="1227"/>
        <v>3025.9516021151921</v>
      </c>
      <c r="CJ159" s="22">
        <f t="shared" ref="CJ159:DB159" si="1228">SUM(CJ153:CJ158)</f>
        <v>4032.4900000000002</v>
      </c>
      <c r="CK159" s="22">
        <f t="shared" si="1228"/>
        <v>4144.6854886365345</v>
      </c>
      <c r="CL159" s="22">
        <f t="shared" ref="CL159" si="1229">SUM(CL153:CL158)</f>
        <v>4197.7700000000004</v>
      </c>
      <c r="CM159" s="21">
        <f t="shared" si="1228"/>
        <v>3969.1023995688101</v>
      </c>
      <c r="CN159" s="21">
        <f t="shared" si="1228"/>
        <v>4453.203851991555</v>
      </c>
      <c r="CO159" s="21">
        <f t="shared" si="1228"/>
        <v>4577.1048119870647</v>
      </c>
      <c r="CP159" s="21">
        <f t="shared" si="1228"/>
        <v>4953.3686000000007</v>
      </c>
      <c r="CQ159" s="21">
        <f t="shared" si="1228"/>
        <v>4683.5408314911965</v>
      </c>
      <c r="CR159" s="21">
        <f t="shared" si="1228"/>
        <v>5254.7805453500359</v>
      </c>
      <c r="CS159" s="21">
        <f t="shared" si="1228"/>
        <v>5400.9836781447366</v>
      </c>
      <c r="CT159" s="21">
        <f t="shared" si="1228"/>
        <v>5844.9749480000009</v>
      </c>
      <c r="CU159" s="21">
        <f t="shared" si="1228"/>
        <v>5526.5781811596125</v>
      </c>
      <c r="CV159" s="21">
        <f t="shared" si="1228"/>
        <v>6200.6410435130429</v>
      </c>
      <c r="CW159" s="21">
        <f t="shared" si="1228"/>
        <v>6373.1607402107893</v>
      </c>
      <c r="CX159" s="21">
        <f t="shared" si="1228"/>
        <v>6897.0704386400012</v>
      </c>
      <c r="CY159" s="21">
        <f t="shared" si="1228"/>
        <v>6521.3622537683432</v>
      </c>
      <c r="CZ159" s="21">
        <f t="shared" si="1228"/>
        <v>7316.7564313453913</v>
      </c>
      <c r="DA159" s="21">
        <f t="shared" si="1228"/>
        <v>7520.3296734487321</v>
      </c>
      <c r="DB159" s="21">
        <f t="shared" si="1228"/>
        <v>8138.5431175951999</v>
      </c>
      <c r="DE159" s="126"/>
      <c r="DF159" s="22">
        <v>4228.9378738902569</v>
      </c>
    </row>
    <row r="160" spans="1:110" s="23" customFormat="1" outlineLevel="1" x14ac:dyDescent="0.2">
      <c r="A160" s="23" t="s">
        <v>66</v>
      </c>
      <c r="B160" s="23">
        <f>'Annual Raw'!C50+'Annual Raw'!C58</f>
        <v>0</v>
      </c>
      <c r="C160" s="23">
        <f>'Annual Raw'!D50+'Annual Raw'!D58</f>
        <v>0</v>
      </c>
      <c r="D160" s="23">
        <f>'Annual Raw'!E50+'Annual Raw'!E58</f>
        <v>0</v>
      </c>
      <c r="E160" s="23">
        <f>'Annual Raw'!F50+'Annual Raw'!F58</f>
        <v>0</v>
      </c>
      <c r="F160" s="23">
        <f>'Annual Raw'!G50+'Annual Raw'!G58</f>
        <v>0</v>
      </c>
      <c r="G160" s="23">
        <f>'Annual Raw'!H50+'Annual Raw'!H58</f>
        <v>0</v>
      </c>
      <c r="H160" s="23">
        <f>'Annual Raw'!I50+'Annual Raw'!I58</f>
        <v>0</v>
      </c>
      <c r="I160" s="23">
        <f>'Annual Raw'!J50+'Annual Raw'!J58</f>
        <v>0</v>
      </c>
      <c r="J160" s="23">
        <f>'Annual Raw'!K50+'Annual Raw'!K58</f>
        <v>0</v>
      </c>
      <c r="K160" s="23">
        <f>'Annual Raw'!L50+'Annual Raw'!L58</f>
        <v>0</v>
      </c>
      <c r="L160" s="23">
        <f>'Annual Raw'!M50+'Annual Raw'!M58</f>
        <v>0.21876590000000001</v>
      </c>
      <c r="M160" s="23">
        <f>'Annual Raw'!N50+'Annual Raw'!N58</f>
        <v>0.89324400000000004</v>
      </c>
      <c r="N160" s="23">
        <f>'Annual Raw'!O50+'Annual Raw'!O58</f>
        <v>7.46</v>
      </c>
      <c r="O160" s="23">
        <f>'Annual Raw'!P50+'Annual Raw'!P58</f>
        <v>6.4260000000000002</v>
      </c>
      <c r="P160" s="23">
        <f>'Annual Raw'!Q50+'Annual Raw'!Q58</f>
        <v>6.1059999999999999</v>
      </c>
      <c r="Q160" s="23">
        <f>'Annual Raw'!R50+'Annual Raw'!R58</f>
        <v>2.7919999999999998</v>
      </c>
      <c r="R160" s="23">
        <f>'Annual Raw'!S50+'Annual Raw'!S58</f>
        <v>1.0209999999999999</v>
      </c>
      <c r="S160" s="23">
        <f>'Annual Raw'!T50+'Annual Raw'!T58</f>
        <v>0.64</v>
      </c>
      <c r="T160" s="23">
        <f>'Annual Raw'!U50+'Annual Raw'!U58</f>
        <v>91.253</v>
      </c>
      <c r="U160" s="23">
        <f>'Annual Raw'!V50+'Annual Raw'!V58</f>
        <v>108.36</v>
      </c>
      <c r="V160" s="23">
        <f>'Annual Raw'!W50+'Annual Raw'!W58</f>
        <v>92.07</v>
      </c>
      <c r="W160" s="23">
        <f>'Annual Raw'!X50+'Annual Raw'!X58</f>
        <v>70.400000000000006</v>
      </c>
      <c r="X160" s="23">
        <f>'Annual Raw'!Y50+'Annual Raw'!Y58</f>
        <v>79.16</v>
      </c>
      <c r="Y160" s="23">
        <f>'Annual Raw'!Z50+'Annual Raw'!Z58</f>
        <v>166.97</v>
      </c>
      <c r="Z160" s="23">
        <f>'Annual Raw'!AA50+'Annual Raw'!AA58</f>
        <v>210.69</v>
      </c>
      <c r="AA160" s="23">
        <f>'Annual Raw'!AB50+'Annual Raw'!AB58</f>
        <v>216.04</v>
      </c>
      <c r="AB160" s="24">
        <f t="shared" ref="AB160:AB166" si="1230">+CP160</f>
        <v>0</v>
      </c>
      <c r="AC160" s="24">
        <f t="shared" ref="AC160:AC166" si="1231">+CT160</f>
        <v>0</v>
      </c>
      <c r="AD160" s="24">
        <f t="shared" ref="AD160:AD166" si="1232">+CX160</f>
        <v>0</v>
      </c>
      <c r="AE160" s="24">
        <f t="shared" ref="AE160:AE166" si="1233">+DB160</f>
        <v>0</v>
      </c>
      <c r="AJ160" s="23">
        <f>+'QTR Raw'!D64</f>
        <v>0</v>
      </c>
      <c r="AK160" s="23">
        <f t="shared" ref="AK160:CE166" si="1234">+AJ160</f>
        <v>0</v>
      </c>
      <c r="AL160" s="23">
        <f>+'QTR Raw'!F64</f>
        <v>0</v>
      </c>
      <c r="AM160" s="23">
        <f t="shared" si="1234"/>
        <v>0</v>
      </c>
      <c r="AN160" s="23">
        <f>+'QTR Raw'!H64</f>
        <v>0</v>
      </c>
      <c r="AO160" s="23">
        <f t="shared" si="1234"/>
        <v>0</v>
      </c>
      <c r="AP160" s="23">
        <f>+'QTR Raw'!J64</f>
        <v>0</v>
      </c>
      <c r="AQ160" s="23">
        <f t="shared" si="1234"/>
        <v>0</v>
      </c>
      <c r="AR160" s="23">
        <f>+'QTR Raw'!L64</f>
        <v>0</v>
      </c>
      <c r="AS160" s="23">
        <f t="shared" si="1234"/>
        <v>0</v>
      </c>
      <c r="AT160" s="23">
        <f>+'QTR Raw'!N64</f>
        <v>0</v>
      </c>
      <c r="AU160" s="23">
        <f t="shared" si="1234"/>
        <v>0</v>
      </c>
      <c r="AV160" s="23">
        <f>+'QTR Raw'!P64</f>
        <v>0</v>
      </c>
      <c r="AW160" s="23">
        <f t="shared" si="1234"/>
        <v>0</v>
      </c>
      <c r="AX160" s="23">
        <f>+'QTR Raw'!R64</f>
        <v>0</v>
      </c>
      <c r="AY160" s="23">
        <f t="shared" si="1234"/>
        <v>0</v>
      </c>
      <c r="AZ160" s="23">
        <f>+'QTR Raw'!T64</f>
        <v>0</v>
      </c>
      <c r="BA160" s="23">
        <f t="shared" si="1234"/>
        <v>0</v>
      </c>
      <c r="BB160" s="23">
        <f>+'QTR Raw'!V64</f>
        <v>0</v>
      </c>
      <c r="BC160" s="23">
        <f t="shared" si="1234"/>
        <v>0</v>
      </c>
      <c r="BD160" s="23">
        <f>+'QTR Raw'!X64</f>
        <v>0</v>
      </c>
      <c r="BE160" s="23">
        <f t="shared" si="1234"/>
        <v>0</v>
      </c>
      <c r="BF160" s="23">
        <f>+'QTR Raw'!Z64</f>
        <v>0</v>
      </c>
      <c r="BG160" s="23">
        <f t="shared" si="1234"/>
        <v>0</v>
      </c>
      <c r="BH160" s="23">
        <f>+'QTR Raw'!AB64</f>
        <v>0</v>
      </c>
      <c r="BI160" s="23">
        <f t="shared" si="1234"/>
        <v>0</v>
      </c>
      <c r="BJ160" s="23">
        <f>+'QTR Raw'!AD64</f>
        <v>0</v>
      </c>
      <c r="BK160" s="23">
        <f t="shared" si="1234"/>
        <v>0</v>
      </c>
      <c r="BL160" s="23">
        <f>+'QTR Raw'!AF64</f>
        <v>0</v>
      </c>
      <c r="BM160" s="23">
        <f t="shared" si="1234"/>
        <v>0</v>
      </c>
      <c r="BN160" s="23">
        <f>+'QTR Raw'!AH64</f>
        <v>108.36</v>
      </c>
      <c r="BO160" s="23">
        <f t="shared" si="1234"/>
        <v>108.36</v>
      </c>
      <c r="BP160" s="23">
        <f>+'QTR Raw'!AJ64</f>
        <v>0</v>
      </c>
      <c r="BQ160" s="23">
        <f t="shared" si="1234"/>
        <v>0</v>
      </c>
      <c r="BR160" s="23">
        <f>+'QTR Raw'!AL64</f>
        <v>92.07</v>
      </c>
      <c r="BS160" s="23">
        <f t="shared" si="1234"/>
        <v>92.07</v>
      </c>
      <c r="BT160" s="23">
        <f>+'QTR Raw'!AN64</f>
        <v>80.989999999999995</v>
      </c>
      <c r="BU160" s="23">
        <f t="shared" si="1234"/>
        <v>80.989999999999995</v>
      </c>
      <c r="BV160" s="23">
        <f>+'QTR Raw'!AP64</f>
        <v>70.400000000000006</v>
      </c>
      <c r="BW160" s="23">
        <f t="shared" si="1234"/>
        <v>70.400000000000006</v>
      </c>
      <c r="BX160" s="23">
        <f>+'QTR Raw'!AR64</f>
        <v>74.17</v>
      </c>
      <c r="BY160" s="23">
        <f t="shared" si="1234"/>
        <v>74.17</v>
      </c>
      <c r="BZ160" s="23">
        <f>+'QTR Raw'!AT64</f>
        <v>79.16</v>
      </c>
      <c r="CA160" s="23">
        <f t="shared" si="1234"/>
        <v>79.16</v>
      </c>
      <c r="CB160" s="23">
        <f>+'QTR Raw'!AV64</f>
        <v>112.4</v>
      </c>
      <c r="CC160" s="23">
        <f t="shared" si="1234"/>
        <v>112.4</v>
      </c>
      <c r="CD160" s="23">
        <f>+'QTR Raw'!AX64</f>
        <v>166.97</v>
      </c>
      <c r="CE160" s="23">
        <f t="shared" si="1234"/>
        <v>166.97</v>
      </c>
      <c r="CF160" s="23">
        <f>+'QTR Raw'!AZ64</f>
        <v>160.91999999999999</v>
      </c>
      <c r="CG160" s="23">
        <f t="shared" ref="CG160:CG163" si="1235">+CF160</f>
        <v>160.91999999999999</v>
      </c>
      <c r="CH160" s="23">
        <f t="shared" si="1188"/>
        <v>210.69</v>
      </c>
      <c r="CJ160" s="23">
        <f>+'QTR Raw'!BD64</f>
        <v>204.42</v>
      </c>
      <c r="CL160" s="23">
        <f>+'QTR Raw'!BF64</f>
        <v>216.04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216.04</v>
      </c>
    </row>
    <row r="161" spans="1:110" s="23" customFormat="1" outlineLevel="1" x14ac:dyDescent="0.2">
      <c r="A161" s="23" t="s">
        <v>67</v>
      </c>
      <c r="B161" s="23">
        <f>'Annual Raw'!C51</f>
        <v>0</v>
      </c>
      <c r="C161" s="23">
        <f>'Annual Raw'!D51</f>
        <v>0</v>
      </c>
      <c r="D161" s="23">
        <f>'Annual Raw'!E51</f>
        <v>0</v>
      </c>
      <c r="E161" s="23">
        <f>'Annual Raw'!F51</f>
        <v>0</v>
      </c>
      <c r="F161" s="23">
        <f>'Annual Raw'!G51</f>
        <v>0</v>
      </c>
      <c r="G161" s="23">
        <f>'Annual Raw'!H51</f>
        <v>0</v>
      </c>
      <c r="H161" s="23">
        <f>'Annual Raw'!I51</f>
        <v>0</v>
      </c>
      <c r="I161" s="23">
        <f>'Annual Raw'!J51</f>
        <v>0</v>
      </c>
      <c r="J161" s="23">
        <f>'Annual Raw'!K51</f>
        <v>0</v>
      </c>
      <c r="K161" s="23">
        <f>'Annual Raw'!L51</f>
        <v>0</v>
      </c>
      <c r="L161" s="23">
        <f>'Annual Raw'!M51</f>
        <v>0</v>
      </c>
      <c r="M161" s="23">
        <f>'Annual Raw'!N51</f>
        <v>0</v>
      </c>
      <c r="N161" s="23">
        <f>'Annual Raw'!O51</f>
        <v>0</v>
      </c>
      <c r="O161" s="23">
        <f>'Annual Raw'!P51</f>
        <v>0</v>
      </c>
      <c r="P161" s="23">
        <f>'Annual Raw'!Q51</f>
        <v>0</v>
      </c>
      <c r="Q161" s="23">
        <f>'Annual Raw'!R51</f>
        <v>0</v>
      </c>
      <c r="R161" s="23">
        <f>'Annual Raw'!S51</f>
        <v>0</v>
      </c>
      <c r="S161" s="23">
        <f>'Annual Raw'!T51</f>
        <v>0</v>
      </c>
      <c r="T161" s="23">
        <f>'Annual Raw'!U51</f>
        <v>0</v>
      </c>
      <c r="U161" s="23">
        <f>'Annual Raw'!V51</f>
        <v>0</v>
      </c>
      <c r="V161" s="23">
        <f>'Annual Raw'!W51</f>
        <v>0</v>
      </c>
      <c r="W161" s="23">
        <f>'Annual Raw'!X51</f>
        <v>0</v>
      </c>
      <c r="X161" s="23">
        <f>'Annual Raw'!Y51</f>
        <v>0</v>
      </c>
      <c r="Y161" s="23">
        <f>'Annual Raw'!Z51</f>
        <v>0</v>
      </c>
      <c r="Z161" s="23">
        <f>'Annual Raw'!AA51</f>
        <v>0</v>
      </c>
      <c r="AA161" s="23">
        <f>'Annual Raw'!AB51</f>
        <v>0</v>
      </c>
      <c r="AB161" s="24">
        <f t="shared" si="1230"/>
        <v>0</v>
      </c>
      <c r="AC161" s="24">
        <f t="shared" si="1231"/>
        <v>0</v>
      </c>
      <c r="AD161" s="24">
        <f t="shared" si="1232"/>
        <v>0</v>
      </c>
      <c r="AE161" s="24">
        <f t="shared" si="1233"/>
        <v>0</v>
      </c>
      <c r="AJ161" s="23">
        <f>+'QTR Raw'!D65</f>
        <v>0</v>
      </c>
      <c r="AK161" s="23">
        <f t="shared" si="1234"/>
        <v>0</v>
      </c>
      <c r="AL161" s="23">
        <f>+'QTR Raw'!F65</f>
        <v>0</v>
      </c>
      <c r="AM161" s="23">
        <f t="shared" si="1234"/>
        <v>0</v>
      </c>
      <c r="AN161" s="23">
        <f>+'QTR Raw'!H65</f>
        <v>0</v>
      </c>
      <c r="AO161" s="23">
        <f t="shared" si="1234"/>
        <v>0</v>
      </c>
      <c r="AP161" s="23">
        <f>+'QTR Raw'!J65</f>
        <v>0</v>
      </c>
      <c r="AQ161" s="23">
        <f t="shared" si="1234"/>
        <v>0</v>
      </c>
      <c r="AR161" s="23">
        <f>+'QTR Raw'!L65</f>
        <v>0</v>
      </c>
      <c r="AS161" s="23">
        <f t="shared" si="1234"/>
        <v>0</v>
      </c>
      <c r="AT161" s="23">
        <f>+'QTR Raw'!N65</f>
        <v>0</v>
      </c>
      <c r="AU161" s="23">
        <f t="shared" si="1234"/>
        <v>0</v>
      </c>
      <c r="AV161" s="23">
        <f>+'QTR Raw'!P65</f>
        <v>0</v>
      </c>
      <c r="AW161" s="23">
        <f t="shared" si="1234"/>
        <v>0</v>
      </c>
      <c r="AX161" s="23">
        <f>+'QTR Raw'!R65</f>
        <v>0</v>
      </c>
      <c r="AY161" s="23">
        <f t="shared" si="1234"/>
        <v>0</v>
      </c>
      <c r="AZ161" s="23">
        <f>+'QTR Raw'!T65</f>
        <v>0</v>
      </c>
      <c r="BA161" s="23">
        <f t="shared" si="1234"/>
        <v>0</v>
      </c>
      <c r="BB161" s="23">
        <f>+'QTR Raw'!V65</f>
        <v>0</v>
      </c>
      <c r="BC161" s="23">
        <f t="shared" si="1234"/>
        <v>0</v>
      </c>
      <c r="BD161" s="23">
        <f>+'QTR Raw'!X65</f>
        <v>0</v>
      </c>
      <c r="BE161" s="23">
        <f t="shared" si="1234"/>
        <v>0</v>
      </c>
      <c r="BF161" s="23">
        <f>+'QTR Raw'!Z65</f>
        <v>0</v>
      </c>
      <c r="BG161" s="23">
        <f t="shared" si="1234"/>
        <v>0</v>
      </c>
      <c r="BH161" s="23">
        <f>+'QTR Raw'!AB65</f>
        <v>0</v>
      </c>
      <c r="BI161" s="23">
        <f t="shared" si="1234"/>
        <v>0</v>
      </c>
      <c r="BJ161" s="23">
        <f>+'QTR Raw'!AD65</f>
        <v>0</v>
      </c>
      <c r="BK161" s="23">
        <f t="shared" si="1234"/>
        <v>0</v>
      </c>
      <c r="BL161" s="23">
        <f>+'QTR Raw'!AF65</f>
        <v>0</v>
      </c>
      <c r="BM161" s="23">
        <f t="shared" si="1234"/>
        <v>0</v>
      </c>
      <c r="BN161" s="23">
        <f>+'QTR Raw'!AH65</f>
        <v>0</v>
      </c>
      <c r="BO161" s="23">
        <f t="shared" si="1234"/>
        <v>0</v>
      </c>
      <c r="BP161" s="23">
        <f>+'QTR Raw'!AJ65</f>
        <v>0</v>
      </c>
      <c r="BQ161" s="23">
        <f t="shared" si="1234"/>
        <v>0</v>
      </c>
      <c r="BR161" s="23">
        <f>+'QTR Raw'!AL65</f>
        <v>0</v>
      </c>
      <c r="BS161" s="23">
        <f t="shared" si="1234"/>
        <v>0</v>
      </c>
      <c r="BT161" s="23">
        <f>+'QTR Raw'!AN65</f>
        <v>0</v>
      </c>
      <c r="BU161" s="23">
        <f t="shared" si="1234"/>
        <v>0</v>
      </c>
      <c r="BV161" s="23">
        <f>+'QTR Raw'!AP65</f>
        <v>0</v>
      </c>
      <c r="BW161" s="23">
        <f t="shared" si="1234"/>
        <v>0</v>
      </c>
      <c r="BX161" s="23">
        <f>+'QTR Raw'!AR65</f>
        <v>0</v>
      </c>
      <c r="BY161" s="23">
        <f t="shared" si="1234"/>
        <v>0</v>
      </c>
      <c r="BZ161" s="23">
        <f>+'QTR Raw'!AT65</f>
        <v>0</v>
      </c>
      <c r="CA161" s="23">
        <f t="shared" si="1234"/>
        <v>0</v>
      </c>
      <c r="CB161" s="23">
        <f>+'QTR Raw'!AV65</f>
        <v>0</v>
      </c>
      <c r="CC161" s="23">
        <f t="shared" si="1234"/>
        <v>0</v>
      </c>
      <c r="CD161" s="23">
        <f>+'QTR Raw'!AX65</f>
        <v>0</v>
      </c>
      <c r="CE161" s="23">
        <f t="shared" si="1234"/>
        <v>0</v>
      </c>
      <c r="CF161" s="23">
        <f>+'QTR Raw'!AZ65</f>
        <v>0</v>
      </c>
      <c r="CG161" s="23">
        <f t="shared" si="1235"/>
        <v>0</v>
      </c>
      <c r="CH161" s="23">
        <f t="shared" si="1188"/>
        <v>0</v>
      </c>
      <c r="CJ161" s="23">
        <f>+'QTR Raw'!BD65</f>
        <v>0</v>
      </c>
      <c r="CL161" s="23">
        <f>+'QTR Raw'!BF65</f>
        <v>0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0" s="23" customFormat="1" outlineLevel="1" x14ac:dyDescent="0.2">
      <c r="A162" s="23" t="s">
        <v>68</v>
      </c>
      <c r="B162" s="23">
        <f>'Annual Raw'!C52</f>
        <v>0</v>
      </c>
      <c r="C162" s="23">
        <f>'Annual Raw'!D52</f>
        <v>0</v>
      </c>
      <c r="D162" s="23">
        <f>'Annual Raw'!E52</f>
        <v>0</v>
      </c>
      <c r="E162" s="23">
        <f>'Annual Raw'!F52</f>
        <v>0</v>
      </c>
      <c r="F162" s="23">
        <f>'Annual Raw'!G52</f>
        <v>0</v>
      </c>
      <c r="G162" s="23">
        <f>'Annual Raw'!H52</f>
        <v>0</v>
      </c>
      <c r="H162" s="23">
        <f>'Annual Raw'!I52</f>
        <v>0</v>
      </c>
      <c r="I162" s="23">
        <f>'Annual Raw'!J52</f>
        <v>0</v>
      </c>
      <c r="J162" s="23">
        <f>'Annual Raw'!K52</f>
        <v>0</v>
      </c>
      <c r="K162" s="23">
        <f>'Annual Raw'!L52</f>
        <v>0</v>
      </c>
      <c r="L162" s="23">
        <f>'Annual Raw'!M52</f>
        <v>0</v>
      </c>
      <c r="M162" s="23">
        <f>'Annual Raw'!N52</f>
        <v>0</v>
      </c>
      <c r="N162" s="23">
        <f>'Annual Raw'!O52</f>
        <v>0.14499999999999999</v>
      </c>
      <c r="O162" s="23">
        <f>'Annual Raw'!P52</f>
        <v>0.154</v>
      </c>
      <c r="P162" s="23">
        <f>'Annual Raw'!Q52</f>
        <v>0.19</v>
      </c>
      <c r="Q162" s="23">
        <f>'Annual Raw'!R52</f>
        <v>0.17799999999999999</v>
      </c>
      <c r="R162" s="23">
        <f>'Annual Raw'!S52</f>
        <v>0.19900000000000001</v>
      </c>
      <c r="S162" s="23">
        <f>'Annual Raw'!T52</f>
        <v>0</v>
      </c>
      <c r="T162" s="23">
        <f>'Annual Raw'!U52</f>
        <v>0</v>
      </c>
      <c r="U162" s="23">
        <f>'Annual Raw'!V52</f>
        <v>0.68</v>
      </c>
      <c r="V162" s="23">
        <f>'Annual Raw'!W52</f>
        <v>0.21</v>
      </c>
      <c r="W162" s="23">
        <f>'Annual Raw'!X52</f>
        <v>0</v>
      </c>
      <c r="X162" s="23">
        <f>'Annual Raw'!Y52</f>
        <v>0</v>
      </c>
      <c r="Y162" s="23">
        <f>'Annual Raw'!Z52</f>
        <v>0</v>
      </c>
      <c r="Z162" s="23">
        <f>'Annual Raw'!AA52</f>
        <v>3.36</v>
      </c>
      <c r="AA162" s="23">
        <f>'Annual Raw'!AB52</f>
        <v>0</v>
      </c>
      <c r="AB162" s="24">
        <f t="shared" si="1230"/>
        <v>0</v>
      </c>
      <c r="AC162" s="24">
        <f t="shared" si="1231"/>
        <v>0</v>
      </c>
      <c r="AD162" s="24">
        <f t="shared" si="1232"/>
        <v>0</v>
      </c>
      <c r="AE162" s="24">
        <f t="shared" si="1233"/>
        <v>0</v>
      </c>
      <c r="AJ162" s="23">
        <f>+'QTR Raw'!D66</f>
        <v>0</v>
      </c>
      <c r="AK162" s="23">
        <f t="shared" si="1234"/>
        <v>0</v>
      </c>
      <c r="AL162" s="23">
        <f>+'QTR Raw'!F66</f>
        <v>0</v>
      </c>
      <c r="AM162" s="23">
        <f t="shared" si="1234"/>
        <v>0</v>
      </c>
      <c r="AN162" s="23">
        <f>+'QTR Raw'!H66</f>
        <v>0</v>
      </c>
      <c r="AO162" s="23">
        <f t="shared" si="1234"/>
        <v>0</v>
      </c>
      <c r="AP162" s="23">
        <f>+'QTR Raw'!J66</f>
        <v>0</v>
      </c>
      <c r="AQ162" s="23">
        <f t="shared" si="1234"/>
        <v>0</v>
      </c>
      <c r="AR162" s="23">
        <f>+'QTR Raw'!L66</f>
        <v>0</v>
      </c>
      <c r="AS162" s="23">
        <f t="shared" si="1234"/>
        <v>0</v>
      </c>
      <c r="AT162" s="23">
        <f>+'QTR Raw'!N66</f>
        <v>0</v>
      </c>
      <c r="AU162" s="23">
        <f t="shared" si="1234"/>
        <v>0</v>
      </c>
      <c r="AV162" s="23">
        <f>+'QTR Raw'!P66</f>
        <v>0</v>
      </c>
      <c r="AW162" s="23">
        <f t="shared" si="1234"/>
        <v>0</v>
      </c>
      <c r="AX162" s="23">
        <f>+'QTR Raw'!R66</f>
        <v>0</v>
      </c>
      <c r="AY162" s="23">
        <f t="shared" si="1234"/>
        <v>0</v>
      </c>
      <c r="AZ162" s="23">
        <f>+'QTR Raw'!T66</f>
        <v>0</v>
      </c>
      <c r="BA162" s="23">
        <f t="shared" si="1234"/>
        <v>0</v>
      </c>
      <c r="BB162" s="23">
        <f>+'QTR Raw'!V66</f>
        <v>0</v>
      </c>
      <c r="BC162" s="23">
        <f t="shared" si="1234"/>
        <v>0</v>
      </c>
      <c r="BD162" s="23">
        <f>+'QTR Raw'!X66</f>
        <v>0</v>
      </c>
      <c r="BE162" s="23">
        <f t="shared" si="1234"/>
        <v>0</v>
      </c>
      <c r="BF162" s="23">
        <f>+'QTR Raw'!Z66</f>
        <v>0</v>
      </c>
      <c r="BG162" s="23">
        <f t="shared" si="1234"/>
        <v>0</v>
      </c>
      <c r="BH162" s="23">
        <f>+'QTR Raw'!AB66</f>
        <v>0</v>
      </c>
      <c r="BI162" s="23">
        <f t="shared" si="1234"/>
        <v>0</v>
      </c>
      <c r="BJ162" s="23">
        <f>+'QTR Raw'!AD66</f>
        <v>0</v>
      </c>
      <c r="BK162" s="23">
        <f t="shared" si="1234"/>
        <v>0</v>
      </c>
      <c r="BL162" s="23">
        <f>+'QTR Raw'!AF66</f>
        <v>0</v>
      </c>
      <c r="BM162" s="23">
        <f t="shared" si="1234"/>
        <v>0</v>
      </c>
      <c r="BN162" s="23">
        <f>+'QTR Raw'!AH66</f>
        <v>0.68</v>
      </c>
      <c r="BO162" s="23">
        <f t="shared" si="1234"/>
        <v>0.68</v>
      </c>
      <c r="BP162" s="23">
        <f>+'QTR Raw'!AJ66</f>
        <v>0</v>
      </c>
      <c r="BQ162" s="23">
        <f t="shared" si="1234"/>
        <v>0</v>
      </c>
      <c r="BR162" s="23">
        <f>+'QTR Raw'!AL66</f>
        <v>0.21</v>
      </c>
      <c r="BS162" s="23">
        <f t="shared" si="1234"/>
        <v>0.21</v>
      </c>
      <c r="BT162" s="23">
        <f>+'QTR Raw'!AN66</f>
        <v>0</v>
      </c>
      <c r="BU162" s="23">
        <f t="shared" si="1234"/>
        <v>0</v>
      </c>
      <c r="BV162" s="23">
        <f>+'QTR Raw'!AP66</f>
        <v>0</v>
      </c>
      <c r="BW162" s="23">
        <f t="shared" si="1234"/>
        <v>0</v>
      </c>
      <c r="BX162" s="23">
        <f>+'QTR Raw'!AR66</f>
        <v>0</v>
      </c>
      <c r="BY162" s="23">
        <f t="shared" si="1234"/>
        <v>0</v>
      </c>
      <c r="BZ162" s="23">
        <f>+'QTR Raw'!AT66</f>
        <v>0</v>
      </c>
      <c r="CA162" s="23">
        <f t="shared" si="1234"/>
        <v>0</v>
      </c>
      <c r="CB162" s="23">
        <f>+'QTR Raw'!AV66</f>
        <v>0.46</v>
      </c>
      <c r="CC162" s="23">
        <f t="shared" si="1234"/>
        <v>0.46</v>
      </c>
      <c r="CD162" s="23">
        <f>+'QTR Raw'!AX66</f>
        <v>0</v>
      </c>
      <c r="CE162" s="23">
        <f t="shared" si="1234"/>
        <v>0</v>
      </c>
      <c r="CF162" s="23">
        <f>+'QTR Raw'!AZ66</f>
        <v>0</v>
      </c>
      <c r="CG162" s="23">
        <f t="shared" si="1235"/>
        <v>0</v>
      </c>
      <c r="CH162" s="23">
        <f t="shared" si="1188"/>
        <v>3.36</v>
      </c>
      <c r="CJ162" s="23">
        <f>+'QTR Raw'!BD66</f>
        <v>0</v>
      </c>
      <c r="CL162" s="23">
        <f>+'QTR Raw'!BF66</f>
        <v>0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0</v>
      </c>
    </row>
    <row r="163" spans="1:110" s="23" customFormat="1" outlineLevel="1" x14ac:dyDescent="0.2">
      <c r="A163" s="23" t="s">
        <v>69</v>
      </c>
      <c r="B163" s="23">
        <v>0</v>
      </c>
      <c r="C163" s="23">
        <v>0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4">
        <f t="shared" si="1230"/>
        <v>1051.616</v>
      </c>
      <c r="AC163" s="24">
        <f t="shared" si="1231"/>
        <v>1240.90688</v>
      </c>
      <c r="AD163" s="24">
        <f t="shared" si="1232"/>
        <v>1464.2701184</v>
      </c>
      <c r="AE163" s="24">
        <f t="shared" si="1233"/>
        <v>1727.8387397119998</v>
      </c>
      <c r="AJ163" s="23">
        <f>+'QTR Raw'!D87</f>
        <v>0</v>
      </c>
      <c r="AK163" s="23">
        <f t="shared" si="1234"/>
        <v>0</v>
      </c>
      <c r="AL163" s="23">
        <f>+'QTR Raw'!F87</f>
        <v>0</v>
      </c>
      <c r="AM163" s="23">
        <f t="shared" si="1234"/>
        <v>0</v>
      </c>
      <c r="AN163" s="23">
        <f>+'QTR Raw'!H87</f>
        <v>0</v>
      </c>
      <c r="AO163" s="23">
        <f t="shared" si="1234"/>
        <v>0</v>
      </c>
      <c r="AP163" s="23">
        <f>+'QTR Raw'!J87</f>
        <v>0</v>
      </c>
      <c r="AQ163" s="23">
        <f t="shared" si="1234"/>
        <v>0</v>
      </c>
      <c r="AR163" s="23">
        <f>+'QTR Raw'!L87</f>
        <v>0</v>
      </c>
      <c r="AS163" s="23">
        <f t="shared" si="1234"/>
        <v>0</v>
      </c>
      <c r="AT163" s="23">
        <f>+'QTR Raw'!N87</f>
        <v>0</v>
      </c>
      <c r="AU163" s="23">
        <f t="shared" si="1234"/>
        <v>0</v>
      </c>
      <c r="AV163" s="23">
        <f>+'QTR Raw'!P87</f>
        <v>0</v>
      </c>
      <c r="AW163" s="23">
        <f t="shared" si="1234"/>
        <v>0</v>
      </c>
      <c r="AX163" s="23">
        <f>+'QTR Raw'!R87</f>
        <v>0</v>
      </c>
      <c r="AY163" s="23">
        <f t="shared" si="1234"/>
        <v>0</v>
      </c>
      <c r="AZ163" s="23">
        <f>+'QTR Raw'!T87</f>
        <v>0</v>
      </c>
      <c r="BA163" s="23">
        <f t="shared" si="1234"/>
        <v>0</v>
      </c>
      <c r="BB163" s="23">
        <f>+'QTR Raw'!V87</f>
        <v>0</v>
      </c>
      <c r="BC163" s="23">
        <f t="shared" si="1234"/>
        <v>0</v>
      </c>
      <c r="BD163" s="23">
        <f>+'QTR Raw'!X87</f>
        <v>0</v>
      </c>
      <c r="BE163" s="23">
        <f t="shared" si="1234"/>
        <v>0</v>
      </c>
      <c r="BF163" s="23">
        <f>+'QTR Raw'!Z87</f>
        <v>0</v>
      </c>
      <c r="BG163" s="23">
        <f t="shared" si="1234"/>
        <v>0</v>
      </c>
      <c r="BH163" s="23">
        <f>+'QTR Raw'!AB87</f>
        <v>0</v>
      </c>
      <c r="BI163" s="23">
        <f t="shared" si="1234"/>
        <v>0</v>
      </c>
      <c r="BJ163" s="23">
        <f>+'QTR Raw'!AD87</f>
        <v>0</v>
      </c>
      <c r="BK163" s="23">
        <f t="shared" si="1234"/>
        <v>0</v>
      </c>
      <c r="BL163" s="23">
        <f>+'QTR Raw'!AF87</f>
        <v>0</v>
      </c>
      <c r="BM163" s="23">
        <f t="shared" si="1234"/>
        <v>0</v>
      </c>
      <c r="BN163" s="23">
        <f>+'QTR Raw'!AH87</f>
        <v>0</v>
      </c>
      <c r="BO163" s="23">
        <f t="shared" si="1234"/>
        <v>0</v>
      </c>
      <c r="BP163" s="23">
        <f>+'QTR Raw'!AJ87</f>
        <v>0</v>
      </c>
      <c r="BQ163" s="23">
        <f t="shared" si="1234"/>
        <v>0</v>
      </c>
      <c r="BR163" s="23">
        <f>+'QTR Raw'!AL87</f>
        <v>0</v>
      </c>
      <c r="BS163" s="23">
        <f t="shared" si="1234"/>
        <v>0</v>
      </c>
      <c r="BT163" s="23">
        <f>+'QTR Raw'!AN87</f>
        <v>0</v>
      </c>
      <c r="BU163" s="23">
        <f t="shared" si="1234"/>
        <v>0</v>
      </c>
      <c r="BV163" s="23">
        <f>+'QTR Raw'!AP87</f>
        <v>0</v>
      </c>
      <c r="BW163" s="23">
        <f t="shared" si="1234"/>
        <v>0</v>
      </c>
      <c r="BX163" s="23">
        <f>+'QTR Raw'!AR87</f>
        <v>0</v>
      </c>
      <c r="BY163" s="23">
        <f t="shared" si="1234"/>
        <v>0</v>
      </c>
      <c r="BZ163" s="23">
        <f>+'QTR Raw'!AT87</f>
        <v>0</v>
      </c>
      <c r="CA163" s="23">
        <f t="shared" si="1234"/>
        <v>0</v>
      </c>
      <c r="CB163" s="23">
        <f>+'QTR Raw'!AV87</f>
        <v>0</v>
      </c>
      <c r="CC163" s="23">
        <f t="shared" si="1234"/>
        <v>0</v>
      </c>
      <c r="CD163" s="23">
        <f>+'QTR Raw'!AX87</f>
        <v>0</v>
      </c>
      <c r="CE163" s="23">
        <f t="shared" si="1234"/>
        <v>0</v>
      </c>
      <c r="CF163" s="23">
        <f>+'QTR Raw'!AZ87</f>
        <v>0</v>
      </c>
      <c r="CG163" s="23">
        <f t="shared" si="1235"/>
        <v>0</v>
      </c>
      <c r="CH163" s="23">
        <f t="shared" si="1188"/>
        <v>0</v>
      </c>
      <c r="CI163" s="23">
        <f>CI21/90*CI195</f>
        <v>882.2347863370012</v>
      </c>
      <c r="CJ163" s="23">
        <f>+'QTR Raw'!BD87</f>
        <v>0</v>
      </c>
      <c r="CK163" s="23">
        <f t="shared" ref="CK163:DB163" si="1236">CK21/90*CK195</f>
        <v>895.24400741410625</v>
      </c>
      <c r="CL163" s="23">
        <f>+'QTR Raw'!BF87</f>
        <v>0</v>
      </c>
      <c r="CM163" s="24">
        <f t="shared" si="1236"/>
        <v>842.65313690262303</v>
      </c>
      <c r="CN163" s="24">
        <f t="shared" si="1236"/>
        <v>945.42942393100952</v>
      </c>
      <c r="CO163" s="24">
        <f t="shared" si="1236"/>
        <v>971.73399410707873</v>
      </c>
      <c r="CP163" s="24">
        <f t="shared" si="1236"/>
        <v>1051.616</v>
      </c>
      <c r="CQ163" s="24">
        <f t="shared" si="1236"/>
        <v>994.33070154509528</v>
      </c>
      <c r="CR163" s="24">
        <f t="shared" si="1236"/>
        <v>1115.6067202385914</v>
      </c>
      <c r="CS163" s="24">
        <f t="shared" si="1236"/>
        <v>1146.6461130463529</v>
      </c>
      <c r="CT163" s="24">
        <f t="shared" si="1236"/>
        <v>1240.90688</v>
      </c>
      <c r="CU163" s="24">
        <f t="shared" si="1236"/>
        <v>1173.3102278232122</v>
      </c>
      <c r="CV163" s="24">
        <f t="shared" si="1236"/>
        <v>1316.4159298815377</v>
      </c>
      <c r="CW163" s="24">
        <f t="shared" si="1236"/>
        <v>1353.0424133946965</v>
      </c>
      <c r="CX163" s="24">
        <f t="shared" si="1236"/>
        <v>1464.2701184</v>
      </c>
      <c r="CY163" s="24">
        <f t="shared" si="1236"/>
        <v>1384.5060688313906</v>
      </c>
      <c r="CZ163" s="24">
        <f t="shared" si="1236"/>
        <v>1553.3707972602147</v>
      </c>
      <c r="DA163" s="24">
        <f t="shared" si="1236"/>
        <v>1596.5900478057417</v>
      </c>
      <c r="DB163" s="24">
        <f t="shared" si="1236"/>
        <v>1727.8387397119998</v>
      </c>
      <c r="DE163" s="123"/>
      <c r="DF163" s="23">
        <v>913.4423588247347</v>
      </c>
    </row>
    <row r="164" spans="1:110" s="23" customFormat="1" outlineLevel="1" x14ac:dyDescent="0.2">
      <c r="A164" s="23" t="s">
        <v>70</v>
      </c>
      <c r="B164" s="23">
        <f>'Annual Raw'!C54</f>
        <v>0</v>
      </c>
      <c r="C164" s="23">
        <f>'Annual Raw'!D54</f>
        <v>0</v>
      </c>
      <c r="D164" s="23">
        <f>'Annual Raw'!E54</f>
        <v>0</v>
      </c>
      <c r="E164" s="23">
        <f>'Annual Raw'!F54</f>
        <v>0</v>
      </c>
      <c r="F164" s="23">
        <f>'Annual Raw'!G54</f>
        <v>30.227854399999998</v>
      </c>
      <c r="G164" s="23">
        <f>'Annual Raw'!H54</f>
        <v>20.718392099999999</v>
      </c>
      <c r="H164" s="23">
        <f>'Annual Raw'!I54</f>
        <v>40.955395600000003</v>
      </c>
      <c r="I164" s="23">
        <f>'Annual Raw'!J54</f>
        <v>66.541766899999999</v>
      </c>
      <c r="J164" s="23">
        <f>'Annual Raw'!K54</f>
        <v>58.524745099999997</v>
      </c>
      <c r="K164" s="23">
        <f>'Annual Raw'!L54</f>
        <v>70.559082099999998</v>
      </c>
      <c r="L164" s="23">
        <f>'Annual Raw'!M54</f>
        <v>94.836903000000007</v>
      </c>
      <c r="M164" s="23">
        <f>'Annual Raw'!N54</f>
        <v>121.4398671</v>
      </c>
      <c r="N164" s="23">
        <f>'Annual Raw'!O54</f>
        <v>90.611000000000004</v>
      </c>
      <c r="O164" s="23">
        <f>'Annual Raw'!P54</f>
        <v>141.29499999999999</v>
      </c>
      <c r="P164" s="23">
        <f>'Annual Raw'!Q54</f>
        <v>175.53299999999999</v>
      </c>
      <c r="Q164" s="23">
        <f>'Annual Raw'!R54</f>
        <v>202.785</v>
      </c>
      <c r="R164" s="23">
        <f>'Annual Raw'!S54</f>
        <v>297.82400000000001</v>
      </c>
      <c r="S164" s="23">
        <f>'Annual Raw'!T54</f>
        <v>362.74</v>
      </c>
      <c r="T164" s="23">
        <f>'Annual Raw'!U54</f>
        <v>331.209</v>
      </c>
      <c r="U164" s="23">
        <f>'Annual Raw'!V54</f>
        <v>281.77999999999997</v>
      </c>
      <c r="V164" s="23">
        <f>'Annual Raw'!W54</f>
        <v>352.16</v>
      </c>
      <c r="W164" s="23">
        <f>'Annual Raw'!X54</f>
        <v>462.56</v>
      </c>
      <c r="X164" s="23">
        <f>'Annual Raw'!Y54</f>
        <v>711.62</v>
      </c>
      <c r="Y164" s="23">
        <f>'Annual Raw'!Z54</f>
        <v>800.64</v>
      </c>
      <c r="Z164" s="23">
        <f>'Annual Raw'!AA54</f>
        <v>1334.33</v>
      </c>
      <c r="AA164" s="23">
        <f>'Annual Raw'!AB54</f>
        <v>1460.08</v>
      </c>
      <c r="AB164" s="24">
        <f t="shared" si="1230"/>
        <v>1722.8943999999999</v>
      </c>
      <c r="AC164" s="24">
        <f t="shared" si="1231"/>
        <v>2033.0153919999998</v>
      </c>
      <c r="AD164" s="24">
        <f t="shared" si="1232"/>
        <v>2398.9581625599999</v>
      </c>
      <c r="AE164" s="24">
        <f t="shared" si="1233"/>
        <v>2830.7706318207997</v>
      </c>
      <c r="AJ164" s="23">
        <f>+'QTR Raw'!D89</f>
        <v>0</v>
      </c>
      <c r="AK164" s="23" t="e">
        <f>+AK194*AK21/90</f>
        <v>#DIV/0!</v>
      </c>
      <c r="AL164" s="23">
        <f>+'QTR Raw'!F89</f>
        <v>0</v>
      </c>
      <c r="AM164" s="23" t="e">
        <f>+AM194*AM21/90</f>
        <v>#DIV/0!</v>
      </c>
      <c r="AN164" s="23">
        <f>+'QTR Raw'!H89</f>
        <v>0</v>
      </c>
      <c r="AO164" s="23" t="e">
        <f>+AO194*AO21/90</f>
        <v>#DIV/0!</v>
      </c>
      <c r="AP164" s="23">
        <f>+'QTR Raw'!J89</f>
        <v>0</v>
      </c>
      <c r="AQ164" s="23" t="e">
        <f>+AQ194*AQ21/90</f>
        <v>#DIV/0!</v>
      </c>
      <c r="AR164" s="23">
        <f>+'QTR Raw'!L89</f>
        <v>0</v>
      </c>
      <c r="AS164" s="23" t="e">
        <f>+AS194*AS21/90</f>
        <v>#DIV/0!</v>
      </c>
      <c r="AT164" s="23">
        <f>+'QTR Raw'!N89</f>
        <v>0</v>
      </c>
      <c r="AU164" s="23" t="e">
        <f>+AU194*AU21/90</f>
        <v>#DIV/0!</v>
      </c>
      <c r="AV164" s="23">
        <f>+'QTR Raw'!P89</f>
        <v>0</v>
      </c>
      <c r="AW164" s="23" t="e">
        <f>+AW194*AW21/90</f>
        <v>#DIV/0!</v>
      </c>
      <c r="AX164" s="23">
        <f>+'QTR Raw'!R89</f>
        <v>0</v>
      </c>
      <c r="AY164" s="23" t="e">
        <f>+AY194*AY21/90</f>
        <v>#DIV/0!</v>
      </c>
      <c r="AZ164" s="23">
        <f>+'QTR Raw'!T89</f>
        <v>0</v>
      </c>
      <c r="BA164" s="23" t="e">
        <f>+BA194*BA21/90</f>
        <v>#DIV/0!</v>
      </c>
      <c r="BB164" s="23">
        <f>+'QTR Raw'!V89</f>
        <v>0</v>
      </c>
      <c r="BC164" s="23" t="e">
        <f>+BC194*BC21/90</f>
        <v>#DIV/0!</v>
      </c>
      <c r="BD164" s="23">
        <f>+'QTR Raw'!X89</f>
        <v>0</v>
      </c>
      <c r="BE164" s="23" t="e">
        <f>+BE194*BE21/90</f>
        <v>#DIV/0!</v>
      </c>
      <c r="BF164" s="23">
        <f>+'QTR Raw'!Z89</f>
        <v>0</v>
      </c>
      <c r="BG164" s="23" t="e">
        <f>+BG194*BG21/90</f>
        <v>#DIV/0!</v>
      </c>
      <c r="BH164" s="23">
        <f>+'QTR Raw'!AB89</f>
        <v>0</v>
      </c>
      <c r="BI164" s="23" t="e">
        <f>+BI194*BI21/90</f>
        <v>#DIV/0!</v>
      </c>
      <c r="BJ164" s="23">
        <f>+'QTR Raw'!AD89</f>
        <v>0</v>
      </c>
      <c r="BK164" s="23" t="e">
        <f>+BK194*BK21/90</f>
        <v>#DIV/0!</v>
      </c>
      <c r="BL164" s="23">
        <f>+'QTR Raw'!AF89</f>
        <v>0</v>
      </c>
      <c r="BM164" s="23" t="e">
        <f>+BM194*BM21/90</f>
        <v>#DIV/0!</v>
      </c>
      <c r="BN164" s="23">
        <f>+'QTR Raw'!AH89</f>
        <v>281.77999999999997</v>
      </c>
      <c r="BO164" s="23">
        <f>+BO194*BO21/90</f>
        <v>137.34678986872399</v>
      </c>
      <c r="BP164" s="23">
        <f>+'QTR Raw'!AJ89</f>
        <v>0</v>
      </c>
      <c r="BQ164" s="23">
        <f>+BQ194*BQ21/90</f>
        <v>0</v>
      </c>
      <c r="BR164" s="23">
        <f>+'QTR Raw'!AL89</f>
        <v>352.16</v>
      </c>
      <c r="BS164" s="23">
        <f>+BS194*BS21/90</f>
        <v>285.308865887259</v>
      </c>
      <c r="BT164" s="23">
        <f>+'QTR Raw'!AN89</f>
        <v>333.87</v>
      </c>
      <c r="BU164" s="23">
        <f>+BU194*BU21/90</f>
        <v>324.01194462443738</v>
      </c>
      <c r="BV164" s="23">
        <f>+'QTR Raw'!AP89</f>
        <v>462.56</v>
      </c>
      <c r="BW164" s="23">
        <f>+BW194*BW21/90</f>
        <v>476.85232704402523</v>
      </c>
      <c r="BX164" s="23">
        <f>+'QTR Raw'!AR89</f>
        <v>458.67</v>
      </c>
      <c r="BY164" s="23">
        <f>+BY194*BY21/90</f>
        <v>442.5919691074925</v>
      </c>
      <c r="BZ164" s="23">
        <f>+'QTR Raw'!AT89</f>
        <v>711.62</v>
      </c>
      <c r="CA164" s="23">
        <f>+CA194*CA21/90</f>
        <v>753.1832477533992</v>
      </c>
      <c r="CB164" s="23">
        <f>+'QTR Raw'!AV89</f>
        <v>756.34</v>
      </c>
      <c r="CC164" s="23">
        <f>+CC194*CC21/90</f>
        <v>724.67668990551817</v>
      </c>
      <c r="CD164" s="23">
        <f>+'QTR Raw'!AX89</f>
        <v>800.64</v>
      </c>
      <c r="CE164" s="23">
        <f>+CE194*CE21/90</f>
        <v>833.85090705122423</v>
      </c>
      <c r="CF164" s="23">
        <f>+'QTR Raw'!AZ89</f>
        <v>734.47</v>
      </c>
      <c r="CG164" s="23">
        <f>+CG194*CG21/90</f>
        <v>953.57372404135253</v>
      </c>
      <c r="CH164" s="23">
        <f t="shared" si="1188"/>
        <v>1334.33</v>
      </c>
      <c r="CI164" s="23">
        <f>+CI194*CI21/90</f>
        <v>1360.8373417178789</v>
      </c>
      <c r="CJ164" s="23">
        <f>+'QTR Raw'!BD89</f>
        <v>1321.37</v>
      </c>
      <c r="CK164" s="23">
        <f t="shared" ref="CK164:DB164" si="1237">+CK194*CK21/90</f>
        <v>1358.1343200155877</v>
      </c>
      <c r="CL164" s="23">
        <f>+'QTR Raw'!BF89</f>
        <v>1460.08</v>
      </c>
      <c r="CM164" s="24">
        <f t="shared" si="1237"/>
        <v>1380.5442012217029</v>
      </c>
      <c r="CN164" s="24">
        <f t="shared" si="1237"/>
        <v>1548.925710607258</v>
      </c>
      <c r="CO164" s="24">
        <f t="shared" si="1237"/>
        <v>1592.021286036651</v>
      </c>
      <c r="CP164" s="24">
        <f t="shared" si="1237"/>
        <v>1722.8943999999999</v>
      </c>
      <c r="CQ164" s="24">
        <f t="shared" si="1237"/>
        <v>1629.0421574416096</v>
      </c>
      <c r="CR164" s="24">
        <f t="shared" si="1237"/>
        <v>1827.7323385165646</v>
      </c>
      <c r="CS164" s="24">
        <f t="shared" si="1237"/>
        <v>1878.5851175232483</v>
      </c>
      <c r="CT164" s="24">
        <f t="shared" si="1237"/>
        <v>2033.0153919999998</v>
      </c>
      <c r="CU164" s="24">
        <f t="shared" si="1237"/>
        <v>1922.2697457810993</v>
      </c>
      <c r="CV164" s="24">
        <f t="shared" si="1237"/>
        <v>2156.7241594495463</v>
      </c>
      <c r="CW164" s="24">
        <f t="shared" si="1237"/>
        <v>2216.7304386774331</v>
      </c>
      <c r="CX164" s="24">
        <f t="shared" si="1237"/>
        <v>2398.9581625599999</v>
      </c>
      <c r="CY164" s="24">
        <f t="shared" si="1237"/>
        <v>2268.2783000216973</v>
      </c>
      <c r="CZ164" s="24">
        <f t="shared" si="1237"/>
        <v>2544.9345081504648</v>
      </c>
      <c r="DA164" s="24">
        <f t="shared" si="1237"/>
        <v>2615.741917639371</v>
      </c>
      <c r="DB164" s="24">
        <f t="shared" si="1237"/>
        <v>2830.7706318207997</v>
      </c>
      <c r="DE164" s="123"/>
      <c r="DF164" s="23">
        <v>1385.7422184363429</v>
      </c>
    </row>
    <row r="165" spans="1:110" s="23" customFormat="1" outlineLevel="1" x14ac:dyDescent="0.2">
      <c r="A165" s="23" t="s">
        <v>71</v>
      </c>
      <c r="B165" s="23">
        <f>'Annual Raw'!C55-Template!B137</f>
        <v>0</v>
      </c>
      <c r="C165" s="23">
        <f>'Annual Raw'!D55-Template!C137</f>
        <v>0</v>
      </c>
      <c r="D165" s="23">
        <f>'Annual Raw'!E55-Template!D137</f>
        <v>0</v>
      </c>
      <c r="E165" s="23">
        <f>'Annual Raw'!F55-Template!E137</f>
        <v>0</v>
      </c>
      <c r="F165" s="23">
        <f>'Annual Raw'!G55-Template!F137</f>
        <v>6.8343353000000002</v>
      </c>
      <c r="G165" s="23">
        <f>'Annual Raw'!H55-Template!G137</f>
        <v>5.5311447999999999</v>
      </c>
      <c r="H165" s="23">
        <f>'Annual Raw'!I55-Template!H137</f>
        <v>5.9492931999999996</v>
      </c>
      <c r="I165" s="23">
        <f>'Annual Raw'!J55-Template!I137</f>
        <v>0</v>
      </c>
      <c r="J165" s="23">
        <f>'Annual Raw'!K55-Template!J137</f>
        <v>13.6160029</v>
      </c>
      <c r="K165" s="23">
        <f>'Annual Raw'!L55-Template!K137</f>
        <v>21.297029200000001</v>
      </c>
      <c r="L165" s="23">
        <f>'Annual Raw'!M55-Template!L137</f>
        <v>38.657158099999997</v>
      </c>
      <c r="M165" s="23">
        <f>'Annual Raw'!N55-Template!M137</f>
        <v>80.055690399999989</v>
      </c>
      <c r="N165" s="23">
        <f>'Annual Raw'!O55-Template!N137</f>
        <v>51.662000000000006</v>
      </c>
      <c r="O165" s="23">
        <f>'Annual Raw'!P55-Template!O137</f>
        <v>77.903999999999982</v>
      </c>
      <c r="P165" s="23">
        <f>'Annual Raw'!Q55-Template!P137</f>
        <v>102.09099999999999</v>
      </c>
      <c r="Q165" s="23">
        <f>'Annual Raw'!R55-Template!Q137</f>
        <v>65.385999999999996</v>
      </c>
      <c r="R165" s="23">
        <f>'Annual Raw'!S55-Template!R137</f>
        <v>131.79499999999999</v>
      </c>
      <c r="S165" s="23">
        <f>'Annual Raw'!T55-Template!S137</f>
        <v>98.920000000000016</v>
      </c>
      <c r="T165" s="23">
        <f>'Annual Raw'!U55-Template!T137</f>
        <v>188.72399999999999</v>
      </c>
      <c r="U165" s="23">
        <f>'Annual Raw'!V55-Template!U137</f>
        <v>96.06</v>
      </c>
      <c r="V165" s="23">
        <f>'Annual Raw'!W55-Template!V137</f>
        <v>161.91000000000003</v>
      </c>
      <c r="W165" s="23">
        <f>'Annual Raw'!X55-Template!W137</f>
        <v>162.09</v>
      </c>
      <c r="X165" s="23">
        <f>'Annual Raw'!Y55-Template!X137</f>
        <v>245.87</v>
      </c>
      <c r="Y165" s="23">
        <f>'Annual Raw'!Z55-Template!Y137</f>
        <v>288.23</v>
      </c>
      <c r="Z165" s="23">
        <f>'Annual Raw'!AA55-Template!Z137</f>
        <v>617.78</v>
      </c>
      <c r="AA165" s="23">
        <f>'Annual Raw'!AB55-Template!AA137</f>
        <v>600.41999999999996</v>
      </c>
      <c r="AB165" s="24">
        <f t="shared" si="1230"/>
        <v>0</v>
      </c>
      <c r="AC165" s="24">
        <f t="shared" si="1231"/>
        <v>0</v>
      </c>
      <c r="AD165" s="24">
        <f t="shared" si="1232"/>
        <v>0</v>
      </c>
      <c r="AE165" s="24">
        <f t="shared" si="1233"/>
        <v>0</v>
      </c>
      <c r="AJ165" s="23">
        <f>+'QTR Raw'!D91</f>
        <v>0</v>
      </c>
      <c r="AK165" s="23">
        <f t="shared" si="1234"/>
        <v>0</v>
      </c>
      <c r="AL165" s="23">
        <f>+'QTR Raw'!F91</f>
        <v>0</v>
      </c>
      <c r="AM165" s="23">
        <f t="shared" si="1234"/>
        <v>0</v>
      </c>
      <c r="AN165" s="23">
        <f>+'QTR Raw'!H91</f>
        <v>0</v>
      </c>
      <c r="AO165" s="23">
        <f t="shared" si="1234"/>
        <v>0</v>
      </c>
      <c r="AP165" s="23">
        <f>+'QTR Raw'!J91</f>
        <v>0</v>
      </c>
      <c r="AQ165" s="23">
        <f t="shared" si="1234"/>
        <v>0</v>
      </c>
      <c r="AR165" s="23">
        <f>+'QTR Raw'!L91</f>
        <v>0</v>
      </c>
      <c r="AS165" s="23">
        <f t="shared" si="1234"/>
        <v>0</v>
      </c>
      <c r="AT165" s="23">
        <f>+'QTR Raw'!N91</f>
        <v>0</v>
      </c>
      <c r="AU165" s="23">
        <f t="shared" si="1234"/>
        <v>0</v>
      </c>
      <c r="AV165" s="23">
        <f>+'QTR Raw'!P91</f>
        <v>0</v>
      </c>
      <c r="AW165" s="23">
        <f t="shared" si="1234"/>
        <v>0</v>
      </c>
      <c r="AX165" s="23">
        <f>+'QTR Raw'!R91</f>
        <v>0</v>
      </c>
      <c r="AY165" s="23">
        <f t="shared" si="1234"/>
        <v>0</v>
      </c>
      <c r="AZ165" s="23">
        <f>+'QTR Raw'!T91</f>
        <v>0</v>
      </c>
      <c r="BA165" s="23">
        <f t="shared" si="1234"/>
        <v>0</v>
      </c>
      <c r="BB165" s="23">
        <f>+'QTR Raw'!V91</f>
        <v>0</v>
      </c>
      <c r="BC165" s="23">
        <f t="shared" si="1234"/>
        <v>0</v>
      </c>
      <c r="BD165" s="23">
        <f>+'QTR Raw'!X91</f>
        <v>0</v>
      </c>
      <c r="BE165" s="23">
        <f t="shared" si="1234"/>
        <v>0</v>
      </c>
      <c r="BF165" s="23">
        <f>+'QTR Raw'!Z91</f>
        <v>0</v>
      </c>
      <c r="BG165" s="23">
        <f t="shared" si="1234"/>
        <v>0</v>
      </c>
      <c r="BH165" s="23">
        <f>+'QTR Raw'!AB91</f>
        <v>0</v>
      </c>
      <c r="BI165" s="23">
        <f t="shared" si="1234"/>
        <v>0</v>
      </c>
      <c r="BJ165" s="23">
        <f>+'QTR Raw'!AD91</f>
        <v>0</v>
      </c>
      <c r="BK165" s="23">
        <f t="shared" si="1234"/>
        <v>0</v>
      </c>
      <c r="BL165" s="23">
        <f>+'QTR Raw'!AF91</f>
        <v>0</v>
      </c>
      <c r="BM165" s="23">
        <f t="shared" si="1234"/>
        <v>0</v>
      </c>
      <c r="BN165" s="23">
        <f>+'QTR Raw'!AH91</f>
        <v>241.94</v>
      </c>
      <c r="BO165" s="23">
        <f t="shared" si="1234"/>
        <v>241.94</v>
      </c>
      <c r="BP165" s="23">
        <f>+'QTR Raw'!AJ91</f>
        <v>0</v>
      </c>
      <c r="BQ165" s="23">
        <f t="shared" si="1234"/>
        <v>0</v>
      </c>
      <c r="BR165" s="23">
        <f>+'QTR Raw'!AL91</f>
        <v>162.58000000000001</v>
      </c>
      <c r="BS165" s="23">
        <f t="shared" si="1234"/>
        <v>162.58000000000001</v>
      </c>
      <c r="BT165" s="23">
        <f>+'QTR Raw'!AN91</f>
        <v>147.85</v>
      </c>
      <c r="BU165" s="23">
        <f t="shared" si="1234"/>
        <v>147.85</v>
      </c>
      <c r="BV165" s="23">
        <f>+'QTR Raw'!AP91</f>
        <v>168.99</v>
      </c>
      <c r="BW165" s="23">
        <f t="shared" si="1234"/>
        <v>168.99</v>
      </c>
      <c r="BX165" s="23">
        <f>+'QTR Raw'!AR91</f>
        <v>202.56</v>
      </c>
      <c r="BY165" s="23">
        <f t="shared" si="1234"/>
        <v>202.56</v>
      </c>
      <c r="BZ165" s="23">
        <f>+'QTR Raw'!AT91</f>
        <v>277.43</v>
      </c>
      <c r="CA165" s="23">
        <f t="shared" si="1234"/>
        <v>277.43</v>
      </c>
      <c r="CB165" s="23">
        <f>+'QTR Raw'!AV91</f>
        <v>260.56</v>
      </c>
      <c r="CC165" s="23">
        <f t="shared" si="1234"/>
        <v>260.56</v>
      </c>
      <c r="CD165" s="23">
        <f>+'QTR Raw'!AX91</f>
        <v>297.35000000000002</v>
      </c>
      <c r="CE165" s="23">
        <f t="shared" si="1234"/>
        <v>297.35000000000002</v>
      </c>
      <c r="CF165" s="23">
        <f>+'QTR Raw'!AZ91</f>
        <v>371.46</v>
      </c>
      <c r="CG165" s="23">
        <f t="shared" ref="CG165:CG166" si="1238">+CF165</f>
        <v>371.46</v>
      </c>
      <c r="CH165" s="23">
        <f t="shared" si="1188"/>
        <v>617.78</v>
      </c>
      <c r="CJ165" s="23">
        <f>+'QTR Raw'!BD91</f>
        <v>642.30999999999995</v>
      </c>
      <c r="CL165" s="23">
        <f>+'QTR Raw'!BF91</f>
        <v>649.04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649.04</v>
      </c>
    </row>
    <row r="166" spans="1:110" s="23" customFormat="1" outlineLevel="1" x14ac:dyDescent="0.2">
      <c r="A166" s="23" t="s">
        <v>72</v>
      </c>
      <c r="B166" s="23">
        <f>'Annual Raw'!C57</f>
        <v>0</v>
      </c>
      <c r="C166" s="23">
        <f>'Annual Raw'!D57</f>
        <v>0</v>
      </c>
      <c r="D166" s="23">
        <f>'Annual Raw'!E57</f>
        <v>0</v>
      </c>
      <c r="E166" s="23">
        <f>'Annual Raw'!F57</f>
        <v>0</v>
      </c>
      <c r="F166" s="23">
        <f>'Annual Raw'!G57</f>
        <v>1.075</v>
      </c>
      <c r="G166" s="23">
        <f>'Annual Raw'!H57</f>
        <v>2.5379999999999998</v>
      </c>
      <c r="H166" s="23">
        <f>'Annual Raw'!I57</f>
        <v>7.0833645000000001</v>
      </c>
      <c r="I166" s="23">
        <f>'Annual Raw'!J57</f>
        <v>4.8567153000000003</v>
      </c>
      <c r="J166" s="23">
        <f>'Annual Raw'!K57</f>
        <v>2.1560999999999999</v>
      </c>
      <c r="K166" s="23">
        <f>'Annual Raw'!L57</f>
        <v>2.7488000000000001</v>
      </c>
      <c r="L166" s="23">
        <f>'Annual Raw'!M57</f>
        <v>4.3956588999999999</v>
      </c>
      <c r="M166" s="23">
        <f>'Annual Raw'!N57</f>
        <v>8.0213748999999996</v>
      </c>
      <c r="N166" s="23">
        <f>'Annual Raw'!O57</f>
        <v>1.456</v>
      </c>
      <c r="O166" s="23">
        <f>'Annual Raw'!P57</f>
        <v>1.46</v>
      </c>
      <c r="P166" s="23">
        <f>'Annual Raw'!Q57</f>
        <v>4.6859999999999999</v>
      </c>
      <c r="Q166" s="23">
        <f>'Annual Raw'!R57</f>
        <v>1.8089999999999999</v>
      </c>
      <c r="R166" s="23">
        <f>'Annual Raw'!S57</f>
        <v>1.71</v>
      </c>
      <c r="S166" s="23">
        <f>'Annual Raw'!T57</f>
        <v>4.09</v>
      </c>
      <c r="T166" s="23">
        <f>'Annual Raw'!U57</f>
        <v>10.164</v>
      </c>
      <c r="U166" s="23">
        <f>'Annual Raw'!V57</f>
        <v>1.83</v>
      </c>
      <c r="V166" s="23">
        <f>'Annual Raw'!W57</f>
        <v>4.2</v>
      </c>
      <c r="W166" s="23">
        <f>'Annual Raw'!X57</f>
        <v>11.61</v>
      </c>
      <c r="X166" s="23">
        <f>'Annual Raw'!Y57</f>
        <v>38.33</v>
      </c>
      <c r="Y166" s="23">
        <f>'Annual Raw'!Z57</f>
        <v>20.329999999999998</v>
      </c>
      <c r="Z166" s="23">
        <f>'Annual Raw'!AA57</f>
        <v>33.22</v>
      </c>
      <c r="AA166" s="23">
        <f>'Annual Raw'!AB57</f>
        <v>74.739999999999995</v>
      </c>
      <c r="AB166" s="24">
        <f t="shared" si="1230"/>
        <v>0</v>
      </c>
      <c r="AC166" s="24">
        <f t="shared" si="1231"/>
        <v>0</v>
      </c>
      <c r="AD166" s="24">
        <f t="shared" si="1232"/>
        <v>0</v>
      </c>
      <c r="AE166" s="24">
        <f t="shared" si="1233"/>
        <v>0</v>
      </c>
      <c r="AJ166" s="23">
        <f>+'QTR Raw'!D92</f>
        <v>0</v>
      </c>
      <c r="AK166" s="23">
        <f t="shared" si="1234"/>
        <v>0</v>
      </c>
      <c r="AL166" s="23">
        <f>+'QTR Raw'!F92</f>
        <v>0</v>
      </c>
      <c r="AM166" s="23">
        <f t="shared" si="1234"/>
        <v>0</v>
      </c>
      <c r="AN166" s="23">
        <f>+'QTR Raw'!H92</f>
        <v>0</v>
      </c>
      <c r="AO166" s="23">
        <f t="shared" si="1234"/>
        <v>0</v>
      </c>
      <c r="AP166" s="23">
        <f>+'QTR Raw'!J92</f>
        <v>0</v>
      </c>
      <c r="AQ166" s="23">
        <f t="shared" si="1234"/>
        <v>0</v>
      </c>
      <c r="AR166" s="23">
        <f>+'QTR Raw'!L92</f>
        <v>0</v>
      </c>
      <c r="AS166" s="23">
        <f t="shared" si="1234"/>
        <v>0</v>
      </c>
      <c r="AT166" s="23">
        <f>+'QTR Raw'!N92</f>
        <v>0</v>
      </c>
      <c r="AU166" s="23">
        <f t="shared" si="1234"/>
        <v>0</v>
      </c>
      <c r="AV166" s="23">
        <f>+'QTR Raw'!P92</f>
        <v>0</v>
      </c>
      <c r="AW166" s="23">
        <f t="shared" si="1234"/>
        <v>0</v>
      </c>
      <c r="AX166" s="23">
        <f>+'QTR Raw'!R92</f>
        <v>0</v>
      </c>
      <c r="AY166" s="23">
        <f t="shared" si="1234"/>
        <v>0</v>
      </c>
      <c r="AZ166" s="23">
        <f>+'QTR Raw'!T92</f>
        <v>0</v>
      </c>
      <c r="BA166" s="23">
        <f t="shared" si="1234"/>
        <v>0</v>
      </c>
      <c r="BB166" s="23">
        <f>+'QTR Raw'!V92</f>
        <v>0</v>
      </c>
      <c r="BC166" s="23">
        <f t="shared" si="1234"/>
        <v>0</v>
      </c>
      <c r="BD166" s="23">
        <f>+'QTR Raw'!X92</f>
        <v>0</v>
      </c>
      <c r="BE166" s="23">
        <f t="shared" si="1234"/>
        <v>0</v>
      </c>
      <c r="BF166" s="23">
        <f>+'QTR Raw'!Z92</f>
        <v>0</v>
      </c>
      <c r="BG166" s="23">
        <f t="shared" si="1234"/>
        <v>0</v>
      </c>
      <c r="BH166" s="23">
        <f>+'QTR Raw'!AB92</f>
        <v>0</v>
      </c>
      <c r="BI166" s="23">
        <f t="shared" si="1234"/>
        <v>0</v>
      </c>
      <c r="BJ166" s="23">
        <f>+'QTR Raw'!AD92</f>
        <v>0</v>
      </c>
      <c r="BK166" s="23">
        <f t="shared" si="1234"/>
        <v>0</v>
      </c>
      <c r="BL166" s="23">
        <f>+'QTR Raw'!AF92</f>
        <v>0</v>
      </c>
      <c r="BM166" s="23">
        <f t="shared" si="1234"/>
        <v>0</v>
      </c>
      <c r="BN166" s="23">
        <f>+'QTR Raw'!AH92</f>
        <v>1.83</v>
      </c>
      <c r="BO166" s="23">
        <f t="shared" si="1234"/>
        <v>1.83</v>
      </c>
      <c r="BP166" s="23">
        <f>+'QTR Raw'!AJ92</f>
        <v>0</v>
      </c>
      <c r="BQ166" s="23">
        <f t="shared" si="1234"/>
        <v>0</v>
      </c>
      <c r="BR166" s="23">
        <f>+'QTR Raw'!AL92</f>
        <v>3.53</v>
      </c>
      <c r="BS166" s="23">
        <f t="shared" si="1234"/>
        <v>3.53</v>
      </c>
      <c r="BT166" s="23">
        <f>+'QTR Raw'!AN92</f>
        <v>4.9800000000000004</v>
      </c>
      <c r="BU166" s="23">
        <f t="shared" si="1234"/>
        <v>4.9800000000000004</v>
      </c>
      <c r="BV166" s="23">
        <f>+'QTR Raw'!AP92</f>
        <v>4.71</v>
      </c>
      <c r="BW166" s="23">
        <f t="shared" si="1234"/>
        <v>4.71</v>
      </c>
      <c r="BX166" s="23">
        <f>+'QTR Raw'!AR92</f>
        <v>6.54</v>
      </c>
      <c r="BY166" s="23">
        <f t="shared" si="1234"/>
        <v>6.54</v>
      </c>
      <c r="BZ166" s="23">
        <f>+'QTR Raw'!AT92</f>
        <v>6.77</v>
      </c>
      <c r="CA166" s="23">
        <f t="shared" si="1234"/>
        <v>6.77</v>
      </c>
      <c r="CB166" s="23">
        <f>+'QTR Raw'!AV92</f>
        <v>8.39</v>
      </c>
      <c r="CC166" s="23">
        <f t="shared" si="1234"/>
        <v>8.39</v>
      </c>
      <c r="CD166" s="23">
        <f>+'QTR Raw'!AX92</f>
        <v>11.21</v>
      </c>
      <c r="CE166" s="23">
        <f t="shared" si="1234"/>
        <v>11.21</v>
      </c>
      <c r="CF166" s="23">
        <f>+'QTR Raw'!AZ92</f>
        <v>14</v>
      </c>
      <c r="CG166" s="23">
        <f t="shared" si="1238"/>
        <v>14</v>
      </c>
      <c r="CH166" s="23">
        <f t="shared" si="1188"/>
        <v>33.22</v>
      </c>
      <c r="CJ166" s="23">
        <f>+'QTR Raw'!BD92</f>
        <v>24.28</v>
      </c>
      <c r="CL166" s="23">
        <f>+'QTR Raw'!BF92</f>
        <v>26.12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26.12</v>
      </c>
    </row>
    <row r="167" spans="1:110" s="22" customFormat="1" x14ac:dyDescent="0.2">
      <c r="A167" s="22" t="s">
        <v>73</v>
      </c>
      <c r="B167" s="22">
        <f>SUM(B160:B166)</f>
        <v>0</v>
      </c>
      <c r="C167" s="22">
        <f t="shared" ref="C167:V167" si="1239">SUM(C160:C166)</f>
        <v>0</v>
      </c>
      <c r="D167" s="22">
        <f t="shared" si="1239"/>
        <v>0</v>
      </c>
      <c r="E167" s="22">
        <f t="shared" si="1239"/>
        <v>0</v>
      </c>
      <c r="F167" s="22">
        <f t="shared" si="1239"/>
        <v>38.1371897</v>
      </c>
      <c r="G167" s="22">
        <f t="shared" si="1239"/>
        <v>28.787536899999999</v>
      </c>
      <c r="H167" s="22">
        <f t="shared" si="1239"/>
        <v>53.988053300000004</v>
      </c>
      <c r="I167" s="22">
        <f t="shared" si="1239"/>
        <v>71.398482200000004</v>
      </c>
      <c r="J167" s="22">
        <f t="shared" si="1239"/>
        <v>74.296847999999997</v>
      </c>
      <c r="K167" s="22">
        <f t="shared" si="1239"/>
        <v>94.604911299999998</v>
      </c>
      <c r="L167" s="22">
        <f t="shared" si="1239"/>
        <v>138.10848590000001</v>
      </c>
      <c r="M167" s="22">
        <f t="shared" si="1239"/>
        <v>210.41017640000001</v>
      </c>
      <c r="N167" s="22">
        <f t="shared" si="1239"/>
        <v>151.334</v>
      </c>
      <c r="O167" s="22">
        <f t="shared" si="1239"/>
        <v>227.239</v>
      </c>
      <c r="P167" s="22">
        <f t="shared" si="1239"/>
        <v>288.60599999999994</v>
      </c>
      <c r="Q167" s="22">
        <f t="shared" si="1239"/>
        <v>272.95</v>
      </c>
      <c r="R167" s="22">
        <f t="shared" si="1239"/>
        <v>432.54900000000004</v>
      </c>
      <c r="S167" s="22">
        <f t="shared" si="1239"/>
        <v>466.39</v>
      </c>
      <c r="T167" s="22">
        <f t="shared" si="1239"/>
        <v>621.34999999999991</v>
      </c>
      <c r="U167" s="22">
        <f t="shared" si="1239"/>
        <v>488.71</v>
      </c>
      <c r="V167" s="22">
        <f t="shared" si="1239"/>
        <v>610.55000000000007</v>
      </c>
      <c r="W167" s="22">
        <f t="shared" ref="W167" si="1240">SUM(W160:W166)</f>
        <v>706.66000000000008</v>
      </c>
      <c r="X167" s="22">
        <f t="shared" ref="X167:Y167" si="1241">SUM(X160:X166)</f>
        <v>1074.98</v>
      </c>
      <c r="Y167" s="22">
        <f t="shared" si="1241"/>
        <v>1276.17</v>
      </c>
      <c r="Z167" s="22">
        <f t="shared" ref="Z167:AA167" si="1242">SUM(Z160:Z166)</f>
        <v>2199.3799999999997</v>
      </c>
      <c r="AA167" s="22">
        <f t="shared" si="1242"/>
        <v>2351.2799999999997</v>
      </c>
      <c r="AB167" s="21">
        <f t="shared" ref="AA167:AD167" si="1243">SUM(AB160:AB166)</f>
        <v>2774.5104000000001</v>
      </c>
      <c r="AC167" s="21">
        <f t="shared" si="1243"/>
        <v>3273.9222719999998</v>
      </c>
      <c r="AD167" s="21">
        <f t="shared" si="1243"/>
        <v>3863.2282809600001</v>
      </c>
      <c r="AE167" s="21">
        <f t="shared" ref="AE167" si="1244">SUM(AE160:AE166)</f>
        <v>4558.6093715327997</v>
      </c>
      <c r="AJ167" s="22">
        <f t="shared" ref="AJ167" si="1245">SUM(AJ160:AJ166)</f>
        <v>0</v>
      </c>
      <c r="AK167" s="22" t="e">
        <f t="shared" ref="AK167" si="1246">SUM(AK160:AK166)</f>
        <v>#DIV/0!</v>
      </c>
      <c r="AL167" s="22">
        <f t="shared" ref="AL167:AM167" si="1247">SUM(AL160:AL166)</f>
        <v>0</v>
      </c>
      <c r="AM167" s="22" t="e">
        <f t="shared" si="1247"/>
        <v>#DIV/0!</v>
      </c>
      <c r="AN167" s="22">
        <f t="shared" ref="AN167:AO167" si="1248">SUM(AN160:AN166)</f>
        <v>0</v>
      </c>
      <c r="AO167" s="22" t="e">
        <f t="shared" si="1248"/>
        <v>#DIV/0!</v>
      </c>
      <c r="AP167" s="22">
        <f t="shared" ref="AP167:CE167" si="1249">SUM(AP160:AP166)</f>
        <v>0</v>
      </c>
      <c r="AQ167" s="22" t="e">
        <f t="shared" si="1249"/>
        <v>#DIV/0!</v>
      </c>
      <c r="AR167" s="22">
        <f t="shared" si="1249"/>
        <v>0</v>
      </c>
      <c r="AS167" s="22" t="e">
        <f t="shared" si="1249"/>
        <v>#DIV/0!</v>
      </c>
      <c r="AT167" s="22">
        <f t="shared" si="1249"/>
        <v>0</v>
      </c>
      <c r="AU167" s="22" t="e">
        <f t="shared" si="1249"/>
        <v>#DIV/0!</v>
      </c>
      <c r="AV167" s="22">
        <f t="shared" si="1249"/>
        <v>0</v>
      </c>
      <c r="AW167" s="22" t="e">
        <f t="shared" si="1249"/>
        <v>#DIV/0!</v>
      </c>
      <c r="AX167" s="22">
        <f t="shared" si="1249"/>
        <v>0</v>
      </c>
      <c r="AY167" s="22" t="e">
        <f t="shared" si="1249"/>
        <v>#DIV/0!</v>
      </c>
      <c r="AZ167" s="22">
        <f t="shared" si="1249"/>
        <v>0</v>
      </c>
      <c r="BA167" s="22" t="e">
        <f t="shared" si="1249"/>
        <v>#DIV/0!</v>
      </c>
      <c r="BB167" s="22">
        <f t="shared" si="1249"/>
        <v>0</v>
      </c>
      <c r="BC167" s="22" t="e">
        <f t="shared" si="1249"/>
        <v>#DIV/0!</v>
      </c>
      <c r="BD167" s="22">
        <f t="shared" si="1249"/>
        <v>0</v>
      </c>
      <c r="BE167" s="22" t="e">
        <f t="shared" si="1249"/>
        <v>#DIV/0!</v>
      </c>
      <c r="BF167" s="22">
        <f t="shared" si="1249"/>
        <v>0</v>
      </c>
      <c r="BG167" s="22" t="e">
        <f t="shared" si="1249"/>
        <v>#DIV/0!</v>
      </c>
      <c r="BH167" s="22">
        <f t="shared" ref="BH167" si="1250">SUM(BH160:BH166)</f>
        <v>0</v>
      </c>
      <c r="BI167" s="22" t="e">
        <f t="shared" si="1249"/>
        <v>#DIV/0!</v>
      </c>
      <c r="BJ167" s="22">
        <f t="shared" si="1249"/>
        <v>0</v>
      </c>
      <c r="BK167" s="22" t="e">
        <f t="shared" si="1249"/>
        <v>#DIV/0!</v>
      </c>
      <c r="BL167" s="22">
        <f t="shared" si="1249"/>
        <v>0</v>
      </c>
      <c r="BM167" s="22" t="e">
        <f t="shared" si="1249"/>
        <v>#DIV/0!</v>
      </c>
      <c r="BN167" s="22">
        <f t="shared" si="1249"/>
        <v>634.59</v>
      </c>
      <c r="BO167" s="22">
        <f t="shared" si="1249"/>
        <v>490.15678986872399</v>
      </c>
      <c r="BP167" s="22">
        <f t="shared" si="1249"/>
        <v>0</v>
      </c>
      <c r="BQ167" s="22">
        <f t="shared" si="1249"/>
        <v>0</v>
      </c>
      <c r="BR167" s="22">
        <f t="shared" si="1249"/>
        <v>610.54999999999995</v>
      </c>
      <c r="BS167" s="22">
        <f t="shared" si="1249"/>
        <v>543.69886588725899</v>
      </c>
      <c r="BT167" s="22">
        <f t="shared" si="1249"/>
        <v>567.69000000000005</v>
      </c>
      <c r="BU167" s="22">
        <f t="shared" si="1249"/>
        <v>557.83194462443737</v>
      </c>
      <c r="BV167" s="22">
        <f t="shared" si="1249"/>
        <v>706.66000000000008</v>
      </c>
      <c r="BW167" s="22">
        <f t="shared" si="1249"/>
        <v>720.95232704402531</v>
      </c>
      <c r="BX167" s="22">
        <f t="shared" si="1249"/>
        <v>741.94</v>
      </c>
      <c r="BY167" s="22">
        <f t="shared" si="1249"/>
        <v>725.86196910749254</v>
      </c>
      <c r="BZ167" s="22">
        <f t="shared" si="1249"/>
        <v>1074.98</v>
      </c>
      <c r="CA167" s="22">
        <f t="shared" si="1249"/>
        <v>1116.5432477533991</v>
      </c>
      <c r="CB167" s="22">
        <f t="shared" si="1249"/>
        <v>1138.1500000000001</v>
      </c>
      <c r="CC167" s="22">
        <f t="shared" si="1249"/>
        <v>1106.4866899055182</v>
      </c>
      <c r="CD167" s="22">
        <f t="shared" si="1249"/>
        <v>1276.17</v>
      </c>
      <c r="CE167" s="22">
        <f t="shared" si="1249"/>
        <v>1309.3809070512243</v>
      </c>
      <c r="CF167" s="22">
        <f t="shared" ref="CF167:CG167" si="1251">SUM(CF160:CF166)</f>
        <v>1280.8499999999999</v>
      </c>
      <c r="CG167" s="22">
        <f t="shared" si="1251"/>
        <v>1499.9537240413526</v>
      </c>
      <c r="CH167" s="22">
        <f t="shared" ref="CH167:CI167" si="1252">SUM(CH160:CH166)</f>
        <v>2199.3799999999997</v>
      </c>
      <c r="CI167" s="22">
        <f t="shared" si="1252"/>
        <v>2243.0721280548801</v>
      </c>
      <c r="CJ167" s="22">
        <f t="shared" ref="CJ167:DB167" si="1253">SUM(CJ160:CJ166)</f>
        <v>2192.38</v>
      </c>
      <c r="CK167" s="22">
        <f t="shared" si="1253"/>
        <v>2253.3783274296939</v>
      </c>
      <c r="CL167" s="22">
        <f t="shared" ref="CL167" si="1254">SUM(CL160:CL166)</f>
        <v>2351.2799999999997</v>
      </c>
      <c r="CM167" s="21">
        <f t="shared" si="1253"/>
        <v>2223.1973381243261</v>
      </c>
      <c r="CN167" s="21">
        <f t="shared" si="1253"/>
        <v>2494.3551345382675</v>
      </c>
      <c r="CO167" s="21">
        <f t="shared" si="1253"/>
        <v>2563.7552801437296</v>
      </c>
      <c r="CP167" s="21">
        <f t="shared" si="1253"/>
        <v>2774.5104000000001</v>
      </c>
      <c r="CQ167" s="21">
        <f t="shared" si="1253"/>
        <v>2623.3728589867051</v>
      </c>
      <c r="CR167" s="21">
        <f t="shared" si="1253"/>
        <v>2943.3390587551557</v>
      </c>
      <c r="CS167" s="21">
        <f t="shared" si="1253"/>
        <v>3025.2312305696014</v>
      </c>
      <c r="CT167" s="21">
        <f t="shared" si="1253"/>
        <v>3273.9222719999998</v>
      </c>
      <c r="CU167" s="21">
        <f t="shared" si="1253"/>
        <v>3095.5799736043118</v>
      </c>
      <c r="CV167" s="21">
        <f t="shared" si="1253"/>
        <v>3473.1400893310838</v>
      </c>
      <c r="CW167" s="21">
        <f t="shared" si="1253"/>
        <v>3569.7728520721294</v>
      </c>
      <c r="CX167" s="21">
        <f t="shared" si="1253"/>
        <v>3863.2282809600001</v>
      </c>
      <c r="CY167" s="21">
        <f t="shared" si="1253"/>
        <v>3652.7843688530879</v>
      </c>
      <c r="CZ167" s="21">
        <f t="shared" si="1253"/>
        <v>4098.3053054106795</v>
      </c>
      <c r="DA167" s="21">
        <f t="shared" si="1253"/>
        <v>4212.3319654451125</v>
      </c>
      <c r="DB167" s="21">
        <f t="shared" si="1253"/>
        <v>4558.6093715327997</v>
      </c>
      <c r="DE167" s="126"/>
      <c r="DF167" s="22">
        <v>2299.1845772610777</v>
      </c>
    </row>
    <row r="168" spans="1:110" s="22" customFormat="1" x14ac:dyDescent="0.2">
      <c r="A168" s="22" t="s">
        <v>74</v>
      </c>
      <c r="B168" s="22">
        <f>B159-B167</f>
        <v>0</v>
      </c>
      <c r="C168" s="22">
        <f t="shared" ref="C168:V168" si="1255">C159-C167</f>
        <v>0</v>
      </c>
      <c r="D168" s="22">
        <f t="shared" si="1255"/>
        <v>0</v>
      </c>
      <c r="E168" s="22">
        <f t="shared" si="1255"/>
        <v>0</v>
      </c>
      <c r="F168" s="22">
        <f t="shared" si="1255"/>
        <v>3.3175884999999923</v>
      </c>
      <c r="G168" s="22">
        <f t="shared" si="1255"/>
        <v>20.946252299999998</v>
      </c>
      <c r="H168" s="22">
        <f t="shared" si="1255"/>
        <v>24.183362799999998</v>
      </c>
      <c r="I168" s="22">
        <f t="shared" si="1255"/>
        <v>48.540202199999982</v>
      </c>
      <c r="J168" s="22">
        <f t="shared" si="1255"/>
        <v>60.860508400000001</v>
      </c>
      <c r="K168" s="22">
        <f t="shared" si="1255"/>
        <v>51.76342710000003</v>
      </c>
      <c r="L168" s="22">
        <f t="shared" si="1255"/>
        <v>85.653917699999994</v>
      </c>
      <c r="M168" s="22">
        <f t="shared" si="1255"/>
        <v>120.48810849999995</v>
      </c>
      <c r="N168" s="22">
        <f t="shared" si="1255"/>
        <v>142.94599999999997</v>
      </c>
      <c r="O168" s="22">
        <f t="shared" si="1255"/>
        <v>144.14400000000003</v>
      </c>
      <c r="P168" s="22">
        <f t="shared" si="1255"/>
        <v>80.988000000000056</v>
      </c>
      <c r="Q168" s="22">
        <f t="shared" si="1255"/>
        <v>146.87300000000005</v>
      </c>
      <c r="R168" s="22">
        <f t="shared" si="1255"/>
        <v>100.94900000000001</v>
      </c>
      <c r="S168" s="22">
        <f t="shared" si="1255"/>
        <v>141.22000000000003</v>
      </c>
      <c r="T168" s="22">
        <f t="shared" si="1255"/>
        <v>-5.8919999999998254</v>
      </c>
      <c r="U168" s="22">
        <f t="shared" si="1255"/>
        <v>109.11999999999995</v>
      </c>
      <c r="V168" s="22">
        <f t="shared" si="1255"/>
        <v>149.96999999999991</v>
      </c>
      <c r="W168" s="22">
        <f t="shared" ref="W168" si="1256">W159-W167</f>
        <v>336.22999999999979</v>
      </c>
      <c r="X168" s="22">
        <f t="shared" ref="X168:Y168" si="1257">X159-X167</f>
        <v>460.45999999999981</v>
      </c>
      <c r="Y168" s="22">
        <f t="shared" si="1257"/>
        <v>596.76</v>
      </c>
      <c r="Z168" s="22">
        <f t="shared" ref="Z168:AA168" si="1258">Z159-Z167</f>
        <v>767.63000000000011</v>
      </c>
      <c r="AA168" s="22">
        <f t="shared" si="1258"/>
        <v>1376.0500000000002</v>
      </c>
      <c r="AB168" s="21">
        <f t="shared" ref="AA168:AD168" si="1259">AB159-AB167</f>
        <v>2178.8582000000006</v>
      </c>
      <c r="AC168" s="21">
        <f t="shared" si="1259"/>
        <v>2571.0526760000012</v>
      </c>
      <c r="AD168" s="21">
        <f t="shared" si="1259"/>
        <v>3033.842157680001</v>
      </c>
      <c r="AE168" s="21">
        <f t="shared" ref="AE168" si="1260">AE159-AE167</f>
        <v>3579.9337460624001</v>
      </c>
      <c r="AJ168" s="22">
        <f t="shared" ref="AJ168" si="1261">AJ159-AJ167</f>
        <v>0</v>
      </c>
      <c r="AK168" s="22" t="e">
        <f t="shared" ref="AK168" si="1262">AK159-AK167</f>
        <v>#DIV/0!</v>
      </c>
      <c r="AL168" s="22">
        <f t="shared" ref="AL168:AM168" si="1263">AL159-AL167</f>
        <v>0</v>
      </c>
      <c r="AM168" s="22" t="e">
        <f t="shared" si="1263"/>
        <v>#DIV/0!</v>
      </c>
      <c r="AN168" s="22">
        <f t="shared" ref="AN168:AO168" si="1264">AN159-AN167</f>
        <v>0</v>
      </c>
      <c r="AO168" s="22" t="e">
        <f t="shared" si="1264"/>
        <v>#DIV/0!</v>
      </c>
      <c r="AP168" s="22">
        <f t="shared" ref="AP168:CE168" si="1265">AP159-AP167</f>
        <v>0</v>
      </c>
      <c r="AQ168" s="22" t="e">
        <f t="shared" si="1265"/>
        <v>#DIV/0!</v>
      </c>
      <c r="AR168" s="22">
        <f t="shared" si="1265"/>
        <v>0</v>
      </c>
      <c r="AS168" s="22" t="e">
        <f t="shared" si="1265"/>
        <v>#DIV/0!</v>
      </c>
      <c r="AT168" s="22">
        <f t="shared" si="1265"/>
        <v>0</v>
      </c>
      <c r="AU168" s="22" t="e">
        <f t="shared" si="1265"/>
        <v>#DIV/0!</v>
      </c>
      <c r="AV168" s="22">
        <f t="shared" si="1265"/>
        <v>0</v>
      </c>
      <c r="AW168" s="22" t="e">
        <f t="shared" si="1265"/>
        <v>#DIV/0!</v>
      </c>
      <c r="AX168" s="22">
        <f t="shared" si="1265"/>
        <v>0</v>
      </c>
      <c r="AY168" s="22" t="e">
        <f t="shared" si="1265"/>
        <v>#DIV/0!</v>
      </c>
      <c r="AZ168" s="22">
        <f t="shared" si="1265"/>
        <v>0</v>
      </c>
      <c r="BA168" s="22" t="e">
        <f t="shared" si="1265"/>
        <v>#DIV/0!</v>
      </c>
      <c r="BB168" s="22">
        <f t="shared" si="1265"/>
        <v>0</v>
      </c>
      <c r="BC168" s="22" t="e">
        <f t="shared" si="1265"/>
        <v>#DIV/0!</v>
      </c>
      <c r="BD168" s="22">
        <f t="shared" si="1265"/>
        <v>0</v>
      </c>
      <c r="BE168" s="22" t="e">
        <f t="shared" si="1265"/>
        <v>#DIV/0!</v>
      </c>
      <c r="BF168" s="22">
        <f t="shared" si="1265"/>
        <v>0</v>
      </c>
      <c r="BG168" s="22" t="e">
        <f t="shared" si="1265"/>
        <v>#DIV/0!</v>
      </c>
      <c r="BH168" s="22">
        <f t="shared" ref="BH168" si="1266">BH159-BH167</f>
        <v>0</v>
      </c>
      <c r="BI168" s="22" t="e">
        <f t="shared" si="1265"/>
        <v>#DIV/0!</v>
      </c>
      <c r="BJ168" s="22">
        <f t="shared" si="1265"/>
        <v>0</v>
      </c>
      <c r="BK168" s="22" t="e">
        <f t="shared" si="1265"/>
        <v>#DIV/0!</v>
      </c>
      <c r="BL168" s="22">
        <f t="shared" si="1265"/>
        <v>0</v>
      </c>
      <c r="BM168" s="22" t="e">
        <f t="shared" si="1265"/>
        <v>#DIV/0!</v>
      </c>
      <c r="BN168" s="22">
        <f t="shared" si="1265"/>
        <v>71.709999999999923</v>
      </c>
      <c r="BO168" s="22">
        <f t="shared" si="1265"/>
        <v>-50.359589725187675</v>
      </c>
      <c r="BP168" s="22">
        <f t="shared" si="1265"/>
        <v>0</v>
      </c>
      <c r="BQ168" s="22">
        <f t="shared" si="1265"/>
        <v>0</v>
      </c>
      <c r="BR168" s="22">
        <f t="shared" si="1265"/>
        <v>233.40000000000009</v>
      </c>
      <c r="BS168" s="22">
        <f t="shared" si="1265"/>
        <v>177.88751377615608</v>
      </c>
      <c r="BT168" s="22">
        <f t="shared" si="1265"/>
        <v>355.86999999999989</v>
      </c>
      <c r="BU168" s="22">
        <f t="shared" si="1265"/>
        <v>344.72871736046659</v>
      </c>
      <c r="BV168" s="22">
        <f t="shared" si="1265"/>
        <v>422.04999999999995</v>
      </c>
      <c r="BW168" s="22">
        <f t="shared" si="1265"/>
        <v>436.26508124324243</v>
      </c>
      <c r="BX168" s="22">
        <f t="shared" si="1265"/>
        <v>496.64999999999986</v>
      </c>
      <c r="BY168" s="22">
        <f t="shared" si="1265"/>
        <v>477.44694140987326</v>
      </c>
      <c r="BZ168" s="22">
        <f t="shared" si="1265"/>
        <v>552.41999999999985</v>
      </c>
      <c r="CA168" s="22">
        <f t="shared" si="1265"/>
        <v>590.94961310525628</v>
      </c>
      <c r="CB168" s="22">
        <f t="shared" si="1265"/>
        <v>766.56999999999994</v>
      </c>
      <c r="CC168" s="22">
        <f t="shared" si="1265"/>
        <v>732.04320204230476</v>
      </c>
      <c r="CD168" s="22">
        <f t="shared" si="1265"/>
        <v>835.72000000000025</v>
      </c>
      <c r="CE168" s="22">
        <f t="shared" si="1265"/>
        <v>869.60164591890316</v>
      </c>
      <c r="CF168" s="22">
        <f t="shared" ref="CF168:CG168" si="1267">CF159-CF167</f>
        <v>1215.3899999999999</v>
      </c>
      <c r="CG168" s="22">
        <f t="shared" si="1267"/>
        <v>1523.3529371885163</v>
      </c>
      <c r="CH168" s="22">
        <f t="shared" ref="CH168:CI168" si="1268">CH159-CH167</f>
        <v>767.63000000000011</v>
      </c>
      <c r="CI168" s="22">
        <f t="shared" si="1268"/>
        <v>782.87947406031208</v>
      </c>
      <c r="CJ168" s="22">
        <f t="shared" ref="CJ168:DB168" si="1269">CJ159-CJ167</f>
        <v>1840.1100000000001</v>
      </c>
      <c r="CK168" s="22">
        <f t="shared" si="1269"/>
        <v>1891.3071612068406</v>
      </c>
      <c r="CL168" s="22">
        <f t="shared" ref="CL168" si="1270">CL159-CL167</f>
        <v>1846.4900000000007</v>
      </c>
      <c r="CM168" s="21">
        <f t="shared" si="1269"/>
        <v>1745.9050614444841</v>
      </c>
      <c r="CN168" s="21">
        <f t="shared" si="1269"/>
        <v>1958.8487174532875</v>
      </c>
      <c r="CO168" s="21">
        <f t="shared" si="1269"/>
        <v>2013.3495318433352</v>
      </c>
      <c r="CP168" s="21">
        <f t="shared" si="1269"/>
        <v>2178.8582000000006</v>
      </c>
      <c r="CQ168" s="21">
        <f t="shared" si="1269"/>
        <v>2060.1679725044914</v>
      </c>
      <c r="CR168" s="21">
        <f t="shared" si="1269"/>
        <v>2311.4414865948802</v>
      </c>
      <c r="CS168" s="21">
        <f t="shared" si="1269"/>
        <v>2375.7524475751352</v>
      </c>
      <c r="CT168" s="21">
        <f t="shared" si="1269"/>
        <v>2571.0526760000012</v>
      </c>
      <c r="CU168" s="21">
        <f t="shared" si="1269"/>
        <v>2430.9982075553007</v>
      </c>
      <c r="CV168" s="21">
        <f t="shared" si="1269"/>
        <v>2727.5009541819591</v>
      </c>
      <c r="CW168" s="21">
        <f t="shared" si="1269"/>
        <v>2803.3878881386599</v>
      </c>
      <c r="CX168" s="21">
        <f t="shared" si="1269"/>
        <v>3033.842157680001</v>
      </c>
      <c r="CY168" s="21">
        <f t="shared" si="1269"/>
        <v>2868.5778849152553</v>
      </c>
      <c r="CZ168" s="21">
        <f t="shared" si="1269"/>
        <v>3218.4511259347119</v>
      </c>
      <c r="DA168" s="21">
        <f t="shared" si="1269"/>
        <v>3307.9977080036197</v>
      </c>
      <c r="DB168" s="21">
        <f t="shared" si="1269"/>
        <v>3579.9337460624001</v>
      </c>
      <c r="DE168" s="126"/>
      <c r="DF168" s="22">
        <v>1929.7532966291792</v>
      </c>
    </row>
    <row r="169" spans="1:110" s="23" customFormat="1" x14ac:dyDescent="0.2">
      <c r="AB169" s="24"/>
      <c r="AC169" s="24"/>
      <c r="AD169" s="24"/>
      <c r="AE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</row>
    <row r="170" spans="1:110" s="23" customFormat="1" outlineLevel="1" x14ac:dyDescent="0.2">
      <c r="A170" s="23" t="s">
        <v>75</v>
      </c>
      <c r="B170" s="23">
        <f>'Annual Raw'!C75</f>
        <v>0</v>
      </c>
      <c r="C170" s="23">
        <f>'Annual Raw'!D75</f>
        <v>0</v>
      </c>
      <c r="D170" s="23">
        <f>'Annual Raw'!E75</f>
        <v>0</v>
      </c>
      <c r="E170" s="23">
        <f>'Annual Raw'!F75</f>
        <v>0</v>
      </c>
      <c r="F170" s="23">
        <f>'Annual Raw'!G75</f>
        <v>0</v>
      </c>
      <c r="G170" s="23">
        <f>'Annual Raw'!H75</f>
        <v>0</v>
      </c>
      <c r="H170" s="23">
        <f>'Annual Raw'!I75</f>
        <v>0</v>
      </c>
      <c r="I170" s="23">
        <f>'Annual Raw'!J75</f>
        <v>0</v>
      </c>
      <c r="J170" s="23">
        <f>'Annual Raw'!K75</f>
        <v>0</v>
      </c>
      <c r="K170" s="23">
        <f>'Annual Raw'!L75</f>
        <v>0</v>
      </c>
      <c r="L170" s="23">
        <f>'Annual Raw'!M75</f>
        <v>0</v>
      </c>
      <c r="M170" s="23">
        <f>'Annual Raw'!N75</f>
        <v>0</v>
      </c>
      <c r="N170" s="23">
        <f>'Annual Raw'!O75</f>
        <v>0</v>
      </c>
      <c r="O170" s="23">
        <f>'Annual Raw'!P75</f>
        <v>0</v>
      </c>
      <c r="P170" s="23">
        <f>'Annual Raw'!Q75</f>
        <v>0</v>
      </c>
      <c r="Q170" s="23">
        <f>'Annual Raw'!R75</f>
        <v>0</v>
      </c>
      <c r="R170" s="23">
        <f>'Annual Raw'!S75</f>
        <v>0</v>
      </c>
      <c r="S170" s="23">
        <f>'Annual Raw'!T75</f>
        <v>0</v>
      </c>
      <c r="T170" s="23">
        <f>'Annual Raw'!U75</f>
        <v>0</v>
      </c>
      <c r="U170" s="23">
        <f>'Annual Raw'!V75</f>
        <v>0</v>
      </c>
      <c r="V170" s="23">
        <f>'Annual Raw'!W75</f>
        <v>0</v>
      </c>
      <c r="W170" s="23">
        <f>'Annual Raw'!X75</f>
        <v>0</v>
      </c>
      <c r="X170" s="23">
        <f>'Annual Raw'!Y75</f>
        <v>0</v>
      </c>
      <c r="Y170" s="23">
        <f>'Annual Raw'!Z75</f>
        <v>0</v>
      </c>
      <c r="Z170" s="23">
        <f>'Annual Raw'!AA75</f>
        <v>0</v>
      </c>
      <c r="AA170" s="23">
        <f>'Annual Raw'!AB75</f>
        <v>0</v>
      </c>
      <c r="AB170" s="24">
        <f t="shared" ref="AB170:AB171" si="1271">+CP170</f>
        <v>0</v>
      </c>
      <c r="AC170" s="24">
        <f t="shared" ref="AC170:AC171" si="1272">+CT170</f>
        <v>0</v>
      </c>
      <c r="AD170" s="24">
        <f t="shared" ref="AD170:AD171" si="1273">+CX170</f>
        <v>0</v>
      </c>
      <c r="AE170" s="24">
        <f t="shared" ref="AE170:AE171" si="1274">+DB170</f>
        <v>0</v>
      </c>
      <c r="AJ170" s="23">
        <f>+'QTR Raw'!D80</f>
        <v>0</v>
      </c>
      <c r="AL170" s="23">
        <f>+'QTR Raw'!F80</f>
        <v>0</v>
      </c>
      <c r="AN170" s="23">
        <f>+'QTR Raw'!H80</f>
        <v>0</v>
      </c>
      <c r="AP170" s="23">
        <f>+'QTR Raw'!J80</f>
        <v>0</v>
      </c>
      <c r="AR170" s="23">
        <f>+'QTR Raw'!L80</f>
        <v>0</v>
      </c>
      <c r="AT170" s="23">
        <f>+'QTR Raw'!N80</f>
        <v>0</v>
      </c>
      <c r="AV170" s="23">
        <f>+'QTR Raw'!P80</f>
        <v>0</v>
      </c>
      <c r="AX170" s="23">
        <f>+'QTR Raw'!R80</f>
        <v>0</v>
      </c>
      <c r="AZ170" s="23">
        <f>+'QTR Raw'!T80</f>
        <v>0</v>
      </c>
      <c r="BB170" s="23">
        <f>+'QTR Raw'!V80</f>
        <v>0</v>
      </c>
      <c r="BD170" s="23">
        <f>+'QTR Raw'!X80</f>
        <v>0</v>
      </c>
      <c r="BF170" s="23">
        <f>+'QTR Raw'!Z80</f>
        <v>0</v>
      </c>
      <c r="BH170" s="23">
        <f>+'QTR Raw'!AB80</f>
        <v>0</v>
      </c>
      <c r="BJ170" s="23">
        <f>+'QTR Raw'!AD80</f>
        <v>0</v>
      </c>
      <c r="BL170" s="23">
        <f>+'QTR Raw'!AF80</f>
        <v>0</v>
      </c>
      <c r="BN170" s="23">
        <f>+'QTR Raw'!AH80</f>
        <v>0</v>
      </c>
      <c r="BP170" s="23">
        <f>+'QTR Raw'!AJ80</f>
        <v>0</v>
      </c>
      <c r="BR170" s="23">
        <f>+'QTR Raw'!AL80</f>
        <v>0</v>
      </c>
      <c r="BT170" s="23">
        <f>+'QTR Raw'!AN80</f>
        <v>0</v>
      </c>
      <c r="BV170" s="23">
        <f>+'QTR Raw'!AP80</f>
        <v>0</v>
      </c>
      <c r="BX170" s="23">
        <f>+'QTR Raw'!AR80</f>
        <v>0</v>
      </c>
      <c r="BZ170" s="23">
        <f>+'QTR Raw'!AT80</f>
        <v>0</v>
      </c>
      <c r="CB170" s="23">
        <f>+'QTR Raw'!AV80</f>
        <v>0</v>
      </c>
      <c r="CD170" s="23">
        <f>+'QTR Raw'!AX80</f>
        <v>0</v>
      </c>
      <c r="CF170" s="23">
        <f>+'QTR Raw'!AZ80</f>
        <v>0</v>
      </c>
      <c r="CH170" s="23">
        <f t="shared" ref="CH170:CH171" si="1275">Z170</f>
        <v>0</v>
      </c>
      <c r="CJ170" s="23">
        <f>+'QTR Raw'!BD80</f>
        <v>0</v>
      </c>
      <c r="CL170" s="23">
        <f>+'QTR Raw'!BF80</f>
        <v>0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76</v>
      </c>
      <c r="B171" s="23">
        <f>'Annual Raw'!C78</f>
        <v>0</v>
      </c>
      <c r="C171" s="23">
        <f>'Annual Raw'!D78</f>
        <v>0</v>
      </c>
      <c r="D171" s="23">
        <f>'Annual Raw'!E78</f>
        <v>0</v>
      </c>
      <c r="E171" s="23">
        <f>'Annual Raw'!F78</f>
        <v>0</v>
      </c>
      <c r="F171" s="23">
        <f>'Annual Raw'!G78</f>
        <v>5.1241674000000001</v>
      </c>
      <c r="G171" s="23">
        <f>'Annual Raw'!H78</f>
        <v>2.3223872999999999</v>
      </c>
      <c r="H171" s="23">
        <f>'Annual Raw'!I78</f>
        <v>5.9535593999999996</v>
      </c>
      <c r="I171" s="23">
        <f>'Annual Raw'!J78</f>
        <v>8.0171886000000008</v>
      </c>
      <c r="J171" s="23">
        <f>'Annual Raw'!K78</f>
        <v>5.3873430000000004</v>
      </c>
      <c r="K171" s="23">
        <f>'Annual Raw'!L78</f>
        <v>6.7442839000000001</v>
      </c>
      <c r="L171" s="23">
        <f>'Annual Raw'!M78</f>
        <v>15.884190500000001</v>
      </c>
      <c r="M171" s="23">
        <f>'Annual Raw'!N78</f>
        <v>20.288361699999999</v>
      </c>
      <c r="N171" s="23">
        <f>'Annual Raw'!O78</f>
        <v>11.72</v>
      </c>
      <c r="O171" s="23">
        <f>'Annual Raw'!P78</f>
        <v>7.0010000000000003</v>
      </c>
      <c r="P171" s="23">
        <f>'Annual Raw'!Q78</f>
        <v>16.690000000000001</v>
      </c>
      <c r="Q171" s="23">
        <f>'Annual Raw'!R78</f>
        <v>16.510000000000002</v>
      </c>
      <c r="R171" s="23">
        <f>'Annual Raw'!S78</f>
        <v>39.744</v>
      </c>
      <c r="S171" s="23">
        <f>'Annual Raw'!T78</f>
        <v>48.68</v>
      </c>
      <c r="T171" s="23">
        <f>'Annual Raw'!U78</f>
        <v>26.581</v>
      </c>
      <c r="U171" s="23">
        <f>'Annual Raw'!V78</f>
        <v>71.64</v>
      </c>
      <c r="V171" s="23">
        <f>'Annual Raw'!W78</f>
        <v>46.66</v>
      </c>
      <c r="W171" s="23">
        <f>'Annual Raw'!X78</f>
        <v>43.48</v>
      </c>
      <c r="X171" s="23">
        <f>'Annual Raw'!Y78</f>
        <v>47.34</v>
      </c>
      <c r="Y171" s="23">
        <f>'Annual Raw'!Z78</f>
        <v>83.02</v>
      </c>
      <c r="Z171" s="23">
        <f>'Annual Raw'!AA78</f>
        <v>123.23</v>
      </c>
      <c r="AA171" s="23">
        <f>'Annual Raw'!AB78</f>
        <v>178.78</v>
      </c>
      <c r="AB171" s="24">
        <f t="shared" si="1271"/>
        <v>863.21860328125922</v>
      </c>
      <c r="AC171" s="24">
        <f t="shared" si="1272"/>
        <v>1660.4184336681333</v>
      </c>
      <c r="AD171" s="24">
        <f t="shared" si="1273"/>
        <v>2594.4207090929599</v>
      </c>
      <c r="AE171" s="24">
        <f t="shared" si="1274"/>
        <v>3695.1487897572897</v>
      </c>
      <c r="AJ171" s="23">
        <f>+'QTR Raw'!D83</f>
        <v>0</v>
      </c>
      <c r="AK171" s="23" t="e">
        <f t="shared" ref="AK171:AM171" si="1276">+AK221</f>
        <v>#DIV/0!</v>
      </c>
      <c r="AL171" s="23">
        <f>+'QTR Raw'!F83</f>
        <v>0</v>
      </c>
      <c r="AM171" s="23" t="e">
        <f t="shared" si="1276"/>
        <v>#DIV/0!</v>
      </c>
      <c r="AN171" s="23">
        <f>+'QTR Raw'!H83</f>
        <v>0</v>
      </c>
      <c r="AO171" s="23" t="e">
        <f t="shared" ref="AO171" si="1277">+AO221</f>
        <v>#DIV/0!</v>
      </c>
      <c r="AP171" s="23">
        <f>+'QTR Raw'!J83</f>
        <v>0</v>
      </c>
      <c r="AQ171" s="23" t="e">
        <f t="shared" ref="AQ171" si="1278">+AQ221</f>
        <v>#DIV/0!</v>
      </c>
      <c r="AR171" s="23">
        <f>+'QTR Raw'!L83</f>
        <v>0</v>
      </c>
      <c r="AS171" s="23" t="e">
        <f t="shared" ref="AS171" si="1279">+AS221</f>
        <v>#DIV/0!</v>
      </c>
      <c r="AT171" s="23">
        <f>+'QTR Raw'!N83</f>
        <v>0</v>
      </c>
      <c r="AU171" s="23" t="e">
        <f t="shared" ref="AU171" si="1280">+AU221</f>
        <v>#DIV/0!</v>
      </c>
      <c r="AV171" s="23">
        <f>+'QTR Raw'!P83</f>
        <v>0</v>
      </c>
      <c r="AW171" s="23" t="e">
        <f t="shared" ref="AW171" si="1281">+AW221</f>
        <v>#DIV/0!</v>
      </c>
      <c r="AX171" s="23">
        <f>+'QTR Raw'!R83</f>
        <v>0</v>
      </c>
      <c r="AY171" s="23" t="e">
        <f t="shared" ref="AY171" si="1282">+AY221</f>
        <v>#DIV/0!</v>
      </c>
      <c r="AZ171" s="23">
        <f>+'QTR Raw'!T83</f>
        <v>0</v>
      </c>
      <c r="BA171" s="23" t="e">
        <f t="shared" ref="BA171" si="1283">+BA221</f>
        <v>#DIV/0!</v>
      </c>
      <c r="BB171" s="23">
        <f>+'QTR Raw'!V83</f>
        <v>0</v>
      </c>
      <c r="BC171" s="23" t="e">
        <f t="shared" ref="BC171" si="1284">+BC221</f>
        <v>#DIV/0!</v>
      </c>
      <c r="BD171" s="23">
        <f>+'QTR Raw'!X83</f>
        <v>0</v>
      </c>
      <c r="BE171" s="23" t="e">
        <f t="shared" ref="BE171" si="1285">+BE221</f>
        <v>#DIV/0!</v>
      </c>
      <c r="BF171" s="23">
        <f>+'QTR Raw'!Z83</f>
        <v>0</v>
      </c>
      <c r="BG171" s="23" t="e">
        <f t="shared" ref="BG171" si="1286">+BG221</f>
        <v>#DIV/0!</v>
      </c>
      <c r="BH171" s="23">
        <f>+'QTR Raw'!AB83</f>
        <v>0</v>
      </c>
      <c r="BI171" s="23" t="e">
        <f t="shared" ref="BI171" si="1287">+BI221</f>
        <v>#DIV/0!</v>
      </c>
      <c r="BJ171" s="23">
        <f>+'QTR Raw'!AD83</f>
        <v>0</v>
      </c>
      <c r="BK171" s="23" t="e">
        <f t="shared" ref="BK171" si="1288">+BK221</f>
        <v>#DIV/0!</v>
      </c>
      <c r="BL171" s="23">
        <f>+'QTR Raw'!AF83</f>
        <v>0</v>
      </c>
      <c r="BM171" s="23" t="e">
        <f t="shared" ref="BM171" si="1289">+BM221</f>
        <v>#DIV/0!</v>
      </c>
      <c r="BN171" s="23">
        <f>+'QTR Raw'!AH83</f>
        <v>71.64</v>
      </c>
      <c r="BO171" s="23">
        <f t="shared" ref="BO171" si="1290">+BO221</f>
        <v>177.47958972518751</v>
      </c>
      <c r="BP171" s="23">
        <f>+'QTR Raw'!AJ83</f>
        <v>0</v>
      </c>
      <c r="BQ171" s="23">
        <f t="shared" ref="BQ171" si="1291">+BQ221</f>
        <v>43.479999999999976</v>
      </c>
      <c r="BR171" s="23">
        <f>+'QTR Raw'!AL83</f>
        <v>46.66</v>
      </c>
      <c r="BS171" s="23">
        <f t="shared" ref="BS171" si="1292">+BS221</f>
        <v>126.24248622384411</v>
      </c>
      <c r="BT171" s="23">
        <f>+'QTR Raw'!AN83</f>
        <v>42.55</v>
      </c>
      <c r="BU171" s="23">
        <f t="shared" ref="BU171" si="1293">+BU221</f>
        <v>91.29128263953335</v>
      </c>
      <c r="BV171" s="23">
        <f>+'QTR Raw'!AP83</f>
        <v>43.48</v>
      </c>
      <c r="BW171" s="23">
        <f t="shared" ref="BW171" si="1294">+BW221</f>
        <v>85.904918756757525</v>
      </c>
      <c r="BX171" s="23">
        <f>+'QTR Raw'!AR83</f>
        <v>47.84</v>
      </c>
      <c r="BY171" s="23">
        <f t="shared" ref="BY171" si="1295">+BY221</f>
        <v>118.65305859012658</v>
      </c>
      <c r="BZ171" s="23">
        <f>+'QTR Raw'!AT83</f>
        <v>47.34</v>
      </c>
      <c r="CA171" s="23">
        <f t="shared" ref="CA171" si="1296">+CA221</f>
        <v>83.290386894743733</v>
      </c>
      <c r="CB171" s="23">
        <f>+'QTR Raw'!AV83</f>
        <v>39.659999999999997</v>
      </c>
      <c r="CC171" s="23">
        <f t="shared" ref="CC171" si="1297">+CC221</f>
        <v>147.30679795769504</v>
      </c>
      <c r="CD171" s="23">
        <f>+'QTR Raw'!AX83</f>
        <v>83.02</v>
      </c>
      <c r="CE171" s="23">
        <f t="shared" ref="CE171" si="1298">+CE221</f>
        <v>102.3283540810974</v>
      </c>
      <c r="CF171" s="23">
        <f>+'QTR Raw'!AZ83</f>
        <v>538.82000000000005</v>
      </c>
      <c r="CG171" s="23">
        <f t="shared" ref="CG171:CI171" si="1299">+CG221</f>
        <v>243.78706281148351</v>
      </c>
      <c r="CH171" s="23">
        <f t="shared" si="1275"/>
        <v>123.23</v>
      </c>
      <c r="CI171" s="23">
        <f t="shared" si="1299"/>
        <v>279.45052593968796</v>
      </c>
      <c r="CJ171" s="23">
        <f>+'QTR Raw'!BD83</f>
        <v>177</v>
      </c>
      <c r="CK171" s="23">
        <f t="shared" ref="CK171:DB171" si="1300">+CK221</f>
        <v>347.79283879315972</v>
      </c>
      <c r="CL171" s="23">
        <f>+'QTR Raw'!BF83</f>
        <v>178.78</v>
      </c>
      <c r="CM171" s="24">
        <f t="shared" si="1300"/>
        <v>502.03774150194681</v>
      </c>
      <c r="CN171" s="24">
        <f t="shared" si="1300"/>
        <v>541.61053133746975</v>
      </c>
      <c r="CO171" s="24">
        <f t="shared" si="1300"/>
        <v>748.36739739368477</v>
      </c>
      <c r="CP171" s="24">
        <f t="shared" si="1300"/>
        <v>863.21860328125922</v>
      </c>
      <c r="CQ171" s="24">
        <f t="shared" si="1300"/>
        <v>1244.3998789533371</v>
      </c>
      <c r="CR171" s="24">
        <f t="shared" si="1300"/>
        <v>1288.7693674203679</v>
      </c>
      <c r="CS171" s="24">
        <f t="shared" si="1300"/>
        <v>1527.7866907083464</v>
      </c>
      <c r="CT171" s="24">
        <f t="shared" si="1300"/>
        <v>1660.4184336681333</v>
      </c>
      <c r="CU171" s="24">
        <f t="shared" si="1300"/>
        <v>2108.5263610999118</v>
      </c>
      <c r="CV171" s="24">
        <f t="shared" si="1300"/>
        <v>2158.9024649581006</v>
      </c>
      <c r="CW171" s="24">
        <f t="shared" si="1300"/>
        <v>2439.0238378134327</v>
      </c>
      <c r="CX171" s="24">
        <f t="shared" si="1300"/>
        <v>2594.4207090929599</v>
      </c>
      <c r="CY171" s="24">
        <f t="shared" si="1300"/>
        <v>3122.412913921954</v>
      </c>
      <c r="CZ171" s="24">
        <f t="shared" si="1300"/>
        <v>3181.2977113790184</v>
      </c>
      <c r="DA171" s="24">
        <f t="shared" si="1300"/>
        <v>3511.611001465295</v>
      </c>
      <c r="DB171" s="24">
        <f t="shared" si="1300"/>
        <v>3695.1487897572897</v>
      </c>
      <c r="DE171" s="123"/>
      <c r="DF171" s="23">
        <v>523.84521321373234</v>
      </c>
    </row>
    <row r="172" spans="1:110" s="22" customFormat="1" x14ac:dyDescent="0.2">
      <c r="A172" s="22" t="s">
        <v>77</v>
      </c>
      <c r="B172" s="22">
        <f>B170+B171</f>
        <v>0</v>
      </c>
      <c r="C172" s="22">
        <f t="shared" ref="C172:V172" si="1301">C170+C171</f>
        <v>0</v>
      </c>
      <c r="D172" s="22">
        <f t="shared" si="1301"/>
        <v>0</v>
      </c>
      <c r="E172" s="22">
        <f t="shared" si="1301"/>
        <v>0</v>
      </c>
      <c r="F172" s="22">
        <f t="shared" si="1301"/>
        <v>5.1241674000000001</v>
      </c>
      <c r="G172" s="22">
        <f t="shared" si="1301"/>
        <v>2.3223872999999999</v>
      </c>
      <c r="H172" s="22">
        <f t="shared" si="1301"/>
        <v>5.9535593999999996</v>
      </c>
      <c r="I172" s="22">
        <f t="shared" si="1301"/>
        <v>8.0171886000000008</v>
      </c>
      <c r="J172" s="22">
        <f t="shared" si="1301"/>
        <v>5.3873430000000004</v>
      </c>
      <c r="K172" s="22">
        <f t="shared" si="1301"/>
        <v>6.7442839000000001</v>
      </c>
      <c r="L172" s="22">
        <f t="shared" si="1301"/>
        <v>15.884190500000001</v>
      </c>
      <c r="M172" s="22">
        <f t="shared" si="1301"/>
        <v>20.288361699999999</v>
      </c>
      <c r="N172" s="22">
        <f t="shared" si="1301"/>
        <v>11.72</v>
      </c>
      <c r="O172" s="22">
        <f t="shared" si="1301"/>
        <v>7.0010000000000003</v>
      </c>
      <c r="P172" s="22">
        <f t="shared" si="1301"/>
        <v>16.690000000000001</v>
      </c>
      <c r="Q172" s="22">
        <f t="shared" si="1301"/>
        <v>16.510000000000002</v>
      </c>
      <c r="R172" s="22">
        <f t="shared" si="1301"/>
        <v>39.744</v>
      </c>
      <c r="S172" s="22">
        <f t="shared" si="1301"/>
        <v>48.68</v>
      </c>
      <c r="T172" s="22">
        <f t="shared" si="1301"/>
        <v>26.581</v>
      </c>
      <c r="U172" s="22">
        <f t="shared" si="1301"/>
        <v>71.64</v>
      </c>
      <c r="V172" s="22">
        <f t="shared" si="1301"/>
        <v>46.66</v>
      </c>
      <c r="W172" s="22">
        <f t="shared" ref="W172" si="1302">W170+W171</f>
        <v>43.48</v>
      </c>
      <c r="X172" s="22">
        <f t="shared" ref="X172:Y172" si="1303">X170+X171</f>
        <v>47.34</v>
      </c>
      <c r="Y172" s="22">
        <f t="shared" si="1303"/>
        <v>83.02</v>
      </c>
      <c r="Z172" s="22">
        <f t="shared" ref="Z172:AA172" si="1304">Z170+Z171</f>
        <v>123.23</v>
      </c>
      <c r="AA172" s="22">
        <f t="shared" si="1304"/>
        <v>178.78</v>
      </c>
      <c r="AB172" s="21">
        <f t="shared" ref="AA172:AD172" si="1305">AB170+AB171</f>
        <v>863.21860328125922</v>
      </c>
      <c r="AC172" s="21">
        <f t="shared" si="1305"/>
        <v>1660.4184336681333</v>
      </c>
      <c r="AD172" s="21">
        <f t="shared" si="1305"/>
        <v>2594.4207090929599</v>
      </c>
      <c r="AE172" s="21">
        <f t="shared" ref="AE172" si="1306">AE170+AE171</f>
        <v>3695.1487897572897</v>
      </c>
      <c r="AJ172" s="22">
        <f t="shared" ref="AJ172" si="1307">AJ170+AJ171</f>
        <v>0</v>
      </c>
      <c r="AK172" s="22" t="e">
        <f t="shared" ref="AK172" si="1308">AK170+AK171</f>
        <v>#DIV/0!</v>
      </c>
      <c r="AL172" s="22">
        <f t="shared" ref="AL172:AM172" si="1309">AL170+AL171</f>
        <v>0</v>
      </c>
      <c r="AM172" s="22" t="e">
        <f t="shared" si="1309"/>
        <v>#DIV/0!</v>
      </c>
      <c r="AN172" s="22">
        <f t="shared" ref="AN172:AO172" si="1310">AN170+AN171</f>
        <v>0</v>
      </c>
      <c r="AO172" s="22" t="e">
        <f t="shared" si="1310"/>
        <v>#DIV/0!</v>
      </c>
      <c r="AP172" s="22">
        <f t="shared" ref="AP172:CE172" si="1311">AP170+AP171</f>
        <v>0</v>
      </c>
      <c r="AQ172" s="22" t="e">
        <f t="shared" si="1311"/>
        <v>#DIV/0!</v>
      </c>
      <c r="AR172" s="22">
        <f t="shared" si="1311"/>
        <v>0</v>
      </c>
      <c r="AS172" s="22" t="e">
        <f t="shared" si="1311"/>
        <v>#DIV/0!</v>
      </c>
      <c r="AT172" s="22">
        <f t="shared" si="1311"/>
        <v>0</v>
      </c>
      <c r="AU172" s="22" t="e">
        <f t="shared" si="1311"/>
        <v>#DIV/0!</v>
      </c>
      <c r="AV172" s="22">
        <f t="shared" si="1311"/>
        <v>0</v>
      </c>
      <c r="AW172" s="22" t="e">
        <f t="shared" si="1311"/>
        <v>#DIV/0!</v>
      </c>
      <c r="AX172" s="22">
        <f t="shared" si="1311"/>
        <v>0</v>
      </c>
      <c r="AY172" s="22" t="e">
        <f t="shared" si="1311"/>
        <v>#DIV/0!</v>
      </c>
      <c r="AZ172" s="22">
        <f t="shared" si="1311"/>
        <v>0</v>
      </c>
      <c r="BA172" s="22" t="e">
        <f t="shared" si="1311"/>
        <v>#DIV/0!</v>
      </c>
      <c r="BB172" s="22">
        <f t="shared" si="1311"/>
        <v>0</v>
      </c>
      <c r="BC172" s="22" t="e">
        <f t="shared" si="1311"/>
        <v>#DIV/0!</v>
      </c>
      <c r="BD172" s="22">
        <f t="shared" si="1311"/>
        <v>0</v>
      </c>
      <c r="BE172" s="22" t="e">
        <f t="shared" si="1311"/>
        <v>#DIV/0!</v>
      </c>
      <c r="BF172" s="22">
        <f t="shared" si="1311"/>
        <v>0</v>
      </c>
      <c r="BG172" s="22" t="e">
        <f t="shared" si="1311"/>
        <v>#DIV/0!</v>
      </c>
      <c r="BH172" s="22">
        <f t="shared" si="1311"/>
        <v>0</v>
      </c>
      <c r="BI172" s="22" t="e">
        <f t="shared" si="1311"/>
        <v>#DIV/0!</v>
      </c>
      <c r="BJ172" s="22">
        <f t="shared" si="1311"/>
        <v>0</v>
      </c>
      <c r="BK172" s="22" t="e">
        <f t="shared" si="1311"/>
        <v>#DIV/0!</v>
      </c>
      <c r="BL172" s="22">
        <f t="shared" si="1311"/>
        <v>0</v>
      </c>
      <c r="BM172" s="22" t="e">
        <f t="shared" si="1311"/>
        <v>#DIV/0!</v>
      </c>
      <c r="BN172" s="22">
        <f t="shared" si="1311"/>
        <v>71.64</v>
      </c>
      <c r="BO172" s="22">
        <f t="shared" si="1311"/>
        <v>177.47958972518751</v>
      </c>
      <c r="BP172" s="22">
        <f t="shared" si="1311"/>
        <v>0</v>
      </c>
      <c r="BQ172" s="22">
        <f t="shared" si="1311"/>
        <v>43.479999999999976</v>
      </c>
      <c r="BR172" s="22">
        <f t="shared" si="1311"/>
        <v>46.66</v>
      </c>
      <c r="BS172" s="22">
        <f t="shared" si="1311"/>
        <v>126.24248622384411</v>
      </c>
      <c r="BT172" s="22">
        <f t="shared" si="1311"/>
        <v>42.55</v>
      </c>
      <c r="BU172" s="22">
        <f t="shared" si="1311"/>
        <v>91.29128263953335</v>
      </c>
      <c r="BV172" s="22">
        <f t="shared" si="1311"/>
        <v>43.48</v>
      </c>
      <c r="BW172" s="22">
        <f t="shared" si="1311"/>
        <v>85.904918756757525</v>
      </c>
      <c r="BX172" s="22">
        <f t="shared" si="1311"/>
        <v>47.84</v>
      </c>
      <c r="BY172" s="22">
        <f t="shared" si="1311"/>
        <v>118.65305859012658</v>
      </c>
      <c r="BZ172" s="22">
        <f t="shared" si="1311"/>
        <v>47.34</v>
      </c>
      <c r="CA172" s="22">
        <f t="shared" si="1311"/>
        <v>83.290386894743733</v>
      </c>
      <c r="CB172" s="22">
        <f t="shared" si="1311"/>
        <v>39.659999999999997</v>
      </c>
      <c r="CC172" s="22">
        <f t="shared" si="1311"/>
        <v>147.30679795769504</v>
      </c>
      <c r="CD172" s="22">
        <f t="shared" si="1311"/>
        <v>83.02</v>
      </c>
      <c r="CE172" s="22">
        <f t="shared" si="1311"/>
        <v>102.3283540810974</v>
      </c>
      <c r="CF172" s="22">
        <f t="shared" ref="CF172:CG172" si="1312">CF170+CF171</f>
        <v>538.82000000000005</v>
      </c>
      <c r="CG172" s="22">
        <f t="shared" si="1312"/>
        <v>243.78706281148351</v>
      </c>
      <c r="CH172" s="22">
        <f t="shared" ref="CH172:CI172" si="1313">CH170+CH171</f>
        <v>123.23</v>
      </c>
      <c r="CI172" s="22">
        <f t="shared" si="1313"/>
        <v>279.45052593968796</v>
      </c>
      <c r="CJ172" s="22">
        <f t="shared" ref="CJ172:DB172" si="1314">CJ170+CJ171</f>
        <v>177</v>
      </c>
      <c r="CK172" s="22">
        <f t="shared" si="1314"/>
        <v>347.79283879315972</v>
      </c>
      <c r="CL172" s="22">
        <f t="shared" ref="CL172" si="1315">CL170+CL171</f>
        <v>178.78</v>
      </c>
      <c r="CM172" s="21">
        <f t="shared" si="1314"/>
        <v>502.03774150194681</v>
      </c>
      <c r="CN172" s="21">
        <f t="shared" si="1314"/>
        <v>541.61053133746975</v>
      </c>
      <c r="CO172" s="21">
        <f t="shared" si="1314"/>
        <v>748.36739739368477</v>
      </c>
      <c r="CP172" s="21">
        <f t="shared" si="1314"/>
        <v>863.21860328125922</v>
      </c>
      <c r="CQ172" s="21">
        <f t="shared" si="1314"/>
        <v>1244.3998789533371</v>
      </c>
      <c r="CR172" s="21">
        <f t="shared" si="1314"/>
        <v>1288.7693674203679</v>
      </c>
      <c r="CS172" s="21">
        <f t="shared" si="1314"/>
        <v>1527.7866907083464</v>
      </c>
      <c r="CT172" s="21">
        <f t="shared" si="1314"/>
        <v>1660.4184336681333</v>
      </c>
      <c r="CU172" s="21">
        <f t="shared" si="1314"/>
        <v>2108.5263610999118</v>
      </c>
      <c r="CV172" s="21">
        <f t="shared" si="1314"/>
        <v>2158.9024649581006</v>
      </c>
      <c r="CW172" s="21">
        <f t="shared" si="1314"/>
        <v>2439.0238378134327</v>
      </c>
      <c r="CX172" s="21">
        <f t="shared" si="1314"/>
        <v>2594.4207090929599</v>
      </c>
      <c r="CY172" s="21">
        <f t="shared" si="1314"/>
        <v>3122.412913921954</v>
      </c>
      <c r="CZ172" s="21">
        <f t="shared" si="1314"/>
        <v>3181.2977113790184</v>
      </c>
      <c r="DA172" s="21">
        <f t="shared" si="1314"/>
        <v>3511.611001465295</v>
      </c>
      <c r="DB172" s="21">
        <f t="shared" si="1314"/>
        <v>3695.1487897572897</v>
      </c>
      <c r="DE172" s="126"/>
      <c r="DF172" s="22">
        <v>523.84521321373234</v>
      </c>
    </row>
    <row r="173" spans="1:110" s="23" customFormat="1" x14ac:dyDescent="0.2">
      <c r="AB173" s="24"/>
      <c r="AC173" s="24"/>
      <c r="AD173" s="24"/>
      <c r="AE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3" customFormat="1" x14ac:dyDescent="0.2">
      <c r="A174" s="23" t="s">
        <v>78</v>
      </c>
      <c r="B174" s="23">
        <f>-'Annual Raw'!C49</f>
        <v>0</v>
      </c>
      <c r="C174" s="23">
        <f>-'Annual Raw'!D49</f>
        <v>0</v>
      </c>
      <c r="D174" s="23">
        <f>-'Annual Raw'!E49</f>
        <v>0</v>
      </c>
      <c r="E174" s="23">
        <f>-'Annual Raw'!F49</f>
        <v>0</v>
      </c>
      <c r="F174" s="23">
        <f>-'Annual Raw'!G49</f>
        <v>-6.8360000000000003</v>
      </c>
      <c r="G174" s="23">
        <f>-'Annual Raw'!H49</f>
        <v>-7.9432999999999998</v>
      </c>
      <c r="H174" s="23">
        <f>-'Annual Raw'!I49</f>
        <v>-10.0185</v>
      </c>
      <c r="I174" s="23">
        <f>-'Annual Raw'!J49</f>
        <v>-14.706300000000001</v>
      </c>
      <c r="J174" s="23">
        <f>-'Annual Raw'!K49</f>
        <v>-17.985600000000002</v>
      </c>
      <c r="K174" s="23">
        <f>-'Annual Raw'!L49</f>
        <v>-19.767900000000001</v>
      </c>
      <c r="L174" s="23">
        <f>-'Annual Raw'!M49</f>
        <v>-31.639696499999999</v>
      </c>
      <c r="M174" s="23">
        <f>-'Annual Raw'!N49</f>
        <v>-49.648132599999997</v>
      </c>
      <c r="N174" s="23">
        <f>-'Annual Raw'!O49</f>
        <v>-40.954999999999998</v>
      </c>
      <c r="O174" s="23">
        <f>-'Annual Raw'!P49</f>
        <v>-48.591000000000001</v>
      </c>
      <c r="P174" s="23">
        <f>-'Annual Raw'!Q49</f>
        <v>-47.417000000000002</v>
      </c>
      <c r="Q174" s="23">
        <f>-'Annual Raw'!R49</f>
        <v>-46.442</v>
      </c>
      <c r="R174" s="23">
        <f>-'Annual Raw'!S49</f>
        <v>-28.381</v>
      </c>
      <c r="S174" s="23">
        <f>-'Annual Raw'!T49</f>
        <v>-32.83</v>
      </c>
      <c r="T174" s="23">
        <f>-'Annual Raw'!U49</f>
        <v>-35.526000000000003</v>
      </c>
      <c r="U174" s="23">
        <f>-'Annual Raw'!V49</f>
        <v>-38.549999999999997</v>
      </c>
      <c r="V174" s="23">
        <f>-'Annual Raw'!W49</f>
        <v>-68.38</v>
      </c>
      <c r="W174" s="23">
        <f>-'Annual Raw'!X49</f>
        <v>-116.78</v>
      </c>
      <c r="X174" s="23">
        <f>-'Annual Raw'!Y49</f>
        <v>-141.12</v>
      </c>
      <c r="Y174" s="23">
        <f>-'Annual Raw'!Z49</f>
        <v>-131.47999999999999</v>
      </c>
      <c r="Z174" s="23">
        <f>-'Annual Raw'!AA49</f>
        <v>-6.06</v>
      </c>
      <c r="AA174" s="23">
        <f>-'Annual Raw'!AB49</f>
        <v>-22.33</v>
      </c>
      <c r="AB174" s="24">
        <f t="shared" ref="AB174:AB175" si="1316">+CP174</f>
        <v>-22.33</v>
      </c>
      <c r="AC174" s="24">
        <f t="shared" ref="AC174:AC175" si="1317">+CT174</f>
        <v>-22.33</v>
      </c>
      <c r="AD174" s="24">
        <f t="shared" ref="AD174:AD175" si="1318">+CX174</f>
        <v>-22.33</v>
      </c>
      <c r="AE174" s="24">
        <f t="shared" ref="AE174:AE175" si="1319">+DB174</f>
        <v>-22.33</v>
      </c>
      <c r="AJ174" s="23">
        <f>+'QTR Raw'!D96</f>
        <v>0</v>
      </c>
      <c r="AK174" s="23">
        <f t="shared" ref="AK174:CE174" si="1320">+AJ174</f>
        <v>0</v>
      </c>
      <c r="AL174" s="23">
        <f>+'QTR Raw'!F96</f>
        <v>0</v>
      </c>
      <c r="AM174" s="23">
        <f t="shared" si="1320"/>
        <v>0</v>
      </c>
      <c r="AN174" s="23">
        <f>+'QTR Raw'!H96</f>
        <v>0</v>
      </c>
      <c r="AO174" s="23">
        <f t="shared" si="1320"/>
        <v>0</v>
      </c>
      <c r="AP174" s="23">
        <f>+'QTR Raw'!J96</f>
        <v>0</v>
      </c>
      <c r="AQ174" s="23">
        <f t="shared" si="1320"/>
        <v>0</v>
      </c>
      <c r="AR174" s="23">
        <f>+'QTR Raw'!L96</f>
        <v>0</v>
      </c>
      <c r="AS174" s="23">
        <f t="shared" si="1320"/>
        <v>0</v>
      </c>
      <c r="AT174" s="23">
        <f>+'QTR Raw'!N96</f>
        <v>0</v>
      </c>
      <c r="AU174" s="23">
        <f t="shared" si="1320"/>
        <v>0</v>
      </c>
      <c r="AV174" s="23">
        <f>+'QTR Raw'!P96</f>
        <v>0</v>
      </c>
      <c r="AW174" s="23">
        <f t="shared" si="1320"/>
        <v>0</v>
      </c>
      <c r="AX174" s="23">
        <f>+'QTR Raw'!R96</f>
        <v>0</v>
      </c>
      <c r="AY174" s="23">
        <f t="shared" si="1320"/>
        <v>0</v>
      </c>
      <c r="AZ174" s="23">
        <f>+'QTR Raw'!T96</f>
        <v>0</v>
      </c>
      <c r="BA174" s="23">
        <f t="shared" si="1320"/>
        <v>0</v>
      </c>
      <c r="BB174" s="23">
        <f>+'QTR Raw'!V96</f>
        <v>0</v>
      </c>
      <c r="BC174" s="23">
        <f t="shared" si="1320"/>
        <v>0</v>
      </c>
      <c r="BD174" s="23">
        <f>+'QTR Raw'!X96</f>
        <v>0</v>
      </c>
      <c r="BE174" s="23">
        <f t="shared" si="1320"/>
        <v>0</v>
      </c>
      <c r="BF174" s="23">
        <f>+'QTR Raw'!Z96</f>
        <v>0</v>
      </c>
      <c r="BG174" s="23">
        <f t="shared" si="1320"/>
        <v>0</v>
      </c>
      <c r="BH174" s="23">
        <f>+'QTR Raw'!AB96</f>
        <v>0</v>
      </c>
      <c r="BI174" s="23">
        <f t="shared" si="1320"/>
        <v>0</v>
      </c>
      <c r="BJ174" s="23">
        <f>+'QTR Raw'!AD96</f>
        <v>0</v>
      </c>
      <c r="BK174" s="23">
        <f t="shared" si="1320"/>
        <v>0</v>
      </c>
      <c r="BL174" s="23">
        <f>+'QTR Raw'!AF96</f>
        <v>0</v>
      </c>
      <c r="BM174" s="23">
        <f t="shared" si="1320"/>
        <v>0</v>
      </c>
      <c r="BN174" s="23">
        <f>+'QTR Raw'!AH96</f>
        <v>-38.549999999999997</v>
      </c>
      <c r="BO174" s="23">
        <f t="shared" si="1320"/>
        <v>-38.549999999999997</v>
      </c>
      <c r="BP174" s="23">
        <f>+'QTR Raw'!AJ96</f>
        <v>0</v>
      </c>
      <c r="BQ174" s="23">
        <f t="shared" si="1320"/>
        <v>0</v>
      </c>
      <c r="BR174" s="23">
        <f>+'QTR Raw'!AL96</f>
        <v>-68.38</v>
      </c>
      <c r="BS174" s="23">
        <f t="shared" si="1320"/>
        <v>-68.38</v>
      </c>
      <c r="BT174" s="23">
        <f>+'QTR Raw'!AN96</f>
        <v>-88.94</v>
      </c>
      <c r="BU174" s="23">
        <f t="shared" si="1320"/>
        <v>-88.94</v>
      </c>
      <c r="BV174" s="23">
        <f>+'QTR Raw'!AP96</f>
        <v>-116.78</v>
      </c>
      <c r="BW174" s="23">
        <f t="shared" si="1320"/>
        <v>-116.78</v>
      </c>
      <c r="BX174" s="23">
        <f>+'QTR Raw'!AR96</f>
        <v>-141.91</v>
      </c>
      <c r="BY174" s="23">
        <f t="shared" si="1320"/>
        <v>-141.91</v>
      </c>
      <c r="BZ174" s="23">
        <f>+'QTR Raw'!AT96</f>
        <v>-141.12</v>
      </c>
      <c r="CA174" s="23">
        <f t="shared" si="1320"/>
        <v>-141.12</v>
      </c>
      <c r="CB174" s="23">
        <f>+'QTR Raw'!AV96</f>
        <v>-132.96</v>
      </c>
      <c r="CC174" s="23">
        <f t="shared" si="1320"/>
        <v>-132.96</v>
      </c>
      <c r="CD174" s="23">
        <f>+'QTR Raw'!AX96</f>
        <v>-131.47999999999999</v>
      </c>
      <c r="CE174" s="23">
        <f t="shared" si="1320"/>
        <v>-131.47999999999999</v>
      </c>
      <c r="CF174" s="23">
        <f>+'QTR Raw'!AZ96</f>
        <v>-132.87</v>
      </c>
      <c r="CG174" s="23">
        <f t="shared" ref="CG174:CI175" si="1321">+CF174</f>
        <v>-132.87</v>
      </c>
      <c r="CH174" s="23">
        <f t="shared" ref="CH174:CH175" si="1322">Z174</f>
        <v>-6.06</v>
      </c>
      <c r="CI174" s="23">
        <f t="shared" si="1321"/>
        <v>-6.06</v>
      </c>
      <c r="CJ174" s="23">
        <f>+'QTR Raw'!BD96</f>
        <v>-4.54</v>
      </c>
      <c r="CK174" s="23">
        <f t="shared" ref="CK174:CK175" si="1323">+CJ174</f>
        <v>-4.54</v>
      </c>
      <c r="CL174" s="23">
        <f>+'QTR Raw'!BF96</f>
        <v>-22.33</v>
      </c>
      <c r="CM174" s="24">
        <f t="shared" ref="CM174:CM175" si="1324">+CL174</f>
        <v>-22.33</v>
      </c>
      <c r="CN174" s="24">
        <f t="shared" ref="CN174:CN175" si="1325">+CM174</f>
        <v>-22.33</v>
      </c>
      <c r="CO174" s="24">
        <f t="shared" ref="CO174:CO175" si="1326">+CN174</f>
        <v>-22.33</v>
      </c>
      <c r="CP174" s="24">
        <f t="shared" ref="CP174:CP175" si="1327">+CO174</f>
        <v>-22.33</v>
      </c>
      <c r="CQ174" s="24">
        <f t="shared" ref="CQ174:CQ175" si="1328">+CP174</f>
        <v>-22.33</v>
      </c>
      <c r="CR174" s="24">
        <f t="shared" ref="CR174:CR175" si="1329">+CQ174</f>
        <v>-22.33</v>
      </c>
      <c r="CS174" s="24">
        <f t="shared" ref="CS174:CS175" si="1330">+CR174</f>
        <v>-22.33</v>
      </c>
      <c r="CT174" s="24">
        <f t="shared" ref="CT174:CT175" si="1331">+CS174</f>
        <v>-22.33</v>
      </c>
      <c r="CU174" s="24">
        <f t="shared" ref="CU174:CU175" si="1332">+CT174</f>
        <v>-22.33</v>
      </c>
      <c r="CV174" s="24">
        <f t="shared" ref="CV174:CV175" si="1333">+CU174</f>
        <v>-22.33</v>
      </c>
      <c r="CW174" s="24">
        <f t="shared" ref="CW174:CW175" si="1334">+CV174</f>
        <v>-22.33</v>
      </c>
      <c r="CX174" s="24">
        <f t="shared" ref="CX174:CX175" si="1335">+CW174</f>
        <v>-22.33</v>
      </c>
      <c r="CY174" s="24">
        <f t="shared" ref="CY174:CY175" si="1336">+CX174</f>
        <v>-22.33</v>
      </c>
      <c r="CZ174" s="24">
        <f t="shared" ref="CZ174:CZ175" si="1337">+CY174</f>
        <v>-22.33</v>
      </c>
      <c r="DA174" s="24">
        <f t="shared" ref="DA174:DA175" si="1338">+CZ174</f>
        <v>-22.33</v>
      </c>
      <c r="DB174" s="24">
        <f t="shared" ref="DB174:DB175" si="1339">+DA174</f>
        <v>-22.33</v>
      </c>
      <c r="DE174" s="123"/>
      <c r="DF174" s="23">
        <v>-4.54</v>
      </c>
    </row>
    <row r="175" spans="1:110" s="23" customFormat="1" x14ac:dyDescent="0.2">
      <c r="A175" s="23" t="s">
        <v>79</v>
      </c>
      <c r="B175" s="23">
        <f>'Annual Raw'!C83</f>
        <v>0</v>
      </c>
      <c r="C175" s="23">
        <f>'Annual Raw'!D83</f>
        <v>0</v>
      </c>
      <c r="D175" s="23">
        <f>'Annual Raw'!E83</f>
        <v>0</v>
      </c>
      <c r="E175" s="23">
        <f>'Annual Raw'!F83</f>
        <v>0</v>
      </c>
      <c r="F175" s="23">
        <f>'Annual Raw'!G83</f>
        <v>0</v>
      </c>
      <c r="G175" s="23">
        <f>'Annual Raw'!H83</f>
        <v>0</v>
      </c>
      <c r="H175" s="23">
        <f>'Annual Raw'!I83</f>
        <v>0</v>
      </c>
      <c r="I175" s="23">
        <f>'Annual Raw'!J83</f>
        <v>0</v>
      </c>
      <c r="J175" s="23">
        <f>'Annual Raw'!K83</f>
        <v>0</v>
      </c>
      <c r="K175" s="23">
        <f>'Annual Raw'!L83</f>
        <v>0</v>
      </c>
      <c r="L175" s="23">
        <f>'Annual Raw'!M83</f>
        <v>0</v>
      </c>
      <c r="M175" s="23">
        <f>'Annual Raw'!N83</f>
        <v>0</v>
      </c>
      <c r="N175" s="23">
        <f>'Annual Raw'!O83</f>
        <v>0</v>
      </c>
      <c r="O175" s="23">
        <f>'Annual Raw'!P83</f>
        <v>0</v>
      </c>
      <c r="P175" s="23">
        <f>'Annual Raw'!Q83</f>
        <v>0</v>
      </c>
      <c r="Q175" s="23">
        <f>'Annual Raw'!R83</f>
        <v>0</v>
      </c>
      <c r="R175" s="23">
        <f>'Annual Raw'!S83</f>
        <v>0</v>
      </c>
      <c r="S175" s="23">
        <f>'Annual Raw'!T83</f>
        <v>0</v>
      </c>
      <c r="T175" s="23">
        <f>'Annual Raw'!U83</f>
        <v>0</v>
      </c>
      <c r="U175" s="23">
        <f>'Annual Raw'!V83</f>
        <v>0</v>
      </c>
      <c r="V175" s="23">
        <f>'Annual Raw'!W83</f>
        <v>0</v>
      </c>
      <c r="W175" s="23">
        <f>'Annual Raw'!X83</f>
        <v>0</v>
      </c>
      <c r="X175" s="23">
        <f>'Annual Raw'!Y83</f>
        <v>0</v>
      </c>
      <c r="Y175" s="23">
        <f>'Annual Raw'!Z83</f>
        <v>0</v>
      </c>
      <c r="Z175" s="23">
        <f>'Annual Raw'!AA83</f>
        <v>0</v>
      </c>
      <c r="AA175" s="23">
        <f>'Annual Raw'!AB83</f>
        <v>0</v>
      </c>
      <c r="AB175" s="24">
        <f t="shared" si="1316"/>
        <v>0</v>
      </c>
      <c r="AC175" s="24">
        <f t="shared" si="1317"/>
        <v>0</v>
      </c>
      <c r="AD175" s="24">
        <f t="shared" si="1318"/>
        <v>0</v>
      </c>
      <c r="AE175" s="24">
        <f t="shared" si="1319"/>
        <v>0</v>
      </c>
      <c r="AJ175" s="23">
        <f>+'QTR Raw'!D95</f>
        <v>0</v>
      </c>
      <c r="AK175" s="23">
        <f t="shared" ref="AK175:CE175" si="1340">+AJ175</f>
        <v>0</v>
      </c>
      <c r="AL175" s="23">
        <f>+'QTR Raw'!F95</f>
        <v>0</v>
      </c>
      <c r="AM175" s="23">
        <f t="shared" si="1340"/>
        <v>0</v>
      </c>
      <c r="AN175" s="23">
        <f>+'QTR Raw'!H95</f>
        <v>0</v>
      </c>
      <c r="AO175" s="23">
        <f t="shared" si="1340"/>
        <v>0</v>
      </c>
      <c r="AP175" s="23">
        <f>+'QTR Raw'!J95</f>
        <v>0</v>
      </c>
      <c r="AQ175" s="23">
        <f t="shared" si="1340"/>
        <v>0</v>
      </c>
      <c r="AR175" s="23">
        <f>+'QTR Raw'!L95</f>
        <v>0</v>
      </c>
      <c r="AS175" s="23">
        <f t="shared" si="1340"/>
        <v>0</v>
      </c>
      <c r="AT175" s="23">
        <f>+'QTR Raw'!N95</f>
        <v>0</v>
      </c>
      <c r="AU175" s="23">
        <f t="shared" si="1340"/>
        <v>0</v>
      </c>
      <c r="AV175" s="23">
        <f>+'QTR Raw'!P95</f>
        <v>0</v>
      </c>
      <c r="AW175" s="23">
        <f t="shared" si="1340"/>
        <v>0</v>
      </c>
      <c r="AX175" s="23">
        <f>+'QTR Raw'!R95</f>
        <v>0</v>
      </c>
      <c r="AY175" s="23">
        <f t="shared" si="1340"/>
        <v>0</v>
      </c>
      <c r="AZ175" s="23">
        <f>+'QTR Raw'!T95</f>
        <v>0</v>
      </c>
      <c r="BA175" s="23">
        <f t="shared" si="1340"/>
        <v>0</v>
      </c>
      <c r="BB175" s="23">
        <f>+'QTR Raw'!V95</f>
        <v>0</v>
      </c>
      <c r="BC175" s="23">
        <f t="shared" si="1340"/>
        <v>0</v>
      </c>
      <c r="BD175" s="23">
        <f>+'QTR Raw'!X95</f>
        <v>0</v>
      </c>
      <c r="BE175" s="23">
        <f t="shared" si="1340"/>
        <v>0</v>
      </c>
      <c r="BF175" s="23">
        <f>+'QTR Raw'!Z95</f>
        <v>0</v>
      </c>
      <c r="BG175" s="23">
        <f t="shared" si="1340"/>
        <v>0</v>
      </c>
      <c r="BH175" s="23">
        <f>+'QTR Raw'!AB95</f>
        <v>0</v>
      </c>
      <c r="BI175" s="23">
        <f t="shared" si="1340"/>
        <v>0</v>
      </c>
      <c r="BJ175" s="23">
        <f>+'QTR Raw'!AD95</f>
        <v>0</v>
      </c>
      <c r="BK175" s="23">
        <f t="shared" si="1340"/>
        <v>0</v>
      </c>
      <c r="BL175" s="23">
        <f>+'QTR Raw'!AF95</f>
        <v>0</v>
      </c>
      <c r="BM175" s="23">
        <f t="shared" si="1340"/>
        <v>0</v>
      </c>
      <c r="BN175" s="23">
        <f>+'QTR Raw'!AH95</f>
        <v>0</v>
      </c>
      <c r="BO175" s="23">
        <f t="shared" si="1340"/>
        <v>0</v>
      </c>
      <c r="BP175" s="23">
        <f>+'QTR Raw'!AJ95</f>
        <v>0</v>
      </c>
      <c r="BQ175" s="23">
        <f t="shared" si="1340"/>
        <v>0</v>
      </c>
      <c r="BR175" s="23">
        <f>+'QTR Raw'!AL95</f>
        <v>0</v>
      </c>
      <c r="BS175" s="23">
        <f t="shared" si="1340"/>
        <v>0</v>
      </c>
      <c r="BT175" s="23">
        <f>+'QTR Raw'!AN95</f>
        <v>0</v>
      </c>
      <c r="BU175" s="23">
        <f t="shared" si="1340"/>
        <v>0</v>
      </c>
      <c r="BV175" s="23">
        <f>+'QTR Raw'!AP95</f>
        <v>0</v>
      </c>
      <c r="BW175" s="23">
        <f t="shared" si="1340"/>
        <v>0</v>
      </c>
      <c r="BX175" s="23">
        <f>+'QTR Raw'!AR95</f>
        <v>0</v>
      </c>
      <c r="BY175" s="23">
        <f t="shared" si="1340"/>
        <v>0</v>
      </c>
      <c r="BZ175" s="23">
        <f>+'QTR Raw'!AT95</f>
        <v>0</v>
      </c>
      <c r="CA175" s="23">
        <f t="shared" si="1340"/>
        <v>0</v>
      </c>
      <c r="CB175" s="23">
        <f>+'QTR Raw'!AV95</f>
        <v>0</v>
      </c>
      <c r="CC175" s="23">
        <f t="shared" si="1340"/>
        <v>0</v>
      </c>
      <c r="CD175" s="23">
        <f>+'QTR Raw'!AX95</f>
        <v>0</v>
      </c>
      <c r="CE175" s="23">
        <f t="shared" si="1340"/>
        <v>0</v>
      </c>
      <c r="CF175" s="23">
        <f>+'QTR Raw'!AZ95</f>
        <v>0</v>
      </c>
      <c r="CG175" s="23">
        <f t="shared" si="1321"/>
        <v>0</v>
      </c>
      <c r="CH175" s="23">
        <f t="shared" si="1322"/>
        <v>0</v>
      </c>
      <c r="CI175" s="23">
        <f t="shared" si="1321"/>
        <v>0</v>
      </c>
      <c r="CJ175" s="23">
        <f>+'QTR Raw'!BD95</f>
        <v>0</v>
      </c>
      <c r="CK175" s="23">
        <f t="shared" si="1323"/>
        <v>0</v>
      </c>
      <c r="CL175" s="23">
        <f>+'QTR Raw'!BF95</f>
        <v>0</v>
      </c>
      <c r="CM175" s="24">
        <f t="shared" si="1324"/>
        <v>0</v>
      </c>
      <c r="CN175" s="24">
        <f t="shared" si="1325"/>
        <v>0</v>
      </c>
      <c r="CO175" s="24">
        <f t="shared" si="1326"/>
        <v>0</v>
      </c>
      <c r="CP175" s="24">
        <f t="shared" si="1327"/>
        <v>0</v>
      </c>
      <c r="CQ175" s="24">
        <f t="shared" si="1328"/>
        <v>0</v>
      </c>
      <c r="CR175" s="24">
        <f t="shared" si="1329"/>
        <v>0</v>
      </c>
      <c r="CS175" s="24">
        <f t="shared" si="1330"/>
        <v>0</v>
      </c>
      <c r="CT175" s="24">
        <f t="shared" si="1331"/>
        <v>0</v>
      </c>
      <c r="CU175" s="24">
        <f t="shared" si="1332"/>
        <v>0</v>
      </c>
      <c r="CV175" s="24">
        <f t="shared" si="1333"/>
        <v>0</v>
      </c>
      <c r="CW175" s="24">
        <f t="shared" si="1334"/>
        <v>0</v>
      </c>
      <c r="CX175" s="24">
        <f t="shared" si="1335"/>
        <v>0</v>
      </c>
      <c r="CY175" s="24">
        <f t="shared" si="1336"/>
        <v>0</v>
      </c>
      <c r="CZ175" s="24">
        <f t="shared" si="1337"/>
        <v>0</v>
      </c>
      <c r="DA175" s="24">
        <f t="shared" si="1338"/>
        <v>0</v>
      </c>
      <c r="DB175" s="24">
        <f t="shared" si="1339"/>
        <v>0</v>
      </c>
      <c r="DE175" s="123"/>
      <c r="DF175" s="23">
        <v>0</v>
      </c>
    </row>
    <row r="176" spans="1:110" s="26" customFormat="1" x14ac:dyDescent="0.2">
      <c r="A176" s="26" t="s">
        <v>438</v>
      </c>
      <c r="B176" s="26">
        <f t="shared" ref="B176:W176" si="1341">B174+B172+B168+B151+B149+B175</f>
        <v>0</v>
      </c>
      <c r="C176" s="26">
        <f t="shared" si="1341"/>
        <v>0</v>
      </c>
      <c r="D176" s="26">
        <f t="shared" si="1341"/>
        <v>0</v>
      </c>
      <c r="E176" s="26">
        <f t="shared" si="1341"/>
        <v>0</v>
      </c>
      <c r="F176" s="26">
        <f t="shared" si="1341"/>
        <v>71.210069300000001</v>
      </c>
      <c r="G176" s="26">
        <f t="shared" si="1341"/>
        <v>91.934686299999996</v>
      </c>
      <c r="H176" s="26">
        <f t="shared" si="1341"/>
        <v>125.92698410000001</v>
      </c>
      <c r="I176" s="26">
        <f t="shared" si="1341"/>
        <v>202.40435489999999</v>
      </c>
      <c r="J176" s="26">
        <f t="shared" si="1341"/>
        <v>264.10239209999997</v>
      </c>
      <c r="K176" s="26">
        <f t="shared" si="1341"/>
        <v>276.08254700000003</v>
      </c>
      <c r="L176" s="26">
        <f t="shared" si="1341"/>
        <v>416.42350119999998</v>
      </c>
      <c r="M176" s="26">
        <f t="shared" si="1341"/>
        <v>675.0898009</v>
      </c>
      <c r="N176" s="26">
        <f t="shared" si="1341"/>
        <v>920.96199999999999</v>
      </c>
      <c r="O176" s="26">
        <f t="shared" si="1341"/>
        <v>981.86500000000001</v>
      </c>
      <c r="P176" s="26">
        <f t="shared" si="1341"/>
        <v>1041.3419999999999</v>
      </c>
      <c r="Q176" s="26">
        <f t="shared" si="1341"/>
        <v>1150.6599999999999</v>
      </c>
      <c r="R176" s="26">
        <f t="shared" si="1341"/>
        <v>1353.7640000000001</v>
      </c>
      <c r="S176" s="26">
        <f t="shared" si="1341"/>
        <v>1444.96</v>
      </c>
      <c r="T176" s="26">
        <f t="shared" si="1341"/>
        <v>1668.5219999999999</v>
      </c>
      <c r="U176" s="26">
        <f t="shared" si="1341"/>
        <v>1780.0199999999998</v>
      </c>
      <c r="V176" s="26">
        <f t="shared" si="1341"/>
        <v>1672.9699999999998</v>
      </c>
      <c r="W176" s="26">
        <f t="shared" si="1341"/>
        <v>1851.34</v>
      </c>
      <c r="X176" s="26">
        <f t="shared" ref="X176:Y176" si="1342">X174+X172+X168+X151+X149+X175</f>
        <v>2590.62</v>
      </c>
      <c r="Y176" s="26">
        <f t="shared" si="1342"/>
        <v>3298.0900000000006</v>
      </c>
      <c r="Z176" s="26">
        <f t="shared" ref="Z176:AA176" si="1343">Z174+Z172+Z168+Z151+Z149+Z175</f>
        <v>4911.0000000000009</v>
      </c>
      <c r="AA176" s="26">
        <f t="shared" si="1343"/>
        <v>6604.69</v>
      </c>
      <c r="AB176" s="27">
        <f t="shared" ref="AA176:AD176" si="1344">AB174+AB172+AB168+AB151+AB149+AB175</f>
        <v>7074.6131159733068</v>
      </c>
      <c r="AC176" s="27">
        <f t="shared" si="1344"/>
        <v>7791.5996247692819</v>
      </c>
      <c r="AD176" s="27">
        <f t="shared" si="1344"/>
        <v>8780.3171744987922</v>
      </c>
      <c r="AE176" s="27">
        <f t="shared" ref="AE176" si="1345">AE174+AE172+AE168+AE151+AE149+AE175</f>
        <v>10074.63512876815</v>
      </c>
      <c r="AJ176" s="26">
        <f t="shared" ref="AJ176" si="1346">AJ174+AJ172+AJ168+AJ151+AJ149+AJ175</f>
        <v>0</v>
      </c>
      <c r="AK176" s="26" t="e">
        <f t="shared" ref="AK176:AL176" si="1347">AK174+AK172+AK168+AK151+AK149+AK175</f>
        <v>#DIV/0!</v>
      </c>
      <c r="AL176" s="26">
        <f t="shared" si="1347"/>
        <v>0</v>
      </c>
      <c r="AM176" s="26" t="e">
        <f t="shared" ref="AM176:AO176" si="1348">AM174+AM172+AM168+AM151+AM149+AM175</f>
        <v>#DIV/0!</v>
      </c>
      <c r="AN176" s="26">
        <f t="shared" si="1348"/>
        <v>0</v>
      </c>
      <c r="AO176" s="26" t="e">
        <f t="shared" si="1348"/>
        <v>#DIV/0!</v>
      </c>
      <c r="AP176" s="26">
        <f t="shared" ref="AP176:CE176" si="1349">AP174+AP172+AP168+AP151+AP149+AP175</f>
        <v>0</v>
      </c>
      <c r="AQ176" s="26" t="e">
        <f t="shared" si="1349"/>
        <v>#DIV/0!</v>
      </c>
      <c r="AR176" s="26">
        <f t="shared" si="1349"/>
        <v>0</v>
      </c>
      <c r="AS176" s="26" t="e">
        <f t="shared" si="1349"/>
        <v>#DIV/0!</v>
      </c>
      <c r="AT176" s="26">
        <f t="shared" si="1349"/>
        <v>0</v>
      </c>
      <c r="AU176" s="26" t="e">
        <f t="shared" si="1349"/>
        <v>#DIV/0!</v>
      </c>
      <c r="AV176" s="26">
        <f t="shared" si="1349"/>
        <v>0</v>
      </c>
      <c r="AW176" s="26" t="e">
        <f t="shared" si="1349"/>
        <v>#DIV/0!</v>
      </c>
      <c r="AX176" s="26">
        <f t="shared" si="1349"/>
        <v>0</v>
      </c>
      <c r="AY176" s="26" t="e">
        <f t="shared" si="1349"/>
        <v>#DIV/0!</v>
      </c>
      <c r="AZ176" s="26">
        <f t="shared" si="1349"/>
        <v>0</v>
      </c>
      <c r="BA176" s="26" t="e">
        <f t="shared" si="1349"/>
        <v>#DIV/0!</v>
      </c>
      <c r="BB176" s="26">
        <f t="shared" si="1349"/>
        <v>0</v>
      </c>
      <c r="BC176" s="26" t="e">
        <f t="shared" si="1349"/>
        <v>#DIV/0!</v>
      </c>
      <c r="BD176" s="26">
        <f t="shared" si="1349"/>
        <v>0</v>
      </c>
      <c r="BE176" s="26" t="e">
        <f t="shared" si="1349"/>
        <v>#DIV/0!</v>
      </c>
      <c r="BF176" s="26">
        <f t="shared" si="1349"/>
        <v>0</v>
      </c>
      <c r="BG176" s="26" t="e">
        <f t="shared" si="1349"/>
        <v>#DIV/0!</v>
      </c>
      <c r="BH176" s="26">
        <f t="shared" ref="BH176" si="1350">BH174+BH172+BH168+BH151+BH149+BH175</f>
        <v>0</v>
      </c>
      <c r="BI176" s="26" t="e">
        <f t="shared" si="1349"/>
        <v>#DIV/0!</v>
      </c>
      <c r="BJ176" s="26">
        <f t="shared" si="1349"/>
        <v>0</v>
      </c>
      <c r="BK176" s="26" t="e">
        <f t="shared" si="1349"/>
        <v>#DIV/0!</v>
      </c>
      <c r="BL176" s="26">
        <f t="shared" si="1349"/>
        <v>0</v>
      </c>
      <c r="BM176" s="26" t="e">
        <f t="shared" si="1349"/>
        <v>#DIV/0!</v>
      </c>
      <c r="BN176" s="26">
        <f t="shared" si="1349"/>
        <v>1634.1399999999999</v>
      </c>
      <c r="BO176" s="26">
        <f t="shared" si="1349"/>
        <v>1617.9099999999996</v>
      </c>
      <c r="BP176" s="26">
        <f t="shared" si="1349"/>
        <v>0</v>
      </c>
      <c r="BQ176" s="26">
        <f t="shared" si="1349"/>
        <v>43.479999999999976</v>
      </c>
      <c r="BR176" s="26">
        <f t="shared" si="1349"/>
        <v>1672.97</v>
      </c>
      <c r="BS176" s="26">
        <f t="shared" si="1349"/>
        <v>1697.0400000000002</v>
      </c>
      <c r="BT176" s="26">
        <f t="shared" si="1349"/>
        <v>1771.4199999999998</v>
      </c>
      <c r="BU176" s="26">
        <f t="shared" si="1349"/>
        <v>1809.02</v>
      </c>
      <c r="BV176" s="26">
        <f t="shared" si="1349"/>
        <v>1851.34</v>
      </c>
      <c r="BW176" s="26">
        <f t="shared" si="1349"/>
        <v>1907.98</v>
      </c>
      <c r="BX176" s="26">
        <f t="shared" si="1349"/>
        <v>1972.19</v>
      </c>
      <c r="BY176" s="26">
        <f t="shared" si="1349"/>
        <v>2023.8</v>
      </c>
      <c r="BZ176" s="26">
        <f t="shared" si="1349"/>
        <v>2590.62</v>
      </c>
      <c r="CA176" s="26">
        <f t="shared" si="1349"/>
        <v>2665.1000000000004</v>
      </c>
      <c r="CB176" s="26">
        <f t="shared" si="1349"/>
        <v>2975.69</v>
      </c>
      <c r="CC176" s="26">
        <f t="shared" si="1349"/>
        <v>3048.81</v>
      </c>
      <c r="CD176" s="26">
        <f t="shared" si="1349"/>
        <v>3298.0900000000011</v>
      </c>
      <c r="CE176" s="26">
        <f t="shared" si="1349"/>
        <v>3351.2800000000011</v>
      </c>
      <c r="CF176" s="26">
        <f t="shared" ref="CF176:CG176" si="1351">CF174+CF172+CF168+CF151+CF149+CF175</f>
        <v>4516.34</v>
      </c>
      <c r="CG176" s="26">
        <f t="shared" si="1351"/>
        <v>4529.2700000000004</v>
      </c>
      <c r="CH176" s="26">
        <f t="shared" ref="CH176:CI176" si="1352">CH174+CH172+CH168+CH151+CH149+CH175</f>
        <v>4911.0000000000009</v>
      </c>
      <c r="CI176" s="26">
        <f t="shared" si="1352"/>
        <v>4980.6000000000004</v>
      </c>
      <c r="CJ176" s="26">
        <f t="shared" ref="CJ176:DB176" si="1353">CJ174+CJ172+CJ168+CJ151+CJ149+CJ175</f>
        <v>6068.99</v>
      </c>
      <c r="CK176" s="26">
        <f t="shared" si="1353"/>
        <v>6176.1</v>
      </c>
      <c r="CL176" s="26">
        <f t="shared" ref="CL176" si="1354">CL174+CL172+CL168+CL151+CL149+CL175</f>
        <v>6604.6900000000014</v>
      </c>
      <c r="CM176" s="27">
        <f t="shared" si="1353"/>
        <v>6683.0472314243916</v>
      </c>
      <c r="CN176" s="27">
        <f t="shared" si="1353"/>
        <v>6796.4343402352097</v>
      </c>
      <c r="CO176" s="27">
        <f t="shared" si="1353"/>
        <v>6923.5625416569055</v>
      </c>
      <c r="CP176" s="27">
        <f t="shared" si="1353"/>
        <v>7074.6131159733068</v>
      </c>
      <c r="CQ176" s="27">
        <f t="shared" si="1353"/>
        <v>7212.4418220778425</v>
      </c>
      <c r="CR176" s="27">
        <f t="shared" si="1353"/>
        <v>7387.9024436031668</v>
      </c>
      <c r="CS176" s="27">
        <f t="shared" si="1353"/>
        <v>7575.3673125811765</v>
      </c>
      <c r="CT176" s="27">
        <f t="shared" si="1353"/>
        <v>7791.5996247692819</v>
      </c>
      <c r="CU176" s="27">
        <f t="shared" si="1353"/>
        <v>7991.9675487376317</v>
      </c>
      <c r="CV176" s="27">
        <f t="shared" si="1353"/>
        <v>8235.0307337524064</v>
      </c>
      <c r="CW176" s="27">
        <f t="shared" si="1353"/>
        <v>8490.9541740582772</v>
      </c>
      <c r="CX176" s="27">
        <f t="shared" si="1353"/>
        <v>8780.3171744987922</v>
      </c>
      <c r="CY176" s="27">
        <f t="shared" si="1353"/>
        <v>9050.0244376141982</v>
      </c>
      <c r="CZ176" s="27">
        <f t="shared" si="1353"/>
        <v>9369.1046688744027</v>
      </c>
      <c r="DA176" s="27">
        <f t="shared" si="1353"/>
        <v>9702.5094639160325</v>
      </c>
      <c r="DB176" s="27">
        <f t="shared" si="1353"/>
        <v>10074.63512876815</v>
      </c>
      <c r="DE176" s="121"/>
      <c r="DF176" s="26">
        <v>6279.5990408741291</v>
      </c>
    </row>
    <row r="177" spans="1:110" s="23" customFormat="1" x14ac:dyDescent="0.2">
      <c r="A177" s="28" t="s">
        <v>439</v>
      </c>
      <c r="B177" s="23">
        <f t="shared" ref="B177:W177" si="1355">B176-B140</f>
        <v>0</v>
      </c>
      <c r="C177" s="23">
        <f t="shared" si="1355"/>
        <v>0</v>
      </c>
      <c r="D177" s="23">
        <f t="shared" si="1355"/>
        <v>0</v>
      </c>
      <c r="E177" s="23">
        <f t="shared" si="1355"/>
        <v>0</v>
      </c>
      <c r="F177" s="23">
        <f t="shared" si="1355"/>
        <v>0</v>
      </c>
      <c r="G177" s="23">
        <f t="shared" si="1355"/>
        <v>0</v>
      </c>
      <c r="H177" s="23">
        <f t="shared" si="1355"/>
        <v>0</v>
      </c>
      <c r="I177" s="23">
        <f t="shared" si="1355"/>
        <v>0</v>
      </c>
      <c r="J177" s="23">
        <f t="shared" si="1355"/>
        <v>0</v>
      </c>
      <c r="K177" s="23">
        <f t="shared" si="1355"/>
        <v>0</v>
      </c>
      <c r="L177" s="23">
        <f t="shared" si="1355"/>
        <v>0</v>
      </c>
      <c r="M177" s="23">
        <f t="shared" si="1355"/>
        <v>0</v>
      </c>
      <c r="N177" s="23">
        <f t="shared" si="1355"/>
        <v>0</v>
      </c>
      <c r="O177" s="23">
        <f t="shared" si="1355"/>
        <v>0</v>
      </c>
      <c r="P177" s="23">
        <f t="shared" si="1355"/>
        <v>0</v>
      </c>
      <c r="Q177" s="23">
        <f t="shared" si="1355"/>
        <v>0</v>
      </c>
      <c r="R177" s="23">
        <f t="shared" si="1355"/>
        <v>0</v>
      </c>
      <c r="S177" s="23">
        <f t="shared" si="1355"/>
        <v>0</v>
      </c>
      <c r="T177" s="23">
        <f t="shared" si="1355"/>
        <v>0</v>
      </c>
      <c r="U177" s="23">
        <f t="shared" si="1355"/>
        <v>0</v>
      </c>
      <c r="V177" s="23">
        <f t="shared" si="1355"/>
        <v>0</v>
      </c>
      <c r="W177" s="23">
        <f t="shared" si="1355"/>
        <v>0</v>
      </c>
      <c r="X177" s="23">
        <f t="shared" ref="X177:Y177" si="1356">X176-X140</f>
        <v>0</v>
      </c>
      <c r="Y177" s="23">
        <f t="shared" si="1356"/>
        <v>0</v>
      </c>
      <c r="Z177" s="23">
        <f t="shared" ref="Z177:AA177" si="1357">Z176-Z140</f>
        <v>0</v>
      </c>
      <c r="AA177" s="23">
        <f t="shared" si="1357"/>
        <v>0</v>
      </c>
      <c r="AB177" s="24">
        <f t="shared" ref="AA177:AD177" si="1358">AB176-AB140</f>
        <v>0</v>
      </c>
      <c r="AC177" s="24">
        <f t="shared" si="1358"/>
        <v>0</v>
      </c>
      <c r="AD177" s="24">
        <f t="shared" si="1358"/>
        <v>0</v>
      </c>
      <c r="AE177" s="24">
        <f t="shared" ref="AE177" si="1359">AE176-AE140</f>
        <v>0</v>
      </c>
      <c r="AJ177" s="23">
        <f t="shared" ref="AJ177" si="1360">AJ176-AJ140</f>
        <v>0</v>
      </c>
      <c r="AK177" s="23" t="e">
        <f t="shared" ref="AK177" si="1361">AK176-AK140</f>
        <v>#DIV/0!</v>
      </c>
      <c r="AL177" s="23">
        <f t="shared" ref="AL177:AM177" si="1362">AL176-AL140</f>
        <v>0</v>
      </c>
      <c r="AM177" s="23" t="e">
        <f t="shared" si="1362"/>
        <v>#DIV/0!</v>
      </c>
      <c r="AN177" s="23">
        <f t="shared" ref="AN177:AO177" si="1363">AN176-AN140</f>
        <v>0</v>
      </c>
      <c r="AO177" s="23" t="e">
        <f t="shared" si="1363"/>
        <v>#DIV/0!</v>
      </c>
      <c r="AP177" s="23">
        <f t="shared" ref="AP177:CE177" si="1364">AP176-AP140</f>
        <v>0</v>
      </c>
      <c r="AQ177" s="23" t="e">
        <f t="shared" si="1364"/>
        <v>#DIV/0!</v>
      </c>
      <c r="AR177" s="23">
        <f t="shared" si="1364"/>
        <v>0</v>
      </c>
      <c r="AS177" s="23" t="e">
        <f t="shared" si="1364"/>
        <v>#DIV/0!</v>
      </c>
      <c r="AT177" s="23">
        <f t="shared" si="1364"/>
        <v>0</v>
      </c>
      <c r="AU177" s="23" t="e">
        <f t="shared" si="1364"/>
        <v>#DIV/0!</v>
      </c>
      <c r="AV177" s="23">
        <f t="shared" si="1364"/>
        <v>0</v>
      </c>
      <c r="AW177" s="23" t="e">
        <f t="shared" si="1364"/>
        <v>#DIV/0!</v>
      </c>
      <c r="AX177" s="23">
        <f t="shared" si="1364"/>
        <v>0</v>
      </c>
      <c r="AY177" s="23" t="e">
        <f t="shared" si="1364"/>
        <v>#DIV/0!</v>
      </c>
      <c r="AZ177" s="23">
        <f t="shared" si="1364"/>
        <v>0</v>
      </c>
      <c r="BA177" s="23" t="e">
        <f t="shared" si="1364"/>
        <v>#DIV/0!</v>
      </c>
      <c r="BB177" s="23">
        <f t="shared" si="1364"/>
        <v>0</v>
      </c>
      <c r="BC177" s="23" t="e">
        <f t="shared" si="1364"/>
        <v>#DIV/0!</v>
      </c>
      <c r="BD177" s="23">
        <f t="shared" si="1364"/>
        <v>0</v>
      </c>
      <c r="BE177" s="23" t="e">
        <f t="shared" si="1364"/>
        <v>#DIV/0!</v>
      </c>
      <c r="BF177" s="23">
        <f t="shared" si="1364"/>
        <v>0</v>
      </c>
      <c r="BG177" s="23" t="e">
        <f t="shared" si="1364"/>
        <v>#DIV/0!</v>
      </c>
      <c r="BH177" s="23">
        <f t="shared" ref="BH177" si="1365">BH176-BH140</f>
        <v>0</v>
      </c>
      <c r="BI177" s="23" t="e">
        <f t="shared" si="1364"/>
        <v>#DIV/0!</v>
      </c>
      <c r="BJ177" s="23">
        <f t="shared" si="1364"/>
        <v>0</v>
      </c>
      <c r="BK177" s="23" t="e">
        <f t="shared" si="1364"/>
        <v>#DIV/0!</v>
      </c>
      <c r="BL177" s="23">
        <f t="shared" si="1364"/>
        <v>0</v>
      </c>
      <c r="BM177" s="23" t="e">
        <f t="shared" si="1364"/>
        <v>#DIV/0!</v>
      </c>
      <c r="BN177" s="23">
        <f t="shared" si="1364"/>
        <v>0</v>
      </c>
      <c r="BO177" s="23">
        <f t="shared" si="1364"/>
        <v>0</v>
      </c>
      <c r="BP177" s="23">
        <f t="shared" si="1364"/>
        <v>0</v>
      </c>
      <c r="BQ177" s="23">
        <f t="shared" si="1364"/>
        <v>0</v>
      </c>
      <c r="BR177" s="23">
        <f t="shared" si="1364"/>
        <v>0</v>
      </c>
      <c r="BS177" s="23">
        <f t="shared" si="1364"/>
        <v>0</v>
      </c>
      <c r="BT177" s="23">
        <f t="shared" si="1364"/>
        <v>0</v>
      </c>
      <c r="BU177" s="23">
        <f t="shared" si="1364"/>
        <v>0</v>
      </c>
      <c r="BV177" s="23">
        <f t="shared" si="1364"/>
        <v>0</v>
      </c>
      <c r="BW177" s="23">
        <f t="shared" si="1364"/>
        <v>0</v>
      </c>
      <c r="BX177" s="23">
        <f t="shared" si="1364"/>
        <v>0</v>
      </c>
      <c r="BY177" s="23">
        <f t="shared" si="1364"/>
        <v>0</v>
      </c>
      <c r="BZ177" s="23">
        <f t="shared" si="1364"/>
        <v>0</v>
      </c>
      <c r="CA177" s="23">
        <f t="shared" si="1364"/>
        <v>0</v>
      </c>
      <c r="CB177" s="23">
        <f t="shared" si="1364"/>
        <v>0</v>
      </c>
      <c r="CC177" s="23">
        <f t="shared" si="1364"/>
        <v>0</v>
      </c>
      <c r="CD177" s="23">
        <f t="shared" si="1364"/>
        <v>0</v>
      </c>
      <c r="CE177" s="23">
        <f t="shared" si="1364"/>
        <v>0</v>
      </c>
      <c r="CF177" s="23">
        <f t="shared" ref="CF177:CG177" si="1366">CF176-CF140</f>
        <v>0</v>
      </c>
      <c r="CG177" s="23">
        <f t="shared" si="1366"/>
        <v>0</v>
      </c>
      <c r="CH177" s="23">
        <f t="shared" ref="CH177:CI177" si="1367">CH176-CH140</f>
        <v>0</v>
      </c>
      <c r="CI177" s="23">
        <f t="shared" si="1367"/>
        <v>0</v>
      </c>
      <c r="CJ177" s="23">
        <f t="shared" ref="CJ177:DB177" si="1368">CJ176-CJ140</f>
        <v>0</v>
      </c>
      <c r="CK177" s="23">
        <f t="shared" si="1368"/>
        <v>0</v>
      </c>
      <c r="CL177" s="23">
        <f t="shared" ref="CL177" si="1369">CL176-CL140</f>
        <v>0</v>
      </c>
      <c r="CM177" s="24">
        <f t="shared" si="1368"/>
        <v>0</v>
      </c>
      <c r="CN177" s="24">
        <f t="shared" si="1368"/>
        <v>0</v>
      </c>
      <c r="CO177" s="24">
        <f t="shared" si="1368"/>
        <v>0</v>
      </c>
      <c r="CP177" s="24">
        <f t="shared" si="1368"/>
        <v>0</v>
      </c>
      <c r="CQ177" s="24">
        <f t="shared" si="1368"/>
        <v>0</v>
      </c>
      <c r="CR177" s="24">
        <f t="shared" si="1368"/>
        <v>0</v>
      </c>
      <c r="CS177" s="24">
        <f t="shared" si="1368"/>
        <v>0</v>
      </c>
      <c r="CT177" s="24">
        <f t="shared" si="1368"/>
        <v>0</v>
      </c>
      <c r="CU177" s="24">
        <f t="shared" si="1368"/>
        <v>0</v>
      </c>
      <c r="CV177" s="24">
        <f t="shared" si="1368"/>
        <v>0</v>
      </c>
      <c r="CW177" s="24">
        <f t="shared" si="1368"/>
        <v>0</v>
      </c>
      <c r="CX177" s="24">
        <f t="shared" si="1368"/>
        <v>0</v>
      </c>
      <c r="CY177" s="24">
        <f t="shared" si="1368"/>
        <v>0</v>
      </c>
      <c r="CZ177" s="24">
        <f t="shared" si="1368"/>
        <v>0</v>
      </c>
      <c r="DA177" s="24">
        <f t="shared" si="1368"/>
        <v>0</v>
      </c>
      <c r="DB177" s="24">
        <f t="shared" si="1368"/>
        <v>0</v>
      </c>
      <c r="DE177" s="123"/>
      <c r="DF177" s="23">
        <v>0</v>
      </c>
    </row>
    <row r="178" spans="1:110" s="23" customFormat="1" x14ac:dyDescent="0.2">
      <c r="A178" s="28"/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2" customFormat="1" x14ac:dyDescent="0.2">
      <c r="A179" s="22" t="s">
        <v>80</v>
      </c>
      <c r="B179" s="22">
        <f t="shared" ref="B179:W179" si="1370">B139-B172</f>
        <v>0</v>
      </c>
      <c r="C179" s="22">
        <f t="shared" si="1370"/>
        <v>0</v>
      </c>
      <c r="D179" s="22">
        <f t="shared" si="1370"/>
        <v>0</v>
      </c>
      <c r="E179" s="22">
        <f t="shared" si="1370"/>
        <v>0</v>
      </c>
      <c r="F179" s="22">
        <f t="shared" si="1370"/>
        <v>44.602998300000003</v>
      </c>
      <c r="G179" s="22">
        <f t="shared" si="1370"/>
        <v>58.128928899999998</v>
      </c>
      <c r="H179" s="22">
        <f t="shared" si="1370"/>
        <v>76.548727799999995</v>
      </c>
      <c r="I179" s="22">
        <f t="shared" si="1370"/>
        <v>134.50618510000001</v>
      </c>
      <c r="J179" s="22">
        <f t="shared" si="1370"/>
        <v>192.37412140000001</v>
      </c>
      <c r="K179" s="22">
        <f t="shared" si="1370"/>
        <v>192.68589550000002</v>
      </c>
      <c r="L179" s="22">
        <f t="shared" si="1370"/>
        <v>263.69035150000002</v>
      </c>
      <c r="M179" s="22">
        <f t="shared" si="1370"/>
        <v>472.41065379999998</v>
      </c>
      <c r="N179" s="22">
        <f t="shared" si="1370"/>
        <v>472.91399999999999</v>
      </c>
      <c r="O179" s="22">
        <f t="shared" si="1370"/>
        <v>516.64800000000002</v>
      </c>
      <c r="P179" s="22">
        <f t="shared" si="1370"/>
        <v>532.36199999999997</v>
      </c>
      <c r="Q179" s="22">
        <f t="shared" si="1370"/>
        <v>600.24800000000005</v>
      </c>
      <c r="R179" s="22">
        <f t="shared" si="1370"/>
        <v>737.28700000000003</v>
      </c>
      <c r="S179" s="22">
        <f t="shared" si="1370"/>
        <v>798.00999999999988</v>
      </c>
      <c r="T179" s="22">
        <f t="shared" si="1370"/>
        <v>958.68200000000002</v>
      </c>
      <c r="U179" s="22">
        <f t="shared" si="1370"/>
        <v>986.79000000000008</v>
      </c>
      <c r="V179" s="22">
        <f t="shared" si="1370"/>
        <v>656.88</v>
      </c>
      <c r="W179" s="22">
        <f t="shared" si="1370"/>
        <v>672.12</v>
      </c>
      <c r="X179" s="22">
        <f t="shared" ref="X179:Y179" si="1371">X139-X172</f>
        <v>1105.3800000000001</v>
      </c>
      <c r="Y179" s="22">
        <f t="shared" si="1371"/>
        <v>1463.4099999999999</v>
      </c>
      <c r="Z179" s="22">
        <f t="shared" ref="Z179:AA179" si="1372">Z139-Z172</f>
        <v>1931.0300000000002</v>
      </c>
      <c r="AA179" s="22">
        <f t="shared" si="1372"/>
        <v>3161.85</v>
      </c>
      <c r="AB179" s="21">
        <f t="shared" ref="AA179:AD179" si="1373">AB139-AB172</f>
        <v>2477.4113967187409</v>
      </c>
      <c r="AC179" s="21">
        <f t="shared" si="1373"/>
        <v>1680.2115663318668</v>
      </c>
      <c r="AD179" s="21">
        <f t="shared" si="1373"/>
        <v>746.20929090704021</v>
      </c>
      <c r="AE179" s="21">
        <f t="shared" ref="AE179" si="1374">AE139-AE172</f>
        <v>-354.5187897572896</v>
      </c>
      <c r="AJ179" s="22">
        <f t="shared" ref="AJ179:AM179" si="1375">AJ139-AJ172</f>
        <v>0</v>
      </c>
      <c r="AK179" s="22" t="e">
        <f t="shared" si="1375"/>
        <v>#DIV/0!</v>
      </c>
      <c r="AL179" s="22">
        <f t="shared" si="1375"/>
        <v>0</v>
      </c>
      <c r="AM179" s="22" t="e">
        <f t="shared" si="1375"/>
        <v>#DIV/0!</v>
      </c>
      <c r="AN179" s="22">
        <f t="shared" ref="AN179:AO179" si="1376">AN139-AN172</f>
        <v>0</v>
      </c>
      <c r="AO179" s="22" t="e">
        <f t="shared" si="1376"/>
        <v>#DIV/0!</v>
      </c>
      <c r="AP179" s="22">
        <f t="shared" ref="AP179:CE179" si="1377">AP139-AP172</f>
        <v>0</v>
      </c>
      <c r="AQ179" s="22" t="e">
        <f t="shared" si="1377"/>
        <v>#DIV/0!</v>
      </c>
      <c r="AR179" s="22">
        <f t="shared" si="1377"/>
        <v>0</v>
      </c>
      <c r="AS179" s="22" t="e">
        <f t="shared" si="1377"/>
        <v>#DIV/0!</v>
      </c>
      <c r="AT179" s="22">
        <f t="shared" si="1377"/>
        <v>0</v>
      </c>
      <c r="AU179" s="22" t="e">
        <f t="shared" si="1377"/>
        <v>#DIV/0!</v>
      </c>
      <c r="AV179" s="22">
        <f t="shared" si="1377"/>
        <v>0</v>
      </c>
      <c r="AW179" s="22" t="e">
        <f t="shared" si="1377"/>
        <v>#DIV/0!</v>
      </c>
      <c r="AX179" s="22">
        <f t="shared" si="1377"/>
        <v>0</v>
      </c>
      <c r="AY179" s="22" t="e">
        <f t="shared" si="1377"/>
        <v>#DIV/0!</v>
      </c>
      <c r="AZ179" s="22">
        <f t="shared" si="1377"/>
        <v>0</v>
      </c>
      <c r="BA179" s="22" t="e">
        <f t="shared" si="1377"/>
        <v>#DIV/0!</v>
      </c>
      <c r="BB179" s="22">
        <f t="shared" si="1377"/>
        <v>0</v>
      </c>
      <c r="BC179" s="22" t="e">
        <f t="shared" si="1377"/>
        <v>#DIV/0!</v>
      </c>
      <c r="BD179" s="22">
        <f t="shared" si="1377"/>
        <v>0</v>
      </c>
      <c r="BE179" s="22" t="e">
        <f t="shared" si="1377"/>
        <v>#DIV/0!</v>
      </c>
      <c r="BF179" s="22">
        <f t="shared" si="1377"/>
        <v>0</v>
      </c>
      <c r="BG179" s="22" t="e">
        <f t="shared" si="1377"/>
        <v>#DIV/0!</v>
      </c>
      <c r="BH179" s="22">
        <f t="shared" si="1377"/>
        <v>0</v>
      </c>
      <c r="BI179" s="22" t="e">
        <f t="shared" si="1377"/>
        <v>#DIV/0!</v>
      </c>
      <c r="BJ179" s="22">
        <f t="shared" si="1377"/>
        <v>0</v>
      </c>
      <c r="BK179" s="22" t="e">
        <f t="shared" si="1377"/>
        <v>#DIV/0!</v>
      </c>
      <c r="BL179" s="22">
        <f t="shared" si="1377"/>
        <v>0</v>
      </c>
      <c r="BM179" s="22" t="e">
        <f t="shared" si="1377"/>
        <v>#DIV/0!</v>
      </c>
      <c r="BN179" s="22">
        <f t="shared" si="1377"/>
        <v>840.91</v>
      </c>
      <c r="BO179" s="22">
        <f t="shared" si="1377"/>
        <v>735.0704102748125</v>
      </c>
      <c r="BP179" s="22">
        <f t="shared" si="1377"/>
        <v>0</v>
      </c>
      <c r="BQ179" s="22">
        <f t="shared" si="1377"/>
        <v>-43.479999999999976</v>
      </c>
      <c r="BR179" s="22">
        <f t="shared" si="1377"/>
        <v>656.88</v>
      </c>
      <c r="BS179" s="22">
        <f t="shared" si="1377"/>
        <v>577.29751377615582</v>
      </c>
      <c r="BT179" s="22">
        <f t="shared" si="1377"/>
        <v>684.22</v>
      </c>
      <c r="BU179" s="22">
        <f t="shared" si="1377"/>
        <v>635.47871736046659</v>
      </c>
      <c r="BV179" s="22">
        <f t="shared" si="1377"/>
        <v>672.11999999999989</v>
      </c>
      <c r="BW179" s="22">
        <f t="shared" si="1377"/>
        <v>629.69508124324238</v>
      </c>
      <c r="BX179" s="22">
        <f t="shared" si="1377"/>
        <v>680.82</v>
      </c>
      <c r="BY179" s="22">
        <f t="shared" si="1377"/>
        <v>610.00694140987355</v>
      </c>
      <c r="BZ179" s="22">
        <f t="shared" si="1377"/>
        <v>1105.3800000000001</v>
      </c>
      <c r="CA179" s="22">
        <f t="shared" si="1377"/>
        <v>1069.4296131052563</v>
      </c>
      <c r="CB179" s="22">
        <f t="shared" si="1377"/>
        <v>1336.21</v>
      </c>
      <c r="CC179" s="22">
        <f t="shared" si="1377"/>
        <v>1228.563202042305</v>
      </c>
      <c r="CD179" s="22">
        <f t="shared" si="1377"/>
        <v>1463.4099999999999</v>
      </c>
      <c r="CE179" s="22">
        <f t="shared" si="1377"/>
        <v>1444.1016459189025</v>
      </c>
      <c r="CF179" s="22">
        <f t="shared" ref="CF179:CG179" si="1378">CF139-CF172</f>
        <v>1193.27</v>
      </c>
      <c r="CG179" s="22">
        <f t="shared" si="1378"/>
        <v>1488.3029371885164</v>
      </c>
      <c r="CH179" s="22">
        <f t="shared" ref="CH179:CI179" si="1379">CH139-CH172</f>
        <v>1931.0300000000002</v>
      </c>
      <c r="CI179" s="22">
        <f t="shared" si="1379"/>
        <v>1774.8094740603124</v>
      </c>
      <c r="CJ179" s="22">
        <f t="shared" ref="CJ179:DB179" si="1380">CJ139-CJ172</f>
        <v>2862.13</v>
      </c>
      <c r="CK179" s="22">
        <f t="shared" si="1380"/>
        <v>2691.3371612068404</v>
      </c>
      <c r="CL179" s="22">
        <f t="shared" ref="CL179" si="1381">CL139-CL172</f>
        <v>3161.85</v>
      </c>
      <c r="CM179" s="21">
        <f t="shared" si="1380"/>
        <v>2838.5922584980535</v>
      </c>
      <c r="CN179" s="21">
        <f t="shared" si="1380"/>
        <v>2799.0194686625305</v>
      </c>
      <c r="CO179" s="21">
        <f t="shared" si="1380"/>
        <v>2592.2626026063153</v>
      </c>
      <c r="CP179" s="21">
        <f t="shared" si="1380"/>
        <v>2477.4113967187409</v>
      </c>
      <c r="CQ179" s="21">
        <f t="shared" si="1380"/>
        <v>2096.230121046663</v>
      </c>
      <c r="CR179" s="21">
        <f t="shared" si="1380"/>
        <v>2051.8606325796322</v>
      </c>
      <c r="CS179" s="21">
        <f t="shared" si="1380"/>
        <v>1812.8433092916537</v>
      </c>
      <c r="CT179" s="21">
        <f t="shared" si="1380"/>
        <v>1680.2115663318668</v>
      </c>
      <c r="CU179" s="21">
        <f t="shared" si="1380"/>
        <v>1232.1036389000883</v>
      </c>
      <c r="CV179" s="21">
        <f t="shared" si="1380"/>
        <v>1181.7275350418995</v>
      </c>
      <c r="CW179" s="21">
        <f t="shared" si="1380"/>
        <v>901.60616218656742</v>
      </c>
      <c r="CX179" s="21">
        <f t="shared" si="1380"/>
        <v>746.20929090704021</v>
      </c>
      <c r="CY179" s="21">
        <f t="shared" si="1380"/>
        <v>218.21708607804612</v>
      </c>
      <c r="CZ179" s="21">
        <f t="shared" si="1380"/>
        <v>159.33228862098167</v>
      </c>
      <c r="DA179" s="21">
        <f t="shared" si="1380"/>
        <v>-170.98100146529487</v>
      </c>
      <c r="DB179" s="21">
        <f t="shared" si="1380"/>
        <v>-354.5187897572896</v>
      </c>
      <c r="DE179" s="126"/>
      <c r="DF179" s="22">
        <v>2515.2847867862679</v>
      </c>
    </row>
    <row r="180" spans="1:110" x14ac:dyDescent="0.2">
      <c r="AA180" s="2"/>
      <c r="CE180" s="111"/>
      <c r="CG180" s="111"/>
      <c r="CL180" s="2"/>
    </row>
    <row r="181" spans="1:110" s="49" customFormat="1" x14ac:dyDescent="0.2">
      <c r="A181" s="49" t="s">
        <v>81</v>
      </c>
      <c r="B181" s="49">
        <f>'Annual Raw'!C85</f>
        <v>0</v>
      </c>
      <c r="C181" s="49">
        <f>'Annual Raw'!D85</f>
        <v>0</v>
      </c>
      <c r="D181" s="49">
        <f>'Annual Raw'!E85</f>
        <v>0</v>
      </c>
      <c r="E181" s="49">
        <f>'Annual Raw'!F85</f>
        <v>0</v>
      </c>
      <c r="F181" s="49">
        <f>'Annual Raw'!G85</f>
        <v>0</v>
      </c>
      <c r="G181" s="49">
        <f>'Annual Raw'!H85</f>
        <v>0</v>
      </c>
      <c r="H181" s="49">
        <f>'Annual Raw'!I85</f>
        <v>0</v>
      </c>
      <c r="I181" s="49">
        <f>'Annual Raw'!J85</f>
        <v>0</v>
      </c>
      <c r="J181" s="49">
        <f>'Annual Raw'!K85</f>
        <v>44.067700000000002</v>
      </c>
      <c r="K181" s="49">
        <f>'Annual Raw'!L85</f>
        <v>32.018099999999997</v>
      </c>
      <c r="L181" s="49">
        <f>'Annual Raw'!M85</f>
        <v>0</v>
      </c>
      <c r="M181" s="49">
        <f>'Annual Raw'!N85</f>
        <v>0</v>
      </c>
      <c r="N181" s="49">
        <f>'Annual Raw'!O85</f>
        <v>20.806000000000001</v>
      </c>
      <c r="O181" s="49">
        <f>'Annual Raw'!P85</f>
        <v>14.648</v>
      </c>
      <c r="P181" s="49">
        <f>'Annual Raw'!Q85</f>
        <v>28.050999999999998</v>
      </c>
      <c r="Q181" s="49">
        <f>'Annual Raw'!R85</f>
        <v>25.902000000000001</v>
      </c>
      <c r="R181" s="49">
        <f>'Annual Raw'!S85</f>
        <v>27.356999999999999</v>
      </c>
      <c r="S181" s="49">
        <f>'Annual Raw'!T85</f>
        <v>104.13</v>
      </c>
      <c r="T181" s="49">
        <f>'Annual Raw'!U85</f>
        <v>0</v>
      </c>
      <c r="U181" s="49">
        <f>'Annual Raw'!V85</f>
        <v>20.36</v>
      </c>
      <c r="V181" s="49">
        <f>'Annual Raw'!W85</f>
        <v>18.77</v>
      </c>
      <c r="W181" s="49">
        <f>'Annual Raw'!X85</f>
        <v>42.34</v>
      </c>
      <c r="X181" s="49">
        <f>'Annual Raw'!Y85</f>
        <v>25.57</v>
      </c>
      <c r="Y181" s="49">
        <f>'Annual Raw'!Z85</f>
        <v>55.3</v>
      </c>
      <c r="Z181" s="49">
        <f>'Annual Raw'!AA85</f>
        <v>118.45</v>
      </c>
      <c r="AA181" s="49">
        <f>'Annual Raw'!AB85</f>
        <v>189.85</v>
      </c>
      <c r="AB181" s="50"/>
      <c r="AC181" s="50"/>
      <c r="AD181" s="50"/>
      <c r="AE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E181" s="138"/>
    </row>
    <row r="182" spans="1:110" s="29" customFormat="1" x14ac:dyDescent="0.2">
      <c r="A182" s="29" t="s">
        <v>82</v>
      </c>
      <c r="B182" s="29">
        <f>'Annual Raw'!C95</f>
        <v>0</v>
      </c>
      <c r="C182" s="29">
        <f>'Annual Raw'!D95</f>
        <v>0</v>
      </c>
      <c r="D182" s="29">
        <f>'Annual Raw'!E95</f>
        <v>0</v>
      </c>
      <c r="E182" s="29">
        <f>'Annual Raw'!F95</f>
        <v>0</v>
      </c>
      <c r="F182" s="29">
        <f>'Annual Raw'!G95</f>
        <v>0</v>
      </c>
      <c r="G182" s="29">
        <f>'Annual Raw'!H95</f>
        <v>0</v>
      </c>
      <c r="H182" s="29">
        <f>'Annual Raw'!I95</f>
        <v>0</v>
      </c>
      <c r="I182" s="29">
        <f>'Annual Raw'!J95</f>
        <v>0</v>
      </c>
      <c r="J182" s="29">
        <f>'Annual Raw'!K95</f>
        <v>0.64670000000000005</v>
      </c>
      <c r="K182" s="29">
        <f>'Annual Raw'!L95</f>
        <v>5.0829000000000004</v>
      </c>
      <c r="L182" s="29">
        <f>'Annual Raw'!M95</f>
        <v>0</v>
      </c>
      <c r="M182" s="29">
        <f>'Annual Raw'!N95</f>
        <v>0</v>
      </c>
      <c r="N182" s="29">
        <f>'Annual Raw'!O95</f>
        <v>9.8379999999999992</v>
      </c>
      <c r="O182" s="29">
        <f>'Annual Raw'!P95</f>
        <v>3.7320000000000002</v>
      </c>
      <c r="P182" s="29">
        <f>'Annual Raw'!Q95</f>
        <v>17.111000000000001</v>
      </c>
      <c r="Q182" s="29">
        <f>'Annual Raw'!R95</f>
        <v>14.242000000000001</v>
      </c>
      <c r="R182" s="29">
        <f>'Annual Raw'!S95</f>
        <v>13.416</v>
      </c>
      <c r="S182" s="29">
        <f>'Annual Raw'!T95</f>
        <v>8.9</v>
      </c>
      <c r="T182" s="29">
        <f>'Annual Raw'!U95</f>
        <v>0</v>
      </c>
      <c r="U182" s="29">
        <f>'Annual Raw'!V95</f>
        <v>0</v>
      </c>
      <c r="V182" s="29">
        <f>'Annual Raw'!W95</f>
        <v>0</v>
      </c>
      <c r="W182" s="29">
        <f>'Annual Raw'!X95</f>
        <v>0</v>
      </c>
      <c r="X182" s="29">
        <f>'Annual Raw'!Y95</f>
        <v>0</v>
      </c>
      <c r="Y182" s="29">
        <f>'Annual Raw'!Z95</f>
        <v>0</v>
      </c>
      <c r="Z182" s="29">
        <f>'Annual Raw'!AA95</f>
        <v>0</v>
      </c>
      <c r="AA182" s="29">
        <f>'Annual Raw'!AB95</f>
        <v>0</v>
      </c>
      <c r="AB182" s="30"/>
      <c r="AC182" s="30"/>
      <c r="AD182" s="30"/>
      <c r="AE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29" customFormat="1" x14ac:dyDescent="0.2">
      <c r="A183" s="29" t="s">
        <v>83</v>
      </c>
      <c r="B183" s="29">
        <f>'Annual Raw'!C93</f>
        <v>0</v>
      </c>
      <c r="C183" s="29">
        <f>'Annual Raw'!D93</f>
        <v>0</v>
      </c>
      <c r="D183" s="29">
        <f>'Annual Raw'!E93</f>
        <v>0</v>
      </c>
      <c r="E183" s="29">
        <f>'Annual Raw'!F93</f>
        <v>0</v>
      </c>
      <c r="F183" s="29">
        <f>'Annual Raw'!G93</f>
        <v>0</v>
      </c>
      <c r="G183" s="29">
        <f>'Annual Raw'!H93</f>
        <v>0</v>
      </c>
      <c r="H183" s="29">
        <f>'Annual Raw'!I93</f>
        <v>0</v>
      </c>
      <c r="I183" s="29">
        <f>'Annual Raw'!J93</f>
        <v>0</v>
      </c>
      <c r="J183" s="29">
        <f>'Annual Raw'!K93</f>
        <v>21.5276</v>
      </c>
      <c r="K183" s="29">
        <f>'Annual Raw'!L93</f>
        <v>20.1554</v>
      </c>
      <c r="L183" s="29">
        <f>'Annual Raw'!M93</f>
        <v>0</v>
      </c>
      <c r="M183" s="29">
        <f>'Annual Raw'!N93</f>
        <v>0</v>
      </c>
      <c r="N183" s="29">
        <f>'Annual Raw'!O93</f>
        <v>5.8049999999999997</v>
      </c>
      <c r="O183" s="29">
        <f>'Annual Raw'!P93</f>
        <v>6.1539999999999999</v>
      </c>
      <c r="P183" s="29">
        <f>'Annual Raw'!Q93</f>
        <v>5.8760000000000003</v>
      </c>
      <c r="Q183" s="29">
        <f>'Annual Raw'!R93</f>
        <v>5.5549999999999997</v>
      </c>
      <c r="R183" s="29">
        <f>'Annual Raw'!S93</f>
        <v>7.048</v>
      </c>
      <c r="S183" s="29">
        <f>'Annual Raw'!T93</f>
        <v>49.25</v>
      </c>
      <c r="T183" s="29">
        <f>'Annual Raw'!U93</f>
        <v>0</v>
      </c>
      <c r="U183" s="29">
        <f>'Annual Raw'!V93</f>
        <v>19.8</v>
      </c>
      <c r="V183" s="29">
        <f>'Annual Raw'!W93</f>
        <v>18.77</v>
      </c>
      <c r="W183" s="29">
        <f>'Annual Raw'!X93</f>
        <v>20.170000000000002</v>
      </c>
      <c r="X183" s="29">
        <f>'Annual Raw'!Y93</f>
        <v>6.49</v>
      </c>
      <c r="Y183" s="29">
        <f>'Annual Raw'!Z93</f>
        <v>9.1300000000000008</v>
      </c>
      <c r="Z183" s="29">
        <f>'Annual Raw'!AA93</f>
        <v>31.99</v>
      </c>
      <c r="AA183" s="29">
        <f>'Annual Raw'!AB93</f>
        <v>33.15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29" customFormat="1" x14ac:dyDescent="0.2">
      <c r="A184" s="29" t="s">
        <v>84</v>
      </c>
      <c r="B184" s="29">
        <f t="shared" ref="B184:V184" si="1382">B181-B182-B183</f>
        <v>0</v>
      </c>
      <c r="C184" s="29">
        <f t="shared" si="1382"/>
        <v>0</v>
      </c>
      <c r="D184" s="29">
        <f t="shared" si="1382"/>
        <v>0</v>
      </c>
      <c r="E184" s="29">
        <f t="shared" si="1382"/>
        <v>0</v>
      </c>
      <c r="F184" s="29">
        <f t="shared" si="1382"/>
        <v>0</v>
      </c>
      <c r="G184" s="29">
        <f t="shared" si="1382"/>
        <v>0</v>
      </c>
      <c r="H184" s="29">
        <f t="shared" si="1382"/>
        <v>0</v>
      </c>
      <c r="I184" s="29">
        <f t="shared" si="1382"/>
        <v>0</v>
      </c>
      <c r="J184" s="29">
        <f t="shared" si="1382"/>
        <v>21.8934</v>
      </c>
      <c r="K184" s="29">
        <f t="shared" si="1382"/>
        <v>6.7797999999999945</v>
      </c>
      <c r="L184" s="29">
        <f t="shared" si="1382"/>
        <v>0</v>
      </c>
      <c r="M184" s="29">
        <f t="shared" si="1382"/>
        <v>0</v>
      </c>
      <c r="N184" s="29">
        <f t="shared" si="1382"/>
        <v>5.163000000000002</v>
      </c>
      <c r="O184" s="29">
        <f t="shared" si="1382"/>
        <v>4.7620000000000005</v>
      </c>
      <c r="P184" s="29">
        <f t="shared" si="1382"/>
        <v>5.0639999999999974</v>
      </c>
      <c r="Q184" s="29">
        <f t="shared" si="1382"/>
        <v>6.1050000000000004</v>
      </c>
      <c r="R184" s="29">
        <f t="shared" si="1382"/>
        <v>6.8929999999999989</v>
      </c>
      <c r="S184" s="29">
        <f t="shared" si="1382"/>
        <v>45.97999999999999</v>
      </c>
      <c r="T184" s="29">
        <f t="shared" si="1382"/>
        <v>0</v>
      </c>
      <c r="U184" s="29">
        <f t="shared" si="1382"/>
        <v>0.55999999999999872</v>
      </c>
      <c r="V184" s="29">
        <f t="shared" si="1382"/>
        <v>0</v>
      </c>
      <c r="W184" s="29">
        <f t="shared" ref="W184" si="1383">W181-W182-W183</f>
        <v>22.17</v>
      </c>
      <c r="X184" s="29">
        <f t="shared" ref="X184:Y184" si="1384">X181-X182-X183</f>
        <v>19.079999999999998</v>
      </c>
      <c r="Y184" s="29">
        <f t="shared" si="1384"/>
        <v>46.169999999999995</v>
      </c>
      <c r="Z184" s="29">
        <f t="shared" ref="Z184:AA184" si="1385">Z181-Z182-Z183</f>
        <v>86.460000000000008</v>
      </c>
      <c r="AA184" s="29">
        <f t="shared" si="1385"/>
        <v>156.69999999999999</v>
      </c>
      <c r="AB184" s="30">
        <f t="shared" ref="AA184:AD184" si="1386">AB181-AB182-AB183</f>
        <v>0</v>
      </c>
      <c r="AC184" s="30">
        <f t="shared" si="1386"/>
        <v>0</v>
      </c>
      <c r="AD184" s="30">
        <f t="shared" si="1386"/>
        <v>0</v>
      </c>
      <c r="AE184" s="30">
        <f t="shared" ref="AE184" si="1387">AE181-AE182-AE183</f>
        <v>0</v>
      </c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0</v>
      </c>
    </row>
    <row r="185" spans="1:110" s="5" customFormat="1" x14ac:dyDescent="0.2">
      <c r="AB185" s="63"/>
      <c r="AC185" s="63"/>
      <c r="AD185" s="63"/>
      <c r="AE185" s="63"/>
      <c r="CE185" s="112"/>
      <c r="CG185" s="112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</row>
    <row r="186" spans="1:110" s="95" customFormat="1" x14ac:dyDescent="0.2">
      <c r="A186" s="95" t="s">
        <v>85</v>
      </c>
      <c r="B186" s="95" t="e">
        <f t="shared" ref="B186:W186" si="1388">B181/B131</f>
        <v>#DIV/0!</v>
      </c>
      <c r="C186" s="95" t="e">
        <f t="shared" si="1388"/>
        <v>#DIV/0!</v>
      </c>
      <c r="D186" s="95" t="e">
        <f t="shared" si="1388"/>
        <v>#DIV/0!</v>
      </c>
      <c r="E186" s="95" t="e">
        <f t="shared" si="1388"/>
        <v>#DIV/0!</v>
      </c>
      <c r="F186" s="95">
        <f t="shared" si="1388"/>
        <v>0</v>
      </c>
      <c r="G186" s="95">
        <f t="shared" si="1388"/>
        <v>0</v>
      </c>
      <c r="H186" s="95">
        <f t="shared" si="1388"/>
        <v>0</v>
      </c>
      <c r="I186" s="95">
        <f t="shared" si="1388"/>
        <v>0</v>
      </c>
      <c r="J186" s="95">
        <f t="shared" si="1388"/>
        <v>0.6642611360407612</v>
      </c>
      <c r="K186" s="95">
        <f t="shared" si="1388"/>
        <v>0.41770529733774331</v>
      </c>
      <c r="L186" s="95">
        <f t="shared" si="1388"/>
        <v>0</v>
      </c>
      <c r="M186" s="95">
        <f t="shared" si="1388"/>
        <v>0</v>
      </c>
      <c r="N186" s="95">
        <f t="shared" si="1388"/>
        <v>4.7684310885388971E-2</v>
      </c>
      <c r="O186" s="95">
        <f t="shared" si="1388"/>
        <v>3.1967456396110129E-2</v>
      </c>
      <c r="P186" s="95">
        <f t="shared" si="1388"/>
        <v>5.6980641491803603E-2</v>
      </c>
      <c r="Q186" s="95">
        <f t="shared" si="1388"/>
        <v>4.8514521391566243E-2</v>
      </c>
      <c r="R186" s="95">
        <f t="shared" si="1388"/>
        <v>4.7434428062899117E-2</v>
      </c>
      <c r="S186" s="95">
        <f t="shared" si="1388"/>
        <v>0.1740518494993899</v>
      </c>
      <c r="T186" s="95">
        <f t="shared" si="1388"/>
        <v>0</v>
      </c>
      <c r="U186" s="95">
        <f t="shared" si="1388"/>
        <v>2.8215468617913221E-2</v>
      </c>
      <c r="V186" s="95">
        <f t="shared" si="1388"/>
        <v>1.9361893071186163E-2</v>
      </c>
      <c r="W186" s="95">
        <f t="shared" si="1388"/>
        <v>3.7279659076901409E-2</v>
      </c>
      <c r="X186" s="95">
        <f t="shared" ref="X186:Y186" si="1389">X181/X131</f>
        <v>1.8570702302273225E-2</v>
      </c>
      <c r="Y186" s="95">
        <f t="shared" si="1389"/>
        <v>3.335384021520163E-2</v>
      </c>
      <c r="Z186" s="95">
        <f t="shared" ref="Z186:AA186" si="1390">Z181/Z131</f>
        <v>4.1463346331832795E-2</v>
      </c>
      <c r="AA186" s="95">
        <f t="shared" si="1390"/>
        <v>5.8163759244621728E-2</v>
      </c>
      <c r="AB186" s="87">
        <f t="shared" ref="AA186:AD186" si="1391">AB181/AB131</f>
        <v>0</v>
      </c>
      <c r="AC186" s="87">
        <f t="shared" si="1391"/>
        <v>0</v>
      </c>
      <c r="AD186" s="87">
        <f t="shared" si="1391"/>
        <v>0</v>
      </c>
      <c r="AE186" s="87">
        <f t="shared" ref="AE186" si="1392">AE181/AE131</f>
        <v>0</v>
      </c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E186" s="140"/>
      <c r="DF186" s="95">
        <v>0</v>
      </c>
    </row>
    <row r="187" spans="1:110" x14ac:dyDescent="0.2">
      <c r="A187" s="152" t="s">
        <v>492</v>
      </c>
      <c r="AA187" s="2"/>
      <c r="CE187" s="111"/>
      <c r="CG187" s="111"/>
      <c r="CL187" s="2"/>
    </row>
    <row r="188" spans="1:110" s="6" customFormat="1" x14ac:dyDescent="0.2">
      <c r="AB188" s="19"/>
      <c r="AC188" s="19"/>
      <c r="AD188" s="19"/>
      <c r="AE188" s="19"/>
      <c r="CE188" s="113"/>
      <c r="CG188" s="113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</row>
    <row r="189" spans="1:110" s="62" customFormat="1" x14ac:dyDescent="0.2">
      <c r="A189" s="153" t="s">
        <v>493</v>
      </c>
      <c r="AB189" s="63"/>
      <c r="AC189" s="63"/>
      <c r="AD189" s="63"/>
      <c r="AE189" s="63"/>
      <c r="CE189" s="114"/>
      <c r="CG189" s="114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</row>
    <row r="190" spans="1:110" s="62" customFormat="1" outlineLevel="1" x14ac:dyDescent="0.2">
      <c r="A190" s="68" t="s">
        <v>464</v>
      </c>
      <c r="B190" s="67" t="e">
        <f t="shared" ref="B190:AE190" si="1393">B155/B19*365</f>
        <v>#DIV/0!</v>
      </c>
      <c r="C190" s="67" t="e">
        <f t="shared" si="1393"/>
        <v>#DIV/0!</v>
      </c>
      <c r="D190" s="67" t="e">
        <f t="shared" si="1393"/>
        <v>#DIV/0!</v>
      </c>
      <c r="E190" s="67" t="e">
        <f t="shared" si="1393"/>
        <v>#DIV/0!</v>
      </c>
      <c r="F190" s="67">
        <f t="shared" si="1393"/>
        <v>81.970957579675385</v>
      </c>
      <c r="G190" s="67">
        <f t="shared" si="1393"/>
        <v>64.174516658930429</v>
      </c>
      <c r="H190" s="67">
        <f t="shared" si="1393"/>
        <v>67.949150469159065</v>
      </c>
      <c r="I190" s="67">
        <f t="shared" si="1393"/>
        <v>85.316071716188134</v>
      </c>
      <c r="J190" s="67">
        <f t="shared" si="1393"/>
        <v>89.097229686395792</v>
      </c>
      <c r="K190" s="67">
        <f t="shared" si="1393"/>
        <v>131.89240833764725</v>
      </c>
      <c r="L190" s="67" t="e">
        <f t="shared" si="1393"/>
        <v>#DIV/0!</v>
      </c>
      <c r="M190" s="67" t="e">
        <f t="shared" si="1393"/>
        <v>#DIV/0!</v>
      </c>
      <c r="N190" s="67">
        <f t="shared" si="1393"/>
        <v>64.529415078702627</v>
      </c>
      <c r="O190" s="67">
        <f t="shared" si="1393"/>
        <v>66.690078415544718</v>
      </c>
      <c r="P190" s="67">
        <f t="shared" si="1393"/>
        <v>62.133648397763849</v>
      </c>
      <c r="Q190" s="67">
        <f t="shared" si="1393"/>
        <v>67.426687095385461</v>
      </c>
      <c r="R190" s="67">
        <f t="shared" si="1393"/>
        <v>68.165437871035138</v>
      </c>
      <c r="S190" s="67">
        <f t="shared" si="1393"/>
        <v>72.554233128022602</v>
      </c>
      <c r="T190" s="67">
        <f t="shared" si="1393"/>
        <v>64.910322127472554</v>
      </c>
      <c r="U190" s="67">
        <f t="shared" si="1393"/>
        <v>79.632050440212808</v>
      </c>
      <c r="V190" s="67">
        <f t="shared" si="1393"/>
        <v>94.912401038494821</v>
      </c>
      <c r="W190" s="67">
        <f t="shared" si="1393"/>
        <v>103.12926811666111</v>
      </c>
      <c r="X190" s="67">
        <f t="shared" si="1393"/>
        <v>95.878731226041594</v>
      </c>
      <c r="Y190" s="67">
        <f t="shared" si="1393"/>
        <v>85.337453080038543</v>
      </c>
      <c r="Z190" s="67">
        <f t="shared" si="1393"/>
        <v>85.440639453965218</v>
      </c>
      <c r="AA190" s="67">
        <f t="shared" ref="AA190" si="1394">AA155/AA19*365</f>
        <v>78.950716731501117</v>
      </c>
      <c r="AB190" s="18">
        <f t="shared" si="1393"/>
        <v>78.950716731501117</v>
      </c>
      <c r="AC190" s="18">
        <f t="shared" si="1393"/>
        <v>78.950716731501117</v>
      </c>
      <c r="AD190" s="18">
        <f t="shared" si="1393"/>
        <v>78.950716731501117</v>
      </c>
      <c r="AE190" s="18">
        <f t="shared" si="1393"/>
        <v>78.950716731501103</v>
      </c>
      <c r="AI190" s="67" t="e">
        <f>AJ155/AI19*90</f>
        <v>#DIV/0!</v>
      </c>
      <c r="AJ190" s="67" t="e">
        <f>AJ155/AJ19*90</f>
        <v>#DIV/0!</v>
      </c>
      <c r="AK190" s="67" t="e">
        <f t="shared" ref="AK190:CE190" si="1395">+AJ190</f>
        <v>#DIV/0!</v>
      </c>
      <c r="AL190" s="67" t="e">
        <f>AL155/AL19*90</f>
        <v>#DIV/0!</v>
      </c>
      <c r="AM190" s="67" t="e">
        <f t="shared" ref="AM190:AM191" si="1396">+AL190</f>
        <v>#DIV/0!</v>
      </c>
      <c r="AN190" s="67" t="e">
        <f>AN155/AN19*90</f>
        <v>#DIV/0!</v>
      </c>
      <c r="AO190" s="67" t="e">
        <f t="shared" ref="AO190:AO191" si="1397">+AN190</f>
        <v>#DIV/0!</v>
      </c>
      <c r="AP190" s="67" t="e">
        <f>AP155/AP19*90</f>
        <v>#DIV/0!</v>
      </c>
      <c r="AQ190" s="67" t="e">
        <f t="shared" ref="AQ190:AQ191" si="1398">+AP190</f>
        <v>#DIV/0!</v>
      </c>
      <c r="AR190" s="67" t="e">
        <f>AR155/AR19*90</f>
        <v>#DIV/0!</v>
      </c>
      <c r="AS190" s="67" t="e">
        <f t="shared" ref="AS190:AS191" si="1399">+AR190</f>
        <v>#DIV/0!</v>
      </c>
      <c r="AT190" s="67" t="e">
        <f>AT155/AT19*90</f>
        <v>#DIV/0!</v>
      </c>
      <c r="AU190" s="67" t="e">
        <f t="shared" ref="AU190:AU191" si="1400">+AT190</f>
        <v>#DIV/0!</v>
      </c>
      <c r="AV190" s="67" t="e">
        <f>AV155/AV19*90</f>
        <v>#DIV/0!</v>
      </c>
      <c r="AW190" s="67" t="e">
        <f t="shared" ref="AW190:AW191" si="1401">+AV190</f>
        <v>#DIV/0!</v>
      </c>
      <c r="AX190" s="67" t="e">
        <f>AX155/AX19*90</f>
        <v>#DIV/0!</v>
      </c>
      <c r="AY190" s="67" t="e">
        <f t="shared" ref="AY190:AY191" si="1402">+AX190</f>
        <v>#DIV/0!</v>
      </c>
      <c r="AZ190" s="67" t="e">
        <f>AZ155/AZ19*90</f>
        <v>#DIV/0!</v>
      </c>
      <c r="BA190" s="67" t="e">
        <f t="shared" ref="BA190:BA191" si="1403">+AZ190</f>
        <v>#DIV/0!</v>
      </c>
      <c r="BB190" s="67" t="e">
        <f>BB155/BB19*90</f>
        <v>#DIV/0!</v>
      </c>
      <c r="BC190" s="67" t="e">
        <f t="shared" ref="BC190:BC191" si="1404">+BB190</f>
        <v>#DIV/0!</v>
      </c>
      <c r="BD190" s="67" t="e">
        <f>BD155/BD19*90</f>
        <v>#DIV/0!</v>
      </c>
      <c r="BE190" s="67" t="e">
        <f t="shared" ref="BE190:BE191" si="1405">+BD190</f>
        <v>#DIV/0!</v>
      </c>
      <c r="BF190" s="67" t="e">
        <f>BF155/BF19*90</f>
        <v>#DIV/0!</v>
      </c>
      <c r="BG190" s="67" t="e">
        <f t="shared" ref="BG190:BG191" si="1406">+BF190</f>
        <v>#DIV/0!</v>
      </c>
      <c r="BH190" s="67" t="e">
        <f>BH155/BH19*90</f>
        <v>#DIV/0!</v>
      </c>
      <c r="BI190" s="67" t="e">
        <f t="shared" ref="BI190:BI191" si="1407">+BH190</f>
        <v>#DIV/0!</v>
      </c>
      <c r="BJ190" s="67" t="e">
        <f>BJ155/BJ19*90</f>
        <v>#DIV/0!</v>
      </c>
      <c r="BK190" s="67" t="e">
        <f t="shared" ref="BK190:BK191" si="1408">+BJ190</f>
        <v>#DIV/0!</v>
      </c>
      <c r="BL190" s="67" t="e">
        <f>BL155/BL19*90</f>
        <v>#DIV/0!</v>
      </c>
      <c r="BM190" s="67" t="e">
        <f t="shared" ref="BM190:BM191" si="1409">+BL190</f>
        <v>#DIV/0!</v>
      </c>
      <c r="BN190" s="67">
        <f>BN155/BN19*90</f>
        <v>87.631649771238898</v>
      </c>
      <c r="BO190" s="67">
        <f t="shared" ref="BO190:BO191" si="1410">+BN190</f>
        <v>87.631649771238898</v>
      </c>
      <c r="BP190" s="67">
        <f>BP155/BP19*90</f>
        <v>0</v>
      </c>
      <c r="BQ190" s="67">
        <f t="shared" ref="BQ190:BQ191" si="1411">+BP190</f>
        <v>0</v>
      </c>
      <c r="BR190" s="67">
        <f>BR155/BR19*90</f>
        <v>67.96410752848314</v>
      </c>
      <c r="BS190" s="67">
        <f t="shared" ref="BS190:BS191" si="1412">+BR190</f>
        <v>67.96410752848314</v>
      </c>
      <c r="BT190" s="67">
        <f>BT155/BT19*90</f>
        <v>75.117948897567459</v>
      </c>
      <c r="BU190" s="67">
        <f t="shared" ref="BU190:BU191" si="1413">+BT190</f>
        <v>75.117948897567459</v>
      </c>
      <c r="BV190" s="67">
        <f>BV155/BV19*90</f>
        <v>85.852711407556313</v>
      </c>
      <c r="BW190" s="67">
        <f t="shared" ref="BW190:BW191" si="1414">+BV190</f>
        <v>85.852711407556313</v>
      </c>
      <c r="BX190" s="67">
        <f>BX155/BX19*90</f>
        <v>73.286741214057514</v>
      </c>
      <c r="BY190" s="67">
        <f t="shared" ref="BY190:BY191" si="1415">+BX190</f>
        <v>73.286741214057514</v>
      </c>
      <c r="BZ190" s="67">
        <f>BZ155/BZ19*90</f>
        <v>76.747452492426319</v>
      </c>
      <c r="CA190" s="67">
        <f t="shared" ref="CA190:CA191" si="1416">+BZ190</f>
        <v>76.747452492426319</v>
      </c>
      <c r="CB190" s="67">
        <f>CB155/CB19*90</f>
        <v>73.677929876342176</v>
      </c>
      <c r="CC190" s="67">
        <f t="shared" ref="CC190:CC191" si="1417">+CB190</f>
        <v>73.677929876342176</v>
      </c>
      <c r="CD190" s="67">
        <f>CD155/CD19*90</f>
        <v>84.746593808240007</v>
      </c>
      <c r="CE190" s="67">
        <f t="shared" si="1395"/>
        <v>84.746593808240007</v>
      </c>
      <c r="CF190" s="67">
        <f>CF155/CF19*90</f>
        <v>84.748795255158768</v>
      </c>
      <c r="CG190" s="67">
        <f t="shared" ref="CG190:CI191" si="1418">+CF190</f>
        <v>84.748795255158768</v>
      </c>
      <c r="CH190" s="67">
        <f>CH155/CH19*90</f>
        <v>68.534800628840941</v>
      </c>
      <c r="CI190" s="67">
        <f t="shared" si="1418"/>
        <v>68.534800628840941</v>
      </c>
      <c r="CJ190" s="67">
        <f>CJ155/CJ19*90</f>
        <v>72.580848225660603</v>
      </c>
      <c r="CK190" s="67">
        <f t="shared" ref="CK190:CK191" si="1419">+CJ190</f>
        <v>72.580848225660603</v>
      </c>
      <c r="CL190" s="67">
        <f>CL155/CL19*90</f>
        <v>70.55645885734819</v>
      </c>
      <c r="CM190" s="30">
        <f t="shared" ref="CM190:CM191" si="1420">+CL190</f>
        <v>70.55645885734819</v>
      </c>
      <c r="CN190" s="30">
        <f t="shared" ref="CN190:CN191" si="1421">+CM190</f>
        <v>70.55645885734819</v>
      </c>
      <c r="CO190" s="30">
        <f t="shared" ref="CO190:CO191" si="1422">+CN190</f>
        <v>70.55645885734819</v>
      </c>
      <c r="CP190" s="30">
        <f t="shared" ref="CP190:CP191" si="1423">+CO190</f>
        <v>70.55645885734819</v>
      </c>
      <c r="CQ190" s="30">
        <f t="shared" ref="CQ190:CQ191" si="1424">+CP190</f>
        <v>70.55645885734819</v>
      </c>
      <c r="CR190" s="30">
        <f t="shared" ref="CR190:CR191" si="1425">+CQ190</f>
        <v>70.55645885734819</v>
      </c>
      <c r="CS190" s="30">
        <f t="shared" ref="CS190:CS191" si="1426">+CR190</f>
        <v>70.55645885734819</v>
      </c>
      <c r="CT190" s="30">
        <f t="shared" ref="CT190:CT191" si="1427">+CS190</f>
        <v>70.55645885734819</v>
      </c>
      <c r="CU190" s="30">
        <f t="shared" ref="CU190:CU191" si="1428">+CT190</f>
        <v>70.55645885734819</v>
      </c>
      <c r="CV190" s="30">
        <f t="shared" ref="CV190:CV191" si="1429">+CU190</f>
        <v>70.55645885734819</v>
      </c>
      <c r="CW190" s="30">
        <f t="shared" ref="CW190:CW191" si="1430">+CV190</f>
        <v>70.55645885734819</v>
      </c>
      <c r="CX190" s="30">
        <f t="shared" ref="CX190:CX191" si="1431">+CW190</f>
        <v>70.55645885734819</v>
      </c>
      <c r="CY190" s="30">
        <f t="shared" ref="CY190:CY191" si="1432">+CX190</f>
        <v>70.55645885734819</v>
      </c>
      <c r="CZ190" s="30">
        <f t="shared" ref="CZ190:CZ191" si="1433">+CY190</f>
        <v>70.55645885734819</v>
      </c>
      <c r="DA190" s="30">
        <f t="shared" ref="DA190:DA191" si="1434">+CZ190</f>
        <v>70.55645885734819</v>
      </c>
      <c r="DB190" s="30">
        <f t="shared" ref="DB190:DB191" si="1435">+DA190</f>
        <v>70.55645885734819</v>
      </c>
      <c r="DE190" s="139"/>
      <c r="DF190" s="62">
        <v>72.580848225660603</v>
      </c>
    </row>
    <row r="191" spans="1:110" s="62" customFormat="1" outlineLevel="1" x14ac:dyDescent="0.2">
      <c r="A191" s="68" t="s">
        <v>465</v>
      </c>
      <c r="B191" s="67" t="e">
        <f t="shared" ref="B191:AE191" si="1436">B156/B19*365</f>
        <v>#DIV/0!</v>
      </c>
      <c r="C191" s="67" t="e">
        <f t="shared" si="1436"/>
        <v>#DIV/0!</v>
      </c>
      <c r="D191" s="67" t="e">
        <f t="shared" si="1436"/>
        <v>#DIV/0!</v>
      </c>
      <c r="E191" s="67" t="e">
        <f t="shared" si="1436"/>
        <v>#DIV/0!</v>
      </c>
      <c r="F191" s="67">
        <f t="shared" si="1436"/>
        <v>75.020509152875789</v>
      </c>
      <c r="G191" s="67">
        <f t="shared" si="1436"/>
        <v>69.232620877784328</v>
      </c>
      <c r="H191" s="67">
        <f t="shared" si="1436"/>
        <v>73.194977895631965</v>
      </c>
      <c r="I191" s="67">
        <f t="shared" si="1436"/>
        <v>92.899864180568713</v>
      </c>
      <c r="J191" s="67">
        <f t="shared" si="1436"/>
        <v>71.179175753009744</v>
      </c>
      <c r="K191" s="67">
        <f t="shared" si="1436"/>
        <v>78.39311873370346</v>
      </c>
      <c r="L191" s="67" t="e">
        <f t="shared" si="1436"/>
        <v>#DIV/0!</v>
      </c>
      <c r="M191" s="67" t="e">
        <f t="shared" si="1436"/>
        <v>#DIV/0!</v>
      </c>
      <c r="N191" s="67">
        <f t="shared" si="1436"/>
        <v>51.46302970640518</v>
      </c>
      <c r="O191" s="67">
        <f t="shared" si="1436"/>
        <v>69.360733127684711</v>
      </c>
      <c r="P191" s="67">
        <f t="shared" si="1436"/>
        <v>52.696684111844036</v>
      </c>
      <c r="Q191" s="67">
        <f t="shared" si="1436"/>
        <v>49.960655424779262</v>
      </c>
      <c r="R191" s="67">
        <f t="shared" si="1436"/>
        <v>52.515531414858593</v>
      </c>
      <c r="S191" s="67">
        <f t="shared" si="1436"/>
        <v>48.703532182622908</v>
      </c>
      <c r="T191" s="67">
        <f t="shared" si="1436"/>
        <v>42.167978451128079</v>
      </c>
      <c r="U191" s="67">
        <f t="shared" si="1436"/>
        <v>47.523417713037531</v>
      </c>
      <c r="V191" s="67">
        <f t="shared" si="1436"/>
        <v>55.909965062982785</v>
      </c>
      <c r="W191" s="67">
        <f t="shared" si="1436"/>
        <v>48.766655239916638</v>
      </c>
      <c r="X191" s="67">
        <f t="shared" si="1436"/>
        <v>61.390325520015082</v>
      </c>
      <c r="Y191" s="67">
        <f t="shared" si="1436"/>
        <v>47.27823789852485</v>
      </c>
      <c r="Z191" s="67">
        <f t="shared" si="1436"/>
        <v>59.048683063643139</v>
      </c>
      <c r="AA191" s="67">
        <f t="shared" ref="AA191" si="1437">AA156/AA19*365</f>
        <v>50.23342879839192</v>
      </c>
      <c r="AB191" s="18">
        <f t="shared" si="1436"/>
        <v>50.233428798391913</v>
      </c>
      <c r="AC191" s="18">
        <f t="shared" si="1436"/>
        <v>50.23342879839192</v>
      </c>
      <c r="AD191" s="18">
        <f t="shared" si="1436"/>
        <v>50.233428798391913</v>
      </c>
      <c r="AE191" s="18">
        <f t="shared" si="1436"/>
        <v>50.233428798391913</v>
      </c>
      <c r="AI191" s="67" t="e">
        <f>AJ156/AI19*90</f>
        <v>#DIV/0!</v>
      </c>
      <c r="AJ191" s="67" t="e">
        <f>AJ156/AJ19*90</f>
        <v>#DIV/0!</v>
      </c>
      <c r="AK191" s="67" t="e">
        <f>+AJ191</f>
        <v>#DIV/0!</v>
      </c>
      <c r="AL191" s="67" t="e">
        <f>AL156/AL19*90</f>
        <v>#DIV/0!</v>
      </c>
      <c r="AM191" s="67" t="e">
        <f t="shared" si="1396"/>
        <v>#DIV/0!</v>
      </c>
      <c r="AN191" s="67" t="e">
        <f>AN156/AN19*90</f>
        <v>#DIV/0!</v>
      </c>
      <c r="AO191" s="67" t="e">
        <f t="shared" si="1397"/>
        <v>#DIV/0!</v>
      </c>
      <c r="AP191" s="67" t="e">
        <f>AP156/AP19*90</f>
        <v>#DIV/0!</v>
      </c>
      <c r="AQ191" s="67" t="e">
        <f t="shared" si="1398"/>
        <v>#DIV/0!</v>
      </c>
      <c r="AR191" s="67" t="e">
        <f>AR156/AR19*90</f>
        <v>#DIV/0!</v>
      </c>
      <c r="AS191" s="67" t="e">
        <f t="shared" si="1399"/>
        <v>#DIV/0!</v>
      </c>
      <c r="AT191" s="67" t="e">
        <f>AT156/AT19*90</f>
        <v>#DIV/0!</v>
      </c>
      <c r="AU191" s="67" t="e">
        <f t="shared" si="1400"/>
        <v>#DIV/0!</v>
      </c>
      <c r="AV191" s="67" t="e">
        <f>AV156/AV19*90</f>
        <v>#DIV/0!</v>
      </c>
      <c r="AW191" s="67" t="e">
        <f t="shared" si="1401"/>
        <v>#DIV/0!</v>
      </c>
      <c r="AX191" s="67" t="e">
        <f>AX156/AX19*90</f>
        <v>#DIV/0!</v>
      </c>
      <c r="AY191" s="67" t="e">
        <f t="shared" si="1402"/>
        <v>#DIV/0!</v>
      </c>
      <c r="AZ191" s="67" t="e">
        <f>AZ156/AZ19*90</f>
        <v>#DIV/0!</v>
      </c>
      <c r="BA191" s="67" t="e">
        <f t="shared" si="1403"/>
        <v>#DIV/0!</v>
      </c>
      <c r="BB191" s="67" t="e">
        <f>BB156/BB19*90</f>
        <v>#DIV/0!</v>
      </c>
      <c r="BC191" s="67" t="e">
        <f t="shared" si="1404"/>
        <v>#DIV/0!</v>
      </c>
      <c r="BD191" s="67" t="e">
        <f>BD156/BD19*90</f>
        <v>#DIV/0!</v>
      </c>
      <c r="BE191" s="67" t="e">
        <f t="shared" si="1405"/>
        <v>#DIV/0!</v>
      </c>
      <c r="BF191" s="67" t="e">
        <f>BF156/BF19*90</f>
        <v>#DIV/0!</v>
      </c>
      <c r="BG191" s="67" t="e">
        <f t="shared" si="1406"/>
        <v>#DIV/0!</v>
      </c>
      <c r="BH191" s="67" t="e">
        <f>BH156/BH19*90</f>
        <v>#DIV/0!</v>
      </c>
      <c r="BI191" s="67" t="e">
        <f t="shared" si="1407"/>
        <v>#DIV/0!</v>
      </c>
      <c r="BJ191" s="67" t="e">
        <f>BJ156/BJ19*90</f>
        <v>#DIV/0!</v>
      </c>
      <c r="BK191" s="67" t="e">
        <f t="shared" si="1408"/>
        <v>#DIV/0!</v>
      </c>
      <c r="BL191" s="67" t="e">
        <f>BL156/BL19*90</f>
        <v>#DIV/0!</v>
      </c>
      <c r="BM191" s="67" t="e">
        <f t="shared" si="1409"/>
        <v>#DIV/0!</v>
      </c>
      <c r="BN191" s="67">
        <f>BN156/BN19*90</f>
        <v>52.297479142370143</v>
      </c>
      <c r="BO191" s="67">
        <f t="shared" si="1410"/>
        <v>52.297479142370143</v>
      </c>
      <c r="BP191" s="67">
        <f>BP156/BP19*90</f>
        <v>0</v>
      </c>
      <c r="BQ191" s="67">
        <f t="shared" si="1411"/>
        <v>0</v>
      </c>
      <c r="BR191" s="67">
        <f>BR156/BR19*90</f>
        <v>40.035557375828432</v>
      </c>
      <c r="BS191" s="67">
        <f t="shared" si="1412"/>
        <v>40.035557375828432</v>
      </c>
      <c r="BT191" s="67">
        <f>BT156/BT19*90</f>
        <v>36.978161503301173</v>
      </c>
      <c r="BU191" s="67">
        <f t="shared" si="1413"/>
        <v>36.978161503301173</v>
      </c>
      <c r="BV191" s="67">
        <f>BV156/BV19*90</f>
        <v>40.59710356800219</v>
      </c>
      <c r="BW191" s="67">
        <f t="shared" si="1414"/>
        <v>40.59710356800219</v>
      </c>
      <c r="BX191" s="67">
        <f>BX156/BX19*90</f>
        <v>43.409254869627944</v>
      </c>
      <c r="BY191" s="67">
        <f t="shared" si="1415"/>
        <v>43.409254869627944</v>
      </c>
      <c r="BZ191" s="67">
        <f>BZ156/BZ19*90</f>
        <v>49.140732580556318</v>
      </c>
      <c r="CA191" s="67">
        <f t="shared" si="1416"/>
        <v>49.140732580556318</v>
      </c>
      <c r="CB191" s="67">
        <f>CB156/CB19*90</f>
        <v>47.0090580632029</v>
      </c>
      <c r="CC191" s="67">
        <f t="shared" si="1417"/>
        <v>47.0090580632029</v>
      </c>
      <c r="CD191" s="67">
        <f>CD156/CD19*90</f>
        <v>46.950892937919562</v>
      </c>
      <c r="CE191" s="114">
        <f t="shared" ref="CE191" si="1438">+CD191</f>
        <v>46.950892937919562</v>
      </c>
      <c r="CF191" s="67">
        <f>CF156/CF19*90</f>
        <v>46.23921907821574</v>
      </c>
      <c r="CG191" s="67">
        <f t="shared" si="1418"/>
        <v>46.23921907821574</v>
      </c>
      <c r="CH191" s="67">
        <f>CH156/CH19*90</f>
        <v>47.364927826211229</v>
      </c>
      <c r="CI191" s="67">
        <f t="shared" si="1418"/>
        <v>47.364927826211229</v>
      </c>
      <c r="CJ191" s="67">
        <f>CJ156/CJ19*90</f>
        <v>51.480023381411783</v>
      </c>
      <c r="CK191" s="67">
        <f t="shared" si="1419"/>
        <v>51.480023381411783</v>
      </c>
      <c r="CL191" s="67">
        <f>CL156/CL19*90</f>
        <v>44.892472152353569</v>
      </c>
      <c r="CM191" s="30">
        <f t="shared" si="1420"/>
        <v>44.892472152353569</v>
      </c>
      <c r="CN191" s="30">
        <f t="shared" si="1421"/>
        <v>44.892472152353569</v>
      </c>
      <c r="CO191" s="30">
        <f t="shared" si="1422"/>
        <v>44.892472152353569</v>
      </c>
      <c r="CP191" s="30">
        <f t="shared" si="1423"/>
        <v>44.892472152353569</v>
      </c>
      <c r="CQ191" s="30">
        <f t="shared" si="1424"/>
        <v>44.892472152353569</v>
      </c>
      <c r="CR191" s="30">
        <f t="shared" si="1425"/>
        <v>44.892472152353569</v>
      </c>
      <c r="CS191" s="30">
        <f t="shared" si="1426"/>
        <v>44.892472152353569</v>
      </c>
      <c r="CT191" s="30">
        <f t="shared" si="1427"/>
        <v>44.892472152353569</v>
      </c>
      <c r="CU191" s="30">
        <f t="shared" si="1428"/>
        <v>44.892472152353569</v>
      </c>
      <c r="CV191" s="30">
        <f t="shared" si="1429"/>
        <v>44.892472152353569</v>
      </c>
      <c r="CW191" s="30">
        <f t="shared" si="1430"/>
        <v>44.892472152353569</v>
      </c>
      <c r="CX191" s="30">
        <f t="shared" si="1431"/>
        <v>44.892472152353569</v>
      </c>
      <c r="CY191" s="30">
        <f t="shared" si="1432"/>
        <v>44.892472152353569</v>
      </c>
      <c r="CZ191" s="30">
        <f t="shared" si="1433"/>
        <v>44.892472152353569</v>
      </c>
      <c r="DA191" s="30">
        <f t="shared" si="1434"/>
        <v>44.892472152353569</v>
      </c>
      <c r="DB191" s="30">
        <f t="shared" si="1435"/>
        <v>44.892472152353569</v>
      </c>
      <c r="DE191" s="139"/>
      <c r="DF191" s="62">
        <v>51.480023381411783</v>
      </c>
    </row>
    <row r="192" spans="1:110" s="62" customFormat="1" outlineLevel="1" x14ac:dyDescent="0.2">
      <c r="A192" s="68" t="s">
        <v>466</v>
      </c>
      <c r="B192" s="67" t="e">
        <f>B193-B191-B190</f>
        <v>#DIV/0!</v>
      </c>
      <c r="C192" s="67" t="e">
        <f t="shared" ref="C192:U192" si="1439">C193-C191-C190</f>
        <v>#DIV/0!</v>
      </c>
      <c r="D192" s="67" t="e">
        <f t="shared" si="1439"/>
        <v>#DIV/0!</v>
      </c>
      <c r="E192" s="67" t="e">
        <f t="shared" si="1439"/>
        <v>#DIV/0!</v>
      </c>
      <c r="F192" s="67">
        <f t="shared" si="1439"/>
        <v>32.477234408114697</v>
      </c>
      <c r="G192" s="67">
        <f t="shared" si="1439"/>
        <v>25.809550360500637</v>
      </c>
      <c r="H192" s="67">
        <f t="shared" si="1439"/>
        <v>48.426638823066654</v>
      </c>
      <c r="I192" s="67">
        <f t="shared" si="1439"/>
        <v>31.90776398401745</v>
      </c>
      <c r="J192" s="67">
        <f t="shared" si="1439"/>
        <v>35.448877601477832</v>
      </c>
      <c r="K192" s="67">
        <f t="shared" si="1439"/>
        <v>71.25713534426643</v>
      </c>
      <c r="L192" s="67" t="e">
        <f t="shared" si="1439"/>
        <v>#DIV/0!</v>
      </c>
      <c r="M192" s="67" t="e">
        <f t="shared" si="1439"/>
        <v>#DIV/0!</v>
      </c>
      <c r="N192" s="67">
        <f t="shared" si="1439"/>
        <v>43.254465152757348</v>
      </c>
      <c r="O192" s="67">
        <f t="shared" si="1439"/>
        <v>59.346304090869836</v>
      </c>
      <c r="P192" s="67">
        <f t="shared" si="1439"/>
        <v>40.440351650577739</v>
      </c>
      <c r="Q192" s="67">
        <f t="shared" si="1439"/>
        <v>38.199277481297386</v>
      </c>
      <c r="R192" s="67">
        <f t="shared" si="1439"/>
        <v>40.233223262332572</v>
      </c>
      <c r="S192" s="67">
        <f t="shared" si="1439"/>
        <v>25.466183271254948</v>
      </c>
      <c r="T192" s="67">
        <f t="shared" si="1439"/>
        <v>16.486773703291576</v>
      </c>
      <c r="U192" s="67">
        <f t="shared" si="1439"/>
        <v>19.051431864170539</v>
      </c>
      <c r="V192" s="67">
        <f>V193-V191-V190</f>
        <v>27.125516843488569</v>
      </c>
      <c r="W192" s="67">
        <f t="shared" ref="W192" si="1440">W193-W191-W190</f>
        <v>19.80070094090263</v>
      </c>
      <c r="X192" s="67">
        <f t="shared" ref="X192:Y192" si="1441">X193-X191-X190</f>
        <v>18.824577389555699</v>
      </c>
      <c r="Y192" s="67">
        <f t="shared" si="1441"/>
        <v>20.946957699590953</v>
      </c>
      <c r="Z192" s="67">
        <f t="shared" ref="Z192:AA192" si="1442">Z193-Z191-Z190</f>
        <v>45.82127518240992</v>
      </c>
      <c r="AA192" s="67">
        <f t="shared" si="1442"/>
        <v>39.415424195745103</v>
      </c>
      <c r="AB192" s="18">
        <f t="shared" ref="AA192:AD192" si="1443">AB193-AB191-AB190</f>
        <v>60.694994714515715</v>
      </c>
      <c r="AC192" s="18">
        <f t="shared" si="1443"/>
        <v>60.694994714515715</v>
      </c>
      <c r="AD192" s="18">
        <f t="shared" si="1443"/>
        <v>60.694994714515715</v>
      </c>
      <c r="AE192" s="18">
        <f t="shared" ref="AE192" si="1444">AE193-AE191-AE190</f>
        <v>60.694994714515673</v>
      </c>
      <c r="AI192" s="67" t="e">
        <f t="shared" ref="AI192:AK192" si="1445">AI193-AI191-AI190</f>
        <v>#DIV/0!</v>
      </c>
      <c r="AJ192" s="67" t="e">
        <f t="shared" ref="AJ192:AM192" si="1446">AJ193-AJ191-AJ190</f>
        <v>#DIV/0!</v>
      </c>
      <c r="AK192" s="67" t="e">
        <f t="shared" si="1445"/>
        <v>#DIV/0!</v>
      </c>
      <c r="AL192" s="67" t="e">
        <f t="shared" si="1446"/>
        <v>#DIV/0!</v>
      </c>
      <c r="AM192" s="67" t="e">
        <f t="shared" si="1446"/>
        <v>#DIV/0!</v>
      </c>
      <c r="AN192" s="67" t="e">
        <f t="shared" ref="AN192:AY192" si="1447">AN193-AN191-AN190</f>
        <v>#DIV/0!</v>
      </c>
      <c r="AO192" s="67" t="e">
        <f t="shared" si="1447"/>
        <v>#DIV/0!</v>
      </c>
      <c r="AP192" s="67" t="e">
        <f t="shared" si="1447"/>
        <v>#DIV/0!</v>
      </c>
      <c r="AQ192" s="67" t="e">
        <f t="shared" si="1447"/>
        <v>#DIV/0!</v>
      </c>
      <c r="AR192" s="67" t="e">
        <f t="shared" si="1447"/>
        <v>#DIV/0!</v>
      </c>
      <c r="AS192" s="67" t="e">
        <f t="shared" si="1447"/>
        <v>#DIV/0!</v>
      </c>
      <c r="AT192" s="67" t="e">
        <f t="shared" si="1447"/>
        <v>#DIV/0!</v>
      </c>
      <c r="AU192" s="67" t="e">
        <f t="shared" si="1447"/>
        <v>#DIV/0!</v>
      </c>
      <c r="AV192" s="67" t="e">
        <f t="shared" si="1447"/>
        <v>#DIV/0!</v>
      </c>
      <c r="AW192" s="67" t="e">
        <f t="shared" si="1447"/>
        <v>#DIV/0!</v>
      </c>
      <c r="AX192" s="67" t="e">
        <f t="shared" si="1447"/>
        <v>#DIV/0!</v>
      </c>
      <c r="AY192" s="67" t="e">
        <f t="shared" si="1447"/>
        <v>#DIV/0!</v>
      </c>
      <c r="AZ192" s="67" t="e">
        <f t="shared" ref="AZ192:BC192" si="1448">AZ193-AZ191-AZ190</f>
        <v>#DIV/0!</v>
      </c>
      <c r="BA192" s="67" t="e">
        <f t="shared" si="1448"/>
        <v>#DIV/0!</v>
      </c>
      <c r="BB192" s="67" t="e">
        <f t="shared" si="1448"/>
        <v>#DIV/0!</v>
      </c>
      <c r="BC192" s="67" t="e">
        <f t="shared" si="1448"/>
        <v>#DIV/0!</v>
      </c>
      <c r="BD192" s="67" t="e">
        <f t="shared" ref="BD192:CE192" si="1449">BD193-BD191-BD190</f>
        <v>#DIV/0!</v>
      </c>
      <c r="BE192" s="67" t="e">
        <f t="shared" si="1449"/>
        <v>#DIV/0!</v>
      </c>
      <c r="BF192" s="67" t="e">
        <f t="shared" si="1449"/>
        <v>#DIV/0!</v>
      </c>
      <c r="BG192" s="67" t="e">
        <f t="shared" si="1449"/>
        <v>#DIV/0!</v>
      </c>
      <c r="BH192" s="67" t="e">
        <f t="shared" si="1449"/>
        <v>#DIV/0!</v>
      </c>
      <c r="BI192" s="67" t="e">
        <f t="shared" si="1449"/>
        <v>#DIV/0!</v>
      </c>
      <c r="BJ192" s="67" t="e">
        <f t="shared" si="1449"/>
        <v>#DIV/0!</v>
      </c>
      <c r="BK192" s="67" t="e">
        <f t="shared" si="1449"/>
        <v>#DIV/0!</v>
      </c>
      <c r="BL192" s="67" t="e">
        <f t="shared" si="1449"/>
        <v>#DIV/0!</v>
      </c>
      <c r="BM192" s="67" t="e">
        <f t="shared" si="1449"/>
        <v>#DIV/0!</v>
      </c>
      <c r="BN192" s="67">
        <f t="shared" si="1449"/>
        <v>50.157890015250729</v>
      </c>
      <c r="BO192" s="67">
        <f t="shared" si="1449"/>
        <v>102.90368098159504</v>
      </c>
      <c r="BP192" s="67">
        <f t="shared" si="1449"/>
        <v>0</v>
      </c>
      <c r="BQ192" s="67">
        <f t="shared" si="1449"/>
        <v>0</v>
      </c>
      <c r="BR192" s="67">
        <f t="shared" si="1449"/>
        <v>33.402338223248194</v>
      </c>
      <c r="BS192" s="67">
        <f t="shared" si="1449"/>
        <v>41.228888531446046</v>
      </c>
      <c r="BT192" s="67">
        <f t="shared" si="1449"/>
        <v>33.471217666941016</v>
      </c>
      <c r="BU192" s="67">
        <f t="shared" si="1449"/>
        <v>34.489578633943893</v>
      </c>
      <c r="BV192" s="67">
        <f t="shared" si="1449"/>
        <v>28.245694184293484</v>
      </c>
      <c r="BW192" s="67">
        <f t="shared" si="1449"/>
        <v>27.399107775939513</v>
      </c>
      <c r="BX192" s="67">
        <f t="shared" si="1449"/>
        <v>26.91049160053592</v>
      </c>
      <c r="BY192" s="67">
        <f t="shared" si="1449"/>
        <v>27.888068568682172</v>
      </c>
      <c r="BZ192" s="67">
        <f t="shared" si="1449"/>
        <v>23.510511337556224</v>
      </c>
      <c r="CA192" s="67">
        <f t="shared" si="1449"/>
        <v>22.213120283723484</v>
      </c>
      <c r="CB192" s="67">
        <f t="shared" si="1449"/>
        <v>24.704086306040381</v>
      </c>
      <c r="CC192" s="67">
        <f t="shared" si="1449"/>
        <v>25.783482340444351</v>
      </c>
      <c r="CD192" s="67">
        <f t="shared" si="1449"/>
        <v>40.258743915899203</v>
      </c>
      <c r="CE192" s="114">
        <f t="shared" si="1449"/>
        <v>38.655304510984308</v>
      </c>
      <c r="CF192" s="67">
        <f t="shared" ref="CF192:CG192" si="1450">CF193-CF191-CF190</f>
        <v>54.078586432719618</v>
      </c>
      <c r="CG192" s="67">
        <f t="shared" si="1450"/>
        <v>41.652887842699329</v>
      </c>
      <c r="CH192" s="67">
        <f t="shared" ref="CH192" si="1451">CH193-CH191-CH190</f>
        <v>36.754780620265805</v>
      </c>
      <c r="CI192" s="67">
        <f>CH192</f>
        <v>36.754780620265805</v>
      </c>
      <c r="CJ192" s="67">
        <f t="shared" ref="CJ192:CL192" si="1452">CJ193-CJ191-CJ190</f>
        <v>57.257030660624807</v>
      </c>
      <c r="CK192" s="67">
        <f t="shared" ref="CK192:DB192" si="1453">CJ192</f>
        <v>57.257030660624807</v>
      </c>
      <c r="CL192" s="67">
        <f t="shared" si="1452"/>
        <v>54.241735537190095</v>
      </c>
      <c r="CM192" s="30">
        <f t="shared" si="1453"/>
        <v>54.241735537190095</v>
      </c>
      <c r="CN192" s="30">
        <f t="shared" si="1453"/>
        <v>54.241735537190095</v>
      </c>
      <c r="CO192" s="30">
        <f t="shared" si="1453"/>
        <v>54.241735537190095</v>
      </c>
      <c r="CP192" s="30">
        <f t="shared" si="1453"/>
        <v>54.241735537190095</v>
      </c>
      <c r="CQ192" s="30">
        <f t="shared" si="1453"/>
        <v>54.241735537190095</v>
      </c>
      <c r="CR192" s="30">
        <f t="shared" si="1453"/>
        <v>54.241735537190095</v>
      </c>
      <c r="CS192" s="30">
        <f t="shared" si="1453"/>
        <v>54.241735537190095</v>
      </c>
      <c r="CT192" s="30">
        <f t="shared" si="1453"/>
        <v>54.241735537190095</v>
      </c>
      <c r="CU192" s="30">
        <f t="shared" si="1453"/>
        <v>54.241735537190095</v>
      </c>
      <c r="CV192" s="30">
        <f t="shared" si="1453"/>
        <v>54.241735537190095</v>
      </c>
      <c r="CW192" s="30">
        <f t="shared" si="1453"/>
        <v>54.241735537190095</v>
      </c>
      <c r="CX192" s="30">
        <f t="shared" si="1453"/>
        <v>54.241735537190095</v>
      </c>
      <c r="CY192" s="30">
        <f t="shared" si="1453"/>
        <v>54.241735537190095</v>
      </c>
      <c r="CZ192" s="30">
        <f t="shared" si="1453"/>
        <v>54.241735537190095</v>
      </c>
      <c r="DA192" s="30">
        <f t="shared" si="1453"/>
        <v>54.241735537190095</v>
      </c>
      <c r="DB192" s="30">
        <f t="shared" si="1453"/>
        <v>54.241735537190095</v>
      </c>
      <c r="DE192" s="139"/>
      <c r="DF192" s="62">
        <v>57.257030660624807</v>
      </c>
    </row>
    <row r="193" spans="1:110" s="7" customFormat="1" outlineLevel="1" x14ac:dyDescent="0.2">
      <c r="A193" s="69" t="s">
        <v>467</v>
      </c>
      <c r="B193" s="70" t="e">
        <f t="shared" ref="B193:AE193" si="1454">B159/B19*365</f>
        <v>#DIV/0!</v>
      </c>
      <c r="C193" s="70" t="e">
        <f t="shared" si="1454"/>
        <v>#DIV/0!</v>
      </c>
      <c r="D193" s="70" t="e">
        <f t="shared" si="1454"/>
        <v>#DIV/0!</v>
      </c>
      <c r="E193" s="70" t="e">
        <f t="shared" si="1454"/>
        <v>#DIV/0!</v>
      </c>
      <c r="F193" s="70">
        <f t="shared" si="1454"/>
        <v>189.46870114066587</v>
      </c>
      <c r="G193" s="70">
        <f t="shared" si="1454"/>
        <v>159.21668789721539</v>
      </c>
      <c r="H193" s="70">
        <f t="shared" si="1454"/>
        <v>189.57076718785768</v>
      </c>
      <c r="I193" s="70">
        <f t="shared" si="1454"/>
        <v>210.1236998807743</v>
      </c>
      <c r="J193" s="70">
        <f t="shared" si="1454"/>
        <v>195.72528304088337</v>
      </c>
      <c r="K193" s="70">
        <f t="shared" si="1454"/>
        <v>281.54266241561714</v>
      </c>
      <c r="L193" s="70" t="e">
        <f t="shared" si="1454"/>
        <v>#DIV/0!</v>
      </c>
      <c r="M193" s="70" t="e">
        <f t="shared" si="1454"/>
        <v>#DIV/0!</v>
      </c>
      <c r="N193" s="70">
        <f t="shared" si="1454"/>
        <v>159.24690993786515</v>
      </c>
      <c r="O193" s="70">
        <f t="shared" si="1454"/>
        <v>195.39711563409926</v>
      </c>
      <c r="P193" s="70">
        <f t="shared" si="1454"/>
        <v>155.27068416018562</v>
      </c>
      <c r="Q193" s="70">
        <f t="shared" si="1454"/>
        <v>155.58662000146211</v>
      </c>
      <c r="R193" s="70">
        <f t="shared" si="1454"/>
        <v>160.91419254822631</v>
      </c>
      <c r="S193" s="70">
        <f t="shared" si="1454"/>
        <v>146.72394858190046</v>
      </c>
      <c r="T193" s="70">
        <f t="shared" si="1454"/>
        <v>123.56507428189221</v>
      </c>
      <c r="U193" s="70">
        <f t="shared" si="1454"/>
        <v>146.20690001742088</v>
      </c>
      <c r="V193" s="70">
        <f t="shared" si="1454"/>
        <v>177.94788294496618</v>
      </c>
      <c r="W193" s="70">
        <f t="shared" si="1454"/>
        <v>171.69662429748038</v>
      </c>
      <c r="X193" s="70">
        <f t="shared" si="1454"/>
        <v>176.09363413561238</v>
      </c>
      <c r="Y193" s="70">
        <f t="shared" si="1454"/>
        <v>153.56264867815435</v>
      </c>
      <c r="Z193" s="70">
        <f t="shared" si="1454"/>
        <v>190.31059770001826</v>
      </c>
      <c r="AA193" s="70">
        <f t="shared" ref="AA193" si="1455">AA159/AA19*365</f>
        <v>168.59956972563813</v>
      </c>
      <c r="AB193" s="71">
        <f t="shared" si="1454"/>
        <v>189.87914024440875</v>
      </c>
      <c r="AC193" s="71">
        <f t="shared" si="1454"/>
        <v>189.87914024440875</v>
      </c>
      <c r="AD193" s="71">
        <f t="shared" si="1454"/>
        <v>189.87914024440875</v>
      </c>
      <c r="AE193" s="71">
        <f t="shared" si="1454"/>
        <v>189.87914024440869</v>
      </c>
      <c r="AI193" s="70" t="e">
        <f t="shared" ref="AI193:CD193" si="1456">AI159/AI19*90</f>
        <v>#DIV/0!</v>
      </c>
      <c r="AJ193" s="70" t="e">
        <f t="shared" si="1456"/>
        <v>#DIV/0!</v>
      </c>
      <c r="AK193" s="70" t="e">
        <f t="shared" si="1456"/>
        <v>#DIV/0!</v>
      </c>
      <c r="AL193" s="70" t="e">
        <f t="shared" si="1456"/>
        <v>#DIV/0!</v>
      </c>
      <c r="AM193" s="70" t="e">
        <f t="shared" si="1456"/>
        <v>#DIV/0!</v>
      </c>
      <c r="AN193" s="70" t="e">
        <f t="shared" si="1456"/>
        <v>#DIV/0!</v>
      </c>
      <c r="AO193" s="70" t="e">
        <f t="shared" si="1456"/>
        <v>#DIV/0!</v>
      </c>
      <c r="AP193" s="70" t="e">
        <f t="shared" si="1456"/>
        <v>#DIV/0!</v>
      </c>
      <c r="AQ193" s="70" t="e">
        <f t="shared" si="1456"/>
        <v>#DIV/0!</v>
      </c>
      <c r="AR193" s="70" t="e">
        <f t="shared" si="1456"/>
        <v>#DIV/0!</v>
      </c>
      <c r="AS193" s="70" t="e">
        <f t="shared" si="1456"/>
        <v>#DIV/0!</v>
      </c>
      <c r="AT193" s="70" t="e">
        <f t="shared" si="1456"/>
        <v>#DIV/0!</v>
      </c>
      <c r="AU193" s="70" t="e">
        <f t="shared" si="1456"/>
        <v>#DIV/0!</v>
      </c>
      <c r="AV193" s="70" t="e">
        <f t="shared" si="1456"/>
        <v>#DIV/0!</v>
      </c>
      <c r="AW193" s="70" t="e">
        <f t="shared" si="1456"/>
        <v>#DIV/0!</v>
      </c>
      <c r="AX193" s="70" t="e">
        <f t="shared" si="1456"/>
        <v>#DIV/0!</v>
      </c>
      <c r="AY193" s="70" t="e">
        <f t="shared" si="1456"/>
        <v>#DIV/0!</v>
      </c>
      <c r="AZ193" s="70" t="e">
        <f t="shared" si="1456"/>
        <v>#DIV/0!</v>
      </c>
      <c r="BA193" s="70" t="e">
        <f t="shared" si="1456"/>
        <v>#DIV/0!</v>
      </c>
      <c r="BB193" s="70" t="e">
        <f t="shared" si="1456"/>
        <v>#DIV/0!</v>
      </c>
      <c r="BC193" s="70" t="e">
        <f t="shared" si="1456"/>
        <v>#DIV/0!</v>
      </c>
      <c r="BD193" s="70" t="e">
        <f t="shared" si="1456"/>
        <v>#DIV/0!</v>
      </c>
      <c r="BE193" s="70" t="e">
        <f t="shared" si="1456"/>
        <v>#DIV/0!</v>
      </c>
      <c r="BF193" s="70" t="e">
        <f t="shared" si="1456"/>
        <v>#DIV/0!</v>
      </c>
      <c r="BG193" s="70" t="e">
        <f t="shared" si="1456"/>
        <v>#DIV/0!</v>
      </c>
      <c r="BH193" s="70" t="e">
        <f t="shared" si="1456"/>
        <v>#DIV/0!</v>
      </c>
      <c r="BI193" s="70" t="e">
        <f t="shared" si="1456"/>
        <v>#DIV/0!</v>
      </c>
      <c r="BJ193" s="70" t="e">
        <f t="shared" si="1456"/>
        <v>#DIV/0!</v>
      </c>
      <c r="BK193" s="70" t="e">
        <f t="shared" si="1456"/>
        <v>#DIV/0!</v>
      </c>
      <c r="BL193" s="70" t="e">
        <f t="shared" si="1456"/>
        <v>#DIV/0!</v>
      </c>
      <c r="BM193" s="70" t="e">
        <f t="shared" si="1456"/>
        <v>#DIV/0!</v>
      </c>
      <c r="BN193" s="70">
        <f t="shared" si="1456"/>
        <v>190.08701892885978</v>
      </c>
      <c r="BO193" s="70">
        <f t="shared" si="1456"/>
        <v>242.83280989520409</v>
      </c>
      <c r="BP193" s="70">
        <f t="shared" si="1456"/>
        <v>0</v>
      </c>
      <c r="BQ193" s="70">
        <f t="shared" si="1456"/>
        <v>0</v>
      </c>
      <c r="BR193" s="70">
        <f t="shared" si="1456"/>
        <v>141.40200312755977</v>
      </c>
      <c r="BS193" s="70">
        <f t="shared" si="1456"/>
        <v>149.22855343575762</v>
      </c>
      <c r="BT193" s="70">
        <f t="shared" si="1456"/>
        <v>145.56732806780965</v>
      </c>
      <c r="BU193" s="70">
        <f t="shared" si="1456"/>
        <v>146.58568903481253</v>
      </c>
      <c r="BV193" s="70">
        <f t="shared" si="1456"/>
        <v>154.69550915985198</v>
      </c>
      <c r="BW193" s="70">
        <f t="shared" si="1456"/>
        <v>153.84892275149801</v>
      </c>
      <c r="BX193" s="70">
        <f t="shared" si="1456"/>
        <v>143.60648768422138</v>
      </c>
      <c r="BY193" s="70">
        <f t="shared" si="1456"/>
        <v>144.58406465236763</v>
      </c>
      <c r="BZ193" s="70">
        <f t="shared" si="1456"/>
        <v>149.39869641053886</v>
      </c>
      <c r="CA193" s="70">
        <f t="shared" si="1456"/>
        <v>148.10130535670612</v>
      </c>
      <c r="CB193" s="70">
        <f t="shared" si="1456"/>
        <v>145.39107424558546</v>
      </c>
      <c r="CC193" s="70">
        <f t="shared" si="1456"/>
        <v>146.47047027998943</v>
      </c>
      <c r="CD193" s="70">
        <f t="shared" si="1456"/>
        <v>171.95623066205877</v>
      </c>
      <c r="CE193" s="115">
        <f>CE159/CE21*90</f>
        <v>170.35279125714388</v>
      </c>
      <c r="CF193" s="70">
        <f>CF159/CF19*90</f>
        <v>185.06660076609413</v>
      </c>
      <c r="CG193" s="70">
        <f>CG159/CG21*90</f>
        <v>172.64090217607384</v>
      </c>
      <c r="CH193" s="70">
        <f>CH159/CH19*90</f>
        <v>152.65450907531797</v>
      </c>
      <c r="CI193" s="70">
        <f>CI190+CI191+CI192</f>
        <v>152.65450907531797</v>
      </c>
      <c r="CJ193" s="70">
        <f>CJ159/CJ19*90</f>
        <v>181.31790226769718</v>
      </c>
      <c r="CK193" s="70">
        <f t="shared" ref="CK193:DB193" si="1457">CK190+CK191+CK192</f>
        <v>181.31790226769721</v>
      </c>
      <c r="CL193" s="70">
        <f>CL159/CL19*90</f>
        <v>169.69066654689186</v>
      </c>
      <c r="CM193" s="50">
        <f t="shared" si="1457"/>
        <v>169.69066654689186</v>
      </c>
      <c r="CN193" s="50">
        <f t="shared" si="1457"/>
        <v>169.69066654689186</v>
      </c>
      <c r="CO193" s="50">
        <f t="shared" si="1457"/>
        <v>169.69066654689186</v>
      </c>
      <c r="CP193" s="50">
        <f t="shared" si="1457"/>
        <v>169.69066654689186</v>
      </c>
      <c r="CQ193" s="50">
        <f t="shared" si="1457"/>
        <v>169.69066654689186</v>
      </c>
      <c r="CR193" s="50">
        <f t="shared" si="1457"/>
        <v>169.69066654689186</v>
      </c>
      <c r="CS193" s="50">
        <f t="shared" si="1457"/>
        <v>169.69066654689186</v>
      </c>
      <c r="CT193" s="50">
        <f t="shared" si="1457"/>
        <v>169.69066654689186</v>
      </c>
      <c r="CU193" s="50">
        <f t="shared" si="1457"/>
        <v>169.69066654689186</v>
      </c>
      <c r="CV193" s="50">
        <f t="shared" si="1457"/>
        <v>169.69066654689186</v>
      </c>
      <c r="CW193" s="50">
        <f t="shared" si="1457"/>
        <v>169.69066654689186</v>
      </c>
      <c r="CX193" s="50">
        <f t="shared" si="1457"/>
        <v>169.69066654689186</v>
      </c>
      <c r="CY193" s="50">
        <f t="shared" si="1457"/>
        <v>169.69066654689186</v>
      </c>
      <c r="CZ193" s="50">
        <f t="shared" si="1457"/>
        <v>169.69066654689186</v>
      </c>
      <c r="DA193" s="50">
        <f t="shared" si="1457"/>
        <v>169.69066654689186</v>
      </c>
      <c r="DB193" s="50">
        <f t="shared" si="1457"/>
        <v>169.69066654689186</v>
      </c>
      <c r="DE193" s="138"/>
      <c r="DF193" s="7">
        <v>181.31790226769721</v>
      </c>
    </row>
    <row r="194" spans="1:110" s="62" customFormat="1" outlineLevel="1" x14ac:dyDescent="0.2">
      <c r="A194" s="68" t="s">
        <v>468</v>
      </c>
      <c r="B194" s="67" t="e">
        <f t="shared" ref="B194:AE194" si="1458">B164/B19*365</f>
        <v>#DIV/0!</v>
      </c>
      <c r="C194" s="67" t="e">
        <f t="shared" si="1458"/>
        <v>#DIV/0!</v>
      </c>
      <c r="D194" s="67" t="e">
        <f t="shared" si="1458"/>
        <v>#DIV/0!</v>
      </c>
      <c r="E194" s="67" t="e">
        <f t="shared" si="1458"/>
        <v>#DIV/0!</v>
      </c>
      <c r="F194" s="67">
        <f t="shared" si="1458"/>
        <v>138.15614411940484</v>
      </c>
      <c r="G194" s="67">
        <f t="shared" si="1458"/>
        <v>66.327416868486537</v>
      </c>
      <c r="H194" s="67">
        <f t="shared" si="1458"/>
        <v>99.319497480284369</v>
      </c>
      <c r="I194" s="67">
        <f t="shared" si="1458"/>
        <v>116.57625167040806</v>
      </c>
      <c r="J194" s="67">
        <f t="shared" si="1458"/>
        <v>84.751378724014856</v>
      </c>
      <c r="K194" s="67">
        <f t="shared" si="1458"/>
        <v>135.72191943415621</v>
      </c>
      <c r="L194" s="67" t="e">
        <f t="shared" si="1458"/>
        <v>#DIV/0!</v>
      </c>
      <c r="M194" s="67" t="e">
        <f t="shared" si="1458"/>
        <v>#DIV/0!</v>
      </c>
      <c r="N194" s="67">
        <f t="shared" si="1458"/>
        <v>49.033307585904254</v>
      </c>
      <c r="O194" s="67">
        <f t="shared" si="1458"/>
        <v>74.340062559460307</v>
      </c>
      <c r="P194" s="67">
        <f t="shared" si="1458"/>
        <v>73.743429283727181</v>
      </c>
      <c r="Q194" s="67">
        <f t="shared" si="1458"/>
        <v>75.152225430708867</v>
      </c>
      <c r="R194" s="67">
        <f t="shared" si="1458"/>
        <v>89.829968400037018</v>
      </c>
      <c r="S194" s="67">
        <f t="shared" si="1458"/>
        <v>87.593431820737933</v>
      </c>
      <c r="T194" s="67">
        <f t="shared" si="1458"/>
        <v>66.49660039812828</v>
      </c>
      <c r="U194" s="67">
        <f t="shared" si="1458"/>
        <v>68.91286868659796</v>
      </c>
      <c r="V194" s="67">
        <f t="shared" si="1458"/>
        <v>82.399051251642675</v>
      </c>
      <c r="W194" s="67">
        <f t="shared" si="1458"/>
        <v>76.153755942661775</v>
      </c>
      <c r="X194" s="67">
        <f t="shared" si="1458"/>
        <v>81.612926538050658</v>
      </c>
      <c r="Y194" s="67">
        <f t="shared" si="1458"/>
        <v>65.644951513231931</v>
      </c>
      <c r="Z194" s="67">
        <f t="shared" si="1458"/>
        <v>85.586883707525544</v>
      </c>
      <c r="AA194" s="67">
        <f t="shared" ref="AA194" si="1459">AA164/AA19*365</f>
        <v>66.044289012512905</v>
      </c>
      <c r="AB194" s="18">
        <f t="shared" si="1458"/>
        <v>66.044289012512891</v>
      </c>
      <c r="AC194" s="18">
        <f t="shared" si="1458"/>
        <v>66.044289012512891</v>
      </c>
      <c r="AD194" s="18">
        <f t="shared" si="1458"/>
        <v>66.044289012512891</v>
      </c>
      <c r="AE194" s="18">
        <f t="shared" si="1458"/>
        <v>66.044289012512891</v>
      </c>
      <c r="AI194" s="67" t="e">
        <f>AJ164/AI19*90</f>
        <v>#DIV/0!</v>
      </c>
      <c r="AJ194" s="67" t="e">
        <f>AJ164/AJ19*90</f>
        <v>#DIV/0!</v>
      </c>
      <c r="AK194" s="67" t="e">
        <f t="shared" ref="AK194:CE194" si="1460">+AJ194</f>
        <v>#DIV/0!</v>
      </c>
      <c r="AL194" s="67" t="e">
        <f>AL164/AL19*90</f>
        <v>#DIV/0!</v>
      </c>
      <c r="AM194" s="67" t="e">
        <f t="shared" ref="AM194" si="1461">+AL194</f>
        <v>#DIV/0!</v>
      </c>
      <c r="AN194" s="67" t="e">
        <f>AN164/AN19*90</f>
        <v>#DIV/0!</v>
      </c>
      <c r="AO194" s="67" t="e">
        <f t="shared" ref="AO194" si="1462">+AN194</f>
        <v>#DIV/0!</v>
      </c>
      <c r="AP194" s="67" t="e">
        <f>AP164/AP19*90</f>
        <v>#DIV/0!</v>
      </c>
      <c r="AQ194" s="67" t="e">
        <f t="shared" ref="AQ194" si="1463">+AP194</f>
        <v>#DIV/0!</v>
      </c>
      <c r="AR194" s="67" t="e">
        <f>AR164/AR19*90</f>
        <v>#DIV/0!</v>
      </c>
      <c r="AS194" s="67" t="e">
        <f t="shared" ref="AS194" si="1464">+AR194</f>
        <v>#DIV/0!</v>
      </c>
      <c r="AT194" s="67" t="e">
        <f>AT164/AT19*90</f>
        <v>#DIV/0!</v>
      </c>
      <c r="AU194" s="67" t="e">
        <f t="shared" ref="AU194" si="1465">+AT194</f>
        <v>#DIV/0!</v>
      </c>
      <c r="AV194" s="67" t="e">
        <f>AV164/AV19*90</f>
        <v>#DIV/0!</v>
      </c>
      <c r="AW194" s="67" t="e">
        <f t="shared" ref="AW194" si="1466">+AV194</f>
        <v>#DIV/0!</v>
      </c>
      <c r="AX194" s="67" t="e">
        <f>AX164/AX19*90</f>
        <v>#DIV/0!</v>
      </c>
      <c r="AY194" s="67" t="e">
        <f t="shared" ref="AY194" si="1467">+AX194</f>
        <v>#DIV/0!</v>
      </c>
      <c r="AZ194" s="67" t="e">
        <f>AZ164/AZ19*90</f>
        <v>#DIV/0!</v>
      </c>
      <c r="BA194" s="67" t="e">
        <f t="shared" ref="BA194" si="1468">+AZ194</f>
        <v>#DIV/0!</v>
      </c>
      <c r="BB194" s="67" t="e">
        <f>BB164/BB19*90</f>
        <v>#DIV/0!</v>
      </c>
      <c r="BC194" s="67" t="e">
        <f t="shared" ref="BC194" si="1469">+BB194</f>
        <v>#DIV/0!</v>
      </c>
      <c r="BD194" s="67" t="e">
        <f>BD164/BD19*90</f>
        <v>#DIV/0!</v>
      </c>
      <c r="BE194" s="67" t="e">
        <f t="shared" ref="BE194" si="1470">+BD194</f>
        <v>#DIV/0!</v>
      </c>
      <c r="BF194" s="67" t="e">
        <f>BF164/BF19*90</f>
        <v>#DIV/0!</v>
      </c>
      <c r="BG194" s="67" t="e">
        <f t="shared" ref="BG194" si="1471">+BF194</f>
        <v>#DIV/0!</v>
      </c>
      <c r="BH194" s="67" t="e">
        <f>BH164/BH19*90</f>
        <v>#DIV/0!</v>
      </c>
      <c r="BI194" s="67" t="e">
        <f t="shared" ref="BI194" si="1472">+BH194</f>
        <v>#DIV/0!</v>
      </c>
      <c r="BJ194" s="67" t="e">
        <f>BJ164/BJ19*90</f>
        <v>#DIV/0!</v>
      </c>
      <c r="BK194" s="67" t="e">
        <f t="shared" ref="BK194" si="1473">+BJ194</f>
        <v>#DIV/0!</v>
      </c>
      <c r="BL194" s="67" t="e">
        <f>BL164/BL19*90</f>
        <v>#DIV/0!</v>
      </c>
      <c r="BM194" s="67" t="e">
        <f t="shared" ref="BM194" si="1474">+BL194</f>
        <v>#DIV/0!</v>
      </c>
      <c r="BN194" s="67">
        <f>BN164/BN19*90</f>
        <v>75.835650847761713</v>
      </c>
      <c r="BO194" s="67">
        <f t="shared" ref="BO194" si="1475">+BN194</f>
        <v>75.835650847761713</v>
      </c>
      <c r="BP194" s="67">
        <f>BP164/BP19*90</f>
        <v>0</v>
      </c>
      <c r="BQ194" s="67">
        <f t="shared" ref="BQ194" si="1476">+BP194</f>
        <v>0</v>
      </c>
      <c r="BR194" s="67">
        <f>BR164/BR19*90</f>
        <v>59.003648819718535</v>
      </c>
      <c r="BS194" s="67">
        <f t="shared" ref="BS194" si="1477">+BR194</f>
        <v>59.003648819718535</v>
      </c>
      <c r="BT194" s="67">
        <f>BT164/BT19*90</f>
        <v>52.623071399800352</v>
      </c>
      <c r="BU194" s="67">
        <f t="shared" ref="BU194" si="1478">+BT194</f>
        <v>52.623071399800352</v>
      </c>
      <c r="BV194" s="67">
        <f>BV164/BV19*90</f>
        <v>63.396226415094347</v>
      </c>
      <c r="BW194" s="67">
        <f t="shared" ref="BW194" si="1479">+BV194</f>
        <v>63.396226415094347</v>
      </c>
      <c r="BX194" s="67">
        <f>BX164/BX19*90</f>
        <v>53.179815520972895</v>
      </c>
      <c r="BY194" s="67">
        <f t="shared" ref="BY194" si="1480">+BX194</f>
        <v>53.179815520972895</v>
      </c>
      <c r="BZ194" s="67">
        <f>BZ164/BZ19*90</f>
        <v>65.328192417148628</v>
      </c>
      <c r="CA194" s="67">
        <f t="shared" ref="CA194" si="1481">+BZ194</f>
        <v>65.328192417148628</v>
      </c>
      <c r="CB194" s="67">
        <f>CB164/CB19*90</f>
        <v>57.73293979950131</v>
      </c>
      <c r="CC194" s="67">
        <f t="shared" ref="CC194" si="1482">+CB194</f>
        <v>57.73293979950131</v>
      </c>
      <c r="CD194" s="67">
        <f>CD164/CD19*90</f>
        <v>65.190439140897837</v>
      </c>
      <c r="CE194" s="114">
        <f t="shared" si="1460"/>
        <v>65.190439140897837</v>
      </c>
      <c r="CF194" s="67">
        <f>CF164/CF19*90</f>
        <v>54.452242678858269</v>
      </c>
      <c r="CG194" s="67">
        <f t="shared" ref="CG194:CI194" si="1483">+CF194</f>
        <v>54.452242678858269</v>
      </c>
      <c r="CH194" s="67">
        <f>CH164/CH19*90</f>
        <v>68.652108046305557</v>
      </c>
      <c r="CI194" s="67">
        <f t="shared" si="1483"/>
        <v>68.652108046305557</v>
      </c>
      <c r="CJ194" s="67">
        <f>CJ164/CJ19*90</f>
        <v>59.414415539645979</v>
      </c>
      <c r="CK194" s="67">
        <f t="shared" ref="CK194" si="1484">+CJ194</f>
        <v>59.414415539645979</v>
      </c>
      <c r="CL194" s="67">
        <f>CL164/CL19*90</f>
        <v>59.02227811713977</v>
      </c>
      <c r="CM194" s="30">
        <f t="shared" ref="CM194" si="1485">+CL194</f>
        <v>59.02227811713977</v>
      </c>
      <c r="CN194" s="30">
        <f t="shared" ref="CN194" si="1486">+CM194</f>
        <v>59.02227811713977</v>
      </c>
      <c r="CO194" s="30">
        <f t="shared" ref="CO194" si="1487">+CN194</f>
        <v>59.02227811713977</v>
      </c>
      <c r="CP194" s="30">
        <f t="shared" ref="CP194" si="1488">+CO194</f>
        <v>59.02227811713977</v>
      </c>
      <c r="CQ194" s="30">
        <f t="shared" ref="CQ194" si="1489">+CP194</f>
        <v>59.02227811713977</v>
      </c>
      <c r="CR194" s="30">
        <f t="shared" ref="CR194" si="1490">+CQ194</f>
        <v>59.02227811713977</v>
      </c>
      <c r="CS194" s="30">
        <f t="shared" ref="CS194" si="1491">+CR194</f>
        <v>59.02227811713977</v>
      </c>
      <c r="CT194" s="30">
        <f t="shared" ref="CT194" si="1492">+CS194</f>
        <v>59.02227811713977</v>
      </c>
      <c r="CU194" s="30">
        <f t="shared" ref="CU194" si="1493">+CT194</f>
        <v>59.02227811713977</v>
      </c>
      <c r="CV194" s="30">
        <f t="shared" ref="CV194" si="1494">+CU194</f>
        <v>59.02227811713977</v>
      </c>
      <c r="CW194" s="30">
        <f t="shared" ref="CW194" si="1495">+CV194</f>
        <v>59.02227811713977</v>
      </c>
      <c r="CX194" s="30">
        <f t="shared" ref="CX194" si="1496">+CW194</f>
        <v>59.02227811713977</v>
      </c>
      <c r="CY194" s="30">
        <f t="shared" ref="CY194" si="1497">+CX194</f>
        <v>59.02227811713977</v>
      </c>
      <c r="CZ194" s="30">
        <f t="shared" ref="CZ194" si="1498">+CY194</f>
        <v>59.02227811713977</v>
      </c>
      <c r="DA194" s="30">
        <f t="shared" ref="DA194" si="1499">+CZ194</f>
        <v>59.02227811713977</v>
      </c>
      <c r="DB194" s="30">
        <f t="shared" ref="DB194" si="1500">+DA194</f>
        <v>59.02227811713977</v>
      </c>
      <c r="DE194" s="139"/>
      <c r="DF194" s="62">
        <v>59.414415539645979</v>
      </c>
    </row>
    <row r="195" spans="1:110" s="62" customFormat="1" outlineLevel="1" x14ac:dyDescent="0.2">
      <c r="A195" s="68" t="s">
        <v>466</v>
      </c>
      <c r="B195" s="67" t="e">
        <f>B196-B194</f>
        <v>#DIV/0!</v>
      </c>
      <c r="C195" s="67" t="e">
        <f t="shared" ref="C195:V195" si="1501">C196-C194</f>
        <v>#DIV/0!</v>
      </c>
      <c r="D195" s="67" t="e">
        <f t="shared" si="1501"/>
        <v>#DIV/0!</v>
      </c>
      <c r="E195" s="67" t="e">
        <f t="shared" si="1501"/>
        <v>#DIV/0!</v>
      </c>
      <c r="F195" s="67">
        <f t="shared" si="1501"/>
        <v>36.14954780235729</v>
      </c>
      <c r="G195" s="67">
        <f t="shared" si="1501"/>
        <v>25.832387394665645</v>
      </c>
      <c r="H195" s="67">
        <f t="shared" si="1501"/>
        <v>31.605042379240459</v>
      </c>
      <c r="I195" s="67">
        <f t="shared" si="1501"/>
        <v>8.5086058197880732</v>
      </c>
      <c r="J195" s="67">
        <f t="shared" si="1501"/>
        <v>22.840039095736827</v>
      </c>
      <c r="K195" s="67">
        <f t="shared" si="1501"/>
        <v>46.252672175987414</v>
      </c>
      <c r="L195" s="67" t="e">
        <f t="shared" si="1501"/>
        <v>#DIV/0!</v>
      </c>
      <c r="M195" s="67" t="e">
        <f t="shared" si="1501"/>
        <v>#DIV/0!</v>
      </c>
      <c r="N195" s="67">
        <f t="shared" si="1501"/>
        <v>32.859691831442802</v>
      </c>
      <c r="O195" s="67">
        <f t="shared" si="1501"/>
        <v>45.218035575287587</v>
      </c>
      <c r="P195" s="67">
        <f t="shared" si="1501"/>
        <v>47.503265935173886</v>
      </c>
      <c r="Q195" s="67">
        <f t="shared" si="1501"/>
        <v>26.003185133741098</v>
      </c>
      <c r="R195" s="67">
        <f t="shared" si="1501"/>
        <v>40.63588727804003</v>
      </c>
      <c r="S195" s="67">
        <f t="shared" si="1501"/>
        <v>25.029109577712632</v>
      </c>
      <c r="T195" s="67">
        <f t="shared" si="1501"/>
        <v>58.251406622746757</v>
      </c>
      <c r="U195" s="67">
        <f t="shared" si="1501"/>
        <v>50.607352960883375</v>
      </c>
      <c r="V195" s="67">
        <f t="shared" si="1501"/>
        <v>60.458572390140716</v>
      </c>
      <c r="W195" s="67">
        <f t="shared" ref="W195" si="1502">W196-W194</f>
        <v>40.187503946739326</v>
      </c>
      <c r="X195" s="67">
        <f t="shared" ref="X195:Y195" si="1503">X196-X194</f>
        <v>41.672343367058374</v>
      </c>
      <c r="Y195" s="67">
        <f t="shared" si="1503"/>
        <v>38.988988550518584</v>
      </c>
      <c r="Z195" s="67">
        <f t="shared" ref="Z195:AA195" si="1504">Z196-Z194</f>
        <v>55.486224360686606</v>
      </c>
      <c r="AA195" s="67">
        <f t="shared" si="1504"/>
        <v>40.31194891235512</v>
      </c>
      <c r="AB195" s="18">
        <f t="shared" ref="AA195:AD195" si="1505">AB196-AB194</f>
        <v>40.311948912355163</v>
      </c>
      <c r="AC195" s="18">
        <f t="shared" si="1505"/>
        <v>40.311948912355135</v>
      </c>
      <c r="AD195" s="18">
        <f t="shared" si="1505"/>
        <v>40.311948912355163</v>
      </c>
      <c r="AE195" s="18">
        <f t="shared" ref="AE195" si="1506">AE196-AE194</f>
        <v>40.311948912355135</v>
      </c>
      <c r="AI195" s="67" t="e">
        <f t="shared" ref="AI195:AK195" si="1507">AI196-AI194</f>
        <v>#DIV/0!</v>
      </c>
      <c r="AJ195" s="67" t="e">
        <f t="shared" ref="AJ195:AM195" si="1508">AJ196-AJ194</f>
        <v>#DIV/0!</v>
      </c>
      <c r="AK195" s="67" t="e">
        <f t="shared" si="1507"/>
        <v>#DIV/0!</v>
      </c>
      <c r="AL195" s="67" t="e">
        <f t="shared" si="1508"/>
        <v>#DIV/0!</v>
      </c>
      <c r="AM195" s="67" t="e">
        <f t="shared" si="1508"/>
        <v>#DIV/0!</v>
      </c>
      <c r="AN195" s="67" t="e">
        <f t="shared" ref="AN195:AY195" si="1509">AN196-AN194</f>
        <v>#DIV/0!</v>
      </c>
      <c r="AO195" s="67" t="e">
        <f t="shared" si="1509"/>
        <v>#DIV/0!</v>
      </c>
      <c r="AP195" s="67" t="e">
        <f t="shared" si="1509"/>
        <v>#DIV/0!</v>
      </c>
      <c r="AQ195" s="67" t="e">
        <f t="shared" si="1509"/>
        <v>#DIV/0!</v>
      </c>
      <c r="AR195" s="67" t="e">
        <f t="shared" si="1509"/>
        <v>#DIV/0!</v>
      </c>
      <c r="AS195" s="67" t="e">
        <f t="shared" si="1509"/>
        <v>#DIV/0!</v>
      </c>
      <c r="AT195" s="67" t="e">
        <f t="shared" si="1509"/>
        <v>#DIV/0!</v>
      </c>
      <c r="AU195" s="67" t="e">
        <f t="shared" si="1509"/>
        <v>#DIV/0!</v>
      </c>
      <c r="AV195" s="67" t="e">
        <f t="shared" si="1509"/>
        <v>#DIV/0!</v>
      </c>
      <c r="AW195" s="67" t="e">
        <f t="shared" si="1509"/>
        <v>#DIV/0!</v>
      </c>
      <c r="AX195" s="67" t="e">
        <f t="shared" si="1509"/>
        <v>#DIV/0!</v>
      </c>
      <c r="AY195" s="67" t="e">
        <f t="shared" si="1509"/>
        <v>#DIV/0!</v>
      </c>
      <c r="AZ195" s="67" t="e">
        <f t="shared" ref="AZ195:BC195" si="1510">AZ196-AZ194</f>
        <v>#DIV/0!</v>
      </c>
      <c r="BA195" s="67" t="e">
        <f t="shared" si="1510"/>
        <v>#DIV/0!</v>
      </c>
      <c r="BB195" s="67" t="e">
        <f t="shared" si="1510"/>
        <v>#DIV/0!</v>
      </c>
      <c r="BC195" s="67" t="e">
        <f t="shared" si="1510"/>
        <v>#DIV/0!</v>
      </c>
      <c r="BD195" s="67" t="e">
        <f t="shared" ref="BD195:CE195" si="1511">BD196-BD194</f>
        <v>#DIV/0!</v>
      </c>
      <c r="BE195" s="67" t="e">
        <f t="shared" si="1511"/>
        <v>#DIV/0!</v>
      </c>
      <c r="BF195" s="67" t="e">
        <f t="shared" si="1511"/>
        <v>#DIV/0!</v>
      </c>
      <c r="BG195" s="67" t="e">
        <f t="shared" si="1511"/>
        <v>#DIV/0!</v>
      </c>
      <c r="BH195" s="67" t="e">
        <f t="shared" si="1511"/>
        <v>#DIV/0!</v>
      </c>
      <c r="BI195" s="67" t="e">
        <f t="shared" si="1511"/>
        <v>#DIV/0!</v>
      </c>
      <c r="BJ195" s="67" t="e">
        <f t="shared" si="1511"/>
        <v>#DIV/0!</v>
      </c>
      <c r="BK195" s="67" t="e">
        <f t="shared" si="1511"/>
        <v>#DIV/0!</v>
      </c>
      <c r="BL195" s="67" t="e">
        <f t="shared" si="1511"/>
        <v>#DIV/0!</v>
      </c>
      <c r="BM195" s="67" t="e">
        <f t="shared" si="1511"/>
        <v>#DIV/0!</v>
      </c>
      <c r="BN195" s="67">
        <f t="shared" si="1511"/>
        <v>94.952005023773239</v>
      </c>
      <c r="BO195" s="67">
        <f t="shared" si="1511"/>
        <v>194.80306748466256</v>
      </c>
      <c r="BP195" s="67">
        <f t="shared" si="1511"/>
        <v>0</v>
      </c>
      <c r="BQ195" s="67">
        <f t="shared" si="1511"/>
        <v>0</v>
      </c>
      <c r="BR195" s="67">
        <f t="shared" si="1511"/>
        <v>43.292687467421231</v>
      </c>
      <c r="BS195" s="67">
        <f t="shared" si="1511"/>
        <v>53.436659849720826</v>
      </c>
      <c r="BT195" s="67">
        <f t="shared" si="1511"/>
        <v>36.853645295178723</v>
      </c>
      <c r="BU195" s="67">
        <f t="shared" si="1511"/>
        <v>37.974916538843274</v>
      </c>
      <c r="BV195" s="67">
        <f t="shared" si="1511"/>
        <v>33.455160126090732</v>
      </c>
      <c r="BW195" s="67">
        <f t="shared" si="1511"/>
        <v>32.45243441266841</v>
      </c>
      <c r="BX195" s="67">
        <f t="shared" si="1511"/>
        <v>32.843321653096979</v>
      </c>
      <c r="BY195" s="67">
        <f t="shared" si="1511"/>
        <v>34.036420437098656</v>
      </c>
      <c r="BZ195" s="67">
        <f t="shared" si="1511"/>
        <v>33.357201872762317</v>
      </c>
      <c r="CA195" s="67">
        <f t="shared" si="1511"/>
        <v>31.516436494704266</v>
      </c>
      <c r="CB195" s="67">
        <f t="shared" si="1511"/>
        <v>29.144318355299987</v>
      </c>
      <c r="CC195" s="67">
        <f t="shared" si="1511"/>
        <v>30.417721518987349</v>
      </c>
      <c r="CD195" s="67">
        <f t="shared" si="1511"/>
        <v>38.719036676497723</v>
      </c>
      <c r="CE195" s="114">
        <f t="shared" si="1511"/>
        <v>37.176921272769917</v>
      </c>
      <c r="CF195" s="67">
        <f t="shared" ref="CF195:CG195" si="1512">CF196-CF194</f>
        <v>40.507599159767693</v>
      </c>
      <c r="CG195" s="67">
        <f t="shared" si="1512"/>
        <v>31.200121820454427</v>
      </c>
      <c r="CH195" s="67">
        <f t="shared" ref="CH195" si="1513">CH196-CH194</f>
        <v>44.507360297270239</v>
      </c>
      <c r="CI195" s="67">
        <f>CH195</f>
        <v>44.507360297270239</v>
      </c>
      <c r="CJ195" s="67">
        <f t="shared" ref="CJ195:CL195" si="1514">CJ196-CJ194</f>
        <v>39.164314370075807</v>
      </c>
      <c r="CK195" s="67">
        <f t="shared" ref="CK195:DB195" si="1515">CJ195</f>
        <v>39.164314370075807</v>
      </c>
      <c r="CL195" s="67">
        <f t="shared" si="1514"/>
        <v>36.025871361839741</v>
      </c>
      <c r="CM195" s="30">
        <f t="shared" si="1515"/>
        <v>36.025871361839741</v>
      </c>
      <c r="CN195" s="30">
        <f t="shared" si="1515"/>
        <v>36.025871361839741</v>
      </c>
      <c r="CO195" s="30">
        <f t="shared" si="1515"/>
        <v>36.025871361839741</v>
      </c>
      <c r="CP195" s="30">
        <f t="shared" si="1515"/>
        <v>36.025871361839741</v>
      </c>
      <c r="CQ195" s="30">
        <f t="shared" si="1515"/>
        <v>36.025871361839741</v>
      </c>
      <c r="CR195" s="30">
        <f t="shared" si="1515"/>
        <v>36.025871361839741</v>
      </c>
      <c r="CS195" s="30">
        <f t="shared" si="1515"/>
        <v>36.025871361839741</v>
      </c>
      <c r="CT195" s="30">
        <f t="shared" si="1515"/>
        <v>36.025871361839741</v>
      </c>
      <c r="CU195" s="30">
        <f t="shared" si="1515"/>
        <v>36.025871361839741</v>
      </c>
      <c r="CV195" s="30">
        <f t="shared" si="1515"/>
        <v>36.025871361839741</v>
      </c>
      <c r="CW195" s="30">
        <f t="shared" si="1515"/>
        <v>36.025871361839741</v>
      </c>
      <c r="CX195" s="30">
        <f t="shared" si="1515"/>
        <v>36.025871361839741</v>
      </c>
      <c r="CY195" s="30">
        <f t="shared" si="1515"/>
        <v>36.025871361839741</v>
      </c>
      <c r="CZ195" s="30">
        <f t="shared" si="1515"/>
        <v>36.025871361839741</v>
      </c>
      <c r="DA195" s="30">
        <f t="shared" si="1515"/>
        <v>36.025871361839741</v>
      </c>
      <c r="DB195" s="30">
        <f t="shared" si="1515"/>
        <v>36.025871361839741</v>
      </c>
      <c r="DE195" s="139"/>
      <c r="DF195" s="62">
        <v>39.164314370075807</v>
      </c>
    </row>
    <row r="196" spans="1:110" s="7" customFormat="1" outlineLevel="1" x14ac:dyDescent="0.2">
      <c r="A196" s="69" t="s">
        <v>469</v>
      </c>
      <c r="B196" s="70" t="e">
        <f t="shared" ref="B196:AE196" si="1516">B167/B19*365</f>
        <v>#DIV/0!</v>
      </c>
      <c r="C196" s="70" t="e">
        <f t="shared" si="1516"/>
        <v>#DIV/0!</v>
      </c>
      <c r="D196" s="70" t="e">
        <f t="shared" si="1516"/>
        <v>#DIV/0!</v>
      </c>
      <c r="E196" s="70" t="e">
        <f t="shared" si="1516"/>
        <v>#DIV/0!</v>
      </c>
      <c r="F196" s="70">
        <f t="shared" si="1516"/>
        <v>174.30569192176213</v>
      </c>
      <c r="G196" s="70">
        <f t="shared" si="1516"/>
        <v>92.159804263152182</v>
      </c>
      <c r="H196" s="70">
        <f t="shared" si="1516"/>
        <v>130.92453985952483</v>
      </c>
      <c r="I196" s="70">
        <f t="shared" si="1516"/>
        <v>125.08485749019613</v>
      </c>
      <c r="J196" s="70">
        <f t="shared" si="1516"/>
        <v>107.59141781975168</v>
      </c>
      <c r="K196" s="70">
        <f t="shared" si="1516"/>
        <v>181.97459161014362</v>
      </c>
      <c r="L196" s="70" t="e">
        <f t="shared" si="1516"/>
        <v>#DIV/0!</v>
      </c>
      <c r="M196" s="70" t="e">
        <f t="shared" si="1516"/>
        <v>#DIV/0!</v>
      </c>
      <c r="N196" s="70">
        <f t="shared" si="1516"/>
        <v>81.892999417347056</v>
      </c>
      <c r="O196" s="70">
        <f t="shared" si="1516"/>
        <v>119.55809813474789</v>
      </c>
      <c r="P196" s="70">
        <f t="shared" si="1516"/>
        <v>121.24669521890107</v>
      </c>
      <c r="Q196" s="70">
        <f t="shared" si="1516"/>
        <v>101.15541056444997</v>
      </c>
      <c r="R196" s="70">
        <f t="shared" si="1516"/>
        <v>130.46585567807705</v>
      </c>
      <c r="S196" s="70">
        <f t="shared" si="1516"/>
        <v>112.62254139845056</v>
      </c>
      <c r="T196" s="70">
        <f t="shared" si="1516"/>
        <v>124.74800702087504</v>
      </c>
      <c r="U196" s="70">
        <f t="shared" si="1516"/>
        <v>119.52022164748134</v>
      </c>
      <c r="V196" s="70">
        <f t="shared" si="1516"/>
        <v>142.85762364178339</v>
      </c>
      <c r="W196" s="70">
        <f t="shared" si="1516"/>
        <v>116.3412598894011</v>
      </c>
      <c r="X196" s="70">
        <f t="shared" si="1516"/>
        <v>123.28526990510903</v>
      </c>
      <c r="Y196" s="70">
        <f t="shared" si="1516"/>
        <v>104.63394006375052</v>
      </c>
      <c r="Z196" s="70">
        <f t="shared" si="1516"/>
        <v>141.07310806821215</v>
      </c>
      <c r="AA196" s="70">
        <f t="shared" ref="AA196" si="1517">AA167/AA19*365</f>
        <v>106.35623792486803</v>
      </c>
      <c r="AB196" s="71">
        <f t="shared" si="1516"/>
        <v>106.35623792486805</v>
      </c>
      <c r="AC196" s="71">
        <f t="shared" si="1516"/>
        <v>106.35623792486803</v>
      </c>
      <c r="AD196" s="71">
        <f t="shared" si="1516"/>
        <v>106.35623792486805</v>
      </c>
      <c r="AE196" s="71">
        <f t="shared" si="1516"/>
        <v>106.35623792486803</v>
      </c>
      <c r="AI196" s="70" t="e">
        <f t="shared" ref="AI196:CD196" si="1518">AI167/AI19*90</f>
        <v>#DIV/0!</v>
      </c>
      <c r="AJ196" s="70" t="e">
        <f t="shared" si="1518"/>
        <v>#DIV/0!</v>
      </c>
      <c r="AK196" s="70" t="e">
        <f>AK167/AK19*90</f>
        <v>#DIV/0!</v>
      </c>
      <c r="AL196" s="70" t="e">
        <f t="shared" si="1518"/>
        <v>#DIV/0!</v>
      </c>
      <c r="AM196" s="70" t="e">
        <f t="shared" si="1518"/>
        <v>#DIV/0!</v>
      </c>
      <c r="AN196" s="70" t="e">
        <f t="shared" si="1518"/>
        <v>#DIV/0!</v>
      </c>
      <c r="AO196" s="70" t="e">
        <f t="shared" si="1518"/>
        <v>#DIV/0!</v>
      </c>
      <c r="AP196" s="70" t="e">
        <f t="shared" si="1518"/>
        <v>#DIV/0!</v>
      </c>
      <c r="AQ196" s="70" t="e">
        <f t="shared" si="1518"/>
        <v>#DIV/0!</v>
      </c>
      <c r="AR196" s="70" t="e">
        <f t="shared" si="1518"/>
        <v>#DIV/0!</v>
      </c>
      <c r="AS196" s="70" t="e">
        <f t="shared" si="1518"/>
        <v>#DIV/0!</v>
      </c>
      <c r="AT196" s="70" t="e">
        <f t="shared" si="1518"/>
        <v>#DIV/0!</v>
      </c>
      <c r="AU196" s="70" t="e">
        <f t="shared" si="1518"/>
        <v>#DIV/0!</v>
      </c>
      <c r="AV196" s="70" t="e">
        <f t="shared" si="1518"/>
        <v>#DIV/0!</v>
      </c>
      <c r="AW196" s="70" t="e">
        <f t="shared" si="1518"/>
        <v>#DIV/0!</v>
      </c>
      <c r="AX196" s="70" t="e">
        <f t="shared" si="1518"/>
        <v>#DIV/0!</v>
      </c>
      <c r="AY196" s="70" t="e">
        <f t="shared" si="1518"/>
        <v>#DIV/0!</v>
      </c>
      <c r="AZ196" s="70" t="e">
        <f t="shared" si="1518"/>
        <v>#DIV/0!</v>
      </c>
      <c r="BA196" s="70" t="e">
        <f t="shared" si="1518"/>
        <v>#DIV/0!</v>
      </c>
      <c r="BB196" s="70" t="e">
        <f t="shared" si="1518"/>
        <v>#DIV/0!</v>
      </c>
      <c r="BC196" s="70" t="e">
        <f t="shared" si="1518"/>
        <v>#DIV/0!</v>
      </c>
      <c r="BD196" s="70" t="e">
        <f t="shared" si="1518"/>
        <v>#DIV/0!</v>
      </c>
      <c r="BE196" s="70" t="e">
        <f t="shared" si="1518"/>
        <v>#DIV/0!</v>
      </c>
      <c r="BF196" s="70" t="e">
        <f t="shared" si="1518"/>
        <v>#DIV/0!</v>
      </c>
      <c r="BG196" s="70" t="e">
        <f t="shared" si="1518"/>
        <v>#DIV/0!</v>
      </c>
      <c r="BH196" s="70" t="e">
        <f t="shared" si="1518"/>
        <v>#DIV/0!</v>
      </c>
      <c r="BI196" s="70" t="e">
        <f t="shared" si="1518"/>
        <v>#DIV/0!</v>
      </c>
      <c r="BJ196" s="70" t="e">
        <f t="shared" si="1518"/>
        <v>#DIV/0!</v>
      </c>
      <c r="BK196" s="70" t="e">
        <f t="shared" si="1518"/>
        <v>#DIV/0!</v>
      </c>
      <c r="BL196" s="70" t="e">
        <f t="shared" si="1518"/>
        <v>#DIV/0!</v>
      </c>
      <c r="BM196" s="70" t="e">
        <f t="shared" si="1518"/>
        <v>#DIV/0!</v>
      </c>
      <c r="BN196" s="70">
        <f t="shared" si="1518"/>
        <v>170.78765587153495</v>
      </c>
      <c r="BO196" s="70">
        <f t="shared" si="1518"/>
        <v>270.63871833242428</v>
      </c>
      <c r="BP196" s="70">
        <f t="shared" si="1518"/>
        <v>0</v>
      </c>
      <c r="BQ196" s="70">
        <f t="shared" si="1518"/>
        <v>0</v>
      </c>
      <c r="BR196" s="70">
        <f t="shared" si="1518"/>
        <v>102.29633628713977</v>
      </c>
      <c r="BS196" s="70">
        <f t="shared" si="1518"/>
        <v>112.44030866943936</v>
      </c>
      <c r="BT196" s="70">
        <f t="shared" si="1518"/>
        <v>89.476716694979075</v>
      </c>
      <c r="BU196" s="70">
        <f t="shared" si="1518"/>
        <v>90.597987938643627</v>
      </c>
      <c r="BV196" s="70">
        <f t="shared" si="1518"/>
        <v>96.851386541185079</v>
      </c>
      <c r="BW196" s="70">
        <f t="shared" si="1518"/>
        <v>95.848660827762757</v>
      </c>
      <c r="BX196" s="70">
        <f t="shared" si="1518"/>
        <v>86.023137174069873</v>
      </c>
      <c r="BY196" s="70">
        <f t="shared" si="1518"/>
        <v>87.21623595807155</v>
      </c>
      <c r="BZ196" s="70">
        <f t="shared" si="1518"/>
        <v>98.685394289910946</v>
      </c>
      <c r="CA196" s="70">
        <f t="shared" si="1518"/>
        <v>96.844628911852894</v>
      </c>
      <c r="CB196" s="70">
        <f t="shared" si="1518"/>
        <v>86.877258154801297</v>
      </c>
      <c r="CC196" s="70">
        <f t="shared" si="1518"/>
        <v>88.150661318488659</v>
      </c>
      <c r="CD196" s="70">
        <f t="shared" si="1518"/>
        <v>103.90947581739556</v>
      </c>
      <c r="CE196" s="115">
        <f>CE167/CE21*90</f>
        <v>102.36736041366775</v>
      </c>
      <c r="CF196" s="70">
        <f>CF167/CF19*90</f>
        <v>94.959841838625962</v>
      </c>
      <c r="CG196" s="70">
        <f>CG167/CG21*90</f>
        <v>85.652364499312696</v>
      </c>
      <c r="CH196" s="70">
        <f>CH167/CH19*90</f>
        <v>113.1594683435758</v>
      </c>
      <c r="CI196" s="70">
        <f>CI194+CI195</f>
        <v>113.1594683435758</v>
      </c>
      <c r="CJ196" s="70">
        <f>CJ167/CJ19*90</f>
        <v>98.578729909721787</v>
      </c>
      <c r="CK196" s="70">
        <f t="shared" ref="CK196:DB196" si="1519">CK194+CK195</f>
        <v>98.578729909721787</v>
      </c>
      <c r="CL196" s="70">
        <f>CL167/CL19*90</f>
        <v>95.048149478979511</v>
      </c>
      <c r="CM196" s="50">
        <f t="shared" si="1519"/>
        <v>95.048149478979511</v>
      </c>
      <c r="CN196" s="50">
        <f t="shared" si="1519"/>
        <v>95.048149478979511</v>
      </c>
      <c r="CO196" s="50">
        <f t="shared" si="1519"/>
        <v>95.048149478979511</v>
      </c>
      <c r="CP196" s="50">
        <f t="shared" si="1519"/>
        <v>95.048149478979511</v>
      </c>
      <c r="CQ196" s="50">
        <f t="shared" si="1519"/>
        <v>95.048149478979511</v>
      </c>
      <c r="CR196" s="50">
        <f t="shared" si="1519"/>
        <v>95.048149478979511</v>
      </c>
      <c r="CS196" s="50">
        <f t="shared" si="1519"/>
        <v>95.048149478979511</v>
      </c>
      <c r="CT196" s="50">
        <f t="shared" si="1519"/>
        <v>95.048149478979511</v>
      </c>
      <c r="CU196" s="50">
        <f t="shared" si="1519"/>
        <v>95.048149478979511</v>
      </c>
      <c r="CV196" s="50">
        <f t="shared" si="1519"/>
        <v>95.048149478979511</v>
      </c>
      <c r="CW196" s="50">
        <f t="shared" si="1519"/>
        <v>95.048149478979511</v>
      </c>
      <c r="CX196" s="50">
        <f t="shared" si="1519"/>
        <v>95.048149478979511</v>
      </c>
      <c r="CY196" s="50">
        <f t="shared" si="1519"/>
        <v>95.048149478979511</v>
      </c>
      <c r="CZ196" s="50">
        <f t="shared" si="1519"/>
        <v>95.048149478979511</v>
      </c>
      <c r="DA196" s="50">
        <f t="shared" si="1519"/>
        <v>95.048149478979511</v>
      </c>
      <c r="DB196" s="50">
        <f t="shared" si="1519"/>
        <v>95.048149478979511</v>
      </c>
      <c r="DE196" s="138"/>
      <c r="DF196" s="7">
        <v>98.578729909721787</v>
      </c>
    </row>
    <row r="197" spans="1:110" s="7" customFormat="1" x14ac:dyDescent="0.2">
      <c r="A197" s="69" t="s">
        <v>470</v>
      </c>
      <c r="B197" s="70" t="e">
        <f>B193-B196</f>
        <v>#DIV/0!</v>
      </c>
      <c r="C197" s="70" t="e">
        <f t="shared" ref="C197:V197" si="1520">C193-C196</f>
        <v>#DIV/0!</v>
      </c>
      <c r="D197" s="70" t="e">
        <f t="shared" si="1520"/>
        <v>#DIV/0!</v>
      </c>
      <c r="E197" s="70" t="e">
        <f t="shared" si="1520"/>
        <v>#DIV/0!</v>
      </c>
      <c r="F197" s="70">
        <f t="shared" si="1520"/>
        <v>15.163009218903738</v>
      </c>
      <c r="G197" s="70">
        <f t="shared" si="1520"/>
        <v>67.056883634063212</v>
      </c>
      <c r="H197" s="70">
        <f t="shared" si="1520"/>
        <v>58.646227328332856</v>
      </c>
      <c r="I197" s="70">
        <f t="shared" si="1520"/>
        <v>85.038842390578168</v>
      </c>
      <c r="J197" s="70">
        <f t="shared" si="1520"/>
        <v>88.133865221131686</v>
      </c>
      <c r="K197" s="70">
        <f t="shared" si="1520"/>
        <v>99.568070805473525</v>
      </c>
      <c r="L197" s="70" t="e">
        <f t="shared" si="1520"/>
        <v>#DIV/0!</v>
      </c>
      <c r="M197" s="70" t="e">
        <f t="shared" si="1520"/>
        <v>#DIV/0!</v>
      </c>
      <c r="N197" s="70">
        <f t="shared" si="1520"/>
        <v>77.353910520518099</v>
      </c>
      <c r="O197" s="70">
        <f t="shared" si="1520"/>
        <v>75.839017499351371</v>
      </c>
      <c r="P197" s="70">
        <f t="shared" si="1520"/>
        <v>34.023988941284557</v>
      </c>
      <c r="Q197" s="70">
        <f t="shared" si="1520"/>
        <v>54.431209437012143</v>
      </c>
      <c r="R197" s="70">
        <f t="shared" si="1520"/>
        <v>30.448336870149262</v>
      </c>
      <c r="S197" s="70">
        <f t="shared" si="1520"/>
        <v>34.101407183449894</v>
      </c>
      <c r="T197" s="70">
        <f t="shared" si="1520"/>
        <v>-1.1829327389828279</v>
      </c>
      <c r="U197" s="70">
        <f t="shared" si="1520"/>
        <v>26.686678369939543</v>
      </c>
      <c r="V197" s="70">
        <f t="shared" si="1520"/>
        <v>35.090259303182791</v>
      </c>
      <c r="W197" s="70">
        <f t="shared" ref="W197" si="1521">W193-W196</f>
        <v>55.355364408079282</v>
      </c>
      <c r="X197" s="70">
        <f t="shared" ref="X197:Y197" si="1522">X193-X196</f>
        <v>52.808364230503344</v>
      </c>
      <c r="Y197" s="70">
        <f t="shared" si="1522"/>
        <v>48.928708614403831</v>
      </c>
      <c r="Z197" s="70">
        <f t="shared" ref="Z197:AA197" si="1523">Z193-Z196</f>
        <v>49.237489631806113</v>
      </c>
      <c r="AA197" s="70">
        <f t="shared" si="1523"/>
        <v>62.243331800770108</v>
      </c>
      <c r="AB197" s="71">
        <f t="shared" ref="AA197:AD197" si="1524">AB193-AB196</f>
        <v>83.522902319540691</v>
      </c>
      <c r="AC197" s="71">
        <f t="shared" si="1524"/>
        <v>83.522902319540719</v>
      </c>
      <c r="AD197" s="71">
        <f t="shared" si="1524"/>
        <v>83.522902319540691</v>
      </c>
      <c r="AE197" s="71">
        <f t="shared" ref="AE197" si="1525">AE193-AE196</f>
        <v>83.522902319540663</v>
      </c>
      <c r="AI197" s="70" t="e">
        <f t="shared" ref="AI197:AK197" si="1526">AI193-AI196</f>
        <v>#DIV/0!</v>
      </c>
      <c r="AJ197" s="70" t="e">
        <f t="shared" ref="AJ197:AM197" si="1527">AJ193-AJ196</f>
        <v>#DIV/0!</v>
      </c>
      <c r="AK197" s="70" t="e">
        <f t="shared" si="1526"/>
        <v>#DIV/0!</v>
      </c>
      <c r="AL197" s="70" t="e">
        <f t="shared" si="1527"/>
        <v>#DIV/0!</v>
      </c>
      <c r="AM197" s="70" t="e">
        <f t="shared" si="1527"/>
        <v>#DIV/0!</v>
      </c>
      <c r="AN197" s="70" t="e">
        <f t="shared" ref="AN197:AY197" si="1528">AN193-AN196</f>
        <v>#DIV/0!</v>
      </c>
      <c r="AO197" s="70" t="e">
        <f t="shared" si="1528"/>
        <v>#DIV/0!</v>
      </c>
      <c r="AP197" s="70" t="e">
        <f t="shared" si="1528"/>
        <v>#DIV/0!</v>
      </c>
      <c r="AQ197" s="70" t="e">
        <f t="shared" si="1528"/>
        <v>#DIV/0!</v>
      </c>
      <c r="AR197" s="70" t="e">
        <f t="shared" si="1528"/>
        <v>#DIV/0!</v>
      </c>
      <c r="AS197" s="70" t="e">
        <f t="shared" si="1528"/>
        <v>#DIV/0!</v>
      </c>
      <c r="AT197" s="70" t="e">
        <f t="shared" si="1528"/>
        <v>#DIV/0!</v>
      </c>
      <c r="AU197" s="70" t="e">
        <f t="shared" si="1528"/>
        <v>#DIV/0!</v>
      </c>
      <c r="AV197" s="70" t="e">
        <f t="shared" si="1528"/>
        <v>#DIV/0!</v>
      </c>
      <c r="AW197" s="70" t="e">
        <f t="shared" si="1528"/>
        <v>#DIV/0!</v>
      </c>
      <c r="AX197" s="70" t="e">
        <f t="shared" si="1528"/>
        <v>#DIV/0!</v>
      </c>
      <c r="AY197" s="70" t="e">
        <f t="shared" si="1528"/>
        <v>#DIV/0!</v>
      </c>
      <c r="AZ197" s="70" t="e">
        <f t="shared" ref="AZ197:BC197" si="1529">AZ193-AZ196</f>
        <v>#DIV/0!</v>
      </c>
      <c r="BA197" s="70" t="e">
        <f t="shared" si="1529"/>
        <v>#DIV/0!</v>
      </c>
      <c r="BB197" s="70" t="e">
        <f t="shared" si="1529"/>
        <v>#DIV/0!</v>
      </c>
      <c r="BC197" s="70" t="e">
        <f t="shared" si="1529"/>
        <v>#DIV/0!</v>
      </c>
      <c r="BD197" s="70" t="e">
        <f t="shared" ref="BD197:CE197" si="1530">BD193-BD196</f>
        <v>#DIV/0!</v>
      </c>
      <c r="BE197" s="70" t="e">
        <f t="shared" si="1530"/>
        <v>#DIV/0!</v>
      </c>
      <c r="BF197" s="70" t="e">
        <f t="shared" si="1530"/>
        <v>#DIV/0!</v>
      </c>
      <c r="BG197" s="70" t="e">
        <f t="shared" si="1530"/>
        <v>#DIV/0!</v>
      </c>
      <c r="BH197" s="70" t="e">
        <f t="shared" si="1530"/>
        <v>#DIV/0!</v>
      </c>
      <c r="BI197" s="70" t="e">
        <f t="shared" si="1530"/>
        <v>#DIV/0!</v>
      </c>
      <c r="BJ197" s="70" t="e">
        <f t="shared" si="1530"/>
        <v>#DIV/0!</v>
      </c>
      <c r="BK197" s="70" t="e">
        <f t="shared" si="1530"/>
        <v>#DIV/0!</v>
      </c>
      <c r="BL197" s="70" t="e">
        <f t="shared" si="1530"/>
        <v>#DIV/0!</v>
      </c>
      <c r="BM197" s="70" t="e">
        <f t="shared" si="1530"/>
        <v>#DIV/0!</v>
      </c>
      <c r="BN197" s="70">
        <f t="shared" si="1530"/>
        <v>19.299363057324825</v>
      </c>
      <c r="BO197" s="70">
        <f t="shared" si="1530"/>
        <v>-27.805908437220182</v>
      </c>
      <c r="BP197" s="70">
        <f t="shared" si="1530"/>
        <v>0</v>
      </c>
      <c r="BQ197" s="70">
        <f t="shared" si="1530"/>
        <v>0</v>
      </c>
      <c r="BR197" s="70">
        <f t="shared" si="1530"/>
        <v>39.10566684042</v>
      </c>
      <c r="BS197" s="70">
        <f t="shared" si="1530"/>
        <v>36.788244766318257</v>
      </c>
      <c r="BT197" s="70">
        <f t="shared" si="1530"/>
        <v>56.09061137283058</v>
      </c>
      <c r="BU197" s="70">
        <f t="shared" si="1530"/>
        <v>55.987701096168905</v>
      </c>
      <c r="BV197" s="70">
        <f t="shared" si="1530"/>
        <v>57.844122618666901</v>
      </c>
      <c r="BW197" s="70">
        <f t="shared" si="1530"/>
        <v>58.000261923735252</v>
      </c>
      <c r="BX197" s="70">
        <f t="shared" si="1530"/>
        <v>57.583350510151504</v>
      </c>
      <c r="BY197" s="70">
        <f t="shared" si="1530"/>
        <v>57.36782869429608</v>
      </c>
      <c r="BZ197" s="70">
        <f t="shared" si="1530"/>
        <v>50.713302120627915</v>
      </c>
      <c r="CA197" s="70">
        <f t="shared" si="1530"/>
        <v>51.256676444853227</v>
      </c>
      <c r="CB197" s="70">
        <f t="shared" si="1530"/>
        <v>58.513816090784161</v>
      </c>
      <c r="CC197" s="70">
        <f t="shared" si="1530"/>
        <v>58.319808961500769</v>
      </c>
      <c r="CD197" s="70">
        <f t="shared" si="1530"/>
        <v>68.046754844663212</v>
      </c>
      <c r="CE197" s="115">
        <f t="shared" si="1530"/>
        <v>67.985430843476124</v>
      </c>
      <c r="CF197" s="70">
        <f t="shared" ref="CF197:CG197" si="1531">CF193-CF196</f>
        <v>90.106758927468164</v>
      </c>
      <c r="CG197" s="70">
        <f t="shared" si="1531"/>
        <v>86.98853767676114</v>
      </c>
      <c r="CH197" s="70">
        <f t="shared" ref="CH197:CI197" si="1532">CH193-CH196</f>
        <v>39.495040731742179</v>
      </c>
      <c r="CI197" s="70">
        <f t="shared" si="1532"/>
        <v>39.495040731742179</v>
      </c>
      <c r="CJ197" s="70">
        <f t="shared" ref="CJ197:DB197" si="1533">CJ193-CJ196</f>
        <v>82.739172357975391</v>
      </c>
      <c r="CK197" s="70">
        <f t="shared" si="1533"/>
        <v>82.73917235797542</v>
      </c>
      <c r="CL197" s="70">
        <f t="shared" ref="CL197" si="1534">CL193-CL196</f>
        <v>74.642517067912351</v>
      </c>
      <c r="CM197" s="50">
        <f t="shared" si="1533"/>
        <v>74.642517067912351</v>
      </c>
      <c r="CN197" s="50">
        <f t="shared" si="1533"/>
        <v>74.642517067912351</v>
      </c>
      <c r="CO197" s="50">
        <f t="shared" si="1533"/>
        <v>74.642517067912351</v>
      </c>
      <c r="CP197" s="50">
        <f t="shared" si="1533"/>
        <v>74.642517067912351</v>
      </c>
      <c r="CQ197" s="50">
        <f t="shared" si="1533"/>
        <v>74.642517067912351</v>
      </c>
      <c r="CR197" s="50">
        <f t="shared" si="1533"/>
        <v>74.642517067912351</v>
      </c>
      <c r="CS197" s="50">
        <f t="shared" si="1533"/>
        <v>74.642517067912351</v>
      </c>
      <c r="CT197" s="50">
        <f t="shared" si="1533"/>
        <v>74.642517067912351</v>
      </c>
      <c r="CU197" s="50">
        <f t="shared" si="1533"/>
        <v>74.642517067912351</v>
      </c>
      <c r="CV197" s="50">
        <f t="shared" si="1533"/>
        <v>74.642517067912351</v>
      </c>
      <c r="CW197" s="50">
        <f t="shared" si="1533"/>
        <v>74.642517067912351</v>
      </c>
      <c r="CX197" s="50">
        <f t="shared" si="1533"/>
        <v>74.642517067912351</v>
      </c>
      <c r="CY197" s="50">
        <f t="shared" si="1533"/>
        <v>74.642517067912351</v>
      </c>
      <c r="CZ197" s="50">
        <f t="shared" si="1533"/>
        <v>74.642517067912351</v>
      </c>
      <c r="DA197" s="50">
        <f t="shared" si="1533"/>
        <v>74.642517067912351</v>
      </c>
      <c r="DB197" s="50">
        <f t="shared" si="1533"/>
        <v>74.642517067912351</v>
      </c>
      <c r="DE197" s="138"/>
      <c r="DF197" s="7">
        <v>82.73917235797542</v>
      </c>
    </row>
    <row r="198" spans="1:110" s="7" customFormat="1" x14ac:dyDescent="0.2">
      <c r="A198" s="69" t="s">
        <v>86</v>
      </c>
      <c r="AB198" s="77"/>
      <c r="AC198" s="77"/>
      <c r="AD198" s="77"/>
      <c r="AE198" s="77"/>
      <c r="CE198" s="115"/>
      <c r="CG198" s="115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E198" s="138"/>
    </row>
    <row r="199" spans="1:110" s="86" customFormat="1" x14ac:dyDescent="0.2">
      <c r="A199" s="86" t="s">
        <v>440</v>
      </c>
      <c r="C199" s="86" t="e">
        <f t="shared" ref="C199:Y199" si="1535">C21/B21-1</f>
        <v>#DIV/0!</v>
      </c>
      <c r="D199" s="86" t="e">
        <f t="shared" si="1535"/>
        <v>#DIV/0!</v>
      </c>
      <c r="E199" s="86" t="e">
        <f t="shared" si="1535"/>
        <v>#DIV/0!</v>
      </c>
      <c r="F199" s="86" t="e">
        <f t="shared" si="1535"/>
        <v>#DIV/0!</v>
      </c>
      <c r="G199" s="86">
        <f t="shared" si="1535"/>
        <v>0.42766346604889582</v>
      </c>
      <c r="H199" s="86">
        <f t="shared" si="1535"/>
        <v>0.32012072056594176</v>
      </c>
      <c r="I199" s="86">
        <f t="shared" si="1535"/>
        <v>0.38422799961741116</v>
      </c>
      <c r="J199" s="86">
        <f t="shared" si="1535"/>
        <v>0.20978589684007209</v>
      </c>
      <c r="K199" s="86">
        <f t="shared" si="1535"/>
        <v>-0.2471470255478011</v>
      </c>
      <c r="L199" s="86">
        <f t="shared" si="1535"/>
        <v>-1</v>
      </c>
      <c r="M199" s="86" t="e">
        <f t="shared" si="1535"/>
        <v>#DIV/0!</v>
      </c>
      <c r="N199" s="86" t="e">
        <f t="shared" si="1535"/>
        <v>#DIV/0!</v>
      </c>
      <c r="O199" s="86">
        <f t="shared" si="1535"/>
        <v>2.0489644181292288E-2</v>
      </c>
      <c r="P199" s="86">
        <f t="shared" si="1535"/>
        <v>0.29889608597542172</v>
      </c>
      <c r="Q199" s="86">
        <f t="shared" si="1535"/>
        <v>0.1187103724876799</v>
      </c>
      <c r="R199" s="86">
        <f t="shared" si="1535"/>
        <v>0.23102309493591688</v>
      </c>
      <c r="S199" s="86">
        <f t="shared" si="1535"/>
        <v>0.3423404127876688</v>
      </c>
      <c r="T199" s="86">
        <f t="shared" si="1535"/>
        <v>0.22913886240864323</v>
      </c>
      <c r="U199" s="86">
        <f t="shared" si="1535"/>
        <v>-0.17906806739467995</v>
      </c>
      <c r="V199" s="86">
        <f t="shared" si="1535"/>
        <v>4.5220642429277813E-2</v>
      </c>
      <c r="W199" s="86">
        <f t="shared" si="1535"/>
        <v>0.42121221834033129</v>
      </c>
      <c r="X199" s="86">
        <f t="shared" si="1535"/>
        <v>0.43553057708094656</v>
      </c>
      <c r="Y199" s="86">
        <f t="shared" si="1535"/>
        <v>0.39877144473072312</v>
      </c>
      <c r="Z199" s="86">
        <f>Z21/Y21-1</f>
        <v>0.27826260801980363</v>
      </c>
      <c r="AA199" s="86">
        <f>AA21/Z21-1</f>
        <v>0.4180297619884441</v>
      </c>
      <c r="AB199" s="87">
        <f t="shared" ref="AA199:AE199" si="1536">AB21/AA21-1</f>
        <v>0.17999999999999994</v>
      </c>
      <c r="AC199" s="87">
        <f t="shared" si="1536"/>
        <v>0.18000000000000016</v>
      </c>
      <c r="AD199" s="87">
        <f t="shared" si="1536"/>
        <v>0.17999999999999994</v>
      </c>
      <c r="AE199" s="87">
        <f t="shared" si="1536"/>
        <v>0.17999999999999994</v>
      </c>
      <c r="AN199" s="86" t="e">
        <f t="shared" ref="AN199:CI199" si="1537">+(AN21+AM21)/(AJ21+AI21)-1</f>
        <v>#DIV/0!</v>
      </c>
      <c r="AO199" s="86" t="e">
        <f t="shared" si="1537"/>
        <v>#DIV/0!</v>
      </c>
      <c r="AP199" s="86" t="e">
        <f t="shared" si="1537"/>
        <v>#DIV/0!</v>
      </c>
      <c r="AQ199" s="86" t="e">
        <f t="shared" si="1537"/>
        <v>#DIV/0!</v>
      </c>
      <c r="AR199" s="86" t="e">
        <f t="shared" si="1537"/>
        <v>#DIV/0!</v>
      </c>
      <c r="AS199" s="86" t="e">
        <f t="shared" si="1537"/>
        <v>#DIV/0!</v>
      </c>
      <c r="AT199" s="86" t="e">
        <f t="shared" si="1537"/>
        <v>#DIV/0!</v>
      </c>
      <c r="AU199" s="86" t="e">
        <f t="shared" si="1537"/>
        <v>#DIV/0!</v>
      </c>
      <c r="AV199" s="86" t="e">
        <f t="shared" si="1537"/>
        <v>#DIV/0!</v>
      </c>
      <c r="AW199" s="86" t="e">
        <f t="shared" si="1537"/>
        <v>#DIV/0!</v>
      </c>
      <c r="AX199" s="86" t="e">
        <f t="shared" si="1537"/>
        <v>#DIV/0!</v>
      </c>
      <c r="AY199" s="86" t="e">
        <f t="shared" si="1537"/>
        <v>#DIV/0!</v>
      </c>
      <c r="AZ199" s="86" t="e">
        <f t="shared" si="1537"/>
        <v>#DIV/0!</v>
      </c>
      <c r="BA199" s="86" t="e">
        <f t="shared" si="1537"/>
        <v>#DIV/0!</v>
      </c>
      <c r="BB199" s="86" t="e">
        <f t="shared" si="1537"/>
        <v>#DIV/0!</v>
      </c>
      <c r="BC199" s="86" t="e">
        <f t="shared" si="1537"/>
        <v>#DIV/0!</v>
      </c>
      <c r="BD199" s="86" t="e">
        <f t="shared" si="1537"/>
        <v>#DIV/0!</v>
      </c>
      <c r="BE199" s="86" t="e">
        <f t="shared" si="1537"/>
        <v>#DIV/0!</v>
      </c>
      <c r="BF199" s="86" t="e">
        <f t="shared" si="1537"/>
        <v>#DIV/0!</v>
      </c>
      <c r="BG199" s="86" t="e">
        <f t="shared" si="1537"/>
        <v>#DIV/0!</v>
      </c>
      <c r="BH199" s="86" t="e">
        <f t="shared" si="1537"/>
        <v>#DIV/0!</v>
      </c>
      <c r="BI199" s="86" t="e">
        <f t="shared" si="1537"/>
        <v>#DIV/0!</v>
      </c>
      <c r="BJ199" s="86" t="e">
        <f t="shared" si="1537"/>
        <v>#DIV/0!</v>
      </c>
      <c r="BK199" s="86" t="e">
        <f t="shared" si="1537"/>
        <v>#DIV/0!</v>
      </c>
      <c r="BL199" s="86" t="e">
        <f t="shared" si="1537"/>
        <v>#DIV/0!</v>
      </c>
      <c r="BM199" s="86" t="e">
        <f t="shared" si="1537"/>
        <v>#DIV/0!</v>
      </c>
      <c r="BN199" s="86" t="e">
        <f t="shared" si="1537"/>
        <v>#DIV/0!</v>
      </c>
      <c r="BO199" s="86" t="e">
        <f t="shared" si="1537"/>
        <v>#DIV/0!</v>
      </c>
      <c r="BP199" s="86" t="e">
        <f t="shared" si="1537"/>
        <v>#DIV/0!</v>
      </c>
      <c r="BQ199" s="86" t="e">
        <f t="shared" si="1537"/>
        <v>#DIV/0!</v>
      </c>
      <c r="BR199" s="86">
        <f t="shared" si="1537"/>
        <v>2.0687778475524055</v>
      </c>
      <c r="BS199" s="86">
        <f t="shared" si="1537"/>
        <v>0.95482599867312645</v>
      </c>
      <c r="BT199" s="86">
        <f t="shared" si="1537"/>
        <v>0.88525818781383503</v>
      </c>
      <c r="BU199" s="86">
        <f t="shared" si="1537"/>
        <v>0.30864513427697449</v>
      </c>
      <c r="BV199" s="86">
        <f t="shared" si="1537"/>
        <v>0.17987195852781523</v>
      </c>
      <c r="BW199" s="86">
        <f t="shared" si="1537"/>
        <v>0.37155345297475217</v>
      </c>
      <c r="BX199" s="86">
        <f t="shared" si="1537"/>
        <v>0.44424567680381633</v>
      </c>
      <c r="BY199" s="86">
        <f t="shared" si="1537"/>
        <v>0.35560275871876024</v>
      </c>
      <c r="BZ199" s="86">
        <f t="shared" si="1537"/>
        <v>0.42828826745511317</v>
      </c>
      <c r="CA199" s="86">
        <f t="shared" si="1537"/>
        <v>0.51316332116104157</v>
      </c>
      <c r="CB199" s="86">
        <f t="shared" si="1537"/>
        <v>0.52538535645472062</v>
      </c>
      <c r="CC199" s="86">
        <f t="shared" si="1537"/>
        <v>0.51367298904456282</v>
      </c>
      <c r="CD199" s="86">
        <f t="shared" si="1537"/>
        <v>0.292378859720134</v>
      </c>
      <c r="CE199" s="86">
        <f t="shared" si="1537"/>
        <v>0.11820118929633283</v>
      </c>
      <c r="CF199" s="86">
        <f t="shared" si="1537"/>
        <v>6.6969219872873742E-2</v>
      </c>
      <c r="CG199" s="86">
        <f t="shared" si="1537"/>
        <v>0.20845821999688141</v>
      </c>
      <c r="CH199" s="86">
        <f t="shared" si="1537"/>
        <v>0.48782124704703289</v>
      </c>
      <c r="CI199" s="86">
        <f t="shared" si="1537"/>
        <v>0.56578906551209185</v>
      </c>
      <c r="CJ199" s="86">
        <f>+(CJ21+CI21)/(CF21+CE21)-1</f>
        <v>0.60057755566266668</v>
      </c>
      <c r="CL199" s="86">
        <f>+(CL21+CK21)/(CH21+CG21)-1</f>
        <v>0.28819308702268032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0.4180297619884441</v>
      </c>
    </row>
    <row r="200" spans="1:110" s="86" customFormat="1" x14ac:dyDescent="0.2">
      <c r="A200" s="86" t="s">
        <v>441</v>
      </c>
      <c r="C200" s="86" t="e">
        <f t="shared" ref="C200" si="1538">C197/B197-1</f>
        <v>#DIV/0!</v>
      </c>
      <c r="D200" s="86" t="e">
        <f t="shared" ref="D200" si="1539">D197/C197-1</f>
        <v>#DIV/0!</v>
      </c>
      <c r="E200" s="86" t="e">
        <f>E197/D197-1</f>
        <v>#DIV/0!</v>
      </c>
      <c r="F200" s="86" t="e">
        <f t="shared" ref="F200" si="1540">F197/E197-1</f>
        <v>#DIV/0!</v>
      </c>
      <c r="G200" s="86">
        <f t="shared" ref="G200" si="1541">G197/F197-1</f>
        <v>3.4223994502663313</v>
      </c>
      <c r="H200" s="86">
        <f t="shared" ref="H200" si="1542">H197/G197-1</f>
        <v>-0.12542569606467591</v>
      </c>
      <c r="I200" s="86">
        <f t="shared" ref="I200" si="1543">I197/H197-1</f>
        <v>0.45003091016384356</v>
      </c>
      <c r="J200" s="86">
        <f t="shared" ref="J200" si="1544">J197/I197-1</f>
        <v>3.6395401719349296E-2</v>
      </c>
      <c r="K200" s="86">
        <f>K197/J197-1</f>
        <v>0.12973679930697379</v>
      </c>
      <c r="L200" s="86" t="e">
        <f t="shared" ref="L200" si="1545">L197/K197-1</f>
        <v>#DIV/0!</v>
      </c>
      <c r="M200" s="86" t="e">
        <f t="shared" ref="M200" si="1546">M197/L197-1</f>
        <v>#DIV/0!</v>
      </c>
      <c r="N200" s="86" t="e">
        <f t="shared" ref="N200" si="1547">N197/M197-1</f>
        <v>#DIV/0!</v>
      </c>
      <c r="O200" s="86">
        <f t="shared" ref="O200" si="1548">O197/N197-1</f>
        <v>-1.9583922919642172E-2</v>
      </c>
      <c r="P200" s="86">
        <f t="shared" ref="P200" si="1549">P197/O197-1</f>
        <v>-0.55136564181391789</v>
      </c>
      <c r="Q200" s="86">
        <f t="shared" ref="Q200" si="1550">Q197/P197-1</f>
        <v>0.59978918200756737</v>
      </c>
      <c r="R200" s="86">
        <f t="shared" ref="R200" si="1551">R197/Q197-1</f>
        <v>-0.44060884949866652</v>
      </c>
      <c r="S200" s="86">
        <f t="shared" ref="S200" si="1552">S197/R197-1</f>
        <v>0.11997602131372909</v>
      </c>
      <c r="T200" s="86">
        <f t="shared" ref="T200" si="1553">T197/S197-1</f>
        <v>-1.0346886781715252</v>
      </c>
      <c r="U200" s="86">
        <f t="shared" ref="U200" si="1554">U197/T197-1</f>
        <v>-23.559759731467658</v>
      </c>
      <c r="V200" s="86">
        <f t="shared" ref="V200" si="1555">V197/U197-1</f>
        <v>0.31489797331650027</v>
      </c>
      <c r="W200" s="86">
        <f t="shared" ref="W200:AA200" si="1556">W197/V197-1</f>
        <v>0.5775136891923276</v>
      </c>
      <c r="X200" s="86">
        <f t="shared" si="1556"/>
        <v>-4.6011804001496182E-2</v>
      </c>
      <c r="Y200" s="86">
        <f t="shared" si="1556"/>
        <v>-7.3466687950514697E-2</v>
      </c>
      <c r="Z200" s="86">
        <f t="shared" si="1556"/>
        <v>6.3108352161043157E-3</v>
      </c>
      <c r="AA200" s="86">
        <f t="shared" si="1556"/>
        <v>0.26414511109767402</v>
      </c>
      <c r="AB200" s="87">
        <f t="shared" ref="AB200" si="1557">AB197/AA197-1</f>
        <v>0.34187711202354532</v>
      </c>
      <c r="AC200" s="87">
        <f t="shared" ref="AC200" si="1558">AC197/AB197-1</f>
        <v>0</v>
      </c>
      <c r="AD200" s="87">
        <f t="shared" ref="AD200" si="1559">AD197/AC197-1</f>
        <v>0</v>
      </c>
      <c r="AE200" s="87">
        <f t="shared" ref="AE200" si="1560">AE197/AD197-1</f>
        <v>0</v>
      </c>
      <c r="AN200" s="86" t="e">
        <f t="shared" ref="AN200:CI200" si="1561">+AN197/AJ197-1</f>
        <v>#DIV/0!</v>
      </c>
      <c r="AO200" s="86" t="e">
        <f t="shared" si="1561"/>
        <v>#DIV/0!</v>
      </c>
      <c r="AP200" s="86" t="e">
        <f t="shared" si="1561"/>
        <v>#DIV/0!</v>
      </c>
      <c r="AQ200" s="86" t="e">
        <f t="shared" si="1561"/>
        <v>#DIV/0!</v>
      </c>
      <c r="AR200" s="86" t="e">
        <f t="shared" si="1561"/>
        <v>#DIV/0!</v>
      </c>
      <c r="AS200" s="86" t="e">
        <f t="shared" si="1561"/>
        <v>#DIV/0!</v>
      </c>
      <c r="AT200" s="86" t="e">
        <f t="shared" si="1561"/>
        <v>#DIV/0!</v>
      </c>
      <c r="AU200" s="86" t="e">
        <f t="shared" si="1561"/>
        <v>#DIV/0!</v>
      </c>
      <c r="AV200" s="86" t="e">
        <f t="shared" si="1561"/>
        <v>#DIV/0!</v>
      </c>
      <c r="AW200" s="86" t="e">
        <f t="shared" si="1561"/>
        <v>#DIV/0!</v>
      </c>
      <c r="AX200" s="86" t="e">
        <f t="shared" si="1561"/>
        <v>#DIV/0!</v>
      </c>
      <c r="AY200" s="86" t="e">
        <f t="shared" si="1561"/>
        <v>#DIV/0!</v>
      </c>
      <c r="AZ200" s="86" t="e">
        <f t="shared" si="1561"/>
        <v>#DIV/0!</v>
      </c>
      <c r="BA200" s="86" t="e">
        <f t="shared" si="1561"/>
        <v>#DIV/0!</v>
      </c>
      <c r="BB200" s="86" t="e">
        <f t="shared" si="1561"/>
        <v>#DIV/0!</v>
      </c>
      <c r="BC200" s="86" t="e">
        <f t="shared" si="1561"/>
        <v>#DIV/0!</v>
      </c>
      <c r="BD200" s="86" t="e">
        <f t="shared" si="1561"/>
        <v>#DIV/0!</v>
      </c>
      <c r="BE200" s="86" t="e">
        <f t="shared" si="1561"/>
        <v>#DIV/0!</v>
      </c>
      <c r="BF200" s="86" t="e">
        <f t="shared" si="1561"/>
        <v>#DIV/0!</v>
      </c>
      <c r="BG200" s="86" t="e">
        <f t="shared" si="1561"/>
        <v>#DIV/0!</v>
      </c>
      <c r="BH200" s="86" t="e">
        <f t="shared" si="1561"/>
        <v>#DIV/0!</v>
      </c>
      <c r="BI200" s="86" t="e">
        <f t="shared" si="1561"/>
        <v>#DIV/0!</v>
      </c>
      <c r="BJ200" s="86" t="e">
        <f t="shared" si="1561"/>
        <v>#DIV/0!</v>
      </c>
      <c r="BK200" s="86" t="e">
        <f t="shared" si="1561"/>
        <v>#DIV/0!</v>
      </c>
      <c r="BL200" s="86" t="e">
        <f t="shared" si="1561"/>
        <v>#DIV/0!</v>
      </c>
      <c r="BM200" s="86" t="e">
        <f t="shared" si="1561"/>
        <v>#DIV/0!</v>
      </c>
      <c r="BN200" s="86" t="e">
        <f t="shared" si="1561"/>
        <v>#DIV/0!</v>
      </c>
      <c r="BO200" s="86" t="e">
        <f t="shared" si="1561"/>
        <v>#DIV/0!</v>
      </c>
      <c r="BP200" s="86" t="e">
        <f t="shared" si="1561"/>
        <v>#DIV/0!</v>
      </c>
      <c r="BQ200" s="86" t="e">
        <f t="shared" si="1561"/>
        <v>#DIV/0!</v>
      </c>
      <c r="BR200" s="86">
        <f t="shared" si="1561"/>
        <v>1.0262672257247343</v>
      </c>
      <c r="BS200" s="86">
        <f t="shared" si="1561"/>
        <v>-2.3230369671028113</v>
      </c>
      <c r="BT200" s="86" t="e">
        <f t="shared" si="1561"/>
        <v>#DIV/0!</v>
      </c>
      <c r="BU200" s="86" t="e">
        <f t="shared" si="1561"/>
        <v>#DIV/0!</v>
      </c>
      <c r="BV200" s="86">
        <f t="shared" si="1561"/>
        <v>0.47917494553190054</v>
      </c>
      <c r="BW200" s="86">
        <f t="shared" si="1561"/>
        <v>0.57659769559970453</v>
      </c>
      <c r="BX200" s="86">
        <f t="shared" si="1561"/>
        <v>2.6612994595455408E-2</v>
      </c>
      <c r="BY200" s="86">
        <f t="shared" si="1561"/>
        <v>2.4650549515447207E-2</v>
      </c>
      <c r="BZ200" s="86">
        <f t="shared" si="1561"/>
        <v>-0.1232764916333573</v>
      </c>
      <c r="CA200" s="86">
        <f t="shared" si="1561"/>
        <v>-0.11626819009454115</v>
      </c>
      <c r="CB200" s="86">
        <f t="shared" si="1561"/>
        <v>1.6158587028877847E-2</v>
      </c>
      <c r="CC200" s="86">
        <f t="shared" si="1561"/>
        <v>1.6594322791570804E-2</v>
      </c>
      <c r="CD200" s="86">
        <f t="shared" si="1561"/>
        <v>0.34179302075036477</v>
      </c>
      <c r="CE200" s="86">
        <f t="shared" si="1561"/>
        <v>0.32637220278262236</v>
      </c>
      <c r="CF200" s="86">
        <f t="shared" si="1561"/>
        <v>0.53992278998976184</v>
      </c>
      <c r="CG200" s="86">
        <f t="shared" si="1561"/>
        <v>0.49157789138482499</v>
      </c>
      <c r="CH200" s="86">
        <f t="shared" si="1561"/>
        <v>-0.41958965094072076</v>
      </c>
      <c r="CI200" s="86">
        <f t="shared" si="1561"/>
        <v>-0.41906611105146629</v>
      </c>
      <c r="CJ200" s="86">
        <f>+CJ197/CF197-1</f>
        <v>-8.1765082411002554E-2</v>
      </c>
      <c r="CL200" s="86">
        <f>+CL197/CH197-1</f>
        <v>0.88992125808651545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0.69632739085843021</v>
      </c>
    </row>
    <row r="201" spans="1:110" s="103" customFormat="1" x14ac:dyDescent="0.2">
      <c r="A201" s="147" t="s">
        <v>87</v>
      </c>
      <c r="C201" s="103" t="e">
        <f>IF(C200&gt;C199,"RF",0)</f>
        <v>#DIV/0!</v>
      </c>
      <c r="D201" s="103" t="e">
        <f>IF(D200&gt;D199,"RF",0)</f>
        <v>#DIV/0!</v>
      </c>
      <c r="E201" s="103" t="e">
        <f t="shared" ref="E201:U201" si="1562">IF(E200&gt;E199,"RF",0)</f>
        <v>#DIV/0!</v>
      </c>
      <c r="F201" s="103" t="e">
        <f t="shared" si="1562"/>
        <v>#DIV/0!</v>
      </c>
      <c r="G201" s="103" t="str">
        <f t="shared" si="1562"/>
        <v>RF</v>
      </c>
      <c r="H201" s="103">
        <f t="shared" si="1562"/>
        <v>0</v>
      </c>
      <c r="I201" s="103" t="str">
        <f t="shared" si="1562"/>
        <v>RF</v>
      </c>
      <c r="J201" s="103">
        <f t="shared" si="1562"/>
        <v>0</v>
      </c>
      <c r="K201" s="103" t="str">
        <f t="shared" si="1562"/>
        <v>RF</v>
      </c>
      <c r="L201" s="103" t="e">
        <f t="shared" si="1562"/>
        <v>#DIV/0!</v>
      </c>
      <c r="M201" s="103" t="e">
        <f t="shared" si="1562"/>
        <v>#DIV/0!</v>
      </c>
      <c r="N201" s="103" t="e">
        <f t="shared" si="1562"/>
        <v>#DIV/0!</v>
      </c>
      <c r="O201" s="103">
        <f t="shared" si="1562"/>
        <v>0</v>
      </c>
      <c r="P201" s="103">
        <f t="shared" si="1562"/>
        <v>0</v>
      </c>
      <c r="Q201" s="103" t="str">
        <f t="shared" si="1562"/>
        <v>RF</v>
      </c>
      <c r="R201" s="103">
        <f t="shared" si="1562"/>
        <v>0</v>
      </c>
      <c r="S201" s="103">
        <f t="shared" si="1562"/>
        <v>0</v>
      </c>
      <c r="T201" s="103">
        <f t="shared" si="1562"/>
        <v>0</v>
      </c>
      <c r="U201" s="103">
        <f t="shared" si="1562"/>
        <v>0</v>
      </c>
      <c r="V201" s="103" t="str">
        <f>IF(V200&gt;V199,"RF",0)</f>
        <v>RF</v>
      </c>
      <c r="W201" s="103" t="str">
        <f t="shared" ref="W201" si="1563">IF(W200&gt;W199,"RF",0)</f>
        <v>RF</v>
      </c>
      <c r="X201" s="103">
        <f t="shared" ref="X201:Y201" si="1564">IF(X200&gt;X199,"RF",0)</f>
        <v>0</v>
      </c>
      <c r="Y201" s="103">
        <f t="shared" si="1564"/>
        <v>0</v>
      </c>
      <c r="Z201" s="103">
        <f t="shared" ref="Z201:AA201" si="1565">IF(Z200&gt;Z199,"RF",0)</f>
        <v>0</v>
      </c>
      <c r="AA201" s="103">
        <f t="shared" si="1565"/>
        <v>0</v>
      </c>
      <c r="AB201" s="73" t="str">
        <f t="shared" ref="AA201:AD201" si="1566">IF(AB200&gt;AB199,"RF",0)</f>
        <v>RF</v>
      </c>
      <c r="AC201" s="73">
        <f t="shared" si="1566"/>
        <v>0</v>
      </c>
      <c r="AD201" s="73">
        <f t="shared" si="1566"/>
        <v>0</v>
      </c>
      <c r="AE201" s="73">
        <f t="shared" ref="AE201" si="1567">IF(AE200&gt;AE199,"RF",0)</f>
        <v>0</v>
      </c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E201" s="142"/>
      <c r="DF201" s="103" t="s">
        <v>531</v>
      </c>
    </row>
    <row r="202" spans="1:110" x14ac:dyDescent="0.2">
      <c r="A202" s="153" t="s">
        <v>494</v>
      </c>
      <c r="AA202" s="2"/>
      <c r="CL202" s="2"/>
    </row>
    <row r="203" spans="1:110" x14ac:dyDescent="0.2">
      <c r="A203" s="152" t="s">
        <v>495</v>
      </c>
      <c r="AA203" s="2"/>
      <c r="CL203" s="2"/>
    </row>
    <row r="204" spans="1:110" s="23" customFormat="1" x14ac:dyDescent="0.2">
      <c r="A204" s="23" t="s">
        <v>22</v>
      </c>
      <c r="C204" s="23">
        <f t="shared" ref="C204:AE204" si="1568">C59</f>
        <v>0</v>
      </c>
      <c r="D204" s="23">
        <f t="shared" si="1568"/>
        <v>0</v>
      </c>
      <c r="E204" s="23">
        <f t="shared" si="1568"/>
        <v>0</v>
      </c>
      <c r="F204" s="23">
        <f t="shared" si="1568"/>
        <v>6.9810507000000088</v>
      </c>
      <c r="G204" s="23">
        <f t="shared" si="1568"/>
        <v>10.085466500000006</v>
      </c>
      <c r="H204" s="23">
        <f t="shared" si="1568"/>
        <v>11.076852899999977</v>
      </c>
      <c r="I204" s="23">
        <f t="shared" si="1568"/>
        <v>14.789942800000006</v>
      </c>
      <c r="J204" s="23">
        <f t="shared" si="1568"/>
        <v>8.9362879999999798</v>
      </c>
      <c r="K204" s="23">
        <f t="shared" si="1568"/>
        <v>10.397539899999993</v>
      </c>
      <c r="L204" s="23">
        <f t="shared" si="1568"/>
        <v>0</v>
      </c>
      <c r="M204" s="23">
        <f t="shared" si="1568"/>
        <v>0</v>
      </c>
      <c r="N204" s="23">
        <f t="shared" si="1568"/>
        <v>38.27899999999989</v>
      </c>
      <c r="O204" s="23">
        <f t="shared" si="1568"/>
        <v>23.382000000000076</v>
      </c>
      <c r="P204" s="23">
        <f t="shared" si="1568"/>
        <v>20.801999999999893</v>
      </c>
      <c r="Q204" s="23">
        <f t="shared" si="1568"/>
        <v>44.603000000000122</v>
      </c>
      <c r="R204" s="23">
        <f t="shared" si="1568"/>
        <v>42.587000000000103</v>
      </c>
      <c r="S204" s="23">
        <f t="shared" si="1568"/>
        <v>33.150000000000112</v>
      </c>
      <c r="T204" s="23">
        <f t="shared" si="1568"/>
        <v>97.367000000000075</v>
      </c>
      <c r="U204" s="23">
        <f t="shared" si="1568"/>
        <v>40.01000000000009</v>
      </c>
      <c r="V204" s="23">
        <f t="shared" si="1568"/>
        <v>97.360000000000028</v>
      </c>
      <c r="W204" s="23">
        <f t="shared" si="1568"/>
        <v>163.09000000000015</v>
      </c>
      <c r="X204" s="23">
        <f t="shared" si="1568"/>
        <v>248.39000000000001</v>
      </c>
      <c r="Y204" s="23">
        <f t="shared" si="1568"/>
        <v>304.46999999999991</v>
      </c>
      <c r="Z204" s="23">
        <f t="shared" si="1568"/>
        <v>194.5699999999996</v>
      </c>
      <c r="AA204" s="23">
        <f t="shared" ref="AA204" si="1569">AA59</f>
        <v>383.99000000000058</v>
      </c>
      <c r="AB204" s="24">
        <f t="shared" si="1568"/>
        <v>469.92311597330553</v>
      </c>
      <c r="AC204" s="24">
        <f t="shared" si="1568"/>
        <v>716.98650879597744</v>
      </c>
      <c r="AD204" s="24">
        <f t="shared" si="1568"/>
        <v>988.71754972951055</v>
      </c>
      <c r="AE204" s="24">
        <f t="shared" si="1568"/>
        <v>1294.3179542693608</v>
      </c>
      <c r="AI204" s="23">
        <f t="shared" ref="AI204:BN204" si="1570">AI59</f>
        <v>0</v>
      </c>
      <c r="AJ204" s="23">
        <f t="shared" si="1570"/>
        <v>0</v>
      </c>
      <c r="AK204" s="23">
        <f t="shared" si="1570"/>
        <v>0</v>
      </c>
      <c r="AL204" s="23">
        <f t="shared" si="1570"/>
        <v>0</v>
      </c>
      <c r="AM204" s="23">
        <f t="shared" si="1570"/>
        <v>0</v>
      </c>
      <c r="AN204" s="23">
        <f t="shared" si="1570"/>
        <v>0</v>
      </c>
      <c r="AO204" s="23">
        <f t="shared" si="1570"/>
        <v>0</v>
      </c>
      <c r="AP204" s="23">
        <f t="shared" si="1570"/>
        <v>0</v>
      </c>
      <c r="AQ204" s="23">
        <f t="shared" si="1570"/>
        <v>0</v>
      </c>
      <c r="AR204" s="23">
        <f t="shared" si="1570"/>
        <v>0</v>
      </c>
      <c r="AS204" s="23">
        <f t="shared" si="1570"/>
        <v>0</v>
      </c>
      <c r="AT204" s="23">
        <f t="shared" si="1570"/>
        <v>0</v>
      </c>
      <c r="AU204" s="23">
        <f t="shared" si="1570"/>
        <v>0</v>
      </c>
      <c r="AV204" s="23">
        <f t="shared" si="1570"/>
        <v>0</v>
      </c>
      <c r="AW204" s="23">
        <f t="shared" si="1570"/>
        <v>0</v>
      </c>
      <c r="AX204" s="23">
        <f t="shared" si="1570"/>
        <v>0</v>
      </c>
      <c r="AY204" s="23">
        <f t="shared" si="1570"/>
        <v>0</v>
      </c>
      <c r="AZ204" s="23">
        <f t="shared" si="1570"/>
        <v>0</v>
      </c>
      <c r="BA204" s="23">
        <f t="shared" si="1570"/>
        <v>0</v>
      </c>
      <c r="BB204" s="23">
        <f t="shared" si="1570"/>
        <v>0</v>
      </c>
      <c r="BC204" s="23">
        <f t="shared" si="1570"/>
        <v>0</v>
      </c>
      <c r="BD204" s="23">
        <f t="shared" si="1570"/>
        <v>0</v>
      </c>
      <c r="BE204" s="23">
        <f t="shared" si="1570"/>
        <v>0</v>
      </c>
      <c r="BF204" s="23">
        <f t="shared" si="1570"/>
        <v>0</v>
      </c>
      <c r="BG204" s="23">
        <f t="shared" si="1570"/>
        <v>0</v>
      </c>
      <c r="BH204" s="23">
        <f t="shared" si="1570"/>
        <v>0</v>
      </c>
      <c r="BI204" s="23">
        <f t="shared" si="1570"/>
        <v>0</v>
      </c>
      <c r="BJ204" s="23">
        <f t="shared" si="1570"/>
        <v>0</v>
      </c>
      <c r="BK204" s="23">
        <f t="shared" si="1570"/>
        <v>0</v>
      </c>
      <c r="BL204" s="23">
        <f t="shared" si="1570"/>
        <v>0</v>
      </c>
      <c r="BM204" s="23">
        <f t="shared" si="1570"/>
        <v>0</v>
      </c>
      <c r="BN204" s="23">
        <f t="shared" si="1570"/>
        <v>4.0600000000000254</v>
      </c>
      <c r="BO204" s="23">
        <f t="shared" ref="BO204:CT204" si="1571">BO59</f>
        <v>-16.230000000000015</v>
      </c>
      <c r="BP204" s="23">
        <f t="shared" si="1571"/>
        <v>22.829999999999984</v>
      </c>
      <c r="BQ204" s="23">
        <f t="shared" si="1571"/>
        <v>43.479999999999983</v>
      </c>
      <c r="BR204" s="23">
        <f t="shared" si="1571"/>
        <v>47.279999999999959</v>
      </c>
      <c r="BS204" s="23">
        <f t="shared" si="1571"/>
        <v>24.069999999999983</v>
      </c>
      <c r="BT204" s="23">
        <f t="shared" si="1571"/>
        <v>49.960000000000008</v>
      </c>
      <c r="BU204" s="23">
        <f t="shared" si="1571"/>
        <v>37.599999999999952</v>
      </c>
      <c r="BV204" s="23">
        <f t="shared" si="1571"/>
        <v>51.459999999999987</v>
      </c>
      <c r="BW204" s="23">
        <f t="shared" si="1571"/>
        <v>56.640000000000043</v>
      </c>
      <c r="BX204" s="23">
        <f t="shared" si="1571"/>
        <v>62.480000000000054</v>
      </c>
      <c r="BY204" s="23">
        <f t="shared" si="1571"/>
        <v>51.609999999999964</v>
      </c>
      <c r="BZ204" s="23">
        <f t="shared" si="1571"/>
        <v>77.65999999999994</v>
      </c>
      <c r="CA204" s="23">
        <f t="shared" si="1571"/>
        <v>74.480000000000118</v>
      </c>
      <c r="CB204" s="23">
        <f t="shared" si="1571"/>
        <v>94.540000000000049</v>
      </c>
      <c r="CC204" s="23">
        <f t="shared" si="1571"/>
        <v>73.120000000000061</v>
      </c>
      <c r="CD204" s="23">
        <f t="shared" si="1571"/>
        <v>62.330000000000013</v>
      </c>
      <c r="CE204" s="23">
        <f t="shared" si="1571"/>
        <v>53.19000000000009</v>
      </c>
      <c r="CF204" s="23">
        <f t="shared" si="1571"/>
        <v>61.690000000000083</v>
      </c>
      <c r="CG204" s="23">
        <f t="shared" si="1571"/>
        <v>12.929999999999906</v>
      </c>
      <c r="CH204" s="23">
        <f t="shared" si="1571"/>
        <v>66.760000000000105</v>
      </c>
      <c r="CI204" s="23">
        <f t="shared" si="1571"/>
        <v>69.599999999999937</v>
      </c>
      <c r="CJ204" s="23">
        <f t="shared" si="1571"/>
        <v>90.859999999999758</v>
      </c>
      <c r="CK204" s="23">
        <f t="shared" si="1571"/>
        <v>107.11000000000027</v>
      </c>
      <c r="CL204" s="23">
        <f t="shared" ref="CL204" si="1572">CL59</f>
        <v>116.42000000000019</v>
      </c>
      <c r="CM204" s="24">
        <f t="shared" si="1571"/>
        <v>78.357231424390022</v>
      </c>
      <c r="CN204" s="24">
        <f t="shared" si="1571"/>
        <v>113.38710881081728</v>
      </c>
      <c r="CO204" s="24">
        <f t="shared" si="1571"/>
        <v>127.12820142169666</v>
      </c>
      <c r="CP204" s="24">
        <f t="shared" si="1571"/>
        <v>151.05057431640117</v>
      </c>
      <c r="CQ204" s="24">
        <f t="shared" si="1571"/>
        <v>137.8287061045358</v>
      </c>
      <c r="CR204" s="24">
        <f t="shared" si="1571"/>
        <v>175.460621525324</v>
      </c>
      <c r="CS204" s="24">
        <f t="shared" si="1571"/>
        <v>187.46486897801054</v>
      </c>
      <c r="CT204" s="24">
        <f t="shared" si="1571"/>
        <v>216.23231218810542</v>
      </c>
      <c r="CU204" s="24">
        <f t="shared" ref="CU204:DB204" si="1573">CU59</f>
        <v>200.36792396834892</v>
      </c>
      <c r="CV204" s="24">
        <f t="shared" si="1573"/>
        <v>243.06318501477449</v>
      </c>
      <c r="CW204" s="24">
        <f t="shared" si="1573"/>
        <v>255.92344030587151</v>
      </c>
      <c r="CX204" s="24">
        <f t="shared" si="1573"/>
        <v>289.36300044051524</v>
      </c>
      <c r="CY204" s="24">
        <f t="shared" si="1573"/>
        <v>269.70726311540596</v>
      </c>
      <c r="CZ204" s="24">
        <f t="shared" si="1573"/>
        <v>319.08023126020515</v>
      </c>
      <c r="DA204" s="24">
        <f t="shared" si="1573"/>
        <v>333.40479504162846</v>
      </c>
      <c r="DB204" s="24">
        <f t="shared" si="1573"/>
        <v>372.12566485211886</v>
      </c>
      <c r="DE204" s="123"/>
      <c r="DF204" s="23">
        <v>103.49904087412908</v>
      </c>
    </row>
    <row r="205" spans="1:110" s="23" customFormat="1" x14ac:dyDescent="0.2">
      <c r="A205" s="23" t="s">
        <v>88</v>
      </c>
      <c r="C205" s="23">
        <f t="shared" ref="C205:AE205" si="1574">C43</f>
        <v>0</v>
      </c>
      <c r="D205" s="23">
        <f t="shared" si="1574"/>
        <v>0</v>
      </c>
      <c r="E205" s="23">
        <f t="shared" si="1574"/>
        <v>0</v>
      </c>
      <c r="F205" s="23">
        <f t="shared" si="1574"/>
        <v>4.5789192999999999</v>
      </c>
      <c r="G205" s="23">
        <f t="shared" si="1574"/>
        <v>5.8362401999999998</v>
      </c>
      <c r="H205" s="23">
        <f t="shared" si="1574"/>
        <v>7.0705935000000002</v>
      </c>
      <c r="I205" s="23">
        <f t="shared" si="1574"/>
        <v>0</v>
      </c>
      <c r="J205" s="23">
        <f t="shared" si="1574"/>
        <v>15.8643508</v>
      </c>
      <c r="K205" s="23">
        <f t="shared" si="1574"/>
        <v>18.996565199999999</v>
      </c>
      <c r="L205" s="23">
        <f t="shared" si="1574"/>
        <v>0</v>
      </c>
      <c r="M205" s="23">
        <f t="shared" si="1574"/>
        <v>0</v>
      </c>
      <c r="N205" s="23">
        <f t="shared" si="1574"/>
        <v>68.346000000000004</v>
      </c>
      <c r="O205" s="23">
        <f t="shared" si="1574"/>
        <v>81.040000000000006</v>
      </c>
      <c r="P205" s="23">
        <f t="shared" si="1574"/>
        <v>95.108999999999995</v>
      </c>
      <c r="Q205" s="23">
        <f t="shared" si="1574"/>
        <v>101.98399999999999</v>
      </c>
      <c r="R205" s="23">
        <f t="shared" si="1574"/>
        <v>113.955</v>
      </c>
      <c r="S205" s="23">
        <f t="shared" si="1574"/>
        <v>136.44999999999999</v>
      </c>
      <c r="T205" s="23">
        <f t="shared" si="1574"/>
        <v>176.148</v>
      </c>
      <c r="U205" s="23">
        <f t="shared" si="1574"/>
        <v>196.4</v>
      </c>
      <c r="V205" s="23">
        <f t="shared" si="1574"/>
        <v>192.45</v>
      </c>
      <c r="W205" s="23">
        <f t="shared" si="1574"/>
        <v>205.99</v>
      </c>
      <c r="X205" s="23">
        <f t="shared" si="1574"/>
        <v>221.61</v>
      </c>
      <c r="Y205" s="23">
        <f t="shared" si="1574"/>
        <v>277.69</v>
      </c>
      <c r="Z205" s="23">
        <f t="shared" si="1574"/>
        <v>347.02</v>
      </c>
      <c r="AA205" s="23">
        <f t="shared" ref="AA205" si="1575">AA43</f>
        <v>443.85</v>
      </c>
      <c r="AB205" s="24">
        <f t="shared" si="1574"/>
        <v>546.88368730795401</v>
      </c>
      <c r="AC205" s="24">
        <f t="shared" si="1574"/>
        <v>472.40779759089895</v>
      </c>
      <c r="AD205" s="24">
        <f t="shared" si="1574"/>
        <v>408.07420737531646</v>
      </c>
      <c r="AE205" s="24">
        <f t="shared" si="1574"/>
        <v>352.50171477737047</v>
      </c>
      <c r="AI205" s="23">
        <f t="shared" ref="AI205:BN205" si="1576">AI43</f>
        <v>0</v>
      </c>
      <c r="AJ205" s="23">
        <f t="shared" si="1576"/>
        <v>0</v>
      </c>
      <c r="AK205" s="23">
        <f t="shared" si="1576"/>
        <v>0</v>
      </c>
      <c r="AL205" s="23">
        <f t="shared" si="1576"/>
        <v>0</v>
      </c>
      <c r="AM205" s="23">
        <f t="shared" si="1576"/>
        <v>0</v>
      </c>
      <c r="AN205" s="23">
        <f t="shared" si="1576"/>
        <v>0</v>
      </c>
      <c r="AO205" s="23">
        <f t="shared" si="1576"/>
        <v>0</v>
      </c>
      <c r="AP205" s="23">
        <f t="shared" si="1576"/>
        <v>0</v>
      </c>
      <c r="AQ205" s="23">
        <f t="shared" si="1576"/>
        <v>0</v>
      </c>
      <c r="AR205" s="23">
        <f t="shared" si="1576"/>
        <v>0</v>
      </c>
      <c r="AS205" s="23">
        <f t="shared" si="1576"/>
        <v>0</v>
      </c>
      <c r="AT205" s="23">
        <f t="shared" si="1576"/>
        <v>0</v>
      </c>
      <c r="AU205" s="23">
        <f t="shared" si="1576"/>
        <v>0</v>
      </c>
      <c r="AV205" s="23">
        <f t="shared" si="1576"/>
        <v>0</v>
      </c>
      <c r="AW205" s="23">
        <f t="shared" si="1576"/>
        <v>0</v>
      </c>
      <c r="AX205" s="23">
        <f t="shared" si="1576"/>
        <v>0</v>
      </c>
      <c r="AY205" s="23">
        <f t="shared" si="1576"/>
        <v>0</v>
      </c>
      <c r="AZ205" s="23">
        <f t="shared" si="1576"/>
        <v>0</v>
      </c>
      <c r="BA205" s="23">
        <f t="shared" si="1576"/>
        <v>0</v>
      </c>
      <c r="BB205" s="23">
        <f t="shared" si="1576"/>
        <v>0</v>
      </c>
      <c r="BC205" s="23">
        <f t="shared" si="1576"/>
        <v>0</v>
      </c>
      <c r="BD205" s="23">
        <f t="shared" si="1576"/>
        <v>0</v>
      </c>
      <c r="BE205" s="23">
        <f t="shared" si="1576"/>
        <v>0</v>
      </c>
      <c r="BF205" s="23">
        <f t="shared" si="1576"/>
        <v>0</v>
      </c>
      <c r="BG205" s="23">
        <f t="shared" si="1576"/>
        <v>0</v>
      </c>
      <c r="BH205" s="23">
        <f t="shared" si="1576"/>
        <v>0</v>
      </c>
      <c r="BI205" s="23">
        <f t="shared" si="1576"/>
        <v>0</v>
      </c>
      <c r="BJ205" s="23">
        <f t="shared" si="1576"/>
        <v>0</v>
      </c>
      <c r="BK205" s="23">
        <f t="shared" si="1576"/>
        <v>0</v>
      </c>
      <c r="BL205" s="23">
        <f t="shared" si="1576"/>
        <v>0</v>
      </c>
      <c r="BM205" s="23">
        <f t="shared" si="1576"/>
        <v>0</v>
      </c>
      <c r="BN205" s="23">
        <f t="shared" si="1576"/>
        <v>48.36</v>
      </c>
      <c r="BO205" s="23">
        <f t="shared" ref="BO205:CT205" si="1577">BO43</f>
        <v>39.409999999999997</v>
      </c>
      <c r="BP205" s="23">
        <f t="shared" si="1577"/>
        <v>47.74</v>
      </c>
      <c r="BQ205" s="23">
        <f t="shared" si="1577"/>
        <v>55.17</v>
      </c>
      <c r="BR205" s="23">
        <f t="shared" si="1577"/>
        <v>50.13</v>
      </c>
      <c r="BS205" s="23">
        <f t="shared" si="1577"/>
        <v>49.37</v>
      </c>
      <c r="BT205" s="23">
        <f t="shared" si="1577"/>
        <v>50.02</v>
      </c>
      <c r="BU205" s="23">
        <f t="shared" si="1577"/>
        <v>52.11</v>
      </c>
      <c r="BV205" s="23">
        <f t="shared" si="1577"/>
        <v>54.49</v>
      </c>
      <c r="BW205" s="23">
        <f t="shared" si="1577"/>
        <v>53.23</v>
      </c>
      <c r="BX205" s="23">
        <f t="shared" si="1577"/>
        <v>54.69</v>
      </c>
      <c r="BY205" s="23">
        <f t="shared" si="1577"/>
        <v>53.76</v>
      </c>
      <c r="BZ205" s="23">
        <f t="shared" si="1577"/>
        <v>59.93</v>
      </c>
      <c r="CA205" s="23">
        <f t="shared" si="1577"/>
        <v>68.290000000000006</v>
      </c>
      <c r="CB205" s="23">
        <f t="shared" si="1577"/>
        <v>66.83</v>
      </c>
      <c r="CC205" s="23">
        <f t="shared" si="1577"/>
        <v>70.28</v>
      </c>
      <c r="CD205" s="23">
        <f t="shared" si="1577"/>
        <v>72.290000000000006</v>
      </c>
      <c r="CE205" s="23">
        <f t="shared" si="1577"/>
        <v>72.489999999999995</v>
      </c>
      <c r="CF205" s="23">
        <f t="shared" si="1577"/>
        <v>76.150000000000006</v>
      </c>
      <c r="CG205" s="23">
        <f t="shared" si="1577"/>
        <v>103.48</v>
      </c>
      <c r="CH205" s="23">
        <f t="shared" si="1577"/>
        <v>94.9</v>
      </c>
      <c r="CI205" s="23">
        <f t="shared" si="1577"/>
        <v>101.87</v>
      </c>
      <c r="CJ205" s="23">
        <f t="shared" si="1577"/>
        <v>109.01</v>
      </c>
      <c r="CK205" s="23">
        <f t="shared" si="1577"/>
        <v>114.88</v>
      </c>
      <c r="CL205" s="23">
        <f t="shared" ref="CL205" si="1578">CL43</f>
        <v>118.09</v>
      </c>
      <c r="CM205" s="24">
        <f t="shared" si="1577"/>
        <v>144.31557152204016</v>
      </c>
      <c r="CN205" s="24">
        <f t="shared" si="1577"/>
        <v>139.12933703350905</v>
      </c>
      <c r="CO205" s="24">
        <f t="shared" si="1577"/>
        <v>134.12947902456605</v>
      </c>
      <c r="CP205" s="24">
        <f t="shared" si="1577"/>
        <v>129.30929972783869</v>
      </c>
      <c r="CQ205" s="24">
        <f t="shared" si="1577"/>
        <v>124.66234207203294</v>
      </c>
      <c r="CR205" s="24">
        <f t="shared" si="1577"/>
        <v>120.18238103209552</v>
      </c>
      <c r="CS205" s="24">
        <f t="shared" si="1577"/>
        <v>115.863415290223</v>
      </c>
      <c r="CT205" s="24">
        <f t="shared" si="1577"/>
        <v>111.69965919654747</v>
      </c>
      <c r="CU205" s="24">
        <f t="shared" ref="CU205:DB205" si="1579">CU43</f>
        <v>107.68553501872903</v>
      </c>
      <c r="CV205" s="24">
        <f t="shared" si="1579"/>
        <v>103.81566547007283</v>
      </c>
      <c r="CW205" s="24">
        <f t="shared" si="1579"/>
        <v>100.08486650616148</v>
      </c>
      <c r="CX205" s="24">
        <f t="shared" si="1579"/>
        <v>96.488140380353101</v>
      </c>
      <c r="CY205" s="24">
        <f t="shared" si="1579"/>
        <v>93.020668948842356</v>
      </c>
      <c r="CZ205" s="24">
        <f t="shared" si="1579"/>
        <v>89.677807216315827</v>
      </c>
      <c r="DA205" s="24">
        <f t="shared" si="1579"/>
        <v>86.455077113555745</v>
      </c>
      <c r="DB205" s="24">
        <f t="shared" si="1579"/>
        <v>83.348161498656481</v>
      </c>
      <c r="DE205" s="123"/>
      <c r="DF205" s="23">
        <v>110.99946896878208</v>
      </c>
    </row>
    <row r="206" spans="1:110" s="22" customFormat="1" x14ac:dyDescent="0.2">
      <c r="A206" s="22" t="s">
        <v>89</v>
      </c>
      <c r="C206" s="22">
        <f t="shared" ref="C206:W206" si="1580">C204+C205</f>
        <v>0</v>
      </c>
      <c r="D206" s="22">
        <f t="shared" si="1580"/>
        <v>0</v>
      </c>
      <c r="E206" s="22">
        <f t="shared" si="1580"/>
        <v>0</v>
      </c>
      <c r="F206" s="22">
        <f t="shared" si="1580"/>
        <v>11.559970000000009</v>
      </c>
      <c r="G206" s="22">
        <f t="shared" si="1580"/>
        <v>15.921706700000005</v>
      </c>
      <c r="H206" s="22">
        <f t="shared" si="1580"/>
        <v>18.147446399999978</v>
      </c>
      <c r="I206" s="22">
        <f t="shared" si="1580"/>
        <v>14.789942800000006</v>
      </c>
      <c r="J206" s="22">
        <f t="shared" si="1580"/>
        <v>24.80063879999998</v>
      </c>
      <c r="K206" s="22">
        <f t="shared" si="1580"/>
        <v>29.39410509999999</v>
      </c>
      <c r="L206" s="22">
        <f t="shared" si="1580"/>
        <v>0</v>
      </c>
      <c r="M206" s="22">
        <f t="shared" si="1580"/>
        <v>0</v>
      </c>
      <c r="N206" s="22">
        <f t="shared" si="1580"/>
        <v>106.62499999999989</v>
      </c>
      <c r="O206" s="22">
        <f t="shared" si="1580"/>
        <v>104.42200000000008</v>
      </c>
      <c r="P206" s="22">
        <f t="shared" si="1580"/>
        <v>115.91099999999989</v>
      </c>
      <c r="Q206" s="22">
        <f t="shared" si="1580"/>
        <v>146.5870000000001</v>
      </c>
      <c r="R206" s="22">
        <f t="shared" si="1580"/>
        <v>156.54200000000009</v>
      </c>
      <c r="S206" s="22">
        <f t="shared" si="1580"/>
        <v>169.60000000000011</v>
      </c>
      <c r="T206" s="22">
        <f t="shared" si="1580"/>
        <v>273.5150000000001</v>
      </c>
      <c r="U206" s="22">
        <f t="shared" si="1580"/>
        <v>236.41000000000008</v>
      </c>
      <c r="V206" s="22">
        <f t="shared" si="1580"/>
        <v>289.81</v>
      </c>
      <c r="W206" s="22">
        <f t="shared" si="1580"/>
        <v>369.08000000000015</v>
      </c>
      <c r="X206" s="22">
        <f t="shared" ref="X206:Y206" si="1581">X204+X205</f>
        <v>470</v>
      </c>
      <c r="Y206" s="22">
        <f t="shared" si="1581"/>
        <v>582.15999999999985</v>
      </c>
      <c r="Z206" s="22">
        <f t="shared" ref="Z206:AA206" si="1582">Z204+Z205</f>
        <v>541.58999999999958</v>
      </c>
      <c r="AA206" s="22">
        <f t="shared" si="1582"/>
        <v>827.8400000000006</v>
      </c>
      <c r="AB206" s="21">
        <f t="shared" ref="AA206:AD206" si="1583">AB204+AB205</f>
        <v>1016.8068032812596</v>
      </c>
      <c r="AC206" s="21">
        <f t="shared" si="1583"/>
        <v>1189.3943063868765</v>
      </c>
      <c r="AD206" s="21">
        <f t="shared" si="1583"/>
        <v>1396.791757104827</v>
      </c>
      <c r="AE206" s="21">
        <f t="shared" ref="AE206" si="1584">AE204+AE205</f>
        <v>1646.8196690467312</v>
      </c>
      <c r="AI206" s="22">
        <f t="shared" ref="AI206" si="1585">AI204+AI205</f>
        <v>0</v>
      </c>
      <c r="AJ206" s="22">
        <f t="shared" ref="AJ206:AL206" si="1586">AJ204+AJ205</f>
        <v>0</v>
      </c>
      <c r="AK206" s="22">
        <f t="shared" si="1586"/>
        <v>0</v>
      </c>
      <c r="AL206" s="22">
        <f t="shared" si="1586"/>
        <v>0</v>
      </c>
      <c r="AM206" s="22">
        <f t="shared" ref="AM206" si="1587">AM204+AM205</f>
        <v>0</v>
      </c>
      <c r="AN206" s="22">
        <f t="shared" ref="AN206:CD206" si="1588">AN204+AN205</f>
        <v>0</v>
      </c>
      <c r="AO206" s="22">
        <f t="shared" si="1588"/>
        <v>0</v>
      </c>
      <c r="AP206" s="22">
        <f t="shared" si="1588"/>
        <v>0</v>
      </c>
      <c r="AQ206" s="22">
        <f t="shared" si="1588"/>
        <v>0</v>
      </c>
      <c r="AR206" s="22">
        <f t="shared" si="1588"/>
        <v>0</v>
      </c>
      <c r="AS206" s="22">
        <f t="shared" si="1588"/>
        <v>0</v>
      </c>
      <c r="AT206" s="22">
        <f t="shared" si="1588"/>
        <v>0</v>
      </c>
      <c r="AU206" s="22">
        <f t="shared" si="1588"/>
        <v>0</v>
      </c>
      <c r="AV206" s="22">
        <f t="shared" si="1588"/>
        <v>0</v>
      </c>
      <c r="AW206" s="22">
        <f t="shared" si="1588"/>
        <v>0</v>
      </c>
      <c r="AX206" s="22">
        <f t="shared" si="1588"/>
        <v>0</v>
      </c>
      <c r="AY206" s="22">
        <f t="shared" si="1588"/>
        <v>0</v>
      </c>
      <c r="AZ206" s="22">
        <f t="shared" si="1588"/>
        <v>0</v>
      </c>
      <c r="BA206" s="22">
        <f t="shared" si="1588"/>
        <v>0</v>
      </c>
      <c r="BB206" s="22">
        <f t="shared" si="1588"/>
        <v>0</v>
      </c>
      <c r="BC206" s="22">
        <f t="shared" si="1588"/>
        <v>0</v>
      </c>
      <c r="BD206" s="22">
        <f t="shared" si="1588"/>
        <v>0</v>
      </c>
      <c r="BE206" s="22">
        <f t="shared" si="1588"/>
        <v>0</v>
      </c>
      <c r="BF206" s="22">
        <f t="shared" si="1588"/>
        <v>0</v>
      </c>
      <c r="BG206" s="22">
        <f t="shared" si="1588"/>
        <v>0</v>
      </c>
      <c r="BH206" s="22">
        <f t="shared" si="1588"/>
        <v>0</v>
      </c>
      <c r="BI206" s="22">
        <f t="shared" si="1588"/>
        <v>0</v>
      </c>
      <c r="BJ206" s="22">
        <f t="shared" si="1588"/>
        <v>0</v>
      </c>
      <c r="BK206" s="22">
        <f t="shared" si="1588"/>
        <v>0</v>
      </c>
      <c r="BL206" s="22">
        <f t="shared" si="1588"/>
        <v>0</v>
      </c>
      <c r="BM206" s="22">
        <f t="shared" si="1588"/>
        <v>0</v>
      </c>
      <c r="BN206" s="22">
        <f t="shared" si="1588"/>
        <v>52.420000000000023</v>
      </c>
      <c r="BO206" s="22">
        <f t="shared" si="1588"/>
        <v>23.179999999999982</v>
      </c>
      <c r="BP206" s="22">
        <f t="shared" si="1588"/>
        <v>70.569999999999993</v>
      </c>
      <c r="BQ206" s="22">
        <f t="shared" si="1588"/>
        <v>98.649999999999977</v>
      </c>
      <c r="BR206" s="22">
        <f t="shared" si="1588"/>
        <v>97.409999999999968</v>
      </c>
      <c r="BS206" s="22">
        <f t="shared" si="1588"/>
        <v>73.439999999999984</v>
      </c>
      <c r="BT206" s="22">
        <f t="shared" si="1588"/>
        <v>99.980000000000018</v>
      </c>
      <c r="BU206" s="22">
        <f t="shared" si="1588"/>
        <v>89.709999999999951</v>
      </c>
      <c r="BV206" s="22">
        <f t="shared" si="1588"/>
        <v>105.94999999999999</v>
      </c>
      <c r="BW206" s="22">
        <f t="shared" si="1588"/>
        <v>109.87000000000003</v>
      </c>
      <c r="BX206" s="22">
        <f t="shared" si="1588"/>
        <v>117.17000000000004</v>
      </c>
      <c r="BY206" s="22">
        <f t="shared" si="1588"/>
        <v>105.36999999999996</v>
      </c>
      <c r="BZ206" s="22">
        <f t="shared" si="1588"/>
        <v>137.58999999999995</v>
      </c>
      <c r="CA206" s="22">
        <f t="shared" si="1588"/>
        <v>142.77000000000012</v>
      </c>
      <c r="CB206" s="22">
        <f t="shared" si="1588"/>
        <v>161.37000000000006</v>
      </c>
      <c r="CC206" s="22">
        <f t="shared" si="1588"/>
        <v>143.40000000000006</v>
      </c>
      <c r="CD206" s="22">
        <f t="shared" si="1588"/>
        <v>134.62</v>
      </c>
      <c r="CE206" s="22">
        <f t="shared" ref="CE206:CF206" si="1589">CE204+CE205</f>
        <v>125.68000000000009</v>
      </c>
      <c r="CF206" s="22">
        <f t="shared" si="1589"/>
        <v>137.84000000000009</v>
      </c>
      <c r="CG206" s="22">
        <f t="shared" ref="CG206:CH206" si="1590">CG204+CG205</f>
        <v>116.40999999999991</v>
      </c>
      <c r="CH206" s="22">
        <f t="shared" si="1590"/>
        <v>161.66000000000011</v>
      </c>
      <c r="CI206" s="22">
        <f t="shared" ref="CI206:CJ206" si="1591">CI204+CI205</f>
        <v>171.46999999999994</v>
      </c>
      <c r="CJ206" s="22">
        <f t="shared" si="1591"/>
        <v>199.86999999999978</v>
      </c>
      <c r="CK206" s="22">
        <f t="shared" ref="CK206:DB206" si="1592">CK204+CK205</f>
        <v>221.99000000000026</v>
      </c>
      <c r="CL206" s="22">
        <f t="shared" si="1592"/>
        <v>234.51000000000019</v>
      </c>
      <c r="CM206" s="21">
        <f t="shared" si="1592"/>
        <v>222.67280294643018</v>
      </c>
      <c r="CN206" s="21">
        <f t="shared" si="1592"/>
        <v>252.51644584432631</v>
      </c>
      <c r="CO206" s="21">
        <f t="shared" si="1592"/>
        <v>261.25768044626273</v>
      </c>
      <c r="CP206" s="21">
        <f t="shared" si="1592"/>
        <v>280.35987404423986</v>
      </c>
      <c r="CQ206" s="21">
        <f t="shared" si="1592"/>
        <v>262.49104817656871</v>
      </c>
      <c r="CR206" s="21">
        <f t="shared" si="1592"/>
        <v>295.64300255741955</v>
      </c>
      <c r="CS206" s="21">
        <f t="shared" si="1592"/>
        <v>303.32828426823357</v>
      </c>
      <c r="CT206" s="21">
        <f t="shared" si="1592"/>
        <v>327.93197138465291</v>
      </c>
      <c r="CU206" s="21">
        <f t="shared" si="1592"/>
        <v>308.05345898707793</v>
      </c>
      <c r="CV206" s="21">
        <f t="shared" si="1592"/>
        <v>346.87885048484731</v>
      </c>
      <c r="CW206" s="21">
        <f t="shared" si="1592"/>
        <v>356.00830681203297</v>
      </c>
      <c r="CX206" s="21">
        <f t="shared" si="1592"/>
        <v>385.85114082086835</v>
      </c>
      <c r="CY206" s="21">
        <f t="shared" si="1592"/>
        <v>362.72793206424831</v>
      </c>
      <c r="CZ206" s="21">
        <f t="shared" si="1592"/>
        <v>408.75803847652099</v>
      </c>
      <c r="DA206" s="21">
        <f t="shared" si="1592"/>
        <v>419.85987215518423</v>
      </c>
      <c r="DB206" s="21">
        <f t="shared" si="1592"/>
        <v>455.47382635077531</v>
      </c>
      <c r="DE206" s="126"/>
      <c r="DF206" s="22">
        <v>214.49850984291118</v>
      </c>
    </row>
    <row r="207" spans="1:110" s="23" customFormat="1" x14ac:dyDescent="0.2">
      <c r="A207" s="23" t="s">
        <v>65</v>
      </c>
      <c r="C207" s="23">
        <f t="shared" ref="C207:AA207" si="1593">B159-C159+B174+B175-C174-C175</f>
        <v>0</v>
      </c>
      <c r="D207" s="23">
        <f t="shared" si="1593"/>
        <v>0</v>
      </c>
      <c r="E207" s="23">
        <f>D159-E159+D174+D175-E174-E175</f>
        <v>0</v>
      </c>
      <c r="F207" s="23">
        <f t="shared" si="1593"/>
        <v>-34.618778199999994</v>
      </c>
      <c r="G207" s="23">
        <f t="shared" si="1593"/>
        <v>-7.1717110000000046</v>
      </c>
      <c r="H207" s="23">
        <f t="shared" si="1593"/>
        <v>-26.362426900000006</v>
      </c>
      <c r="I207" s="23">
        <f t="shared" si="1593"/>
        <v>-37.079468299999988</v>
      </c>
      <c r="J207" s="23">
        <f>I159-J159+I174+I175-J174-J175</f>
        <v>-11.939372000000009</v>
      </c>
      <c r="K207" s="23">
        <f>J159-K159+J174+J175-K174-K175</f>
        <v>-9.4286820000000304</v>
      </c>
      <c r="L207" s="23">
        <f t="shared" si="1593"/>
        <v>-65.522268699999969</v>
      </c>
      <c r="M207" s="23">
        <f t="shared" si="1593"/>
        <v>-89.127445199999954</v>
      </c>
      <c r="N207" s="23">
        <f t="shared" si="1593"/>
        <v>27.925152299999993</v>
      </c>
      <c r="O207" s="23">
        <f t="shared" si="1593"/>
        <v>-69.46700000000007</v>
      </c>
      <c r="P207" s="23">
        <f t="shared" si="1593"/>
        <v>0.61500000000004462</v>
      </c>
      <c r="Q207" s="23">
        <f t="shared" si="1593"/>
        <v>-51.204000000000043</v>
      </c>
      <c r="R207" s="23">
        <f t="shared" si="1593"/>
        <v>-131.73600000000002</v>
      </c>
      <c r="S207" s="23">
        <f t="shared" si="1593"/>
        <v>-69.662999999999968</v>
      </c>
      <c r="T207" s="23">
        <f t="shared" si="1593"/>
        <v>-5.152000000000065</v>
      </c>
      <c r="U207" s="23">
        <f t="shared" si="1593"/>
        <v>20.65200000000015</v>
      </c>
      <c r="V207" s="23">
        <f t="shared" si="1593"/>
        <v>-132.86000000000007</v>
      </c>
      <c r="W207" s="23">
        <f t="shared" si="1593"/>
        <v>-233.96999999999989</v>
      </c>
      <c r="X207" s="23">
        <f t="shared" si="1593"/>
        <v>-468.20999999999992</v>
      </c>
      <c r="Y207" s="23">
        <f t="shared" si="1593"/>
        <v>-347.13000000000022</v>
      </c>
      <c r="Z207" s="23">
        <f t="shared" si="1593"/>
        <v>-1219.4999999999998</v>
      </c>
      <c r="AA207" s="23">
        <f t="shared" si="1593"/>
        <v>-744.05000000000007</v>
      </c>
      <c r="AB207" s="24">
        <f t="shared" ref="AB207" si="1594">AA159-AB159+AA174+AA175-AB174-AB175</f>
        <v>-1226.0386000000008</v>
      </c>
      <c r="AC207" s="24">
        <f t="shared" ref="AC207" si="1595">AB159-AC159+AB174+AB175-AC174-AC175</f>
        <v>-891.60634800000025</v>
      </c>
      <c r="AD207" s="24">
        <f t="shared" ref="AD207" si="1596">AC159-AD159+AC174+AC175-AD174-AD175</f>
        <v>-1052.0954906400002</v>
      </c>
      <c r="AE207" s="24">
        <f t="shared" ref="AE207" si="1597">AD159-AE159+AD174+AD175-AE174-AE175</f>
        <v>-1241.4726789551987</v>
      </c>
      <c r="AI207" s="23">
        <f>AH159-AI159+AH174+AH175-AI174-AJ175</f>
        <v>0</v>
      </c>
      <c r="AJ207" s="23">
        <f t="shared" ref="AJ207:AL207" si="1598">AI159-AJ159+AI174+AI175-AJ174-AK175</f>
        <v>0</v>
      </c>
      <c r="AK207" s="23" t="e">
        <f t="shared" si="1598"/>
        <v>#DIV/0!</v>
      </c>
      <c r="AL207" s="23" t="e">
        <f t="shared" si="1598"/>
        <v>#DIV/0!</v>
      </c>
      <c r="AM207" s="23" t="e">
        <f t="shared" ref="AM207" si="1599">AL159-AM159+AL174+AL175-AM174-AM175</f>
        <v>#DIV/0!</v>
      </c>
      <c r="AN207" s="23" t="e">
        <f t="shared" ref="AN207" si="1600">AM159-AN159+AM174+AM175-AN174-AN175</f>
        <v>#DIV/0!</v>
      </c>
      <c r="AO207" s="23" t="e">
        <f t="shared" ref="AO207" si="1601">AN159-AO159+AN174+AN175-AO174-AO175</f>
        <v>#DIV/0!</v>
      </c>
      <c r="AP207" s="23" t="e">
        <f t="shared" ref="AP207" si="1602">AO159-AP159+AO174+AO175-AP174-AP175</f>
        <v>#DIV/0!</v>
      </c>
      <c r="AQ207" s="23" t="e">
        <f t="shared" ref="AQ207" si="1603">AP159-AQ159+AP174+AP175-AQ174-AQ175</f>
        <v>#DIV/0!</v>
      </c>
      <c r="AR207" s="23" t="e">
        <f t="shared" ref="AR207" si="1604">AQ159-AR159+AQ174+AQ175-AR174-AR175</f>
        <v>#DIV/0!</v>
      </c>
      <c r="AS207" s="23" t="e">
        <f t="shared" ref="AS207" si="1605">AR159-AS159+AR174+AR175-AS174-AS175</f>
        <v>#DIV/0!</v>
      </c>
      <c r="AT207" s="23" t="e">
        <f t="shared" ref="AT207" si="1606">AS159-AT159+AS174+AS175-AT174-AT175</f>
        <v>#DIV/0!</v>
      </c>
      <c r="AU207" s="23" t="e">
        <f t="shared" ref="AU207" si="1607">AT159-AU159+AT174+AT175-AU174-AU175</f>
        <v>#DIV/0!</v>
      </c>
      <c r="AV207" s="23" t="e">
        <f t="shared" ref="AV207" si="1608">AU159-AV159+AU174+AU175-AV174-AV175</f>
        <v>#DIV/0!</v>
      </c>
      <c r="AW207" s="23" t="e">
        <f t="shared" ref="AW207" si="1609">AV159-AW159+AV174+AV175-AW174-AW175</f>
        <v>#DIV/0!</v>
      </c>
      <c r="AX207" s="23" t="e">
        <f t="shared" ref="AX207" si="1610">AW159-AX159+AW174+AW175-AX174-AX175</f>
        <v>#DIV/0!</v>
      </c>
      <c r="AY207" s="23" t="e">
        <f t="shared" ref="AY207" si="1611">AX159-AY159+AX174+AX175-AY174-AY175</f>
        <v>#DIV/0!</v>
      </c>
      <c r="AZ207" s="23" t="e">
        <f t="shared" ref="AZ207" si="1612">AY159-AZ159+AY174+AY175-AZ174-AZ175</f>
        <v>#DIV/0!</v>
      </c>
      <c r="BA207" s="23" t="e">
        <f t="shared" ref="BA207" si="1613">AZ159-BA159+AZ174+AZ175-BA174-BA175</f>
        <v>#DIV/0!</v>
      </c>
      <c r="BB207" s="23" t="e">
        <f t="shared" ref="BB207" si="1614">BA159-BB159+BA174+BA175-BB174-BB175</f>
        <v>#DIV/0!</v>
      </c>
      <c r="BC207" s="23" t="e">
        <f t="shared" ref="BC207" si="1615">BB159-BC159+BB174+BB175-BC174-BC175</f>
        <v>#DIV/0!</v>
      </c>
      <c r="BD207" s="23" t="e">
        <f t="shared" ref="BD207" si="1616">BC159-BD159+BC174+BC175-BD174-BD175</f>
        <v>#DIV/0!</v>
      </c>
      <c r="BE207" s="23" t="e">
        <f t="shared" ref="BE207" si="1617">BD159-BE159+BD174+BD175-BE174-BE175</f>
        <v>#DIV/0!</v>
      </c>
      <c r="BF207" s="23" t="e">
        <f t="shared" ref="BF207" si="1618">BE159-BF159+BE174+BE175-BF174-BF175</f>
        <v>#DIV/0!</v>
      </c>
      <c r="BG207" s="23" t="e">
        <f t="shared" ref="BG207" si="1619">BF159-BG159+BF174+BF175-BG174-BG175</f>
        <v>#DIV/0!</v>
      </c>
      <c r="BH207" s="23" t="e">
        <f t="shared" ref="BH207" si="1620">BG159-BH159+BG174+BG175-BH174-BH175</f>
        <v>#DIV/0!</v>
      </c>
      <c r="BI207" s="23" t="e">
        <f t="shared" ref="BI207" si="1621">BH159-BI159+BH174+BH175-BI174-BI175</f>
        <v>#DIV/0!</v>
      </c>
      <c r="BJ207" s="23" t="e">
        <f t="shared" ref="BJ207" si="1622">BI159-BJ159+BI174+BI175-BJ174-BJ175</f>
        <v>#DIV/0!</v>
      </c>
      <c r="BK207" s="23" t="e">
        <f t="shared" ref="BK207" si="1623">BJ159-BK159+BJ174+BJ175-BK174-BK175</f>
        <v>#DIV/0!</v>
      </c>
      <c r="BL207" s="23" t="e">
        <f t="shared" ref="BL207" si="1624">BK159-BL159+BK174+BK175-BL174-BL175</f>
        <v>#DIV/0!</v>
      </c>
      <c r="BM207" s="23" t="e">
        <f t="shared" ref="BM207" si="1625">BL159-BM159+BL174+BL175-BM174-BM175</f>
        <v>#DIV/0!</v>
      </c>
      <c r="BN207" s="23" t="e">
        <f t="shared" ref="BN207" si="1626">BM159-BN159+BM174+BM175-BN174-BN175</f>
        <v>#DIV/0!</v>
      </c>
      <c r="BO207" s="23">
        <f t="shared" ref="BO207" si="1627">BN159-BO159+BN174+BN175-BO174-BO175</f>
        <v>266.50279985646364</v>
      </c>
      <c r="BP207" s="23">
        <f t="shared" ref="BP207" si="1628">BO159-BP159+BO174+BO175-BP174-BP175</f>
        <v>401.2472001435363</v>
      </c>
      <c r="BQ207" s="23">
        <f t="shared" ref="BQ207" si="1629">BP159-BQ159+BP174+BP175-BQ174-BQ175</f>
        <v>0</v>
      </c>
      <c r="BR207" s="23">
        <f t="shared" ref="BR207" si="1630">BQ159-BR159+BQ174+BQ175-BR174-BR175</f>
        <v>-775.57</v>
      </c>
      <c r="BS207" s="23">
        <f t="shared" ref="BS207" si="1631">BR159-BS159+BR174+BR175-BS174-BS175</f>
        <v>122.36362033658497</v>
      </c>
      <c r="BT207" s="23">
        <f t="shared" ref="BT207" si="1632">BS159-BT159+BS174+BS175-BT174-BT175</f>
        <v>-181.41362033658487</v>
      </c>
      <c r="BU207" s="23">
        <f t="shared" ref="BU207" si="1633">BT159-BU159+BT174+BT175-BU174-BU175</f>
        <v>20.999338015095987</v>
      </c>
      <c r="BV207" s="23">
        <f t="shared" ref="BV207" si="1634">BU159-BV159+BU174+BU175-BV174-BV175</f>
        <v>-198.30933801509607</v>
      </c>
      <c r="BW207" s="23">
        <f t="shared" ref="BW207" si="1635">BV159-BW159+BV174+BV175-BW174-BW175</f>
        <v>-28.507408287267708</v>
      </c>
      <c r="BX207" s="23">
        <f t="shared" ref="BX207" si="1636">BW159-BX159+BW174+BW175-BX174-BX175</f>
        <v>-56.242591712732178</v>
      </c>
      <c r="BY207" s="23">
        <f t="shared" ref="BY207" si="1637">BX159-BY159+BX174+BX175-BY174-BY175</f>
        <v>35.281089482634115</v>
      </c>
      <c r="BZ207" s="23">
        <f t="shared" ref="BZ207" si="1638">BY159-BZ159+BY174+BY175-BZ174-BZ175</f>
        <v>-424.88108948263402</v>
      </c>
      <c r="CA207" s="23">
        <f t="shared" ref="CA207" si="1639">BZ159-CA159+BZ174+BZ175-CA174-CA175</f>
        <v>-80.092860858655513</v>
      </c>
      <c r="CB207" s="23">
        <f t="shared" ref="CB207" si="1640">CA159-CB159+CA174+CA175-CB174-CB175</f>
        <v>-205.38713914134465</v>
      </c>
      <c r="CC207" s="23">
        <f t="shared" ref="CC207" si="1641">CB159-CC159+CB174+CB175-CC174-CC175</f>
        <v>66.190108052177038</v>
      </c>
      <c r="CD207" s="23">
        <f t="shared" ref="CD207" si="1642">CC159-CD159+CC174+CC175-CD174-CD175</f>
        <v>-274.84010805217736</v>
      </c>
      <c r="CE207" s="23">
        <f t="shared" ref="CE207" si="1643">CD159-CE159+CD174+CD175-CE174-CE175</f>
        <v>-67.092552970127144</v>
      </c>
      <c r="CF207" s="23">
        <f t="shared" ref="CF207" si="1644">CE159-CF159+CE174+CE175-CF174-CF175</f>
        <v>-315.86744702987232</v>
      </c>
      <c r="CG207" s="23">
        <f t="shared" ref="CG207" si="1645">CF159-CG159+CF174+CF175-CG174-CG175</f>
        <v>-527.06666122986917</v>
      </c>
      <c r="CH207" s="23">
        <f t="shared" ref="CH207:CL207" si="1646">CG159-CH159+CG174+CG175-CH174-CH175</f>
        <v>-70.513338770130815</v>
      </c>
      <c r="CI207" s="23">
        <f t="shared" si="1646"/>
        <v>-58.941602115192381</v>
      </c>
      <c r="CJ207" s="23">
        <f t="shared" si="1646"/>
        <v>-1008.0583978848081</v>
      </c>
      <c r="CK207" s="23">
        <f t="shared" ref="CK207" si="1647">CJ159-CK159+CJ174+CJ175-CK174-CK175</f>
        <v>-112.19548863653426</v>
      </c>
      <c r="CL207" s="23">
        <f t="shared" si="1646"/>
        <v>-35.294511363465936</v>
      </c>
      <c r="CM207" s="24">
        <f t="shared" ref="CM207" si="1648">CL159-CM159+CL174+CL175-CM174-CM175</f>
        <v>228.66760043119029</v>
      </c>
      <c r="CN207" s="24">
        <f t="shared" ref="CN207" si="1649">CM159-CN159+CM174+CM175-CN174-CN175</f>
        <v>-484.10145242274484</v>
      </c>
      <c r="CO207" s="24">
        <f t="shared" ref="CO207" si="1650">CN159-CO159+CN174+CN175-CO174-CO175</f>
        <v>-123.90095999550975</v>
      </c>
      <c r="CP207" s="24">
        <f t="shared" ref="CP207" si="1651">CO159-CP159+CO174+CO175-CP174-CP175</f>
        <v>-376.26378801293595</v>
      </c>
      <c r="CQ207" s="24">
        <f t="shared" ref="CQ207" si="1652">CP159-CQ159+CP174+CP175-CQ174-CQ175</f>
        <v>269.82776850880418</v>
      </c>
      <c r="CR207" s="24">
        <f t="shared" ref="CR207" si="1653">CQ159-CR159+CQ174+CQ175-CR174-CR175</f>
        <v>-571.23971385883942</v>
      </c>
      <c r="CS207" s="24">
        <f t="shared" ref="CS207" si="1654">CR159-CS159+CR174+CR175-CS174-CS175</f>
        <v>-146.20313279470065</v>
      </c>
      <c r="CT207" s="24">
        <f t="shared" ref="CT207" si="1655">CS159-CT159+CS174+CS175-CT174-CT175</f>
        <v>-443.99126985526436</v>
      </c>
      <c r="CU207" s="24">
        <f t="shared" ref="CU207" si="1656">CT159-CU159+CT174+CT175-CU174-CU175</f>
        <v>318.39676684038841</v>
      </c>
      <c r="CV207" s="24">
        <f t="shared" ref="CV207" si="1657">CU159-CV159+CU174+CU175-CV174-CV175</f>
        <v>-674.06286235343032</v>
      </c>
      <c r="CW207" s="24">
        <f t="shared" ref="CW207" si="1658">CV159-CW159+CV174+CV175-CW174-CW175</f>
        <v>-172.51969669774644</v>
      </c>
      <c r="CX207" s="24">
        <f t="shared" ref="CX207" si="1659">CW159-CX159+CW174+CW175-CX174-CX175</f>
        <v>-523.90969842921186</v>
      </c>
      <c r="CY207" s="24">
        <f t="shared" ref="CY207" si="1660">CX159-CY159+CX174+CX175-CY174-CY175</f>
        <v>375.70818487165798</v>
      </c>
      <c r="CZ207" s="24">
        <f t="shared" ref="CZ207" si="1661">CY159-CZ159+CY174+CY175-CZ174-CZ175</f>
        <v>-795.39417757704814</v>
      </c>
      <c r="DA207" s="24">
        <f t="shared" ref="DA207" si="1662">CZ159-DA159+CZ174+CZ175-DA174-DA175</f>
        <v>-203.57324210334082</v>
      </c>
      <c r="DB207" s="24">
        <f t="shared" ref="DB207" si="1663">DA159-DB159+DA174+DA175-DB174-DB175</f>
        <v>-618.21344414646774</v>
      </c>
      <c r="DE207" s="123"/>
      <c r="DF207" s="23">
        <v>-84.252385253722423</v>
      </c>
    </row>
    <row r="208" spans="1:110" s="23" customFormat="1" x14ac:dyDescent="0.2">
      <c r="A208" s="23" t="s">
        <v>73</v>
      </c>
      <c r="C208" s="23">
        <f t="shared" ref="C208:AA208" si="1664">B167-C167</f>
        <v>0</v>
      </c>
      <c r="D208" s="23">
        <f t="shared" si="1664"/>
        <v>0</v>
      </c>
      <c r="E208" s="23">
        <f>D167-E167</f>
        <v>0</v>
      </c>
      <c r="F208" s="23">
        <f t="shared" si="1664"/>
        <v>-38.1371897</v>
      </c>
      <c r="G208" s="23">
        <f t="shared" si="1664"/>
        <v>9.3496528000000012</v>
      </c>
      <c r="H208" s="23">
        <f t="shared" si="1664"/>
        <v>-25.200516400000005</v>
      </c>
      <c r="I208" s="23">
        <f t="shared" si="1664"/>
        <v>-17.410428899999999</v>
      </c>
      <c r="J208" s="23">
        <f>I167-J167</f>
        <v>-2.8983657999999934</v>
      </c>
      <c r="K208" s="23">
        <f>J167-K167</f>
        <v>-20.308063300000001</v>
      </c>
      <c r="L208" s="23">
        <f t="shared" si="1664"/>
        <v>-43.503574600000007</v>
      </c>
      <c r="M208" s="23">
        <f t="shared" si="1664"/>
        <v>-72.301690500000007</v>
      </c>
      <c r="N208" s="23">
        <f t="shared" si="1664"/>
        <v>59.076176400000008</v>
      </c>
      <c r="O208" s="23">
        <f t="shared" si="1664"/>
        <v>-75.905000000000001</v>
      </c>
      <c r="P208" s="23">
        <f t="shared" si="1664"/>
        <v>-61.366999999999933</v>
      </c>
      <c r="Q208" s="23">
        <f t="shared" si="1664"/>
        <v>15.655999999999949</v>
      </c>
      <c r="R208" s="23">
        <f t="shared" si="1664"/>
        <v>-159.59900000000005</v>
      </c>
      <c r="S208" s="23">
        <f t="shared" si="1664"/>
        <v>-33.840999999999951</v>
      </c>
      <c r="T208" s="23">
        <f t="shared" si="1664"/>
        <v>-154.95999999999992</v>
      </c>
      <c r="U208" s="23">
        <f t="shared" si="1664"/>
        <v>132.63999999999993</v>
      </c>
      <c r="V208" s="23">
        <f t="shared" si="1664"/>
        <v>-121.84000000000009</v>
      </c>
      <c r="W208" s="23">
        <f t="shared" si="1664"/>
        <v>-96.110000000000014</v>
      </c>
      <c r="X208" s="23">
        <f t="shared" si="1664"/>
        <v>-368.31999999999994</v>
      </c>
      <c r="Y208" s="23">
        <f t="shared" si="1664"/>
        <v>-201.19000000000005</v>
      </c>
      <c r="Z208" s="23">
        <f t="shared" si="1664"/>
        <v>-923.20999999999958</v>
      </c>
      <c r="AA208" s="23">
        <f t="shared" si="1664"/>
        <v>-151.90000000000009</v>
      </c>
      <c r="AB208" s="24">
        <f t="shared" ref="AB208" si="1665">AA167-AB167</f>
        <v>-423.23040000000037</v>
      </c>
      <c r="AC208" s="24">
        <f t="shared" ref="AC208" si="1666">AB167-AC167</f>
        <v>-499.41187199999968</v>
      </c>
      <c r="AD208" s="24">
        <f t="shared" ref="AD208" si="1667">AC167-AD167</f>
        <v>-589.30600896000033</v>
      </c>
      <c r="AE208" s="24">
        <f t="shared" ref="AE208" si="1668">AD167-AE167</f>
        <v>-695.38109057279962</v>
      </c>
      <c r="AI208" s="23">
        <f t="shared" ref="AI208" si="1669">AH167-AI167</f>
        <v>0</v>
      </c>
      <c r="AJ208" s="23">
        <f t="shared" ref="AJ208" si="1670">AI167-AJ167</f>
        <v>0</v>
      </c>
      <c r="AK208" s="23" t="e">
        <f t="shared" ref="AK208" si="1671">AJ167-AK167</f>
        <v>#DIV/0!</v>
      </c>
      <c r="AL208" s="23" t="e">
        <f t="shared" ref="AL208" si="1672">AK167-AL167</f>
        <v>#DIV/0!</v>
      </c>
      <c r="AM208" s="23" t="e">
        <f t="shared" ref="AM208" si="1673">AL167-AM167</f>
        <v>#DIV/0!</v>
      </c>
      <c r="AN208" s="23" t="e">
        <f t="shared" ref="AN208" si="1674">AM167-AN167</f>
        <v>#DIV/0!</v>
      </c>
      <c r="AO208" s="23" t="e">
        <f t="shared" ref="AO208" si="1675">AN167-AO167</f>
        <v>#DIV/0!</v>
      </c>
      <c r="AP208" s="23" t="e">
        <f t="shared" ref="AP208" si="1676">AO167-AP167</f>
        <v>#DIV/0!</v>
      </c>
      <c r="AQ208" s="23" t="e">
        <f t="shared" ref="AQ208" si="1677">AP167-AQ167</f>
        <v>#DIV/0!</v>
      </c>
      <c r="AR208" s="23" t="e">
        <f t="shared" ref="AR208" si="1678">AQ167-AR167</f>
        <v>#DIV/0!</v>
      </c>
      <c r="AS208" s="23" t="e">
        <f t="shared" ref="AS208" si="1679">AR167-AS167</f>
        <v>#DIV/0!</v>
      </c>
      <c r="AT208" s="23" t="e">
        <f t="shared" ref="AT208" si="1680">AS167-AT167</f>
        <v>#DIV/0!</v>
      </c>
      <c r="AU208" s="23" t="e">
        <f t="shared" ref="AU208" si="1681">AT167-AU167</f>
        <v>#DIV/0!</v>
      </c>
      <c r="AV208" s="23" t="e">
        <f t="shared" ref="AV208" si="1682">AU167-AV167</f>
        <v>#DIV/0!</v>
      </c>
      <c r="AW208" s="23" t="e">
        <f t="shared" ref="AW208" si="1683">AV167-AW167</f>
        <v>#DIV/0!</v>
      </c>
      <c r="AX208" s="23" t="e">
        <f t="shared" ref="AX208" si="1684">AW167-AX167</f>
        <v>#DIV/0!</v>
      </c>
      <c r="AY208" s="23" t="e">
        <f t="shared" ref="AY208" si="1685">AX167-AY167</f>
        <v>#DIV/0!</v>
      </c>
      <c r="AZ208" s="23" t="e">
        <f t="shared" ref="AZ208" si="1686">AY167-AZ167</f>
        <v>#DIV/0!</v>
      </c>
      <c r="BA208" s="23" t="e">
        <f t="shared" ref="BA208" si="1687">AZ167-BA167</f>
        <v>#DIV/0!</v>
      </c>
      <c r="BB208" s="23" t="e">
        <f t="shared" ref="BB208" si="1688">BA167-BB167</f>
        <v>#DIV/0!</v>
      </c>
      <c r="BC208" s="23" t="e">
        <f t="shared" ref="BC208" si="1689">BB167-BC167</f>
        <v>#DIV/0!</v>
      </c>
      <c r="BD208" s="23" t="e">
        <f t="shared" ref="BD208" si="1690">BC167-BD167</f>
        <v>#DIV/0!</v>
      </c>
      <c r="BE208" s="23" t="e">
        <f t="shared" ref="BE208" si="1691">BD167-BE167</f>
        <v>#DIV/0!</v>
      </c>
      <c r="BF208" s="23" t="e">
        <f t="shared" ref="BF208" si="1692">BE167-BF167</f>
        <v>#DIV/0!</v>
      </c>
      <c r="BG208" s="23" t="e">
        <f t="shared" ref="BG208" si="1693">BF167-BG167</f>
        <v>#DIV/0!</v>
      </c>
      <c r="BH208" s="23" t="e">
        <f t="shared" ref="BH208" si="1694">BG167-BH167</f>
        <v>#DIV/0!</v>
      </c>
      <c r="BI208" s="23" t="e">
        <f t="shared" ref="BI208" si="1695">BH167-BI167</f>
        <v>#DIV/0!</v>
      </c>
      <c r="BJ208" s="23" t="e">
        <f t="shared" ref="BJ208" si="1696">BI167-BJ167</f>
        <v>#DIV/0!</v>
      </c>
      <c r="BK208" s="23" t="e">
        <f t="shared" ref="BK208" si="1697">BJ167-BK167</f>
        <v>#DIV/0!</v>
      </c>
      <c r="BL208" s="23" t="e">
        <f t="shared" ref="BL208" si="1698">BK167-BL167</f>
        <v>#DIV/0!</v>
      </c>
      <c r="BM208" s="23" t="e">
        <f t="shared" ref="BM208" si="1699">BL167-BM167</f>
        <v>#DIV/0!</v>
      </c>
      <c r="BN208" s="23" t="e">
        <f t="shared" ref="BN208" si="1700">BM167-BN167</f>
        <v>#DIV/0!</v>
      </c>
      <c r="BO208" s="23">
        <f t="shared" ref="BO208" si="1701">BN167-BO167</f>
        <v>144.43321013127604</v>
      </c>
      <c r="BP208" s="23">
        <f t="shared" ref="BP208" si="1702">BO167-BP167</f>
        <v>490.15678986872399</v>
      </c>
      <c r="BQ208" s="23">
        <f t="shared" ref="BQ208" si="1703">BP167-BQ167</f>
        <v>0</v>
      </c>
      <c r="BR208" s="23">
        <f t="shared" ref="BR208" si="1704">BQ167-BR167</f>
        <v>-610.54999999999995</v>
      </c>
      <c r="BS208" s="23">
        <f t="shared" ref="BS208" si="1705">BR167-BS167</f>
        <v>66.851134112740965</v>
      </c>
      <c r="BT208" s="23">
        <f t="shared" ref="BT208" si="1706">BS167-BT167</f>
        <v>-23.991134112741065</v>
      </c>
      <c r="BU208" s="23">
        <f t="shared" ref="BU208" si="1707">BT167-BU167</f>
        <v>9.8580553755626852</v>
      </c>
      <c r="BV208" s="23">
        <f t="shared" ref="BV208" si="1708">BU167-BV167</f>
        <v>-148.82805537556271</v>
      </c>
      <c r="BW208" s="23">
        <f t="shared" ref="BW208" si="1709">BV167-BW167</f>
        <v>-14.292327044025228</v>
      </c>
      <c r="BX208" s="23">
        <f t="shared" ref="BX208" si="1710">BW167-BX167</f>
        <v>-20.987672955974745</v>
      </c>
      <c r="BY208" s="23">
        <f t="shared" ref="BY208" si="1711">BX167-BY167</f>
        <v>16.078030892507513</v>
      </c>
      <c r="BZ208" s="23">
        <f t="shared" ref="BZ208" si="1712">BY167-BZ167</f>
        <v>-349.11803089250748</v>
      </c>
      <c r="CA208" s="23">
        <f t="shared" ref="CA208" si="1713">BZ167-CA167</f>
        <v>-41.563247753399082</v>
      </c>
      <c r="CB208" s="23">
        <f t="shared" ref="CB208" si="1714">CA167-CB167</f>
        <v>-21.60675224660099</v>
      </c>
      <c r="CC208" s="23">
        <f t="shared" ref="CC208" si="1715">CB167-CC167</f>
        <v>31.663310094481858</v>
      </c>
      <c r="CD208" s="23">
        <f t="shared" ref="CD208" si="1716">CC167-CD167</f>
        <v>-169.68331009448184</v>
      </c>
      <c r="CE208" s="23">
        <f t="shared" ref="CE208" si="1717">CD167-CE167</f>
        <v>-33.21090705122424</v>
      </c>
      <c r="CF208" s="23">
        <f t="shared" ref="CF208" si="1718">CE167-CF167</f>
        <v>28.530907051224403</v>
      </c>
      <c r="CG208" s="23">
        <f t="shared" ref="CG208" si="1719">CF167-CG167</f>
        <v>-219.10372404135273</v>
      </c>
      <c r="CH208" s="23">
        <f t="shared" ref="CH208:CL208" si="1720">CG167-CH167</f>
        <v>-699.42627595864701</v>
      </c>
      <c r="CI208" s="23">
        <f t="shared" si="1720"/>
        <v>-43.692128054880413</v>
      </c>
      <c r="CJ208" s="23">
        <f t="shared" si="1720"/>
        <v>50.692128054879959</v>
      </c>
      <c r="CK208" s="23">
        <f t="shared" ref="CK208" si="1721">CJ167-CK167</f>
        <v>-60.998327429693745</v>
      </c>
      <c r="CL208" s="23">
        <f t="shared" si="1720"/>
        <v>-97.901672570305891</v>
      </c>
      <c r="CM208" s="24">
        <f t="shared" ref="CM208" si="1722">CL167-CM167</f>
        <v>128.08266187567369</v>
      </c>
      <c r="CN208" s="24">
        <f t="shared" ref="CN208" si="1723">CM167-CN167</f>
        <v>-271.15779641394147</v>
      </c>
      <c r="CO208" s="24">
        <f t="shared" ref="CO208" si="1724">CN167-CO167</f>
        <v>-69.400145605462058</v>
      </c>
      <c r="CP208" s="24">
        <f t="shared" ref="CP208" si="1725">CO167-CP167</f>
        <v>-210.75511985627054</v>
      </c>
      <c r="CQ208" s="24">
        <f t="shared" ref="CQ208" si="1726">CP167-CQ167</f>
        <v>151.13754101329505</v>
      </c>
      <c r="CR208" s="24">
        <f t="shared" ref="CR208" si="1727">CQ167-CR167</f>
        <v>-319.96619976845068</v>
      </c>
      <c r="CS208" s="24">
        <f t="shared" ref="CS208" si="1728">CR167-CS167</f>
        <v>-81.892171814445646</v>
      </c>
      <c r="CT208" s="24">
        <f t="shared" ref="CT208" si="1729">CS167-CT167</f>
        <v>-248.6910414303984</v>
      </c>
      <c r="CU208" s="24">
        <f t="shared" ref="CU208" si="1730">CT167-CU167</f>
        <v>178.34229839568798</v>
      </c>
      <c r="CV208" s="24">
        <f t="shared" ref="CV208" si="1731">CU167-CV167</f>
        <v>-377.56011572677198</v>
      </c>
      <c r="CW208" s="24">
        <f t="shared" ref="CW208" si="1732">CV167-CW167</f>
        <v>-96.632762741045553</v>
      </c>
      <c r="CX208" s="24">
        <f t="shared" ref="CX208" si="1733">CW167-CX167</f>
        <v>-293.45542888787077</v>
      </c>
      <c r="CY208" s="24">
        <f t="shared" ref="CY208" si="1734">CX167-CY167</f>
        <v>210.44391210691219</v>
      </c>
      <c r="CZ208" s="24">
        <f t="shared" ref="CZ208" si="1735">CY167-CZ167</f>
        <v>-445.52093655759154</v>
      </c>
      <c r="DA208" s="24">
        <f t="shared" ref="DA208" si="1736">CZ167-DA167</f>
        <v>-114.02666003443301</v>
      </c>
      <c r="DB208" s="24">
        <f t="shared" ref="DB208" si="1737">DA167-DB167</f>
        <v>-346.27740608768727</v>
      </c>
      <c r="DE208" s="123"/>
      <c r="DF208" s="23">
        <v>-45.806249831383866</v>
      </c>
    </row>
    <row r="209" spans="1:110" s="22" customFormat="1" x14ac:dyDescent="0.2">
      <c r="A209" s="22" t="s">
        <v>90</v>
      </c>
      <c r="C209" s="22">
        <f t="shared" ref="C209:W209" si="1738">C207-C208</f>
        <v>0</v>
      </c>
      <c r="D209" s="22">
        <f t="shared" si="1738"/>
        <v>0</v>
      </c>
      <c r="E209" s="22">
        <f t="shared" si="1738"/>
        <v>0</v>
      </c>
      <c r="F209" s="22">
        <f t="shared" si="1738"/>
        <v>3.5184115000000062</v>
      </c>
      <c r="G209" s="22">
        <f t="shared" si="1738"/>
        <v>-16.521363800000007</v>
      </c>
      <c r="H209" s="22">
        <f t="shared" si="1738"/>
        <v>-1.1619105000000012</v>
      </c>
      <c r="I209" s="22">
        <f t="shared" si="1738"/>
        <v>-19.669039399999988</v>
      </c>
      <c r="J209" s="22">
        <f>J207-J208</f>
        <v>-9.041006200000016</v>
      </c>
      <c r="K209" s="22">
        <f t="shared" si="1738"/>
        <v>10.87938129999997</v>
      </c>
      <c r="L209" s="22">
        <f t="shared" si="1738"/>
        <v>-22.018694099999962</v>
      </c>
      <c r="M209" s="22">
        <f t="shared" si="1738"/>
        <v>-16.825754699999948</v>
      </c>
      <c r="N209" s="22">
        <f t="shared" si="1738"/>
        <v>-31.151024100000015</v>
      </c>
      <c r="O209" s="22">
        <f t="shared" si="1738"/>
        <v>6.4379999999999313</v>
      </c>
      <c r="P209" s="22">
        <f t="shared" si="1738"/>
        <v>61.981999999999978</v>
      </c>
      <c r="Q209" s="22">
        <f t="shared" si="1738"/>
        <v>-66.859999999999985</v>
      </c>
      <c r="R209" s="22">
        <f t="shared" si="1738"/>
        <v>27.863000000000028</v>
      </c>
      <c r="S209" s="22">
        <f t="shared" si="1738"/>
        <v>-35.822000000000017</v>
      </c>
      <c r="T209" s="22">
        <f t="shared" si="1738"/>
        <v>149.80799999999985</v>
      </c>
      <c r="U209" s="22">
        <f t="shared" si="1738"/>
        <v>-111.98799999999977</v>
      </c>
      <c r="V209" s="22">
        <f t="shared" si="1738"/>
        <v>-11.019999999999982</v>
      </c>
      <c r="W209" s="22">
        <f t="shared" si="1738"/>
        <v>-137.85999999999987</v>
      </c>
      <c r="X209" s="22">
        <f t="shared" ref="X209:Y209" si="1739">X207-X208</f>
        <v>-99.889999999999986</v>
      </c>
      <c r="Y209" s="22">
        <f t="shared" si="1739"/>
        <v>-145.94000000000017</v>
      </c>
      <c r="Z209" s="22">
        <f t="shared" ref="Z209:AA209" si="1740">Z207-Z208</f>
        <v>-296.29000000000019</v>
      </c>
      <c r="AA209" s="22">
        <f t="shared" si="1740"/>
        <v>-592.15</v>
      </c>
      <c r="AB209" s="21">
        <f t="shared" ref="AA209:AD209" si="1741">AB207-AB208</f>
        <v>-802.8082000000004</v>
      </c>
      <c r="AC209" s="21">
        <f t="shared" si="1741"/>
        <v>-392.19447600000058</v>
      </c>
      <c r="AD209" s="21">
        <f t="shared" si="1741"/>
        <v>-462.78948167999988</v>
      </c>
      <c r="AE209" s="21">
        <f t="shared" ref="AE209" si="1742">AE207-AE208</f>
        <v>-546.0915883823991</v>
      </c>
      <c r="AI209" s="22">
        <f t="shared" ref="AI209" si="1743">AI207-AI208</f>
        <v>0</v>
      </c>
      <c r="AJ209" s="22">
        <f t="shared" ref="AJ209:AL209" si="1744">AJ207-AJ208</f>
        <v>0</v>
      </c>
      <c r="AK209" s="22" t="e">
        <f t="shared" si="1744"/>
        <v>#DIV/0!</v>
      </c>
      <c r="AL209" s="22" t="e">
        <f t="shared" si="1744"/>
        <v>#DIV/0!</v>
      </c>
      <c r="AM209" s="22" t="e">
        <f t="shared" ref="AM209" si="1745">AM207-AM208</f>
        <v>#DIV/0!</v>
      </c>
      <c r="AN209" s="22" t="e">
        <f t="shared" ref="AN209:CD209" si="1746">AN207-AN208</f>
        <v>#DIV/0!</v>
      </c>
      <c r="AO209" s="22" t="e">
        <f t="shared" si="1746"/>
        <v>#DIV/0!</v>
      </c>
      <c r="AP209" s="22" t="e">
        <f t="shared" si="1746"/>
        <v>#DIV/0!</v>
      </c>
      <c r="AQ209" s="22" t="e">
        <f t="shared" si="1746"/>
        <v>#DIV/0!</v>
      </c>
      <c r="AR209" s="22" t="e">
        <f t="shared" si="1746"/>
        <v>#DIV/0!</v>
      </c>
      <c r="AS209" s="22" t="e">
        <f t="shared" si="1746"/>
        <v>#DIV/0!</v>
      </c>
      <c r="AT209" s="22" t="e">
        <f t="shared" si="1746"/>
        <v>#DIV/0!</v>
      </c>
      <c r="AU209" s="22" t="e">
        <f t="shared" si="1746"/>
        <v>#DIV/0!</v>
      </c>
      <c r="AV209" s="22" t="e">
        <f t="shared" si="1746"/>
        <v>#DIV/0!</v>
      </c>
      <c r="AW209" s="22" t="e">
        <f t="shared" si="1746"/>
        <v>#DIV/0!</v>
      </c>
      <c r="AX209" s="22" t="e">
        <f t="shared" si="1746"/>
        <v>#DIV/0!</v>
      </c>
      <c r="AY209" s="22" t="e">
        <f t="shared" si="1746"/>
        <v>#DIV/0!</v>
      </c>
      <c r="AZ209" s="22" t="e">
        <f t="shared" si="1746"/>
        <v>#DIV/0!</v>
      </c>
      <c r="BA209" s="22" t="e">
        <f t="shared" si="1746"/>
        <v>#DIV/0!</v>
      </c>
      <c r="BB209" s="22" t="e">
        <f t="shared" si="1746"/>
        <v>#DIV/0!</v>
      </c>
      <c r="BC209" s="22" t="e">
        <f t="shared" si="1746"/>
        <v>#DIV/0!</v>
      </c>
      <c r="BD209" s="22" t="e">
        <f t="shared" si="1746"/>
        <v>#DIV/0!</v>
      </c>
      <c r="BE209" s="22" t="e">
        <f t="shared" si="1746"/>
        <v>#DIV/0!</v>
      </c>
      <c r="BF209" s="22" t="e">
        <f t="shared" si="1746"/>
        <v>#DIV/0!</v>
      </c>
      <c r="BG209" s="22" t="e">
        <f t="shared" si="1746"/>
        <v>#DIV/0!</v>
      </c>
      <c r="BH209" s="22" t="e">
        <f t="shared" si="1746"/>
        <v>#DIV/0!</v>
      </c>
      <c r="BI209" s="22" t="e">
        <f t="shared" si="1746"/>
        <v>#DIV/0!</v>
      </c>
      <c r="BJ209" s="22" t="e">
        <f t="shared" si="1746"/>
        <v>#DIV/0!</v>
      </c>
      <c r="BK209" s="22" t="e">
        <f t="shared" si="1746"/>
        <v>#DIV/0!</v>
      </c>
      <c r="BL209" s="22" t="e">
        <f t="shared" si="1746"/>
        <v>#DIV/0!</v>
      </c>
      <c r="BM209" s="22" t="e">
        <f t="shared" si="1746"/>
        <v>#DIV/0!</v>
      </c>
      <c r="BN209" s="22" t="e">
        <f t="shared" si="1746"/>
        <v>#DIV/0!</v>
      </c>
      <c r="BO209" s="22">
        <f t="shared" si="1746"/>
        <v>122.0695897251876</v>
      </c>
      <c r="BP209" s="22">
        <f t="shared" si="1746"/>
        <v>-88.909589725187686</v>
      </c>
      <c r="BQ209" s="22">
        <f t="shared" si="1746"/>
        <v>0</v>
      </c>
      <c r="BR209" s="22">
        <f t="shared" si="1746"/>
        <v>-165.0200000000001</v>
      </c>
      <c r="BS209" s="22">
        <f t="shared" si="1746"/>
        <v>55.512486223844007</v>
      </c>
      <c r="BT209" s="22">
        <f t="shared" si="1746"/>
        <v>-157.4224862238438</v>
      </c>
      <c r="BU209" s="22">
        <f t="shared" si="1746"/>
        <v>11.141282639533301</v>
      </c>
      <c r="BV209" s="22">
        <f t="shared" si="1746"/>
        <v>-49.481282639533362</v>
      </c>
      <c r="BW209" s="22">
        <f t="shared" si="1746"/>
        <v>-14.21508124324248</v>
      </c>
      <c r="BX209" s="22">
        <f t="shared" si="1746"/>
        <v>-35.254918756757434</v>
      </c>
      <c r="BY209" s="22">
        <f t="shared" si="1746"/>
        <v>19.203058590126602</v>
      </c>
      <c r="BZ209" s="22">
        <f t="shared" si="1746"/>
        <v>-75.763058590126548</v>
      </c>
      <c r="CA209" s="22">
        <f t="shared" si="1746"/>
        <v>-38.529613105256431</v>
      </c>
      <c r="CB209" s="22">
        <f t="shared" si="1746"/>
        <v>-183.78038689474366</v>
      </c>
      <c r="CC209" s="22">
        <f t="shared" si="1746"/>
        <v>34.52679795769518</v>
      </c>
      <c r="CD209" s="22">
        <f t="shared" si="1746"/>
        <v>-105.15679795769552</v>
      </c>
      <c r="CE209" s="22">
        <f t="shared" ref="CE209:CF209" si="1747">CE207-CE208</f>
        <v>-33.881645918902905</v>
      </c>
      <c r="CF209" s="22">
        <f t="shared" si="1747"/>
        <v>-344.39835408109673</v>
      </c>
      <c r="CG209" s="22">
        <f t="shared" ref="CG209:CH209" si="1748">CG207-CG208</f>
        <v>-307.96293718851643</v>
      </c>
      <c r="CH209" s="22">
        <f t="shared" si="1748"/>
        <v>628.91293718851625</v>
      </c>
      <c r="CI209" s="22">
        <f t="shared" ref="CI209:CJ209" si="1749">CI207-CI208</f>
        <v>-15.249474060311968</v>
      </c>
      <c r="CJ209" s="22">
        <f t="shared" si="1749"/>
        <v>-1058.750525939688</v>
      </c>
      <c r="CK209" s="22">
        <f t="shared" ref="CK209:DB209" si="1750">CK207-CK208</f>
        <v>-51.197161206840519</v>
      </c>
      <c r="CL209" s="22">
        <f t="shared" si="1750"/>
        <v>62.607161206839955</v>
      </c>
      <c r="CM209" s="21">
        <f t="shared" si="1750"/>
        <v>100.5849385555166</v>
      </c>
      <c r="CN209" s="21">
        <f t="shared" si="1750"/>
        <v>-212.94365600880337</v>
      </c>
      <c r="CO209" s="21">
        <f t="shared" si="1750"/>
        <v>-54.500814390047694</v>
      </c>
      <c r="CP209" s="21">
        <f t="shared" si="1750"/>
        <v>-165.50866815666541</v>
      </c>
      <c r="CQ209" s="21">
        <f t="shared" si="1750"/>
        <v>118.69022749550913</v>
      </c>
      <c r="CR209" s="21">
        <f t="shared" si="1750"/>
        <v>-251.27351409038874</v>
      </c>
      <c r="CS209" s="21">
        <f t="shared" si="1750"/>
        <v>-64.310960980255004</v>
      </c>
      <c r="CT209" s="21">
        <f t="shared" si="1750"/>
        <v>-195.30022842486596</v>
      </c>
      <c r="CU209" s="21">
        <f t="shared" si="1750"/>
        <v>140.05446844470043</v>
      </c>
      <c r="CV209" s="21">
        <f t="shared" si="1750"/>
        <v>-296.50274662665834</v>
      </c>
      <c r="CW209" s="21">
        <f t="shared" si="1750"/>
        <v>-75.886933956700886</v>
      </c>
      <c r="CX209" s="21">
        <f t="shared" si="1750"/>
        <v>-230.45426954134109</v>
      </c>
      <c r="CY209" s="21">
        <f t="shared" si="1750"/>
        <v>165.26427276474578</v>
      </c>
      <c r="CZ209" s="21">
        <f t="shared" si="1750"/>
        <v>-349.8732410194566</v>
      </c>
      <c r="DA209" s="21">
        <f t="shared" si="1750"/>
        <v>-89.54658206890781</v>
      </c>
      <c r="DB209" s="21">
        <f t="shared" si="1750"/>
        <v>-271.93603805878047</v>
      </c>
      <c r="DE209" s="126"/>
      <c r="DF209" s="22">
        <v>-38.446135422338557</v>
      </c>
    </row>
    <row r="210" spans="1:110" s="22" customFormat="1" x14ac:dyDescent="0.2">
      <c r="A210" s="22" t="s">
        <v>91</v>
      </c>
      <c r="C210" s="22">
        <f t="shared" ref="C210:W210" si="1751">C206+C209</f>
        <v>0</v>
      </c>
      <c r="D210" s="22">
        <f>D206+D209</f>
        <v>0</v>
      </c>
      <c r="E210" s="22">
        <f t="shared" si="1751"/>
        <v>0</v>
      </c>
      <c r="F210" s="22">
        <f t="shared" si="1751"/>
        <v>15.078381500000015</v>
      </c>
      <c r="G210" s="22">
        <f t="shared" si="1751"/>
        <v>-0.59965710000000172</v>
      </c>
      <c r="H210" s="22">
        <f t="shared" si="1751"/>
        <v>16.985535899999977</v>
      </c>
      <c r="I210" s="22">
        <f t="shared" si="1751"/>
        <v>-4.8790965999999827</v>
      </c>
      <c r="J210" s="22">
        <f>J206+J209</f>
        <v>15.759632599999964</v>
      </c>
      <c r="K210" s="22">
        <f t="shared" si="1751"/>
        <v>40.27348639999996</v>
      </c>
      <c r="L210" s="22">
        <f t="shared" si="1751"/>
        <v>-22.018694099999962</v>
      </c>
      <c r="M210" s="22">
        <f t="shared" si="1751"/>
        <v>-16.825754699999948</v>
      </c>
      <c r="N210" s="22">
        <f t="shared" si="1751"/>
        <v>75.473975899999871</v>
      </c>
      <c r="O210" s="22">
        <f t="shared" si="1751"/>
        <v>110.86000000000001</v>
      </c>
      <c r="P210" s="22">
        <f t="shared" si="1751"/>
        <v>177.89299999999986</v>
      </c>
      <c r="Q210" s="22">
        <f t="shared" si="1751"/>
        <v>79.727000000000118</v>
      </c>
      <c r="R210" s="22">
        <f t="shared" si="1751"/>
        <v>184.40500000000011</v>
      </c>
      <c r="S210" s="22">
        <f t="shared" si="1751"/>
        <v>133.77800000000008</v>
      </c>
      <c r="T210" s="22">
        <f t="shared" si="1751"/>
        <v>423.32299999999998</v>
      </c>
      <c r="U210" s="22">
        <f t="shared" si="1751"/>
        <v>124.42200000000031</v>
      </c>
      <c r="V210" s="22">
        <f t="shared" si="1751"/>
        <v>278.79000000000002</v>
      </c>
      <c r="W210" s="22">
        <f t="shared" si="1751"/>
        <v>231.22000000000028</v>
      </c>
      <c r="X210" s="22">
        <f t="shared" ref="X210:Y210" si="1752">X206+X209</f>
        <v>370.11</v>
      </c>
      <c r="Y210" s="22">
        <f t="shared" si="1752"/>
        <v>436.21999999999969</v>
      </c>
      <c r="Z210" s="22">
        <f t="shared" ref="Z210:AA210" si="1753">Z206+Z209</f>
        <v>245.29999999999939</v>
      </c>
      <c r="AA210" s="22">
        <f t="shared" si="1753"/>
        <v>235.69000000000062</v>
      </c>
      <c r="AB210" s="21">
        <f t="shared" ref="AA210:AD210" si="1754">AB206+AB209</f>
        <v>213.99860328125919</v>
      </c>
      <c r="AC210" s="21">
        <f t="shared" si="1754"/>
        <v>797.19983038687587</v>
      </c>
      <c r="AD210" s="21">
        <f t="shared" si="1754"/>
        <v>934.00227542482708</v>
      </c>
      <c r="AE210" s="21">
        <f t="shared" ref="AE210" si="1755">AE206+AE209</f>
        <v>1100.7280806643321</v>
      </c>
      <c r="AI210" s="22">
        <f t="shared" ref="AI210" si="1756">AI206+AI209</f>
        <v>0</v>
      </c>
      <c r="AJ210" s="22">
        <f t="shared" ref="AJ210:AL210" si="1757">AJ206+AJ209</f>
        <v>0</v>
      </c>
      <c r="AK210" s="22" t="e">
        <f t="shared" si="1757"/>
        <v>#DIV/0!</v>
      </c>
      <c r="AL210" s="22" t="e">
        <f t="shared" si="1757"/>
        <v>#DIV/0!</v>
      </c>
      <c r="AM210" s="22" t="e">
        <f t="shared" ref="AM210" si="1758">AM206+AM209</f>
        <v>#DIV/0!</v>
      </c>
      <c r="AN210" s="22" t="e">
        <f t="shared" ref="AN210:CD210" si="1759">AN206+AN209</f>
        <v>#DIV/0!</v>
      </c>
      <c r="AO210" s="22" t="e">
        <f t="shared" si="1759"/>
        <v>#DIV/0!</v>
      </c>
      <c r="AP210" s="22" t="e">
        <f t="shared" si="1759"/>
        <v>#DIV/0!</v>
      </c>
      <c r="AQ210" s="22" t="e">
        <f t="shared" si="1759"/>
        <v>#DIV/0!</v>
      </c>
      <c r="AR210" s="22" t="e">
        <f t="shared" si="1759"/>
        <v>#DIV/0!</v>
      </c>
      <c r="AS210" s="22" t="e">
        <f t="shared" si="1759"/>
        <v>#DIV/0!</v>
      </c>
      <c r="AT210" s="22" t="e">
        <f t="shared" si="1759"/>
        <v>#DIV/0!</v>
      </c>
      <c r="AU210" s="22" t="e">
        <f t="shared" si="1759"/>
        <v>#DIV/0!</v>
      </c>
      <c r="AV210" s="22" t="e">
        <f t="shared" si="1759"/>
        <v>#DIV/0!</v>
      </c>
      <c r="AW210" s="22" t="e">
        <f t="shared" si="1759"/>
        <v>#DIV/0!</v>
      </c>
      <c r="AX210" s="22" t="e">
        <f t="shared" si="1759"/>
        <v>#DIV/0!</v>
      </c>
      <c r="AY210" s="22" t="e">
        <f t="shared" si="1759"/>
        <v>#DIV/0!</v>
      </c>
      <c r="AZ210" s="22" t="e">
        <f t="shared" si="1759"/>
        <v>#DIV/0!</v>
      </c>
      <c r="BA210" s="22" t="e">
        <f t="shared" si="1759"/>
        <v>#DIV/0!</v>
      </c>
      <c r="BB210" s="22" t="e">
        <f t="shared" si="1759"/>
        <v>#DIV/0!</v>
      </c>
      <c r="BC210" s="22" t="e">
        <f t="shared" si="1759"/>
        <v>#DIV/0!</v>
      </c>
      <c r="BD210" s="22" t="e">
        <f t="shared" si="1759"/>
        <v>#DIV/0!</v>
      </c>
      <c r="BE210" s="22" t="e">
        <f t="shared" si="1759"/>
        <v>#DIV/0!</v>
      </c>
      <c r="BF210" s="22" t="e">
        <f t="shared" si="1759"/>
        <v>#DIV/0!</v>
      </c>
      <c r="BG210" s="22" t="e">
        <f t="shared" si="1759"/>
        <v>#DIV/0!</v>
      </c>
      <c r="BH210" s="22" t="e">
        <f t="shared" si="1759"/>
        <v>#DIV/0!</v>
      </c>
      <c r="BI210" s="22" t="e">
        <f t="shared" si="1759"/>
        <v>#DIV/0!</v>
      </c>
      <c r="BJ210" s="22" t="e">
        <f t="shared" si="1759"/>
        <v>#DIV/0!</v>
      </c>
      <c r="BK210" s="22" t="e">
        <f t="shared" si="1759"/>
        <v>#DIV/0!</v>
      </c>
      <c r="BL210" s="22" t="e">
        <f t="shared" si="1759"/>
        <v>#DIV/0!</v>
      </c>
      <c r="BM210" s="22" t="e">
        <f t="shared" si="1759"/>
        <v>#DIV/0!</v>
      </c>
      <c r="BN210" s="22" t="e">
        <f t="shared" si="1759"/>
        <v>#DIV/0!</v>
      </c>
      <c r="BO210" s="22">
        <f t="shared" si="1759"/>
        <v>145.24958972518758</v>
      </c>
      <c r="BP210" s="22">
        <f t="shared" si="1759"/>
        <v>-18.339589725187693</v>
      </c>
      <c r="BQ210" s="22">
        <f t="shared" si="1759"/>
        <v>98.649999999999977</v>
      </c>
      <c r="BR210" s="22">
        <f t="shared" si="1759"/>
        <v>-67.610000000000127</v>
      </c>
      <c r="BS210" s="22">
        <f t="shared" si="1759"/>
        <v>128.95248622384401</v>
      </c>
      <c r="BT210" s="22">
        <f t="shared" si="1759"/>
        <v>-57.442486223843787</v>
      </c>
      <c r="BU210" s="22">
        <f t="shared" si="1759"/>
        <v>100.85128263953325</v>
      </c>
      <c r="BV210" s="22">
        <f t="shared" si="1759"/>
        <v>56.468717360466627</v>
      </c>
      <c r="BW210" s="22">
        <f t="shared" si="1759"/>
        <v>95.654918756757553</v>
      </c>
      <c r="BX210" s="22">
        <f t="shared" si="1759"/>
        <v>81.915081243242611</v>
      </c>
      <c r="BY210" s="22">
        <f t="shared" si="1759"/>
        <v>124.57305859012656</v>
      </c>
      <c r="BZ210" s="22">
        <f t="shared" si="1759"/>
        <v>61.826941409873399</v>
      </c>
      <c r="CA210" s="22">
        <f t="shared" si="1759"/>
        <v>104.24038689474369</v>
      </c>
      <c r="CB210" s="22">
        <f t="shared" si="1759"/>
        <v>-22.410386894743596</v>
      </c>
      <c r="CC210" s="22">
        <f t="shared" si="1759"/>
        <v>177.92679795769524</v>
      </c>
      <c r="CD210" s="22">
        <f t="shared" si="1759"/>
        <v>29.463202042304488</v>
      </c>
      <c r="CE210" s="22">
        <f t="shared" ref="CE210:CF210" si="1760">CE206+CE209</f>
        <v>91.798354081097187</v>
      </c>
      <c r="CF210" s="22">
        <f t="shared" si="1760"/>
        <v>-206.55835408109664</v>
      </c>
      <c r="CG210" s="22">
        <f t="shared" ref="CG210:CH210" si="1761">CG206+CG209</f>
        <v>-191.55293718851652</v>
      </c>
      <c r="CH210" s="22">
        <f t="shared" si="1761"/>
        <v>790.57293718851633</v>
      </c>
      <c r="CI210" s="22">
        <f t="shared" ref="CI210:CJ210" si="1762">CI206+CI209</f>
        <v>156.22052593968797</v>
      </c>
      <c r="CJ210" s="22">
        <f t="shared" si="1762"/>
        <v>-858.88052593968825</v>
      </c>
      <c r="CK210" s="22">
        <f t="shared" ref="CK210:DB210" si="1763">CK206+CK209</f>
        <v>170.79283879315975</v>
      </c>
      <c r="CL210" s="22">
        <f t="shared" si="1763"/>
        <v>297.11716120684014</v>
      </c>
      <c r="CM210" s="21">
        <f t="shared" si="1763"/>
        <v>323.25774150194678</v>
      </c>
      <c r="CN210" s="21">
        <f t="shared" si="1763"/>
        <v>39.57278983552294</v>
      </c>
      <c r="CO210" s="21">
        <f t="shared" si="1763"/>
        <v>206.75686605621502</v>
      </c>
      <c r="CP210" s="21">
        <f t="shared" si="1763"/>
        <v>114.85120588757445</v>
      </c>
      <c r="CQ210" s="21">
        <f t="shared" si="1763"/>
        <v>381.18127567207785</v>
      </c>
      <c r="CR210" s="21">
        <f t="shared" si="1763"/>
        <v>44.369488467030806</v>
      </c>
      <c r="CS210" s="21">
        <f t="shared" si="1763"/>
        <v>239.01732328797857</v>
      </c>
      <c r="CT210" s="21">
        <f t="shared" si="1763"/>
        <v>132.63174295978695</v>
      </c>
      <c r="CU210" s="21">
        <f t="shared" si="1763"/>
        <v>448.10792743177836</v>
      </c>
      <c r="CV210" s="21">
        <f t="shared" si="1763"/>
        <v>50.376103858188969</v>
      </c>
      <c r="CW210" s="21">
        <f t="shared" si="1763"/>
        <v>280.12137285533208</v>
      </c>
      <c r="CX210" s="21">
        <f t="shared" si="1763"/>
        <v>155.39687127952726</v>
      </c>
      <c r="CY210" s="21">
        <f t="shared" si="1763"/>
        <v>527.99220482899409</v>
      </c>
      <c r="CZ210" s="21">
        <f t="shared" si="1763"/>
        <v>58.884797457064394</v>
      </c>
      <c r="DA210" s="21">
        <f t="shared" si="1763"/>
        <v>330.31329008627642</v>
      </c>
      <c r="DB210" s="21">
        <f t="shared" si="1763"/>
        <v>183.53778829199484</v>
      </c>
      <c r="DE210" s="126"/>
      <c r="DF210" s="22">
        <v>176.05237442057262</v>
      </c>
    </row>
    <row r="211" spans="1:110" s="23" customFormat="1" x14ac:dyDescent="0.2">
      <c r="AB211" s="24"/>
      <c r="AC211" s="24"/>
      <c r="AD211" s="24"/>
      <c r="AE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E211" s="123"/>
    </row>
    <row r="212" spans="1:110" s="22" customFormat="1" x14ac:dyDescent="0.2">
      <c r="A212" s="22" t="s">
        <v>92</v>
      </c>
      <c r="C212" s="22">
        <f t="shared" ref="C212:W212" si="1764">C213+C214</f>
        <v>0</v>
      </c>
      <c r="D212" s="22">
        <f>D213+D214</f>
        <v>0</v>
      </c>
      <c r="E212" s="22">
        <f t="shared" si="1764"/>
        <v>0</v>
      </c>
      <c r="F212" s="22">
        <f t="shared" si="1764"/>
        <v>-74.183232700000005</v>
      </c>
      <c r="G212" s="22">
        <f t="shared" si="1764"/>
        <v>-12.841273499999993</v>
      </c>
      <c r="H212" s="22">
        <f t="shared" si="1764"/>
        <v>-36.269808700000013</v>
      </c>
      <c r="I212" s="22">
        <f t="shared" si="1764"/>
        <v>-54.744702199999978</v>
      </c>
      <c r="J212" s="22">
        <f t="shared" si="1764"/>
        <v>-71.15122740000001</v>
      </c>
      <c r="K212" s="22">
        <f t="shared" si="1764"/>
        <v>-40.499160499999995</v>
      </c>
      <c r="L212" s="22">
        <f t="shared" si="1764"/>
        <v>-109.18235349999999</v>
      </c>
      <c r="M212" s="22">
        <f t="shared" si="1764"/>
        <v>-237.43637380000001</v>
      </c>
      <c r="N212" s="22">
        <f t="shared" si="1764"/>
        <v>-291.63553669999999</v>
      </c>
      <c r="O212" s="22">
        <f t="shared" si="1764"/>
        <v>-153.09999999999997</v>
      </c>
      <c r="P212" s="22">
        <f t="shared" si="1764"/>
        <v>-206.87899999999988</v>
      </c>
      <c r="Q212" s="22">
        <f t="shared" si="1764"/>
        <v>-144.62200000000016</v>
      </c>
      <c r="R212" s="22">
        <f t="shared" si="1764"/>
        <v>-321.68800000000022</v>
      </c>
      <c r="S212" s="22">
        <f t="shared" si="1764"/>
        <v>-182.88799999999995</v>
      </c>
      <c r="T212" s="22">
        <f t="shared" si="1764"/>
        <v>-571.61699999999973</v>
      </c>
      <c r="U212" s="22">
        <f t="shared" si="1764"/>
        <v>-150.85100000000017</v>
      </c>
      <c r="V212" s="22">
        <f t="shared" si="1764"/>
        <v>-99.359999999999943</v>
      </c>
      <c r="W212" s="22">
        <f t="shared" si="1764"/>
        <v>-249.68000000000043</v>
      </c>
      <c r="X212" s="22">
        <f t="shared" ref="X212:Y212" si="1765">X213+X214</f>
        <v>-857.1400000000001</v>
      </c>
      <c r="Y212" s="22">
        <f t="shared" si="1765"/>
        <v>-803.54000000000042</v>
      </c>
      <c r="Z212" s="22">
        <f t="shared" ref="Z212:AA212" si="1766">Z213+Z214</f>
        <v>-1623.43</v>
      </c>
      <c r="AA212" s="22">
        <f t="shared" si="1766"/>
        <v>-1489.839999999999</v>
      </c>
      <c r="AB212" s="21">
        <f t="shared" ref="AA212:AD212" si="1767">AB213+AB214</f>
        <v>470.43999999999824</v>
      </c>
      <c r="AC212" s="21">
        <f t="shared" si="1767"/>
        <v>0</v>
      </c>
      <c r="AD212" s="21">
        <f t="shared" si="1767"/>
        <v>0</v>
      </c>
      <c r="AE212" s="21">
        <f t="shared" ref="AE212" si="1768">AE213+AE214</f>
        <v>0</v>
      </c>
      <c r="AI212" s="22">
        <f t="shared" ref="AI212" si="1769">AI213+AI214</f>
        <v>0</v>
      </c>
      <c r="AJ212" s="22">
        <f t="shared" ref="AJ212:AL212" si="1770">AJ213+AJ214</f>
        <v>0</v>
      </c>
      <c r="AK212" s="22">
        <f t="shared" si="1770"/>
        <v>0</v>
      </c>
      <c r="AL212" s="22">
        <f t="shared" si="1770"/>
        <v>0</v>
      </c>
      <c r="AM212" s="22">
        <f t="shared" ref="AM212" si="1771">AM213+AM214</f>
        <v>0</v>
      </c>
      <c r="AN212" s="22">
        <f t="shared" ref="AN212:CD212" si="1772">AN213+AN214</f>
        <v>0</v>
      </c>
      <c r="AO212" s="22">
        <f t="shared" si="1772"/>
        <v>0</v>
      </c>
      <c r="AP212" s="22">
        <f t="shared" si="1772"/>
        <v>0</v>
      </c>
      <c r="AQ212" s="22">
        <f t="shared" si="1772"/>
        <v>0</v>
      </c>
      <c r="AR212" s="22">
        <f t="shared" si="1772"/>
        <v>0</v>
      </c>
      <c r="AS212" s="22">
        <f t="shared" si="1772"/>
        <v>0</v>
      </c>
      <c r="AT212" s="22">
        <f t="shared" si="1772"/>
        <v>0</v>
      </c>
      <c r="AU212" s="22">
        <f t="shared" si="1772"/>
        <v>0</v>
      </c>
      <c r="AV212" s="22">
        <f t="shared" si="1772"/>
        <v>0</v>
      </c>
      <c r="AW212" s="22">
        <f t="shared" si="1772"/>
        <v>0</v>
      </c>
      <c r="AX212" s="22">
        <f t="shared" si="1772"/>
        <v>0</v>
      </c>
      <c r="AY212" s="22">
        <f t="shared" si="1772"/>
        <v>0</v>
      </c>
      <c r="AZ212" s="22">
        <f t="shared" si="1772"/>
        <v>0</v>
      </c>
      <c r="BA212" s="22">
        <f t="shared" si="1772"/>
        <v>0</v>
      </c>
      <c r="BB212" s="22">
        <f t="shared" si="1772"/>
        <v>0</v>
      </c>
      <c r="BC212" s="22">
        <f t="shared" si="1772"/>
        <v>0</v>
      </c>
      <c r="BD212" s="22">
        <f t="shared" si="1772"/>
        <v>0</v>
      </c>
      <c r="BE212" s="22">
        <f t="shared" si="1772"/>
        <v>0</v>
      </c>
      <c r="BF212" s="22">
        <f t="shared" si="1772"/>
        <v>0</v>
      </c>
      <c r="BG212" s="22">
        <f t="shared" si="1772"/>
        <v>0</v>
      </c>
      <c r="BH212" s="22">
        <f t="shared" si="1772"/>
        <v>0</v>
      </c>
      <c r="BI212" s="22">
        <f t="shared" si="1772"/>
        <v>0</v>
      </c>
      <c r="BJ212" s="22">
        <f t="shared" si="1772"/>
        <v>0</v>
      </c>
      <c r="BK212" s="22">
        <f t="shared" si="1772"/>
        <v>0</v>
      </c>
      <c r="BL212" s="22">
        <f t="shared" si="1772"/>
        <v>0</v>
      </c>
      <c r="BM212" s="22">
        <f t="shared" si="1772"/>
        <v>0</v>
      </c>
      <c r="BN212" s="22">
        <f t="shared" si="1772"/>
        <v>-1577.6999999999998</v>
      </c>
      <c r="BO212" s="22">
        <f t="shared" si="1772"/>
        <v>-39.410000000000082</v>
      </c>
      <c r="BP212" s="22">
        <f t="shared" si="1772"/>
        <v>1481.6</v>
      </c>
      <c r="BQ212" s="22">
        <f t="shared" si="1772"/>
        <v>-55.17</v>
      </c>
      <c r="BR212" s="22">
        <f t="shared" si="1772"/>
        <v>-1511.42</v>
      </c>
      <c r="BS212" s="22">
        <f t="shared" si="1772"/>
        <v>-49.369999999999891</v>
      </c>
      <c r="BT212" s="22">
        <f t="shared" si="1772"/>
        <v>-50.669999999999973</v>
      </c>
      <c r="BU212" s="22">
        <f t="shared" si="1772"/>
        <v>-52.1099999999999</v>
      </c>
      <c r="BV212" s="22">
        <f t="shared" si="1772"/>
        <v>-95.140000000000114</v>
      </c>
      <c r="BW212" s="22">
        <f t="shared" si="1772"/>
        <v>-53.230000000000018</v>
      </c>
      <c r="BX212" s="22">
        <f t="shared" si="1772"/>
        <v>-121.71000000000021</v>
      </c>
      <c r="BY212" s="22">
        <f t="shared" si="1772"/>
        <v>-53.759999999999991</v>
      </c>
      <c r="BZ212" s="22">
        <f t="shared" si="1772"/>
        <v>-622.30000000000007</v>
      </c>
      <c r="CA212" s="22">
        <f t="shared" si="1772"/>
        <v>-68.289999999999964</v>
      </c>
      <c r="CB212" s="22">
        <f t="shared" si="1772"/>
        <v>-237.26999999999992</v>
      </c>
      <c r="CC212" s="22">
        <f t="shared" si="1772"/>
        <v>-70.2800000000002</v>
      </c>
      <c r="CD212" s="22">
        <f t="shared" si="1772"/>
        <v>-280.70000000000039</v>
      </c>
      <c r="CE212" s="22">
        <f t="shared" ref="CE212:CF212" si="1773">CE213+CE214</f>
        <v>-72.489999999999782</v>
      </c>
      <c r="CF212" s="22">
        <f t="shared" si="1773"/>
        <v>-460.32000000000005</v>
      </c>
      <c r="CG212" s="22">
        <f t="shared" ref="CG212:CH212" si="1774">CG213+CG214</f>
        <v>-103.48000000000002</v>
      </c>
      <c r="CH212" s="22">
        <f t="shared" si="1774"/>
        <v>-1226.1000000000001</v>
      </c>
      <c r="CI212" s="22">
        <f t="shared" ref="CI212:CJ212" si="1775">CI213+CI214</f>
        <v>0</v>
      </c>
      <c r="CJ212" s="22">
        <f t="shared" si="1775"/>
        <v>-241.09999999999948</v>
      </c>
      <c r="CK212" s="22">
        <f t="shared" ref="CK212:DB212" si="1776">CK213+CK214</f>
        <v>0</v>
      </c>
      <c r="CL212" s="22">
        <f t="shared" si="1776"/>
        <v>-778.30000000000121</v>
      </c>
      <c r="CM212" s="21">
        <f t="shared" si="1776"/>
        <v>0</v>
      </c>
      <c r="CN212" s="21">
        <f t="shared" si="1776"/>
        <v>0</v>
      </c>
      <c r="CO212" s="21">
        <f t="shared" si="1776"/>
        <v>0</v>
      </c>
      <c r="CP212" s="21">
        <f t="shared" si="1776"/>
        <v>0</v>
      </c>
      <c r="CQ212" s="21">
        <f t="shared" si="1776"/>
        <v>0</v>
      </c>
      <c r="CR212" s="21">
        <f t="shared" si="1776"/>
        <v>0</v>
      </c>
      <c r="CS212" s="21">
        <f t="shared" si="1776"/>
        <v>0</v>
      </c>
      <c r="CT212" s="21">
        <f t="shared" si="1776"/>
        <v>0</v>
      </c>
      <c r="CU212" s="21">
        <f t="shared" si="1776"/>
        <v>0</v>
      </c>
      <c r="CV212" s="21">
        <f t="shared" si="1776"/>
        <v>0</v>
      </c>
      <c r="CW212" s="21">
        <f t="shared" si="1776"/>
        <v>0</v>
      </c>
      <c r="CX212" s="21">
        <f t="shared" si="1776"/>
        <v>0</v>
      </c>
      <c r="CY212" s="21">
        <f t="shared" si="1776"/>
        <v>0</v>
      </c>
      <c r="CZ212" s="21">
        <f t="shared" si="1776"/>
        <v>0</v>
      </c>
      <c r="DA212" s="21">
        <f t="shared" si="1776"/>
        <v>0</v>
      </c>
      <c r="DB212" s="21">
        <f t="shared" si="1776"/>
        <v>0</v>
      </c>
      <c r="DE212" s="126"/>
      <c r="DF212" s="22">
        <v>0</v>
      </c>
    </row>
    <row r="213" spans="1:110" s="23" customFormat="1" x14ac:dyDescent="0.2">
      <c r="A213" s="23" t="s">
        <v>93</v>
      </c>
      <c r="C213" s="23">
        <f t="shared" ref="C213:AA213" si="1777">B151-C151</f>
        <v>0</v>
      </c>
      <c r="D213" s="23">
        <f t="shared" si="1777"/>
        <v>0</v>
      </c>
      <c r="E213" s="23">
        <f>D151-E151</f>
        <v>0</v>
      </c>
      <c r="F213" s="23">
        <f t="shared" si="1777"/>
        <v>-0.19400000000000001</v>
      </c>
      <c r="G213" s="23">
        <f t="shared" si="1777"/>
        <v>0</v>
      </c>
      <c r="H213" s="23">
        <f t="shared" si="1777"/>
        <v>0</v>
      </c>
      <c r="I213" s="23">
        <f t="shared" si="1777"/>
        <v>-1.9409885999999998</v>
      </c>
      <c r="J213" s="23">
        <f>I151-J151</f>
        <v>-1.2402812000000001</v>
      </c>
      <c r="K213" s="23">
        <f>J151-K151</f>
        <v>1.9999999999997797E-3</v>
      </c>
      <c r="L213" s="23">
        <f t="shared" si="1777"/>
        <v>3.3632698000000003</v>
      </c>
      <c r="M213" s="23">
        <f t="shared" si="1777"/>
        <v>0</v>
      </c>
      <c r="N213" s="23">
        <f t="shared" si="1777"/>
        <v>-2.1100000000000003</v>
      </c>
      <c r="O213" s="23">
        <f t="shared" si="1777"/>
        <v>-6.0000000000000053E-2</v>
      </c>
      <c r="P213" s="23">
        <f t="shared" si="1777"/>
        <v>-0.14299999999999979</v>
      </c>
      <c r="Q213" s="23">
        <f t="shared" si="1777"/>
        <v>-8.4999999999999964E-2</v>
      </c>
      <c r="R213" s="23">
        <f t="shared" si="1777"/>
        <v>-0.22100000000000009</v>
      </c>
      <c r="S213" s="23">
        <f t="shared" si="1777"/>
        <v>-1.2410000000000001</v>
      </c>
      <c r="T213" s="23">
        <f t="shared" si="1777"/>
        <v>-0.2889999999999997</v>
      </c>
      <c r="U213" s="23">
        <f t="shared" si="1777"/>
        <v>0.95899999999999963</v>
      </c>
      <c r="V213" s="23">
        <f t="shared" si="1777"/>
        <v>0.95000000000000018</v>
      </c>
      <c r="W213" s="23">
        <f t="shared" si="1777"/>
        <v>-0.39999999999999991</v>
      </c>
      <c r="X213" s="23">
        <f t="shared" si="1777"/>
        <v>-0.78000000000000025</v>
      </c>
      <c r="Y213" s="23">
        <f t="shared" si="1777"/>
        <v>-1.0399999999999996</v>
      </c>
      <c r="Z213" s="23">
        <f t="shared" si="1777"/>
        <v>-6.14</v>
      </c>
      <c r="AA213" s="23">
        <f t="shared" si="1777"/>
        <v>-2.9299999999999997</v>
      </c>
      <c r="AB213" s="24">
        <f t="shared" ref="AB213" si="1778">AA151-AB151</f>
        <v>0</v>
      </c>
      <c r="AC213" s="24">
        <f t="shared" ref="AC213" si="1779">AB151-AC151</f>
        <v>0</v>
      </c>
      <c r="AD213" s="24">
        <f t="shared" ref="AD213" si="1780">AC151-AD151</f>
        <v>0</v>
      </c>
      <c r="AE213" s="24">
        <f t="shared" ref="AE213" si="1781">AD151-AE151</f>
        <v>0</v>
      </c>
      <c r="AI213" s="23">
        <f t="shared" ref="AI213" si="1782">AH151-AI151</f>
        <v>0</v>
      </c>
      <c r="AJ213" s="23">
        <f t="shared" ref="AJ213" si="1783">AI151-AJ151</f>
        <v>0</v>
      </c>
      <c r="AK213" s="23">
        <f t="shared" ref="AK213" si="1784">AJ151-AK151</f>
        <v>0</v>
      </c>
      <c r="AL213" s="23">
        <f t="shared" ref="AL213" si="1785">AK151-AL151</f>
        <v>0</v>
      </c>
      <c r="AM213" s="23">
        <f t="shared" ref="AM213" si="1786">AL151-AM151</f>
        <v>0</v>
      </c>
      <c r="AN213" s="23">
        <f t="shared" ref="AN213" si="1787">AM151-AN151</f>
        <v>0</v>
      </c>
      <c r="AO213" s="23">
        <f t="shared" ref="AO213" si="1788">AN151-AO151</f>
        <v>0</v>
      </c>
      <c r="AP213" s="23">
        <f t="shared" ref="AP213" si="1789">AO151-AP151</f>
        <v>0</v>
      </c>
      <c r="AQ213" s="23">
        <f t="shared" ref="AQ213" si="1790">AP151-AQ151</f>
        <v>0</v>
      </c>
      <c r="AR213" s="23">
        <f t="shared" ref="AR213" si="1791">AQ151-AR151</f>
        <v>0</v>
      </c>
      <c r="AS213" s="23">
        <f t="shared" ref="AS213" si="1792">AR151-AS151</f>
        <v>0</v>
      </c>
      <c r="AT213" s="23">
        <f t="shared" ref="AT213" si="1793">AS151-AT151</f>
        <v>0</v>
      </c>
      <c r="AU213" s="23">
        <f t="shared" ref="AU213" si="1794">AT151-AU151</f>
        <v>0</v>
      </c>
      <c r="AV213" s="23">
        <f t="shared" ref="AV213" si="1795">AU151-AV151</f>
        <v>0</v>
      </c>
      <c r="AW213" s="23">
        <f t="shared" ref="AW213" si="1796">AV151-AW151</f>
        <v>0</v>
      </c>
      <c r="AX213" s="23">
        <f t="shared" ref="AX213" si="1797">AW151-AX151</f>
        <v>0</v>
      </c>
      <c r="AY213" s="23">
        <f t="shared" ref="AY213" si="1798">AX151-AY151</f>
        <v>0</v>
      </c>
      <c r="AZ213" s="23">
        <f t="shared" ref="AZ213" si="1799">AY151-AZ151</f>
        <v>0</v>
      </c>
      <c r="BA213" s="23">
        <f t="shared" ref="BA213" si="1800">AZ151-BA151</f>
        <v>0</v>
      </c>
      <c r="BB213" s="23">
        <f t="shared" ref="BB213" si="1801">BA151-BB151</f>
        <v>0</v>
      </c>
      <c r="BC213" s="23">
        <f t="shared" ref="BC213" si="1802">BB151-BC151</f>
        <v>0</v>
      </c>
      <c r="BD213" s="23">
        <f t="shared" ref="BD213" si="1803">BC151-BD151</f>
        <v>0</v>
      </c>
      <c r="BE213" s="23">
        <f t="shared" ref="BE213" si="1804">BD151-BE151</f>
        <v>0</v>
      </c>
      <c r="BF213" s="23">
        <f t="shared" ref="BF213" si="1805">BE151-BF151</f>
        <v>0</v>
      </c>
      <c r="BG213" s="23">
        <f t="shared" ref="BG213" si="1806">BF151-BG151</f>
        <v>0</v>
      </c>
      <c r="BH213" s="23">
        <f t="shared" ref="BH213" si="1807">BG151-BH151</f>
        <v>0</v>
      </c>
      <c r="BI213" s="23">
        <f t="shared" ref="BI213" si="1808">BH151-BI151</f>
        <v>0</v>
      </c>
      <c r="BJ213" s="23">
        <f t="shared" ref="BJ213" si="1809">BI151-BJ151</f>
        <v>0</v>
      </c>
      <c r="BK213" s="23">
        <f t="shared" ref="BK213" si="1810">BJ151-BK151</f>
        <v>0</v>
      </c>
      <c r="BL213" s="23">
        <f t="shared" ref="BL213" si="1811">BK151-BL151</f>
        <v>0</v>
      </c>
      <c r="BM213" s="23">
        <f t="shared" ref="BM213" si="1812">BL151-BM151</f>
        <v>0</v>
      </c>
      <c r="BN213" s="23">
        <f t="shared" ref="BN213" si="1813">BM151-BN151</f>
        <v>-3.2</v>
      </c>
      <c r="BO213" s="23">
        <f t="shared" ref="BO213" si="1814">BN151-BO151</f>
        <v>0</v>
      </c>
      <c r="BP213" s="23">
        <f t="shared" ref="BP213" si="1815">BO151-BP151</f>
        <v>3.2</v>
      </c>
      <c r="BQ213" s="23">
        <f t="shared" ref="BQ213" si="1816">BP151-BQ151</f>
        <v>0</v>
      </c>
      <c r="BR213" s="23">
        <f t="shared" ref="BR213" si="1817">BQ151-BR151</f>
        <v>-2.25</v>
      </c>
      <c r="BS213" s="23">
        <f t="shared" ref="BS213" si="1818">BR151-BS151</f>
        <v>0</v>
      </c>
      <c r="BT213" s="23">
        <f t="shared" ref="BT213" si="1819">BS151-BT151</f>
        <v>-0.14000000000000012</v>
      </c>
      <c r="BU213" s="23">
        <f t="shared" ref="BU213" si="1820">BT151-BU151</f>
        <v>0</v>
      </c>
      <c r="BV213" s="23">
        <f t="shared" ref="BV213" si="1821">BU151-BV151</f>
        <v>-0.25999999999999979</v>
      </c>
      <c r="BW213" s="23">
        <f t="shared" ref="BW213" si="1822">BV151-BW151</f>
        <v>0</v>
      </c>
      <c r="BX213" s="23">
        <f t="shared" ref="BX213" si="1823">BW151-BX151</f>
        <v>6.0000000000000053E-2</v>
      </c>
      <c r="BY213" s="23">
        <f t="shared" ref="BY213" si="1824">BX151-BY151</f>
        <v>0</v>
      </c>
      <c r="BZ213" s="23">
        <f t="shared" ref="BZ213" si="1825">BY151-BZ151</f>
        <v>-0.8400000000000003</v>
      </c>
      <c r="CA213" s="23">
        <f t="shared" ref="CA213" si="1826">BZ151-CA151</f>
        <v>0</v>
      </c>
      <c r="CB213" s="23">
        <f t="shared" ref="CB213" si="1827">CA151-CB151</f>
        <v>-0.43999999999999995</v>
      </c>
      <c r="CC213" s="23">
        <f t="shared" ref="CC213" si="1828">CB151-CC151</f>
        <v>0</v>
      </c>
      <c r="CD213" s="23">
        <f t="shared" ref="CD213" si="1829">CC151-CD151</f>
        <v>-0.59999999999999964</v>
      </c>
      <c r="CE213" s="23">
        <f t="shared" ref="CE213" si="1830">CD151-CE151</f>
        <v>0</v>
      </c>
      <c r="CF213" s="23">
        <f t="shared" ref="CF213" si="1831">CE151-CF151</f>
        <v>-1.63</v>
      </c>
      <c r="CG213" s="23">
        <f t="shared" ref="CG213" si="1832">CF151-CG151</f>
        <v>0</v>
      </c>
      <c r="CH213" s="23">
        <f t="shared" ref="CH213:CL213" si="1833">CG151-CH151</f>
        <v>-4.51</v>
      </c>
      <c r="CI213" s="23">
        <f t="shared" si="1833"/>
        <v>0</v>
      </c>
      <c r="CJ213" s="23">
        <f t="shared" si="1833"/>
        <v>-2.2900000000000009</v>
      </c>
      <c r="CK213" s="23">
        <f t="shared" ref="CK213" si="1834">CJ151-CK151</f>
        <v>0</v>
      </c>
      <c r="CL213" s="23">
        <f t="shared" si="1833"/>
        <v>-0.63999999999999879</v>
      </c>
      <c r="CM213" s="24">
        <f t="shared" ref="CM213" si="1835">CL151-CM151</f>
        <v>0</v>
      </c>
      <c r="CN213" s="24">
        <f t="shared" ref="CN213" si="1836">CM151-CN151</f>
        <v>0</v>
      </c>
      <c r="CO213" s="24">
        <f t="shared" ref="CO213" si="1837">CN151-CO151</f>
        <v>0</v>
      </c>
      <c r="CP213" s="24">
        <f t="shared" ref="CP213" si="1838">CO151-CP151</f>
        <v>0</v>
      </c>
      <c r="CQ213" s="24">
        <f t="shared" ref="CQ213" si="1839">CP151-CQ151</f>
        <v>0</v>
      </c>
      <c r="CR213" s="24">
        <f t="shared" ref="CR213" si="1840">CQ151-CR151</f>
        <v>0</v>
      </c>
      <c r="CS213" s="24">
        <f t="shared" ref="CS213" si="1841">CR151-CS151</f>
        <v>0</v>
      </c>
      <c r="CT213" s="24">
        <f t="shared" ref="CT213" si="1842">CS151-CT151</f>
        <v>0</v>
      </c>
      <c r="CU213" s="24">
        <f t="shared" ref="CU213" si="1843">CT151-CU151</f>
        <v>0</v>
      </c>
      <c r="CV213" s="24">
        <f t="shared" ref="CV213" si="1844">CU151-CV151</f>
        <v>0</v>
      </c>
      <c r="CW213" s="24">
        <f t="shared" ref="CW213" si="1845">CV151-CW151</f>
        <v>0</v>
      </c>
      <c r="CX213" s="24">
        <f t="shared" ref="CX213" si="1846">CW151-CX151</f>
        <v>0</v>
      </c>
      <c r="CY213" s="24">
        <f t="shared" ref="CY213" si="1847">CX151-CY151</f>
        <v>0</v>
      </c>
      <c r="CZ213" s="24">
        <f t="shared" ref="CZ213" si="1848">CY151-CZ151</f>
        <v>0</v>
      </c>
      <c r="DA213" s="24">
        <f t="shared" ref="DA213" si="1849">CZ151-DA151</f>
        <v>0</v>
      </c>
      <c r="DB213" s="24">
        <f t="shared" ref="DB213" si="1850">DA151-DB151</f>
        <v>0</v>
      </c>
      <c r="DE213" s="123"/>
      <c r="DF213" s="23">
        <v>0</v>
      </c>
    </row>
    <row r="214" spans="1:110" s="23" customFormat="1" x14ac:dyDescent="0.2">
      <c r="A214" s="23" t="s">
        <v>94</v>
      </c>
      <c r="C214" s="23">
        <f t="shared" ref="C214:AE214" si="1851">B149-C43-C149</f>
        <v>0</v>
      </c>
      <c r="D214" s="23">
        <f t="shared" si="1851"/>
        <v>0</v>
      </c>
      <c r="E214" s="23">
        <f t="shared" si="1851"/>
        <v>0</v>
      </c>
      <c r="F214" s="23">
        <f t="shared" si="1851"/>
        <v>-73.989232700000002</v>
      </c>
      <c r="G214" s="23">
        <f t="shared" si="1851"/>
        <v>-12.841273499999993</v>
      </c>
      <c r="H214" s="23">
        <f t="shared" si="1851"/>
        <v>-36.269808700000013</v>
      </c>
      <c r="I214" s="23">
        <f t="shared" si="1851"/>
        <v>-52.80371359999998</v>
      </c>
      <c r="J214" s="23">
        <f t="shared" si="1851"/>
        <v>-69.910946200000012</v>
      </c>
      <c r="K214" s="23">
        <f t="shared" si="1851"/>
        <v>-40.501160499999997</v>
      </c>
      <c r="L214" s="23">
        <f t="shared" si="1851"/>
        <v>-112.54562329999999</v>
      </c>
      <c r="M214" s="23">
        <f t="shared" si="1851"/>
        <v>-237.43637380000001</v>
      </c>
      <c r="N214" s="23">
        <f t="shared" si="1851"/>
        <v>-289.52553669999998</v>
      </c>
      <c r="O214" s="23">
        <f t="shared" si="1851"/>
        <v>-153.03999999999996</v>
      </c>
      <c r="P214" s="23">
        <f t="shared" si="1851"/>
        <v>-206.73599999999988</v>
      </c>
      <c r="Q214" s="23">
        <f t="shared" si="1851"/>
        <v>-144.53700000000015</v>
      </c>
      <c r="R214" s="23">
        <f t="shared" si="1851"/>
        <v>-321.46700000000021</v>
      </c>
      <c r="S214" s="23">
        <f t="shared" si="1851"/>
        <v>-181.64699999999993</v>
      </c>
      <c r="T214" s="23">
        <f t="shared" si="1851"/>
        <v>-571.32799999999975</v>
      </c>
      <c r="U214" s="23">
        <f t="shared" si="1851"/>
        <v>-151.81000000000017</v>
      </c>
      <c r="V214" s="23">
        <f t="shared" si="1851"/>
        <v>-100.30999999999995</v>
      </c>
      <c r="W214" s="23">
        <f t="shared" si="1851"/>
        <v>-249.28000000000043</v>
      </c>
      <c r="X214" s="23">
        <f t="shared" si="1851"/>
        <v>-856.36000000000013</v>
      </c>
      <c r="Y214" s="23">
        <f t="shared" si="1851"/>
        <v>-802.50000000000045</v>
      </c>
      <c r="Z214" s="23">
        <f t="shared" si="1851"/>
        <v>-1617.29</v>
      </c>
      <c r="AA214" s="23">
        <f t="shared" si="1851"/>
        <v>-1486.9099999999989</v>
      </c>
      <c r="AB214" s="24">
        <f t="shared" si="1851"/>
        <v>470.43999999999824</v>
      </c>
      <c r="AC214" s="24">
        <f t="shared" si="1851"/>
        <v>0</v>
      </c>
      <c r="AD214" s="24">
        <f t="shared" si="1851"/>
        <v>0</v>
      </c>
      <c r="AE214" s="24">
        <f t="shared" si="1851"/>
        <v>0</v>
      </c>
      <c r="AI214" s="23">
        <f t="shared" ref="AI214:BN214" si="1852">AH149-AI43-AI149</f>
        <v>0</v>
      </c>
      <c r="AJ214" s="23">
        <f t="shared" si="1852"/>
        <v>0</v>
      </c>
      <c r="AK214" s="23">
        <f t="shared" si="1852"/>
        <v>0</v>
      </c>
      <c r="AL214" s="23">
        <f t="shared" si="1852"/>
        <v>0</v>
      </c>
      <c r="AM214" s="23">
        <f t="shared" si="1852"/>
        <v>0</v>
      </c>
      <c r="AN214" s="23">
        <f t="shared" si="1852"/>
        <v>0</v>
      </c>
      <c r="AO214" s="23">
        <f t="shared" si="1852"/>
        <v>0</v>
      </c>
      <c r="AP214" s="23">
        <f t="shared" si="1852"/>
        <v>0</v>
      </c>
      <c r="AQ214" s="23">
        <f t="shared" si="1852"/>
        <v>0</v>
      </c>
      <c r="AR214" s="23">
        <f t="shared" si="1852"/>
        <v>0</v>
      </c>
      <c r="AS214" s="23">
        <f t="shared" si="1852"/>
        <v>0</v>
      </c>
      <c r="AT214" s="23">
        <f t="shared" si="1852"/>
        <v>0</v>
      </c>
      <c r="AU214" s="23">
        <f t="shared" si="1852"/>
        <v>0</v>
      </c>
      <c r="AV214" s="23">
        <f t="shared" si="1852"/>
        <v>0</v>
      </c>
      <c r="AW214" s="23">
        <f t="shared" si="1852"/>
        <v>0</v>
      </c>
      <c r="AX214" s="23">
        <f t="shared" si="1852"/>
        <v>0</v>
      </c>
      <c r="AY214" s="23">
        <f t="shared" si="1852"/>
        <v>0</v>
      </c>
      <c r="AZ214" s="23">
        <f t="shared" si="1852"/>
        <v>0</v>
      </c>
      <c r="BA214" s="23">
        <f t="shared" si="1852"/>
        <v>0</v>
      </c>
      <c r="BB214" s="23">
        <f t="shared" si="1852"/>
        <v>0</v>
      </c>
      <c r="BC214" s="23">
        <f t="shared" si="1852"/>
        <v>0</v>
      </c>
      <c r="BD214" s="23">
        <f t="shared" si="1852"/>
        <v>0</v>
      </c>
      <c r="BE214" s="23">
        <f t="shared" si="1852"/>
        <v>0</v>
      </c>
      <c r="BF214" s="23">
        <f t="shared" si="1852"/>
        <v>0</v>
      </c>
      <c r="BG214" s="23">
        <f t="shared" si="1852"/>
        <v>0</v>
      </c>
      <c r="BH214" s="23">
        <f t="shared" si="1852"/>
        <v>0</v>
      </c>
      <c r="BI214" s="23">
        <f t="shared" si="1852"/>
        <v>0</v>
      </c>
      <c r="BJ214" s="23">
        <f t="shared" si="1852"/>
        <v>0</v>
      </c>
      <c r="BK214" s="23">
        <f t="shared" si="1852"/>
        <v>0</v>
      </c>
      <c r="BL214" s="23">
        <f t="shared" si="1852"/>
        <v>0</v>
      </c>
      <c r="BM214" s="23">
        <f t="shared" si="1852"/>
        <v>0</v>
      </c>
      <c r="BN214" s="23">
        <f t="shared" si="1852"/>
        <v>-1574.4999999999998</v>
      </c>
      <c r="BO214" s="23">
        <f t="shared" ref="BO214:CT214" si="1853">BN149-BO43-BO149</f>
        <v>-39.410000000000082</v>
      </c>
      <c r="BP214" s="23">
        <f t="shared" si="1853"/>
        <v>1478.3999999999999</v>
      </c>
      <c r="BQ214" s="23">
        <f t="shared" si="1853"/>
        <v>-55.17</v>
      </c>
      <c r="BR214" s="23">
        <f t="shared" si="1853"/>
        <v>-1509.17</v>
      </c>
      <c r="BS214" s="23">
        <f t="shared" si="1853"/>
        <v>-49.369999999999891</v>
      </c>
      <c r="BT214" s="23">
        <f t="shared" si="1853"/>
        <v>-50.529999999999973</v>
      </c>
      <c r="BU214" s="23">
        <f t="shared" si="1853"/>
        <v>-52.1099999999999</v>
      </c>
      <c r="BV214" s="23">
        <f t="shared" si="1853"/>
        <v>-94.880000000000109</v>
      </c>
      <c r="BW214" s="23">
        <f t="shared" si="1853"/>
        <v>-53.230000000000018</v>
      </c>
      <c r="BX214" s="23">
        <f t="shared" si="1853"/>
        <v>-121.77000000000021</v>
      </c>
      <c r="BY214" s="23">
        <f t="shared" si="1853"/>
        <v>-53.759999999999991</v>
      </c>
      <c r="BZ214" s="23">
        <f t="shared" si="1853"/>
        <v>-621.46</v>
      </c>
      <c r="CA214" s="23">
        <f t="shared" si="1853"/>
        <v>-68.289999999999964</v>
      </c>
      <c r="CB214" s="23">
        <f t="shared" si="1853"/>
        <v>-236.82999999999993</v>
      </c>
      <c r="CC214" s="23">
        <f t="shared" si="1853"/>
        <v>-70.2800000000002</v>
      </c>
      <c r="CD214" s="23">
        <f t="shared" si="1853"/>
        <v>-280.10000000000036</v>
      </c>
      <c r="CE214" s="23">
        <f t="shared" si="1853"/>
        <v>-72.489999999999782</v>
      </c>
      <c r="CF214" s="23">
        <f t="shared" si="1853"/>
        <v>-458.69000000000005</v>
      </c>
      <c r="CG214" s="23">
        <f t="shared" si="1853"/>
        <v>-103.48000000000002</v>
      </c>
      <c r="CH214" s="23">
        <f t="shared" si="1853"/>
        <v>-1221.5900000000001</v>
      </c>
      <c r="CI214" s="23">
        <f t="shared" si="1853"/>
        <v>0</v>
      </c>
      <c r="CJ214" s="23">
        <f t="shared" si="1853"/>
        <v>-238.80999999999949</v>
      </c>
      <c r="CK214" s="23">
        <f t="shared" si="1853"/>
        <v>0</v>
      </c>
      <c r="CL214" s="23">
        <f t="shared" si="1853"/>
        <v>-777.66000000000122</v>
      </c>
      <c r="CM214" s="24">
        <f t="shared" si="1853"/>
        <v>0</v>
      </c>
      <c r="CN214" s="24">
        <f t="shared" si="1853"/>
        <v>0</v>
      </c>
      <c r="CO214" s="24">
        <f t="shared" si="1853"/>
        <v>0</v>
      </c>
      <c r="CP214" s="24">
        <f t="shared" si="1853"/>
        <v>0</v>
      </c>
      <c r="CQ214" s="24">
        <f t="shared" si="1853"/>
        <v>0</v>
      </c>
      <c r="CR214" s="24">
        <f t="shared" si="1853"/>
        <v>0</v>
      </c>
      <c r="CS214" s="24">
        <f t="shared" si="1853"/>
        <v>0</v>
      </c>
      <c r="CT214" s="24">
        <f t="shared" si="1853"/>
        <v>0</v>
      </c>
      <c r="CU214" s="24">
        <f t="shared" ref="CU214:DB214" si="1854">CT149-CU43-CU149</f>
        <v>0</v>
      </c>
      <c r="CV214" s="24">
        <f t="shared" si="1854"/>
        <v>0</v>
      </c>
      <c r="CW214" s="24">
        <f t="shared" si="1854"/>
        <v>0</v>
      </c>
      <c r="CX214" s="24">
        <f t="shared" si="1854"/>
        <v>0</v>
      </c>
      <c r="CY214" s="24">
        <f t="shared" si="1854"/>
        <v>0</v>
      </c>
      <c r="CZ214" s="24">
        <f t="shared" si="1854"/>
        <v>0</v>
      </c>
      <c r="DA214" s="24">
        <f t="shared" si="1854"/>
        <v>0</v>
      </c>
      <c r="DB214" s="24">
        <f t="shared" si="1854"/>
        <v>0</v>
      </c>
      <c r="DE214" s="123"/>
      <c r="DF214" s="23">
        <v>0</v>
      </c>
    </row>
    <row r="215" spans="1:110" s="23" customFormat="1" x14ac:dyDescent="0.2"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95</v>
      </c>
      <c r="C216" s="22">
        <f t="shared" ref="C216:W216" si="1855">C217+C218</f>
        <v>0</v>
      </c>
      <c r="D216" s="22">
        <f t="shared" si="1855"/>
        <v>0</v>
      </c>
      <c r="E216" s="22">
        <f t="shared" si="1855"/>
        <v>0</v>
      </c>
      <c r="F216" s="22">
        <f t="shared" si="1855"/>
        <v>64.229018599999989</v>
      </c>
      <c r="G216" s="22">
        <f t="shared" si="1855"/>
        <v>10.639150499999996</v>
      </c>
      <c r="H216" s="22">
        <f t="shared" si="1855"/>
        <v>22.915444900000018</v>
      </c>
      <c r="I216" s="22">
        <f t="shared" si="1855"/>
        <v>61.687427999999997</v>
      </c>
      <c r="J216" s="22">
        <f t="shared" si="1855"/>
        <v>52.761749200000011</v>
      </c>
      <c r="K216" s="22">
        <f t="shared" si="1855"/>
        <v>1.5826150000000183</v>
      </c>
      <c r="L216" s="22">
        <f t="shared" si="1855"/>
        <v>140.3409542</v>
      </c>
      <c r="M216" s="22">
        <f t="shared" si="1855"/>
        <v>258.66629969999997</v>
      </c>
      <c r="N216" s="22">
        <f t="shared" si="1855"/>
        <v>207.59319910000019</v>
      </c>
      <c r="O216" s="22">
        <f t="shared" si="1855"/>
        <v>37.520999999999901</v>
      </c>
      <c r="P216" s="22">
        <f t="shared" si="1855"/>
        <v>38.675000000000125</v>
      </c>
      <c r="Q216" s="22">
        <f t="shared" si="1855"/>
        <v>64.714999999999918</v>
      </c>
      <c r="R216" s="22">
        <f t="shared" si="1855"/>
        <v>160.51699999999994</v>
      </c>
      <c r="S216" s="22">
        <f t="shared" si="1855"/>
        <v>58.045999999999594</v>
      </c>
      <c r="T216" s="22">
        <f t="shared" si="1855"/>
        <v>126.19500000000016</v>
      </c>
      <c r="U216" s="22">
        <f t="shared" si="1855"/>
        <v>71.487999999999829</v>
      </c>
      <c r="V216" s="22">
        <f t="shared" si="1855"/>
        <v>-204.41000000000008</v>
      </c>
      <c r="W216" s="22">
        <f t="shared" si="1855"/>
        <v>15.279999999999973</v>
      </c>
      <c r="X216" s="22">
        <f t="shared" ref="X216:Y216" si="1856">X217+X218</f>
        <v>490.88999999999976</v>
      </c>
      <c r="Y216" s="22">
        <f t="shared" si="1856"/>
        <v>403.00000000000017</v>
      </c>
      <c r="Z216" s="22">
        <f t="shared" ref="Z216:AA216" si="1857">Z217+Z218</f>
        <v>1418.3400000000004</v>
      </c>
      <c r="AA216" s="22">
        <f t="shared" si="1857"/>
        <v>1309.6999999999994</v>
      </c>
      <c r="AB216" s="21">
        <f t="shared" ref="AA216:AD216" si="1858">AB217+AB218</f>
        <v>0</v>
      </c>
      <c r="AC216" s="21">
        <f t="shared" si="1858"/>
        <v>-1.8189894035458565E-12</v>
      </c>
      <c r="AD216" s="21">
        <f t="shared" si="1858"/>
        <v>0</v>
      </c>
      <c r="AE216" s="21">
        <f t="shared" ref="AE216" si="1859">AE217+AE218</f>
        <v>-1.8189894035458565E-12</v>
      </c>
      <c r="AI216" s="22">
        <f t="shared" ref="AI216" si="1860">AI217+AI218</f>
        <v>0</v>
      </c>
      <c r="AJ216" s="22">
        <f t="shared" ref="AJ216:AL216" si="1861">AJ217+AJ218</f>
        <v>0</v>
      </c>
      <c r="AK216" s="22">
        <f t="shared" si="1861"/>
        <v>0</v>
      </c>
      <c r="AL216" s="22">
        <f t="shared" si="1861"/>
        <v>0</v>
      </c>
      <c r="AM216" s="22">
        <f t="shared" ref="AM216" si="1862">AM217+AM218</f>
        <v>0</v>
      </c>
      <c r="AN216" s="22">
        <f t="shared" ref="AN216:CD216" si="1863">AN217+AN218</f>
        <v>0</v>
      </c>
      <c r="AO216" s="22">
        <f t="shared" si="1863"/>
        <v>0</v>
      </c>
      <c r="AP216" s="22">
        <f t="shared" si="1863"/>
        <v>0</v>
      </c>
      <c r="AQ216" s="22">
        <f t="shared" si="1863"/>
        <v>0</v>
      </c>
      <c r="AR216" s="22">
        <f t="shared" si="1863"/>
        <v>0</v>
      </c>
      <c r="AS216" s="22">
        <f t="shared" si="1863"/>
        <v>0</v>
      </c>
      <c r="AT216" s="22">
        <f t="shared" si="1863"/>
        <v>0</v>
      </c>
      <c r="AU216" s="22">
        <f t="shared" si="1863"/>
        <v>0</v>
      </c>
      <c r="AV216" s="22">
        <f t="shared" si="1863"/>
        <v>0</v>
      </c>
      <c r="AW216" s="22">
        <f t="shared" si="1863"/>
        <v>0</v>
      </c>
      <c r="AX216" s="22">
        <f t="shared" si="1863"/>
        <v>0</v>
      </c>
      <c r="AY216" s="22">
        <f t="shared" si="1863"/>
        <v>0</v>
      </c>
      <c r="AZ216" s="22">
        <f t="shared" si="1863"/>
        <v>0</v>
      </c>
      <c r="BA216" s="22">
        <f t="shared" si="1863"/>
        <v>0</v>
      </c>
      <c r="BB216" s="22">
        <f t="shared" si="1863"/>
        <v>0</v>
      </c>
      <c r="BC216" s="22">
        <f t="shared" si="1863"/>
        <v>0</v>
      </c>
      <c r="BD216" s="22">
        <f t="shared" si="1863"/>
        <v>0</v>
      </c>
      <c r="BE216" s="22">
        <f t="shared" si="1863"/>
        <v>0</v>
      </c>
      <c r="BF216" s="22">
        <f t="shared" si="1863"/>
        <v>0</v>
      </c>
      <c r="BG216" s="22">
        <f t="shared" si="1863"/>
        <v>0</v>
      </c>
      <c r="BH216" s="22">
        <f t="shared" si="1863"/>
        <v>0</v>
      </c>
      <c r="BI216" s="22">
        <f t="shared" si="1863"/>
        <v>0</v>
      </c>
      <c r="BJ216" s="22">
        <f t="shared" si="1863"/>
        <v>0</v>
      </c>
      <c r="BK216" s="22">
        <f t="shared" si="1863"/>
        <v>0</v>
      </c>
      <c r="BL216" s="22">
        <f t="shared" si="1863"/>
        <v>0</v>
      </c>
      <c r="BM216" s="22">
        <f t="shared" si="1863"/>
        <v>0</v>
      </c>
      <c r="BN216" s="22">
        <f t="shared" si="1863"/>
        <v>1630.08</v>
      </c>
      <c r="BO216" s="22">
        <f t="shared" si="1863"/>
        <v>0</v>
      </c>
      <c r="BP216" s="22">
        <f t="shared" si="1863"/>
        <v>-1640.7399999999998</v>
      </c>
      <c r="BQ216" s="22">
        <f t="shared" si="1863"/>
        <v>0</v>
      </c>
      <c r="BR216" s="22">
        <f t="shared" si="1863"/>
        <v>1582.21</v>
      </c>
      <c r="BS216" s="22">
        <f t="shared" si="1863"/>
        <v>0</v>
      </c>
      <c r="BT216" s="22">
        <f t="shared" si="1863"/>
        <v>24.419999999999959</v>
      </c>
      <c r="BU216" s="22">
        <f t="shared" si="1863"/>
        <v>0</v>
      </c>
      <c r="BV216" s="22">
        <f t="shared" si="1863"/>
        <v>-9.1399999999998727</v>
      </c>
      <c r="BW216" s="22">
        <f t="shared" si="1863"/>
        <v>0</v>
      </c>
      <c r="BX216" s="22">
        <f t="shared" si="1863"/>
        <v>1.7300000000000182</v>
      </c>
      <c r="BY216" s="22">
        <f t="shared" si="1863"/>
        <v>0</v>
      </c>
      <c r="BZ216" s="22">
        <f t="shared" si="1863"/>
        <v>489.16000000000008</v>
      </c>
      <c r="CA216" s="22">
        <f t="shared" si="1863"/>
        <v>0</v>
      </c>
      <c r="CB216" s="22">
        <f t="shared" si="1863"/>
        <v>216.05000000000018</v>
      </c>
      <c r="CC216" s="22">
        <f t="shared" si="1863"/>
        <v>0</v>
      </c>
      <c r="CD216" s="22">
        <f t="shared" si="1863"/>
        <v>186.94999999999976</v>
      </c>
      <c r="CE216" s="22">
        <f t="shared" ref="CE216:CF216" si="1864">CE217+CE218</f>
        <v>0</v>
      </c>
      <c r="CF216" s="22">
        <f t="shared" si="1864"/>
        <v>1103.3699999999999</v>
      </c>
      <c r="CG216" s="22">
        <f t="shared" ref="CG216:CH216" si="1865">CG217+CG218</f>
        <v>0</v>
      </c>
      <c r="CH216" s="22">
        <f t="shared" si="1865"/>
        <v>314.97000000000003</v>
      </c>
      <c r="CI216" s="22">
        <f t="shared" ref="CI216:CJ216" si="1866">CI217+CI218</f>
        <v>0</v>
      </c>
      <c r="CJ216" s="22">
        <f t="shared" si="1866"/>
        <v>997.5300000000002</v>
      </c>
      <c r="CK216" s="22">
        <f t="shared" ref="CK216:DB216" si="1867">CK217+CK218</f>
        <v>0</v>
      </c>
      <c r="CL216" s="22">
        <f t="shared" si="1867"/>
        <v>312.17000000000007</v>
      </c>
      <c r="CM216" s="21">
        <f t="shared" si="1867"/>
        <v>0</v>
      </c>
      <c r="CN216" s="21">
        <f t="shared" si="1867"/>
        <v>0</v>
      </c>
      <c r="CO216" s="21">
        <f t="shared" si="1867"/>
        <v>0</v>
      </c>
      <c r="CP216" s="21">
        <f t="shared" si="1867"/>
        <v>0</v>
      </c>
      <c r="CQ216" s="21">
        <f t="shared" si="1867"/>
        <v>0</v>
      </c>
      <c r="CR216" s="21">
        <f t="shared" si="1867"/>
        <v>0</v>
      </c>
      <c r="CS216" s="21">
        <f t="shared" si="1867"/>
        <v>0</v>
      </c>
      <c r="CT216" s="21">
        <f t="shared" si="1867"/>
        <v>0</v>
      </c>
      <c r="CU216" s="21">
        <f t="shared" si="1867"/>
        <v>0</v>
      </c>
      <c r="CV216" s="21">
        <f t="shared" si="1867"/>
        <v>0</v>
      </c>
      <c r="CW216" s="21">
        <f t="shared" si="1867"/>
        <v>0</v>
      </c>
      <c r="CX216" s="21">
        <f t="shared" si="1867"/>
        <v>0</v>
      </c>
      <c r="CY216" s="21">
        <f t="shared" si="1867"/>
        <v>0</v>
      </c>
      <c r="CZ216" s="21">
        <f t="shared" si="1867"/>
        <v>0</v>
      </c>
      <c r="DA216" s="21">
        <f t="shared" si="1867"/>
        <v>0</v>
      </c>
      <c r="DB216" s="21">
        <f t="shared" si="1867"/>
        <v>0</v>
      </c>
      <c r="DE216" s="126"/>
      <c r="DF216" s="22">
        <v>0</v>
      </c>
    </row>
    <row r="217" spans="1:110" s="23" customFormat="1" x14ac:dyDescent="0.2">
      <c r="A217" s="23" t="s">
        <v>49</v>
      </c>
      <c r="C217" s="23">
        <f t="shared" ref="C217:AA217" si="1868">C139-B139</f>
        <v>0</v>
      </c>
      <c r="D217" s="23">
        <f t="shared" si="1868"/>
        <v>0</v>
      </c>
      <c r="E217" s="23">
        <f>E139-D139</f>
        <v>0</v>
      </c>
      <c r="F217" s="23">
        <f t="shared" si="1868"/>
        <v>49.7271657</v>
      </c>
      <c r="G217" s="23">
        <f t="shared" si="1868"/>
        <v>10.7241505</v>
      </c>
      <c r="H217" s="23">
        <f t="shared" si="1868"/>
        <v>22.050970999999997</v>
      </c>
      <c r="I217" s="23">
        <f t="shared" si="1868"/>
        <v>60.02108650000001</v>
      </c>
      <c r="J217" s="23">
        <f>J139-I139</f>
        <v>55.238090699999987</v>
      </c>
      <c r="K217" s="23">
        <f>K139-J139</f>
        <v>1.6687150000000202</v>
      </c>
      <c r="L217" s="23">
        <f t="shared" si="1868"/>
        <v>80.144362599999994</v>
      </c>
      <c r="M217" s="23">
        <f t="shared" si="1868"/>
        <v>213.12447349999997</v>
      </c>
      <c r="N217" s="23">
        <f t="shared" si="1868"/>
        <v>-8.0650154999999586</v>
      </c>
      <c r="O217" s="23">
        <f t="shared" si="1868"/>
        <v>39.014999999999986</v>
      </c>
      <c r="P217" s="23">
        <f t="shared" si="1868"/>
        <v>25.40300000000002</v>
      </c>
      <c r="Q217" s="23">
        <f t="shared" si="1868"/>
        <v>67.706000000000017</v>
      </c>
      <c r="R217" s="23">
        <f t="shared" si="1868"/>
        <v>160.27300000000002</v>
      </c>
      <c r="S217" s="23">
        <f t="shared" si="1868"/>
        <v>69.658999999999764</v>
      </c>
      <c r="T217" s="23">
        <f t="shared" si="1868"/>
        <v>138.57300000000021</v>
      </c>
      <c r="U217" s="23">
        <f t="shared" si="1868"/>
        <v>73.16700000000003</v>
      </c>
      <c r="V217" s="23">
        <f t="shared" si="1868"/>
        <v>-354.8900000000001</v>
      </c>
      <c r="W217" s="23">
        <f t="shared" si="1868"/>
        <v>12.060000000000059</v>
      </c>
      <c r="X217" s="23">
        <f t="shared" si="1868"/>
        <v>437.12</v>
      </c>
      <c r="Y217" s="23">
        <f t="shared" si="1868"/>
        <v>393.70999999999981</v>
      </c>
      <c r="Z217" s="23">
        <f t="shared" si="1868"/>
        <v>507.83000000000038</v>
      </c>
      <c r="AA217" s="23">
        <f t="shared" si="1868"/>
        <v>1286.3699999999999</v>
      </c>
      <c r="AB217" s="24">
        <f t="shared" ref="AB217" si="1869">AB139-AA139</f>
        <v>0</v>
      </c>
      <c r="AC217" s="24">
        <f t="shared" ref="AC217" si="1870">AC139-AB139</f>
        <v>0</v>
      </c>
      <c r="AD217" s="24">
        <f t="shared" ref="AD217" si="1871">AD139-AC139</f>
        <v>0</v>
      </c>
      <c r="AE217" s="24">
        <f t="shared" ref="AE217" si="1872">AE139-AD139</f>
        <v>0</v>
      </c>
      <c r="AI217" s="23">
        <f t="shared" ref="AI217" si="1873">AI139-AH139</f>
        <v>0</v>
      </c>
      <c r="AJ217" s="23">
        <f t="shared" ref="AJ217" si="1874">AJ139-AI139</f>
        <v>0</v>
      </c>
      <c r="AK217" s="23">
        <f t="shared" ref="AK217" si="1875">AK139-AJ139</f>
        <v>0</v>
      </c>
      <c r="AL217" s="23">
        <f t="shared" ref="AL217" si="1876">AL139-AK139</f>
        <v>0</v>
      </c>
      <c r="AM217" s="23">
        <f t="shared" ref="AM217" si="1877">AM139-AL139</f>
        <v>0</v>
      </c>
      <c r="AN217" s="23">
        <f t="shared" ref="AN217" si="1878">AN139-AM139</f>
        <v>0</v>
      </c>
      <c r="AO217" s="23">
        <f t="shared" ref="AO217" si="1879">AO139-AN139</f>
        <v>0</v>
      </c>
      <c r="AP217" s="23">
        <f t="shared" ref="AP217" si="1880">AP139-AO139</f>
        <v>0</v>
      </c>
      <c r="AQ217" s="23">
        <f t="shared" ref="AQ217" si="1881">AQ139-AP139</f>
        <v>0</v>
      </c>
      <c r="AR217" s="23">
        <f t="shared" ref="AR217" si="1882">AR139-AQ139</f>
        <v>0</v>
      </c>
      <c r="AS217" s="23">
        <f t="shared" ref="AS217" si="1883">AS139-AR139</f>
        <v>0</v>
      </c>
      <c r="AT217" s="23">
        <f t="shared" ref="AT217" si="1884">AT139-AS139</f>
        <v>0</v>
      </c>
      <c r="AU217" s="23">
        <f t="shared" ref="AU217" si="1885">AU139-AT139</f>
        <v>0</v>
      </c>
      <c r="AV217" s="23">
        <f t="shared" ref="AV217" si="1886">AV139-AU139</f>
        <v>0</v>
      </c>
      <c r="AW217" s="23">
        <f t="shared" ref="AW217" si="1887">AW139-AV139</f>
        <v>0</v>
      </c>
      <c r="AX217" s="23">
        <f t="shared" ref="AX217" si="1888">AX139-AW139</f>
        <v>0</v>
      </c>
      <c r="AY217" s="23">
        <f t="shared" ref="AY217" si="1889">AY139-AX139</f>
        <v>0</v>
      </c>
      <c r="AZ217" s="23">
        <f t="shared" ref="AZ217" si="1890">AZ139-AY139</f>
        <v>0</v>
      </c>
      <c r="BA217" s="23">
        <f t="shared" ref="BA217" si="1891">BA139-AZ139</f>
        <v>0</v>
      </c>
      <c r="BB217" s="23">
        <f t="shared" ref="BB217" si="1892">BB139-BA139</f>
        <v>0</v>
      </c>
      <c r="BC217" s="23">
        <f t="shared" ref="BC217" si="1893">BC139-BB139</f>
        <v>0</v>
      </c>
      <c r="BD217" s="23">
        <f t="shared" ref="BD217" si="1894">BD139-BC139</f>
        <v>0</v>
      </c>
      <c r="BE217" s="23">
        <f t="shared" ref="BE217" si="1895">BE139-BD139</f>
        <v>0</v>
      </c>
      <c r="BF217" s="23">
        <f t="shared" ref="BF217" si="1896">BF139-BE139</f>
        <v>0</v>
      </c>
      <c r="BG217" s="23">
        <f t="shared" ref="BG217" si="1897">BG139-BF139</f>
        <v>0</v>
      </c>
      <c r="BH217" s="23">
        <f t="shared" ref="BH217" si="1898">BH139-BG139</f>
        <v>0</v>
      </c>
      <c r="BI217" s="23">
        <f t="shared" ref="BI217" si="1899">BI139-BH139</f>
        <v>0</v>
      </c>
      <c r="BJ217" s="23">
        <f t="shared" ref="BJ217" si="1900">BJ139-BI139</f>
        <v>0</v>
      </c>
      <c r="BK217" s="23">
        <f t="shared" ref="BK217" si="1901">BK139-BJ139</f>
        <v>0</v>
      </c>
      <c r="BL217" s="23">
        <f t="shared" ref="BL217" si="1902">BL139-BK139</f>
        <v>0</v>
      </c>
      <c r="BM217" s="23">
        <f t="shared" ref="BM217" si="1903">BM139-BL139</f>
        <v>0</v>
      </c>
      <c r="BN217" s="23">
        <f t="shared" ref="BN217" si="1904">BN139-BM139</f>
        <v>912.55</v>
      </c>
      <c r="BO217" s="23">
        <f t="shared" ref="BO217" si="1905">BO139-BN139</f>
        <v>0</v>
      </c>
      <c r="BP217" s="23">
        <f t="shared" ref="BP217" si="1906">BP139-BO139</f>
        <v>-912.55</v>
      </c>
      <c r="BQ217" s="23">
        <f t="shared" ref="BQ217" si="1907">BQ139-BP139</f>
        <v>0</v>
      </c>
      <c r="BR217" s="23">
        <f t="shared" ref="BR217" si="1908">BR139-BQ139</f>
        <v>703.54</v>
      </c>
      <c r="BS217" s="23">
        <f t="shared" ref="BS217" si="1909">BS139-BR139</f>
        <v>0</v>
      </c>
      <c r="BT217" s="23">
        <f t="shared" ref="BT217" si="1910">BT139-BS139</f>
        <v>23.230000000000018</v>
      </c>
      <c r="BU217" s="23">
        <f t="shared" ref="BU217" si="1911">BU139-BT139</f>
        <v>0</v>
      </c>
      <c r="BV217" s="23">
        <f t="shared" ref="BV217" si="1912">BV139-BU139</f>
        <v>-11.170000000000073</v>
      </c>
      <c r="BW217" s="23">
        <f t="shared" ref="BW217" si="1913">BW139-BV139</f>
        <v>0</v>
      </c>
      <c r="BX217" s="23">
        <f t="shared" ref="BX217" si="1914">BX139-BW139</f>
        <v>13.060000000000173</v>
      </c>
      <c r="BY217" s="23">
        <f t="shared" ref="BY217" si="1915">BY139-BX139</f>
        <v>0</v>
      </c>
      <c r="BZ217" s="23">
        <f t="shared" ref="BZ217" si="1916">BZ139-BY139</f>
        <v>424.05999999999995</v>
      </c>
      <c r="CA217" s="23">
        <f t="shared" ref="CA217" si="1917">CA139-BZ139</f>
        <v>0</v>
      </c>
      <c r="CB217" s="23">
        <f t="shared" ref="CB217" si="1918">CB139-CA139</f>
        <v>223.15000000000009</v>
      </c>
      <c r="CC217" s="23">
        <f t="shared" ref="CC217" si="1919">CC139-CB139</f>
        <v>0</v>
      </c>
      <c r="CD217" s="23">
        <f t="shared" ref="CD217" si="1920">CD139-CC139</f>
        <v>170.55999999999972</v>
      </c>
      <c r="CE217" s="23">
        <f t="shared" ref="CE217" si="1921">CE139-CD139</f>
        <v>0</v>
      </c>
      <c r="CF217" s="23">
        <f t="shared" ref="CF217" si="1922">CF139-CE139</f>
        <v>185.66000000000008</v>
      </c>
      <c r="CG217" s="23">
        <f t="shared" ref="CG217" si="1923">CG139-CF139</f>
        <v>0</v>
      </c>
      <c r="CH217" s="23">
        <f t="shared" ref="CH217:CL217" si="1924">CH139-CG139</f>
        <v>322.1700000000003</v>
      </c>
      <c r="CI217" s="23">
        <f t="shared" si="1924"/>
        <v>0</v>
      </c>
      <c r="CJ217" s="23">
        <f t="shared" si="1924"/>
        <v>984.86999999999989</v>
      </c>
      <c r="CK217" s="23">
        <f t="shared" ref="CK217" si="1925">CK139-CJ139</f>
        <v>0</v>
      </c>
      <c r="CL217" s="23">
        <f t="shared" si="1924"/>
        <v>301.5</v>
      </c>
      <c r="CM217" s="24">
        <f t="shared" ref="CM217" si="1926">CM139-CL139</f>
        <v>0</v>
      </c>
      <c r="CN217" s="24">
        <f t="shared" ref="CN217" si="1927">CN139-CM139</f>
        <v>0</v>
      </c>
      <c r="CO217" s="24">
        <f t="shared" ref="CO217" si="1928">CO139-CN139</f>
        <v>0</v>
      </c>
      <c r="CP217" s="24">
        <f t="shared" ref="CP217" si="1929">CP139-CO139</f>
        <v>0</v>
      </c>
      <c r="CQ217" s="24">
        <f t="shared" ref="CQ217" si="1930">CQ139-CP139</f>
        <v>0</v>
      </c>
      <c r="CR217" s="24">
        <f t="shared" ref="CR217" si="1931">CR139-CQ139</f>
        <v>0</v>
      </c>
      <c r="CS217" s="24">
        <f t="shared" ref="CS217" si="1932">CS139-CR139</f>
        <v>0</v>
      </c>
      <c r="CT217" s="24">
        <f t="shared" ref="CT217" si="1933">CT139-CS139</f>
        <v>0</v>
      </c>
      <c r="CU217" s="24">
        <f t="shared" ref="CU217" si="1934">CU139-CT139</f>
        <v>0</v>
      </c>
      <c r="CV217" s="24">
        <f t="shared" ref="CV217" si="1935">CV139-CU139</f>
        <v>0</v>
      </c>
      <c r="CW217" s="24">
        <f t="shared" ref="CW217" si="1936">CW139-CV139</f>
        <v>0</v>
      </c>
      <c r="CX217" s="24">
        <f t="shared" ref="CX217" si="1937">CX139-CW139</f>
        <v>0</v>
      </c>
      <c r="CY217" s="24">
        <f t="shared" ref="CY217" si="1938">CY139-CX139</f>
        <v>0</v>
      </c>
      <c r="CZ217" s="24">
        <f t="shared" ref="CZ217" si="1939">CZ139-CY139</f>
        <v>0</v>
      </c>
      <c r="DA217" s="24">
        <f t="shared" ref="DA217" si="1940">DA139-CZ139</f>
        <v>0</v>
      </c>
      <c r="DB217" s="24">
        <f t="shared" ref="DB217" si="1941">DB139-DA139</f>
        <v>0</v>
      </c>
      <c r="DE217" s="123"/>
      <c r="DF217" s="23">
        <v>0</v>
      </c>
    </row>
    <row r="218" spans="1:110" s="23" customFormat="1" x14ac:dyDescent="0.2">
      <c r="A218" s="23" t="s">
        <v>27</v>
      </c>
      <c r="C218" s="23">
        <f t="shared" ref="C218:AE218" si="1942">C131-C59-B131+C133-B133</f>
        <v>0</v>
      </c>
      <c r="D218" s="23">
        <f t="shared" si="1942"/>
        <v>0</v>
      </c>
      <c r="E218" s="23">
        <f t="shared" si="1942"/>
        <v>0</v>
      </c>
      <c r="F218" s="23">
        <f t="shared" si="1942"/>
        <v>14.501852899999992</v>
      </c>
      <c r="G218" s="23">
        <f t="shared" si="1942"/>
        <v>-8.5000000000004405E-2</v>
      </c>
      <c r="H218" s="23">
        <f t="shared" si="1942"/>
        <v>0.86447390000002144</v>
      </c>
      <c r="I218" s="23">
        <f t="shared" si="1942"/>
        <v>1.6663414999999873</v>
      </c>
      <c r="J218" s="23">
        <f t="shared" si="1942"/>
        <v>-2.4763414999999753</v>
      </c>
      <c r="K218" s="23">
        <f t="shared" si="1942"/>
        <v>-8.6100000000001842E-2</v>
      </c>
      <c r="L218" s="23">
        <f t="shared" si="1942"/>
        <v>60.196591600000005</v>
      </c>
      <c r="M218" s="23">
        <f t="shared" si="1942"/>
        <v>45.541826200000003</v>
      </c>
      <c r="N218" s="23">
        <f t="shared" si="1942"/>
        <v>215.65821460000015</v>
      </c>
      <c r="O218" s="23">
        <f t="shared" si="1942"/>
        <v>-1.494000000000085</v>
      </c>
      <c r="P218" s="23">
        <f t="shared" si="1942"/>
        <v>13.272000000000105</v>
      </c>
      <c r="Q218" s="23">
        <f t="shared" si="1942"/>
        <v>-2.9910000000000991</v>
      </c>
      <c r="R218" s="23">
        <f t="shared" si="1942"/>
        <v>0.24399999999991451</v>
      </c>
      <c r="S218" s="23">
        <f t="shared" si="1942"/>
        <v>-11.61300000000017</v>
      </c>
      <c r="T218" s="23">
        <f t="shared" si="1942"/>
        <v>-12.378000000000043</v>
      </c>
      <c r="U218" s="23">
        <f t="shared" si="1942"/>
        <v>-1.679000000000201</v>
      </c>
      <c r="V218" s="23">
        <f t="shared" si="1942"/>
        <v>150.48000000000002</v>
      </c>
      <c r="W218" s="23">
        <f t="shared" si="1942"/>
        <v>3.2199999999999136</v>
      </c>
      <c r="X218" s="23">
        <f t="shared" si="1942"/>
        <v>53.769999999999754</v>
      </c>
      <c r="Y218" s="23">
        <f t="shared" si="1942"/>
        <v>9.2900000000003615</v>
      </c>
      <c r="Z218" s="23">
        <f t="shared" si="1942"/>
        <v>910.51</v>
      </c>
      <c r="AA218" s="23">
        <f t="shared" si="1942"/>
        <v>23.329999999999472</v>
      </c>
      <c r="AB218" s="24">
        <f t="shared" si="1942"/>
        <v>0</v>
      </c>
      <c r="AC218" s="24">
        <f t="shared" si="1942"/>
        <v>-1.8189894035458565E-12</v>
      </c>
      <c r="AD218" s="24">
        <f t="shared" si="1942"/>
        <v>0</v>
      </c>
      <c r="AE218" s="24">
        <f t="shared" si="1942"/>
        <v>-1.8189894035458565E-12</v>
      </c>
      <c r="AI218" s="23">
        <f t="shared" ref="AI218:BN218" si="1943">AI131-AI59-AH131+AI133-AH133</f>
        <v>0</v>
      </c>
      <c r="AJ218" s="23">
        <f t="shared" si="1943"/>
        <v>0</v>
      </c>
      <c r="AK218" s="23">
        <f t="shared" si="1943"/>
        <v>0</v>
      </c>
      <c r="AL218" s="23">
        <f t="shared" si="1943"/>
        <v>0</v>
      </c>
      <c r="AM218" s="23">
        <f t="shared" si="1943"/>
        <v>0</v>
      </c>
      <c r="AN218" s="23">
        <f t="shared" si="1943"/>
        <v>0</v>
      </c>
      <c r="AO218" s="23">
        <f t="shared" si="1943"/>
        <v>0</v>
      </c>
      <c r="AP218" s="23">
        <f t="shared" si="1943"/>
        <v>0</v>
      </c>
      <c r="AQ218" s="23">
        <f t="shared" si="1943"/>
        <v>0</v>
      </c>
      <c r="AR218" s="23">
        <f t="shared" si="1943"/>
        <v>0</v>
      </c>
      <c r="AS218" s="23">
        <f t="shared" si="1943"/>
        <v>0</v>
      </c>
      <c r="AT218" s="23">
        <f t="shared" si="1943"/>
        <v>0</v>
      </c>
      <c r="AU218" s="23">
        <f t="shared" si="1943"/>
        <v>0</v>
      </c>
      <c r="AV218" s="23">
        <f t="shared" si="1943"/>
        <v>0</v>
      </c>
      <c r="AW218" s="23">
        <f t="shared" si="1943"/>
        <v>0</v>
      </c>
      <c r="AX218" s="23">
        <f t="shared" si="1943"/>
        <v>0</v>
      </c>
      <c r="AY218" s="23">
        <f t="shared" si="1943"/>
        <v>0</v>
      </c>
      <c r="AZ218" s="23">
        <f t="shared" si="1943"/>
        <v>0</v>
      </c>
      <c r="BA218" s="23">
        <f t="shared" si="1943"/>
        <v>0</v>
      </c>
      <c r="BB218" s="23">
        <f t="shared" si="1943"/>
        <v>0</v>
      </c>
      <c r="BC218" s="23">
        <f t="shared" si="1943"/>
        <v>0</v>
      </c>
      <c r="BD218" s="23">
        <f t="shared" si="1943"/>
        <v>0</v>
      </c>
      <c r="BE218" s="23">
        <f t="shared" si="1943"/>
        <v>0</v>
      </c>
      <c r="BF218" s="23">
        <f t="shared" si="1943"/>
        <v>0</v>
      </c>
      <c r="BG218" s="23">
        <f t="shared" si="1943"/>
        <v>0</v>
      </c>
      <c r="BH218" s="23">
        <f t="shared" si="1943"/>
        <v>0</v>
      </c>
      <c r="BI218" s="23">
        <f t="shared" si="1943"/>
        <v>0</v>
      </c>
      <c r="BJ218" s="23">
        <f t="shared" si="1943"/>
        <v>0</v>
      </c>
      <c r="BK218" s="23">
        <f t="shared" si="1943"/>
        <v>0</v>
      </c>
      <c r="BL218" s="23">
        <f t="shared" si="1943"/>
        <v>0</v>
      </c>
      <c r="BM218" s="23">
        <f t="shared" si="1943"/>
        <v>0</v>
      </c>
      <c r="BN218" s="23">
        <f t="shared" si="1943"/>
        <v>717.52999999999986</v>
      </c>
      <c r="BO218" s="23">
        <f t="shared" ref="BO218:CT218" si="1944">BO131-BO59-BN131+BO133-BN133</f>
        <v>0</v>
      </c>
      <c r="BP218" s="23">
        <f t="shared" si="1944"/>
        <v>-728.18999999999983</v>
      </c>
      <c r="BQ218" s="23">
        <f t="shared" si="1944"/>
        <v>0</v>
      </c>
      <c r="BR218" s="23">
        <f t="shared" si="1944"/>
        <v>878.67</v>
      </c>
      <c r="BS218" s="23">
        <f t="shared" si="1944"/>
        <v>0</v>
      </c>
      <c r="BT218" s="23">
        <f t="shared" si="1944"/>
        <v>1.1899999999999409</v>
      </c>
      <c r="BU218" s="23">
        <f t="shared" si="1944"/>
        <v>0</v>
      </c>
      <c r="BV218" s="23">
        <f t="shared" si="1944"/>
        <v>2.0300000000002001</v>
      </c>
      <c r="BW218" s="23">
        <f t="shared" si="1944"/>
        <v>0</v>
      </c>
      <c r="BX218" s="23">
        <f t="shared" si="1944"/>
        <v>-11.330000000000155</v>
      </c>
      <c r="BY218" s="23">
        <f t="shared" si="1944"/>
        <v>0</v>
      </c>
      <c r="BZ218" s="23">
        <f t="shared" si="1944"/>
        <v>65.100000000000136</v>
      </c>
      <c r="CA218" s="23">
        <f t="shared" si="1944"/>
        <v>0</v>
      </c>
      <c r="CB218" s="23">
        <f t="shared" si="1944"/>
        <v>-7.0999999999999233</v>
      </c>
      <c r="CC218" s="23">
        <f t="shared" si="1944"/>
        <v>0</v>
      </c>
      <c r="CD218" s="23">
        <f t="shared" si="1944"/>
        <v>16.390000000000057</v>
      </c>
      <c r="CE218" s="23">
        <f t="shared" si="1944"/>
        <v>0</v>
      </c>
      <c r="CF218" s="23">
        <f t="shared" si="1944"/>
        <v>917.70999999999981</v>
      </c>
      <c r="CG218" s="23">
        <f t="shared" si="1944"/>
        <v>0</v>
      </c>
      <c r="CH218" s="23">
        <f t="shared" si="1944"/>
        <v>-7.2000000000002728</v>
      </c>
      <c r="CI218" s="23">
        <f t="shared" si="1944"/>
        <v>0</v>
      </c>
      <c r="CJ218" s="23">
        <f t="shared" si="1944"/>
        <v>12.660000000000309</v>
      </c>
      <c r="CK218" s="23">
        <f t="shared" si="1944"/>
        <v>0</v>
      </c>
      <c r="CL218" s="23">
        <f t="shared" si="1944"/>
        <v>10.670000000000073</v>
      </c>
      <c r="CM218" s="24">
        <f t="shared" si="1944"/>
        <v>0</v>
      </c>
      <c r="CN218" s="24">
        <f t="shared" si="1944"/>
        <v>0</v>
      </c>
      <c r="CO218" s="24">
        <f t="shared" si="1944"/>
        <v>0</v>
      </c>
      <c r="CP218" s="24">
        <f t="shared" si="1944"/>
        <v>0</v>
      </c>
      <c r="CQ218" s="24">
        <f t="shared" si="1944"/>
        <v>0</v>
      </c>
      <c r="CR218" s="24">
        <f t="shared" si="1944"/>
        <v>0</v>
      </c>
      <c r="CS218" s="24">
        <f t="shared" si="1944"/>
        <v>0</v>
      </c>
      <c r="CT218" s="24">
        <f t="shared" si="1944"/>
        <v>0</v>
      </c>
      <c r="CU218" s="24">
        <f t="shared" ref="CU218:DB218" si="1945">CU131-CU59-CT131+CU133-CT133</f>
        <v>0</v>
      </c>
      <c r="CV218" s="24">
        <f t="shared" si="1945"/>
        <v>0</v>
      </c>
      <c r="CW218" s="24">
        <f t="shared" si="1945"/>
        <v>0</v>
      </c>
      <c r="CX218" s="24">
        <f t="shared" si="1945"/>
        <v>0</v>
      </c>
      <c r="CY218" s="24">
        <f t="shared" si="1945"/>
        <v>0</v>
      </c>
      <c r="CZ218" s="24">
        <f t="shared" si="1945"/>
        <v>0</v>
      </c>
      <c r="DA218" s="24">
        <f t="shared" si="1945"/>
        <v>0</v>
      </c>
      <c r="DB218" s="24">
        <f t="shared" si="1945"/>
        <v>0</v>
      </c>
      <c r="DE218" s="123"/>
      <c r="DF218" s="23">
        <v>0</v>
      </c>
    </row>
    <row r="219" spans="1:110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3" customFormat="1" x14ac:dyDescent="0.2">
      <c r="A220" s="23" t="s">
        <v>442</v>
      </c>
      <c r="C220" s="23">
        <f t="shared" ref="C220" si="1946">B172</f>
        <v>0</v>
      </c>
      <c r="D220" s="23">
        <f t="shared" ref="D220" si="1947">C172</f>
        <v>0</v>
      </c>
      <c r="E220" s="23">
        <f>D172</f>
        <v>0</v>
      </c>
      <c r="F220" s="23">
        <f t="shared" ref="F220" si="1948">E172</f>
        <v>0</v>
      </c>
      <c r="G220" s="23">
        <f t="shared" ref="G220" si="1949">F172</f>
        <v>5.1241674000000001</v>
      </c>
      <c r="H220" s="23">
        <f t="shared" ref="H220" si="1950">G172</f>
        <v>2.3223872999999999</v>
      </c>
      <c r="I220" s="23">
        <f t="shared" ref="I220" si="1951">H172</f>
        <v>5.9535593999999996</v>
      </c>
      <c r="J220" s="23">
        <f>I172</f>
        <v>8.0171886000000008</v>
      </c>
      <c r="K220" s="23">
        <f>J172</f>
        <v>5.3873430000000004</v>
      </c>
      <c r="L220" s="23">
        <f t="shared" ref="L220" si="1952">K172</f>
        <v>6.7442839000000001</v>
      </c>
      <c r="M220" s="23">
        <f t="shared" ref="M220" si="1953">L172</f>
        <v>15.884190500000001</v>
      </c>
      <c r="N220" s="23">
        <f t="shared" ref="N220" si="1954">M172</f>
        <v>20.288361699999999</v>
      </c>
      <c r="O220" s="23">
        <f t="shared" ref="O220" si="1955">N172</f>
        <v>11.72</v>
      </c>
      <c r="P220" s="23">
        <f t="shared" ref="P220" si="1956">O172</f>
        <v>7.0010000000000003</v>
      </c>
      <c r="Q220" s="23">
        <f t="shared" ref="Q220" si="1957">P172</f>
        <v>16.690000000000001</v>
      </c>
      <c r="R220" s="23">
        <f t="shared" ref="R220" si="1958">Q172</f>
        <v>16.510000000000002</v>
      </c>
      <c r="S220" s="23">
        <f t="shared" ref="S220" si="1959">R172</f>
        <v>39.744</v>
      </c>
      <c r="T220" s="23">
        <f t="shared" ref="T220" si="1960">S172</f>
        <v>48.68</v>
      </c>
      <c r="U220" s="23">
        <f t="shared" ref="U220" si="1961">T172</f>
        <v>26.581</v>
      </c>
      <c r="V220" s="23">
        <f t="shared" ref="V220" si="1962">U172</f>
        <v>71.64</v>
      </c>
      <c r="W220" s="23">
        <f t="shared" ref="W220:AA220" si="1963">V172</f>
        <v>46.66</v>
      </c>
      <c r="X220" s="23">
        <f t="shared" si="1963"/>
        <v>43.48</v>
      </c>
      <c r="Y220" s="23">
        <f t="shared" si="1963"/>
        <v>47.34</v>
      </c>
      <c r="Z220" s="23">
        <f t="shared" si="1963"/>
        <v>83.02</v>
      </c>
      <c r="AA220" s="23">
        <f t="shared" si="1963"/>
        <v>123.23</v>
      </c>
      <c r="AB220" s="24">
        <f t="shared" ref="AB220" si="1964">AA172</f>
        <v>178.78</v>
      </c>
      <c r="AC220" s="24">
        <f t="shared" ref="AC220" si="1965">AB172</f>
        <v>863.21860328125922</v>
      </c>
      <c r="AD220" s="24">
        <f t="shared" ref="AD220" si="1966">AC172</f>
        <v>1660.4184336681333</v>
      </c>
      <c r="AE220" s="24">
        <f t="shared" ref="AE220" si="1967">AD172</f>
        <v>2594.4207090929599</v>
      </c>
      <c r="AI220" s="23">
        <f t="shared" ref="AI220" si="1968">AH172</f>
        <v>0</v>
      </c>
      <c r="AJ220" s="23">
        <f t="shared" ref="AJ220" si="1969">AI172</f>
        <v>0</v>
      </c>
      <c r="AK220" s="23">
        <f t="shared" ref="AK220" si="1970">AJ172</f>
        <v>0</v>
      </c>
      <c r="AL220" s="23" t="e">
        <f t="shared" ref="AL220" si="1971">AK172</f>
        <v>#DIV/0!</v>
      </c>
      <c r="AM220" s="23">
        <f t="shared" ref="AM220" si="1972">AL172</f>
        <v>0</v>
      </c>
      <c r="AN220" s="23" t="e">
        <f t="shared" ref="AN220" si="1973">AM172</f>
        <v>#DIV/0!</v>
      </c>
      <c r="AO220" s="23">
        <f t="shared" ref="AO220" si="1974">AN172</f>
        <v>0</v>
      </c>
      <c r="AP220" s="23" t="e">
        <f t="shared" ref="AP220" si="1975">AO172</f>
        <v>#DIV/0!</v>
      </c>
      <c r="AQ220" s="23">
        <f t="shared" ref="AQ220" si="1976">AP172</f>
        <v>0</v>
      </c>
      <c r="AR220" s="23" t="e">
        <f t="shared" ref="AR220" si="1977">AQ172</f>
        <v>#DIV/0!</v>
      </c>
      <c r="AS220" s="23">
        <f t="shared" ref="AS220" si="1978">AR172</f>
        <v>0</v>
      </c>
      <c r="AT220" s="23" t="e">
        <f t="shared" ref="AT220" si="1979">AS172</f>
        <v>#DIV/0!</v>
      </c>
      <c r="AU220" s="23">
        <f t="shared" ref="AU220" si="1980">AT172</f>
        <v>0</v>
      </c>
      <c r="AV220" s="23" t="e">
        <f t="shared" ref="AV220" si="1981">AU172</f>
        <v>#DIV/0!</v>
      </c>
      <c r="AW220" s="23">
        <f t="shared" ref="AW220" si="1982">AV172</f>
        <v>0</v>
      </c>
      <c r="AX220" s="23" t="e">
        <f t="shared" ref="AX220" si="1983">AW172</f>
        <v>#DIV/0!</v>
      </c>
      <c r="AY220" s="23">
        <f t="shared" ref="AY220" si="1984">AX172</f>
        <v>0</v>
      </c>
      <c r="AZ220" s="23" t="e">
        <f t="shared" ref="AZ220" si="1985">AY172</f>
        <v>#DIV/0!</v>
      </c>
      <c r="BA220" s="23">
        <f t="shared" ref="BA220" si="1986">AZ172</f>
        <v>0</v>
      </c>
      <c r="BB220" s="23" t="e">
        <f t="shared" ref="BB220" si="1987">BA172</f>
        <v>#DIV/0!</v>
      </c>
      <c r="BC220" s="23">
        <f t="shared" ref="BC220" si="1988">BB172</f>
        <v>0</v>
      </c>
      <c r="BD220" s="23" t="e">
        <f t="shared" ref="BD220" si="1989">BC172</f>
        <v>#DIV/0!</v>
      </c>
      <c r="BE220" s="23">
        <f t="shared" ref="BE220" si="1990">BD172</f>
        <v>0</v>
      </c>
      <c r="BF220" s="23" t="e">
        <f t="shared" ref="BF220" si="1991">BE172</f>
        <v>#DIV/0!</v>
      </c>
      <c r="BG220" s="23">
        <f t="shared" ref="BG220" si="1992">BF172</f>
        <v>0</v>
      </c>
      <c r="BH220" s="23" t="e">
        <f t="shared" ref="BH220" si="1993">BG172</f>
        <v>#DIV/0!</v>
      </c>
      <c r="BI220" s="23">
        <f t="shared" ref="BI220" si="1994">BH172</f>
        <v>0</v>
      </c>
      <c r="BJ220" s="23" t="e">
        <f t="shared" ref="BJ220" si="1995">BI172</f>
        <v>#DIV/0!</v>
      </c>
      <c r="BK220" s="23">
        <f t="shared" ref="BK220" si="1996">BJ172</f>
        <v>0</v>
      </c>
      <c r="BL220" s="23" t="e">
        <f t="shared" ref="BL220" si="1997">BK172</f>
        <v>#DIV/0!</v>
      </c>
      <c r="BM220" s="23">
        <f t="shared" ref="BM220" si="1998">BL172</f>
        <v>0</v>
      </c>
      <c r="BN220" s="23" t="e">
        <f t="shared" ref="BN220" si="1999">BM172</f>
        <v>#DIV/0!</v>
      </c>
      <c r="BO220" s="23">
        <f t="shared" ref="BO220" si="2000">BN172</f>
        <v>71.64</v>
      </c>
      <c r="BP220" s="23">
        <f t="shared" ref="BP220" si="2001">BO172</f>
        <v>177.47958972518751</v>
      </c>
      <c r="BQ220" s="23">
        <f t="shared" ref="BQ220" si="2002">BP172</f>
        <v>0</v>
      </c>
      <c r="BR220" s="23">
        <f t="shared" ref="BR220" si="2003">BQ172</f>
        <v>43.479999999999976</v>
      </c>
      <c r="BS220" s="23">
        <f t="shared" ref="BS220" si="2004">BR172</f>
        <v>46.66</v>
      </c>
      <c r="BT220" s="23">
        <f t="shared" ref="BT220" si="2005">BS172</f>
        <v>126.24248622384411</v>
      </c>
      <c r="BU220" s="23">
        <f t="shared" ref="BU220" si="2006">BT172</f>
        <v>42.55</v>
      </c>
      <c r="BV220" s="23">
        <f t="shared" ref="BV220" si="2007">BU172</f>
        <v>91.29128263953335</v>
      </c>
      <c r="BW220" s="23">
        <f t="shared" ref="BW220" si="2008">BV172</f>
        <v>43.48</v>
      </c>
      <c r="BX220" s="23">
        <f t="shared" ref="BX220" si="2009">BW172</f>
        <v>85.904918756757525</v>
      </c>
      <c r="BY220" s="23">
        <f t="shared" ref="BY220" si="2010">BX172</f>
        <v>47.84</v>
      </c>
      <c r="BZ220" s="23">
        <f t="shared" ref="BZ220" si="2011">BY172</f>
        <v>118.65305859012658</v>
      </c>
      <c r="CA220" s="23">
        <f t="shared" ref="CA220" si="2012">BZ172</f>
        <v>47.34</v>
      </c>
      <c r="CB220" s="23">
        <f t="shared" ref="CB220" si="2013">CA172</f>
        <v>83.290386894743733</v>
      </c>
      <c r="CC220" s="23">
        <f t="shared" ref="CC220" si="2014">CB172</f>
        <v>39.659999999999997</v>
      </c>
      <c r="CD220" s="23">
        <f t="shared" ref="CD220" si="2015">CC172</f>
        <v>147.30679795769504</v>
      </c>
      <c r="CE220" s="23">
        <f t="shared" ref="CE220" si="2016">CD172</f>
        <v>83.02</v>
      </c>
      <c r="CF220" s="23">
        <f t="shared" ref="CF220" si="2017">CE172</f>
        <v>102.3283540810974</v>
      </c>
      <c r="CG220" s="23">
        <f t="shared" ref="CG220" si="2018">CF172</f>
        <v>538.82000000000005</v>
      </c>
      <c r="CH220" s="23">
        <f t="shared" ref="CH220:CL220" si="2019">CG172</f>
        <v>243.78706281148351</v>
      </c>
      <c r="CI220" s="23">
        <f t="shared" si="2019"/>
        <v>123.23</v>
      </c>
      <c r="CJ220" s="23">
        <f t="shared" si="2019"/>
        <v>279.45052593968796</v>
      </c>
      <c r="CK220" s="23">
        <f t="shared" ref="CK220" si="2020">CJ172</f>
        <v>177</v>
      </c>
      <c r="CL220" s="23">
        <f t="shared" si="2019"/>
        <v>347.79283879315972</v>
      </c>
      <c r="CM220" s="24">
        <f t="shared" ref="CM220" si="2021">CL172</f>
        <v>178.78</v>
      </c>
      <c r="CN220" s="24">
        <f t="shared" ref="CN220" si="2022">CM172</f>
        <v>502.03774150194681</v>
      </c>
      <c r="CO220" s="24">
        <f t="shared" ref="CO220" si="2023">CN172</f>
        <v>541.61053133746975</v>
      </c>
      <c r="CP220" s="24">
        <f t="shared" ref="CP220" si="2024">CO172</f>
        <v>748.36739739368477</v>
      </c>
      <c r="CQ220" s="24">
        <f t="shared" ref="CQ220" si="2025">CP172</f>
        <v>863.21860328125922</v>
      </c>
      <c r="CR220" s="24">
        <f t="shared" ref="CR220" si="2026">CQ172</f>
        <v>1244.3998789533371</v>
      </c>
      <c r="CS220" s="24">
        <f t="shared" ref="CS220" si="2027">CR172</f>
        <v>1288.7693674203679</v>
      </c>
      <c r="CT220" s="24">
        <f t="shared" ref="CT220" si="2028">CS172</f>
        <v>1527.7866907083464</v>
      </c>
      <c r="CU220" s="24">
        <f t="shared" ref="CU220" si="2029">CT172</f>
        <v>1660.4184336681333</v>
      </c>
      <c r="CV220" s="24">
        <f t="shared" ref="CV220" si="2030">CU172</f>
        <v>2108.5263610999118</v>
      </c>
      <c r="CW220" s="24">
        <f t="shared" ref="CW220" si="2031">CV172</f>
        <v>2158.9024649581006</v>
      </c>
      <c r="CX220" s="24">
        <f t="shared" ref="CX220" si="2032">CW172</f>
        <v>2439.0238378134327</v>
      </c>
      <c r="CY220" s="24">
        <f t="shared" ref="CY220" si="2033">CX172</f>
        <v>2594.4207090929599</v>
      </c>
      <c r="CZ220" s="24">
        <f t="shared" ref="CZ220" si="2034">CY172</f>
        <v>3122.412913921954</v>
      </c>
      <c r="DA220" s="24">
        <f t="shared" ref="DA220" si="2035">CZ172</f>
        <v>3181.2977113790184</v>
      </c>
      <c r="DB220" s="24">
        <f t="shared" ref="DB220" si="2036">DA172</f>
        <v>3511.611001465295</v>
      </c>
      <c r="DE220" s="123"/>
      <c r="DF220" s="23">
        <v>347.79283879315972</v>
      </c>
    </row>
    <row r="221" spans="1:110" s="23" customFormat="1" x14ac:dyDescent="0.2">
      <c r="A221" s="23" t="s">
        <v>443</v>
      </c>
      <c r="C221" s="23">
        <f t="shared" ref="C221:W221" si="2037">C220+C216+C212+C210</f>
        <v>0</v>
      </c>
      <c r="D221" s="23">
        <f t="shared" si="2037"/>
        <v>0</v>
      </c>
      <c r="E221" s="23">
        <f t="shared" si="2037"/>
        <v>0</v>
      </c>
      <c r="F221" s="23">
        <f t="shared" si="2037"/>
        <v>5.1241673999999993</v>
      </c>
      <c r="G221" s="23">
        <f t="shared" si="2037"/>
        <v>2.3223873000000026</v>
      </c>
      <c r="H221" s="23">
        <f t="shared" si="2037"/>
        <v>5.9535593999999818</v>
      </c>
      <c r="I221" s="23">
        <f t="shared" si="2037"/>
        <v>8.0171886000000399</v>
      </c>
      <c r="J221" s="23">
        <f>J220+J216+J212+J210</f>
        <v>5.3873429999999622</v>
      </c>
      <c r="K221" s="23">
        <f>K220+K216+K212+K210</f>
        <v>6.744283899999985</v>
      </c>
      <c r="L221" s="23">
        <f>L220+L216+L212+L210</f>
        <v>15.884190500000045</v>
      </c>
      <c r="M221" s="23">
        <f>M220+M216+M212+M210</f>
        <v>20.288361699999996</v>
      </c>
      <c r="N221" s="23">
        <f t="shared" si="2037"/>
        <v>11.72000000000007</v>
      </c>
      <c r="O221" s="23">
        <f t="shared" si="2037"/>
        <v>7.0009999999999479</v>
      </c>
      <c r="P221" s="23">
        <f t="shared" si="2037"/>
        <v>16.690000000000111</v>
      </c>
      <c r="Q221" s="23">
        <f t="shared" si="2037"/>
        <v>16.509999999999877</v>
      </c>
      <c r="R221" s="23">
        <f t="shared" si="2037"/>
        <v>39.743999999999829</v>
      </c>
      <c r="S221" s="23">
        <f t="shared" si="2037"/>
        <v>48.679999999999723</v>
      </c>
      <c r="T221" s="23">
        <f t="shared" si="2037"/>
        <v>26.581000000000415</v>
      </c>
      <c r="U221" s="23">
        <f t="shared" si="2037"/>
        <v>71.639999999999972</v>
      </c>
      <c r="V221" s="23">
        <f t="shared" si="2037"/>
        <v>46.659999999999968</v>
      </c>
      <c r="W221" s="23">
        <f t="shared" si="2037"/>
        <v>43.479999999999819</v>
      </c>
      <c r="X221" s="23">
        <f t="shared" ref="X221:Y221" si="2038">X220+X216+X212+X210</f>
        <v>47.339999999999691</v>
      </c>
      <c r="Y221" s="23">
        <f t="shared" si="2038"/>
        <v>83.019999999999413</v>
      </c>
      <c r="Z221" s="23">
        <f t="shared" ref="Z221:AA221" si="2039">Z220+Z216+Z212+Z210</f>
        <v>123.22999999999968</v>
      </c>
      <c r="AA221" s="23">
        <f t="shared" si="2039"/>
        <v>178.780000000001</v>
      </c>
      <c r="AB221" s="24">
        <f t="shared" ref="AA221:AD221" si="2040">AB220+AB216+AB212+AB210</f>
        <v>863.2186032812574</v>
      </c>
      <c r="AC221" s="24">
        <f t="shared" si="2040"/>
        <v>1660.4184336681333</v>
      </c>
      <c r="AD221" s="24">
        <f t="shared" si="2040"/>
        <v>2594.4207090929604</v>
      </c>
      <c r="AE221" s="24">
        <f t="shared" ref="AE221" si="2041">AE220+AE216+AE212+AE210</f>
        <v>3695.1487897572902</v>
      </c>
      <c r="AI221" s="23">
        <f t="shared" ref="AI221" si="2042">AI220+AI216+AI212+AI210</f>
        <v>0</v>
      </c>
      <c r="AJ221" s="23">
        <f t="shared" ref="AJ221:AL221" si="2043">AJ220+AJ216+AJ212+AJ210</f>
        <v>0</v>
      </c>
      <c r="AK221" s="23" t="e">
        <f t="shared" si="2043"/>
        <v>#DIV/0!</v>
      </c>
      <c r="AL221" s="23" t="e">
        <f t="shared" si="2043"/>
        <v>#DIV/0!</v>
      </c>
      <c r="AM221" s="23" t="e">
        <f t="shared" ref="AM221" si="2044">AM220+AM216+AM212+AM210</f>
        <v>#DIV/0!</v>
      </c>
      <c r="AN221" s="23" t="e">
        <f t="shared" ref="AN221:CD221" si="2045">AN220+AN216+AN212+AN210</f>
        <v>#DIV/0!</v>
      </c>
      <c r="AO221" s="23" t="e">
        <f t="shared" si="2045"/>
        <v>#DIV/0!</v>
      </c>
      <c r="AP221" s="23" t="e">
        <f t="shared" si="2045"/>
        <v>#DIV/0!</v>
      </c>
      <c r="AQ221" s="23" t="e">
        <f t="shared" si="2045"/>
        <v>#DIV/0!</v>
      </c>
      <c r="AR221" s="23" t="e">
        <f t="shared" si="2045"/>
        <v>#DIV/0!</v>
      </c>
      <c r="AS221" s="23" t="e">
        <f t="shared" si="2045"/>
        <v>#DIV/0!</v>
      </c>
      <c r="AT221" s="23" t="e">
        <f t="shared" si="2045"/>
        <v>#DIV/0!</v>
      </c>
      <c r="AU221" s="23" t="e">
        <f t="shared" si="2045"/>
        <v>#DIV/0!</v>
      </c>
      <c r="AV221" s="23" t="e">
        <f t="shared" si="2045"/>
        <v>#DIV/0!</v>
      </c>
      <c r="AW221" s="23" t="e">
        <f t="shared" si="2045"/>
        <v>#DIV/0!</v>
      </c>
      <c r="AX221" s="23" t="e">
        <f t="shared" si="2045"/>
        <v>#DIV/0!</v>
      </c>
      <c r="AY221" s="23" t="e">
        <f t="shared" si="2045"/>
        <v>#DIV/0!</v>
      </c>
      <c r="AZ221" s="23" t="e">
        <f t="shared" si="2045"/>
        <v>#DIV/0!</v>
      </c>
      <c r="BA221" s="23" t="e">
        <f t="shared" si="2045"/>
        <v>#DIV/0!</v>
      </c>
      <c r="BB221" s="23" t="e">
        <f t="shared" si="2045"/>
        <v>#DIV/0!</v>
      </c>
      <c r="BC221" s="23" t="e">
        <f t="shared" si="2045"/>
        <v>#DIV/0!</v>
      </c>
      <c r="BD221" s="23" t="e">
        <f t="shared" si="2045"/>
        <v>#DIV/0!</v>
      </c>
      <c r="BE221" s="23" t="e">
        <f t="shared" si="2045"/>
        <v>#DIV/0!</v>
      </c>
      <c r="BF221" s="23" t="e">
        <f t="shared" si="2045"/>
        <v>#DIV/0!</v>
      </c>
      <c r="BG221" s="23" t="e">
        <f t="shared" si="2045"/>
        <v>#DIV/0!</v>
      </c>
      <c r="BH221" s="23" t="e">
        <f t="shared" si="2045"/>
        <v>#DIV/0!</v>
      </c>
      <c r="BI221" s="23" t="e">
        <f t="shared" si="2045"/>
        <v>#DIV/0!</v>
      </c>
      <c r="BJ221" s="23" t="e">
        <f t="shared" si="2045"/>
        <v>#DIV/0!</v>
      </c>
      <c r="BK221" s="23" t="e">
        <f t="shared" si="2045"/>
        <v>#DIV/0!</v>
      </c>
      <c r="BL221" s="23" t="e">
        <f t="shared" si="2045"/>
        <v>#DIV/0!</v>
      </c>
      <c r="BM221" s="23" t="e">
        <f t="shared" si="2045"/>
        <v>#DIV/0!</v>
      </c>
      <c r="BN221" s="23" t="e">
        <f t="shared" si="2045"/>
        <v>#DIV/0!</v>
      </c>
      <c r="BO221" s="23">
        <f t="shared" si="2045"/>
        <v>177.47958972518751</v>
      </c>
      <c r="BP221" s="23">
        <f t="shared" si="2045"/>
        <v>-1.1368683772161603E-13</v>
      </c>
      <c r="BQ221" s="23">
        <f t="shared" si="2045"/>
        <v>43.479999999999976</v>
      </c>
      <c r="BR221" s="23">
        <f t="shared" si="2045"/>
        <v>46.659999999999854</v>
      </c>
      <c r="BS221" s="23">
        <f t="shared" si="2045"/>
        <v>126.24248622384411</v>
      </c>
      <c r="BT221" s="23">
        <f t="shared" si="2045"/>
        <v>42.55000000000031</v>
      </c>
      <c r="BU221" s="23">
        <f t="shared" si="2045"/>
        <v>91.29128263953335</v>
      </c>
      <c r="BV221" s="23">
        <f t="shared" si="2045"/>
        <v>43.47999999999999</v>
      </c>
      <c r="BW221" s="23">
        <f t="shared" si="2045"/>
        <v>85.904918756757525</v>
      </c>
      <c r="BX221" s="23">
        <f t="shared" si="2045"/>
        <v>47.839999999999947</v>
      </c>
      <c r="BY221" s="23">
        <f t="shared" si="2045"/>
        <v>118.65305859012658</v>
      </c>
      <c r="BZ221" s="23">
        <f t="shared" si="2045"/>
        <v>47.339999999999947</v>
      </c>
      <c r="CA221" s="23">
        <f t="shared" si="2045"/>
        <v>83.290386894743733</v>
      </c>
      <c r="CB221" s="23">
        <f t="shared" si="2045"/>
        <v>39.660000000000394</v>
      </c>
      <c r="CC221" s="23">
        <f t="shared" si="2045"/>
        <v>147.30679795769504</v>
      </c>
      <c r="CD221" s="23">
        <f t="shared" si="2045"/>
        <v>83.019999999998902</v>
      </c>
      <c r="CE221" s="23">
        <f t="shared" ref="CE221:CF221" si="2046">CE220+CE216+CE212+CE210</f>
        <v>102.3283540810974</v>
      </c>
      <c r="CF221" s="23">
        <f t="shared" si="2046"/>
        <v>538.82000000000062</v>
      </c>
      <c r="CG221" s="23">
        <f t="shared" ref="CG221:CH221" si="2047">CG220+CG216+CG212+CG210</f>
        <v>243.78706281148351</v>
      </c>
      <c r="CH221" s="23">
        <f t="shared" si="2047"/>
        <v>123.22999999999979</v>
      </c>
      <c r="CI221" s="23">
        <f t="shared" ref="CI221:CJ221" si="2048">CI220+CI216+CI212+CI210</f>
        <v>279.45052593968796</v>
      </c>
      <c r="CJ221" s="23">
        <f t="shared" si="2048"/>
        <v>177.00000000000034</v>
      </c>
      <c r="CK221" s="23">
        <f t="shared" ref="CK221:DB221" si="2049">CK220+CK216+CK212+CK210</f>
        <v>347.79283879315972</v>
      </c>
      <c r="CL221" s="23">
        <f t="shared" si="2049"/>
        <v>178.77999999999872</v>
      </c>
      <c r="CM221" s="24">
        <f t="shared" si="2049"/>
        <v>502.03774150194681</v>
      </c>
      <c r="CN221" s="24">
        <f t="shared" si="2049"/>
        <v>541.61053133746975</v>
      </c>
      <c r="CO221" s="24">
        <f t="shared" si="2049"/>
        <v>748.36739739368477</v>
      </c>
      <c r="CP221" s="24">
        <f t="shared" si="2049"/>
        <v>863.21860328125922</v>
      </c>
      <c r="CQ221" s="24">
        <f t="shared" si="2049"/>
        <v>1244.3998789533371</v>
      </c>
      <c r="CR221" s="24">
        <f t="shared" si="2049"/>
        <v>1288.7693674203679</v>
      </c>
      <c r="CS221" s="24">
        <f t="shared" si="2049"/>
        <v>1527.7866907083464</v>
      </c>
      <c r="CT221" s="24">
        <f t="shared" si="2049"/>
        <v>1660.4184336681333</v>
      </c>
      <c r="CU221" s="24">
        <f t="shared" si="2049"/>
        <v>2108.5263610999118</v>
      </c>
      <c r="CV221" s="24">
        <f t="shared" si="2049"/>
        <v>2158.9024649581006</v>
      </c>
      <c r="CW221" s="24">
        <f t="shared" si="2049"/>
        <v>2439.0238378134327</v>
      </c>
      <c r="CX221" s="24">
        <f t="shared" si="2049"/>
        <v>2594.4207090929599</v>
      </c>
      <c r="CY221" s="24">
        <f t="shared" si="2049"/>
        <v>3122.412913921954</v>
      </c>
      <c r="CZ221" s="24">
        <f t="shared" si="2049"/>
        <v>3181.2977113790184</v>
      </c>
      <c r="DA221" s="24">
        <f t="shared" si="2049"/>
        <v>3511.611001465295</v>
      </c>
      <c r="DB221" s="24">
        <f t="shared" si="2049"/>
        <v>3695.1487897572897</v>
      </c>
      <c r="DE221" s="123"/>
      <c r="DF221" s="23">
        <v>523.84521321373234</v>
      </c>
    </row>
    <row r="222" spans="1:110" s="28" customFormat="1" x14ac:dyDescent="0.2">
      <c r="A222" s="28" t="s">
        <v>444</v>
      </c>
      <c r="C222" s="28">
        <f t="shared" ref="C222:W222" si="2050">C221-C172</f>
        <v>0</v>
      </c>
      <c r="D222" s="28">
        <f t="shared" si="2050"/>
        <v>0</v>
      </c>
      <c r="E222" s="28">
        <f t="shared" si="2050"/>
        <v>0</v>
      </c>
      <c r="F222" s="28">
        <f t="shared" si="2050"/>
        <v>0</v>
      </c>
      <c r="G222" s="28">
        <f t="shared" si="2050"/>
        <v>0</v>
      </c>
      <c r="H222" s="28">
        <f t="shared" si="2050"/>
        <v>-1.7763568394002505E-14</v>
      </c>
      <c r="I222" s="28">
        <f t="shared" si="2050"/>
        <v>3.907985046680551E-14</v>
      </c>
      <c r="J222" s="28">
        <f>J221-J172</f>
        <v>-3.8191672047105385E-14</v>
      </c>
      <c r="K222" s="28">
        <f t="shared" si="2050"/>
        <v>-1.5099033134902129E-14</v>
      </c>
      <c r="L222" s="28">
        <f t="shared" si="2050"/>
        <v>4.4408920985006262E-14</v>
      </c>
      <c r="M222" s="28">
        <f t="shared" si="2050"/>
        <v>0</v>
      </c>
      <c r="N222" s="28">
        <f t="shared" si="2050"/>
        <v>6.9277916736609768E-14</v>
      </c>
      <c r="O222" s="28">
        <f t="shared" si="2050"/>
        <v>-5.2402526762307389E-14</v>
      </c>
      <c r="P222" s="28">
        <f t="shared" si="2050"/>
        <v>1.1013412404281553E-13</v>
      </c>
      <c r="Q222" s="28">
        <f t="shared" si="2050"/>
        <v>-1.2434497875801753E-13</v>
      </c>
      <c r="R222" s="28">
        <f t="shared" si="2050"/>
        <v>-1.7053025658242404E-13</v>
      </c>
      <c r="S222" s="28">
        <f t="shared" si="2050"/>
        <v>-2.7711166694643907E-13</v>
      </c>
      <c r="T222" s="28">
        <f t="shared" si="2050"/>
        <v>4.1566750041965861E-13</v>
      </c>
      <c r="U222" s="28">
        <f t="shared" si="2050"/>
        <v>0</v>
      </c>
      <c r="V222" s="28">
        <f t="shared" si="2050"/>
        <v>0</v>
      </c>
      <c r="W222" s="28">
        <f t="shared" si="2050"/>
        <v>-1.7763568394002505E-13</v>
      </c>
      <c r="X222" s="28">
        <f t="shared" ref="X222:Y222" si="2051">X221-X172</f>
        <v>-3.1263880373444408E-13</v>
      </c>
      <c r="Y222" s="28">
        <f t="shared" si="2051"/>
        <v>-5.8264504332328215E-13</v>
      </c>
      <c r="Z222" s="28">
        <f t="shared" ref="Z222:AA222" si="2052">Z221-Z172</f>
        <v>-3.2684965844964609E-13</v>
      </c>
      <c r="AA222" s="28">
        <f t="shared" si="2052"/>
        <v>9.9475983006414026E-13</v>
      </c>
      <c r="AB222" s="30">
        <f t="shared" ref="AA222:AD222" si="2053">AB221-AB172</f>
        <v>-1.8189894035458565E-12</v>
      </c>
      <c r="AC222" s="30">
        <f t="shared" si="2053"/>
        <v>0</v>
      </c>
      <c r="AD222" s="30">
        <f t="shared" si="2053"/>
        <v>0</v>
      </c>
      <c r="AE222" s="30">
        <f t="shared" ref="AE222" si="2054">AE221-AE172</f>
        <v>0</v>
      </c>
      <c r="AI222" s="28">
        <f t="shared" ref="AI222" si="2055">AI221-AI172</f>
        <v>0</v>
      </c>
      <c r="AJ222" s="28">
        <f t="shared" ref="AJ222:AL222" si="2056">AJ221-AJ172</f>
        <v>0</v>
      </c>
      <c r="AK222" s="28" t="e">
        <f t="shared" si="2056"/>
        <v>#DIV/0!</v>
      </c>
      <c r="AL222" s="28" t="e">
        <f t="shared" si="2056"/>
        <v>#DIV/0!</v>
      </c>
      <c r="AM222" s="28" t="e">
        <f t="shared" ref="AM222" si="2057">AM221-AM172</f>
        <v>#DIV/0!</v>
      </c>
      <c r="AN222" s="28" t="e">
        <f t="shared" ref="AN222:CD222" si="2058">AN221-AN172</f>
        <v>#DIV/0!</v>
      </c>
      <c r="AO222" s="28" t="e">
        <f t="shared" si="2058"/>
        <v>#DIV/0!</v>
      </c>
      <c r="AP222" s="28" t="e">
        <f t="shared" si="2058"/>
        <v>#DIV/0!</v>
      </c>
      <c r="AQ222" s="28" t="e">
        <f t="shared" si="2058"/>
        <v>#DIV/0!</v>
      </c>
      <c r="AR222" s="28" t="e">
        <f t="shared" si="2058"/>
        <v>#DIV/0!</v>
      </c>
      <c r="AS222" s="28" t="e">
        <f t="shared" si="2058"/>
        <v>#DIV/0!</v>
      </c>
      <c r="AT222" s="28" t="e">
        <f t="shared" si="2058"/>
        <v>#DIV/0!</v>
      </c>
      <c r="AU222" s="28" t="e">
        <f t="shared" si="2058"/>
        <v>#DIV/0!</v>
      </c>
      <c r="AV222" s="28" t="e">
        <f t="shared" si="2058"/>
        <v>#DIV/0!</v>
      </c>
      <c r="AW222" s="28" t="e">
        <f t="shared" si="2058"/>
        <v>#DIV/0!</v>
      </c>
      <c r="AX222" s="28" t="e">
        <f t="shared" si="2058"/>
        <v>#DIV/0!</v>
      </c>
      <c r="AY222" s="28" t="e">
        <f t="shared" si="2058"/>
        <v>#DIV/0!</v>
      </c>
      <c r="AZ222" s="28" t="e">
        <f t="shared" si="2058"/>
        <v>#DIV/0!</v>
      </c>
      <c r="BA222" s="28" t="e">
        <f t="shared" si="2058"/>
        <v>#DIV/0!</v>
      </c>
      <c r="BB222" s="28" t="e">
        <f t="shared" si="2058"/>
        <v>#DIV/0!</v>
      </c>
      <c r="BC222" s="28" t="e">
        <f t="shared" si="2058"/>
        <v>#DIV/0!</v>
      </c>
      <c r="BD222" s="28" t="e">
        <f t="shared" si="2058"/>
        <v>#DIV/0!</v>
      </c>
      <c r="BE222" s="28" t="e">
        <f t="shared" si="2058"/>
        <v>#DIV/0!</v>
      </c>
      <c r="BF222" s="28" t="e">
        <f t="shared" si="2058"/>
        <v>#DIV/0!</v>
      </c>
      <c r="BG222" s="28" t="e">
        <f t="shared" si="2058"/>
        <v>#DIV/0!</v>
      </c>
      <c r="BH222" s="28" t="e">
        <f t="shared" si="2058"/>
        <v>#DIV/0!</v>
      </c>
      <c r="BI222" s="28" t="e">
        <f t="shared" si="2058"/>
        <v>#DIV/0!</v>
      </c>
      <c r="BJ222" s="28" t="e">
        <f t="shared" si="2058"/>
        <v>#DIV/0!</v>
      </c>
      <c r="BK222" s="28" t="e">
        <f t="shared" si="2058"/>
        <v>#DIV/0!</v>
      </c>
      <c r="BL222" s="28" t="e">
        <f t="shared" si="2058"/>
        <v>#DIV/0!</v>
      </c>
      <c r="BM222" s="28" t="e">
        <f t="shared" si="2058"/>
        <v>#DIV/0!</v>
      </c>
      <c r="BN222" s="28" t="e">
        <f t="shared" si="2058"/>
        <v>#DIV/0!</v>
      </c>
      <c r="BO222" s="28">
        <f t="shared" si="2058"/>
        <v>0</v>
      </c>
      <c r="BP222" s="28">
        <f t="shared" si="2058"/>
        <v>-1.1368683772161603E-13</v>
      </c>
      <c r="BQ222" s="28">
        <f t="shared" si="2058"/>
        <v>0</v>
      </c>
      <c r="BR222" s="28">
        <f t="shared" si="2058"/>
        <v>-1.4210854715202004E-13</v>
      </c>
      <c r="BS222" s="28">
        <f t="shared" si="2058"/>
        <v>0</v>
      </c>
      <c r="BT222" s="28">
        <f t="shared" si="2058"/>
        <v>3.1263880373444408E-13</v>
      </c>
      <c r="BU222" s="28">
        <f t="shared" si="2058"/>
        <v>0</v>
      </c>
      <c r="BV222" s="28">
        <f t="shared" si="2058"/>
        <v>0</v>
      </c>
      <c r="BW222" s="28">
        <f t="shared" si="2058"/>
        <v>0</v>
      </c>
      <c r="BX222" s="28">
        <f t="shared" si="2058"/>
        <v>-5.6843418860808015E-14</v>
      </c>
      <c r="BY222" s="28">
        <f t="shared" si="2058"/>
        <v>0</v>
      </c>
      <c r="BZ222" s="28">
        <f t="shared" si="2058"/>
        <v>-5.6843418860808015E-14</v>
      </c>
      <c r="CA222" s="28">
        <f t="shared" si="2058"/>
        <v>0</v>
      </c>
      <c r="CB222" s="28">
        <f t="shared" si="2058"/>
        <v>3.979039320256561E-13</v>
      </c>
      <c r="CC222" s="28">
        <f t="shared" si="2058"/>
        <v>0</v>
      </c>
      <c r="CD222" s="28">
        <f t="shared" si="2058"/>
        <v>-1.0942358130705543E-12</v>
      </c>
      <c r="CE222" s="28">
        <f t="shared" ref="CE222:CF222" si="2059">CE221-CE172</f>
        <v>0</v>
      </c>
      <c r="CF222" s="28">
        <f t="shared" si="2059"/>
        <v>0</v>
      </c>
      <c r="CG222" s="28">
        <f t="shared" ref="CG222:CH222" si="2060">CG221-CG172</f>
        <v>0</v>
      </c>
      <c r="CH222" s="28">
        <f t="shared" si="2060"/>
        <v>-2.1316282072803006E-13</v>
      </c>
      <c r="CI222" s="28">
        <f t="shared" ref="CI222:CJ222" si="2061">CI221-CI172</f>
        <v>0</v>
      </c>
      <c r="CJ222" s="28">
        <f t="shared" si="2061"/>
        <v>3.4106051316484809E-13</v>
      </c>
      <c r="CK222" s="28">
        <f t="shared" ref="CK222:DB222" si="2062">CK221-CK172</f>
        <v>0</v>
      </c>
      <c r="CL222" s="28">
        <f t="shared" si="2062"/>
        <v>-1.2789769243681803E-12</v>
      </c>
      <c r="CM222" s="30">
        <f t="shared" si="2062"/>
        <v>0</v>
      </c>
      <c r="CN222" s="30">
        <f t="shared" si="2062"/>
        <v>0</v>
      </c>
      <c r="CO222" s="30">
        <f t="shared" si="2062"/>
        <v>0</v>
      </c>
      <c r="CP222" s="30">
        <f t="shared" si="2062"/>
        <v>0</v>
      </c>
      <c r="CQ222" s="30">
        <f t="shared" si="2062"/>
        <v>0</v>
      </c>
      <c r="CR222" s="30">
        <f t="shared" si="2062"/>
        <v>0</v>
      </c>
      <c r="CS222" s="30">
        <f t="shared" si="2062"/>
        <v>0</v>
      </c>
      <c r="CT222" s="30">
        <f t="shared" si="2062"/>
        <v>0</v>
      </c>
      <c r="CU222" s="30">
        <f t="shared" si="2062"/>
        <v>0</v>
      </c>
      <c r="CV222" s="30">
        <f t="shared" si="2062"/>
        <v>0</v>
      </c>
      <c r="CW222" s="30">
        <f t="shared" si="2062"/>
        <v>0</v>
      </c>
      <c r="CX222" s="30">
        <f t="shared" si="2062"/>
        <v>0</v>
      </c>
      <c r="CY222" s="30">
        <f t="shared" si="2062"/>
        <v>0</v>
      </c>
      <c r="CZ222" s="30">
        <f t="shared" si="2062"/>
        <v>0</v>
      </c>
      <c r="DA222" s="30">
        <f t="shared" si="2062"/>
        <v>0</v>
      </c>
      <c r="DB222" s="30">
        <f t="shared" si="2062"/>
        <v>0</v>
      </c>
      <c r="DE222" s="139"/>
      <c r="DF222" s="28">
        <v>0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96</v>
      </c>
      <c r="C224" s="22">
        <f t="shared" ref="C224:W224" si="2063">C210+C212</f>
        <v>0</v>
      </c>
      <c r="D224" s="22">
        <f t="shared" si="2063"/>
        <v>0</v>
      </c>
      <c r="E224" s="22">
        <f t="shared" si="2063"/>
        <v>0</v>
      </c>
      <c r="F224" s="22">
        <f t="shared" si="2063"/>
        <v>-59.104851199999992</v>
      </c>
      <c r="G224" s="22">
        <f t="shared" si="2063"/>
        <v>-13.440930599999994</v>
      </c>
      <c r="H224" s="22">
        <f t="shared" si="2063"/>
        <v>-19.284272800000036</v>
      </c>
      <c r="I224" s="22">
        <f t="shared" si="2063"/>
        <v>-59.62379879999996</v>
      </c>
      <c r="J224" s="22">
        <f>J210+J212</f>
        <v>-55.39159480000005</v>
      </c>
      <c r="K224" s="22">
        <f t="shared" si="2063"/>
        <v>-0.22567410000003463</v>
      </c>
      <c r="L224" s="22">
        <f t="shared" si="2063"/>
        <v>-131.20104759999995</v>
      </c>
      <c r="M224" s="22">
        <f t="shared" si="2063"/>
        <v>-254.26212849999996</v>
      </c>
      <c r="N224" s="22">
        <f t="shared" si="2063"/>
        <v>-216.16156080000013</v>
      </c>
      <c r="O224" s="22">
        <f t="shared" si="2063"/>
        <v>-42.239999999999952</v>
      </c>
      <c r="P224" s="22">
        <f t="shared" si="2063"/>
        <v>-28.986000000000018</v>
      </c>
      <c r="Q224" s="22">
        <f t="shared" si="2063"/>
        <v>-64.895000000000039</v>
      </c>
      <c r="R224" s="22">
        <f t="shared" si="2063"/>
        <v>-137.2830000000001</v>
      </c>
      <c r="S224" s="22">
        <f t="shared" si="2063"/>
        <v>-49.109999999999872</v>
      </c>
      <c r="T224" s="22">
        <f t="shared" si="2063"/>
        <v>-148.29399999999976</v>
      </c>
      <c r="U224" s="22">
        <f t="shared" si="2063"/>
        <v>-26.42899999999986</v>
      </c>
      <c r="V224" s="22">
        <f t="shared" si="2063"/>
        <v>179.43000000000006</v>
      </c>
      <c r="W224" s="22">
        <f t="shared" si="2063"/>
        <v>-18.46000000000015</v>
      </c>
      <c r="X224" s="22">
        <f t="shared" ref="X224:Y224" si="2064">X210+X212</f>
        <v>-487.03000000000009</v>
      </c>
      <c r="Y224" s="22">
        <f t="shared" si="2064"/>
        <v>-367.32000000000073</v>
      </c>
      <c r="Z224" s="22">
        <f t="shared" ref="Z224:AA224" si="2065">Z210+Z212</f>
        <v>-1378.1300000000006</v>
      </c>
      <c r="AA224" s="22">
        <f t="shared" si="2065"/>
        <v>-1254.1499999999983</v>
      </c>
      <c r="AB224" s="21">
        <f t="shared" ref="AA224:AD224" si="2066">AB210+AB212</f>
        <v>684.43860328125743</v>
      </c>
      <c r="AC224" s="21">
        <f t="shared" si="2066"/>
        <v>797.19983038687587</v>
      </c>
      <c r="AD224" s="21">
        <f t="shared" si="2066"/>
        <v>934.00227542482708</v>
      </c>
      <c r="AE224" s="21">
        <f t="shared" ref="AE224" si="2067">AE210+AE212</f>
        <v>1100.7280806643321</v>
      </c>
      <c r="AI224" s="22">
        <f t="shared" ref="AI224" si="2068">AI210+AI212</f>
        <v>0</v>
      </c>
      <c r="AJ224" s="22">
        <f t="shared" ref="AJ224:AL224" si="2069">AJ210+AJ212</f>
        <v>0</v>
      </c>
      <c r="AK224" s="22" t="e">
        <f t="shared" si="2069"/>
        <v>#DIV/0!</v>
      </c>
      <c r="AL224" s="22" t="e">
        <f t="shared" si="2069"/>
        <v>#DIV/0!</v>
      </c>
      <c r="AM224" s="22" t="e">
        <f t="shared" ref="AM224" si="2070">AM210+AM212</f>
        <v>#DIV/0!</v>
      </c>
      <c r="AN224" s="22" t="e">
        <f t="shared" ref="AN224:CD224" si="2071">AN210+AN212</f>
        <v>#DIV/0!</v>
      </c>
      <c r="AO224" s="22" t="e">
        <f t="shared" si="2071"/>
        <v>#DIV/0!</v>
      </c>
      <c r="AP224" s="22" t="e">
        <f t="shared" si="2071"/>
        <v>#DIV/0!</v>
      </c>
      <c r="AQ224" s="22" t="e">
        <f t="shared" si="2071"/>
        <v>#DIV/0!</v>
      </c>
      <c r="AR224" s="22" t="e">
        <f t="shared" si="2071"/>
        <v>#DIV/0!</v>
      </c>
      <c r="AS224" s="22" t="e">
        <f t="shared" si="2071"/>
        <v>#DIV/0!</v>
      </c>
      <c r="AT224" s="22" t="e">
        <f t="shared" si="2071"/>
        <v>#DIV/0!</v>
      </c>
      <c r="AU224" s="22" t="e">
        <f t="shared" si="2071"/>
        <v>#DIV/0!</v>
      </c>
      <c r="AV224" s="22" t="e">
        <f t="shared" si="2071"/>
        <v>#DIV/0!</v>
      </c>
      <c r="AW224" s="22" t="e">
        <f t="shared" si="2071"/>
        <v>#DIV/0!</v>
      </c>
      <c r="AX224" s="22" t="e">
        <f t="shared" si="2071"/>
        <v>#DIV/0!</v>
      </c>
      <c r="AY224" s="22" t="e">
        <f t="shared" si="2071"/>
        <v>#DIV/0!</v>
      </c>
      <c r="AZ224" s="22" t="e">
        <f t="shared" si="2071"/>
        <v>#DIV/0!</v>
      </c>
      <c r="BA224" s="22" t="e">
        <f t="shared" si="2071"/>
        <v>#DIV/0!</v>
      </c>
      <c r="BB224" s="22" t="e">
        <f t="shared" si="2071"/>
        <v>#DIV/0!</v>
      </c>
      <c r="BC224" s="22" t="e">
        <f t="shared" si="2071"/>
        <v>#DIV/0!</v>
      </c>
      <c r="BD224" s="22" t="e">
        <f t="shared" si="2071"/>
        <v>#DIV/0!</v>
      </c>
      <c r="BE224" s="22" t="e">
        <f t="shared" si="2071"/>
        <v>#DIV/0!</v>
      </c>
      <c r="BF224" s="22" t="e">
        <f t="shared" si="2071"/>
        <v>#DIV/0!</v>
      </c>
      <c r="BG224" s="22" t="e">
        <f t="shared" si="2071"/>
        <v>#DIV/0!</v>
      </c>
      <c r="BH224" s="22" t="e">
        <f t="shared" si="2071"/>
        <v>#DIV/0!</v>
      </c>
      <c r="BI224" s="22" t="e">
        <f t="shared" si="2071"/>
        <v>#DIV/0!</v>
      </c>
      <c r="BJ224" s="22" t="e">
        <f t="shared" si="2071"/>
        <v>#DIV/0!</v>
      </c>
      <c r="BK224" s="22" t="e">
        <f t="shared" si="2071"/>
        <v>#DIV/0!</v>
      </c>
      <c r="BL224" s="22" t="e">
        <f t="shared" si="2071"/>
        <v>#DIV/0!</v>
      </c>
      <c r="BM224" s="22" t="e">
        <f t="shared" si="2071"/>
        <v>#DIV/0!</v>
      </c>
      <c r="BN224" s="22" t="e">
        <f t="shared" si="2071"/>
        <v>#DIV/0!</v>
      </c>
      <c r="BO224" s="22">
        <f t="shared" si="2071"/>
        <v>105.83958972518749</v>
      </c>
      <c r="BP224" s="22">
        <f t="shared" si="2071"/>
        <v>1463.2604102748123</v>
      </c>
      <c r="BQ224" s="22">
        <f t="shared" si="2071"/>
        <v>43.479999999999976</v>
      </c>
      <c r="BR224" s="22">
        <f t="shared" si="2071"/>
        <v>-1579.0300000000002</v>
      </c>
      <c r="BS224" s="22">
        <f t="shared" si="2071"/>
        <v>79.582486223844114</v>
      </c>
      <c r="BT224" s="22">
        <f t="shared" si="2071"/>
        <v>-108.11248622384376</v>
      </c>
      <c r="BU224" s="22">
        <f t="shared" si="2071"/>
        <v>48.741282639533352</v>
      </c>
      <c r="BV224" s="22">
        <f t="shared" si="2071"/>
        <v>-38.671282639533487</v>
      </c>
      <c r="BW224" s="22">
        <f t="shared" si="2071"/>
        <v>42.424918756757535</v>
      </c>
      <c r="BX224" s="22">
        <f t="shared" si="2071"/>
        <v>-39.794918756757596</v>
      </c>
      <c r="BY224" s="22">
        <f t="shared" si="2071"/>
        <v>70.813058590126573</v>
      </c>
      <c r="BZ224" s="22">
        <f t="shared" si="2071"/>
        <v>-560.4730585901267</v>
      </c>
      <c r="CA224" s="22">
        <f t="shared" si="2071"/>
        <v>35.95038689474373</v>
      </c>
      <c r="CB224" s="22">
        <f t="shared" si="2071"/>
        <v>-259.68038689474349</v>
      </c>
      <c r="CC224" s="22">
        <f t="shared" si="2071"/>
        <v>107.64679795769504</v>
      </c>
      <c r="CD224" s="22">
        <f t="shared" si="2071"/>
        <v>-251.2367979576959</v>
      </c>
      <c r="CE224" s="22">
        <f t="shared" ref="CE224:CF224" si="2072">CE210+CE212</f>
        <v>19.308354081097406</v>
      </c>
      <c r="CF224" s="22">
        <f t="shared" si="2072"/>
        <v>-666.87835408109663</v>
      </c>
      <c r="CG224" s="22">
        <f t="shared" ref="CG224:CH224" si="2073">CG210+CG212</f>
        <v>-295.03293718851654</v>
      </c>
      <c r="CH224" s="22">
        <f t="shared" si="2073"/>
        <v>-435.5270628114838</v>
      </c>
      <c r="CI224" s="22">
        <f t="shared" ref="CI224:CJ224" si="2074">CI210+CI212</f>
        <v>156.22052593968797</v>
      </c>
      <c r="CJ224" s="22">
        <f t="shared" si="2074"/>
        <v>-1099.9805259396878</v>
      </c>
      <c r="CK224" s="22">
        <f t="shared" ref="CK224:DB224" si="2075">CK210+CK212</f>
        <v>170.79283879315975</v>
      </c>
      <c r="CL224" s="22">
        <f t="shared" si="2075"/>
        <v>-481.18283879316107</v>
      </c>
      <c r="CM224" s="21">
        <f t="shared" si="2075"/>
        <v>323.25774150194678</v>
      </c>
      <c r="CN224" s="21">
        <f t="shared" si="2075"/>
        <v>39.57278983552294</v>
      </c>
      <c r="CO224" s="21">
        <f t="shared" si="2075"/>
        <v>206.75686605621502</v>
      </c>
      <c r="CP224" s="21">
        <f t="shared" si="2075"/>
        <v>114.85120588757445</v>
      </c>
      <c r="CQ224" s="21">
        <f t="shared" si="2075"/>
        <v>381.18127567207785</v>
      </c>
      <c r="CR224" s="21">
        <f t="shared" si="2075"/>
        <v>44.369488467030806</v>
      </c>
      <c r="CS224" s="21">
        <f t="shared" si="2075"/>
        <v>239.01732328797857</v>
      </c>
      <c r="CT224" s="21">
        <f t="shared" si="2075"/>
        <v>132.63174295978695</v>
      </c>
      <c r="CU224" s="21">
        <f t="shared" si="2075"/>
        <v>448.10792743177836</v>
      </c>
      <c r="CV224" s="21">
        <f t="shared" si="2075"/>
        <v>50.376103858188969</v>
      </c>
      <c r="CW224" s="21">
        <f t="shared" si="2075"/>
        <v>280.12137285533208</v>
      </c>
      <c r="CX224" s="21">
        <f t="shared" si="2075"/>
        <v>155.39687127952726</v>
      </c>
      <c r="CY224" s="21">
        <f t="shared" si="2075"/>
        <v>527.99220482899409</v>
      </c>
      <c r="CZ224" s="21">
        <f t="shared" si="2075"/>
        <v>58.884797457064394</v>
      </c>
      <c r="DA224" s="21">
        <f t="shared" si="2075"/>
        <v>330.31329008627642</v>
      </c>
      <c r="DB224" s="21">
        <f t="shared" si="2075"/>
        <v>183.53778829199484</v>
      </c>
      <c r="DE224" s="126"/>
      <c r="DF224" s="22">
        <v>176.05237442057262</v>
      </c>
    </row>
    <row r="225" spans="1:110" x14ac:dyDescent="0.2">
      <c r="A225" s="152" t="s">
        <v>496</v>
      </c>
      <c r="AA225" s="2"/>
      <c r="CL225" s="2"/>
    </row>
    <row r="226" spans="1:110" x14ac:dyDescent="0.2">
      <c r="AA226" s="2"/>
      <c r="CL226" s="2"/>
    </row>
    <row r="227" spans="1:110" s="7" customFormat="1" hidden="1" outlineLevel="1" x14ac:dyDescent="0.2">
      <c r="A227" s="61" t="s">
        <v>97</v>
      </c>
      <c r="AB227" s="77"/>
      <c r="AC227" s="77"/>
      <c r="AD227" s="77"/>
      <c r="AE227" s="77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E227" s="138"/>
    </row>
    <row r="228" spans="1:110" s="62" customFormat="1" hidden="1" outlineLevel="1" x14ac:dyDescent="0.2">
      <c r="A228" s="62" t="s">
        <v>98</v>
      </c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62" customFormat="1" hidden="1" outlineLevel="1" x14ac:dyDescent="0.2">
      <c r="A229" s="62" t="s">
        <v>99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2" t="s">
        <v>100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2" customFormat="1" hidden="1" outlineLevel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11" customFormat="1" collapsed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83" customFormat="1" x14ac:dyDescent="0.2">
      <c r="A235" s="82" t="s">
        <v>101</v>
      </c>
      <c r="AB235" s="72"/>
      <c r="AC235" s="72"/>
      <c r="AD235" s="72"/>
      <c r="AE235" s="72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6" customFormat="1" x14ac:dyDescent="0.2">
      <c r="A236" s="66" t="s">
        <v>471</v>
      </c>
      <c r="AB236" s="50"/>
      <c r="AC236" s="50"/>
      <c r="AD236" s="50"/>
      <c r="AE236" s="50"/>
      <c r="AL236" s="66">
        <f t="shared" ref="AL236:BQ236" si="2076">SUM(AI21:AL21)</f>
        <v>0</v>
      </c>
      <c r="AM236" s="66">
        <f t="shared" si="2076"/>
        <v>0</v>
      </c>
      <c r="AN236" s="66">
        <f t="shared" si="2076"/>
        <v>0</v>
      </c>
      <c r="AO236" s="66">
        <f t="shared" si="2076"/>
        <v>0</v>
      </c>
      <c r="AP236" s="66">
        <f t="shared" si="2076"/>
        <v>0</v>
      </c>
      <c r="AQ236" s="66">
        <f t="shared" si="2076"/>
        <v>0</v>
      </c>
      <c r="AR236" s="66">
        <f t="shared" si="2076"/>
        <v>0</v>
      </c>
      <c r="AS236" s="66">
        <f t="shared" si="2076"/>
        <v>0</v>
      </c>
      <c r="AT236" s="66">
        <f t="shared" si="2076"/>
        <v>0</v>
      </c>
      <c r="AU236" s="66">
        <f t="shared" si="2076"/>
        <v>0</v>
      </c>
      <c r="AV236" s="66">
        <f t="shared" si="2076"/>
        <v>0</v>
      </c>
      <c r="AW236" s="66">
        <f t="shared" si="2076"/>
        <v>0</v>
      </c>
      <c r="AX236" s="66">
        <f t="shared" si="2076"/>
        <v>0</v>
      </c>
      <c r="AY236" s="66">
        <f t="shared" si="2076"/>
        <v>0</v>
      </c>
      <c r="AZ236" s="66">
        <f t="shared" si="2076"/>
        <v>0</v>
      </c>
      <c r="BA236" s="66">
        <f t="shared" si="2076"/>
        <v>0</v>
      </c>
      <c r="BB236" s="66">
        <f t="shared" si="2076"/>
        <v>0</v>
      </c>
      <c r="BC236" s="66">
        <f t="shared" si="2076"/>
        <v>0</v>
      </c>
      <c r="BD236" s="66">
        <f t="shared" si="2076"/>
        <v>0</v>
      </c>
      <c r="BE236" s="66">
        <f t="shared" si="2076"/>
        <v>0</v>
      </c>
      <c r="BF236" s="66">
        <f t="shared" si="2076"/>
        <v>0</v>
      </c>
      <c r="BG236" s="66">
        <f t="shared" si="2076"/>
        <v>0</v>
      </c>
      <c r="BH236" s="66">
        <f t="shared" si="2076"/>
        <v>0</v>
      </c>
      <c r="BI236" s="66">
        <f t="shared" si="2076"/>
        <v>0</v>
      </c>
      <c r="BJ236" s="66">
        <f t="shared" si="2076"/>
        <v>0</v>
      </c>
      <c r="BK236" s="66">
        <f t="shared" si="2076"/>
        <v>0</v>
      </c>
      <c r="BL236" s="66">
        <f t="shared" si="2076"/>
        <v>0</v>
      </c>
      <c r="BM236" s="66">
        <f t="shared" si="2076"/>
        <v>0</v>
      </c>
      <c r="BN236" s="66">
        <f t="shared" si="2076"/>
        <v>334.41</v>
      </c>
      <c r="BO236" s="66">
        <f t="shared" si="2076"/>
        <v>497.41</v>
      </c>
      <c r="BP236" s="66">
        <f t="shared" si="2076"/>
        <v>868.13000000000011</v>
      </c>
      <c r="BQ236" s="66">
        <f t="shared" si="2076"/>
        <v>1357.2</v>
      </c>
      <c r="BR236" s="66">
        <f t="shared" ref="BR236:CW236" si="2077">SUM(BO21:BR21)</f>
        <v>1559.9499999999998</v>
      </c>
      <c r="BS236" s="66">
        <f t="shared" si="2077"/>
        <v>1832.1399999999999</v>
      </c>
      <c r="BT236" s="66">
        <f t="shared" si="2077"/>
        <v>2032.43</v>
      </c>
      <c r="BU236" s="66">
        <f t="shared" si="2077"/>
        <v>2097.5099999999998</v>
      </c>
      <c r="BV236" s="66">
        <f t="shared" si="2077"/>
        <v>2217.02</v>
      </c>
      <c r="BW236" s="66">
        <f t="shared" si="2077"/>
        <v>2458.79</v>
      </c>
      <c r="BX236" s="66">
        <f t="shared" si="2077"/>
        <v>2664.02</v>
      </c>
      <c r="BY236" s="66">
        <f t="shared" si="2077"/>
        <v>2858.8999999999996</v>
      </c>
      <c r="BZ236" s="66">
        <f t="shared" si="2077"/>
        <v>3182.6</v>
      </c>
      <c r="CA236" s="66">
        <f t="shared" si="2077"/>
        <v>3543.27</v>
      </c>
      <c r="CB236" s="66">
        <f t="shared" si="2077"/>
        <v>3946.09</v>
      </c>
      <c r="CC236" s="66">
        <f t="shared" si="2077"/>
        <v>4326.76</v>
      </c>
      <c r="CD236" s="66">
        <f t="shared" si="2077"/>
        <v>4451.7300000000005</v>
      </c>
      <c r="CE236" s="66">
        <f t="shared" si="2077"/>
        <v>4565.2900000000009</v>
      </c>
      <c r="CF236" s="66">
        <f t="shared" si="2077"/>
        <v>4600.18</v>
      </c>
      <c r="CG236" s="66">
        <f t="shared" si="2077"/>
        <v>5046.57</v>
      </c>
      <c r="CH236" s="66">
        <f t="shared" si="2077"/>
        <v>5690.4800000000005</v>
      </c>
      <c r="CI236" s="66">
        <f t="shared" si="2077"/>
        <v>6323.29</v>
      </c>
      <c r="CJ236" s="66">
        <f t="shared" si="2077"/>
        <v>7110.93</v>
      </c>
      <c r="CK236" s="66">
        <f t="shared" si="2077"/>
        <v>7592.1200000000008</v>
      </c>
      <c r="CL236" s="66">
        <f t="shared" si="2077"/>
        <v>8069.27</v>
      </c>
      <c r="CM236" s="50">
        <f t="shared" si="2077"/>
        <v>8390.39</v>
      </c>
      <c r="CN236" s="50">
        <f t="shared" si="2077"/>
        <v>8750.6761999999999</v>
      </c>
      <c r="CO236" s="50">
        <f t="shared" si="2077"/>
        <v>9120.9866000000002</v>
      </c>
      <c r="CP236" s="50">
        <f t="shared" si="2077"/>
        <v>9521.7386000000006</v>
      </c>
      <c r="CQ236" s="50">
        <f t="shared" si="2077"/>
        <v>9900.6602000000003</v>
      </c>
      <c r="CR236" s="50">
        <f t="shared" si="2077"/>
        <v>10325.797916</v>
      </c>
      <c r="CS236" s="50">
        <f t="shared" si="2077"/>
        <v>10762.764188000001</v>
      </c>
      <c r="CT236" s="50">
        <f t="shared" si="2077"/>
        <v>11235.651548000002</v>
      </c>
      <c r="CU236" s="50">
        <f t="shared" si="2077"/>
        <v>11682.779036000002</v>
      </c>
      <c r="CV236" s="50">
        <f t="shared" si="2077"/>
        <v>12184.44154088</v>
      </c>
      <c r="CW236" s="50">
        <f t="shared" si="2077"/>
        <v>12700.061741840002</v>
      </c>
      <c r="CX236" s="50">
        <f t="shared" ref="CX236:DB236" si="2078">SUM(CU21:CX21)</f>
        <v>13258.068826640001</v>
      </c>
      <c r="CY236" s="50">
        <f t="shared" si="2078"/>
        <v>13785.67926248</v>
      </c>
      <c r="CZ236" s="50">
        <f t="shared" si="2078"/>
        <v>14377.641018238402</v>
      </c>
      <c r="DA236" s="50">
        <f t="shared" si="2078"/>
        <v>14986.072855371202</v>
      </c>
      <c r="DB236" s="50">
        <f t="shared" si="2078"/>
        <v>15644.521215435201</v>
      </c>
      <c r="DE236" s="138"/>
      <c r="DF236" s="66">
        <v>7941.9700000000012</v>
      </c>
    </row>
    <row r="237" spans="1:110" s="66" customFormat="1" x14ac:dyDescent="0.2">
      <c r="A237" s="66" t="s">
        <v>472</v>
      </c>
      <c r="AB237" s="50"/>
      <c r="AC237" s="50"/>
      <c r="AD237" s="50"/>
      <c r="AE237" s="50"/>
      <c r="AL237" s="66">
        <f t="shared" ref="AL237:BQ237" si="2079">SUM(AI39:AL39)</f>
        <v>0</v>
      </c>
      <c r="AM237" s="66">
        <f t="shared" si="2079"/>
        <v>0</v>
      </c>
      <c r="AN237" s="66">
        <f t="shared" si="2079"/>
        <v>0</v>
      </c>
      <c r="AO237" s="66">
        <f t="shared" si="2079"/>
        <v>0</v>
      </c>
      <c r="AP237" s="66">
        <f t="shared" si="2079"/>
        <v>0</v>
      </c>
      <c r="AQ237" s="66">
        <f t="shared" si="2079"/>
        <v>0</v>
      </c>
      <c r="AR237" s="66">
        <f t="shared" si="2079"/>
        <v>0</v>
      </c>
      <c r="AS237" s="66">
        <f t="shared" si="2079"/>
        <v>0</v>
      </c>
      <c r="AT237" s="66">
        <f t="shared" si="2079"/>
        <v>0</v>
      </c>
      <c r="AU237" s="66">
        <f t="shared" si="2079"/>
        <v>0</v>
      </c>
      <c r="AV237" s="66">
        <f t="shared" si="2079"/>
        <v>0</v>
      </c>
      <c r="AW237" s="66">
        <f t="shared" si="2079"/>
        <v>0</v>
      </c>
      <c r="AX237" s="66">
        <f t="shared" si="2079"/>
        <v>0</v>
      </c>
      <c r="AY237" s="66">
        <f t="shared" si="2079"/>
        <v>0</v>
      </c>
      <c r="AZ237" s="66">
        <f t="shared" si="2079"/>
        <v>0</v>
      </c>
      <c r="BA237" s="66">
        <f t="shared" si="2079"/>
        <v>0</v>
      </c>
      <c r="BB237" s="66">
        <f t="shared" si="2079"/>
        <v>0</v>
      </c>
      <c r="BC237" s="66">
        <f t="shared" si="2079"/>
        <v>0</v>
      </c>
      <c r="BD237" s="66">
        <f t="shared" si="2079"/>
        <v>0</v>
      </c>
      <c r="BE237" s="66">
        <f t="shared" si="2079"/>
        <v>0</v>
      </c>
      <c r="BF237" s="66">
        <f t="shared" si="2079"/>
        <v>0</v>
      </c>
      <c r="BG237" s="66">
        <f t="shared" si="2079"/>
        <v>0</v>
      </c>
      <c r="BH237" s="66">
        <f t="shared" si="2079"/>
        <v>0</v>
      </c>
      <c r="BI237" s="66">
        <f t="shared" si="2079"/>
        <v>0</v>
      </c>
      <c r="BJ237" s="66">
        <f t="shared" si="2079"/>
        <v>0</v>
      </c>
      <c r="BK237" s="66">
        <f t="shared" si="2079"/>
        <v>0</v>
      </c>
      <c r="BL237" s="66">
        <f t="shared" si="2079"/>
        <v>0</v>
      </c>
      <c r="BM237" s="66">
        <f t="shared" si="2079"/>
        <v>0</v>
      </c>
      <c r="BN237" s="66">
        <f t="shared" si="2079"/>
        <v>86.350000000000023</v>
      </c>
      <c r="BO237" s="66">
        <f t="shared" si="2079"/>
        <v>131.04000000000002</v>
      </c>
      <c r="BP237" s="66">
        <f t="shared" si="2079"/>
        <v>232.3</v>
      </c>
      <c r="BQ237" s="66">
        <f t="shared" si="2079"/>
        <v>373.78999999999996</v>
      </c>
      <c r="BR237" s="66">
        <f t="shared" ref="BR237:CW237" si="2080">SUM(BO39:BR39)</f>
        <v>438.2399999999999</v>
      </c>
      <c r="BS237" s="66">
        <f t="shared" si="2080"/>
        <v>501.28999999999996</v>
      </c>
      <c r="BT237" s="66">
        <f t="shared" si="2080"/>
        <v>543.63</v>
      </c>
      <c r="BU237" s="66">
        <f t="shared" si="2080"/>
        <v>529.94999999999993</v>
      </c>
      <c r="BV237" s="66">
        <f t="shared" si="2080"/>
        <v>534.16</v>
      </c>
      <c r="BW237" s="66">
        <f t="shared" si="2080"/>
        <v>591.1</v>
      </c>
      <c r="BX237" s="66">
        <f t="shared" si="2080"/>
        <v>619.69000000000005</v>
      </c>
      <c r="BY237" s="66">
        <f t="shared" si="2080"/>
        <v>650.18000000000006</v>
      </c>
      <c r="BZ237" s="66">
        <f t="shared" si="2080"/>
        <v>683.61</v>
      </c>
      <c r="CA237" s="66">
        <f t="shared" si="2080"/>
        <v>733.16000000000008</v>
      </c>
      <c r="CB237" s="66">
        <f t="shared" si="2080"/>
        <v>798.47</v>
      </c>
      <c r="CC237" s="66">
        <f t="shared" si="2080"/>
        <v>860.37000000000012</v>
      </c>
      <c r="CD237" s="66">
        <f t="shared" si="2080"/>
        <v>878.83000000000038</v>
      </c>
      <c r="CE237" s="66">
        <f t="shared" si="2080"/>
        <v>861.93000000000029</v>
      </c>
      <c r="CF237" s="66">
        <f t="shared" si="2080"/>
        <v>817.21000000000026</v>
      </c>
      <c r="CG237" s="66">
        <f t="shared" si="2080"/>
        <v>795.99000000000012</v>
      </c>
      <c r="CH237" s="66">
        <f t="shared" si="2080"/>
        <v>832.71000000000026</v>
      </c>
      <c r="CI237" s="66">
        <f t="shared" si="2080"/>
        <v>900.32</v>
      </c>
      <c r="CJ237" s="66">
        <f t="shared" si="2080"/>
        <v>1009.4399999999997</v>
      </c>
      <c r="CK237" s="66">
        <f t="shared" si="2080"/>
        <v>1122.68</v>
      </c>
      <c r="CL237" s="66">
        <f t="shared" si="2080"/>
        <v>1237.5900000000001</v>
      </c>
      <c r="CM237" s="50">
        <f t="shared" si="2080"/>
        <v>1294.8061471648166</v>
      </c>
      <c r="CN237" s="50">
        <f t="shared" si="2080"/>
        <v>1357.0271018439262</v>
      </c>
      <c r="CO237" s="50">
        <f t="shared" si="2080"/>
        <v>1421.08349291942</v>
      </c>
      <c r="CP237" s="50">
        <f t="shared" si="2080"/>
        <v>1471.8875879395916</v>
      </c>
      <c r="CQ237" s="50">
        <f t="shared" si="2080"/>
        <v>1533.5218103957245</v>
      </c>
      <c r="CR237" s="50">
        <f t="shared" si="2080"/>
        <v>1601.0238788354072</v>
      </c>
      <c r="CS237" s="50">
        <f t="shared" si="2080"/>
        <v>1668.8832162296922</v>
      </c>
      <c r="CT237" s="50">
        <f t="shared" si="2080"/>
        <v>1740.2303673158858</v>
      </c>
      <c r="CU237" s="50">
        <f t="shared" si="2080"/>
        <v>1810.3853358741387</v>
      </c>
      <c r="CV237" s="50">
        <f t="shared" si="2080"/>
        <v>1888.3751080795651</v>
      </c>
      <c r="CW237" s="50">
        <f t="shared" si="2080"/>
        <v>1968.1075482258464</v>
      </c>
      <c r="CX237" s="50">
        <f t="shared" ref="CX237:DB237" si="2081">SUM(CU39:CX39)</f>
        <v>2054.3020295014057</v>
      </c>
      <c r="CY237" s="50">
        <f t="shared" si="2081"/>
        <v>2136.2750959735631</v>
      </c>
      <c r="CZ237" s="50">
        <f t="shared" si="2081"/>
        <v>2228.0190701958918</v>
      </c>
      <c r="DA237" s="50">
        <f t="shared" si="2081"/>
        <v>2322.2426617076999</v>
      </c>
      <c r="DB237" s="50">
        <f t="shared" si="2081"/>
        <v>2424.2496540852885</v>
      </c>
      <c r="DE237" s="138"/>
      <c r="DF237" s="66">
        <v>1188.8733418481397</v>
      </c>
    </row>
    <row r="238" spans="1:110" s="66" customFormat="1" x14ac:dyDescent="0.2">
      <c r="A238" s="66" t="s">
        <v>473</v>
      </c>
      <c r="AB238" s="50"/>
      <c r="AC238" s="50"/>
      <c r="AD238" s="50"/>
      <c r="AE238" s="50"/>
      <c r="AL238" s="66">
        <f t="shared" ref="AL238:BQ238" si="2082">SUM(AI52:AL52)</f>
        <v>0</v>
      </c>
      <c r="AM238" s="66">
        <f t="shared" si="2082"/>
        <v>0</v>
      </c>
      <c r="AN238" s="66">
        <f t="shared" si="2082"/>
        <v>0</v>
      </c>
      <c r="AO238" s="66">
        <f t="shared" si="2082"/>
        <v>0</v>
      </c>
      <c r="AP238" s="66">
        <f t="shared" si="2082"/>
        <v>0</v>
      </c>
      <c r="AQ238" s="66">
        <f t="shared" si="2082"/>
        <v>0</v>
      </c>
      <c r="AR238" s="66">
        <f t="shared" si="2082"/>
        <v>0</v>
      </c>
      <c r="AS238" s="66">
        <f t="shared" si="2082"/>
        <v>0</v>
      </c>
      <c r="AT238" s="66">
        <f t="shared" si="2082"/>
        <v>0</v>
      </c>
      <c r="AU238" s="66">
        <f t="shared" si="2082"/>
        <v>0</v>
      </c>
      <c r="AV238" s="66">
        <f t="shared" si="2082"/>
        <v>0</v>
      </c>
      <c r="AW238" s="66">
        <f t="shared" si="2082"/>
        <v>0</v>
      </c>
      <c r="AX238" s="66">
        <f t="shared" si="2082"/>
        <v>0</v>
      </c>
      <c r="AY238" s="66">
        <f t="shared" si="2082"/>
        <v>0</v>
      </c>
      <c r="AZ238" s="66">
        <f t="shared" si="2082"/>
        <v>0</v>
      </c>
      <c r="BA238" s="66">
        <f t="shared" si="2082"/>
        <v>0</v>
      </c>
      <c r="BB238" s="66">
        <f t="shared" si="2082"/>
        <v>0</v>
      </c>
      <c r="BC238" s="66">
        <f t="shared" si="2082"/>
        <v>0</v>
      </c>
      <c r="BD238" s="66">
        <f t="shared" si="2082"/>
        <v>0</v>
      </c>
      <c r="BE238" s="66">
        <f t="shared" si="2082"/>
        <v>0</v>
      </c>
      <c r="BF238" s="66">
        <f t="shared" si="2082"/>
        <v>0</v>
      </c>
      <c r="BG238" s="66">
        <f t="shared" si="2082"/>
        <v>0</v>
      </c>
      <c r="BH238" s="66">
        <f t="shared" si="2082"/>
        <v>0</v>
      </c>
      <c r="BI238" s="66">
        <f t="shared" si="2082"/>
        <v>0</v>
      </c>
      <c r="BJ238" s="66">
        <f t="shared" si="2082"/>
        <v>0</v>
      </c>
      <c r="BK238" s="66">
        <f t="shared" si="2082"/>
        <v>0</v>
      </c>
      <c r="BL238" s="66">
        <f t="shared" si="2082"/>
        <v>0</v>
      </c>
      <c r="BM238" s="66">
        <f t="shared" si="2082"/>
        <v>0</v>
      </c>
      <c r="BN238" s="66">
        <f t="shared" si="2082"/>
        <v>4.0600000000000254</v>
      </c>
      <c r="BO238" s="66">
        <f t="shared" si="2082"/>
        <v>-12.21999999999999</v>
      </c>
      <c r="BP238" s="66">
        <f t="shared" si="2082"/>
        <v>10.619999999999996</v>
      </c>
      <c r="BQ238" s="66">
        <f t="shared" si="2082"/>
        <v>54.059999999999981</v>
      </c>
      <c r="BR238" s="66">
        <f t="shared" ref="BR238:CW238" si="2083">SUM(BO52:BR52)</f>
        <v>97.189999999999912</v>
      </c>
      <c r="BS238" s="66">
        <f t="shared" si="2083"/>
        <v>137.4899999999999</v>
      </c>
      <c r="BT238" s="66">
        <f t="shared" si="2083"/>
        <v>164.52999999999992</v>
      </c>
      <c r="BU238" s="66">
        <f t="shared" si="2083"/>
        <v>158.55999999999989</v>
      </c>
      <c r="BV238" s="66">
        <f t="shared" si="2083"/>
        <v>162.70999999999992</v>
      </c>
      <c r="BW238" s="66">
        <f t="shared" si="2083"/>
        <v>195.27999999999997</v>
      </c>
      <c r="BX238" s="66">
        <f t="shared" si="2083"/>
        <v>207.78000000000003</v>
      </c>
      <c r="BY238" s="66">
        <f t="shared" si="2083"/>
        <v>221.71000000000004</v>
      </c>
      <c r="BZ238" s="66">
        <f t="shared" si="2083"/>
        <v>250.48</v>
      </c>
      <c r="CA238" s="66">
        <f t="shared" si="2083"/>
        <v>274.54000000000008</v>
      </c>
      <c r="CB238" s="66">
        <f t="shared" si="2083"/>
        <v>316.41000000000008</v>
      </c>
      <c r="CC238" s="66">
        <f t="shared" si="2083"/>
        <v>346.36000000000013</v>
      </c>
      <c r="CD238" s="66">
        <f t="shared" si="2083"/>
        <v>336.48000000000025</v>
      </c>
      <c r="CE238" s="66">
        <f t="shared" si="2083"/>
        <v>315.14000000000021</v>
      </c>
      <c r="CF238" s="66">
        <f t="shared" si="2083"/>
        <v>272.18000000000023</v>
      </c>
      <c r="CG238" s="66">
        <f t="shared" si="2083"/>
        <v>218.31000000000009</v>
      </c>
      <c r="CH238" s="66">
        <f t="shared" si="2083"/>
        <v>225.34000000000017</v>
      </c>
      <c r="CI238" s="66">
        <f t="shared" si="2083"/>
        <v>243.66000000000003</v>
      </c>
      <c r="CJ238" s="66">
        <f t="shared" si="2083"/>
        <v>273.36999999999972</v>
      </c>
      <c r="CK238" s="66">
        <f t="shared" si="2083"/>
        <v>356.42000000000007</v>
      </c>
      <c r="CL238" s="66">
        <f t="shared" si="2083"/>
        <v>395.82000000000016</v>
      </c>
      <c r="CM238" s="50">
        <f t="shared" si="2083"/>
        <v>396.24723142439024</v>
      </c>
      <c r="CN238" s="50">
        <f t="shared" si="2083"/>
        <v>418.33434023520772</v>
      </c>
      <c r="CO238" s="50">
        <f t="shared" si="2083"/>
        <v>434.63254165690421</v>
      </c>
      <c r="CP238" s="50">
        <f t="shared" si="2083"/>
        <v>468.7231159733052</v>
      </c>
      <c r="CQ238" s="50">
        <f t="shared" si="2083"/>
        <v>528.19459065345086</v>
      </c>
      <c r="CR238" s="50">
        <f t="shared" si="2083"/>
        <v>590.26810336795756</v>
      </c>
      <c r="CS238" s="50">
        <f t="shared" si="2083"/>
        <v>650.60477092427152</v>
      </c>
      <c r="CT238" s="50">
        <f t="shared" si="2083"/>
        <v>715.78650879597581</v>
      </c>
      <c r="CU238" s="50">
        <f t="shared" si="2083"/>
        <v>778.32572665978887</v>
      </c>
      <c r="CV238" s="50">
        <f t="shared" si="2083"/>
        <v>845.92829014923927</v>
      </c>
      <c r="CW238" s="50">
        <f t="shared" si="2083"/>
        <v>914.38686147710041</v>
      </c>
      <c r="CX238" s="50">
        <f t="shared" ref="CX238:DB238" si="2084">SUM(CU52:CX52)</f>
        <v>987.51754972951016</v>
      </c>
      <c r="CY238" s="50">
        <f t="shared" si="2084"/>
        <v>1056.8568888765672</v>
      </c>
      <c r="CZ238" s="50">
        <f t="shared" si="2084"/>
        <v>1132.8739351219979</v>
      </c>
      <c r="DA238" s="50">
        <f t="shared" si="2084"/>
        <v>1210.3552898577548</v>
      </c>
      <c r="DB238" s="50">
        <f t="shared" si="2084"/>
        <v>1293.1179542693585</v>
      </c>
      <c r="DE238" s="138"/>
      <c r="DF238" s="66">
        <v>382.39904087412901</v>
      </c>
    </row>
    <row r="239" spans="1:110" s="93" customFormat="1" x14ac:dyDescent="0.2">
      <c r="AB239" s="30"/>
      <c r="AC239" s="30"/>
      <c r="AD239" s="30"/>
      <c r="AE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11" customFormat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241" s="61" t="s">
        <v>339</v>
      </c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64" customFormat="1" hidden="1" outlineLevel="1" x14ac:dyDescent="0.2">
      <c r="A242" s="64" t="s">
        <v>474</v>
      </c>
      <c r="B242" s="64">
        <f t="shared" ref="B242:Z242" si="2085">B19-B248</f>
        <v>0</v>
      </c>
      <c r="C242" s="64">
        <f t="shared" si="2085"/>
        <v>0</v>
      </c>
      <c r="D242" s="64">
        <f t="shared" si="2085"/>
        <v>0</v>
      </c>
      <c r="E242" s="64">
        <f t="shared" si="2085"/>
        <v>0</v>
      </c>
      <c r="F242" s="64">
        <f t="shared" si="2085"/>
        <v>79.860124400000004</v>
      </c>
      <c r="G242" s="64">
        <f t="shared" si="2085"/>
        <v>114.01338200000001</v>
      </c>
      <c r="H242" s="64">
        <f t="shared" si="2085"/>
        <v>150.511428</v>
      </c>
      <c r="I242" s="64">
        <f t="shared" si="2085"/>
        <v>208.3421329</v>
      </c>
      <c r="J242" s="64">
        <f t="shared" si="2085"/>
        <v>252.04937409999999</v>
      </c>
      <c r="K242" s="64">
        <f t="shared" si="2085"/>
        <v>189.75612100000001</v>
      </c>
      <c r="L242" s="64">
        <f t="shared" si="2085"/>
        <v>0</v>
      </c>
      <c r="M242" s="64">
        <f t="shared" si="2085"/>
        <v>0</v>
      </c>
      <c r="N242" s="64">
        <f t="shared" si="2085"/>
        <v>674.50099999999998</v>
      </c>
      <c r="O242" s="64">
        <f t="shared" si="2085"/>
        <v>693.74</v>
      </c>
      <c r="P242" s="64">
        <f t="shared" si="2085"/>
        <v>868.81700000000001</v>
      </c>
      <c r="Q242" s="64">
        <f t="shared" si="2085"/>
        <v>984.88800000000003</v>
      </c>
      <c r="R242" s="64">
        <f t="shared" si="2085"/>
        <v>1210.1279999999999</v>
      </c>
      <c r="S242" s="64">
        <f t="shared" si="2085"/>
        <v>1511.53</v>
      </c>
      <c r="T242" s="64">
        <f t="shared" si="2085"/>
        <v>1818.0070000000001</v>
      </c>
      <c r="U242" s="64">
        <f t="shared" si="2085"/>
        <v>1492.46</v>
      </c>
      <c r="V242" s="64">
        <f t="shared" si="2085"/>
        <v>1559.95</v>
      </c>
      <c r="W242" s="64">
        <f t="shared" si="2085"/>
        <v>2217.02</v>
      </c>
      <c r="X242" s="64">
        <f t="shared" si="2085"/>
        <v>3182.6</v>
      </c>
      <c r="Y242" s="64">
        <f t="shared" si="2085"/>
        <v>4451.7299999999996</v>
      </c>
      <c r="Z242" s="64">
        <f t="shared" si="2085"/>
        <v>5690.48</v>
      </c>
      <c r="AA242" s="64">
        <f t="shared" ref="AA242" si="2086">AA19-AA248</f>
        <v>8069.27</v>
      </c>
      <c r="AB242" s="30"/>
      <c r="AC242" s="30"/>
      <c r="AD242" s="30"/>
      <c r="AE242" s="30"/>
      <c r="AI242" s="64">
        <f t="shared" ref="AI242:BN242" si="2087">AI19-AI248</f>
        <v>0</v>
      </c>
      <c r="AJ242" s="64">
        <f t="shared" si="2087"/>
        <v>0</v>
      </c>
      <c r="AK242" s="64">
        <f t="shared" si="2087"/>
        <v>0</v>
      </c>
      <c r="AL242" s="64">
        <f t="shared" si="2087"/>
        <v>0</v>
      </c>
      <c r="AM242" s="64">
        <f t="shared" si="2087"/>
        <v>0</v>
      </c>
      <c r="AN242" s="64">
        <f t="shared" si="2087"/>
        <v>0</v>
      </c>
      <c r="AO242" s="64">
        <f t="shared" si="2087"/>
        <v>0</v>
      </c>
      <c r="AP242" s="64">
        <f t="shared" si="2087"/>
        <v>0</v>
      </c>
      <c r="AQ242" s="64">
        <f t="shared" si="2087"/>
        <v>0</v>
      </c>
      <c r="AR242" s="64">
        <f t="shared" si="2087"/>
        <v>0</v>
      </c>
      <c r="AS242" s="64">
        <f t="shared" si="2087"/>
        <v>0</v>
      </c>
      <c r="AT242" s="64">
        <f t="shared" si="2087"/>
        <v>0</v>
      </c>
      <c r="AU242" s="64">
        <f t="shared" si="2087"/>
        <v>0</v>
      </c>
      <c r="AV242" s="64">
        <f t="shared" si="2087"/>
        <v>0</v>
      </c>
      <c r="AW242" s="64">
        <f t="shared" si="2087"/>
        <v>0</v>
      </c>
      <c r="AX242" s="64">
        <f t="shared" si="2087"/>
        <v>0</v>
      </c>
      <c r="AY242" s="64">
        <f t="shared" si="2087"/>
        <v>0</v>
      </c>
      <c r="AZ242" s="64">
        <f t="shared" si="2087"/>
        <v>0</v>
      </c>
      <c r="BA242" s="64">
        <f t="shared" si="2087"/>
        <v>0</v>
      </c>
      <c r="BB242" s="64">
        <f t="shared" si="2087"/>
        <v>0</v>
      </c>
      <c r="BC242" s="64">
        <f t="shared" si="2087"/>
        <v>0</v>
      </c>
      <c r="BD242" s="64">
        <f t="shared" si="2087"/>
        <v>0</v>
      </c>
      <c r="BE242" s="64">
        <f t="shared" si="2087"/>
        <v>0</v>
      </c>
      <c r="BF242" s="64">
        <f t="shared" si="2087"/>
        <v>0</v>
      </c>
      <c r="BG242" s="64">
        <f t="shared" si="2087"/>
        <v>0</v>
      </c>
      <c r="BH242" s="64">
        <f t="shared" si="2087"/>
        <v>0</v>
      </c>
      <c r="BI242" s="64">
        <f t="shared" si="2087"/>
        <v>0</v>
      </c>
      <c r="BJ242" s="64">
        <f t="shared" si="2087"/>
        <v>0</v>
      </c>
      <c r="BK242" s="64">
        <f t="shared" si="2087"/>
        <v>0</v>
      </c>
      <c r="BL242" s="64">
        <f t="shared" si="2087"/>
        <v>0</v>
      </c>
      <c r="BM242" s="64">
        <f t="shared" si="2087"/>
        <v>0</v>
      </c>
      <c r="BN242" s="64">
        <f t="shared" si="2087"/>
        <v>334.41</v>
      </c>
      <c r="BO242" s="64">
        <f t="shared" ref="BO242:CT242" si="2088">BO19-BO248</f>
        <v>163</v>
      </c>
      <c r="BP242" s="64">
        <f t="shared" si="2088"/>
        <v>370.72</v>
      </c>
      <c r="BQ242" s="64">
        <f t="shared" si="2088"/>
        <v>489.07</v>
      </c>
      <c r="BR242" s="64">
        <f t="shared" si="2088"/>
        <v>537.16</v>
      </c>
      <c r="BS242" s="64">
        <f t="shared" si="2088"/>
        <v>435.19</v>
      </c>
      <c r="BT242" s="64">
        <f t="shared" si="2088"/>
        <v>571.01</v>
      </c>
      <c r="BU242" s="64">
        <f t="shared" si="2088"/>
        <v>554.15</v>
      </c>
      <c r="BV242" s="64">
        <f t="shared" si="2088"/>
        <v>656.67</v>
      </c>
      <c r="BW242" s="64">
        <f t="shared" si="2088"/>
        <v>676.96</v>
      </c>
      <c r="BX242" s="64">
        <f t="shared" si="2088"/>
        <v>776.24</v>
      </c>
      <c r="BY242" s="64">
        <f t="shared" si="2088"/>
        <v>749.03</v>
      </c>
      <c r="BZ242" s="64">
        <f t="shared" si="2088"/>
        <v>980.37</v>
      </c>
      <c r="CA242" s="64">
        <f t="shared" si="2088"/>
        <v>1037.6300000000001</v>
      </c>
      <c r="CB242" s="64">
        <f t="shared" si="2088"/>
        <v>1179.06</v>
      </c>
      <c r="CC242" s="64">
        <f t="shared" si="2088"/>
        <v>1129.7</v>
      </c>
      <c r="CD242" s="64">
        <f t="shared" si="2088"/>
        <v>1105.3399999999999</v>
      </c>
      <c r="CE242" s="64">
        <f t="shared" si="2088"/>
        <v>1151.19</v>
      </c>
      <c r="CF242" s="64">
        <f t="shared" si="2088"/>
        <v>1213.95</v>
      </c>
      <c r="CG242" s="64">
        <f t="shared" si="2088"/>
        <v>1576.09</v>
      </c>
      <c r="CH242" s="64">
        <f t="shared" si="2088"/>
        <v>1749.25</v>
      </c>
      <c r="CI242" s="64">
        <f t="shared" si="2088"/>
        <v>1784</v>
      </c>
      <c r="CJ242" s="64">
        <f t="shared" si="2088"/>
        <v>2001.59</v>
      </c>
      <c r="CK242" s="64">
        <f t="shared" si="2088"/>
        <v>2057.2800000000002</v>
      </c>
      <c r="CL242" s="64">
        <f t="shared" ref="CL242" si="2089">CL19-CL248</f>
        <v>2226.4</v>
      </c>
      <c r="CM242" s="30">
        <f t="shared" si="2088"/>
        <v>2105.12</v>
      </c>
      <c r="CN242" s="30">
        <f t="shared" si="2088"/>
        <v>2361.8761999999997</v>
      </c>
      <c r="CO242" s="30">
        <f t="shared" si="2088"/>
        <v>2427.5904</v>
      </c>
      <c r="CP242" s="30">
        <f t="shared" si="2088"/>
        <v>2627.152</v>
      </c>
      <c r="CQ242" s="30">
        <f t="shared" si="2088"/>
        <v>2484.0416</v>
      </c>
      <c r="CR242" s="30">
        <f t="shared" si="2088"/>
        <v>2787.0139159999999</v>
      </c>
      <c r="CS242" s="30">
        <f t="shared" si="2088"/>
        <v>2864.5566720000002</v>
      </c>
      <c r="CT242" s="30">
        <f t="shared" si="2088"/>
        <v>3100.0393600000002</v>
      </c>
      <c r="CU242" s="30">
        <f t="shared" ref="CU242:DB242" si="2090">CU19-CU248</f>
        <v>2931.1690880000001</v>
      </c>
      <c r="CV242" s="30">
        <f t="shared" si="2090"/>
        <v>3288.67642088</v>
      </c>
      <c r="CW242" s="30">
        <f t="shared" si="2090"/>
        <v>3380.1768729600003</v>
      </c>
      <c r="CX242" s="30">
        <f t="shared" si="2090"/>
        <v>3658.0464448000002</v>
      </c>
      <c r="CY242" s="30">
        <f t="shared" si="2090"/>
        <v>3458.7795238400004</v>
      </c>
      <c r="CZ242" s="30">
        <f t="shared" si="2090"/>
        <v>3880.6381766384002</v>
      </c>
      <c r="DA242" s="30">
        <f t="shared" si="2090"/>
        <v>3988.6087100928003</v>
      </c>
      <c r="DB242" s="30">
        <f t="shared" si="2090"/>
        <v>4316.4948048639999</v>
      </c>
      <c r="DE242" s="139"/>
      <c r="DF242" s="64">
        <v>2099.1</v>
      </c>
    </row>
    <row r="243" spans="1:110" s="64" customFormat="1" hidden="1" outlineLevel="1" x14ac:dyDescent="0.2">
      <c r="A243" s="64" t="s">
        <v>475</v>
      </c>
      <c r="B243" s="64">
        <f t="shared" ref="B243:Z243" si="2091">B39-B249</f>
        <v>0</v>
      </c>
      <c r="C243" s="64">
        <f t="shared" si="2091"/>
        <v>0</v>
      </c>
      <c r="D243" s="64">
        <f t="shared" si="2091"/>
        <v>0</v>
      </c>
      <c r="E243" s="64">
        <f t="shared" si="2091"/>
        <v>0</v>
      </c>
      <c r="F243" s="64">
        <f t="shared" si="2091"/>
        <v>12.549970000000009</v>
      </c>
      <c r="G243" s="64">
        <f t="shared" si="2091"/>
        <v>18.374706700000004</v>
      </c>
      <c r="H243" s="64">
        <f t="shared" si="2091"/>
        <v>18.147446399999978</v>
      </c>
      <c r="I243" s="64">
        <f t="shared" si="2091"/>
        <v>14.789942800000006</v>
      </c>
      <c r="J243" s="64">
        <f t="shared" si="2091"/>
        <v>26.551738799999981</v>
      </c>
      <c r="K243" s="64">
        <f t="shared" si="2091"/>
        <v>31.737905099999992</v>
      </c>
      <c r="L243" s="64">
        <f t="shared" si="2091"/>
        <v>0</v>
      </c>
      <c r="M243" s="64">
        <f t="shared" si="2091"/>
        <v>0</v>
      </c>
      <c r="N243" s="64">
        <f t="shared" si="2091"/>
        <v>167.72799999999989</v>
      </c>
      <c r="O243" s="64">
        <f t="shared" si="2091"/>
        <v>163.15000000000009</v>
      </c>
      <c r="P243" s="64">
        <f t="shared" si="2091"/>
        <v>189.81499999999988</v>
      </c>
      <c r="Q243" s="64">
        <f t="shared" si="2091"/>
        <v>223.52900000000011</v>
      </c>
      <c r="R243" s="64">
        <f t="shared" si="2091"/>
        <v>227.4980000000001</v>
      </c>
      <c r="S243" s="64">
        <f t="shared" si="2091"/>
        <v>276.2700000000001</v>
      </c>
      <c r="T243" s="64">
        <f t="shared" si="2091"/>
        <v>442.08300000000008</v>
      </c>
      <c r="U243" s="64">
        <f t="shared" si="2091"/>
        <v>397.29000000000008</v>
      </c>
      <c r="V243" s="64">
        <f t="shared" si="2091"/>
        <v>437.48</v>
      </c>
      <c r="W243" s="64">
        <f t="shared" si="2091"/>
        <v>533.59000000000015</v>
      </c>
      <c r="X243" s="64">
        <f t="shared" si="2091"/>
        <v>683.61</v>
      </c>
      <c r="Y243" s="64">
        <f t="shared" si="2091"/>
        <v>877.87999999999988</v>
      </c>
      <c r="Z243" s="64">
        <f t="shared" si="2091"/>
        <v>832.70999999999958</v>
      </c>
      <c r="AA243" s="64">
        <f t="shared" ref="AA243" si="2092">AA39-AA249</f>
        <v>1237.5900000000006</v>
      </c>
      <c r="AB243" s="30"/>
      <c r="AC243" s="30"/>
      <c r="AD243" s="30"/>
      <c r="AE243" s="30"/>
      <c r="AI243" s="64">
        <f t="shared" ref="AI243:BN243" si="2093">AI39-AI249</f>
        <v>0</v>
      </c>
      <c r="AJ243" s="64">
        <f t="shared" si="2093"/>
        <v>0</v>
      </c>
      <c r="AK243" s="64">
        <f t="shared" si="2093"/>
        <v>0</v>
      </c>
      <c r="AL243" s="64">
        <f t="shared" si="2093"/>
        <v>0</v>
      </c>
      <c r="AM243" s="64">
        <f t="shared" si="2093"/>
        <v>0</v>
      </c>
      <c r="AN243" s="64">
        <f t="shared" si="2093"/>
        <v>0</v>
      </c>
      <c r="AO243" s="64">
        <f t="shared" si="2093"/>
        <v>0</v>
      </c>
      <c r="AP243" s="64">
        <f t="shared" si="2093"/>
        <v>0</v>
      </c>
      <c r="AQ243" s="64">
        <f t="shared" si="2093"/>
        <v>0</v>
      </c>
      <c r="AR243" s="64">
        <f t="shared" si="2093"/>
        <v>0</v>
      </c>
      <c r="AS243" s="64">
        <f t="shared" si="2093"/>
        <v>0</v>
      </c>
      <c r="AT243" s="64">
        <f t="shared" si="2093"/>
        <v>0</v>
      </c>
      <c r="AU243" s="64">
        <f t="shared" si="2093"/>
        <v>0</v>
      </c>
      <c r="AV243" s="64">
        <f t="shared" si="2093"/>
        <v>0</v>
      </c>
      <c r="AW243" s="64">
        <f t="shared" si="2093"/>
        <v>0</v>
      </c>
      <c r="AX243" s="64">
        <f t="shared" si="2093"/>
        <v>0</v>
      </c>
      <c r="AY243" s="64">
        <f t="shared" si="2093"/>
        <v>0</v>
      </c>
      <c r="AZ243" s="64">
        <f t="shared" si="2093"/>
        <v>0</v>
      </c>
      <c r="BA243" s="64">
        <f t="shared" si="2093"/>
        <v>0</v>
      </c>
      <c r="BB243" s="64">
        <f t="shared" si="2093"/>
        <v>0</v>
      </c>
      <c r="BC243" s="64">
        <f t="shared" si="2093"/>
        <v>0</v>
      </c>
      <c r="BD243" s="64">
        <f t="shared" si="2093"/>
        <v>0</v>
      </c>
      <c r="BE243" s="64">
        <f t="shared" si="2093"/>
        <v>0</v>
      </c>
      <c r="BF243" s="64">
        <f t="shared" si="2093"/>
        <v>0</v>
      </c>
      <c r="BG243" s="64">
        <f t="shared" si="2093"/>
        <v>0</v>
      </c>
      <c r="BH243" s="64">
        <f t="shared" si="2093"/>
        <v>0</v>
      </c>
      <c r="BI243" s="64">
        <f t="shared" si="2093"/>
        <v>0</v>
      </c>
      <c r="BJ243" s="64">
        <f t="shared" si="2093"/>
        <v>0</v>
      </c>
      <c r="BK243" s="64">
        <f t="shared" si="2093"/>
        <v>0</v>
      </c>
      <c r="BL243" s="64">
        <f t="shared" si="2093"/>
        <v>0</v>
      </c>
      <c r="BM243" s="64">
        <f t="shared" si="2093"/>
        <v>0</v>
      </c>
      <c r="BN243" s="64">
        <f t="shared" si="2093"/>
        <v>86.350000000000023</v>
      </c>
      <c r="BO243" s="64">
        <f t="shared" ref="BO243:CT243" si="2094">BO39-BO249</f>
        <v>44.689999999999984</v>
      </c>
      <c r="BP243" s="64">
        <f t="shared" si="2094"/>
        <v>101.25999999999999</v>
      </c>
      <c r="BQ243" s="64">
        <f t="shared" si="2094"/>
        <v>141.48999999999998</v>
      </c>
      <c r="BR243" s="64">
        <f t="shared" si="2094"/>
        <v>150.79999999999995</v>
      </c>
      <c r="BS243" s="64">
        <f t="shared" si="2094"/>
        <v>107.73999999999998</v>
      </c>
      <c r="BT243" s="64">
        <f t="shared" si="2094"/>
        <v>143.60000000000002</v>
      </c>
      <c r="BU243" s="64">
        <f t="shared" si="2094"/>
        <v>127.80999999999995</v>
      </c>
      <c r="BV243" s="64">
        <f t="shared" si="2094"/>
        <v>155.01</v>
      </c>
      <c r="BW243" s="64">
        <f t="shared" si="2094"/>
        <v>164.68000000000004</v>
      </c>
      <c r="BX243" s="64">
        <f t="shared" si="2094"/>
        <v>172.19000000000005</v>
      </c>
      <c r="BY243" s="64">
        <f t="shared" si="2094"/>
        <v>158.29999999999995</v>
      </c>
      <c r="BZ243" s="64">
        <f t="shared" si="2094"/>
        <v>188.43999999999994</v>
      </c>
      <c r="CA243" s="64">
        <f t="shared" si="2094"/>
        <v>214.23000000000013</v>
      </c>
      <c r="CB243" s="64">
        <f t="shared" si="2094"/>
        <v>237.50000000000006</v>
      </c>
      <c r="CC243" s="64">
        <f t="shared" si="2094"/>
        <v>220.20000000000005</v>
      </c>
      <c r="CD243" s="64">
        <f t="shared" si="2094"/>
        <v>206.90000000000003</v>
      </c>
      <c r="CE243" s="64">
        <f t="shared" si="2094"/>
        <v>197.3300000000001</v>
      </c>
      <c r="CF243" s="64">
        <f t="shared" si="2094"/>
        <v>192.78000000000009</v>
      </c>
      <c r="CG243" s="64">
        <f t="shared" si="2094"/>
        <v>198.9799999999999</v>
      </c>
      <c r="CH243" s="64">
        <f t="shared" si="2094"/>
        <v>243.62000000000012</v>
      </c>
      <c r="CI243" s="64">
        <f t="shared" si="2094"/>
        <v>264.93999999999994</v>
      </c>
      <c r="CJ243" s="64">
        <f t="shared" si="2094"/>
        <v>301.89999999999975</v>
      </c>
      <c r="CK243" s="64">
        <f t="shared" si="2094"/>
        <v>312.22000000000025</v>
      </c>
      <c r="CL243" s="64">
        <f t="shared" ref="CL243" si="2095">CL39-CL249</f>
        <v>358.5300000000002</v>
      </c>
      <c r="CM243" s="30">
        <f t="shared" si="2094"/>
        <v>322.15614716481628</v>
      </c>
      <c r="CN243" s="30">
        <f t="shared" si="2094"/>
        <v>364.12095467910933</v>
      </c>
      <c r="CO243" s="30">
        <f t="shared" si="2094"/>
        <v>376.27639107549408</v>
      </c>
      <c r="CP243" s="30">
        <f t="shared" si="2094"/>
        <v>409.33409502017207</v>
      </c>
      <c r="CQ243" s="30">
        <f t="shared" si="2094"/>
        <v>383.79036962094904</v>
      </c>
      <c r="CR243" s="30">
        <f t="shared" si="2094"/>
        <v>431.62302311879193</v>
      </c>
      <c r="CS243" s="30">
        <f t="shared" si="2094"/>
        <v>444.13572846977934</v>
      </c>
      <c r="CT243" s="30">
        <f t="shared" si="2094"/>
        <v>480.68124610636551</v>
      </c>
      <c r="CU243" s="30">
        <f t="shared" ref="CU243:DB243" si="2096">CU39-CU249</f>
        <v>453.94533817920205</v>
      </c>
      <c r="CV243" s="30">
        <f t="shared" si="2096"/>
        <v>509.61279532421815</v>
      </c>
      <c r="CW243" s="30">
        <f t="shared" si="2096"/>
        <v>523.86816861606053</v>
      </c>
      <c r="CX243" s="30">
        <f t="shared" si="2096"/>
        <v>566.87572738192534</v>
      </c>
      <c r="CY243" s="30">
        <f t="shared" si="2096"/>
        <v>535.91840465135897</v>
      </c>
      <c r="CZ243" s="30">
        <f t="shared" si="2096"/>
        <v>601.35676954654696</v>
      </c>
      <c r="DA243" s="30">
        <f t="shared" si="2096"/>
        <v>618.09176012786884</v>
      </c>
      <c r="DB243" s="30">
        <f t="shared" si="2096"/>
        <v>668.88271975951375</v>
      </c>
      <c r="DE243" s="139"/>
      <c r="DF243" s="64">
        <v>309.81334184813977</v>
      </c>
    </row>
    <row r="244" spans="1:110" s="89" customFormat="1" hidden="1" outlineLevel="1" x14ac:dyDescent="0.2">
      <c r="A244" s="86" t="s">
        <v>476</v>
      </c>
      <c r="B244" s="86" t="e">
        <f>+B243/B242</f>
        <v>#DIV/0!</v>
      </c>
      <c r="C244" s="86" t="e">
        <f t="shared" ref="C244" si="2097">+C243/C242</f>
        <v>#DIV/0!</v>
      </c>
      <c r="D244" s="86" t="e">
        <f t="shared" ref="D244" si="2098">+D243/D242</f>
        <v>#DIV/0!</v>
      </c>
      <c r="E244" s="86" t="e">
        <f t="shared" ref="E244" si="2099">+E243/E242</f>
        <v>#DIV/0!</v>
      </c>
      <c r="F244" s="86">
        <f t="shared" ref="F244" si="2100">+F243/F242</f>
        <v>0.15714939206881587</v>
      </c>
      <c r="G244" s="86">
        <f t="shared" ref="G244" si="2101">+G243/G242</f>
        <v>0.16116271947796446</v>
      </c>
      <c r="H244" s="86">
        <f t="shared" ref="H244" si="2102">+H243/H242</f>
        <v>0.12057188375091345</v>
      </c>
      <c r="I244" s="86">
        <f t="shared" ref="I244" si="2103">+I243/I242</f>
        <v>7.0988727023827095E-2</v>
      </c>
      <c r="J244" s="86">
        <f t="shared" ref="J244" si="2104">+J243/J242</f>
        <v>0.10534340303287419</v>
      </c>
      <c r="K244" s="86">
        <f t="shared" ref="K244" si="2105">+K243/K242</f>
        <v>0.16725629156384364</v>
      </c>
      <c r="L244" s="86" t="e">
        <f t="shared" ref="L244" si="2106">+L243/L242</f>
        <v>#DIV/0!</v>
      </c>
      <c r="M244" s="86" t="e">
        <f t="shared" ref="M244" si="2107">+M243/M242</f>
        <v>#DIV/0!</v>
      </c>
      <c r="N244" s="86">
        <f t="shared" ref="N244" si="2108">+N243/N242</f>
        <v>0.24866975734654195</v>
      </c>
      <c r="O244" s="86">
        <f t="shared" ref="O244" si="2109">+O243/O242</f>
        <v>0.23517456107475435</v>
      </c>
      <c r="P244" s="86">
        <f t="shared" ref="P244" si="2110">+P243/P242</f>
        <v>0.21847523701769173</v>
      </c>
      <c r="Q244" s="86">
        <f t="shared" ref="Q244" si="2111">+Q243/Q242</f>
        <v>0.22695880140686059</v>
      </c>
      <c r="R244" s="86">
        <f t="shared" ref="R244" si="2112">+R243/R242</f>
        <v>0.18799498895984568</v>
      </c>
      <c r="S244" s="86">
        <f t="shared" ref="S244" si="2113">+S243/S242</f>
        <v>0.18277506896985179</v>
      </c>
      <c r="T244" s="86">
        <f t="shared" ref="T244" si="2114">+T243/T242</f>
        <v>0.24316903070230206</v>
      </c>
      <c r="U244" s="86">
        <f t="shared" ref="U244" si="2115">+U243/U242</f>
        <v>0.26619808906101339</v>
      </c>
      <c r="V244" s="86">
        <f t="shared" ref="V244" si="2116">+V243/V242</f>
        <v>0.28044488605404022</v>
      </c>
      <c r="W244" s="86">
        <f t="shared" ref="W244" si="2117">+W243/W242</f>
        <v>0.24067892937366381</v>
      </c>
      <c r="X244" s="86">
        <f t="shared" ref="X244:Y244" si="2118">+X243/X242</f>
        <v>0.21479607867781061</v>
      </c>
      <c r="Y244" s="86">
        <f t="shared" si="2118"/>
        <v>0.19719974032567114</v>
      </c>
      <c r="Z244" s="86">
        <f t="shared" ref="Z244:AA244" si="2119">+Z243/Z242</f>
        <v>0.14633387693129571</v>
      </c>
      <c r="AA244" s="86">
        <f t="shared" si="2119"/>
        <v>0.15337075100969488</v>
      </c>
      <c r="AB244" s="87"/>
      <c r="AC244" s="87"/>
      <c r="AD244" s="87"/>
      <c r="AE244" s="87"/>
      <c r="AF244" s="86"/>
      <c r="AG244" s="86"/>
      <c r="AH244" s="86"/>
      <c r="AI244" s="86" t="e">
        <f t="shared" ref="AI244" si="2120">+AI243/AI242</f>
        <v>#DIV/0!</v>
      </c>
      <c r="AJ244" s="86" t="e">
        <f t="shared" ref="AJ244" si="2121">+AJ243/AJ242</f>
        <v>#DIV/0!</v>
      </c>
      <c r="AK244" s="86" t="e">
        <f t="shared" ref="AK244" si="2122">+AK243/AK242</f>
        <v>#DIV/0!</v>
      </c>
      <c r="AL244" s="86" t="e">
        <f t="shared" ref="AL244" si="2123">+AL243/AL242</f>
        <v>#DIV/0!</v>
      </c>
      <c r="AM244" s="86" t="e">
        <f t="shared" ref="AM244" si="2124">+AM243/AM242</f>
        <v>#DIV/0!</v>
      </c>
      <c r="AN244" s="86" t="e">
        <f t="shared" ref="AN244" si="2125">+AN243/AN242</f>
        <v>#DIV/0!</v>
      </c>
      <c r="AO244" s="86" t="e">
        <f t="shared" ref="AO244" si="2126">+AO243/AO242</f>
        <v>#DIV/0!</v>
      </c>
      <c r="AP244" s="86" t="e">
        <f t="shared" ref="AP244" si="2127">+AP243/AP242</f>
        <v>#DIV/0!</v>
      </c>
      <c r="AQ244" s="86" t="e">
        <f t="shared" ref="AQ244" si="2128">+AQ243/AQ242</f>
        <v>#DIV/0!</v>
      </c>
      <c r="AR244" s="86" t="e">
        <f t="shared" ref="AR244" si="2129">+AR243/AR242</f>
        <v>#DIV/0!</v>
      </c>
      <c r="AS244" s="86" t="e">
        <f t="shared" ref="AS244" si="2130">+AS243/AS242</f>
        <v>#DIV/0!</v>
      </c>
      <c r="AT244" s="86" t="e">
        <f t="shared" ref="AT244" si="2131">+AT243/AT242</f>
        <v>#DIV/0!</v>
      </c>
      <c r="AU244" s="86" t="e">
        <f t="shared" ref="AU244" si="2132">+AU243/AU242</f>
        <v>#DIV/0!</v>
      </c>
      <c r="AV244" s="86" t="e">
        <f t="shared" ref="AV244" si="2133">+AV243/AV242</f>
        <v>#DIV/0!</v>
      </c>
      <c r="AW244" s="86" t="e">
        <f t="shared" ref="AW244" si="2134">+AW243/AW242</f>
        <v>#DIV/0!</v>
      </c>
      <c r="AX244" s="86" t="e">
        <f t="shared" ref="AX244" si="2135">+AX243/AX242</f>
        <v>#DIV/0!</v>
      </c>
      <c r="AY244" s="86" t="e">
        <f t="shared" ref="AY244" si="2136">+AY243/AY242</f>
        <v>#DIV/0!</v>
      </c>
      <c r="AZ244" s="86" t="e">
        <f t="shared" ref="AZ244" si="2137">+AZ243/AZ242</f>
        <v>#DIV/0!</v>
      </c>
      <c r="BA244" s="86" t="e">
        <f t="shared" ref="BA244" si="2138">+BA243/BA242</f>
        <v>#DIV/0!</v>
      </c>
      <c r="BB244" s="86" t="e">
        <f t="shared" ref="BB244" si="2139">+BB243/BB242</f>
        <v>#DIV/0!</v>
      </c>
      <c r="BC244" s="86" t="e">
        <f t="shared" ref="BC244" si="2140">+BC243/BC242</f>
        <v>#DIV/0!</v>
      </c>
      <c r="BD244" s="86" t="e">
        <f t="shared" ref="BD244" si="2141">+BD243/BD242</f>
        <v>#DIV/0!</v>
      </c>
      <c r="BE244" s="86" t="e">
        <f t="shared" ref="BE244" si="2142">+BE243/BE242</f>
        <v>#DIV/0!</v>
      </c>
      <c r="BF244" s="86" t="e">
        <f t="shared" ref="BF244" si="2143">+BF243/BF242</f>
        <v>#DIV/0!</v>
      </c>
      <c r="BG244" s="86" t="e">
        <f t="shared" ref="BG244" si="2144">+BG243/BG242</f>
        <v>#DIV/0!</v>
      </c>
      <c r="BH244" s="86" t="e">
        <f t="shared" ref="BH244" si="2145">+BH243/BH242</f>
        <v>#DIV/0!</v>
      </c>
      <c r="BI244" s="86" t="e">
        <f t="shared" ref="BI244" si="2146">+BI243/BI242</f>
        <v>#DIV/0!</v>
      </c>
      <c r="BJ244" s="86" t="e">
        <f t="shared" ref="BJ244" si="2147">+BJ243/BJ242</f>
        <v>#DIV/0!</v>
      </c>
      <c r="BK244" s="86" t="e">
        <f t="shared" ref="BK244" si="2148">+BK243/BK242</f>
        <v>#DIV/0!</v>
      </c>
      <c r="BL244" s="86" t="e">
        <f t="shared" ref="BL244" si="2149">+BL243/BL242</f>
        <v>#DIV/0!</v>
      </c>
      <c r="BM244" s="86" t="e">
        <f t="shared" ref="BM244" si="2150">+BM243/BM242</f>
        <v>#DIV/0!</v>
      </c>
      <c r="BN244" s="86">
        <f t="shared" ref="BN244" si="2151">+BN243/BN242</f>
        <v>0.25821596244131462</v>
      </c>
      <c r="BO244" s="86">
        <f t="shared" ref="BO244" si="2152">+BO243/BO242</f>
        <v>0.27417177914110419</v>
      </c>
      <c r="BP244" s="86">
        <f t="shared" ref="BP244" si="2153">+BP243/BP242</f>
        <v>0.27314415192058694</v>
      </c>
      <c r="BQ244" s="86">
        <f t="shared" ref="BQ244" si="2154">+BQ243/BQ242</f>
        <v>0.28930418958431303</v>
      </c>
      <c r="BR244" s="86">
        <f t="shared" ref="BR244" si="2155">+BR243/BR242</f>
        <v>0.28073572120038714</v>
      </c>
      <c r="BS244" s="86">
        <f t="shared" ref="BS244" si="2156">+BS243/BS242</f>
        <v>0.24757002688480889</v>
      </c>
      <c r="BT244" s="86">
        <f t="shared" ref="BT244" si="2157">+BT243/BT242</f>
        <v>0.25148421218542588</v>
      </c>
      <c r="BU244" s="86">
        <f t="shared" ref="BU244" si="2158">+BU243/BU242</f>
        <v>0.23064152305332483</v>
      </c>
      <c r="BV244" s="86">
        <f t="shared" ref="BV244" si="2159">+BV243/BV242</f>
        <v>0.23605463931655168</v>
      </c>
      <c r="BW244" s="86">
        <f t="shared" ref="BW244" si="2160">+BW243/BW242</f>
        <v>0.24326400378161195</v>
      </c>
      <c r="BX244" s="86">
        <f t="shared" ref="BX244" si="2161">+BX243/BX242</f>
        <v>0.22182572400288578</v>
      </c>
      <c r="BY244" s="86">
        <f t="shared" ref="BY244" si="2162">+BY243/BY242</f>
        <v>0.21133999973298795</v>
      </c>
      <c r="BZ244" s="86">
        <f t="shared" ref="BZ244" si="2163">+BZ243/BZ242</f>
        <v>0.19221314401705472</v>
      </c>
      <c r="CA244" s="86">
        <f t="shared" ref="CA244" si="2164">+CA243/CA242</f>
        <v>0.2064608771912918</v>
      </c>
      <c r="CB244" s="86">
        <f t="shared" ref="CB244:CC244" si="2165">+CB243/CB242</f>
        <v>0.20143164894068161</v>
      </c>
      <c r="CC244" s="86">
        <f t="shared" si="2165"/>
        <v>0.19491900504558735</v>
      </c>
      <c r="CD244" s="86">
        <f t="shared" ref="CD244" si="2166">+CD243/CD242</f>
        <v>0.18718222447391758</v>
      </c>
      <c r="CE244" s="86">
        <f t="shared" ref="CE244:CF244" si="2167">+CE243/CE242</f>
        <v>0.1714139281960407</v>
      </c>
      <c r="CF244" s="86">
        <f t="shared" si="2167"/>
        <v>0.15880390460892135</v>
      </c>
      <c r="CG244" s="86">
        <f t="shared" ref="CG244:CH244" si="2168">+CG243/CG242</f>
        <v>0.12624913551891068</v>
      </c>
      <c r="CH244" s="86">
        <f t="shared" si="2168"/>
        <v>0.13927111619265406</v>
      </c>
      <c r="CI244" s="86">
        <f t="shared" ref="CI244:CJ244" si="2169">+CI243/CI242</f>
        <v>0.14850896860986543</v>
      </c>
      <c r="CJ244" s="86">
        <f t="shared" si="2169"/>
        <v>0.15083009007838757</v>
      </c>
      <c r="CK244" s="86">
        <f t="shared" ref="CK244:DB244" si="2170">+CK243/CK242</f>
        <v>0.15176349354487489</v>
      </c>
      <c r="CL244" s="86">
        <f t="shared" si="2170"/>
        <v>0.16103575278476473</v>
      </c>
      <c r="CM244" s="47">
        <f t="shared" si="2170"/>
        <v>0.15303457625447303</v>
      </c>
      <c r="CN244" s="47">
        <f t="shared" si="2170"/>
        <v>0.15416597816562502</v>
      </c>
      <c r="CO244" s="47">
        <f t="shared" si="2170"/>
        <v>0.15499995018743445</v>
      </c>
      <c r="CP244" s="47">
        <f t="shared" si="2170"/>
        <v>0.15580906434807429</v>
      </c>
      <c r="CQ244" s="47">
        <f t="shared" si="2170"/>
        <v>0.15450239223890172</v>
      </c>
      <c r="CR244" s="47">
        <f t="shared" si="2170"/>
        <v>0.15486934623500889</v>
      </c>
      <c r="CS244" s="47">
        <f t="shared" si="2170"/>
        <v>0.15504518825235492</v>
      </c>
      <c r="CT244" s="47">
        <f t="shared" si="2170"/>
        <v>0.15505649776858493</v>
      </c>
      <c r="CU244" s="47">
        <f t="shared" si="2170"/>
        <v>0.15486835612371266</v>
      </c>
      <c r="CV244" s="47">
        <f t="shared" si="2170"/>
        <v>0.15495984709491531</v>
      </c>
      <c r="CW244" s="47">
        <f t="shared" si="2170"/>
        <v>0.15498247230989198</v>
      </c>
      <c r="CX244" s="47">
        <f t="shared" si="2170"/>
        <v>0.15496679332427629</v>
      </c>
      <c r="CY244" s="47">
        <f t="shared" si="2170"/>
        <v>0.1549443672131991</v>
      </c>
      <c r="CZ244" s="47">
        <f t="shared" si="2170"/>
        <v>0.15496336998557073</v>
      </c>
      <c r="DA244" s="47">
        <f t="shared" si="2170"/>
        <v>0.15496425070823458</v>
      </c>
      <c r="DB244" s="47">
        <f t="shared" si="2170"/>
        <v>0.15495969530782008</v>
      </c>
      <c r="DE244" s="130"/>
      <c r="DF244" s="89">
        <v>0.14759341710644552</v>
      </c>
    </row>
    <row r="245" spans="1:110" s="64" customFormat="1" hidden="1" outlineLevel="1" x14ac:dyDescent="0.2">
      <c r="A245" s="64" t="s">
        <v>477</v>
      </c>
      <c r="B245" s="64">
        <f t="shared" ref="B245:Z245" si="2171">B52-B251</f>
        <v>0</v>
      </c>
      <c r="C245" s="64">
        <f t="shared" si="2171"/>
        <v>0</v>
      </c>
      <c r="D245" s="64">
        <f t="shared" si="2171"/>
        <v>0</v>
      </c>
      <c r="E245" s="64">
        <f t="shared" si="2171"/>
        <v>0</v>
      </c>
      <c r="F245" s="64">
        <f t="shared" si="2171"/>
        <v>6.9810507000000088</v>
      </c>
      <c r="G245" s="64">
        <f t="shared" si="2171"/>
        <v>10.085466500000006</v>
      </c>
      <c r="H245" s="64">
        <f t="shared" si="2171"/>
        <v>11.076852899999977</v>
      </c>
      <c r="I245" s="64">
        <f t="shared" si="2171"/>
        <v>14.789942800000006</v>
      </c>
      <c r="J245" s="64">
        <f t="shared" si="2171"/>
        <v>8.9362879999999798</v>
      </c>
      <c r="K245" s="64">
        <f t="shared" si="2171"/>
        <v>10.397539899999993</v>
      </c>
      <c r="L245" s="64">
        <f t="shared" si="2171"/>
        <v>0</v>
      </c>
      <c r="M245" s="64">
        <f t="shared" si="2171"/>
        <v>0</v>
      </c>
      <c r="N245" s="64">
        <f t="shared" si="2171"/>
        <v>38.236999999999888</v>
      </c>
      <c r="O245" s="64">
        <f t="shared" si="2171"/>
        <v>23.330000000000076</v>
      </c>
      <c r="P245" s="64">
        <f t="shared" si="2171"/>
        <v>20.779999999999895</v>
      </c>
      <c r="Q245" s="64">
        <f t="shared" si="2171"/>
        <v>44.545000000000122</v>
      </c>
      <c r="R245" s="64">
        <f t="shared" si="2171"/>
        <v>42.363000000000106</v>
      </c>
      <c r="S245" s="64">
        <f t="shared" si="2171"/>
        <v>32.900000000000112</v>
      </c>
      <c r="T245" s="64">
        <f t="shared" si="2171"/>
        <v>96.96400000000007</v>
      </c>
      <c r="U245" s="64">
        <f t="shared" si="2171"/>
        <v>45.80000000000009</v>
      </c>
      <c r="V245" s="64">
        <f t="shared" si="2171"/>
        <v>97.190000000000026</v>
      </c>
      <c r="W245" s="64">
        <f t="shared" si="2171"/>
        <v>162.71000000000015</v>
      </c>
      <c r="X245" s="64">
        <f t="shared" si="2171"/>
        <v>250.48000000000002</v>
      </c>
      <c r="Y245" s="64">
        <f t="shared" si="2171"/>
        <v>336.4799999999999</v>
      </c>
      <c r="Z245" s="64">
        <f t="shared" si="2171"/>
        <v>225.33999999999961</v>
      </c>
      <c r="AA245" s="64">
        <f t="shared" ref="AA245" si="2172">AA52-AA251</f>
        <v>395.82000000000056</v>
      </c>
      <c r="AB245" s="30"/>
      <c r="AC245" s="30"/>
      <c r="AD245" s="30"/>
      <c r="AE245" s="30"/>
      <c r="AI245" s="64">
        <f t="shared" ref="AI245:BN245" si="2173">AI52-AI251</f>
        <v>0</v>
      </c>
      <c r="AJ245" s="64">
        <f t="shared" si="2173"/>
        <v>0</v>
      </c>
      <c r="AK245" s="64">
        <f t="shared" si="2173"/>
        <v>0</v>
      </c>
      <c r="AL245" s="64">
        <f t="shared" si="2173"/>
        <v>0</v>
      </c>
      <c r="AM245" s="64">
        <f t="shared" si="2173"/>
        <v>0</v>
      </c>
      <c r="AN245" s="64">
        <f t="shared" si="2173"/>
        <v>0</v>
      </c>
      <c r="AO245" s="64">
        <f t="shared" si="2173"/>
        <v>0</v>
      </c>
      <c r="AP245" s="64">
        <f t="shared" si="2173"/>
        <v>0</v>
      </c>
      <c r="AQ245" s="64">
        <f t="shared" si="2173"/>
        <v>0</v>
      </c>
      <c r="AR245" s="64">
        <f t="shared" si="2173"/>
        <v>0</v>
      </c>
      <c r="AS245" s="64">
        <f t="shared" si="2173"/>
        <v>0</v>
      </c>
      <c r="AT245" s="64">
        <f t="shared" si="2173"/>
        <v>0</v>
      </c>
      <c r="AU245" s="64">
        <f t="shared" si="2173"/>
        <v>0</v>
      </c>
      <c r="AV245" s="64">
        <f t="shared" si="2173"/>
        <v>0</v>
      </c>
      <c r="AW245" s="64">
        <f t="shared" si="2173"/>
        <v>0</v>
      </c>
      <c r="AX245" s="64">
        <f t="shared" si="2173"/>
        <v>0</v>
      </c>
      <c r="AY245" s="64">
        <f t="shared" si="2173"/>
        <v>0</v>
      </c>
      <c r="AZ245" s="64">
        <f t="shared" si="2173"/>
        <v>0</v>
      </c>
      <c r="BA245" s="64">
        <f t="shared" si="2173"/>
        <v>0</v>
      </c>
      <c r="BB245" s="64">
        <f t="shared" si="2173"/>
        <v>0</v>
      </c>
      <c r="BC245" s="64">
        <f t="shared" si="2173"/>
        <v>0</v>
      </c>
      <c r="BD245" s="64">
        <f t="shared" si="2173"/>
        <v>0</v>
      </c>
      <c r="BE245" s="64">
        <f t="shared" si="2173"/>
        <v>0</v>
      </c>
      <c r="BF245" s="64">
        <f t="shared" si="2173"/>
        <v>0</v>
      </c>
      <c r="BG245" s="64">
        <f t="shared" si="2173"/>
        <v>0</v>
      </c>
      <c r="BH245" s="64">
        <f t="shared" si="2173"/>
        <v>0</v>
      </c>
      <c r="BI245" s="64">
        <f t="shared" si="2173"/>
        <v>0</v>
      </c>
      <c r="BJ245" s="64">
        <f t="shared" si="2173"/>
        <v>0</v>
      </c>
      <c r="BK245" s="64">
        <f t="shared" si="2173"/>
        <v>0</v>
      </c>
      <c r="BL245" s="64">
        <f t="shared" si="2173"/>
        <v>0</v>
      </c>
      <c r="BM245" s="64">
        <f t="shared" si="2173"/>
        <v>0</v>
      </c>
      <c r="BN245" s="64">
        <f t="shared" si="2173"/>
        <v>4.0600000000000254</v>
      </c>
      <c r="BO245" s="64">
        <f t="shared" ref="BO245:CT245" si="2174">BO52-BO251</f>
        <v>-16.280000000000015</v>
      </c>
      <c r="BP245" s="64">
        <f t="shared" si="2174"/>
        <v>22.839999999999986</v>
      </c>
      <c r="BQ245" s="64">
        <f t="shared" si="2174"/>
        <v>43.439999999999984</v>
      </c>
      <c r="BR245" s="64">
        <f t="shared" si="2174"/>
        <v>47.189999999999955</v>
      </c>
      <c r="BS245" s="64">
        <f t="shared" si="2174"/>
        <v>24.019999999999982</v>
      </c>
      <c r="BT245" s="64">
        <f t="shared" si="2174"/>
        <v>49.88000000000001</v>
      </c>
      <c r="BU245" s="64">
        <f t="shared" si="2174"/>
        <v>37.469999999999949</v>
      </c>
      <c r="BV245" s="64">
        <f t="shared" si="2174"/>
        <v>51.339999999999989</v>
      </c>
      <c r="BW245" s="64">
        <f t="shared" si="2174"/>
        <v>56.590000000000046</v>
      </c>
      <c r="BX245" s="64">
        <f t="shared" si="2174"/>
        <v>62.380000000000052</v>
      </c>
      <c r="BY245" s="64">
        <f t="shared" si="2174"/>
        <v>51.399999999999963</v>
      </c>
      <c r="BZ245" s="64">
        <f t="shared" si="2174"/>
        <v>80.109999999999928</v>
      </c>
      <c r="CA245" s="64">
        <f t="shared" si="2174"/>
        <v>80.650000000000119</v>
      </c>
      <c r="CB245" s="64">
        <f t="shared" si="2174"/>
        <v>104.25000000000006</v>
      </c>
      <c r="CC245" s="64">
        <f t="shared" si="2174"/>
        <v>81.350000000000051</v>
      </c>
      <c r="CD245" s="64">
        <f t="shared" si="2174"/>
        <v>70.230000000000018</v>
      </c>
      <c r="CE245" s="64">
        <f t="shared" si="2174"/>
        <v>59.310000000000088</v>
      </c>
      <c r="CF245" s="64">
        <f t="shared" si="2174"/>
        <v>61.290000000000084</v>
      </c>
      <c r="CG245" s="64">
        <f t="shared" si="2174"/>
        <v>27.479999999999905</v>
      </c>
      <c r="CH245" s="64">
        <f t="shared" si="2174"/>
        <v>77.260000000000105</v>
      </c>
      <c r="CI245" s="64">
        <f t="shared" si="2174"/>
        <v>77.629999999999939</v>
      </c>
      <c r="CJ245" s="64">
        <f t="shared" si="2174"/>
        <v>90.999999999999758</v>
      </c>
      <c r="CK245" s="64">
        <f t="shared" si="2174"/>
        <v>110.53000000000027</v>
      </c>
      <c r="CL245" s="64">
        <f t="shared" ref="CL245" si="2175">CL52-CL251</f>
        <v>116.6600000000002</v>
      </c>
      <c r="CM245" s="30">
        <f t="shared" si="2174"/>
        <v>78.057231424390025</v>
      </c>
      <c r="CN245" s="30">
        <f t="shared" si="2174"/>
        <v>113.08710881081728</v>
      </c>
      <c r="CO245" s="30">
        <f t="shared" si="2174"/>
        <v>126.82820142169666</v>
      </c>
      <c r="CP245" s="30">
        <f t="shared" si="2174"/>
        <v>150.75057431640116</v>
      </c>
      <c r="CQ245" s="30">
        <f t="shared" si="2174"/>
        <v>137.52870610453579</v>
      </c>
      <c r="CR245" s="30">
        <f t="shared" si="2174"/>
        <v>175.16062152532399</v>
      </c>
      <c r="CS245" s="30">
        <f t="shared" si="2174"/>
        <v>187.16486897801053</v>
      </c>
      <c r="CT245" s="30">
        <f t="shared" si="2174"/>
        <v>215.93231218810541</v>
      </c>
      <c r="CU245" s="30">
        <f t="shared" ref="CU245:DB245" si="2176">CU52-CU251</f>
        <v>200.06792396834891</v>
      </c>
      <c r="CV245" s="30">
        <f t="shared" si="2176"/>
        <v>242.76318501477448</v>
      </c>
      <c r="CW245" s="30">
        <f t="shared" si="2176"/>
        <v>255.6234403058715</v>
      </c>
      <c r="CX245" s="30">
        <f t="shared" si="2176"/>
        <v>289.06300044051522</v>
      </c>
      <c r="CY245" s="30">
        <f t="shared" si="2176"/>
        <v>269.40726311540595</v>
      </c>
      <c r="CZ245" s="30">
        <f t="shared" si="2176"/>
        <v>318.78023126020514</v>
      </c>
      <c r="DA245" s="30">
        <f t="shared" si="2176"/>
        <v>333.10479504162845</v>
      </c>
      <c r="DB245" s="30">
        <f t="shared" si="2176"/>
        <v>371.82566485211885</v>
      </c>
      <c r="DE245" s="139"/>
      <c r="DF245" s="64">
        <v>103.23904087412907</v>
      </c>
    </row>
    <row r="246" spans="1:110" s="64" customFormat="1" hidden="1" outlineLevel="1" x14ac:dyDescent="0.2"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5" t="s">
        <v>352</v>
      </c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4" t="s">
        <v>478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479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89" customFormat="1" hidden="1" outlineLevel="1" x14ac:dyDescent="0.2">
      <c r="A250" s="86" t="s">
        <v>480</v>
      </c>
      <c r="B250" s="86" t="e">
        <f>+B249/B248</f>
        <v>#DIV/0!</v>
      </c>
      <c r="C250" s="86" t="e">
        <f t="shared" ref="C250:X250" si="2177">+C249/C248</f>
        <v>#DIV/0!</v>
      </c>
      <c r="D250" s="86" t="e">
        <f t="shared" si="2177"/>
        <v>#DIV/0!</v>
      </c>
      <c r="E250" s="86" t="e">
        <f t="shared" si="2177"/>
        <v>#DIV/0!</v>
      </c>
      <c r="F250" s="86" t="e">
        <f t="shared" si="2177"/>
        <v>#DIV/0!</v>
      </c>
      <c r="G250" s="86" t="e">
        <f t="shared" si="2177"/>
        <v>#DIV/0!</v>
      </c>
      <c r="H250" s="86" t="e">
        <f t="shared" si="2177"/>
        <v>#DIV/0!</v>
      </c>
      <c r="I250" s="86" t="e">
        <f t="shared" si="2177"/>
        <v>#DIV/0!</v>
      </c>
      <c r="J250" s="86" t="e">
        <f t="shared" si="2177"/>
        <v>#DIV/0!</v>
      </c>
      <c r="K250" s="86" t="e">
        <f t="shared" si="2177"/>
        <v>#DIV/0!</v>
      </c>
      <c r="L250" s="86" t="e">
        <f t="shared" si="2177"/>
        <v>#DIV/0!</v>
      </c>
      <c r="M250" s="86" t="e">
        <f t="shared" si="2177"/>
        <v>#DIV/0!</v>
      </c>
      <c r="N250" s="86" t="e">
        <f t="shared" si="2177"/>
        <v>#DIV/0!</v>
      </c>
      <c r="O250" s="86" t="e">
        <f t="shared" si="2177"/>
        <v>#DIV/0!</v>
      </c>
      <c r="P250" s="86" t="e">
        <f t="shared" si="2177"/>
        <v>#DIV/0!</v>
      </c>
      <c r="Q250" s="86" t="e">
        <f t="shared" si="2177"/>
        <v>#DIV/0!</v>
      </c>
      <c r="R250" s="86" t="e">
        <f t="shared" si="2177"/>
        <v>#DIV/0!</v>
      </c>
      <c r="S250" s="86" t="e">
        <f t="shared" si="2177"/>
        <v>#DIV/0!</v>
      </c>
      <c r="T250" s="86" t="e">
        <f t="shared" si="2177"/>
        <v>#DIV/0!</v>
      </c>
      <c r="U250" s="86" t="e">
        <f t="shared" si="2177"/>
        <v>#DIV/0!</v>
      </c>
      <c r="V250" s="86" t="e">
        <f t="shared" si="2177"/>
        <v>#DIV/0!</v>
      </c>
      <c r="W250" s="86" t="e">
        <f t="shared" si="2177"/>
        <v>#DIV/0!</v>
      </c>
      <c r="X250" s="86" t="e">
        <f t="shared" si="2177"/>
        <v>#DIV/0!</v>
      </c>
      <c r="Y250" s="86" t="e">
        <f t="shared" ref="Y250:Z250" si="2178">+Y249/Y248</f>
        <v>#DIV/0!</v>
      </c>
      <c r="Z250" s="86" t="e">
        <f t="shared" si="2178"/>
        <v>#DIV/0!</v>
      </c>
      <c r="AA250" s="86" t="e">
        <f t="shared" ref="AA250" si="2179">+AA249/AA248</f>
        <v>#DIV/0!</v>
      </c>
      <c r="AB250" s="87"/>
      <c r="AC250" s="87"/>
      <c r="AD250" s="87"/>
      <c r="AE250" s="87"/>
      <c r="AF250" s="86"/>
      <c r="AG250" s="86"/>
      <c r="AH250" s="86"/>
      <c r="AI250" s="86" t="e">
        <f t="shared" ref="AI250" si="2180">+AI249/AI248</f>
        <v>#DIV/0!</v>
      </c>
      <c r="AJ250" s="86" t="e">
        <f t="shared" ref="AJ250" si="2181">+AJ249/AJ248</f>
        <v>#DIV/0!</v>
      </c>
      <c r="AK250" s="86" t="e">
        <f t="shared" ref="AK250" si="2182">+AK249/AK248</f>
        <v>#DIV/0!</v>
      </c>
      <c r="AL250" s="86" t="e">
        <f t="shared" ref="AL250" si="2183">+AL249/AL248</f>
        <v>#DIV/0!</v>
      </c>
      <c r="AM250" s="86" t="e">
        <f t="shared" ref="AM250" si="2184">+AM249/AM248</f>
        <v>#DIV/0!</v>
      </c>
      <c r="AN250" s="86" t="e">
        <f t="shared" ref="AN250" si="2185">+AN249/AN248</f>
        <v>#DIV/0!</v>
      </c>
      <c r="AO250" s="86" t="e">
        <f t="shared" ref="AO250" si="2186">+AO249/AO248</f>
        <v>#DIV/0!</v>
      </c>
      <c r="AP250" s="86" t="e">
        <f t="shared" ref="AP250" si="2187">+AP249/AP248</f>
        <v>#DIV/0!</v>
      </c>
      <c r="AQ250" s="86" t="e">
        <f t="shared" ref="AQ250" si="2188">+AQ249/AQ248</f>
        <v>#DIV/0!</v>
      </c>
      <c r="AR250" s="86" t="e">
        <f t="shared" ref="AR250" si="2189">+AR249/AR248</f>
        <v>#DIV/0!</v>
      </c>
      <c r="AS250" s="86" t="e">
        <f t="shared" ref="AS250" si="2190">+AS249/AS248</f>
        <v>#DIV/0!</v>
      </c>
      <c r="AT250" s="86" t="e">
        <f t="shared" ref="AT250" si="2191">+AT249/AT248</f>
        <v>#DIV/0!</v>
      </c>
      <c r="AU250" s="86" t="e">
        <f t="shared" ref="AU250" si="2192">+AU249/AU248</f>
        <v>#DIV/0!</v>
      </c>
      <c r="AV250" s="86" t="e">
        <f t="shared" ref="AV250" si="2193">+AV249/AV248</f>
        <v>#DIV/0!</v>
      </c>
      <c r="AW250" s="86" t="e">
        <f t="shared" ref="AW250" si="2194">+AW249/AW248</f>
        <v>#DIV/0!</v>
      </c>
      <c r="AX250" s="86" t="e">
        <f t="shared" ref="AX250" si="2195">+AX249/AX248</f>
        <v>#DIV/0!</v>
      </c>
      <c r="AY250" s="86" t="e">
        <f t="shared" ref="AY250" si="2196">+AY249/AY248</f>
        <v>#DIV/0!</v>
      </c>
      <c r="AZ250" s="86" t="e">
        <f t="shared" ref="AZ250" si="2197">+AZ249/AZ248</f>
        <v>#DIV/0!</v>
      </c>
      <c r="BA250" s="86" t="e">
        <f t="shared" ref="BA250" si="2198">+BA249/BA248</f>
        <v>#DIV/0!</v>
      </c>
      <c r="BB250" s="86" t="e">
        <f t="shared" ref="BB250" si="2199">+BB249/BB248</f>
        <v>#DIV/0!</v>
      </c>
      <c r="BC250" s="86" t="e">
        <f t="shared" ref="BC250" si="2200">+BC249/BC248</f>
        <v>#DIV/0!</v>
      </c>
      <c r="BD250" s="86" t="e">
        <f t="shared" ref="BD250" si="2201">+BD249/BD248</f>
        <v>#DIV/0!</v>
      </c>
      <c r="BE250" s="86" t="e">
        <f t="shared" ref="BE250" si="2202">+BE249/BE248</f>
        <v>#DIV/0!</v>
      </c>
      <c r="BF250" s="86" t="e">
        <f t="shared" ref="BF250" si="2203">+BF249/BF248</f>
        <v>#DIV/0!</v>
      </c>
      <c r="BG250" s="86" t="e">
        <f t="shared" ref="BG250" si="2204">+BG249/BG248</f>
        <v>#DIV/0!</v>
      </c>
      <c r="BH250" s="86" t="e">
        <f t="shared" ref="BH250" si="2205">+BH249/BH248</f>
        <v>#DIV/0!</v>
      </c>
      <c r="BI250" s="86" t="e">
        <f t="shared" ref="BI250" si="2206">+BI249/BI248</f>
        <v>#DIV/0!</v>
      </c>
      <c r="BJ250" s="86" t="e">
        <f t="shared" ref="BJ250" si="2207">+BJ249/BJ248</f>
        <v>#DIV/0!</v>
      </c>
      <c r="BK250" s="86" t="e">
        <f t="shared" ref="BK250" si="2208">+BK249/BK248</f>
        <v>#DIV/0!</v>
      </c>
      <c r="BL250" s="86" t="e">
        <f t="shared" ref="BL250" si="2209">+BL249/BL248</f>
        <v>#DIV/0!</v>
      </c>
      <c r="BM250" s="86" t="e">
        <f t="shared" ref="BM250" si="2210">+BM249/BM248</f>
        <v>#DIV/0!</v>
      </c>
      <c r="BN250" s="86" t="e">
        <f t="shared" ref="BN250" si="2211">+BN249/BN248</f>
        <v>#DIV/0!</v>
      </c>
      <c r="BO250" s="86" t="e">
        <f t="shared" ref="BO250" si="2212">+BO249/BO248</f>
        <v>#DIV/0!</v>
      </c>
      <c r="BP250" s="86" t="e">
        <f t="shared" ref="BP250" si="2213">+BP249/BP248</f>
        <v>#DIV/0!</v>
      </c>
      <c r="BQ250" s="86" t="e">
        <f t="shared" ref="BQ250" si="2214">+BQ249/BQ248</f>
        <v>#DIV/0!</v>
      </c>
      <c r="BR250" s="86" t="e">
        <f t="shared" ref="BR250" si="2215">+BR249/BR248</f>
        <v>#DIV/0!</v>
      </c>
      <c r="BS250" s="86" t="e">
        <f t="shared" ref="BS250" si="2216">+BS249/BS248</f>
        <v>#DIV/0!</v>
      </c>
      <c r="BT250" s="86" t="e">
        <f t="shared" ref="BT250" si="2217">+BT249/BT248</f>
        <v>#DIV/0!</v>
      </c>
      <c r="BU250" s="86" t="e">
        <f t="shared" ref="BU250" si="2218">+BU249/BU248</f>
        <v>#DIV/0!</v>
      </c>
      <c r="BV250" s="86" t="e">
        <f t="shared" ref="BV250" si="2219">+BV249/BV248</f>
        <v>#DIV/0!</v>
      </c>
      <c r="BW250" s="86" t="e">
        <f t="shared" ref="BW250" si="2220">+BW249/BW248</f>
        <v>#DIV/0!</v>
      </c>
      <c r="BX250" s="86" t="e">
        <f t="shared" ref="BX250" si="2221">+BX249/BX248</f>
        <v>#DIV/0!</v>
      </c>
      <c r="BY250" s="86" t="e">
        <f t="shared" ref="BY250" si="2222">+BY249/BY248</f>
        <v>#DIV/0!</v>
      </c>
      <c r="BZ250" s="86" t="e">
        <f t="shared" ref="BZ250" si="2223">+BZ249/BZ248</f>
        <v>#DIV/0!</v>
      </c>
      <c r="CA250" s="86" t="e">
        <f t="shared" ref="CA250" si="2224">+CA249/CA248</f>
        <v>#DIV/0!</v>
      </c>
      <c r="CB250" s="86" t="e">
        <f t="shared" ref="CB250:CC250" si="2225">+CB249/CB248</f>
        <v>#DIV/0!</v>
      </c>
      <c r="CC250" s="86" t="e">
        <f t="shared" si="2225"/>
        <v>#DIV/0!</v>
      </c>
      <c r="CD250" s="86" t="e">
        <f t="shared" ref="CD250" si="2226">+CD249/CD248</f>
        <v>#DIV/0!</v>
      </c>
      <c r="CE250" s="86" t="e">
        <f t="shared" ref="CE250:CF250" si="2227">+CE249/CE248</f>
        <v>#DIV/0!</v>
      </c>
      <c r="CF250" s="86" t="e">
        <f t="shared" si="2227"/>
        <v>#DIV/0!</v>
      </c>
      <c r="CG250" s="86" t="e">
        <f t="shared" ref="CG250:CH250" si="2228">+CG249/CG248</f>
        <v>#DIV/0!</v>
      </c>
      <c r="CH250" s="86" t="e">
        <f t="shared" si="2228"/>
        <v>#DIV/0!</v>
      </c>
      <c r="CI250" s="86" t="e">
        <f t="shared" ref="CI250:CJ250" si="2229">+CI249/CI248</f>
        <v>#DIV/0!</v>
      </c>
      <c r="CJ250" s="86" t="e">
        <f t="shared" si="2229"/>
        <v>#DIV/0!</v>
      </c>
      <c r="CK250" s="86" t="e">
        <f t="shared" ref="CK250:DB250" si="2230">+CK249/CK248</f>
        <v>#DIV/0!</v>
      </c>
      <c r="CL250" s="86" t="e">
        <f t="shared" si="2230"/>
        <v>#DIV/0!</v>
      </c>
      <c r="CM250" s="47" t="e">
        <f t="shared" si="2230"/>
        <v>#DIV/0!</v>
      </c>
      <c r="CN250" s="47" t="e">
        <f t="shared" si="2230"/>
        <v>#DIV/0!</v>
      </c>
      <c r="CO250" s="47" t="e">
        <f t="shared" si="2230"/>
        <v>#DIV/0!</v>
      </c>
      <c r="CP250" s="47" t="e">
        <f t="shared" si="2230"/>
        <v>#DIV/0!</v>
      </c>
      <c r="CQ250" s="47" t="e">
        <f t="shared" si="2230"/>
        <v>#DIV/0!</v>
      </c>
      <c r="CR250" s="47" t="e">
        <f t="shared" si="2230"/>
        <v>#DIV/0!</v>
      </c>
      <c r="CS250" s="47" t="e">
        <f t="shared" si="2230"/>
        <v>#DIV/0!</v>
      </c>
      <c r="CT250" s="47" t="e">
        <f t="shared" si="2230"/>
        <v>#DIV/0!</v>
      </c>
      <c r="CU250" s="47" t="e">
        <f t="shared" si="2230"/>
        <v>#DIV/0!</v>
      </c>
      <c r="CV250" s="47" t="e">
        <f t="shared" si="2230"/>
        <v>#DIV/0!</v>
      </c>
      <c r="CW250" s="47" t="e">
        <f t="shared" si="2230"/>
        <v>#DIV/0!</v>
      </c>
      <c r="CX250" s="47" t="e">
        <f t="shared" si="2230"/>
        <v>#DIV/0!</v>
      </c>
      <c r="CY250" s="47" t="e">
        <f t="shared" si="2230"/>
        <v>#DIV/0!</v>
      </c>
      <c r="CZ250" s="47" t="e">
        <f t="shared" si="2230"/>
        <v>#DIV/0!</v>
      </c>
      <c r="DA250" s="47" t="e">
        <f t="shared" si="2230"/>
        <v>#DIV/0!</v>
      </c>
      <c r="DB250" s="47" t="e">
        <f t="shared" si="2230"/>
        <v>#DIV/0!</v>
      </c>
      <c r="DE250" s="130"/>
    </row>
    <row r="251" spans="1:110" s="64" customFormat="1" hidden="1" outlineLevel="1" x14ac:dyDescent="0.2">
      <c r="A251" s="64" t="s">
        <v>481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11" customFormat="1" collapsed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2" customFormat="1" x14ac:dyDescent="0.2">
      <c r="A254" s="154" t="s">
        <v>497</v>
      </c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63"/>
      <c r="AC254" s="63"/>
      <c r="AD254" s="63"/>
      <c r="AE254" s="63"/>
      <c r="AL254" s="180"/>
      <c r="CF254" s="180"/>
      <c r="CG254" s="180"/>
      <c r="CH254" s="180"/>
      <c r="CI254" s="180"/>
      <c r="CJ254" s="180"/>
      <c r="CK254" s="180"/>
      <c r="CL254" s="18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4" customFormat="1" x14ac:dyDescent="0.2">
      <c r="A255" s="84" t="s">
        <v>512</v>
      </c>
      <c r="B255" s="84" t="e">
        <f>B19/B176</f>
        <v>#DIV/0!</v>
      </c>
      <c r="C255" s="84" t="e">
        <f>C19/C176</f>
        <v>#DIV/0!</v>
      </c>
      <c r="D255" s="84" t="e">
        <f>D19/D176</f>
        <v>#DIV/0!</v>
      </c>
      <c r="E255" s="84" t="e">
        <f t="shared" ref="E255:Y255" si="2231">E21/(E172+E159+E149)</f>
        <v>#DIV/0!</v>
      </c>
      <c r="F255" s="84">
        <f t="shared" si="2231"/>
        <v>0.68851310102774255</v>
      </c>
      <c r="G255" s="84">
        <f t="shared" si="2231"/>
        <v>0.88746034265124984</v>
      </c>
      <c r="H255" s="84">
        <f t="shared" si="2231"/>
        <v>0.79325284578247302</v>
      </c>
      <c r="I255" s="84">
        <f t="shared" si="2231"/>
        <v>0.72751724969336751</v>
      </c>
      <c r="J255" s="84">
        <f t="shared" si="2231"/>
        <v>0.71400153226950636</v>
      </c>
      <c r="K255" s="84">
        <f t="shared" si="2231"/>
        <v>0.49022191064260517</v>
      </c>
      <c r="L255" s="84">
        <f t="shared" si="2231"/>
        <v>0</v>
      </c>
      <c r="M255" s="84">
        <f t="shared" si="2231"/>
        <v>0</v>
      </c>
      <c r="N255" s="84">
        <f t="shared" si="2231"/>
        <v>0.54325007582364282</v>
      </c>
      <c r="O255" s="84">
        <f t="shared" si="2231"/>
        <v>0.49062735212243586</v>
      </c>
      <c r="P255" s="84">
        <f t="shared" si="2231"/>
        <v>0.58187822626508867</v>
      </c>
      <c r="Q255" s="84">
        <f t="shared" si="2231"/>
        <v>0.60988087029279581</v>
      </c>
      <c r="R255" s="84">
        <f t="shared" si="2231"/>
        <v>0.60807642109968463</v>
      </c>
      <c r="S255" s="84">
        <f t="shared" si="2231"/>
        <v>0.76229571563306897</v>
      </c>
      <c r="T255" s="84">
        <f t="shared" si="2231"/>
        <v>0.78320543468380466</v>
      </c>
      <c r="U255" s="84">
        <f t="shared" si="2231"/>
        <v>0.64774660602062428</v>
      </c>
      <c r="V255" s="84">
        <f t="shared" si="2231"/>
        <v>0.66390739046240943</v>
      </c>
      <c r="W255" s="84">
        <f t="shared" si="2231"/>
        <v>0.82968268759379216</v>
      </c>
      <c r="X255" s="84">
        <f t="shared" si="2231"/>
        <v>0.8368018215807892</v>
      </c>
      <c r="Y255" s="84">
        <f t="shared" si="2231"/>
        <v>0.94692072567625329</v>
      </c>
      <c r="Z255" s="84">
        <f>Z21/(Z172+Z159+Z149)</f>
        <v>0.80081848285140511</v>
      </c>
      <c r="AA255" s="84">
        <f>AA21/(AA172+AA159+AA149)</f>
        <v>0.90010998621268168</v>
      </c>
      <c r="AB255" s="50">
        <f t="shared" ref="AA255:AE255" si="2232">AB21/(AB172+AB159+AB149)</f>
        <v>0.96589796457144972</v>
      </c>
      <c r="AC255" s="50">
        <f t="shared" si="2232"/>
        <v>1.0145688195108344</v>
      </c>
      <c r="AD255" s="50">
        <f t="shared" si="2232"/>
        <v>1.0478752221922687</v>
      </c>
      <c r="AE255" s="50">
        <f t="shared" si="2232"/>
        <v>1.0684663538467722</v>
      </c>
      <c r="AL255" s="84" t="e">
        <f>SUM(AI21:AL21)/(AL172+AL159+AL149)</f>
        <v>#DIV/0!</v>
      </c>
      <c r="AM255" s="84" t="e">
        <f t="shared" ref="AM255:CL255" si="2233">SUM(AJ21:AM21)/(AM172+AM159+AM149)</f>
        <v>#DIV/0!</v>
      </c>
      <c r="AN255" s="84" t="e">
        <f t="shared" si="2233"/>
        <v>#DIV/0!</v>
      </c>
      <c r="AO255" s="84" t="e">
        <f t="shared" si="2233"/>
        <v>#DIV/0!</v>
      </c>
      <c r="AP255" s="84" t="e">
        <f t="shared" si="2233"/>
        <v>#DIV/0!</v>
      </c>
      <c r="AQ255" s="84" t="e">
        <f t="shared" si="2233"/>
        <v>#DIV/0!</v>
      </c>
      <c r="AR255" s="84" t="e">
        <f t="shared" si="2233"/>
        <v>#DIV/0!</v>
      </c>
      <c r="AS255" s="84" t="e">
        <f t="shared" si="2233"/>
        <v>#DIV/0!</v>
      </c>
      <c r="AT255" s="84" t="e">
        <f t="shared" si="2233"/>
        <v>#DIV/0!</v>
      </c>
      <c r="AU255" s="84" t="e">
        <f t="shared" si="2233"/>
        <v>#DIV/0!</v>
      </c>
      <c r="AV255" s="84" t="e">
        <f t="shared" si="2233"/>
        <v>#DIV/0!</v>
      </c>
      <c r="AW255" s="84" t="e">
        <f t="shared" si="2233"/>
        <v>#DIV/0!</v>
      </c>
      <c r="AX255" s="84" t="e">
        <f t="shared" si="2233"/>
        <v>#DIV/0!</v>
      </c>
      <c r="AY255" s="84" t="e">
        <f t="shared" si="2233"/>
        <v>#DIV/0!</v>
      </c>
      <c r="AZ255" s="84" t="e">
        <f t="shared" si="2233"/>
        <v>#DIV/0!</v>
      </c>
      <c r="BA255" s="84" t="e">
        <f t="shared" si="2233"/>
        <v>#DIV/0!</v>
      </c>
      <c r="BB255" s="84" t="e">
        <f t="shared" si="2233"/>
        <v>#DIV/0!</v>
      </c>
      <c r="BC255" s="84" t="e">
        <f t="shared" si="2233"/>
        <v>#DIV/0!</v>
      </c>
      <c r="BD255" s="84" t="e">
        <f t="shared" si="2233"/>
        <v>#DIV/0!</v>
      </c>
      <c r="BE255" s="84" t="e">
        <f t="shared" si="2233"/>
        <v>#DIV/0!</v>
      </c>
      <c r="BF255" s="84" t="e">
        <f t="shared" si="2233"/>
        <v>#DIV/0!</v>
      </c>
      <c r="BG255" s="84" t="e">
        <f t="shared" si="2233"/>
        <v>#DIV/0!</v>
      </c>
      <c r="BH255" s="84" t="e">
        <f t="shared" si="2233"/>
        <v>#DIV/0!</v>
      </c>
      <c r="BI255" s="84" t="e">
        <f t="shared" si="2233"/>
        <v>#DIV/0!</v>
      </c>
      <c r="BJ255" s="84" t="e">
        <f t="shared" si="2233"/>
        <v>#DIV/0!</v>
      </c>
      <c r="BK255" s="84" t="e">
        <f t="shared" si="2233"/>
        <v>#DIV/0!</v>
      </c>
      <c r="BL255" s="84" t="e">
        <f t="shared" si="2233"/>
        <v>#DIV/0!</v>
      </c>
      <c r="BM255" s="84" t="e">
        <f t="shared" si="2233"/>
        <v>#DIV/0!</v>
      </c>
      <c r="BN255" s="84">
        <f t="shared" si="2233"/>
        <v>0.14513818964619285</v>
      </c>
      <c r="BO255" s="84">
        <f t="shared" si="2233"/>
        <v>0.23206405882006015</v>
      </c>
      <c r="BP255" s="84" t="e">
        <f t="shared" si="2233"/>
        <v>#DIV/0!</v>
      </c>
      <c r="BQ255" s="84">
        <f t="shared" si="2233"/>
        <v>31.214351425942979</v>
      </c>
      <c r="BR255" s="84">
        <f t="shared" si="2233"/>
        <v>0.66390739046240921</v>
      </c>
      <c r="BS255" s="84">
        <f t="shared" si="2233"/>
        <v>0.79421072740315002</v>
      </c>
      <c r="BT255" s="84">
        <f t="shared" si="2233"/>
        <v>0.83788742033096153</v>
      </c>
      <c r="BU255" s="84">
        <f t="shared" si="2233"/>
        <v>0.85493940550417347</v>
      </c>
      <c r="BV255" s="84">
        <f t="shared" si="2233"/>
        <v>0.82968268759379216</v>
      </c>
      <c r="BW255" s="84">
        <f t="shared" si="2233"/>
        <v>0.89636679989318269</v>
      </c>
      <c r="BX255" s="84">
        <f t="shared" si="2233"/>
        <v>0.9336136957016945</v>
      </c>
      <c r="BY255" s="84">
        <f t="shared" si="2233"/>
        <v>0.98958734619005384</v>
      </c>
      <c r="BZ255" s="84">
        <f t="shared" si="2233"/>
        <v>0.8368018215807892</v>
      </c>
      <c r="CA255" s="84">
        <f t="shared" si="2233"/>
        <v>0.90404917776028293</v>
      </c>
      <c r="CB255" s="84">
        <f t="shared" si="2233"/>
        <v>0.93003891178973019</v>
      </c>
      <c r="CC255" s="84">
        <f t="shared" si="2233"/>
        <v>1.0098901693897795</v>
      </c>
      <c r="CD255" s="84">
        <f t="shared" si="2233"/>
        <v>0.94692072567625341</v>
      </c>
      <c r="CE255" s="84">
        <f t="shared" si="2233"/>
        <v>0.95355133814153659</v>
      </c>
      <c r="CF255" s="84">
        <f t="shared" si="2233"/>
        <v>0.77653799147867297</v>
      </c>
      <c r="CG255" s="84">
        <f t="shared" si="2233"/>
        <v>0.81978153751056348</v>
      </c>
      <c r="CH255" s="84">
        <f t="shared" si="2233"/>
        <v>0.80081848285140522</v>
      </c>
      <c r="CI255" s="84">
        <f t="shared" si="2233"/>
        <v>0.87590843981243827</v>
      </c>
      <c r="CJ255" s="84">
        <f t="shared" si="2233"/>
        <v>0.86161654959826783</v>
      </c>
      <c r="CK255" s="84">
        <f t="shared" ref="CK255" si="2234">SUM(CH21:CK21)/(CK172+CK159+CK149)</f>
        <v>0.90155721660750943</v>
      </c>
      <c r="CL255" s="84">
        <f t="shared" si="2233"/>
        <v>0.90010998621268146</v>
      </c>
      <c r="CM255" s="50">
        <f t="shared" ref="CM255:DB255" si="2235">SUM(CJ21:CM21)/(CM172+CM159+CM149)</f>
        <v>0.9411505849522156</v>
      </c>
      <c r="CN255" s="50">
        <f t="shared" si="2235"/>
        <v>0.9409754735402327</v>
      </c>
      <c r="CO255" s="50">
        <f t="shared" si="2235"/>
        <v>0.9604973712556788</v>
      </c>
      <c r="CP255" s="50">
        <f t="shared" si="2235"/>
        <v>0.96589796457144972</v>
      </c>
      <c r="CQ255" s="50">
        <f t="shared" si="2235"/>
        <v>1.0056940345246439</v>
      </c>
      <c r="CR255" s="50">
        <f t="shared" si="2235"/>
        <v>0.99862344845322026</v>
      </c>
      <c r="CS255" s="50">
        <f t="shared" si="2235"/>
        <v>1.014456596082367</v>
      </c>
      <c r="CT255" s="50">
        <f t="shared" si="2235"/>
        <v>1.0145688195108344</v>
      </c>
      <c r="CU255" s="50">
        <f t="shared" si="2235"/>
        <v>1.0528500068132649</v>
      </c>
      <c r="CV255" s="50">
        <f t="shared" si="2235"/>
        <v>1.0398977793691628</v>
      </c>
      <c r="CW255" s="50">
        <f t="shared" si="2235"/>
        <v>1.0522427462792812</v>
      </c>
      <c r="CX255" s="50">
        <f t="shared" si="2235"/>
        <v>1.0478752221922687</v>
      </c>
      <c r="CY255" s="50">
        <f t="shared" si="2235"/>
        <v>1.0844960946585456</v>
      </c>
      <c r="CZ255" s="50">
        <f t="shared" si="2235"/>
        <v>1.0668913377416056</v>
      </c>
      <c r="DA255" s="50">
        <f t="shared" si="2235"/>
        <v>1.0763049087732715</v>
      </c>
      <c r="DB255" s="50">
        <f t="shared" si="2235"/>
        <v>1.0684663538467722</v>
      </c>
      <c r="DE255" s="138"/>
      <c r="DF255" s="84">
        <v>0.92667181388731068</v>
      </c>
    </row>
    <row r="256" spans="1:110" s="84" customFormat="1" x14ac:dyDescent="0.2">
      <c r="A256" s="84" t="s">
        <v>513</v>
      </c>
      <c r="E256" s="181" t="e">
        <f>+E53</f>
        <v>#DIV/0!</v>
      </c>
      <c r="F256" s="181">
        <f t="shared" ref="F256:AE256" si="2236">+F53</f>
        <v>8.7415975775765362E-2</v>
      </c>
      <c r="G256" s="181">
        <f t="shared" si="2236"/>
        <v>8.8458620585432732E-2</v>
      </c>
      <c r="H256" s="181">
        <f t="shared" si="2236"/>
        <v>7.3594763183032041E-2</v>
      </c>
      <c r="I256" s="181">
        <f t="shared" si="2236"/>
        <v>7.0988727023827095E-2</v>
      </c>
      <c r="J256" s="181">
        <f t="shared" si="2236"/>
        <v>3.5454513751161029E-2</v>
      </c>
      <c r="K256" s="181">
        <f t="shared" si="2236"/>
        <v>5.4794226637885336E-2</v>
      </c>
      <c r="L256" s="181" t="e">
        <f t="shared" si="2236"/>
        <v>#DIV/0!</v>
      </c>
      <c r="M256" s="181" t="e">
        <f t="shared" si="2236"/>
        <v>#DIV/0!</v>
      </c>
      <c r="N256" s="181">
        <f t="shared" si="2236"/>
        <v>6.3345935038815498E-2</v>
      </c>
      <c r="O256" s="181">
        <f t="shared" si="2236"/>
        <v>3.7873991460900466E-2</v>
      </c>
      <c r="P256" s="181">
        <f t="shared" si="2236"/>
        <v>2.5971526308356127E-2</v>
      </c>
      <c r="Q256" s="181">
        <f t="shared" si="2236"/>
        <v>4.9766056521816981E-2</v>
      </c>
      <c r="R256" s="181">
        <f t="shared" si="2236"/>
        <v>3.8446319633642416E-2</v>
      </c>
      <c r="S256" s="181">
        <f t="shared" si="2236"/>
        <v>2.2243406418811645E-2</v>
      </c>
      <c r="T256" s="181">
        <f t="shared" si="2236"/>
        <v>5.3335328191805677E-2</v>
      </c>
      <c r="U256" s="181">
        <f t="shared" si="2236"/>
        <v>3.0687589617142227E-2</v>
      </c>
      <c r="V256" s="181">
        <f t="shared" si="2236"/>
        <v>6.2303278951248452E-2</v>
      </c>
      <c r="W256" s="181">
        <f t="shared" si="2236"/>
        <v>7.3391309054496645E-2</v>
      </c>
      <c r="X256" s="181">
        <f t="shared" si="2236"/>
        <v>7.8702947275812243E-2</v>
      </c>
      <c r="Y256" s="181">
        <f t="shared" si="2236"/>
        <v>7.558409876609766E-2</v>
      </c>
      <c r="Z256" s="181">
        <f t="shared" si="2236"/>
        <v>3.9599471397843353E-2</v>
      </c>
      <c r="AA256" s="181">
        <f t="shared" ref="AA256" si="2237">+AA53</f>
        <v>4.9052764376455435E-2</v>
      </c>
      <c r="AB256" s="182">
        <f t="shared" si="2236"/>
        <v>4.9226631360506527E-2</v>
      </c>
      <c r="AC256" s="182">
        <f t="shared" si="2236"/>
        <v>6.3706720143291623E-2</v>
      </c>
      <c r="AD256" s="182">
        <f t="shared" si="2236"/>
        <v>7.4484267855454894E-2</v>
      </c>
      <c r="AE256" s="182">
        <f t="shared" si="2236"/>
        <v>8.2656281803852483E-2</v>
      </c>
      <c r="AL256" s="181" t="e">
        <f t="shared" ref="AL256:CW256" si="2238">+AL53</f>
        <v>#DIV/0!</v>
      </c>
      <c r="AM256" s="181" t="e">
        <f t="shared" si="2238"/>
        <v>#DIV/0!</v>
      </c>
      <c r="AN256" s="181" t="e">
        <f t="shared" si="2238"/>
        <v>#DIV/0!</v>
      </c>
      <c r="AO256" s="181" t="e">
        <f t="shared" si="2238"/>
        <v>#DIV/0!</v>
      </c>
      <c r="AP256" s="181" t="e">
        <f t="shared" si="2238"/>
        <v>#DIV/0!</v>
      </c>
      <c r="AQ256" s="181" t="e">
        <f t="shared" si="2238"/>
        <v>#DIV/0!</v>
      </c>
      <c r="AR256" s="181" t="e">
        <f t="shared" si="2238"/>
        <v>#DIV/0!</v>
      </c>
      <c r="AS256" s="181" t="e">
        <f t="shared" si="2238"/>
        <v>#DIV/0!</v>
      </c>
      <c r="AT256" s="181" t="e">
        <f t="shared" si="2238"/>
        <v>#DIV/0!</v>
      </c>
      <c r="AU256" s="181" t="e">
        <f t="shared" si="2238"/>
        <v>#DIV/0!</v>
      </c>
      <c r="AV256" s="181" t="e">
        <f t="shared" si="2238"/>
        <v>#DIV/0!</v>
      </c>
      <c r="AW256" s="181" t="e">
        <f t="shared" si="2238"/>
        <v>#DIV/0!</v>
      </c>
      <c r="AX256" s="181" t="e">
        <f t="shared" si="2238"/>
        <v>#DIV/0!</v>
      </c>
      <c r="AY256" s="181" t="e">
        <f t="shared" si="2238"/>
        <v>#DIV/0!</v>
      </c>
      <c r="AZ256" s="181" t="e">
        <f t="shared" si="2238"/>
        <v>#DIV/0!</v>
      </c>
      <c r="BA256" s="181" t="e">
        <f t="shared" si="2238"/>
        <v>#DIV/0!</v>
      </c>
      <c r="BB256" s="181" t="e">
        <f t="shared" si="2238"/>
        <v>#DIV/0!</v>
      </c>
      <c r="BC256" s="181" t="e">
        <f t="shared" si="2238"/>
        <v>#DIV/0!</v>
      </c>
      <c r="BD256" s="181" t="e">
        <f t="shared" si="2238"/>
        <v>#DIV/0!</v>
      </c>
      <c r="BE256" s="181" t="e">
        <f t="shared" si="2238"/>
        <v>#DIV/0!</v>
      </c>
      <c r="BF256" s="181" t="e">
        <f t="shared" si="2238"/>
        <v>#DIV/0!</v>
      </c>
      <c r="BG256" s="181" t="e">
        <f t="shared" si="2238"/>
        <v>#DIV/0!</v>
      </c>
      <c r="BH256" s="181" t="e">
        <f t="shared" si="2238"/>
        <v>#DIV/0!</v>
      </c>
      <c r="BI256" s="181" t="e">
        <f t="shared" si="2238"/>
        <v>#DIV/0!</v>
      </c>
      <c r="BJ256" s="181" t="e">
        <f t="shared" si="2238"/>
        <v>#DIV/0!</v>
      </c>
      <c r="BK256" s="181" t="e">
        <f t="shared" si="2238"/>
        <v>#DIV/0!</v>
      </c>
      <c r="BL256" s="181" t="e">
        <f t="shared" si="2238"/>
        <v>#DIV/0!</v>
      </c>
      <c r="BM256" s="181" t="e">
        <f t="shared" si="2238"/>
        <v>#DIV/0!</v>
      </c>
      <c r="BN256" s="181">
        <f t="shared" si="2238"/>
        <v>1.2140785263598651E-2</v>
      </c>
      <c r="BO256" s="181">
        <f t="shared" si="2238"/>
        <v>-9.9877300613497033E-2</v>
      </c>
      <c r="BP256" s="181">
        <f t="shared" si="2238"/>
        <v>6.1609840310746615E-2</v>
      </c>
      <c r="BQ256" s="181">
        <f t="shared" si="2238"/>
        <v>8.8821641073874871E-2</v>
      </c>
      <c r="BR256" s="181">
        <f t="shared" si="2238"/>
        <v>8.7850919651500409E-2</v>
      </c>
      <c r="BS256" s="181">
        <f t="shared" si="2238"/>
        <v>5.5194282956869373E-2</v>
      </c>
      <c r="BT256" s="181">
        <f t="shared" si="2238"/>
        <v>8.735398679532759E-2</v>
      </c>
      <c r="BU256" s="181">
        <f t="shared" si="2238"/>
        <v>6.7617071190110886E-2</v>
      </c>
      <c r="BV256" s="181">
        <f t="shared" si="2238"/>
        <v>7.8182344252059624E-2</v>
      </c>
      <c r="BW256" s="181">
        <f t="shared" si="2238"/>
        <v>8.3594303947057497E-2</v>
      </c>
      <c r="BX256" s="181">
        <f t="shared" si="2238"/>
        <v>8.0361743790580295E-2</v>
      </c>
      <c r="BY256" s="181">
        <f t="shared" si="2238"/>
        <v>6.8622084562701052E-2</v>
      </c>
      <c r="BZ256" s="181">
        <f t="shared" si="2238"/>
        <v>8.1714046737456192E-2</v>
      </c>
      <c r="CA256" s="181">
        <f t="shared" si="2238"/>
        <v>7.772520069774401E-2</v>
      </c>
      <c r="CB256" s="181">
        <f t="shared" si="2238"/>
        <v>8.8417892219225538E-2</v>
      </c>
      <c r="CC256" s="181">
        <f t="shared" si="2238"/>
        <v>7.2010268212799905E-2</v>
      </c>
      <c r="CD256" s="181">
        <f t="shared" si="2238"/>
        <v>6.3537011236361685E-2</v>
      </c>
      <c r="CE256" s="181">
        <f t="shared" si="2238"/>
        <v>5.1520600422171915E-2</v>
      </c>
      <c r="CF256" s="181">
        <f t="shared" si="2238"/>
        <v>5.0488076115161318E-2</v>
      </c>
      <c r="CG256" s="181">
        <f t="shared" si="2238"/>
        <v>1.7435552538243314E-2</v>
      </c>
      <c r="CH256" s="181">
        <f t="shared" si="2238"/>
        <v>4.4167500357296045E-2</v>
      </c>
      <c r="CI256" s="181">
        <f t="shared" si="2238"/>
        <v>4.3514573991031355E-2</v>
      </c>
      <c r="CJ256" s="181">
        <f t="shared" si="2238"/>
        <v>4.5463856234293616E-2</v>
      </c>
      <c r="CK256" s="181">
        <f t="shared" si="2238"/>
        <v>5.3726279359153958E-2</v>
      </c>
      <c r="CL256" s="181">
        <f t="shared" ref="CL256" si="2239">+CL53</f>
        <v>5.23984908372261E-2</v>
      </c>
      <c r="CM256" s="182">
        <f t="shared" si="2238"/>
        <v>3.7079706346616836E-2</v>
      </c>
      <c r="CN256" s="182">
        <f t="shared" si="2238"/>
        <v>4.7880201684922054E-2</v>
      </c>
      <c r="CO256" s="182">
        <f t="shared" si="2238"/>
        <v>5.2244481367901545E-2</v>
      </c>
      <c r="CP256" s="182">
        <f t="shared" si="2238"/>
        <v>5.7381748112176667E-2</v>
      </c>
      <c r="CQ256" s="182">
        <f t="shared" si="2238"/>
        <v>5.5364896507584971E-2</v>
      </c>
      <c r="CR256" s="182">
        <f t="shared" si="2238"/>
        <v>6.2848850707110715E-2</v>
      </c>
      <c r="CS256" s="182">
        <f t="shared" si="2238"/>
        <v>6.5338162378660219E-2</v>
      </c>
      <c r="CT256" s="182">
        <f t="shared" si="2238"/>
        <v>6.9654700186808402E-2</v>
      </c>
      <c r="CU256" s="182">
        <f t="shared" si="2238"/>
        <v>6.8255333609859942E-2</v>
      </c>
      <c r="CV256" s="182">
        <f t="shared" si="2238"/>
        <v>7.3817899344993845E-2</v>
      </c>
      <c r="CW256" s="182">
        <f t="shared" si="2238"/>
        <v>7.5624279412936049E-2</v>
      </c>
      <c r="CX256" s="182">
        <f t="shared" ref="CX256:DB256" si="2240">+CX53</f>
        <v>7.902114005452969E-2</v>
      </c>
      <c r="CY256" s="182">
        <f t="shared" si="2240"/>
        <v>7.7890845964158212E-2</v>
      </c>
      <c r="CZ256" s="182">
        <f t="shared" si="2240"/>
        <v>8.2146342109211595E-2</v>
      </c>
      <c r="DA256" s="182">
        <f t="shared" si="2240"/>
        <v>8.3514031897573213E-2</v>
      </c>
      <c r="DB256" s="182">
        <f t="shared" si="2240"/>
        <v>8.6140649221477281E-2</v>
      </c>
      <c r="DE256" s="138"/>
      <c r="DF256" s="84">
        <v>4.9182526260839923E-2</v>
      </c>
    </row>
    <row r="257" spans="1:110" s="84" customFormat="1" x14ac:dyDescent="0.2">
      <c r="A257" s="84" t="s">
        <v>514</v>
      </c>
      <c r="E257" s="84" t="e">
        <f>(E172+E159+E149+E151)/E131</f>
        <v>#DIV/0!</v>
      </c>
      <c r="F257" s="84">
        <f t="shared" ref="F257:AE257" si="2241">(F172+F159+F149+F151)/F131</f>
        <v>5.4081729901725204</v>
      </c>
      <c r="G257" s="84">
        <f t="shared" si="2241"/>
        <v>4.0867773301054573</v>
      </c>
      <c r="H257" s="84">
        <f t="shared" si="2241"/>
        <v>4.3738598299807592</v>
      </c>
      <c r="I257" s="84">
        <f t="shared" si="2241"/>
        <v>4.8180429130977567</v>
      </c>
      <c r="J257" s="84">
        <f t="shared" si="2241"/>
        <v>5.3720207488144602</v>
      </c>
      <c r="K257" s="84">
        <f t="shared" si="2241"/>
        <v>5.0938460288342107</v>
      </c>
      <c r="L257" s="84">
        <f t="shared" si="2241"/>
        <v>4.2833477654976564</v>
      </c>
      <c r="M257" s="84">
        <f t="shared" si="2241"/>
        <v>5.1271675147904707</v>
      </c>
      <c r="N257" s="84">
        <f t="shared" si="2241"/>
        <v>2.5514085733668241</v>
      </c>
      <c r="O257" s="84">
        <f t="shared" si="2241"/>
        <v>2.7447644778881575</v>
      </c>
      <c r="P257" s="84">
        <f t="shared" si="2241"/>
        <v>2.7978732048182979</v>
      </c>
      <c r="Q257" s="84">
        <f t="shared" si="2241"/>
        <v>2.7534116748017423</v>
      </c>
      <c r="R257" s="84">
        <f t="shared" si="2241"/>
        <v>3.1465062689320704</v>
      </c>
      <c r="S257" s="84">
        <f t="shared" si="2241"/>
        <v>3.2496698814916338</v>
      </c>
      <c r="T257" s="84">
        <f t="shared" si="2241"/>
        <v>3.4033916860224309</v>
      </c>
      <c r="U257" s="84">
        <f t="shared" si="2241"/>
        <v>3.1974944220402168</v>
      </c>
      <c r="V257" s="84">
        <f t="shared" si="2241"/>
        <v>2.4260648009655155</v>
      </c>
      <c r="W257" s="84">
        <f t="shared" si="2241"/>
        <v>2.3550988782643918</v>
      </c>
      <c r="X257" s="84">
        <f t="shared" si="2241"/>
        <v>2.7647033190500401</v>
      </c>
      <c r="Y257" s="84">
        <f t="shared" si="2241"/>
        <v>2.8382368906741942</v>
      </c>
      <c r="Z257" s="84">
        <f t="shared" si="2241"/>
        <v>2.4911052458396634</v>
      </c>
      <c r="AA257" s="84">
        <f t="shared" ref="AA257" si="2242">(AA172+AA159+AA149+AA151)/AA131</f>
        <v>2.7506540933683823</v>
      </c>
      <c r="AB257" s="50">
        <f t="shared" si="2241"/>
        <v>2.6436792051214728</v>
      </c>
      <c r="AC257" s="50">
        <f t="shared" si="2241"/>
        <v>2.4911093158367779</v>
      </c>
      <c r="AD257" s="50">
        <f t="shared" si="2241"/>
        <v>2.3284198243671645</v>
      </c>
      <c r="AE257" s="50">
        <f t="shared" si="2241"/>
        <v>2.1763533320892927</v>
      </c>
      <c r="AL257" s="84" t="e">
        <f t="shared" ref="AL257:CW257" si="2243">(AL172+AL159+AL149+AL151)/AL131</f>
        <v>#DIV/0!</v>
      </c>
      <c r="AM257" s="84" t="e">
        <f t="shared" si="2243"/>
        <v>#DIV/0!</v>
      </c>
      <c r="AN257" s="84" t="e">
        <f t="shared" si="2243"/>
        <v>#DIV/0!</v>
      </c>
      <c r="AO257" s="84" t="e">
        <f t="shared" si="2243"/>
        <v>#DIV/0!</v>
      </c>
      <c r="AP257" s="84" t="e">
        <f t="shared" si="2243"/>
        <v>#DIV/0!</v>
      </c>
      <c r="AQ257" s="84" t="e">
        <f t="shared" si="2243"/>
        <v>#DIV/0!</v>
      </c>
      <c r="AR257" s="84" t="e">
        <f t="shared" si="2243"/>
        <v>#DIV/0!</v>
      </c>
      <c r="AS257" s="84" t="e">
        <f t="shared" si="2243"/>
        <v>#DIV/0!</v>
      </c>
      <c r="AT257" s="84" t="e">
        <f t="shared" si="2243"/>
        <v>#DIV/0!</v>
      </c>
      <c r="AU257" s="84" t="e">
        <f t="shared" si="2243"/>
        <v>#DIV/0!</v>
      </c>
      <c r="AV257" s="84" t="e">
        <f t="shared" si="2243"/>
        <v>#DIV/0!</v>
      </c>
      <c r="AW257" s="84" t="e">
        <f t="shared" si="2243"/>
        <v>#DIV/0!</v>
      </c>
      <c r="AX257" s="84" t="e">
        <f t="shared" si="2243"/>
        <v>#DIV/0!</v>
      </c>
      <c r="AY257" s="84" t="e">
        <f t="shared" si="2243"/>
        <v>#DIV/0!</v>
      </c>
      <c r="AZ257" s="84" t="e">
        <f t="shared" si="2243"/>
        <v>#DIV/0!</v>
      </c>
      <c r="BA257" s="84" t="e">
        <f t="shared" si="2243"/>
        <v>#DIV/0!</v>
      </c>
      <c r="BB257" s="84" t="e">
        <f t="shared" si="2243"/>
        <v>#DIV/0!</v>
      </c>
      <c r="BC257" s="84" t="e">
        <f t="shared" si="2243"/>
        <v>#DIV/0!</v>
      </c>
      <c r="BD257" s="84" t="e">
        <f t="shared" si="2243"/>
        <v>#DIV/0!</v>
      </c>
      <c r="BE257" s="84" t="e">
        <f t="shared" si="2243"/>
        <v>#DIV/0!</v>
      </c>
      <c r="BF257" s="84" t="e">
        <f t="shared" si="2243"/>
        <v>#DIV/0!</v>
      </c>
      <c r="BG257" s="84" t="e">
        <f t="shared" si="2243"/>
        <v>#DIV/0!</v>
      </c>
      <c r="BH257" s="84" t="e">
        <f t="shared" si="2243"/>
        <v>#DIV/0!</v>
      </c>
      <c r="BI257" s="84" t="e">
        <f t="shared" si="2243"/>
        <v>#DIV/0!</v>
      </c>
      <c r="BJ257" s="84" t="e">
        <f t="shared" si="2243"/>
        <v>#DIV/0!</v>
      </c>
      <c r="BK257" s="84" t="e">
        <f t="shared" si="2243"/>
        <v>#DIV/0!</v>
      </c>
      <c r="BL257" s="84" t="e">
        <f t="shared" si="2243"/>
        <v>#DIV/0!</v>
      </c>
      <c r="BM257" s="84" t="e">
        <f t="shared" si="2243"/>
        <v>#DIV/0!</v>
      </c>
      <c r="BN257" s="84">
        <f t="shared" si="2243"/>
        <v>3.1974944220402168</v>
      </c>
      <c r="BO257" s="84">
        <f t="shared" si="2243"/>
        <v>3.0432924887557049</v>
      </c>
      <c r="BP257" s="84" t="e">
        <f t="shared" si="2243"/>
        <v>#DIV/0!</v>
      </c>
      <c r="BQ257" s="84">
        <f t="shared" si="2243"/>
        <v>0.99999999999999989</v>
      </c>
      <c r="BR257" s="84">
        <f t="shared" si="2243"/>
        <v>2.4260648009655159</v>
      </c>
      <c r="BS257" s="84">
        <f t="shared" si="2243"/>
        <v>2.3242263370782683</v>
      </c>
      <c r="BT257" s="84">
        <f t="shared" si="2243"/>
        <v>2.3242712870339348</v>
      </c>
      <c r="BU257" s="84">
        <f t="shared" si="2243"/>
        <v>2.2691540259870067</v>
      </c>
      <c r="BV257" s="84">
        <f t="shared" si="2243"/>
        <v>2.3550988782643918</v>
      </c>
      <c r="BW257" s="84">
        <f t="shared" si="2243"/>
        <v>2.302715851527219</v>
      </c>
      <c r="BX257" s="84">
        <f t="shared" si="2243"/>
        <v>2.2967198217976246</v>
      </c>
      <c r="BY257" s="84">
        <f t="shared" si="2243"/>
        <v>2.2326327417171061</v>
      </c>
      <c r="BZ257" s="84">
        <f t="shared" si="2243"/>
        <v>2.7647033190500401</v>
      </c>
      <c r="CA257" s="84">
        <f t="shared" si="2243"/>
        <v>2.7027816614211302</v>
      </c>
      <c r="CB257" s="84">
        <f t="shared" si="2243"/>
        <v>2.7892130462767146</v>
      </c>
      <c r="CC257" s="84">
        <f t="shared" si="2243"/>
        <v>2.6873827723917518</v>
      </c>
      <c r="CD257" s="84">
        <f t="shared" si="2243"/>
        <v>2.8382368906741942</v>
      </c>
      <c r="CE257" s="84">
        <f t="shared" si="2243"/>
        <v>2.8005054477645275</v>
      </c>
      <c r="CF257" s="84">
        <f t="shared" si="2243"/>
        <v>2.12985902846368</v>
      </c>
      <c r="CG257" s="84">
        <f t="shared" si="2243"/>
        <v>2.202966460521437</v>
      </c>
      <c r="CH257" s="84">
        <f t="shared" si="2243"/>
        <v>2.4911052458396634</v>
      </c>
      <c r="CI257" s="84">
        <f t="shared" si="2243"/>
        <v>2.4705714742835356</v>
      </c>
      <c r="CJ257" s="84">
        <f t="shared" si="2243"/>
        <v>2.7281491554065207</v>
      </c>
      <c r="CK257" s="84">
        <f t="shared" si="2243"/>
        <v>2.6885874992204881</v>
      </c>
      <c r="CL257" s="84">
        <f t="shared" ref="CL257" si="2244">(CL172+CL159+CL149+CL151)/CL131</f>
        <v>2.7506540933683827</v>
      </c>
      <c r="CM257" s="50">
        <f t="shared" si="2243"/>
        <v>2.6712926458148241</v>
      </c>
      <c r="CN257" s="50">
        <f t="shared" si="2243"/>
        <v>2.6949209381858732</v>
      </c>
      <c r="CO257" s="50">
        <f t="shared" si="2243"/>
        <v>2.654152069913926</v>
      </c>
      <c r="CP257" s="50">
        <f t="shared" si="2243"/>
        <v>2.6436792051214728</v>
      </c>
      <c r="CQ257" s="50">
        <f t="shared" si="2243"/>
        <v>2.5461321815413256</v>
      </c>
      <c r="CR257" s="50">
        <f t="shared" si="2243"/>
        <v>2.5581602540057449</v>
      </c>
      <c r="CS257" s="50">
        <f t="shared" si="2243"/>
        <v>2.5085212515049355</v>
      </c>
      <c r="CT257" s="50">
        <f t="shared" si="2243"/>
        <v>2.4911093158367779</v>
      </c>
      <c r="CU257" s="50">
        <f t="shared" si="2243"/>
        <v>2.3885339229695677</v>
      </c>
      <c r="CV257" s="50">
        <f t="shared" si="2243"/>
        <v>2.3967185077814488</v>
      </c>
      <c r="CW257" s="50">
        <f t="shared" si="2243"/>
        <v>2.3460769881227455</v>
      </c>
      <c r="CX257" s="50">
        <f t="shared" ref="CX257:DB257" si="2245">(CX172+CX159+CX149+CX151)/CX131</f>
        <v>2.3284198243671645</v>
      </c>
      <c r="CY257" s="50">
        <f t="shared" si="2245"/>
        <v>2.228807090754231</v>
      </c>
      <c r="CZ257" s="50">
        <f t="shared" si="2245"/>
        <v>2.2376705079203392</v>
      </c>
      <c r="DA257" s="50">
        <f t="shared" si="2245"/>
        <v>2.1907317654179779</v>
      </c>
      <c r="DB257" s="50">
        <f t="shared" si="2245"/>
        <v>2.1763533320892927</v>
      </c>
      <c r="DE257" s="138"/>
      <c r="DF257" s="84">
        <v>2.6487905021983558</v>
      </c>
    </row>
    <row r="258" spans="1:110" s="84" customFormat="1" x14ac:dyDescent="0.2">
      <c r="A258" s="154" t="s">
        <v>498</v>
      </c>
      <c r="AB258" s="50"/>
      <c r="AC258" s="50"/>
      <c r="AD258" s="50"/>
      <c r="AE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E258" s="138"/>
    </row>
    <row r="259" spans="1:110" s="88" customFormat="1" x14ac:dyDescent="0.2">
      <c r="A259" s="88" t="s">
        <v>102</v>
      </c>
      <c r="B259" s="88" t="e">
        <f t="shared" ref="B259:AE259" si="2246">B172/B131</f>
        <v>#DIV/0!</v>
      </c>
      <c r="C259" s="88" t="e">
        <f t="shared" si="2246"/>
        <v>#DIV/0!</v>
      </c>
      <c r="D259" s="88" t="e">
        <f t="shared" si="2246"/>
        <v>#DIV/0!</v>
      </c>
      <c r="F259" s="88">
        <f t="shared" si="2246"/>
        <v>0.23852303652286555</v>
      </c>
      <c r="G259" s="88">
        <f t="shared" si="2246"/>
        <v>7.3765524231473548E-2</v>
      </c>
      <c r="H259" s="88">
        <f t="shared" si="2246"/>
        <v>0.13710077041435836</v>
      </c>
      <c r="I259" s="88">
        <f t="shared" si="2246"/>
        <v>0.13388539131018784</v>
      </c>
      <c r="J259" s="88">
        <f t="shared" si="2246"/>
        <v>8.1206928916672375E-2</v>
      </c>
      <c r="K259" s="88">
        <f t="shared" si="2246"/>
        <v>8.7985330540527248E-2</v>
      </c>
      <c r="L259" s="88">
        <f t="shared" si="2246"/>
        <v>0.11607096314693785</v>
      </c>
      <c r="M259" s="88">
        <f t="shared" si="2246"/>
        <v>0.1112356726547656</v>
      </c>
      <c r="N259" s="88">
        <f t="shared" si="2246"/>
        <v>2.6860526943033682E-2</v>
      </c>
      <c r="O259" s="88">
        <f t="shared" si="2246"/>
        <v>1.5278820468949142E-2</v>
      </c>
      <c r="P259" s="88">
        <f t="shared" si="2246"/>
        <v>3.3902780881187922E-2</v>
      </c>
      <c r="Q259" s="88">
        <f t="shared" si="2246"/>
        <v>3.0923278054774097E-2</v>
      </c>
      <c r="R259" s="88">
        <f t="shared" si="2246"/>
        <v>6.8912304307192404E-2</v>
      </c>
      <c r="S259" s="88">
        <f t="shared" si="2246"/>
        <v>8.1367944239223097E-2</v>
      </c>
      <c r="T259" s="88">
        <f t="shared" si="2246"/>
        <v>3.8903256305442002E-2</v>
      </c>
      <c r="U259" s="88">
        <f t="shared" si="2246"/>
        <v>9.9280754999376386E-2</v>
      </c>
      <c r="V259" s="88">
        <f t="shared" si="2246"/>
        <v>4.8131376169501666E-2</v>
      </c>
      <c r="W259" s="88">
        <f t="shared" si="2246"/>
        <v>3.8283409935372527E-2</v>
      </c>
      <c r="X259" s="88">
        <f t="shared" si="2246"/>
        <v>3.4381581814220359E-2</v>
      </c>
      <c r="Y259" s="88">
        <f t="shared" si="2246"/>
        <v>5.0072980373707762E-2</v>
      </c>
      <c r="Z259" s="88">
        <f t="shared" si="2246"/>
        <v>4.3136582258098397E-2</v>
      </c>
      <c r="AA259" s="88">
        <f t="shared" ref="AA259" si="2247">AA172/AA131</f>
        <v>5.4772277470389638E-2</v>
      </c>
      <c r="AB259" s="42">
        <f t="shared" si="2246"/>
        <v>0.23117903227482897</v>
      </c>
      <c r="AC259" s="42">
        <f t="shared" si="2246"/>
        <v>0.37304645361496985</v>
      </c>
      <c r="AD259" s="42">
        <f t="shared" si="2246"/>
        <v>0.47694299798260142</v>
      </c>
      <c r="AE259" s="42">
        <f t="shared" si="2246"/>
        <v>0.5487297260840136</v>
      </c>
      <c r="AL259" s="88" t="e">
        <f t="shared" ref="AL259:CW259" si="2248">AL172/AL131</f>
        <v>#DIV/0!</v>
      </c>
      <c r="AM259" s="88" t="e">
        <f t="shared" si="2248"/>
        <v>#DIV/0!</v>
      </c>
      <c r="AN259" s="88" t="e">
        <f t="shared" si="2248"/>
        <v>#DIV/0!</v>
      </c>
      <c r="AO259" s="88" t="e">
        <f t="shared" si="2248"/>
        <v>#DIV/0!</v>
      </c>
      <c r="AP259" s="88" t="e">
        <f t="shared" si="2248"/>
        <v>#DIV/0!</v>
      </c>
      <c r="AQ259" s="88" t="e">
        <f t="shared" si="2248"/>
        <v>#DIV/0!</v>
      </c>
      <c r="AR259" s="88" t="e">
        <f t="shared" si="2248"/>
        <v>#DIV/0!</v>
      </c>
      <c r="AS259" s="88" t="e">
        <f t="shared" si="2248"/>
        <v>#DIV/0!</v>
      </c>
      <c r="AT259" s="88" t="e">
        <f t="shared" si="2248"/>
        <v>#DIV/0!</v>
      </c>
      <c r="AU259" s="88" t="e">
        <f t="shared" si="2248"/>
        <v>#DIV/0!</v>
      </c>
      <c r="AV259" s="88" t="e">
        <f t="shared" si="2248"/>
        <v>#DIV/0!</v>
      </c>
      <c r="AW259" s="88" t="e">
        <f t="shared" si="2248"/>
        <v>#DIV/0!</v>
      </c>
      <c r="AX259" s="88" t="e">
        <f t="shared" si="2248"/>
        <v>#DIV/0!</v>
      </c>
      <c r="AY259" s="88" t="e">
        <f t="shared" si="2248"/>
        <v>#DIV/0!</v>
      </c>
      <c r="AZ259" s="88" t="e">
        <f t="shared" si="2248"/>
        <v>#DIV/0!</v>
      </c>
      <c r="BA259" s="88" t="e">
        <f t="shared" si="2248"/>
        <v>#DIV/0!</v>
      </c>
      <c r="BB259" s="88" t="e">
        <f t="shared" si="2248"/>
        <v>#DIV/0!</v>
      </c>
      <c r="BC259" s="88" t="e">
        <f t="shared" si="2248"/>
        <v>#DIV/0!</v>
      </c>
      <c r="BD259" s="88" t="e">
        <f t="shared" si="2248"/>
        <v>#DIV/0!</v>
      </c>
      <c r="BE259" s="88" t="e">
        <f t="shared" si="2248"/>
        <v>#DIV/0!</v>
      </c>
      <c r="BF259" s="88" t="e">
        <f t="shared" si="2248"/>
        <v>#DIV/0!</v>
      </c>
      <c r="BG259" s="88" t="e">
        <f t="shared" si="2248"/>
        <v>#DIV/0!</v>
      </c>
      <c r="BH259" s="88" t="e">
        <f t="shared" si="2248"/>
        <v>#DIV/0!</v>
      </c>
      <c r="BI259" s="88" t="e">
        <f t="shared" si="2248"/>
        <v>#DIV/0!</v>
      </c>
      <c r="BJ259" s="88" t="e">
        <f t="shared" si="2248"/>
        <v>#DIV/0!</v>
      </c>
      <c r="BK259" s="88" t="e">
        <f t="shared" si="2248"/>
        <v>#DIV/0!</v>
      </c>
      <c r="BL259" s="88" t="e">
        <f t="shared" si="2248"/>
        <v>#DIV/0!</v>
      </c>
      <c r="BM259" s="88" t="e">
        <f t="shared" si="2248"/>
        <v>#DIV/0!</v>
      </c>
      <c r="BN259" s="88">
        <f t="shared" si="2248"/>
        <v>9.9280754999376386E-2</v>
      </c>
      <c r="BO259" s="88">
        <f t="shared" si="2248"/>
        <v>0.25161561433195467</v>
      </c>
      <c r="BP259" s="88" t="e">
        <f t="shared" si="2248"/>
        <v>#DIV/0!</v>
      </c>
      <c r="BQ259" s="88">
        <f t="shared" si="2248"/>
        <v>0.99999999999999989</v>
      </c>
      <c r="BR259" s="88">
        <f t="shared" si="2248"/>
        <v>4.8131376169501666E-2</v>
      </c>
      <c r="BS259" s="88">
        <f t="shared" si="2248"/>
        <v>0.12706843102550994</v>
      </c>
      <c r="BT259" s="88">
        <f t="shared" si="2248"/>
        <v>4.0731345426697943E-2</v>
      </c>
      <c r="BU259" s="88">
        <f t="shared" si="2248"/>
        <v>8.4353229512158345E-2</v>
      </c>
      <c r="BV259" s="88">
        <f t="shared" si="2248"/>
        <v>3.8283409935372527E-2</v>
      </c>
      <c r="BW259" s="88">
        <f t="shared" si="2248"/>
        <v>7.2044917523572616E-2</v>
      </c>
      <c r="BX259" s="88">
        <f t="shared" si="2248"/>
        <v>3.8471126551028127E-2</v>
      </c>
      <c r="BY259" s="88">
        <f t="shared" si="2248"/>
        <v>9.1614079242496246E-2</v>
      </c>
      <c r="BZ259" s="88">
        <f t="shared" si="2248"/>
        <v>3.4381581814220359E-2</v>
      </c>
      <c r="CA259" s="88">
        <f t="shared" si="2248"/>
        <v>5.7387029513114238E-2</v>
      </c>
      <c r="CB259" s="88">
        <f t="shared" si="2248"/>
        <v>2.6047892393174742E-2</v>
      </c>
      <c r="CC259" s="88">
        <f t="shared" si="2248"/>
        <v>9.2314844869145221E-2</v>
      </c>
      <c r="CD259" s="88">
        <f t="shared" si="2248"/>
        <v>5.0072980373707762E-2</v>
      </c>
      <c r="CE259" s="88">
        <f t="shared" si="2248"/>
        <v>5.9800226792836128E-2</v>
      </c>
      <c r="CF259" s="88">
        <f t="shared" si="2248"/>
        <v>0.19352428840800937</v>
      </c>
      <c r="CG259" s="88">
        <f t="shared" si="2248"/>
        <v>8.7154585264975271E-2</v>
      </c>
      <c r="CH259" s="88">
        <f t="shared" si="2248"/>
        <v>4.3136582258098397E-2</v>
      </c>
      <c r="CI259" s="88">
        <f t="shared" si="2248"/>
        <v>9.5494893259049862E-2</v>
      </c>
      <c r="CJ259" s="88">
        <f t="shared" si="2248"/>
        <v>5.8418540790663602E-2</v>
      </c>
      <c r="CK259" s="88">
        <f t="shared" si="2248"/>
        <v>0.1108690356596205</v>
      </c>
      <c r="CL259" s="88">
        <f t="shared" ref="CL259" si="2249">CL172/CL131</f>
        <v>5.4772277470389638E-2</v>
      </c>
      <c r="CM259" s="42">
        <f t="shared" si="2248"/>
        <v>0.1502019965616323</v>
      </c>
      <c r="CN259" s="42">
        <f t="shared" si="2248"/>
        <v>0.15672488312825225</v>
      </c>
      <c r="CO259" s="42">
        <f t="shared" si="2248"/>
        <v>0.20887007742758312</v>
      </c>
      <c r="CP259" s="42">
        <f t="shared" si="2248"/>
        <v>0.23117903227482897</v>
      </c>
      <c r="CQ259" s="42">
        <f t="shared" si="2248"/>
        <v>0.32139988618700976</v>
      </c>
      <c r="CR259" s="42">
        <f t="shared" si="2248"/>
        <v>0.31842911130366486</v>
      </c>
      <c r="CS259" s="42">
        <f t="shared" si="2248"/>
        <v>0.36077484338151855</v>
      </c>
      <c r="CT259" s="42">
        <f t="shared" si="2248"/>
        <v>0.37304645361496985</v>
      </c>
      <c r="CU259" s="42">
        <f t="shared" si="2248"/>
        <v>0.45331613519903852</v>
      </c>
      <c r="CV259" s="42">
        <f t="shared" si="2248"/>
        <v>0.44109638388823313</v>
      </c>
      <c r="CW259" s="42">
        <f t="shared" si="2248"/>
        <v>0.47356705236120444</v>
      </c>
      <c r="CX259" s="42">
        <f t="shared" ref="CX259:DB259" si="2250">CX172/CX131</f>
        <v>0.47694299798260142</v>
      </c>
      <c r="CY259" s="42">
        <f t="shared" si="2250"/>
        <v>0.54689038356697017</v>
      </c>
      <c r="CZ259" s="42">
        <f t="shared" si="2250"/>
        <v>0.52771188171435235</v>
      </c>
      <c r="DA259" s="42">
        <f t="shared" si="2250"/>
        <v>0.55197697809001489</v>
      </c>
      <c r="DB259" s="42">
        <f t="shared" si="2250"/>
        <v>0.5487297260840136</v>
      </c>
      <c r="DE259" s="125"/>
      <c r="DF259" s="88">
        <v>0.16165721894149715</v>
      </c>
    </row>
    <row r="260" spans="1:110" s="89" customFormat="1" x14ac:dyDescent="0.2">
      <c r="A260" s="89" t="s">
        <v>103</v>
      </c>
      <c r="C260" s="89" t="e">
        <f t="shared" ref="C260:AE260" si="2251">C139/B139-1</f>
        <v>#DIV/0!</v>
      </c>
      <c r="D260" s="89" t="e">
        <f t="shared" si="2251"/>
        <v>#DIV/0!</v>
      </c>
      <c r="F260" s="89" t="e">
        <f t="shared" si="2251"/>
        <v>#DIV/0!</v>
      </c>
      <c r="G260" s="89">
        <f t="shared" si="2251"/>
        <v>0.2156597977994148</v>
      </c>
      <c r="H260" s="89">
        <f t="shared" si="2251"/>
        <v>0.36477238852906879</v>
      </c>
      <c r="I260" s="89">
        <f t="shared" si="2251"/>
        <v>0.72750815204066255</v>
      </c>
      <c r="J260" s="89">
        <f t="shared" si="2251"/>
        <v>0.38757215231426967</v>
      </c>
      <c r="K260" s="89">
        <f>K139/J139-1</f>
        <v>8.4380190299602198E-3</v>
      </c>
      <c r="L260" s="89">
        <f t="shared" si="2251"/>
        <v>0.40186677282806471</v>
      </c>
      <c r="M260" s="89">
        <f t="shared" si="2251"/>
        <v>0.76231716942238603</v>
      </c>
      <c r="N260" s="89">
        <f t="shared" si="2251"/>
        <v>-1.6369051380822119E-2</v>
      </c>
      <c r="O260" s="89">
        <f t="shared" si="2251"/>
        <v>8.0504050479330846E-2</v>
      </c>
      <c r="P260" s="89">
        <f t="shared" si="2251"/>
        <v>4.8511502934217354E-2</v>
      </c>
      <c r="Q260" s="89">
        <f t="shared" si="2251"/>
        <v>0.12331436730947165</v>
      </c>
      <c r="R260" s="89">
        <f t="shared" si="2251"/>
        <v>0.25986367424500378</v>
      </c>
      <c r="S260" s="89">
        <f t="shared" si="2251"/>
        <v>8.9647645975514223E-2</v>
      </c>
      <c r="T260" s="89">
        <f t="shared" si="2251"/>
        <v>0.16366438720192789</v>
      </c>
      <c r="U260" s="89">
        <f t="shared" si="2251"/>
        <v>7.4261390105992087E-2</v>
      </c>
      <c r="V260" s="89">
        <f t="shared" si="2251"/>
        <v>-0.33529850816775797</v>
      </c>
      <c r="W260" s="89">
        <f t="shared" si="2251"/>
        <v>1.7141882480029569E-2</v>
      </c>
      <c r="X260" s="89">
        <f t="shared" si="2251"/>
        <v>0.61084404695360539</v>
      </c>
      <c r="Y260" s="89">
        <f t="shared" si="2251"/>
        <v>0.34154868484974643</v>
      </c>
      <c r="Z260" s="89">
        <f t="shared" si="2251"/>
        <v>0.32838861118835028</v>
      </c>
      <c r="AA260" s="89">
        <f t="shared" si="2251"/>
        <v>0.62619629452941683</v>
      </c>
      <c r="AB260" s="47">
        <f t="shared" si="2251"/>
        <v>0</v>
      </c>
      <c r="AC260" s="47">
        <f t="shared" si="2251"/>
        <v>0</v>
      </c>
      <c r="AD260" s="47">
        <f t="shared" si="2251"/>
        <v>0</v>
      </c>
      <c r="AE260" s="47">
        <f t="shared" si="2251"/>
        <v>0</v>
      </c>
      <c r="AL260" s="89" t="e">
        <f t="shared" ref="AL260:CW260" si="2252">AL139/AK139-1</f>
        <v>#DIV/0!</v>
      </c>
      <c r="AM260" s="89" t="e">
        <f t="shared" si="2252"/>
        <v>#DIV/0!</v>
      </c>
      <c r="AN260" s="89" t="e">
        <f t="shared" si="2252"/>
        <v>#DIV/0!</v>
      </c>
      <c r="AO260" s="89" t="e">
        <f t="shared" si="2252"/>
        <v>#DIV/0!</v>
      </c>
      <c r="AP260" s="89" t="e">
        <f t="shared" si="2252"/>
        <v>#DIV/0!</v>
      </c>
      <c r="AQ260" s="89" t="e">
        <f t="shared" si="2252"/>
        <v>#DIV/0!</v>
      </c>
      <c r="AR260" s="89" t="e">
        <f t="shared" si="2252"/>
        <v>#DIV/0!</v>
      </c>
      <c r="AS260" s="89" t="e">
        <f t="shared" si="2252"/>
        <v>#DIV/0!</v>
      </c>
      <c r="AT260" s="89" t="e">
        <f t="shared" si="2252"/>
        <v>#DIV/0!</v>
      </c>
      <c r="AU260" s="89" t="e">
        <f t="shared" si="2252"/>
        <v>#DIV/0!</v>
      </c>
      <c r="AV260" s="89" t="e">
        <f t="shared" si="2252"/>
        <v>#DIV/0!</v>
      </c>
      <c r="AW260" s="89" t="e">
        <f t="shared" si="2252"/>
        <v>#DIV/0!</v>
      </c>
      <c r="AX260" s="89" t="e">
        <f t="shared" si="2252"/>
        <v>#DIV/0!</v>
      </c>
      <c r="AY260" s="89" t="e">
        <f t="shared" si="2252"/>
        <v>#DIV/0!</v>
      </c>
      <c r="AZ260" s="89" t="e">
        <f t="shared" si="2252"/>
        <v>#DIV/0!</v>
      </c>
      <c r="BA260" s="89" t="e">
        <f t="shared" si="2252"/>
        <v>#DIV/0!</v>
      </c>
      <c r="BB260" s="89" t="e">
        <f t="shared" si="2252"/>
        <v>#DIV/0!</v>
      </c>
      <c r="BC260" s="89" t="e">
        <f t="shared" si="2252"/>
        <v>#DIV/0!</v>
      </c>
      <c r="BD260" s="89" t="e">
        <f t="shared" si="2252"/>
        <v>#DIV/0!</v>
      </c>
      <c r="BE260" s="89" t="e">
        <f t="shared" si="2252"/>
        <v>#DIV/0!</v>
      </c>
      <c r="BF260" s="89" t="e">
        <f t="shared" si="2252"/>
        <v>#DIV/0!</v>
      </c>
      <c r="BG260" s="89" t="e">
        <f t="shared" si="2252"/>
        <v>#DIV/0!</v>
      </c>
      <c r="BH260" s="89" t="e">
        <f t="shared" si="2252"/>
        <v>#DIV/0!</v>
      </c>
      <c r="BI260" s="89" t="e">
        <f t="shared" si="2252"/>
        <v>#DIV/0!</v>
      </c>
      <c r="BJ260" s="89" t="e">
        <f t="shared" si="2252"/>
        <v>#DIV/0!</v>
      </c>
      <c r="BK260" s="89" t="e">
        <f t="shared" si="2252"/>
        <v>#DIV/0!</v>
      </c>
      <c r="BL260" s="89" t="e">
        <f t="shared" si="2252"/>
        <v>#DIV/0!</v>
      </c>
      <c r="BM260" s="89" t="e">
        <f t="shared" si="2252"/>
        <v>#DIV/0!</v>
      </c>
      <c r="BN260" s="89" t="e">
        <f t="shared" si="2252"/>
        <v>#DIV/0!</v>
      </c>
      <c r="BO260" s="89">
        <f t="shared" si="2252"/>
        <v>0</v>
      </c>
      <c r="BP260" s="89">
        <f t="shared" si="2252"/>
        <v>-1</v>
      </c>
      <c r="BQ260" s="89" t="e">
        <f t="shared" si="2252"/>
        <v>#DIV/0!</v>
      </c>
      <c r="BR260" s="89" t="e">
        <f t="shared" si="2252"/>
        <v>#DIV/0!</v>
      </c>
      <c r="BS260" s="89">
        <f t="shared" si="2252"/>
        <v>0</v>
      </c>
      <c r="BT260" s="89">
        <f t="shared" si="2252"/>
        <v>3.3018733831765124E-2</v>
      </c>
      <c r="BU260" s="89">
        <f t="shared" si="2252"/>
        <v>0</v>
      </c>
      <c r="BV260" s="89">
        <f t="shared" si="2252"/>
        <v>-1.5369374079832743E-2</v>
      </c>
      <c r="BW260" s="89">
        <f t="shared" si="2252"/>
        <v>0</v>
      </c>
      <c r="BX260" s="89">
        <f t="shared" si="2252"/>
        <v>1.8250419228619474E-2</v>
      </c>
      <c r="BY260" s="89">
        <f t="shared" si="2252"/>
        <v>0</v>
      </c>
      <c r="BZ260" s="89">
        <f t="shared" si="2252"/>
        <v>0.58197238767051829</v>
      </c>
      <c r="CA260" s="89">
        <f t="shared" si="2252"/>
        <v>0</v>
      </c>
      <c r="CB260" s="89">
        <f t="shared" si="2252"/>
        <v>0.19358560621833587</v>
      </c>
      <c r="CC260" s="89">
        <f t="shared" si="2252"/>
        <v>0</v>
      </c>
      <c r="CD260" s="89">
        <f t="shared" si="2252"/>
        <v>0.1239652002006002</v>
      </c>
      <c r="CE260" s="89">
        <f t="shared" si="2252"/>
        <v>0</v>
      </c>
      <c r="CF260" s="89">
        <f t="shared" si="2252"/>
        <v>0.12005716391947918</v>
      </c>
      <c r="CG260" s="89">
        <f t="shared" si="2252"/>
        <v>0</v>
      </c>
      <c r="CH260" s="89">
        <f t="shared" si="2252"/>
        <v>0.18600072744487894</v>
      </c>
      <c r="CI260" s="89">
        <f t="shared" si="2252"/>
        <v>0</v>
      </c>
      <c r="CJ260" s="89">
        <f t="shared" si="2252"/>
        <v>0.47942811523370943</v>
      </c>
      <c r="CK260" s="89">
        <f t="shared" si="2252"/>
        <v>0</v>
      </c>
      <c r="CL260" s="89">
        <f t="shared" si="2252"/>
        <v>9.920602277625501E-2</v>
      </c>
      <c r="CM260" s="47">
        <f t="shared" si="2252"/>
        <v>0</v>
      </c>
      <c r="CN260" s="47">
        <f t="shared" si="2252"/>
        <v>0</v>
      </c>
      <c r="CO260" s="47">
        <f t="shared" si="2252"/>
        <v>0</v>
      </c>
      <c r="CP260" s="47">
        <f t="shared" si="2252"/>
        <v>0</v>
      </c>
      <c r="CQ260" s="47">
        <f t="shared" si="2252"/>
        <v>0</v>
      </c>
      <c r="CR260" s="47">
        <f t="shared" si="2252"/>
        <v>0</v>
      </c>
      <c r="CS260" s="47">
        <f t="shared" si="2252"/>
        <v>0</v>
      </c>
      <c r="CT260" s="47">
        <f t="shared" si="2252"/>
        <v>0</v>
      </c>
      <c r="CU260" s="47">
        <f t="shared" si="2252"/>
        <v>0</v>
      </c>
      <c r="CV260" s="47">
        <f t="shared" si="2252"/>
        <v>0</v>
      </c>
      <c r="CW260" s="47">
        <f t="shared" si="2252"/>
        <v>0</v>
      </c>
      <c r="CX260" s="47">
        <f t="shared" ref="CX260:DB260" si="2253">CX139/CW139-1</f>
        <v>0</v>
      </c>
      <c r="CY260" s="47">
        <f t="shared" si="2253"/>
        <v>0</v>
      </c>
      <c r="CZ260" s="47">
        <f t="shared" si="2253"/>
        <v>0</v>
      </c>
      <c r="DA260" s="47">
        <f t="shared" si="2253"/>
        <v>0</v>
      </c>
      <c r="DB260" s="47">
        <f t="shared" si="2253"/>
        <v>0</v>
      </c>
      <c r="DE260" s="130"/>
      <c r="DF260" s="89">
        <v>0</v>
      </c>
    </row>
    <row r="261" spans="1:110" s="89" customFormat="1" x14ac:dyDescent="0.2">
      <c r="A261" s="89" t="s">
        <v>104</v>
      </c>
      <c r="C261" s="89" t="e">
        <f>C39/B39-1</f>
        <v>#DIV/0!</v>
      </c>
      <c r="D261" s="89" t="e">
        <f>D39/C39-1</f>
        <v>#DIV/0!</v>
      </c>
      <c r="F261" s="89" t="e">
        <f t="shared" ref="F261:AE261" si="2254">F39/E39-1</f>
        <v>#DIV/0!</v>
      </c>
      <c r="G261" s="89">
        <f t="shared" si="2254"/>
        <v>0.46412355567383767</v>
      </c>
      <c r="H261" s="89">
        <f t="shared" si="2254"/>
        <v>-1.2368104901507082E-2</v>
      </c>
      <c r="I261" s="89">
        <f t="shared" si="2254"/>
        <v>-0.18501245442444048</v>
      </c>
      <c r="J261" s="89">
        <f t="shared" si="2254"/>
        <v>0.79525635487920687</v>
      </c>
      <c r="K261" s="89">
        <f t="shared" si="2254"/>
        <v>0.19532303850473309</v>
      </c>
      <c r="L261" s="89">
        <f t="shared" si="2254"/>
        <v>-1</v>
      </c>
      <c r="M261" s="89" t="e">
        <f t="shared" si="2254"/>
        <v>#DIV/0!</v>
      </c>
      <c r="N261" s="89" t="e">
        <f t="shared" si="2254"/>
        <v>#DIV/0!</v>
      </c>
      <c r="O261" s="89">
        <f t="shared" si="2254"/>
        <v>-2.7294190594294387E-2</v>
      </c>
      <c r="P261" s="89">
        <f t="shared" si="2254"/>
        <v>0.16343855347839287</v>
      </c>
      <c r="Q261" s="89">
        <f t="shared" si="2254"/>
        <v>0.17761504622922453</v>
      </c>
      <c r="R261" s="89">
        <f t="shared" si="2254"/>
        <v>1.7756085340157268E-2</v>
      </c>
      <c r="S261" s="89">
        <f t="shared" si="2254"/>
        <v>0.21438430227958039</v>
      </c>
      <c r="T261" s="89">
        <f t="shared" si="2254"/>
        <v>0.60018460201976298</v>
      </c>
      <c r="U261" s="89">
        <f t="shared" si="2254"/>
        <v>-0.10132260231675949</v>
      </c>
      <c r="V261" s="89">
        <f t="shared" si="2254"/>
        <v>0.10116036144881546</v>
      </c>
      <c r="W261" s="89">
        <f t="shared" si="2254"/>
        <v>0.21969004297339345</v>
      </c>
      <c r="X261" s="89">
        <f t="shared" si="2254"/>
        <v>0.28115219550591242</v>
      </c>
      <c r="Y261" s="89">
        <f t="shared" si="2254"/>
        <v>0.28418250171881598</v>
      </c>
      <c r="Z261" s="89">
        <f t="shared" si="2254"/>
        <v>-5.1453501617533481E-2</v>
      </c>
      <c r="AA261" s="89">
        <f t="shared" si="2254"/>
        <v>0.48621969232986428</v>
      </c>
      <c r="AB261" s="47">
        <f t="shared" si="2254"/>
        <v>0.1893176156397447</v>
      </c>
      <c r="AC261" s="47">
        <f t="shared" si="2254"/>
        <v>0.18231200641615053</v>
      </c>
      <c r="AD261" s="47">
        <f t="shared" si="2254"/>
        <v>0.18047706101689265</v>
      </c>
      <c r="AE261" s="47">
        <f t="shared" si="2254"/>
        <v>0.18008433972762661</v>
      </c>
      <c r="AL261" s="89" t="e">
        <f t="shared" ref="AL261:CW261" si="2255">AL39/AK39-1</f>
        <v>#DIV/0!</v>
      </c>
      <c r="AM261" s="89" t="e">
        <f t="shared" si="2255"/>
        <v>#DIV/0!</v>
      </c>
      <c r="AN261" s="89" t="e">
        <f t="shared" si="2255"/>
        <v>#DIV/0!</v>
      </c>
      <c r="AO261" s="89" t="e">
        <f t="shared" si="2255"/>
        <v>#DIV/0!</v>
      </c>
      <c r="AP261" s="89" t="e">
        <f t="shared" si="2255"/>
        <v>#DIV/0!</v>
      </c>
      <c r="AQ261" s="89" t="e">
        <f t="shared" si="2255"/>
        <v>#DIV/0!</v>
      </c>
      <c r="AR261" s="89" t="e">
        <f t="shared" si="2255"/>
        <v>#DIV/0!</v>
      </c>
      <c r="AS261" s="89" t="e">
        <f t="shared" si="2255"/>
        <v>#DIV/0!</v>
      </c>
      <c r="AT261" s="89" t="e">
        <f t="shared" si="2255"/>
        <v>#DIV/0!</v>
      </c>
      <c r="AU261" s="89" t="e">
        <f t="shared" si="2255"/>
        <v>#DIV/0!</v>
      </c>
      <c r="AV261" s="89" t="e">
        <f t="shared" si="2255"/>
        <v>#DIV/0!</v>
      </c>
      <c r="AW261" s="89" t="e">
        <f t="shared" si="2255"/>
        <v>#DIV/0!</v>
      </c>
      <c r="AX261" s="89" t="e">
        <f t="shared" si="2255"/>
        <v>#DIV/0!</v>
      </c>
      <c r="AY261" s="89" t="e">
        <f t="shared" si="2255"/>
        <v>#DIV/0!</v>
      </c>
      <c r="AZ261" s="89" t="e">
        <f t="shared" si="2255"/>
        <v>#DIV/0!</v>
      </c>
      <c r="BA261" s="89" t="e">
        <f t="shared" si="2255"/>
        <v>#DIV/0!</v>
      </c>
      <c r="BB261" s="89" t="e">
        <f t="shared" si="2255"/>
        <v>#DIV/0!</v>
      </c>
      <c r="BC261" s="89" t="e">
        <f t="shared" si="2255"/>
        <v>#DIV/0!</v>
      </c>
      <c r="BD261" s="89" t="e">
        <f t="shared" si="2255"/>
        <v>#DIV/0!</v>
      </c>
      <c r="BE261" s="89" t="e">
        <f t="shared" si="2255"/>
        <v>#DIV/0!</v>
      </c>
      <c r="BF261" s="89" t="e">
        <f t="shared" si="2255"/>
        <v>#DIV/0!</v>
      </c>
      <c r="BG261" s="89" t="e">
        <f t="shared" si="2255"/>
        <v>#DIV/0!</v>
      </c>
      <c r="BH261" s="89" t="e">
        <f t="shared" si="2255"/>
        <v>#DIV/0!</v>
      </c>
      <c r="BI261" s="89" t="e">
        <f t="shared" si="2255"/>
        <v>#DIV/0!</v>
      </c>
      <c r="BJ261" s="89" t="e">
        <f t="shared" si="2255"/>
        <v>#DIV/0!</v>
      </c>
      <c r="BK261" s="89" t="e">
        <f t="shared" si="2255"/>
        <v>#DIV/0!</v>
      </c>
      <c r="BL261" s="89" t="e">
        <f t="shared" si="2255"/>
        <v>#DIV/0!</v>
      </c>
      <c r="BM261" s="89" t="e">
        <f t="shared" si="2255"/>
        <v>#DIV/0!</v>
      </c>
      <c r="BN261" s="89" t="e">
        <f t="shared" si="2255"/>
        <v>#DIV/0!</v>
      </c>
      <c r="BO261" s="89">
        <f t="shared" si="2255"/>
        <v>-0.48245512449334138</v>
      </c>
      <c r="BP261" s="89">
        <f t="shared" si="2255"/>
        <v>1.2658312821660331</v>
      </c>
      <c r="BQ261" s="89">
        <f t="shared" si="2255"/>
        <v>0.39729409441042862</v>
      </c>
      <c r="BR261" s="89">
        <f t="shared" si="2255"/>
        <v>6.5799703159233669E-2</v>
      </c>
      <c r="BS261" s="89">
        <f t="shared" si="2255"/>
        <v>-0.2855437665782492</v>
      </c>
      <c r="BT261" s="89">
        <f t="shared" si="2255"/>
        <v>0.33283831446073919</v>
      </c>
      <c r="BU261" s="89">
        <f t="shared" si="2255"/>
        <v>-0.1099582172701955</v>
      </c>
      <c r="BV261" s="89">
        <f t="shared" si="2255"/>
        <v>0.21281589859948413</v>
      </c>
      <c r="BW261" s="89">
        <f t="shared" si="2255"/>
        <v>6.2383072059867484E-2</v>
      </c>
      <c r="BX261" s="89">
        <f t="shared" si="2255"/>
        <v>4.5603594850619489E-2</v>
      </c>
      <c r="BY261" s="89">
        <f t="shared" si="2255"/>
        <v>-8.0666705383588444E-2</v>
      </c>
      <c r="BZ261" s="89">
        <f t="shared" si="2255"/>
        <v>0.19039797852179396</v>
      </c>
      <c r="CA261" s="89">
        <f t="shared" si="2255"/>
        <v>0.13686053916366059</v>
      </c>
      <c r="CB261" s="89">
        <f t="shared" si="2255"/>
        <v>0.1086215749428181</v>
      </c>
      <c r="CC261" s="89">
        <f t="shared" si="2255"/>
        <v>-7.284210526315793E-2</v>
      </c>
      <c r="CD261" s="89">
        <f t="shared" si="2255"/>
        <v>-6.0399636693914682E-2</v>
      </c>
      <c r="CE261" s="89">
        <f t="shared" si="2255"/>
        <v>-4.6254229096181376E-2</v>
      </c>
      <c r="CF261" s="89">
        <f t="shared" si="2255"/>
        <v>-2.3057821922667698E-2</v>
      </c>
      <c r="CG261" s="89">
        <f t="shared" si="2255"/>
        <v>3.2161012553168389E-2</v>
      </c>
      <c r="CH261" s="89">
        <f t="shared" si="2255"/>
        <v>0.22434415519147777</v>
      </c>
      <c r="CI261" s="89">
        <f t="shared" si="2255"/>
        <v>8.7513340448238219E-2</v>
      </c>
      <c r="CJ261" s="89">
        <f t="shared" si="2255"/>
        <v>0.13950328376236065</v>
      </c>
      <c r="CK261" s="89">
        <f t="shared" si="2255"/>
        <v>3.418350447168117E-2</v>
      </c>
      <c r="CL261" s="89">
        <f t="shared" si="2255"/>
        <v>0.148324899109602</v>
      </c>
      <c r="CM261" s="47">
        <f t="shared" si="2255"/>
        <v>-0.10145274547508965</v>
      </c>
      <c r="CN261" s="47">
        <f t="shared" si="2255"/>
        <v>0.13026232118682413</v>
      </c>
      <c r="CO261" s="47">
        <f t="shared" si="2255"/>
        <v>3.3382963106578289E-2</v>
      </c>
      <c r="CP261" s="47">
        <f t="shared" si="2255"/>
        <v>8.7854844812853106E-2</v>
      </c>
      <c r="CQ261" s="47">
        <f t="shared" si="2255"/>
        <v>-6.2403121826351216E-2</v>
      </c>
      <c r="CR261" s="47">
        <f t="shared" si="2255"/>
        <v>0.124632240108278</v>
      </c>
      <c r="CS261" s="47">
        <f t="shared" si="2255"/>
        <v>2.8989893218795304E-2</v>
      </c>
      <c r="CT261" s="47">
        <f t="shared" si="2255"/>
        <v>8.2284570445390059E-2</v>
      </c>
      <c r="CU261" s="47">
        <f t="shared" si="2255"/>
        <v>-5.5620867557723108E-2</v>
      </c>
      <c r="CV261" s="47">
        <f t="shared" si="2255"/>
        <v>0.12263030912114026</v>
      </c>
      <c r="CW261" s="47">
        <f t="shared" si="2255"/>
        <v>2.7972950095911608E-2</v>
      </c>
      <c r="CX261" s="47">
        <f t="shared" ref="CX261:DB261" si="2256">CX39/CW39-1</f>
        <v>8.2096148119632728E-2</v>
      </c>
      <c r="CY261" s="47">
        <f t="shared" si="2256"/>
        <v>-5.4610422064709896E-2</v>
      </c>
      <c r="CZ261" s="47">
        <f t="shared" si="2256"/>
        <v>0.12210508974357559</v>
      </c>
      <c r="DA261" s="47">
        <f t="shared" si="2256"/>
        <v>2.782872236383227E-2</v>
      </c>
      <c r="DB261" s="47">
        <f t="shared" si="2256"/>
        <v>8.217381772107335E-2</v>
      </c>
      <c r="DE261" s="130"/>
      <c r="DF261" s="89">
        <v>-7.7082126444829591E-3</v>
      </c>
    </row>
    <row r="262" spans="1:110" s="103" customFormat="1" x14ac:dyDescent="0.2">
      <c r="A262" s="147" t="s">
        <v>105</v>
      </c>
      <c r="C262" s="103" t="e">
        <f>IF(C260&gt;C261,"RF",0)</f>
        <v>#DIV/0!</v>
      </c>
      <c r="D262" s="103" t="e">
        <f t="shared" ref="D262:U262" si="2257">IF(D260&gt;D261,"RF",0)</f>
        <v>#DIV/0!</v>
      </c>
      <c r="F262" s="103" t="e">
        <f t="shared" si="2257"/>
        <v>#DIV/0!</v>
      </c>
      <c r="G262" s="103">
        <f t="shared" si="2257"/>
        <v>0</v>
      </c>
      <c r="H262" s="103" t="str">
        <f t="shared" si="2257"/>
        <v>RF</v>
      </c>
      <c r="I262" s="103" t="str">
        <f t="shared" si="2257"/>
        <v>RF</v>
      </c>
      <c r="J262" s="103">
        <f t="shared" si="2257"/>
        <v>0</v>
      </c>
      <c r="K262" s="103">
        <f t="shared" si="2257"/>
        <v>0</v>
      </c>
      <c r="L262" s="103" t="str">
        <f t="shared" si="2257"/>
        <v>RF</v>
      </c>
      <c r="M262" s="103" t="e">
        <f t="shared" si="2257"/>
        <v>#DIV/0!</v>
      </c>
      <c r="N262" s="103" t="e">
        <f t="shared" si="2257"/>
        <v>#DIV/0!</v>
      </c>
      <c r="O262" s="103" t="str">
        <f t="shared" si="2257"/>
        <v>RF</v>
      </c>
      <c r="P262" s="103">
        <f t="shared" si="2257"/>
        <v>0</v>
      </c>
      <c r="Q262" s="103">
        <f t="shared" si="2257"/>
        <v>0</v>
      </c>
      <c r="R262" s="103" t="str">
        <f t="shared" si="2257"/>
        <v>RF</v>
      </c>
      <c r="S262" s="103">
        <f t="shared" si="2257"/>
        <v>0</v>
      </c>
      <c r="T262" s="103">
        <f t="shared" si="2257"/>
        <v>0</v>
      </c>
      <c r="U262" s="103" t="str">
        <f t="shared" si="2257"/>
        <v>RF</v>
      </c>
      <c r="V262" s="103">
        <f>IF(V260&gt;V261,"RF",0)</f>
        <v>0</v>
      </c>
      <c r="W262" s="103">
        <f t="shared" ref="W262:AE262" si="2258">IF(W260&gt;W261,"RF",0)</f>
        <v>0</v>
      </c>
      <c r="X262" s="103" t="str">
        <f t="shared" si="2258"/>
        <v>RF</v>
      </c>
      <c r="Y262" s="103" t="str">
        <f t="shared" si="2258"/>
        <v>RF</v>
      </c>
      <c r="Z262" s="103" t="str">
        <f t="shared" si="2258"/>
        <v>RF</v>
      </c>
      <c r="AA262" s="103" t="str">
        <f t="shared" ref="AA262" si="2259">IF(AA260&gt;AA261,"RF",0)</f>
        <v>RF</v>
      </c>
      <c r="AB262" s="73">
        <f t="shared" si="2258"/>
        <v>0</v>
      </c>
      <c r="AC262" s="73">
        <f t="shared" si="2258"/>
        <v>0</v>
      </c>
      <c r="AD262" s="73">
        <f t="shared" si="2258"/>
        <v>0</v>
      </c>
      <c r="AE262" s="73">
        <f t="shared" si="2258"/>
        <v>0</v>
      </c>
      <c r="AL262" s="103" t="e">
        <f t="shared" ref="AL262:CW262" si="2260">IF(AL260&gt;AL261,"RF",0)</f>
        <v>#DIV/0!</v>
      </c>
      <c r="AM262" s="103" t="e">
        <f t="shared" si="2260"/>
        <v>#DIV/0!</v>
      </c>
      <c r="AN262" s="103" t="e">
        <f t="shared" si="2260"/>
        <v>#DIV/0!</v>
      </c>
      <c r="AO262" s="103" t="e">
        <f t="shared" si="2260"/>
        <v>#DIV/0!</v>
      </c>
      <c r="AP262" s="103" t="e">
        <f t="shared" si="2260"/>
        <v>#DIV/0!</v>
      </c>
      <c r="AQ262" s="103" t="e">
        <f t="shared" si="2260"/>
        <v>#DIV/0!</v>
      </c>
      <c r="AR262" s="103" t="e">
        <f t="shared" si="2260"/>
        <v>#DIV/0!</v>
      </c>
      <c r="AS262" s="103" t="e">
        <f t="shared" si="2260"/>
        <v>#DIV/0!</v>
      </c>
      <c r="AT262" s="103" t="e">
        <f t="shared" si="2260"/>
        <v>#DIV/0!</v>
      </c>
      <c r="AU262" s="103" t="e">
        <f t="shared" si="2260"/>
        <v>#DIV/0!</v>
      </c>
      <c r="AV262" s="103" t="e">
        <f t="shared" si="2260"/>
        <v>#DIV/0!</v>
      </c>
      <c r="AW262" s="103" t="e">
        <f t="shared" si="2260"/>
        <v>#DIV/0!</v>
      </c>
      <c r="AX262" s="103" t="e">
        <f t="shared" si="2260"/>
        <v>#DIV/0!</v>
      </c>
      <c r="AY262" s="103" t="e">
        <f t="shared" si="2260"/>
        <v>#DIV/0!</v>
      </c>
      <c r="AZ262" s="103" t="e">
        <f t="shared" si="2260"/>
        <v>#DIV/0!</v>
      </c>
      <c r="BA262" s="103" t="e">
        <f t="shared" si="2260"/>
        <v>#DIV/0!</v>
      </c>
      <c r="BB262" s="103" t="e">
        <f t="shared" si="2260"/>
        <v>#DIV/0!</v>
      </c>
      <c r="BC262" s="103" t="e">
        <f t="shared" si="2260"/>
        <v>#DIV/0!</v>
      </c>
      <c r="BD262" s="103" t="e">
        <f t="shared" si="2260"/>
        <v>#DIV/0!</v>
      </c>
      <c r="BE262" s="103" t="e">
        <f t="shared" si="2260"/>
        <v>#DIV/0!</v>
      </c>
      <c r="BF262" s="103" t="e">
        <f t="shared" si="2260"/>
        <v>#DIV/0!</v>
      </c>
      <c r="BG262" s="103" t="e">
        <f t="shared" si="2260"/>
        <v>#DIV/0!</v>
      </c>
      <c r="BH262" s="103" t="e">
        <f t="shared" si="2260"/>
        <v>#DIV/0!</v>
      </c>
      <c r="BI262" s="103" t="e">
        <f t="shared" si="2260"/>
        <v>#DIV/0!</v>
      </c>
      <c r="BJ262" s="103" t="e">
        <f t="shared" si="2260"/>
        <v>#DIV/0!</v>
      </c>
      <c r="BK262" s="103" t="e">
        <f t="shared" si="2260"/>
        <v>#DIV/0!</v>
      </c>
      <c r="BL262" s="103" t="e">
        <f t="shared" si="2260"/>
        <v>#DIV/0!</v>
      </c>
      <c r="BM262" s="103" t="e">
        <f t="shared" si="2260"/>
        <v>#DIV/0!</v>
      </c>
      <c r="BN262" s="103" t="e">
        <f t="shared" si="2260"/>
        <v>#DIV/0!</v>
      </c>
      <c r="BO262" s="103" t="str">
        <f t="shared" si="2260"/>
        <v>RF</v>
      </c>
      <c r="BP262" s="103">
        <f t="shared" si="2260"/>
        <v>0</v>
      </c>
      <c r="BQ262" s="103" t="e">
        <f t="shared" si="2260"/>
        <v>#DIV/0!</v>
      </c>
      <c r="BR262" s="103" t="e">
        <f t="shared" si="2260"/>
        <v>#DIV/0!</v>
      </c>
      <c r="BS262" s="103" t="str">
        <f t="shared" si="2260"/>
        <v>RF</v>
      </c>
      <c r="BT262" s="103">
        <f t="shared" si="2260"/>
        <v>0</v>
      </c>
      <c r="BU262" s="103" t="str">
        <f t="shared" si="2260"/>
        <v>RF</v>
      </c>
      <c r="BV262" s="103">
        <f t="shared" si="2260"/>
        <v>0</v>
      </c>
      <c r="BW262" s="103">
        <f t="shared" si="2260"/>
        <v>0</v>
      </c>
      <c r="BX262" s="103">
        <f t="shared" si="2260"/>
        <v>0</v>
      </c>
      <c r="BY262" s="103" t="str">
        <f t="shared" si="2260"/>
        <v>RF</v>
      </c>
      <c r="BZ262" s="103" t="str">
        <f t="shared" si="2260"/>
        <v>RF</v>
      </c>
      <c r="CA262" s="103">
        <f t="shared" si="2260"/>
        <v>0</v>
      </c>
      <c r="CB262" s="103" t="str">
        <f t="shared" si="2260"/>
        <v>RF</v>
      </c>
      <c r="CC262" s="103" t="str">
        <f t="shared" si="2260"/>
        <v>RF</v>
      </c>
      <c r="CD262" s="103" t="str">
        <f t="shared" si="2260"/>
        <v>RF</v>
      </c>
      <c r="CE262" s="103" t="str">
        <f t="shared" si="2260"/>
        <v>RF</v>
      </c>
      <c r="CF262" s="103" t="str">
        <f t="shared" si="2260"/>
        <v>RF</v>
      </c>
      <c r="CG262" s="103">
        <f t="shared" si="2260"/>
        <v>0</v>
      </c>
      <c r="CH262" s="103">
        <f t="shared" si="2260"/>
        <v>0</v>
      </c>
      <c r="CI262" s="103">
        <f t="shared" si="2260"/>
        <v>0</v>
      </c>
      <c r="CJ262" s="103" t="str">
        <f t="shared" si="2260"/>
        <v>RF</v>
      </c>
      <c r="CK262" s="103">
        <f t="shared" si="2260"/>
        <v>0</v>
      </c>
      <c r="CL262" s="103">
        <f t="shared" ref="CL262" si="2261">IF(CL260&gt;CL261,"RF",0)</f>
        <v>0</v>
      </c>
      <c r="CM262" s="73" t="str">
        <f t="shared" si="2260"/>
        <v>RF</v>
      </c>
      <c r="CN262" s="73">
        <f t="shared" si="2260"/>
        <v>0</v>
      </c>
      <c r="CO262" s="73">
        <f t="shared" si="2260"/>
        <v>0</v>
      </c>
      <c r="CP262" s="73">
        <f t="shared" si="2260"/>
        <v>0</v>
      </c>
      <c r="CQ262" s="73" t="str">
        <f t="shared" si="2260"/>
        <v>RF</v>
      </c>
      <c r="CR262" s="73">
        <f t="shared" si="2260"/>
        <v>0</v>
      </c>
      <c r="CS262" s="73">
        <f t="shared" si="2260"/>
        <v>0</v>
      </c>
      <c r="CT262" s="73">
        <f t="shared" si="2260"/>
        <v>0</v>
      </c>
      <c r="CU262" s="73" t="str">
        <f t="shared" si="2260"/>
        <v>RF</v>
      </c>
      <c r="CV262" s="73">
        <f t="shared" si="2260"/>
        <v>0</v>
      </c>
      <c r="CW262" s="73">
        <f t="shared" si="2260"/>
        <v>0</v>
      </c>
      <c r="CX262" s="73">
        <f t="shared" ref="CX262:DB262" si="2262">IF(CX260&gt;CX261,"RF",0)</f>
        <v>0</v>
      </c>
      <c r="CY262" s="73" t="str">
        <f t="shared" si="2262"/>
        <v>RF</v>
      </c>
      <c r="CZ262" s="73">
        <f t="shared" si="2262"/>
        <v>0</v>
      </c>
      <c r="DA262" s="73">
        <f t="shared" si="2262"/>
        <v>0</v>
      </c>
      <c r="DB262" s="73">
        <f t="shared" si="2262"/>
        <v>0</v>
      </c>
      <c r="DE262" s="142"/>
      <c r="DF262" s="103" t="s">
        <v>531</v>
      </c>
    </row>
    <row r="263" spans="1:110" s="86" customFormat="1" x14ac:dyDescent="0.2">
      <c r="A263" s="86" t="s">
        <v>432</v>
      </c>
      <c r="B263" s="86" t="e">
        <f>B47/B19</f>
        <v>#DIV/0!</v>
      </c>
      <c r="C263" s="86" t="e">
        <f>C47/C19</f>
        <v>#DIV/0!</v>
      </c>
      <c r="D263" s="86" t="e">
        <f>D47/D19</f>
        <v>#DIV/0!</v>
      </c>
      <c r="F263" s="86">
        <f t="shared" ref="F263:AE263" si="2263">F47/F19</f>
        <v>0</v>
      </c>
      <c r="G263" s="86">
        <f t="shared" si="2263"/>
        <v>0</v>
      </c>
      <c r="H263" s="86">
        <f t="shared" si="2263"/>
        <v>0</v>
      </c>
      <c r="I263" s="86">
        <f t="shared" si="2263"/>
        <v>0</v>
      </c>
      <c r="J263" s="86">
        <f t="shared" si="2263"/>
        <v>0</v>
      </c>
      <c r="K263" s="86">
        <f t="shared" si="2263"/>
        <v>0</v>
      </c>
      <c r="L263" s="86" t="e">
        <f t="shared" si="2263"/>
        <v>#DIV/0!</v>
      </c>
      <c r="M263" s="86" t="e">
        <f t="shared" si="2263"/>
        <v>#DIV/0!</v>
      </c>
      <c r="N263" s="86">
        <f t="shared" si="2263"/>
        <v>7.5673720276174541E-2</v>
      </c>
      <c r="O263" s="86">
        <f t="shared" si="2263"/>
        <v>7.550811543229452E-2</v>
      </c>
      <c r="P263" s="86">
        <f t="shared" si="2263"/>
        <v>7.4088099104874794E-2</v>
      </c>
      <c r="Q263" s="86">
        <f t="shared" si="2263"/>
        <v>8.1031548764935707E-2</v>
      </c>
      <c r="R263" s="86">
        <f t="shared" si="2263"/>
        <v>7.4089683074848284E-2</v>
      </c>
      <c r="S263" s="86">
        <f t="shared" si="2263"/>
        <v>7.2178521101135928E-2</v>
      </c>
      <c r="T263" s="86">
        <f t="shared" si="2263"/>
        <v>7.7309383297204021E-2</v>
      </c>
      <c r="U263" s="86">
        <f t="shared" si="2263"/>
        <v>9.9567157578762569E-2</v>
      </c>
      <c r="V263" s="86">
        <f t="shared" si="2263"/>
        <v>7.1149716337062074E-2</v>
      </c>
      <c r="W263" s="86">
        <f t="shared" si="2263"/>
        <v>3.8051077572597451E-2</v>
      </c>
      <c r="X263" s="86">
        <f t="shared" si="2263"/>
        <v>3.7777289008986366E-2</v>
      </c>
      <c r="Y263" s="86">
        <f t="shared" si="2263"/>
        <v>3.9207229548961865E-2</v>
      </c>
      <c r="Z263" s="86">
        <f t="shared" si="2263"/>
        <v>3.8070602128467197E-2</v>
      </c>
      <c r="AA263" s="86">
        <f t="shared" ref="AA263" si="2264">AA47/AA19</f>
        <v>3.8289708982349083E-2</v>
      </c>
      <c r="AB263" s="87">
        <f t="shared" si="2263"/>
        <v>3.6241280557733437E-2</v>
      </c>
      <c r="AC263" s="87">
        <f t="shared" si="2263"/>
        <v>3.0712949625197824E-2</v>
      </c>
      <c r="AD263" s="87">
        <f t="shared" si="2263"/>
        <v>2.6027923411184598E-2</v>
      </c>
      <c r="AE263" s="87">
        <f t="shared" si="2263"/>
        <v>2.2057562212868302E-2</v>
      </c>
      <c r="AL263" s="86" t="e">
        <f t="shared" ref="AL263:CW263" si="2265">AL47/AL19</f>
        <v>#DIV/0!</v>
      </c>
      <c r="AM263" s="86" t="e">
        <f t="shared" si="2265"/>
        <v>#DIV/0!</v>
      </c>
      <c r="AN263" s="86" t="e">
        <f t="shared" si="2265"/>
        <v>#DIV/0!</v>
      </c>
      <c r="AO263" s="86" t="e">
        <f t="shared" si="2265"/>
        <v>#DIV/0!</v>
      </c>
      <c r="AP263" s="86" t="e">
        <f t="shared" si="2265"/>
        <v>#DIV/0!</v>
      </c>
      <c r="AQ263" s="86" t="e">
        <f t="shared" si="2265"/>
        <v>#DIV/0!</v>
      </c>
      <c r="AR263" s="86" t="e">
        <f t="shared" si="2265"/>
        <v>#DIV/0!</v>
      </c>
      <c r="AS263" s="86" t="e">
        <f t="shared" si="2265"/>
        <v>#DIV/0!</v>
      </c>
      <c r="AT263" s="86" t="e">
        <f t="shared" si="2265"/>
        <v>#DIV/0!</v>
      </c>
      <c r="AU263" s="86" t="e">
        <f t="shared" si="2265"/>
        <v>#DIV/0!</v>
      </c>
      <c r="AV263" s="86" t="e">
        <f t="shared" si="2265"/>
        <v>#DIV/0!</v>
      </c>
      <c r="AW263" s="86" t="e">
        <f t="shared" si="2265"/>
        <v>#DIV/0!</v>
      </c>
      <c r="AX263" s="86" t="e">
        <f t="shared" si="2265"/>
        <v>#DIV/0!</v>
      </c>
      <c r="AY263" s="86" t="e">
        <f t="shared" si="2265"/>
        <v>#DIV/0!</v>
      </c>
      <c r="AZ263" s="86" t="e">
        <f t="shared" si="2265"/>
        <v>#DIV/0!</v>
      </c>
      <c r="BA263" s="86" t="e">
        <f t="shared" si="2265"/>
        <v>#DIV/0!</v>
      </c>
      <c r="BB263" s="86" t="e">
        <f t="shared" si="2265"/>
        <v>#DIV/0!</v>
      </c>
      <c r="BC263" s="86" t="e">
        <f t="shared" si="2265"/>
        <v>#DIV/0!</v>
      </c>
      <c r="BD263" s="86" t="e">
        <f t="shared" si="2265"/>
        <v>#DIV/0!</v>
      </c>
      <c r="BE263" s="86" t="e">
        <f t="shared" si="2265"/>
        <v>#DIV/0!</v>
      </c>
      <c r="BF263" s="86" t="e">
        <f t="shared" si="2265"/>
        <v>#DIV/0!</v>
      </c>
      <c r="BG263" s="86" t="e">
        <f t="shared" si="2265"/>
        <v>#DIV/0!</v>
      </c>
      <c r="BH263" s="86" t="e">
        <f t="shared" si="2265"/>
        <v>#DIV/0!</v>
      </c>
      <c r="BI263" s="86" t="e">
        <f t="shared" si="2265"/>
        <v>#DIV/0!</v>
      </c>
      <c r="BJ263" s="86" t="e">
        <f t="shared" si="2265"/>
        <v>#DIV/0!</v>
      </c>
      <c r="BK263" s="86" t="e">
        <f t="shared" si="2265"/>
        <v>#DIV/0!</v>
      </c>
      <c r="BL263" s="86" t="e">
        <f t="shared" si="2265"/>
        <v>#DIV/0!</v>
      </c>
      <c r="BM263" s="86" t="e">
        <f t="shared" si="2265"/>
        <v>#DIV/0!</v>
      </c>
      <c r="BN263" s="86">
        <f t="shared" si="2265"/>
        <v>0.10436290780778086</v>
      </c>
      <c r="BO263" s="86">
        <f t="shared" si="2265"/>
        <v>0.18631901840490797</v>
      </c>
      <c r="BP263" s="86">
        <f t="shared" si="2265"/>
        <v>5.7590634441087613E-2</v>
      </c>
      <c r="BQ263" s="86">
        <f t="shared" si="2265"/>
        <v>5.2262457316948494E-2</v>
      </c>
      <c r="BR263" s="86">
        <f t="shared" si="2265"/>
        <v>5.5849281405912582E-2</v>
      </c>
      <c r="BS263" s="86">
        <f t="shared" si="2265"/>
        <v>5.1678577173188717E-2</v>
      </c>
      <c r="BT263" s="86">
        <f t="shared" si="2265"/>
        <v>3.11027827883925E-2</v>
      </c>
      <c r="BU263" s="86">
        <f t="shared" si="2265"/>
        <v>3.6434178471532984E-2</v>
      </c>
      <c r="BV263" s="86">
        <f t="shared" si="2265"/>
        <v>3.6213014147136312E-2</v>
      </c>
      <c r="BW263" s="86">
        <f t="shared" si="2265"/>
        <v>3.7535452611675728E-2</v>
      </c>
      <c r="BX263" s="86">
        <f t="shared" si="2265"/>
        <v>2.9990724518190251E-2</v>
      </c>
      <c r="BY263" s="86">
        <f t="shared" si="2265"/>
        <v>3.9557828124374188E-2</v>
      </c>
      <c r="BZ263" s="86">
        <f t="shared" si="2265"/>
        <v>4.2749166131154558E-2</v>
      </c>
      <c r="CA263" s="86">
        <f t="shared" si="2265"/>
        <v>4.0852712431213432E-2</v>
      </c>
      <c r="CB263" s="86">
        <f t="shared" si="2265"/>
        <v>3.5265380896646478E-2</v>
      </c>
      <c r="CC263" s="86">
        <f t="shared" si="2265"/>
        <v>3.909887580773657E-2</v>
      </c>
      <c r="CD263" s="86">
        <f t="shared" si="2265"/>
        <v>4.1978033908118773E-2</v>
      </c>
      <c r="CE263" s="86">
        <f t="shared" si="2265"/>
        <v>4.2694950442585498E-2</v>
      </c>
      <c r="CF263" s="86">
        <f t="shared" si="2265"/>
        <v>3.4037645702047037E-2</v>
      </c>
      <c r="CG263" s="86">
        <f t="shared" si="2265"/>
        <v>3.6958549321422E-2</v>
      </c>
      <c r="CH263" s="86">
        <f t="shared" si="2265"/>
        <v>3.8828069172502505E-2</v>
      </c>
      <c r="CI263" s="86">
        <f t="shared" si="2265"/>
        <v>3.7163677130044842E-2</v>
      </c>
      <c r="CJ263" s="86">
        <f t="shared" si="2265"/>
        <v>3.8474412841790782E-2</v>
      </c>
      <c r="CK263" s="86">
        <f t="shared" si="2265"/>
        <v>3.8589788458547207E-2</v>
      </c>
      <c r="CL263" s="86">
        <f t="shared" ref="CL263" si="2266">CL47/CL19</f>
        <v>3.8748652533237511E-2</v>
      </c>
      <c r="CM263" s="87">
        <f t="shared" si="2265"/>
        <v>4.0981036710496313E-2</v>
      </c>
      <c r="CN263" s="87">
        <f t="shared" si="2265"/>
        <v>3.6526046538764394E-2</v>
      </c>
      <c r="CO263" s="87">
        <f t="shared" si="2265"/>
        <v>3.5537296571942281E-2</v>
      </c>
      <c r="CP263" s="87">
        <f t="shared" si="2265"/>
        <v>3.2837841129862294E-2</v>
      </c>
      <c r="CQ263" s="87">
        <f t="shared" si="2265"/>
        <v>3.472969212753925E-2</v>
      </c>
      <c r="CR263" s="87">
        <f t="shared" si="2265"/>
        <v>3.0954276727766437E-2</v>
      </c>
      <c r="CS263" s="87">
        <f t="shared" si="2265"/>
        <v>3.011635302706973E-2</v>
      </c>
      <c r="CT263" s="87">
        <f t="shared" si="2265"/>
        <v>2.7828678923612116E-2</v>
      </c>
      <c r="CU263" s="87">
        <f t="shared" si="2265"/>
        <v>2.9431942480965465E-2</v>
      </c>
      <c r="CV263" s="87">
        <f t="shared" si="2265"/>
        <v>2.6232437904886809E-2</v>
      </c>
      <c r="CW263" s="87">
        <f t="shared" si="2265"/>
        <v>2.5522333073787904E-2</v>
      </c>
      <c r="CX263" s="87">
        <f t="shared" ref="CX263:DB263" si="2267">CX47/CX19</f>
        <v>2.3583626206450947E-2</v>
      </c>
      <c r="CY263" s="87">
        <f t="shared" si="2267"/>
        <v>2.4942324136411408E-2</v>
      </c>
      <c r="CZ263" s="87">
        <f t="shared" si="2267"/>
        <v>2.223087958041255E-2</v>
      </c>
      <c r="DA263" s="87">
        <f t="shared" si="2267"/>
        <v>2.1629095825243989E-2</v>
      </c>
      <c r="DB263" s="87">
        <f t="shared" si="2267"/>
        <v>1.9986123903771989E-2</v>
      </c>
      <c r="DE263" s="141"/>
      <c r="DF263" s="86">
        <v>3.782097089228717E-2</v>
      </c>
    </row>
    <row r="264" spans="1:110" s="86" customFormat="1" x14ac:dyDescent="0.2">
      <c r="A264" s="86" t="s">
        <v>433</v>
      </c>
      <c r="B264" s="86" t="e">
        <f>B43/B19</f>
        <v>#DIV/0!</v>
      </c>
      <c r="C264" s="86" t="e">
        <f>C43/C19</f>
        <v>#DIV/0!</v>
      </c>
      <c r="D264" s="86" t="e">
        <f>D43/D19</f>
        <v>#DIV/0!</v>
      </c>
      <c r="F264" s="86">
        <f t="shared" ref="F264:AE264" si="2268">F43/F19</f>
        <v>5.7336741388797532E-2</v>
      </c>
      <c r="G264" s="86">
        <f t="shared" si="2268"/>
        <v>5.1189080594065697E-2</v>
      </c>
      <c r="H264" s="86">
        <f t="shared" si="2268"/>
        <v>4.6977120567881399E-2</v>
      </c>
      <c r="I264" s="86">
        <f t="shared" si="2268"/>
        <v>0</v>
      </c>
      <c r="J264" s="86">
        <f t="shared" si="2268"/>
        <v>6.2941440964284473E-2</v>
      </c>
      <c r="K264" s="86">
        <f t="shared" si="2268"/>
        <v>0.10011042120744025</v>
      </c>
      <c r="L264" s="86" t="e">
        <f t="shared" si="2268"/>
        <v>#DIV/0!</v>
      </c>
      <c r="M264" s="86" t="e">
        <f t="shared" si="2268"/>
        <v>#DIV/0!</v>
      </c>
      <c r="N264" s="86">
        <f t="shared" si="2268"/>
        <v>0.10132824117384556</v>
      </c>
      <c r="O264" s="86">
        <f t="shared" si="2268"/>
        <v>0.11681609825006488</v>
      </c>
      <c r="P264" s="86">
        <f t="shared" si="2268"/>
        <v>0.10946954306833313</v>
      </c>
      <c r="Q264" s="86">
        <f t="shared" si="2268"/>
        <v>0.10354882991771652</v>
      </c>
      <c r="R264" s="86">
        <f t="shared" si="2268"/>
        <v>9.4167724406013259E-2</v>
      </c>
      <c r="S264" s="86">
        <f t="shared" si="2268"/>
        <v>9.0272769974793748E-2</v>
      </c>
      <c r="T264" s="86">
        <f t="shared" si="2268"/>
        <v>9.6890716042347461E-2</v>
      </c>
      <c r="U264" s="86">
        <f t="shared" si="2268"/>
        <v>0.13159481661150046</v>
      </c>
      <c r="V264" s="86">
        <f t="shared" si="2268"/>
        <v>0.12336933876085771</v>
      </c>
      <c r="W264" s="86">
        <f t="shared" si="2268"/>
        <v>9.2913009354899823E-2</v>
      </c>
      <c r="X264" s="86">
        <f t="shared" si="2268"/>
        <v>6.9631747627725768E-2</v>
      </c>
      <c r="Y264" s="86">
        <f t="shared" si="2268"/>
        <v>6.2377996868633101E-2</v>
      </c>
      <c r="Z264" s="86">
        <f t="shared" si="2268"/>
        <v>6.0982553317119118E-2</v>
      </c>
      <c r="AA264" s="86">
        <f t="shared" ref="AA264" si="2269">AA43/AA19</f>
        <v>5.5004975666943852E-2</v>
      </c>
      <c r="AB264" s="87">
        <f t="shared" si="2268"/>
        <v>5.7435276295859872E-2</v>
      </c>
      <c r="AC264" s="87">
        <f t="shared" si="2268"/>
        <v>4.2045429726324128E-2</v>
      </c>
      <c r="AD264" s="87">
        <f t="shared" si="2268"/>
        <v>3.0779309770617241E-2</v>
      </c>
      <c r="AE264" s="87">
        <f t="shared" si="2268"/>
        <v>2.2531959266965943E-2</v>
      </c>
      <c r="AL264" s="86" t="e">
        <f t="shared" ref="AL264:CW264" si="2270">AL43/AL19</f>
        <v>#DIV/0!</v>
      </c>
      <c r="AM264" s="86" t="e">
        <f t="shared" si="2270"/>
        <v>#DIV/0!</v>
      </c>
      <c r="AN264" s="86" t="e">
        <f t="shared" si="2270"/>
        <v>#DIV/0!</v>
      </c>
      <c r="AO264" s="86" t="e">
        <f t="shared" si="2270"/>
        <v>#DIV/0!</v>
      </c>
      <c r="AP264" s="86" t="e">
        <f t="shared" si="2270"/>
        <v>#DIV/0!</v>
      </c>
      <c r="AQ264" s="86" t="e">
        <f t="shared" si="2270"/>
        <v>#DIV/0!</v>
      </c>
      <c r="AR264" s="86" t="e">
        <f t="shared" si="2270"/>
        <v>#DIV/0!</v>
      </c>
      <c r="AS264" s="86" t="e">
        <f t="shared" si="2270"/>
        <v>#DIV/0!</v>
      </c>
      <c r="AT264" s="86" t="e">
        <f t="shared" si="2270"/>
        <v>#DIV/0!</v>
      </c>
      <c r="AU264" s="86" t="e">
        <f t="shared" si="2270"/>
        <v>#DIV/0!</v>
      </c>
      <c r="AV264" s="86" t="e">
        <f t="shared" si="2270"/>
        <v>#DIV/0!</v>
      </c>
      <c r="AW264" s="86" t="e">
        <f t="shared" si="2270"/>
        <v>#DIV/0!</v>
      </c>
      <c r="AX264" s="86" t="e">
        <f t="shared" si="2270"/>
        <v>#DIV/0!</v>
      </c>
      <c r="AY264" s="86" t="e">
        <f t="shared" si="2270"/>
        <v>#DIV/0!</v>
      </c>
      <c r="AZ264" s="86" t="e">
        <f t="shared" si="2270"/>
        <v>#DIV/0!</v>
      </c>
      <c r="BA264" s="86" t="e">
        <f t="shared" si="2270"/>
        <v>#DIV/0!</v>
      </c>
      <c r="BB264" s="86" t="e">
        <f t="shared" si="2270"/>
        <v>#DIV/0!</v>
      </c>
      <c r="BC264" s="86" t="e">
        <f t="shared" si="2270"/>
        <v>#DIV/0!</v>
      </c>
      <c r="BD264" s="86" t="e">
        <f t="shared" si="2270"/>
        <v>#DIV/0!</v>
      </c>
      <c r="BE264" s="86" t="e">
        <f t="shared" si="2270"/>
        <v>#DIV/0!</v>
      </c>
      <c r="BF264" s="86" t="e">
        <f t="shared" si="2270"/>
        <v>#DIV/0!</v>
      </c>
      <c r="BG264" s="86" t="e">
        <f t="shared" si="2270"/>
        <v>#DIV/0!</v>
      </c>
      <c r="BH264" s="86" t="e">
        <f t="shared" si="2270"/>
        <v>#DIV/0!</v>
      </c>
      <c r="BI264" s="86" t="e">
        <f t="shared" si="2270"/>
        <v>#DIV/0!</v>
      </c>
      <c r="BJ264" s="86" t="e">
        <f t="shared" si="2270"/>
        <v>#DIV/0!</v>
      </c>
      <c r="BK264" s="86" t="e">
        <f t="shared" si="2270"/>
        <v>#DIV/0!</v>
      </c>
      <c r="BL264" s="86" t="e">
        <f t="shared" si="2270"/>
        <v>#DIV/0!</v>
      </c>
      <c r="BM264" s="86" t="e">
        <f t="shared" si="2270"/>
        <v>#DIV/0!</v>
      </c>
      <c r="BN264" s="86">
        <f t="shared" si="2270"/>
        <v>0.14461290033192786</v>
      </c>
      <c r="BO264" s="86">
        <f t="shared" si="2270"/>
        <v>0.24177914110429446</v>
      </c>
      <c r="BP264" s="86">
        <f t="shared" si="2270"/>
        <v>0.12877643504531722</v>
      </c>
      <c r="BQ264" s="86">
        <f t="shared" si="2270"/>
        <v>0.11280593780031489</v>
      </c>
      <c r="BR264" s="86">
        <f t="shared" si="2270"/>
        <v>9.3324149229279924E-2</v>
      </c>
      <c r="BS264" s="86">
        <f t="shared" si="2270"/>
        <v>0.11344470231393185</v>
      </c>
      <c r="BT264" s="86">
        <f t="shared" si="2270"/>
        <v>8.7599166389380229E-2</v>
      </c>
      <c r="BU264" s="86">
        <f t="shared" si="2270"/>
        <v>9.4035910854461793E-2</v>
      </c>
      <c r="BV264" s="86">
        <f t="shared" si="2270"/>
        <v>8.2979274216882157E-2</v>
      </c>
      <c r="BW264" s="86">
        <f t="shared" si="2270"/>
        <v>7.863093831245567E-2</v>
      </c>
      <c r="BX264" s="86">
        <f t="shared" si="2270"/>
        <v>7.0455013913222717E-2</v>
      </c>
      <c r="BY264" s="86">
        <f t="shared" si="2270"/>
        <v>7.177282618853717E-2</v>
      </c>
      <c r="BZ264" s="86">
        <f t="shared" si="2270"/>
        <v>6.1129981537582749E-2</v>
      </c>
      <c r="CA264" s="86">
        <f t="shared" si="2270"/>
        <v>6.5813440243632129E-2</v>
      </c>
      <c r="CB264" s="86">
        <f t="shared" si="2270"/>
        <v>5.6680745678761045E-2</v>
      </c>
      <c r="CC264" s="86">
        <f t="shared" si="2270"/>
        <v>6.2211206515003982E-2</v>
      </c>
      <c r="CD264" s="86">
        <f t="shared" si="2270"/>
        <v>6.5400691190041077E-2</v>
      </c>
      <c r="CE264" s="86">
        <f t="shared" si="2270"/>
        <v>6.2969622738210024E-2</v>
      </c>
      <c r="CF264" s="86">
        <f t="shared" si="2270"/>
        <v>6.2729107459121053E-2</v>
      </c>
      <c r="CG264" s="86">
        <f t="shared" si="2270"/>
        <v>6.5656149077781098E-2</v>
      </c>
      <c r="CH264" s="86">
        <f t="shared" si="2270"/>
        <v>5.4251822209518366E-2</v>
      </c>
      <c r="CI264" s="86">
        <f t="shared" si="2270"/>
        <v>5.710201793721973E-2</v>
      </c>
      <c r="CJ264" s="86">
        <f t="shared" si="2270"/>
        <v>5.4461702946157813E-2</v>
      </c>
      <c r="CK264" s="86">
        <f t="shared" si="2270"/>
        <v>5.5840721729662458E-2</v>
      </c>
      <c r="CL264" s="86">
        <f t="shared" ref="CL264" si="2271">CL43/CL19</f>
        <v>5.304078332734459E-2</v>
      </c>
      <c r="CM264" s="87">
        <f t="shared" si="2270"/>
        <v>6.8554558182925524E-2</v>
      </c>
      <c r="CN264" s="87">
        <f t="shared" si="2270"/>
        <v>5.8906278421159017E-2</v>
      </c>
      <c r="CO264" s="87">
        <f t="shared" si="2270"/>
        <v>5.5252104730915914E-2</v>
      </c>
      <c r="CP264" s="87">
        <f t="shared" si="2270"/>
        <v>4.9220334311771335E-2</v>
      </c>
      <c r="CQ264" s="87">
        <f t="shared" si="2270"/>
        <v>5.0185287586179288E-2</v>
      </c>
      <c r="CR264" s="87">
        <f t="shared" si="2270"/>
        <v>4.312227518568857E-2</v>
      </c>
      <c r="CS264" s="87">
        <f t="shared" si="2270"/>
        <v>4.0447241425783528E-2</v>
      </c>
      <c r="CT264" s="87">
        <f t="shared" si="2270"/>
        <v>3.6031690641678646E-2</v>
      </c>
      <c r="CU264" s="87">
        <f t="shared" si="2270"/>
        <v>3.6738083606157705E-2</v>
      </c>
      <c r="CV264" s="87">
        <f t="shared" si="2270"/>
        <v>3.1567613283855191E-2</v>
      </c>
      <c r="CW264" s="87">
        <f t="shared" si="2270"/>
        <v>2.9609357814024025E-2</v>
      </c>
      <c r="CX264" s="87">
        <f t="shared" ref="CX264:DB264" si="2272">CX43/CX19</f>
        <v>2.6376958804750356E-2</v>
      </c>
      <c r="CY264" s="87">
        <f t="shared" si="2272"/>
        <v>2.6894072983746912E-2</v>
      </c>
      <c r="CZ264" s="87">
        <f t="shared" si="2272"/>
        <v>2.3109035971500737E-2</v>
      </c>
      <c r="DA264" s="87">
        <f t="shared" si="2272"/>
        <v>2.1675497246643742E-2</v>
      </c>
      <c r="DB264" s="87">
        <f t="shared" si="2272"/>
        <v>1.9309223169859124E-2</v>
      </c>
      <c r="DE264" s="141"/>
      <c r="DF264" s="86">
        <v>5.2879552650555994E-2</v>
      </c>
    </row>
    <row r="265" spans="1:110" s="85" customFormat="1" x14ac:dyDescent="0.2">
      <c r="AB265" s="58"/>
      <c r="AC265" s="58"/>
      <c r="AD265" s="58"/>
      <c r="AE265" s="58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E265" s="143"/>
    </row>
  </sheetData>
  <sortState xmlns:xlrd2="http://schemas.microsoft.com/office/spreadsheetml/2017/richdata2" ref="A31:DE36">
    <sortCondition ref="A31:A3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215216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Craftsman Automation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334.41</v>
      </c>
      <c r="AI6">
        <f>_xll.EQNXTDZ($A$1,$B6,AI$1,$B$1)</f>
        <v>163</v>
      </c>
      <c r="AJ6">
        <f>_xll.EQNXTDZ($A$1,$B6,AJ$1,$B$1)</f>
        <v>370.72</v>
      </c>
      <c r="AK6">
        <f>_xll.EQNXTDZ($A$1,$B6,AK$1,$B$1)</f>
        <v>489.07</v>
      </c>
      <c r="AL6">
        <f>_xll.EQNXTDZ($A$1,$B6,AL$1,$B$1)</f>
        <v>537.16</v>
      </c>
      <c r="AM6">
        <f>_xll.EQNXTDZ($A$1,$B6,AM$1,$B$1)</f>
        <v>435.19</v>
      </c>
      <c r="AN6">
        <f>_xll.EQNXTDZ($A$1,$B6,AN$1,$B$1)</f>
        <v>571.01</v>
      </c>
      <c r="AO6">
        <f>_xll.EQNXTDZ($A$1,$B6,AO$1,$B$1)</f>
        <v>554.15</v>
      </c>
      <c r="AP6">
        <f>_xll.EQNXTDZ($A$1,$B6,AP$1,$B$1)</f>
        <v>656.67</v>
      </c>
      <c r="AQ6">
        <f>_xll.EQNXTDZ($A$1,$B6,AQ$1,$B$1)</f>
        <v>676.96</v>
      </c>
      <c r="AR6">
        <f>_xll.EQNXTDZ($A$1,$B6,AR$1,$B$1)</f>
        <v>776.24</v>
      </c>
      <c r="AS6">
        <f>_xll.EQNXTDZ($A$1,$B6,AS$1,$B$1)</f>
        <v>749.03</v>
      </c>
      <c r="AT6">
        <f>_xll.EQNXTDZ($A$1,$B6,AT$1,$B$1)</f>
        <v>980.37</v>
      </c>
      <c r="AU6">
        <f>_xll.EQNXTDZ($A$1,$B6,AU$1,$B$1)</f>
        <v>1037.6300000000001</v>
      </c>
      <c r="AV6">
        <f>_xll.EQNXTDZ($A$1,$B6,AV$1,$B$1)</f>
        <v>1179.06</v>
      </c>
      <c r="AW6">
        <f>_xll.EQNXTDZ($A$1,$B6,AW$1,$B$1)</f>
        <v>1129.7</v>
      </c>
      <c r="AX6">
        <f>_xll.EQNXTDZ($A$1,$B6,AX$1,$B$1)</f>
        <v>1105.3399999999999</v>
      </c>
      <c r="AY6">
        <f>_xll.EQNXTDZ($A$1,$B6,AY$1,$B$1)</f>
        <v>1151.19</v>
      </c>
      <c r="AZ6">
        <f>_xll.EQNXTDZ($A$1,$B6,AZ$1,$B$1)</f>
        <v>1213.95</v>
      </c>
      <c r="BA6">
        <f>_xll.EQNXTDZ($A$1,$B6,BA$1,$B$1)</f>
        <v>1576.09</v>
      </c>
      <c r="BB6">
        <f>_xll.EQNXTDZ($A$1,$B6,BB$1,$B$1)</f>
        <v>1749.25</v>
      </c>
      <c r="BC6">
        <f>_xll.EQNXTDZ($A$1,$B6,BC$1,$B$1)</f>
        <v>1784</v>
      </c>
      <c r="BD6">
        <f>_xll.EQNXTDZ($A$1,$B6,BD$1,$B$1)</f>
        <v>2001.59</v>
      </c>
      <c r="BE6">
        <f>_xll.EQNXTDZ($A$1,$B6,BE$1,$B$1)</f>
        <v>2057.2800000000002</v>
      </c>
      <c r="BF6">
        <f>_xll.EQNXTDZ($A$1,$B6,BF$1,$B$1)</f>
        <v>2226.4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334.41</v>
      </c>
      <c r="AI9">
        <f>_xll.EQNXTDZ($A$1,$B9,AI$1,$B$1)</f>
        <v>163</v>
      </c>
      <c r="AJ9">
        <f>_xll.EQNXTDZ($A$1,$B9,AJ$1,$B$1)</f>
        <v>370.72</v>
      </c>
      <c r="AK9">
        <f>_xll.EQNXTDZ($A$1,$B9,AK$1,$B$1)</f>
        <v>489.07</v>
      </c>
      <c r="AL9">
        <f>_xll.EQNXTDZ($A$1,$B9,AL$1,$B$1)</f>
        <v>537.16</v>
      </c>
      <c r="AM9">
        <f>_xll.EQNXTDZ($A$1,$B9,AM$1,$B$1)</f>
        <v>435.19</v>
      </c>
      <c r="AN9">
        <f>_xll.EQNXTDZ($A$1,$B9,AN$1,$B$1)</f>
        <v>571.01</v>
      </c>
      <c r="AO9">
        <f>_xll.EQNXTDZ($A$1,$B9,AO$1,$B$1)</f>
        <v>554.15</v>
      </c>
      <c r="AP9">
        <f>_xll.EQNXTDZ($A$1,$B9,AP$1,$B$1)</f>
        <v>656.67</v>
      </c>
      <c r="AQ9">
        <f>_xll.EQNXTDZ($A$1,$B9,AQ$1,$B$1)</f>
        <v>676.96</v>
      </c>
      <c r="AR9">
        <f>_xll.EQNXTDZ($A$1,$B9,AR$1,$B$1)</f>
        <v>776.24</v>
      </c>
      <c r="AS9">
        <f>_xll.EQNXTDZ($A$1,$B9,AS$1,$B$1)</f>
        <v>749.03</v>
      </c>
      <c r="AT9">
        <f>_xll.EQNXTDZ($A$1,$B9,AT$1,$B$1)</f>
        <v>980.37</v>
      </c>
      <c r="AU9">
        <f>_xll.EQNXTDZ($A$1,$B9,AU$1,$B$1)</f>
        <v>1037.6300000000001</v>
      </c>
      <c r="AV9">
        <f>_xll.EQNXTDZ($A$1,$B9,AV$1,$B$1)</f>
        <v>1179.06</v>
      </c>
      <c r="AW9">
        <f>_xll.EQNXTDZ($A$1,$B9,AW$1,$B$1)</f>
        <v>1129.7</v>
      </c>
      <c r="AX9">
        <f>_xll.EQNXTDZ($A$1,$B9,AX$1,$B$1)</f>
        <v>1105.3399999999999</v>
      </c>
      <c r="AY9">
        <f>_xll.EQNXTDZ($A$1,$B9,AY$1,$B$1)</f>
        <v>1151.19</v>
      </c>
      <c r="AZ9">
        <f>_xll.EQNXTDZ($A$1,$B9,AZ$1,$B$1)</f>
        <v>1213.95</v>
      </c>
      <c r="BA9">
        <f>_xll.EQNXTDZ($A$1,$B9,BA$1,$B$1)</f>
        <v>1576.09</v>
      </c>
      <c r="BB9">
        <f>_xll.EQNXTDZ($A$1,$B9,BB$1,$B$1)</f>
        <v>1749.25</v>
      </c>
      <c r="BC9">
        <f>_xll.EQNXTDZ($A$1,$B9,BC$1,$B$1)</f>
        <v>1784</v>
      </c>
      <c r="BD9">
        <f>_xll.EQNXTDZ($A$1,$B9,BD$1,$B$1)</f>
        <v>2001.59</v>
      </c>
      <c r="BE9">
        <f>_xll.EQNXTDZ($A$1,$B9,BE$1,$B$1)</f>
        <v>2057.2800000000002</v>
      </c>
      <c r="BF9">
        <f>_xll.EQNXTDZ($A$1,$B9,BF$1,$B$1)</f>
        <v>2226.4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-3.5</v>
      </c>
      <c r="AI10">
        <f>_xll.EQNXTDZ($A$1,$B10,AI$1,$B$1)</f>
        <v>16.43</v>
      </c>
      <c r="AJ10">
        <f>_xll.EQNXTDZ($A$1,$B10,AJ$1,$B$1)</f>
        <v>-5.28</v>
      </c>
      <c r="AK10">
        <f>_xll.EQNXTDZ($A$1,$B10,AK$1,$B$1)</f>
        <v>-15.95</v>
      </c>
      <c r="AL10">
        <f>_xll.EQNXTDZ($A$1,$B10,AL$1,$B$1)</f>
        <v>-1.42</v>
      </c>
      <c r="AM10">
        <f>_xll.EQNXTDZ($A$1,$B10,AM$1,$B$1)</f>
        <v>2.75</v>
      </c>
      <c r="AN10">
        <f>_xll.EQNXTDZ($A$1,$B10,AN$1,$B$1)</f>
        <v>-10.34</v>
      </c>
      <c r="AO10">
        <f>_xll.EQNXTDZ($A$1,$B10,AO$1,$B$1)</f>
        <v>-21.02</v>
      </c>
      <c r="AP10">
        <f>_xll.EQNXTDZ($A$1,$B10,AP$1,$B$1)</f>
        <v>-2.83</v>
      </c>
      <c r="AQ10">
        <f>_xll.EQNXTDZ($A$1,$B10,AQ$1,$B$1)</f>
        <v>-7.78</v>
      </c>
      <c r="AR10">
        <f>_xll.EQNXTDZ($A$1,$B10,AR$1,$B$1)</f>
        <v>-8.6</v>
      </c>
      <c r="AS10">
        <f>_xll.EQNXTDZ($A$1,$B10,AS$1,$B$1)</f>
        <v>-22.79</v>
      </c>
      <c r="AT10">
        <f>_xll.EQNXTDZ($A$1,$B10,AT$1,$B$1)</f>
        <v>-31.04</v>
      </c>
      <c r="AU10">
        <f>_xll.EQNXTDZ($A$1,$B10,AU$1,$B$1)</f>
        <v>-25.48</v>
      </c>
      <c r="AV10">
        <f>_xll.EQNXTDZ($A$1,$B10,AV$1,$B$1)</f>
        <v>-15.64</v>
      </c>
      <c r="AW10">
        <f>_xll.EQNXTDZ($A$1,$B10,AW$1,$B$1)</f>
        <v>-30.95</v>
      </c>
      <c r="AX10">
        <f>_xll.EQNXTDZ($A$1,$B10,AX$1,$B$1)</f>
        <v>-78.150000000000006</v>
      </c>
      <c r="AY10">
        <f>_xll.EQNXTDZ($A$1,$B10,AY$1,$B$1)</f>
        <v>10</v>
      </c>
      <c r="AZ10">
        <f>_xll.EQNXTDZ($A$1,$B10,AZ$1,$B$1)</f>
        <v>-26.47</v>
      </c>
      <c r="BA10">
        <f>_xll.EQNXTDZ($A$1,$B10,BA$1,$B$1)</f>
        <v>-190.5</v>
      </c>
      <c r="BB10">
        <f>_xll.EQNXTDZ($A$1,$B10,BB$1,$B$1)</f>
        <v>12.31</v>
      </c>
      <c r="BC10">
        <f>_xll.EQNXTDZ($A$1,$B10,BC$1,$B$1)</f>
        <v>-67.099999999999994</v>
      </c>
      <c r="BD10">
        <f>_xll.EQNXTDZ($A$1,$B10,BD$1,$B$1)</f>
        <v>-58.42</v>
      </c>
      <c r="BE10">
        <f>_xll.EQNXTDZ($A$1,$B10,BE$1,$B$1)</f>
        <v>11.78</v>
      </c>
      <c r="BF10">
        <f>_xll.EQNXTDZ($A$1,$B10,BF$1,$B$1)</f>
        <v>-9.69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132.15</v>
      </c>
      <c r="AI11">
        <f>_xll.EQNXTDZ($A$1,$B11,AI$1,$B$1)</f>
        <v>55.18</v>
      </c>
      <c r="AJ11">
        <f>_xll.EQNXTDZ($A$1,$B11,AJ$1,$B$1)</f>
        <v>162.53</v>
      </c>
      <c r="AK11">
        <f>_xll.EQNXTDZ($A$1,$B11,AK$1,$B$1)</f>
        <v>221.01</v>
      </c>
      <c r="AL11">
        <f>_xll.EQNXTDZ($A$1,$B11,AL$1,$B$1)</f>
        <v>234.03</v>
      </c>
      <c r="AM11">
        <f>_xll.EQNXTDZ($A$1,$B11,AM$1,$B$1)</f>
        <v>191.31</v>
      </c>
      <c r="AN11">
        <f>_xll.EQNXTDZ($A$1,$B11,AN$1,$B$1)</f>
        <v>273.73</v>
      </c>
      <c r="AO11">
        <f>_xll.EQNXTDZ($A$1,$B11,AO$1,$B$1)</f>
        <v>274.72000000000003</v>
      </c>
      <c r="AP11">
        <f>_xll.EQNXTDZ($A$1,$B11,AP$1,$B$1)</f>
        <v>325.73</v>
      </c>
      <c r="AQ11">
        <f>_xll.EQNXTDZ($A$1,$B11,AQ$1,$B$1)</f>
        <v>330.15</v>
      </c>
      <c r="AR11">
        <f>_xll.EQNXTDZ($A$1,$B11,AR$1,$B$1)</f>
        <v>405.65</v>
      </c>
      <c r="AS11">
        <f>_xll.EQNXTDZ($A$1,$B11,AS$1,$B$1)</f>
        <v>400.65</v>
      </c>
      <c r="AT11">
        <f>_xll.EQNXTDZ($A$1,$B11,AT$1,$B$1)</f>
        <v>563.19000000000005</v>
      </c>
      <c r="AU11">
        <f>_xll.EQNXTDZ($A$1,$B11,AU$1,$B$1)</f>
        <v>570.38</v>
      </c>
      <c r="AV11">
        <f>_xll.EQNXTDZ($A$1,$B11,AV$1,$B$1)</f>
        <v>642.65</v>
      </c>
      <c r="AW11">
        <f>_xll.EQNXTDZ($A$1,$B11,AW$1,$B$1)</f>
        <v>631.94000000000005</v>
      </c>
      <c r="AX11">
        <f>_xll.EQNXTDZ($A$1,$B11,AX$1,$B$1)</f>
        <v>676.56</v>
      </c>
      <c r="AY11">
        <f>_xll.EQNXTDZ($A$1,$B11,AY$1,$B$1)</f>
        <v>638.39</v>
      </c>
      <c r="AZ11">
        <f>_xll.EQNXTDZ($A$1,$B11,AZ$1,$B$1)</f>
        <v>701.65</v>
      </c>
      <c r="BA11">
        <f>_xll.EQNXTDZ($A$1,$B11,BA$1,$B$1)</f>
        <v>1021.65</v>
      </c>
      <c r="BB11">
        <f>_xll.EQNXTDZ($A$1,$B11,BB$1,$B$1)</f>
        <v>935.04</v>
      </c>
      <c r="BC11">
        <f>_xll.EQNXTDZ($A$1,$B11,BC$1,$B$1)</f>
        <v>1028.3</v>
      </c>
      <c r="BD11">
        <f>_xll.EQNXTDZ($A$1,$B11,BD$1,$B$1)</f>
        <v>1153.74</v>
      </c>
      <c r="BE11">
        <f>_xll.EQNXTDZ($A$1,$B11,BE$1,$B$1)</f>
        <v>1118.82</v>
      </c>
      <c r="BF11">
        <f>_xll.EQNXTDZ($A$1,$B11,BF$1,$B$1)</f>
        <v>1224.53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82.7</v>
      </c>
      <c r="AI14">
        <f>_xll.EQNXTDZ($A$1,$B14,AI$1,$B$1)</f>
        <v>30.63</v>
      </c>
      <c r="AJ14">
        <f>_xll.EQNXTDZ($A$1,$B14,AJ$1,$B$1)</f>
        <v>75.78</v>
      </c>
      <c r="AK14">
        <f>_xll.EQNXTDZ($A$1,$B14,AK$1,$B$1)</f>
        <v>84.43</v>
      </c>
      <c r="AL14">
        <f>_xll.EQNXTDZ($A$1,$B14,AL$1,$B$1)</f>
        <v>119.72</v>
      </c>
      <c r="AM14">
        <f>_xll.EQNXTDZ($A$1,$B14,AM$1,$B$1)</f>
        <v>93.04</v>
      </c>
      <c r="AN14">
        <f>_xll.EQNXTDZ($A$1,$B14,AN$1,$B$1)</f>
        <v>116.36</v>
      </c>
      <c r="AO14">
        <f>_xll.EQNXTDZ($A$1,$B14,AO$1,$B$1)</f>
        <v>119.14</v>
      </c>
      <c r="AP14">
        <f>_xll.EQNXTDZ($A$1,$B14,AP$1,$B$1)</f>
        <v>132.51</v>
      </c>
      <c r="AQ14">
        <f>_xll.EQNXTDZ($A$1,$B14,AQ$1,$B$1)</f>
        <v>133.07</v>
      </c>
      <c r="AR14">
        <f>_xll.EQNXTDZ($A$1,$B14,AR$1,$B$1)</f>
        <v>149.22</v>
      </c>
      <c r="AS14">
        <f>_xll.EQNXTDZ($A$1,$B14,AS$1,$B$1)</f>
        <v>154.63</v>
      </c>
      <c r="AT14">
        <f>_xll.EQNXTDZ($A$1,$B14,AT$1,$B$1)</f>
        <v>199.14</v>
      </c>
      <c r="AU14">
        <f>_xll.EQNXTDZ($A$1,$B14,AU$1,$B$1)</f>
        <v>211.53</v>
      </c>
      <c r="AV14">
        <f>_xll.EQNXTDZ($A$1,$B14,AV$1,$B$1)</f>
        <v>242.32</v>
      </c>
      <c r="AW14">
        <f>_xll.EQNXTDZ($A$1,$B14,AW$1,$B$1)</f>
        <v>232.2</v>
      </c>
      <c r="AX14">
        <f>_xll.EQNXTDZ($A$1,$B14,AX$1,$B$1)</f>
        <v>227.08</v>
      </c>
      <c r="AY14">
        <f>_xll.EQNXTDZ($A$1,$B14,AY$1,$B$1)</f>
        <v>231.64</v>
      </c>
      <c r="AZ14">
        <f>_xll.EQNXTDZ($A$1,$B14,AZ$1,$B$1)</f>
        <v>262.77</v>
      </c>
      <c r="BA14">
        <f>_xll.EQNXTDZ($A$1,$B14,BA$1,$B$1)</f>
        <v>412.58</v>
      </c>
      <c r="BB14">
        <f>_xll.EQNXTDZ($A$1,$B14,BB$1,$B$1)</f>
        <v>412.45</v>
      </c>
      <c r="BC14">
        <f>_xll.EQNXTDZ($A$1,$B14,BC$1,$B$1)</f>
        <v>413.48</v>
      </c>
      <c r="BD14">
        <f>_xll.EQNXTDZ($A$1,$B14,BD$1,$B$1)</f>
        <v>460.13</v>
      </c>
      <c r="BE14">
        <f>_xll.EQNXTDZ($A$1,$B14,BE$1,$B$1)</f>
        <v>465.01</v>
      </c>
      <c r="BF14">
        <f>_xll.EQNXTDZ($A$1,$B14,BF$1,$B$1)</f>
        <v>503.82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36.71</v>
      </c>
      <c r="AI16">
        <f>_xll.EQNXTDZ($A$1,$B16,AI$1,$B$1)</f>
        <v>16.07</v>
      </c>
      <c r="AJ16">
        <f>_xll.EQNXTDZ($A$1,$B16,AJ$1,$B$1)</f>
        <v>36.43</v>
      </c>
      <c r="AK16">
        <f>_xll.EQNXTDZ($A$1,$B16,AK$1,$B$1)</f>
        <v>58.09</v>
      </c>
      <c r="AL16">
        <f>_xll.EQNXTDZ($A$1,$B16,AL$1,$B$1)</f>
        <v>34.03</v>
      </c>
      <c r="AM16">
        <f>_xll.EQNXTDZ($A$1,$B16,AM$1,$B$1)</f>
        <v>40.35</v>
      </c>
      <c r="AN16">
        <f>_xll.EQNXTDZ($A$1,$B16,AN$1,$B$1)</f>
        <v>47.66</v>
      </c>
      <c r="AO16">
        <f>_xll.EQNXTDZ($A$1,$B16,AO$1,$B$1)</f>
        <v>53.5</v>
      </c>
      <c r="AP16">
        <f>_xll.EQNXTDZ($A$1,$B16,AP$1,$B$1)</f>
        <v>46.25</v>
      </c>
      <c r="AQ16">
        <f>_xll.EQNXTDZ($A$1,$B16,AQ$1,$B$1)</f>
        <v>56.84</v>
      </c>
      <c r="AR16">
        <f>_xll.EQNXTDZ($A$1,$B16,AR$1,$B$1)</f>
        <v>57.78</v>
      </c>
      <c r="AS16">
        <f>_xll.EQNXTDZ($A$1,$B16,AS$1,$B$1)</f>
        <v>58.24</v>
      </c>
      <c r="AT16">
        <f>_xll.EQNXTDZ($A$1,$B16,AT$1,$B$1)</f>
        <v>60.64</v>
      </c>
      <c r="AU16">
        <f>_xll.EQNXTDZ($A$1,$B16,AU$1,$B$1)</f>
        <v>66.97</v>
      </c>
      <c r="AV16">
        <f>_xll.EQNXTDZ($A$1,$B16,AV$1,$B$1)</f>
        <v>72.23</v>
      </c>
      <c r="AW16">
        <f>_xll.EQNXTDZ($A$1,$B16,AW$1,$B$1)</f>
        <v>76.31</v>
      </c>
      <c r="AX16">
        <f>_xll.EQNXTDZ($A$1,$B16,AX$1,$B$1)</f>
        <v>72.95</v>
      </c>
      <c r="AY16">
        <f>_xll.EQNXTDZ($A$1,$B16,AY$1,$B$1)</f>
        <v>73.83</v>
      </c>
      <c r="AZ16">
        <f>_xll.EQNXTDZ($A$1,$B16,AZ$1,$B$1)</f>
        <v>83.22</v>
      </c>
      <c r="BA16">
        <f>_xll.EQNXTDZ($A$1,$B16,BA$1,$B$1)</f>
        <v>133.38</v>
      </c>
      <c r="BB16">
        <f>_xll.EQNXTDZ($A$1,$B16,BB$1,$B$1)</f>
        <v>145.83000000000001</v>
      </c>
      <c r="BC16">
        <f>_xll.EQNXTDZ($A$1,$B16,BC$1,$B$1)</f>
        <v>144.38</v>
      </c>
      <c r="BD16">
        <f>_xll.EQNXTDZ($A$1,$B16,BD$1,$B$1)</f>
        <v>144.24</v>
      </c>
      <c r="BE16">
        <f>_xll.EQNXTDZ($A$1,$B16,BE$1,$B$1)</f>
        <v>149.44999999999999</v>
      </c>
      <c r="BF16">
        <f>_xll.EQNXTDZ($A$1,$B16,BF$1,$B$1)</f>
        <v>149.21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86.35</v>
      </c>
      <c r="AI22">
        <f>_xll.EQNXTDZ($A$1,$B22,AI$1,$B$1)</f>
        <v>44.69</v>
      </c>
      <c r="AJ22">
        <f>_xll.EQNXTDZ($A$1,$B22,AJ$1,$B$1)</f>
        <v>101.26</v>
      </c>
      <c r="AK22">
        <f>_xll.EQNXTDZ($A$1,$B22,AK$1,$B$1)</f>
        <v>141.49</v>
      </c>
      <c r="AL22">
        <f>_xll.EQNXTDZ($A$1,$B22,AL$1,$B$1)</f>
        <v>150.80000000000001</v>
      </c>
      <c r="AM22">
        <f>_xll.EQNXTDZ($A$1,$B22,AM$1,$B$1)</f>
        <v>107.74</v>
      </c>
      <c r="AN22">
        <f>_xll.EQNXTDZ($A$1,$B22,AN$1,$B$1)</f>
        <v>143.6</v>
      </c>
      <c r="AO22">
        <f>_xll.EQNXTDZ($A$1,$B22,AO$1,$B$1)</f>
        <v>127.81</v>
      </c>
      <c r="AP22">
        <f>_xll.EQNXTDZ($A$1,$B22,AP$1,$B$1)</f>
        <v>155.01</v>
      </c>
      <c r="AQ22">
        <f>_xll.EQNXTDZ($A$1,$B22,AQ$1,$B$1)</f>
        <v>164.68</v>
      </c>
      <c r="AR22">
        <f>_xll.EQNXTDZ($A$1,$B22,AR$1,$B$1)</f>
        <v>172.19</v>
      </c>
      <c r="AS22">
        <f>_xll.EQNXTDZ($A$1,$B22,AS$1,$B$1)</f>
        <v>158.30000000000001</v>
      </c>
      <c r="AT22">
        <f>_xll.EQNXTDZ($A$1,$B22,AT$1,$B$1)</f>
        <v>188.44</v>
      </c>
      <c r="AU22">
        <f>_xll.EQNXTDZ($A$1,$B22,AU$1,$B$1)</f>
        <v>214.23</v>
      </c>
      <c r="AV22">
        <f>_xll.EQNXTDZ($A$1,$B22,AV$1,$B$1)</f>
        <v>237.5</v>
      </c>
      <c r="AW22">
        <f>_xll.EQNXTDZ($A$1,$B22,AW$1,$B$1)</f>
        <v>220.2</v>
      </c>
      <c r="AX22">
        <f>_xll.EQNXTDZ($A$1,$B22,AX$1,$B$1)</f>
        <v>206.9</v>
      </c>
      <c r="AY22">
        <f>_xll.EQNXTDZ($A$1,$B22,AY$1,$B$1)</f>
        <v>197.33</v>
      </c>
      <c r="AZ22">
        <f>_xll.EQNXTDZ($A$1,$B22,AZ$1,$B$1)</f>
        <v>192.78</v>
      </c>
      <c r="BA22">
        <f>_xll.EQNXTDZ($A$1,$B22,BA$1,$B$1)</f>
        <v>198.98</v>
      </c>
      <c r="BB22">
        <f>_xll.EQNXTDZ($A$1,$B22,BB$1,$B$1)</f>
        <v>243.62</v>
      </c>
      <c r="BC22">
        <f>_xll.EQNXTDZ($A$1,$B22,BC$1,$B$1)</f>
        <v>264.94</v>
      </c>
      <c r="BD22">
        <f>_xll.EQNXTDZ($A$1,$B22,BD$1,$B$1)</f>
        <v>301.89999999999998</v>
      </c>
      <c r="BE22">
        <f>_xll.EQNXTDZ($A$1,$B22,BE$1,$B$1)</f>
        <v>312.22000000000003</v>
      </c>
      <c r="BF22">
        <f>_xll.EQNXTDZ($A$1,$B22,BF$1,$B$1)</f>
        <v>358.53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3</v>
      </c>
      <c r="AI23">
        <f>_xll.EQNXTDZ($A$1,$B23,AI$1,$B$1)</f>
        <v>0.54</v>
      </c>
      <c r="AJ23">
        <f>_xll.EQNXTDZ($A$1,$B23,AJ$1,$B$1)</f>
        <v>2.2599999999999998</v>
      </c>
      <c r="AK23">
        <f>_xll.EQNXTDZ($A$1,$B23,AK$1,$B$1)</f>
        <v>4.32</v>
      </c>
      <c r="AL23">
        <f>_xll.EQNXTDZ($A$1,$B23,AL$1,$B$1)</f>
        <v>2.96</v>
      </c>
      <c r="AM23">
        <f>_xll.EQNXTDZ($A$1,$B23,AM$1,$B$1)</f>
        <v>0.64</v>
      </c>
      <c r="AN23">
        <f>_xll.EQNXTDZ($A$1,$B23,AN$1,$B$1)</f>
        <v>0.64</v>
      </c>
      <c r="AO23">
        <f>_xll.EQNXTDZ($A$1,$B23,AO$1,$B$1)</f>
        <v>1.89</v>
      </c>
      <c r="AP23">
        <f>_xll.EQNXTDZ($A$1,$B23,AP$1,$B$1)</f>
        <v>4.2300000000000004</v>
      </c>
      <c r="AQ23">
        <f>_xll.EQNXTDZ($A$1,$B23,AQ$1,$B$1)</f>
        <v>1.31</v>
      </c>
      <c r="AR23">
        <f>_xll.EQNXTDZ($A$1,$B23,AR$1,$B$1)</f>
        <v>1.74</v>
      </c>
      <c r="AS23">
        <f>_xll.EQNXTDZ($A$1,$B23,AS$1,$B$1)</f>
        <v>4.6100000000000003</v>
      </c>
      <c r="AT23">
        <f>_xll.EQNXTDZ($A$1,$B23,AT$1,$B$1)</f>
        <v>4.88</v>
      </c>
      <c r="AU23">
        <f>_xll.EQNXTDZ($A$1,$B23,AU$1,$B$1)</f>
        <v>3.71</v>
      </c>
      <c r="AV23">
        <f>_xll.EQNXTDZ($A$1,$B23,AV$1,$B$1)</f>
        <v>4.72</v>
      </c>
      <c r="AW23">
        <f>_xll.EQNXTDZ($A$1,$B23,AW$1,$B$1)</f>
        <v>3.5</v>
      </c>
      <c r="AX23">
        <f>_xll.EQNXTDZ($A$1,$B23,AX$1,$B$1)</f>
        <v>5.31</v>
      </c>
      <c r="AY23">
        <f>_xll.EQNXTDZ($A$1,$B23,AY$1,$B$1)</f>
        <v>4.84</v>
      </c>
      <c r="AZ23">
        <f>_xll.EQNXTDZ($A$1,$B23,AZ$1,$B$1)</f>
        <v>6.44</v>
      </c>
      <c r="BA23">
        <f>_xll.EQNXTDZ($A$1,$B23,BA$1,$B$1)</f>
        <v>8.56</v>
      </c>
      <c r="BB23">
        <f>_xll.EQNXTDZ($A$1,$B23,BB$1,$B$1)</f>
        <v>5.23</v>
      </c>
      <c r="BC23">
        <f>_xll.EQNXTDZ($A$1,$B23,BC$1,$B$1)</f>
        <v>4.97</v>
      </c>
      <c r="BD23">
        <f>_xll.EQNXTDZ($A$1,$B23,BD$1,$B$1)</f>
        <v>9.59</v>
      </c>
      <c r="BE23">
        <f>_xll.EQNXTDZ($A$1,$B23,BE$1,$B$1)</f>
        <v>27.69</v>
      </c>
      <c r="BF23">
        <f>_xll.EQNXTDZ($A$1,$B23,BF$1,$B$1)</f>
        <v>19.11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89.35</v>
      </c>
      <c r="AI24">
        <f>_xll.EQNXTDZ($A$1,$B24,AI$1,$B$1)</f>
        <v>45.23</v>
      </c>
      <c r="AJ24">
        <f>_xll.EQNXTDZ($A$1,$B24,AJ$1,$B$1)</f>
        <v>103.52</v>
      </c>
      <c r="AK24">
        <f>_xll.EQNXTDZ($A$1,$B24,AK$1,$B$1)</f>
        <v>145.81</v>
      </c>
      <c r="AL24">
        <f>_xll.EQNXTDZ($A$1,$B24,AL$1,$B$1)</f>
        <v>153.76</v>
      </c>
      <c r="AM24">
        <f>_xll.EQNXTDZ($A$1,$B24,AM$1,$B$1)</f>
        <v>108.38</v>
      </c>
      <c r="AN24">
        <f>_xll.EQNXTDZ($A$1,$B24,AN$1,$B$1)</f>
        <v>144.24</v>
      </c>
      <c r="AO24">
        <f>_xll.EQNXTDZ($A$1,$B24,AO$1,$B$1)</f>
        <v>129.69999999999999</v>
      </c>
      <c r="AP24">
        <f>_xll.EQNXTDZ($A$1,$B24,AP$1,$B$1)</f>
        <v>159.24</v>
      </c>
      <c r="AQ24">
        <f>_xll.EQNXTDZ($A$1,$B24,AQ$1,$B$1)</f>
        <v>165.99</v>
      </c>
      <c r="AR24">
        <f>_xll.EQNXTDZ($A$1,$B24,AR$1,$B$1)</f>
        <v>173.93</v>
      </c>
      <c r="AS24">
        <f>_xll.EQNXTDZ($A$1,$B24,AS$1,$B$1)</f>
        <v>162.91</v>
      </c>
      <c r="AT24">
        <f>_xll.EQNXTDZ($A$1,$B24,AT$1,$B$1)</f>
        <v>193.32</v>
      </c>
      <c r="AU24">
        <f>_xll.EQNXTDZ($A$1,$B24,AU$1,$B$1)</f>
        <v>217.94</v>
      </c>
      <c r="AV24">
        <f>_xll.EQNXTDZ($A$1,$B24,AV$1,$B$1)</f>
        <v>242.22</v>
      </c>
      <c r="AW24">
        <f>_xll.EQNXTDZ($A$1,$B24,AW$1,$B$1)</f>
        <v>223.7</v>
      </c>
      <c r="AX24">
        <f>_xll.EQNXTDZ($A$1,$B24,AX$1,$B$1)</f>
        <v>212.21</v>
      </c>
      <c r="AY24">
        <f>_xll.EQNXTDZ($A$1,$B24,AY$1,$B$1)</f>
        <v>202.17</v>
      </c>
      <c r="AZ24">
        <f>_xll.EQNXTDZ($A$1,$B24,AZ$1,$B$1)</f>
        <v>199.22</v>
      </c>
      <c r="BA24">
        <f>_xll.EQNXTDZ($A$1,$B24,BA$1,$B$1)</f>
        <v>207.54</v>
      </c>
      <c r="BB24">
        <f>_xll.EQNXTDZ($A$1,$B24,BB$1,$B$1)</f>
        <v>248.85</v>
      </c>
      <c r="BC24">
        <f>_xll.EQNXTDZ($A$1,$B24,BC$1,$B$1)</f>
        <v>269.91000000000003</v>
      </c>
      <c r="BD24">
        <f>_xll.EQNXTDZ($A$1,$B24,BD$1,$B$1)</f>
        <v>311.49</v>
      </c>
      <c r="BE24">
        <f>_xll.EQNXTDZ($A$1,$B24,BE$1,$B$1)</f>
        <v>339.91</v>
      </c>
      <c r="BF24">
        <f>_xll.EQNXTDZ($A$1,$B24,BF$1,$B$1)</f>
        <v>377.64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34.9</v>
      </c>
      <c r="AI25">
        <f>_xll.EQNXTDZ($A$1,$B25,AI$1,$B$1)</f>
        <v>30.37</v>
      </c>
      <c r="AJ25">
        <f>_xll.EQNXTDZ($A$1,$B25,AJ$1,$B$1)</f>
        <v>21.35</v>
      </c>
      <c r="AK25">
        <f>_xll.EQNXTDZ($A$1,$B25,AK$1,$B$1)</f>
        <v>25.56</v>
      </c>
      <c r="AL25">
        <f>_xll.EQNXTDZ($A$1,$B25,AL$1,$B$1)</f>
        <v>30</v>
      </c>
      <c r="AM25">
        <f>_xll.EQNXTDZ($A$1,$B25,AM$1,$B$1)</f>
        <v>22.49</v>
      </c>
      <c r="AN25">
        <f>_xll.EQNXTDZ($A$1,$B25,AN$1,$B$1)</f>
        <v>17.760000000000002</v>
      </c>
      <c r="AO25">
        <f>_xll.EQNXTDZ($A$1,$B25,AO$1,$B$1)</f>
        <v>20.190000000000001</v>
      </c>
      <c r="AP25">
        <f>_xll.EQNXTDZ($A$1,$B25,AP$1,$B$1)</f>
        <v>23.78</v>
      </c>
      <c r="AQ25">
        <f>_xll.EQNXTDZ($A$1,$B25,AQ$1,$B$1)</f>
        <v>25.41</v>
      </c>
      <c r="AR25">
        <f>_xll.EQNXTDZ($A$1,$B25,AR$1,$B$1)</f>
        <v>23.28</v>
      </c>
      <c r="AS25">
        <f>_xll.EQNXTDZ($A$1,$B25,AS$1,$B$1)</f>
        <v>29.63</v>
      </c>
      <c r="AT25">
        <f>_xll.EQNXTDZ($A$1,$B25,AT$1,$B$1)</f>
        <v>41.91</v>
      </c>
      <c r="AU25">
        <f>_xll.EQNXTDZ($A$1,$B25,AU$1,$B$1)</f>
        <v>42.39</v>
      </c>
      <c r="AV25">
        <f>_xll.EQNXTDZ($A$1,$B25,AV$1,$B$1)</f>
        <v>41.58</v>
      </c>
      <c r="AW25">
        <f>_xll.EQNXTDZ($A$1,$B25,AW$1,$B$1)</f>
        <v>44.17</v>
      </c>
      <c r="AX25">
        <f>_xll.EQNXTDZ($A$1,$B25,AX$1,$B$1)</f>
        <v>46.4</v>
      </c>
      <c r="AY25">
        <f>_xll.EQNXTDZ($A$1,$B25,AY$1,$B$1)</f>
        <v>49.15</v>
      </c>
      <c r="AZ25">
        <f>_xll.EQNXTDZ($A$1,$B25,AZ$1,$B$1)</f>
        <v>41.32</v>
      </c>
      <c r="BA25">
        <f>_xll.EQNXTDZ($A$1,$B25,BA$1,$B$1)</f>
        <v>58.25</v>
      </c>
      <c r="BB25">
        <f>_xll.EQNXTDZ($A$1,$B25,BB$1,$B$1)</f>
        <v>67.92</v>
      </c>
      <c r="BC25">
        <f>_xll.EQNXTDZ($A$1,$B25,BC$1,$B$1)</f>
        <v>66.3</v>
      </c>
      <c r="BD25">
        <f>_xll.EQNXTDZ($A$1,$B25,BD$1,$B$1)</f>
        <v>77.010000000000005</v>
      </c>
      <c r="BE25">
        <f>_xll.EQNXTDZ($A$1,$B25,BE$1,$B$1)</f>
        <v>79.39</v>
      </c>
      <c r="BF25">
        <f>_xll.EQNXTDZ($A$1,$B25,BF$1,$B$1)</f>
        <v>86.27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-14.76</v>
      </c>
      <c r="BB26">
        <f>_xll.EQNXTDZ($A$1,$B26,BB$1,$B$1)</f>
        <v>-10.71</v>
      </c>
      <c r="BC26">
        <f>_xll.EQNXTDZ($A$1,$B26,BC$1,$B$1)</f>
        <v>-8.24</v>
      </c>
      <c r="BD26">
        <f>_xll.EQNXTDZ($A$1,$B26,BD$1,$B$1)</f>
        <v>-0.49</v>
      </c>
      <c r="BE26">
        <f>_xll.EQNXTDZ($A$1,$B26,BE$1,$B$1)</f>
        <v>-3.68</v>
      </c>
      <c r="BF26">
        <f>_xll.EQNXTDZ($A$1,$B26,BF$1,$B$1)</f>
        <v>-0.54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54.45</v>
      </c>
      <c r="AI27">
        <f>_xll.EQNXTDZ($A$1,$B27,AI$1,$B$1)</f>
        <v>14.86</v>
      </c>
      <c r="AJ27">
        <f>_xll.EQNXTDZ($A$1,$B27,AJ$1,$B$1)</f>
        <v>82.17</v>
      </c>
      <c r="AK27">
        <f>_xll.EQNXTDZ($A$1,$B27,AK$1,$B$1)</f>
        <v>120.25</v>
      </c>
      <c r="AL27">
        <f>_xll.EQNXTDZ($A$1,$B27,AL$1,$B$1)</f>
        <v>123.76</v>
      </c>
      <c r="AM27">
        <f>_xll.EQNXTDZ($A$1,$B27,AM$1,$B$1)</f>
        <v>85.89</v>
      </c>
      <c r="AN27">
        <f>_xll.EQNXTDZ($A$1,$B27,AN$1,$B$1)</f>
        <v>126.48</v>
      </c>
      <c r="AO27">
        <f>_xll.EQNXTDZ($A$1,$B27,AO$1,$B$1)</f>
        <v>109.51</v>
      </c>
      <c r="AP27">
        <f>_xll.EQNXTDZ($A$1,$B27,AP$1,$B$1)</f>
        <v>135.46</v>
      </c>
      <c r="AQ27">
        <f>_xll.EQNXTDZ($A$1,$B27,AQ$1,$B$1)</f>
        <v>140.58000000000001</v>
      </c>
      <c r="AR27">
        <f>_xll.EQNXTDZ($A$1,$B27,AR$1,$B$1)</f>
        <v>150.65</v>
      </c>
      <c r="AS27">
        <f>_xll.EQNXTDZ($A$1,$B27,AS$1,$B$1)</f>
        <v>133.28</v>
      </c>
      <c r="AT27">
        <f>_xll.EQNXTDZ($A$1,$B27,AT$1,$B$1)</f>
        <v>151.41</v>
      </c>
      <c r="AU27">
        <f>_xll.EQNXTDZ($A$1,$B27,AU$1,$B$1)</f>
        <v>175.55</v>
      </c>
      <c r="AV27">
        <f>_xll.EQNXTDZ($A$1,$B27,AV$1,$B$1)</f>
        <v>200.64</v>
      </c>
      <c r="AW27">
        <f>_xll.EQNXTDZ($A$1,$B27,AW$1,$B$1)</f>
        <v>179.53</v>
      </c>
      <c r="AX27">
        <f>_xll.EQNXTDZ($A$1,$B27,AX$1,$B$1)</f>
        <v>165.81</v>
      </c>
      <c r="AY27">
        <f>_xll.EQNXTDZ($A$1,$B27,AY$1,$B$1)</f>
        <v>153.02000000000001</v>
      </c>
      <c r="AZ27">
        <f>_xll.EQNXTDZ($A$1,$B27,AZ$1,$B$1)</f>
        <v>157.9</v>
      </c>
      <c r="BA27">
        <f>_xll.EQNXTDZ($A$1,$B27,BA$1,$B$1)</f>
        <v>134.53</v>
      </c>
      <c r="BB27">
        <f>_xll.EQNXTDZ($A$1,$B27,BB$1,$B$1)</f>
        <v>170.22</v>
      </c>
      <c r="BC27">
        <f>_xll.EQNXTDZ($A$1,$B27,BC$1,$B$1)</f>
        <v>195.37</v>
      </c>
      <c r="BD27">
        <f>_xll.EQNXTDZ($A$1,$B27,BD$1,$B$1)</f>
        <v>233.99</v>
      </c>
      <c r="BE27">
        <f>_xll.EQNXTDZ($A$1,$B27,BE$1,$B$1)</f>
        <v>256.83999999999997</v>
      </c>
      <c r="BF27">
        <f>_xll.EQNXTDZ($A$1,$B27,BF$1,$B$1)</f>
        <v>290.83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48.36</v>
      </c>
      <c r="AI28">
        <f>_xll.EQNXTDZ($A$1,$B28,AI$1,$B$1)</f>
        <v>39.409999999999997</v>
      </c>
      <c r="AJ28">
        <f>_xll.EQNXTDZ($A$1,$B28,AJ$1,$B$1)</f>
        <v>47.74</v>
      </c>
      <c r="AK28">
        <f>_xll.EQNXTDZ($A$1,$B28,AK$1,$B$1)</f>
        <v>55.17</v>
      </c>
      <c r="AL28">
        <f>_xll.EQNXTDZ($A$1,$B28,AL$1,$B$1)</f>
        <v>50.13</v>
      </c>
      <c r="AM28">
        <f>_xll.EQNXTDZ($A$1,$B28,AM$1,$B$1)</f>
        <v>49.37</v>
      </c>
      <c r="AN28">
        <f>_xll.EQNXTDZ($A$1,$B28,AN$1,$B$1)</f>
        <v>50.02</v>
      </c>
      <c r="AO28">
        <f>_xll.EQNXTDZ($A$1,$B28,AO$1,$B$1)</f>
        <v>52.11</v>
      </c>
      <c r="AP28">
        <f>_xll.EQNXTDZ($A$1,$B28,AP$1,$B$1)</f>
        <v>54.49</v>
      </c>
      <c r="AQ28">
        <f>_xll.EQNXTDZ($A$1,$B28,AQ$1,$B$1)</f>
        <v>53.23</v>
      </c>
      <c r="AR28">
        <f>_xll.EQNXTDZ($A$1,$B28,AR$1,$B$1)</f>
        <v>54.69</v>
      </c>
      <c r="AS28">
        <f>_xll.EQNXTDZ($A$1,$B28,AS$1,$B$1)</f>
        <v>53.76</v>
      </c>
      <c r="AT28">
        <f>_xll.EQNXTDZ($A$1,$B28,AT$1,$B$1)</f>
        <v>59.93</v>
      </c>
      <c r="AU28">
        <f>_xll.EQNXTDZ($A$1,$B28,AU$1,$B$1)</f>
        <v>68.290000000000006</v>
      </c>
      <c r="AV28">
        <f>_xll.EQNXTDZ($A$1,$B28,AV$1,$B$1)</f>
        <v>66.83</v>
      </c>
      <c r="AW28">
        <f>_xll.EQNXTDZ($A$1,$B28,AW$1,$B$1)</f>
        <v>70.28</v>
      </c>
      <c r="AX28">
        <f>_xll.EQNXTDZ($A$1,$B28,AX$1,$B$1)</f>
        <v>72.290000000000006</v>
      </c>
      <c r="AY28">
        <f>_xll.EQNXTDZ($A$1,$B28,AY$1,$B$1)</f>
        <v>72.489999999999995</v>
      </c>
      <c r="AZ28">
        <f>_xll.EQNXTDZ($A$1,$B28,AZ$1,$B$1)</f>
        <v>76.150000000000006</v>
      </c>
      <c r="BA28">
        <f>_xll.EQNXTDZ($A$1,$B28,BA$1,$B$1)</f>
        <v>103.48</v>
      </c>
      <c r="BB28">
        <f>_xll.EQNXTDZ($A$1,$B28,BB$1,$B$1)</f>
        <v>94.9</v>
      </c>
      <c r="BC28">
        <f>_xll.EQNXTDZ($A$1,$B28,BC$1,$B$1)</f>
        <v>101.87</v>
      </c>
      <c r="BD28">
        <f>_xll.EQNXTDZ($A$1,$B28,BD$1,$B$1)</f>
        <v>109.01</v>
      </c>
      <c r="BE28">
        <f>_xll.EQNXTDZ($A$1,$B28,BE$1,$B$1)</f>
        <v>114.88</v>
      </c>
      <c r="BF28">
        <f>_xll.EQNXTDZ($A$1,$B28,BF$1,$B$1)</f>
        <v>118.09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2.0299999999999998</v>
      </c>
      <c r="AI29">
        <f>_xll.EQNXTDZ($A$1,$B29,AI$1,$B$1)</f>
        <v>-8.27</v>
      </c>
      <c r="AJ29">
        <f>_xll.EQNXTDZ($A$1,$B29,AJ$1,$B$1)</f>
        <v>11.59</v>
      </c>
      <c r="AK29">
        <f>_xll.EQNXTDZ($A$1,$B29,AK$1,$B$1)</f>
        <v>21.64</v>
      </c>
      <c r="AL29">
        <f>_xll.EQNXTDZ($A$1,$B29,AL$1,$B$1)</f>
        <v>26.44</v>
      </c>
      <c r="AM29">
        <f>_xll.EQNXTDZ($A$1,$B29,AM$1,$B$1)</f>
        <v>12.5</v>
      </c>
      <c r="AN29">
        <f>_xll.EQNXTDZ($A$1,$B29,AN$1,$B$1)</f>
        <v>26.58</v>
      </c>
      <c r="AO29">
        <f>_xll.EQNXTDZ($A$1,$B29,AO$1,$B$1)</f>
        <v>19.93</v>
      </c>
      <c r="AP29">
        <f>_xll.EQNXTDZ($A$1,$B29,AP$1,$B$1)</f>
        <v>29.63</v>
      </c>
      <c r="AQ29">
        <f>_xll.EQNXTDZ($A$1,$B29,AQ$1,$B$1)</f>
        <v>30.76</v>
      </c>
      <c r="AR29">
        <f>_xll.EQNXTDZ($A$1,$B29,AR$1,$B$1)</f>
        <v>33.58</v>
      </c>
      <c r="AS29">
        <f>_xll.EQNXTDZ($A$1,$B29,AS$1,$B$1)</f>
        <v>28.12</v>
      </c>
      <c r="AT29">
        <f>_xll.EQNXTDZ($A$1,$B29,AT$1,$B$1)</f>
        <v>11.37</v>
      </c>
      <c r="AU29">
        <f>_xll.EQNXTDZ($A$1,$B29,AU$1,$B$1)</f>
        <v>26.61</v>
      </c>
      <c r="AV29">
        <f>_xll.EQNXTDZ($A$1,$B29,AV$1,$B$1)</f>
        <v>29.56</v>
      </c>
      <c r="AW29">
        <f>_xll.EQNXTDZ($A$1,$B29,AW$1,$B$1)</f>
        <v>27.9</v>
      </c>
      <c r="AX29">
        <f>_xll.EQNXTDZ($A$1,$B29,AX$1,$B$1)</f>
        <v>23.29</v>
      </c>
      <c r="AY29">
        <f>_xll.EQNXTDZ($A$1,$B29,AY$1,$B$1)</f>
        <v>21.22</v>
      </c>
      <c r="AZ29">
        <f>_xll.EQNXTDZ($A$1,$B29,AZ$1,$B$1)</f>
        <v>20.46</v>
      </c>
      <c r="BA29">
        <f>_xll.EQNXTDZ($A$1,$B29,BA$1,$B$1)</f>
        <v>18.329999999999998</v>
      </c>
      <c r="BB29">
        <f>_xll.EQNXTDZ($A$1,$B29,BB$1,$B$1)</f>
        <v>8.77</v>
      </c>
      <c r="BC29">
        <f>_xll.EQNXTDZ($A$1,$B29,BC$1,$B$1)</f>
        <v>24.11</v>
      </c>
      <c r="BD29">
        <f>_xll.EQNXTDZ($A$1,$B29,BD$1,$B$1)</f>
        <v>34.47</v>
      </c>
      <c r="BE29">
        <f>_xll.EQNXTDZ($A$1,$B29,BE$1,$B$1)</f>
        <v>35.11</v>
      </c>
      <c r="BF29">
        <f>_xll.EQNXTDZ($A$1,$B29,BF$1,$B$1)</f>
        <v>56.62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4.0599999999999996</v>
      </c>
      <c r="AI30">
        <f>_xll.EQNXTDZ($A$1,$B30,AI$1,$B$1)</f>
        <v>-16.28</v>
      </c>
      <c r="AJ30">
        <f>_xll.EQNXTDZ($A$1,$B30,AJ$1,$B$1)</f>
        <v>22.84</v>
      </c>
      <c r="AK30">
        <f>_xll.EQNXTDZ($A$1,$B30,AK$1,$B$1)</f>
        <v>43.44</v>
      </c>
      <c r="AL30">
        <f>_xll.EQNXTDZ($A$1,$B30,AL$1,$B$1)</f>
        <v>47.19</v>
      </c>
      <c r="AM30">
        <f>_xll.EQNXTDZ($A$1,$B30,AM$1,$B$1)</f>
        <v>24.02</v>
      </c>
      <c r="AN30">
        <f>_xll.EQNXTDZ($A$1,$B30,AN$1,$B$1)</f>
        <v>49.88</v>
      </c>
      <c r="AO30">
        <f>_xll.EQNXTDZ($A$1,$B30,AO$1,$B$1)</f>
        <v>37.47</v>
      </c>
      <c r="AP30">
        <f>_xll.EQNXTDZ($A$1,$B30,AP$1,$B$1)</f>
        <v>51.34</v>
      </c>
      <c r="AQ30">
        <f>_xll.EQNXTDZ($A$1,$B30,AQ$1,$B$1)</f>
        <v>56.590000000000103</v>
      </c>
      <c r="AR30">
        <f>_xll.EQNXTDZ($A$1,$B30,AR$1,$B$1)</f>
        <v>62.38</v>
      </c>
      <c r="AS30">
        <f>_xll.EQNXTDZ($A$1,$B30,AS$1,$B$1)</f>
        <v>51.4</v>
      </c>
      <c r="AT30">
        <f>_xll.EQNXTDZ($A$1,$B30,AT$1,$B$1)</f>
        <v>80.110000000000099</v>
      </c>
      <c r="AU30">
        <f>_xll.EQNXTDZ($A$1,$B30,AU$1,$B$1)</f>
        <v>80.649999999999906</v>
      </c>
      <c r="AV30">
        <f>_xll.EQNXTDZ($A$1,$B30,AV$1,$B$1)</f>
        <v>104.25</v>
      </c>
      <c r="AW30">
        <f>_xll.EQNXTDZ($A$1,$B30,AW$1,$B$1)</f>
        <v>81.349999999999994</v>
      </c>
      <c r="AX30">
        <f>_xll.EQNXTDZ($A$1,$B30,AX$1,$B$1)</f>
        <v>70.229999999999905</v>
      </c>
      <c r="AY30">
        <f>_xll.EQNXTDZ($A$1,$B30,AY$1,$B$1)</f>
        <v>59.310000000000102</v>
      </c>
      <c r="AZ30">
        <f>_xll.EQNXTDZ($A$1,$B30,AZ$1,$B$1)</f>
        <v>61.2899999999999</v>
      </c>
      <c r="BA30">
        <f>_xll.EQNXTDZ($A$1,$B30,BA$1,$B$1)</f>
        <v>12.7200000000002</v>
      </c>
      <c r="BB30">
        <f>_xll.EQNXTDZ($A$1,$B30,BB$1,$B$1)</f>
        <v>66.55</v>
      </c>
      <c r="BC30">
        <f>_xll.EQNXTDZ($A$1,$B30,BC$1,$B$1)</f>
        <v>69.3900000000002</v>
      </c>
      <c r="BD30">
        <f>_xll.EQNXTDZ($A$1,$B30,BD$1,$B$1)</f>
        <v>90.509999999999806</v>
      </c>
      <c r="BE30">
        <f>_xll.EQNXTDZ($A$1,$B30,BE$1,$B$1)</f>
        <v>106.85</v>
      </c>
      <c r="BF30">
        <f>_xll.EQNXTDZ($A$1,$B30,BF$1,$B$1)</f>
        <v>116.12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-2.57</v>
      </c>
      <c r="AU34">
        <f>_xll.EQNXTDZ($A$1,$B34,AU$1,$B$1)</f>
        <v>-6.36</v>
      </c>
      <c r="AV34">
        <f>_xll.EQNXTDZ($A$1,$B34,AV$1,$B$1)</f>
        <v>-9.9499999999999993</v>
      </c>
      <c r="AW34">
        <f>_xll.EQNXTDZ($A$1,$B34,AW$1,$B$1)</f>
        <v>-8.35</v>
      </c>
      <c r="AX34">
        <f>_xll.EQNXTDZ($A$1,$B34,AX$1,$B$1)</f>
        <v>-8.1999999999999993</v>
      </c>
      <c r="AY34">
        <f>_xll.EQNXTDZ($A$1,$B34,AY$1,$B$1)</f>
        <v>-6.3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0.05</v>
      </c>
      <c r="AJ35">
        <f>_xll.EQNXTDZ($A$1,$B35,AJ$1,$B$1)</f>
        <v>-0.01</v>
      </c>
      <c r="AK35">
        <f>_xll.EQNXTDZ($A$1,$B35,AK$1,$B$1)</f>
        <v>0.04</v>
      </c>
      <c r="AL35">
        <f>_xll.EQNXTDZ($A$1,$B35,AL$1,$B$1)</f>
        <v>0.09</v>
      </c>
      <c r="AM35">
        <f>_xll.EQNXTDZ($A$1,$B35,AM$1,$B$1)</f>
        <v>0.05</v>
      </c>
      <c r="AN35">
        <f>_xll.EQNXTDZ($A$1,$B35,AN$1,$B$1)</f>
        <v>0.08</v>
      </c>
      <c r="AO35">
        <f>_xll.EQNXTDZ($A$1,$B35,AO$1,$B$1)</f>
        <v>0.13</v>
      </c>
      <c r="AP35">
        <f>_xll.EQNXTDZ($A$1,$B35,AP$1,$B$1)</f>
        <v>0.12</v>
      </c>
      <c r="AQ35">
        <f>_xll.EQNXTDZ($A$1,$B35,AQ$1,$B$1)</f>
        <v>0.05</v>
      </c>
      <c r="AR35">
        <f>_xll.EQNXTDZ($A$1,$B35,AR$1,$B$1)</f>
        <v>0.1</v>
      </c>
      <c r="AS35">
        <f>_xll.EQNXTDZ($A$1,$B35,AS$1,$B$1)</f>
        <v>0.21</v>
      </c>
      <c r="AT35">
        <f>_xll.EQNXTDZ($A$1,$B35,AT$1,$B$1)</f>
        <v>0.12</v>
      </c>
      <c r="AU35">
        <f>_xll.EQNXTDZ($A$1,$B35,AU$1,$B$1)</f>
        <v>0.19</v>
      </c>
      <c r="AV35">
        <f>_xll.EQNXTDZ($A$1,$B35,AV$1,$B$1)</f>
        <v>0.24</v>
      </c>
      <c r="AW35">
        <f>_xll.EQNXTDZ($A$1,$B35,AW$1,$B$1)</f>
        <v>0.12</v>
      </c>
      <c r="AX35">
        <f>_xll.EQNXTDZ($A$1,$B35,AX$1,$B$1)</f>
        <v>0.3</v>
      </c>
      <c r="AY35">
        <f>_xll.EQNXTDZ($A$1,$B35,AY$1,$B$1)</f>
        <v>0.18</v>
      </c>
      <c r="AZ35">
        <f>_xll.EQNXTDZ($A$1,$B35,AZ$1,$B$1)</f>
        <v>0.4</v>
      </c>
      <c r="BA35">
        <f>_xll.EQNXTDZ($A$1,$B35,BA$1,$B$1)</f>
        <v>0.21</v>
      </c>
      <c r="BB35">
        <f>_xll.EQNXTDZ($A$1,$B35,BB$1,$B$1)</f>
        <v>0.21</v>
      </c>
      <c r="BC35">
        <f>_xll.EQNXTDZ($A$1,$B35,BC$1,$B$1)</f>
        <v>0.21</v>
      </c>
      <c r="BD35">
        <f>_xll.EQNXTDZ($A$1,$B35,BD$1,$B$1)</f>
        <v>0.35</v>
      </c>
      <c r="BE35">
        <f>_xll.EQNXTDZ($A$1,$B35,BE$1,$B$1)</f>
        <v>0.26</v>
      </c>
      <c r="BF35">
        <f>_xll.EQNXTDZ($A$1,$B35,BF$1,$B$1)</f>
        <v>0.3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4.0599999999999996</v>
      </c>
      <c r="AI38">
        <f>_xll.EQNXTDZ($A$1,$B38,AI$1,$B$1)</f>
        <v>-16.23</v>
      </c>
      <c r="AJ38">
        <f>_xll.EQNXTDZ($A$1,$B38,AJ$1,$B$1)</f>
        <v>22.83</v>
      </c>
      <c r="AK38">
        <f>_xll.EQNXTDZ($A$1,$B38,AK$1,$B$1)</f>
        <v>43.48</v>
      </c>
      <c r="AL38">
        <f>_xll.EQNXTDZ($A$1,$B38,AL$1,$B$1)</f>
        <v>47.28</v>
      </c>
      <c r="AM38">
        <f>_xll.EQNXTDZ($A$1,$B38,AM$1,$B$1)</f>
        <v>24.07</v>
      </c>
      <c r="AN38">
        <f>_xll.EQNXTDZ($A$1,$B38,AN$1,$B$1)</f>
        <v>49.96</v>
      </c>
      <c r="AO38">
        <f>_xll.EQNXTDZ($A$1,$B38,AO$1,$B$1)</f>
        <v>37.6</v>
      </c>
      <c r="AP38">
        <f>_xll.EQNXTDZ($A$1,$B38,AP$1,$B$1)</f>
        <v>51.46</v>
      </c>
      <c r="AQ38">
        <f>_xll.EQNXTDZ($A$1,$B38,AQ$1,$B$1)</f>
        <v>56.64</v>
      </c>
      <c r="AR38">
        <f>_xll.EQNXTDZ($A$1,$B38,AR$1,$B$1)</f>
        <v>62.48</v>
      </c>
      <c r="AS38">
        <f>_xll.EQNXTDZ($A$1,$B38,AS$1,$B$1)</f>
        <v>51.61</v>
      </c>
      <c r="AT38">
        <f>_xll.EQNXTDZ($A$1,$B38,AT$1,$B$1)</f>
        <v>77.66</v>
      </c>
      <c r="AU38">
        <f>_xll.EQNXTDZ($A$1,$B38,AU$1,$B$1)</f>
        <v>74.48</v>
      </c>
      <c r="AV38">
        <f>_xll.EQNXTDZ($A$1,$B38,AV$1,$B$1)</f>
        <v>94.54</v>
      </c>
      <c r="AW38">
        <f>_xll.EQNXTDZ($A$1,$B38,AW$1,$B$1)</f>
        <v>73.12</v>
      </c>
      <c r="AX38">
        <f>_xll.EQNXTDZ($A$1,$B38,AX$1,$B$1)</f>
        <v>62.33</v>
      </c>
      <c r="AY38">
        <f>_xll.EQNXTDZ($A$1,$B38,AY$1,$B$1)</f>
        <v>53.19</v>
      </c>
      <c r="AZ38">
        <f>_xll.EQNXTDZ($A$1,$B38,AZ$1,$B$1)</f>
        <v>61.69</v>
      </c>
      <c r="BA38">
        <f>_xll.EQNXTDZ($A$1,$B38,BA$1,$B$1)</f>
        <v>12.93</v>
      </c>
      <c r="BB38">
        <f>_xll.EQNXTDZ($A$1,$B38,BB$1,$B$1)</f>
        <v>66.760000000000005</v>
      </c>
      <c r="BC38">
        <f>_xll.EQNXTDZ($A$1,$B38,BC$1,$B$1)</f>
        <v>69.599999999999994</v>
      </c>
      <c r="BD38">
        <f>_xll.EQNXTDZ($A$1,$B38,BD$1,$B$1)</f>
        <v>90.86</v>
      </c>
      <c r="BE38">
        <f>_xll.EQNXTDZ($A$1,$B38,BE$1,$B$1)</f>
        <v>107.11</v>
      </c>
      <c r="BF38">
        <f>_xll.EQNXTDZ($A$1,$B38,BF$1,$B$1)</f>
        <v>116.42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-4.66</v>
      </c>
      <c r="AI40">
        <f>_xll.EQNXTDZ($A$1,$B40,AI$1,$B$1)</f>
        <v>-2.02</v>
      </c>
      <c r="AJ40">
        <f>_xll.EQNXTDZ($A$1,$B40,AJ$1,$B$1)</f>
        <v>0.66</v>
      </c>
      <c r="AK40">
        <f>_xll.EQNXTDZ($A$1,$B40,AK$1,$B$1)</f>
        <v>3.42</v>
      </c>
      <c r="AL40">
        <f>_xll.EQNXTDZ($A$1,$B40,AL$1,$B$1)</f>
        <v>2.79</v>
      </c>
      <c r="AM40">
        <f>_xll.EQNXTDZ($A$1,$B40,AM$1,$B$1)</f>
        <v>-0.25</v>
      </c>
      <c r="AN40">
        <f>_xll.EQNXTDZ($A$1,$B40,AN$1,$B$1)</f>
        <v>1.44</v>
      </c>
      <c r="AO40">
        <f>_xll.EQNXTDZ($A$1,$B40,AO$1,$B$1)</f>
        <v>2.52</v>
      </c>
      <c r="AP40">
        <f>_xll.EQNXTDZ($A$1,$B40,AP$1,$B$1)</f>
        <v>1.36</v>
      </c>
      <c r="AQ40">
        <f>_xll.EQNXTDZ($A$1,$B40,AQ$1,$B$1)</f>
        <v>-1.68</v>
      </c>
      <c r="AR40">
        <f>_xll.EQNXTDZ($A$1,$B40,AR$1,$B$1)</f>
        <v>-1.71</v>
      </c>
      <c r="AS40">
        <f>_xll.EQNXTDZ($A$1,$B40,AS$1,$B$1)</f>
        <v>2.75</v>
      </c>
      <c r="AT40">
        <f>_xll.EQNXTDZ($A$1,$B40,AT$1,$B$1)</f>
        <v>1.34</v>
      </c>
      <c r="AU40">
        <f>_xll.EQNXTDZ($A$1,$B40,AU$1,$B$1)</f>
        <v>1.75</v>
      </c>
      <c r="AV40">
        <f>_xll.EQNXTDZ($A$1,$B40,AV$1,$B$1)</f>
        <v>-1.38</v>
      </c>
      <c r="AW40">
        <f>_xll.EQNXTDZ($A$1,$B40,AW$1,$B$1)</f>
        <v>0.84</v>
      </c>
      <c r="AX40">
        <f>_xll.EQNXTDZ($A$1,$B40,AX$1,$B$1)</f>
        <v>-1.01</v>
      </c>
      <c r="AY40">
        <f>_xll.EQNXTDZ($A$1,$B40,AY$1,$B$1)</f>
        <v>5.26</v>
      </c>
      <c r="AZ40">
        <f>_xll.EQNXTDZ($A$1,$B40,AZ$1,$B$1)</f>
        <v>-0.31</v>
      </c>
      <c r="BA40">
        <f>_xll.EQNXTDZ($A$1,$B40,BA$1,$B$1)</f>
        <v>-15</v>
      </c>
      <c r="BB40">
        <f>_xll.EQNXTDZ($A$1,$B40,BB$1,$B$1)</f>
        <v>7.01</v>
      </c>
      <c r="BC40">
        <f>_xll.EQNXTDZ($A$1,$B40,BC$1,$B$1)</f>
        <v>18.41</v>
      </c>
      <c r="BD40">
        <f>_xll.EQNXTDZ($A$1,$B40,BD$1,$B$1)</f>
        <v>6.18</v>
      </c>
      <c r="BE40">
        <f>_xll.EQNXTDZ($A$1,$B40,BE$1,$B$1)</f>
        <v>3.39</v>
      </c>
      <c r="BF40">
        <f>_xll.EQNXTDZ($A$1,$B40,BF$1,$B$1)</f>
        <v>7.27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-0.6</v>
      </c>
      <c r="AI41">
        <f>_xll.EQNXTDZ($A$1,$B41,AI$1,$B$1)</f>
        <v>-18.25</v>
      </c>
      <c r="AJ41">
        <f>_xll.EQNXTDZ($A$1,$B41,AJ$1,$B$1)</f>
        <v>23.49</v>
      </c>
      <c r="AK41">
        <f>_xll.EQNXTDZ($A$1,$B41,AK$1,$B$1)</f>
        <v>46.9</v>
      </c>
      <c r="AL41">
        <f>_xll.EQNXTDZ($A$1,$B41,AL$1,$B$1)</f>
        <v>50.07</v>
      </c>
      <c r="AM41">
        <f>_xll.EQNXTDZ($A$1,$B41,AM$1,$B$1)</f>
        <v>23.82</v>
      </c>
      <c r="AN41">
        <f>_xll.EQNXTDZ($A$1,$B41,AN$1,$B$1)</f>
        <v>51.4</v>
      </c>
      <c r="AO41">
        <f>_xll.EQNXTDZ($A$1,$B41,AO$1,$B$1)</f>
        <v>40.119999999999997</v>
      </c>
      <c r="AP41">
        <f>_xll.EQNXTDZ($A$1,$B41,AP$1,$B$1)</f>
        <v>52.82</v>
      </c>
      <c r="AQ41">
        <f>_xll.EQNXTDZ($A$1,$B41,AQ$1,$B$1)</f>
        <v>54.96</v>
      </c>
      <c r="AR41">
        <f>_xll.EQNXTDZ($A$1,$B41,AR$1,$B$1)</f>
        <v>60.77</v>
      </c>
      <c r="AS41">
        <f>_xll.EQNXTDZ($A$1,$B41,AS$1,$B$1)</f>
        <v>54.36</v>
      </c>
      <c r="AT41">
        <f>_xll.EQNXTDZ($A$1,$B41,AT$1,$B$1)</f>
        <v>78.989999999999995</v>
      </c>
      <c r="AU41">
        <f>_xll.EQNXTDZ($A$1,$B41,AU$1,$B$1)</f>
        <v>76.290000000000006</v>
      </c>
      <c r="AV41">
        <f>_xll.EQNXTDZ($A$1,$B41,AV$1,$B$1)</f>
        <v>93.17</v>
      </c>
      <c r="AW41">
        <f>_xll.EQNXTDZ($A$1,$B41,AW$1,$B$1)</f>
        <v>73.959999999999994</v>
      </c>
      <c r="AX41">
        <f>_xll.EQNXTDZ($A$1,$B41,AX$1,$B$1)</f>
        <v>61.43</v>
      </c>
      <c r="AY41">
        <f>_xll.EQNXTDZ($A$1,$B41,AY$1,$B$1)</f>
        <v>58.48</v>
      </c>
      <c r="AZ41">
        <f>_xll.EQNXTDZ($A$1,$B41,AZ$1,$B$1)</f>
        <v>61.38</v>
      </c>
      <c r="BA41">
        <f>_xll.EQNXTDZ($A$1,$B41,BA$1,$B$1)</f>
        <v>-2.0699999999999998</v>
      </c>
      <c r="BB41">
        <f>_xll.EQNXTDZ($A$1,$B41,BB$1,$B$1)</f>
        <v>73.77</v>
      </c>
      <c r="BC41">
        <f>_xll.EQNXTDZ($A$1,$B41,BC$1,$B$1)</f>
        <v>88.01</v>
      </c>
      <c r="BD41">
        <f>_xll.EQNXTDZ($A$1,$B41,BD$1,$B$1)</f>
        <v>97.04</v>
      </c>
      <c r="BE41">
        <f>_xll.EQNXTDZ($A$1,$B41,BE$1,$B$1)</f>
        <v>110.5</v>
      </c>
      <c r="BF41">
        <f>_xll.EQNXTDZ($A$1,$B41,BF$1,$B$1)</f>
        <v>123.69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4.0599999999999996</v>
      </c>
      <c r="AI42">
        <f>_xll.EQNXTDZ($A$1,$B42,AI$1,$B$1)</f>
        <v>-16.23</v>
      </c>
      <c r="AJ42">
        <f>_xll.EQNXTDZ($A$1,$B42,AJ$1,$B$1)</f>
        <v>22.83</v>
      </c>
      <c r="AK42">
        <f>_xll.EQNXTDZ($A$1,$B42,AK$1,$B$1)</f>
        <v>43.48</v>
      </c>
      <c r="AL42">
        <f>_xll.EQNXTDZ($A$1,$B42,AL$1,$B$1)</f>
        <v>47.28</v>
      </c>
      <c r="AM42">
        <f>_xll.EQNXTDZ($A$1,$B42,AM$1,$B$1)</f>
        <v>24.07</v>
      </c>
      <c r="AN42">
        <f>_xll.EQNXTDZ($A$1,$B42,AN$1,$B$1)</f>
        <v>49.96</v>
      </c>
      <c r="AO42">
        <f>_xll.EQNXTDZ($A$1,$B42,AO$1,$B$1)</f>
        <v>37.6</v>
      </c>
      <c r="AP42">
        <f>_xll.EQNXTDZ($A$1,$B42,AP$1,$B$1)</f>
        <v>51.46</v>
      </c>
      <c r="AQ42">
        <f>_xll.EQNXTDZ($A$1,$B42,AQ$1,$B$1)</f>
        <v>56.64</v>
      </c>
      <c r="AR42">
        <f>_xll.EQNXTDZ($A$1,$B42,AR$1,$B$1)</f>
        <v>62.48</v>
      </c>
      <c r="AS42">
        <f>_xll.EQNXTDZ($A$1,$B42,AS$1,$B$1)</f>
        <v>51.61</v>
      </c>
      <c r="AT42">
        <f>_xll.EQNXTDZ($A$1,$B42,AT$1,$B$1)</f>
        <v>77.66</v>
      </c>
      <c r="AU42">
        <f>_xll.EQNXTDZ($A$1,$B42,AU$1,$B$1)</f>
        <v>74.48</v>
      </c>
      <c r="AV42">
        <f>_xll.EQNXTDZ($A$1,$B42,AV$1,$B$1)</f>
        <v>94.54</v>
      </c>
      <c r="AW42">
        <f>_xll.EQNXTDZ($A$1,$B42,AW$1,$B$1)</f>
        <v>73.12</v>
      </c>
      <c r="AX42">
        <f>_xll.EQNXTDZ($A$1,$B42,AX$1,$B$1)</f>
        <v>62.33</v>
      </c>
      <c r="AY42">
        <f>_xll.EQNXTDZ($A$1,$B42,AY$1,$B$1)</f>
        <v>53.19</v>
      </c>
      <c r="AZ42">
        <f>_xll.EQNXTDZ($A$1,$B42,AZ$1,$B$1)</f>
        <v>61.69</v>
      </c>
      <c r="BA42">
        <f>_xll.EQNXTDZ($A$1,$B42,BA$1,$B$1)</f>
        <v>12.93</v>
      </c>
      <c r="BB42">
        <f>_xll.EQNXTDZ($A$1,$B42,BB$1,$B$1)</f>
        <v>66.760000000000005</v>
      </c>
      <c r="BC42">
        <f>_xll.EQNXTDZ($A$1,$B42,BC$1,$B$1)</f>
        <v>69.599999999999994</v>
      </c>
      <c r="BD42">
        <f>_xll.EQNXTDZ($A$1,$B42,BD$1,$B$1)</f>
        <v>90.86</v>
      </c>
      <c r="BE42">
        <f>_xll.EQNXTDZ($A$1,$B42,BE$1,$B$1)</f>
        <v>107.11</v>
      </c>
      <c r="BF42">
        <f>_xll.EQNXTDZ($A$1,$B42,BF$1,$B$1)</f>
        <v>116.42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10.06</v>
      </c>
      <c r="AI45">
        <f>_xll.EQNXTDZ($A$1,$B45,AI$1,$B$1)</f>
        <v>10.06</v>
      </c>
      <c r="AJ45">
        <f>_xll.EQNXTDZ($A$1,$B45,AJ$1,$B$1)</f>
        <v>10.06</v>
      </c>
      <c r="AK45">
        <f>_xll.EQNXTDZ($A$1,$B45,AK$1,$B$1)</f>
        <v>10.06</v>
      </c>
      <c r="AL45">
        <f>_xll.EQNXTDZ($A$1,$B45,AL$1,$B$1)</f>
        <v>10.56</v>
      </c>
      <c r="AM45">
        <f>_xll.EQNXTDZ($A$1,$B45,AM$1,$B$1)</f>
        <v>10.56</v>
      </c>
      <c r="AN45">
        <f>_xll.EQNXTDZ($A$1,$B45,AN$1,$B$1)</f>
        <v>10.56</v>
      </c>
      <c r="AO45">
        <f>_xll.EQNXTDZ($A$1,$B45,AO$1,$B$1)</f>
        <v>10.56</v>
      </c>
      <c r="AP45">
        <f>_xll.EQNXTDZ($A$1,$B45,AP$1,$B$1)</f>
        <v>10.56</v>
      </c>
      <c r="AQ45">
        <f>_xll.EQNXTDZ($A$1,$B45,AQ$1,$B$1)</f>
        <v>10.56</v>
      </c>
      <c r="AR45">
        <f>_xll.EQNXTDZ($A$1,$B45,AR$1,$B$1)</f>
        <v>10.56</v>
      </c>
      <c r="AS45">
        <f>_xll.EQNXTDZ($A$1,$B45,AS$1,$B$1)</f>
        <v>10.56</v>
      </c>
      <c r="AT45">
        <f>_xll.EQNXTDZ($A$1,$B45,AT$1,$B$1)</f>
        <v>10.56</v>
      </c>
      <c r="AU45">
        <f>_xll.EQNXTDZ($A$1,$B45,AU$1,$B$1)</f>
        <v>10.56</v>
      </c>
      <c r="AV45">
        <f>_xll.EQNXTDZ($A$1,$B45,AV$1,$B$1)</f>
        <v>10.56</v>
      </c>
      <c r="AW45">
        <f>_xll.EQNXTDZ($A$1,$B45,AW$1,$B$1)</f>
        <v>10.56</v>
      </c>
      <c r="AX45">
        <f>_xll.EQNXTDZ($A$1,$B45,AX$1,$B$1)</f>
        <v>10.56</v>
      </c>
      <c r="AY45">
        <f>_xll.EQNXTDZ($A$1,$B45,AY$1,$B$1)</f>
        <v>11.93</v>
      </c>
      <c r="AZ45">
        <f>_xll.EQNXTDZ($A$1,$B45,AZ$1,$B$1)</f>
        <v>11.93</v>
      </c>
      <c r="BA45">
        <f>_xll.EQNXTDZ($A$1,$B45,BA$1,$B$1)</f>
        <v>11.93</v>
      </c>
      <c r="BB45">
        <f>_xll.EQNXTDZ($A$1,$B45,BB$1,$B$1)</f>
        <v>11.93</v>
      </c>
      <c r="BC45">
        <f>_xll.EQNXTDZ($A$1,$B45,BC$1,$B$1)</f>
        <v>11.93</v>
      </c>
      <c r="BD45">
        <f>_xll.EQNXTDZ($A$1,$B45,BD$1,$B$1)</f>
        <v>11.93</v>
      </c>
      <c r="BE45">
        <f>_xll.EQNXTDZ($A$1,$B45,BE$1,$B$1)</f>
        <v>11.93</v>
      </c>
      <c r="BF45">
        <f>_xll.EQNXTDZ($A$1,$B45,BF$1,$B$1)</f>
        <v>11.93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5</v>
      </c>
      <c r="AI46">
        <f>_xll.EQNXTDZ($A$1,$B46,AI$1,$B$1)</f>
        <v>5</v>
      </c>
      <c r="AJ46">
        <f>_xll.EQNXTDZ($A$1,$B46,AJ$1,$B$1)</f>
        <v>5</v>
      </c>
      <c r="AK46">
        <f>_xll.EQNXTDZ($A$1,$B46,AK$1,$B$1)</f>
        <v>5</v>
      </c>
      <c r="AL46">
        <f>_xll.EQNXTDZ($A$1,$B46,AL$1,$B$1)</f>
        <v>5</v>
      </c>
      <c r="AM46">
        <f>_xll.EQNXTDZ($A$1,$B46,AM$1,$B$1)</f>
        <v>5</v>
      </c>
      <c r="AN46">
        <f>_xll.EQNXTDZ($A$1,$B46,AN$1,$B$1)</f>
        <v>5</v>
      </c>
      <c r="AO46">
        <f>_xll.EQNXTDZ($A$1,$B46,AO$1,$B$1)</f>
        <v>5</v>
      </c>
      <c r="AP46">
        <f>_xll.EQNXTDZ($A$1,$B46,AP$1,$B$1)</f>
        <v>5</v>
      </c>
      <c r="AQ46">
        <f>_xll.EQNXTDZ($A$1,$B46,AQ$1,$B$1)</f>
        <v>5</v>
      </c>
      <c r="AR46">
        <f>_xll.EQNXTDZ($A$1,$B46,AR$1,$B$1)</f>
        <v>5</v>
      </c>
      <c r="AS46">
        <f>_xll.EQNXTDZ($A$1,$B46,AS$1,$B$1)</f>
        <v>5</v>
      </c>
      <c r="AT46">
        <f>_xll.EQNXTDZ($A$1,$B46,AT$1,$B$1)</f>
        <v>5</v>
      </c>
      <c r="AU46">
        <f>_xll.EQNXTDZ($A$1,$B46,AU$1,$B$1)</f>
        <v>5</v>
      </c>
      <c r="AV46">
        <f>_xll.EQNXTDZ($A$1,$B46,AV$1,$B$1)</f>
        <v>5</v>
      </c>
      <c r="AW46">
        <f>_xll.EQNXTDZ($A$1,$B46,AW$1,$B$1)</f>
        <v>5</v>
      </c>
      <c r="AX46">
        <f>_xll.EQNXTDZ($A$1,$B46,AX$1,$B$1)</f>
        <v>5</v>
      </c>
      <c r="AY46">
        <f>_xll.EQNXTDZ($A$1,$B46,AY$1,$B$1)</f>
        <v>5</v>
      </c>
      <c r="AZ46">
        <f>_xll.EQNXTDZ($A$1,$B46,AZ$1,$B$1)</f>
        <v>5</v>
      </c>
      <c r="BA46">
        <f>_xll.EQNXTDZ($A$1,$B46,BA$1,$B$1)</f>
        <v>5</v>
      </c>
      <c r="BB46">
        <f>_xll.EQNXTDZ($A$1,$B46,BB$1,$B$1)</f>
        <v>5</v>
      </c>
      <c r="BC46">
        <f>_xll.EQNXTDZ($A$1,$B46,BC$1,$B$1)</f>
        <v>5</v>
      </c>
      <c r="BD46">
        <f>_xll.EQNXTDZ($A$1,$B46,BD$1,$B$1)</f>
        <v>5</v>
      </c>
      <c r="BE46">
        <f>_xll.EQNXTDZ($A$1,$B46,BE$1,$B$1)</f>
        <v>5</v>
      </c>
      <c r="BF46">
        <f>_xll.EQNXTDZ($A$1,$B46,BF$1,$B$1)</f>
        <v>5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1417.85</v>
      </c>
      <c r="AM48" s="55">
        <f>_xll.EQNXTDZ($A$1,$B48,AM$5)</f>
        <v>1777.75</v>
      </c>
      <c r="AN48" s="55">
        <f>_xll.EQNXTDZ($A$1,$B48,AN$5)</f>
        <v>2109.6</v>
      </c>
      <c r="AO48" s="55">
        <f>_xll.EQNXTDZ($A$1,$B48,AO$5)</f>
        <v>2265.9499999999998</v>
      </c>
      <c r="AP48" s="55">
        <f>_xll.EQNXTDZ($A$1,$B48,AP$5)</f>
        <v>2356.1999999999998</v>
      </c>
      <c r="AQ48" s="55">
        <f>_xll.EQNXTDZ($A$1,$B48,AQ$5)</f>
        <v>2268.6999999999998</v>
      </c>
      <c r="AR48" s="55">
        <f>_xll.EQNXTDZ($A$1,$B48,AR$5)</f>
        <v>2755.25</v>
      </c>
      <c r="AS48" s="55">
        <f>_xll.EQNXTDZ($A$1,$B48,AS$5)</f>
        <v>3506.85</v>
      </c>
      <c r="AT48" s="55">
        <f>_xll.EQNXTDZ($A$1,$B48,AT$5)</f>
        <v>3246.25</v>
      </c>
      <c r="AU48" s="55">
        <f>_xll.EQNXTDZ($A$1,$B48,AU$5)</f>
        <v>4028.95</v>
      </c>
      <c r="AV48" s="55">
        <f>_xll.EQNXTDZ($A$1,$B48,AV$5)</f>
        <v>4621.95</v>
      </c>
      <c r="AW48" s="55">
        <f>_xll.EQNXTDZ($A$1,$B48,AW$5)</f>
        <v>5398.4</v>
      </c>
      <c r="AX48" s="55">
        <f>_xll.EQNXTDZ($A$1,$B48,AX$5)</f>
        <v>4321.75</v>
      </c>
      <c r="AY48" s="55">
        <f>_xll.EQNXTDZ($A$1,$B48,AY$5)</f>
        <v>5542.65</v>
      </c>
      <c r="AZ48" s="55">
        <f>_xll.EQNXTDZ($A$1,$B48,AZ$5)</f>
        <v>6471</v>
      </c>
      <c r="BA48" s="55">
        <f>_xll.EQNXTDZ($A$1,$B48,BA$5)</f>
        <v>5376.15</v>
      </c>
      <c r="BB48" s="55">
        <f>_xll.EQNXTDZ($A$1,$B48,BB$5)</f>
        <v>4859.5</v>
      </c>
      <c r="BC48" s="55">
        <f>_xll.EQNXTDZ($A$1,$B48,BC$5)</f>
        <v>5559.5</v>
      </c>
      <c r="BD48" s="55">
        <f>_xll.EQNXTDZ($A$1,$B48,BD$5)</f>
        <v>6785</v>
      </c>
      <c r="BE48" s="55">
        <f>_xll.EQNXTDZ($A$1,$B48,BE$5)</f>
        <v>7655.35</v>
      </c>
      <c r="BF48" s="55">
        <f>_xll.EQNXTDZ($A$1,$B48,BF$5)</f>
        <v>6989.15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59.76</v>
      </c>
      <c r="AM49" s="55">
        <f>_xll.EQNXTDZ($A$1,$B49,AM$5)</f>
        <v>59.76</v>
      </c>
      <c r="AN49" s="55">
        <f>_xll.EQNXTDZ($A$1,$B49,AN$5)</f>
        <v>59.76</v>
      </c>
      <c r="AO49" s="55">
        <f>_xll.EQNXTDZ($A$1,$B49,AO$5)</f>
        <v>59.76</v>
      </c>
      <c r="AP49" s="55">
        <f>_xll.EQNXTDZ($A$1,$B49,AP$5)</f>
        <v>59.76</v>
      </c>
      <c r="AQ49" s="55">
        <f>_xll.EQNXTDZ($A$1,$B49,AQ$5)</f>
        <v>59.48</v>
      </c>
      <c r="AR49" s="55">
        <f>_xll.EQNXTDZ($A$1,$B49,AR$5)</f>
        <v>58.77</v>
      </c>
      <c r="AS49" s="55">
        <f>_xll.EQNXTDZ($A$1,$B49,AS$5)</f>
        <v>58.77</v>
      </c>
      <c r="AT49" s="55">
        <f>_xll.EQNXTDZ($A$1,$B49,AT$5)</f>
        <v>58.77</v>
      </c>
      <c r="AU49" s="55">
        <f>_xll.EQNXTDZ($A$1,$B49,AU$5)</f>
        <v>54.99</v>
      </c>
      <c r="AV49" s="55">
        <f>_xll.EQNXTDZ($A$1,$B49,AV$5)</f>
        <v>54.99</v>
      </c>
      <c r="AW49" s="55">
        <f>_xll.EQNXTDZ($A$1,$B49,AW$5)</f>
        <v>54.99</v>
      </c>
      <c r="AX49" s="55">
        <f>_xll.EQNXTDZ($A$1,$B49,AX$5)</f>
        <v>54.99</v>
      </c>
      <c r="AY49" s="55">
        <f>_xll.EQNXTDZ($A$1,$B49,AY$5)</f>
        <v>48.7</v>
      </c>
      <c r="AZ49" s="55">
        <f>_xll.EQNXTDZ($A$1,$B49,AZ$5)</f>
        <v>48.7</v>
      </c>
      <c r="BA49" s="55">
        <f>_xll.EQNXTDZ($A$1,$B49,BA$5)</f>
        <v>48.7</v>
      </c>
      <c r="BB49" s="55">
        <f>_xll.EQNXTDZ($A$1,$B49,BB$5)</f>
        <v>48.7</v>
      </c>
      <c r="BC49" s="55">
        <f>_xll.EQNXTDZ($A$1,$B49,BC$5)</f>
        <v>48.7</v>
      </c>
      <c r="BD49" s="55">
        <f>_xll.EQNXTDZ($A$1,$B49,BD$5)</f>
        <v>48.7</v>
      </c>
      <c r="BE49" s="55">
        <f>_xll.EQNXTDZ($A$1,$B49,BE$5)</f>
        <v>48.7</v>
      </c>
      <c r="BF49" s="55">
        <f>_xll.EQNXTDZ($A$1,$B49,BF$5)</f>
        <v>48.7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10.06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10.56</v>
      </c>
      <c r="AM56" s="55">
        <f>_xll.EQNXTDZ($A$1,$B56,AM$5,$B$1)</f>
        <v>0</v>
      </c>
      <c r="AN56" s="55">
        <f>_xll.EQNXTDZ($A$1,$B56,AN$5,$B$1)</f>
        <v>10.56</v>
      </c>
      <c r="AO56" s="55">
        <f>_xll.EQNXTDZ($A$1,$B56,AO$5,$B$1)</f>
        <v>0</v>
      </c>
      <c r="AP56" s="55">
        <f>_xll.EQNXTDZ($A$1,$B56,AP$5,$B$1)</f>
        <v>10.56</v>
      </c>
      <c r="AQ56" s="55">
        <f>_xll.EQNXTDZ($A$1,$B56,AQ$5,$B$1)</f>
        <v>0</v>
      </c>
      <c r="AR56" s="55">
        <f>_xll.EQNXTDZ($A$1,$B56,AR$5,$B$1)</f>
        <v>10.56</v>
      </c>
      <c r="AS56" s="55">
        <f>_xll.EQNXTDZ($A$1,$B56,AS$5,$B$1)</f>
        <v>0</v>
      </c>
      <c r="AT56" s="55">
        <f>_xll.EQNXTDZ($A$1,$B56,AT$5,$B$1)</f>
        <v>10.56</v>
      </c>
      <c r="AU56" s="55">
        <f>_xll.EQNXTDZ($A$1,$B56,AU$5,$B$1)</f>
        <v>0</v>
      </c>
      <c r="AV56" s="55">
        <f>_xll.EQNXTDZ($A$1,$B56,AV$5,$B$1)</f>
        <v>10.56</v>
      </c>
      <c r="AW56" s="55">
        <f>_xll.EQNXTDZ($A$1,$B56,AW$5,$B$1)</f>
        <v>0</v>
      </c>
      <c r="AX56" s="55">
        <f>_xll.EQNXTDZ($A$1,$B56,AX$5,$B$1)</f>
        <v>10.56</v>
      </c>
      <c r="AY56" s="55">
        <f>_xll.EQNXTDZ($A$1,$B56,AY$5,$B$1)</f>
        <v>0</v>
      </c>
      <c r="AZ56" s="55">
        <f>_xll.EQNXTDZ($A$1,$B56,AZ$5,$B$1)</f>
        <v>11.93</v>
      </c>
      <c r="BA56" s="55">
        <f>_xll.EQNXTDZ($A$1,$B56,BA$5,$B$1)</f>
        <v>0</v>
      </c>
      <c r="BB56" s="55">
        <f>_xll.EQNXTDZ($A$1,$B56,BB$5,$B$1)</f>
        <v>11.93</v>
      </c>
      <c r="BC56" s="55">
        <f>_xll.EQNXTDZ($A$1,$B56,BC$5,$B$1)</f>
        <v>0</v>
      </c>
      <c r="BD56" s="55">
        <f>_xll.EQNXTDZ($A$1,$B56,BD$5,$B$1)</f>
        <v>11.93</v>
      </c>
      <c r="BE56" s="55">
        <f>_xll.EQNXTDZ($A$1,$B56,BE$5,$B$1)</f>
        <v>0</v>
      </c>
      <c r="BF56" s="55">
        <f>_xll.EQNXTDZ($A$1,$B56,BF$5,$B$1)</f>
        <v>11.93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711.53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958.87</v>
      </c>
      <c r="AM58" s="55">
        <f>_xll.EQNXTDZ($A$1,$B58,AM$5,$B$1)</f>
        <v>0</v>
      </c>
      <c r="AN58" s="55">
        <f>_xll.EQNXTDZ($A$1,$B58,AN$5,$B$1)</f>
        <v>1034.0899999999999</v>
      </c>
      <c r="AO58" s="55">
        <f>_xll.EQNXTDZ($A$1,$B58,AO$5,$B$1)</f>
        <v>0</v>
      </c>
      <c r="AP58" s="55">
        <f>_xll.EQNXTDZ($A$1,$B58,AP$5,$B$1)</f>
        <v>1125.18</v>
      </c>
      <c r="AQ58" s="55">
        <f>_xll.EQNXTDZ($A$1,$B58,AQ$5,$B$1)</f>
        <v>0</v>
      </c>
      <c r="AR58" s="55">
        <f>_xll.EQNXTDZ($A$1,$B58,AR$5,$B$1)</f>
        <v>1232.97</v>
      </c>
      <c r="AS58" s="55">
        <f>_xll.EQNXTDZ($A$1,$B58,AS$5,$B$1)</f>
        <v>0</v>
      </c>
      <c r="AT58" s="55">
        <f>_xll.EQNXTDZ($A$1,$B58,AT$5,$B$1)</f>
        <v>1366.34</v>
      </c>
      <c r="AU58" s="55">
        <f>_xll.EQNXTDZ($A$1,$B58,AU$5,$B$1)</f>
        <v>0</v>
      </c>
      <c r="AV58" s="55">
        <f>_xll.EQNXTDZ($A$1,$B58,AV$5,$B$1)</f>
        <v>1512.02</v>
      </c>
      <c r="AW58" s="55">
        <f>_xll.EQNXTDZ($A$1,$B58,AW$5,$B$1)</f>
        <v>0</v>
      </c>
      <c r="AX58" s="55">
        <f>_xll.EQNXTDZ($A$1,$B58,AX$5,$B$1)</f>
        <v>1647.42</v>
      </c>
      <c r="AY58" s="55">
        <f>_xll.EQNXTDZ($A$1,$B58,AY$5,$B$1)</f>
        <v>0</v>
      </c>
      <c r="AZ58" s="55">
        <f>_xll.EQNXTDZ($A$1,$B58,AZ$5,$B$1)</f>
        <v>2772.32</v>
      </c>
      <c r="BA58" s="55">
        <f>_xll.EQNXTDZ($A$1,$B58,BA$5,$B$1)</f>
        <v>0</v>
      </c>
      <c r="BB58" s="55">
        <f>_xll.EQNXTDZ($A$1,$B58,BB$5,$B$1)</f>
        <v>2844.81</v>
      </c>
      <c r="BC58" s="55">
        <f>_xll.EQNXTDZ($A$1,$B58,BC$5,$B$1)</f>
        <v>0</v>
      </c>
      <c r="BD58" s="55">
        <f>_xll.EQNXTDZ($A$1,$B58,BD$5,$B$1)</f>
        <v>3017.93</v>
      </c>
      <c r="BE58" s="55">
        <f>_xll.EQNXTDZ($A$1,$B58,BE$5,$B$1)</f>
        <v>0</v>
      </c>
      <c r="BF58" s="55">
        <f>_xll.EQNXTDZ($A$1,$B58,BF$5,$B$1)</f>
        <v>3252.13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721.59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969.43</v>
      </c>
      <c r="AM59" s="55">
        <f>_xll.EQNXTDZ($A$1,$B59,AM$5,$B$1)</f>
        <v>0</v>
      </c>
      <c r="AN59" s="55">
        <f>_xll.EQNXTDZ($A$1,$B59,AN$5,$B$1)</f>
        <v>1044.6500000000001</v>
      </c>
      <c r="AO59" s="55">
        <f>_xll.EQNXTDZ($A$1,$B59,AO$5,$B$1)</f>
        <v>0</v>
      </c>
      <c r="AP59" s="55">
        <f>_xll.EQNXTDZ($A$1,$B59,AP$5,$B$1)</f>
        <v>1135.74</v>
      </c>
      <c r="AQ59" s="55">
        <f>_xll.EQNXTDZ($A$1,$B59,AQ$5,$B$1)</f>
        <v>0</v>
      </c>
      <c r="AR59" s="55">
        <f>_xll.EQNXTDZ($A$1,$B59,AR$5,$B$1)</f>
        <v>1243.53</v>
      </c>
      <c r="AS59" s="55">
        <f>_xll.EQNXTDZ($A$1,$B59,AS$5,$B$1)</f>
        <v>0</v>
      </c>
      <c r="AT59" s="55">
        <f>_xll.EQNXTDZ($A$1,$B59,AT$5,$B$1)</f>
        <v>1376.9</v>
      </c>
      <c r="AU59" s="55">
        <f>_xll.EQNXTDZ($A$1,$B59,AU$5,$B$1)</f>
        <v>0</v>
      </c>
      <c r="AV59" s="55">
        <f>_xll.EQNXTDZ($A$1,$B59,AV$5,$B$1)</f>
        <v>1522.58</v>
      </c>
      <c r="AW59" s="55">
        <f>_xll.EQNXTDZ($A$1,$B59,AW$5,$B$1)</f>
        <v>0</v>
      </c>
      <c r="AX59" s="55">
        <f>_xll.EQNXTDZ($A$1,$B59,AX$5,$B$1)</f>
        <v>1657.98</v>
      </c>
      <c r="AY59" s="55">
        <f>_xll.EQNXTDZ($A$1,$B59,AY$5,$B$1)</f>
        <v>0</v>
      </c>
      <c r="AZ59" s="55">
        <f>_xll.EQNXTDZ($A$1,$B59,AZ$5,$B$1)</f>
        <v>2784.25</v>
      </c>
      <c r="BA59" s="55">
        <f>_xll.EQNXTDZ($A$1,$B59,BA$5,$B$1)</f>
        <v>0</v>
      </c>
      <c r="BB59" s="55">
        <f>_xll.EQNXTDZ($A$1,$B59,BB$5,$B$1)</f>
        <v>2856.74</v>
      </c>
      <c r="BC59" s="55">
        <f>_xll.EQNXTDZ($A$1,$B59,BC$5,$B$1)</f>
        <v>0</v>
      </c>
      <c r="BD59" s="55">
        <f>_xll.EQNXTDZ($A$1,$B59,BD$5,$B$1)</f>
        <v>3029.86</v>
      </c>
      <c r="BE59" s="55">
        <f>_xll.EQNXTDZ($A$1,$B59,BE$5,$B$1)</f>
        <v>0</v>
      </c>
      <c r="BF59" s="55">
        <f>_xll.EQNXTDZ($A$1,$B59,BF$5,$B$1)</f>
        <v>3264.06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61</v>
      </c>
      <c r="AU60" s="55">
        <f>_xll.EQNXTDZ($A$1,$B60,AU$5,$B$1)</f>
        <v>0</v>
      </c>
      <c r="AV60" s="55">
        <f>_xll.EQNXTDZ($A$1,$B60,AV$5,$B$1)</f>
        <v>77.239999999999995</v>
      </c>
      <c r="AW60" s="55">
        <f>_xll.EQNXTDZ($A$1,$B60,AW$5,$B$1)</f>
        <v>0</v>
      </c>
      <c r="AX60" s="55">
        <f>_xll.EQNXTDZ($A$1,$B60,AX$5,$B$1)</f>
        <v>93.68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668.28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437.19</v>
      </c>
      <c r="AM61" s="55">
        <f>_xll.EQNXTDZ($A$1,$B61,AM$5,$B$1)</f>
        <v>0</v>
      </c>
      <c r="AN61" s="55">
        <f>_xll.EQNXTDZ($A$1,$B61,AN$5,$B$1)</f>
        <v>418.29</v>
      </c>
      <c r="AO61" s="55">
        <f>_xll.EQNXTDZ($A$1,$B61,AO$5,$B$1)</f>
        <v>0</v>
      </c>
      <c r="AP61" s="55">
        <f>_xll.EQNXTDZ($A$1,$B61,AP$5,$B$1)</f>
        <v>373.78</v>
      </c>
      <c r="AQ61" s="55">
        <f>_xll.EQNXTDZ($A$1,$B61,AQ$5,$B$1)</f>
        <v>0</v>
      </c>
      <c r="AR61" s="55">
        <f>_xll.EQNXTDZ($A$1,$B61,AR$5,$B$1)</f>
        <v>444.56</v>
      </c>
      <c r="AS61" s="55">
        <f>_xll.EQNXTDZ($A$1,$B61,AS$5,$B$1)</f>
        <v>0</v>
      </c>
      <c r="AT61" s="55">
        <f>_xll.EQNXTDZ($A$1,$B61,AT$5,$B$1)</f>
        <v>906.17</v>
      </c>
      <c r="AU61" s="55">
        <f>_xll.EQNXTDZ($A$1,$B61,AU$5,$B$1)</f>
        <v>0</v>
      </c>
      <c r="AV61" s="55">
        <f>_xll.EQNXTDZ($A$1,$B61,AV$5,$B$1)</f>
        <v>981.96</v>
      </c>
      <c r="AW61" s="55">
        <f>_xll.EQNXTDZ($A$1,$B61,AW$5,$B$1)</f>
        <v>0</v>
      </c>
      <c r="AX61" s="55">
        <f>_xll.EQNXTDZ($A$1,$B61,AX$5,$B$1)</f>
        <v>1124.8399999999999</v>
      </c>
      <c r="AY61" s="55">
        <f>_xll.EQNXTDZ($A$1,$B61,AY$5,$B$1)</f>
        <v>0</v>
      </c>
      <c r="AZ61" s="55">
        <f>_xll.EQNXTDZ($A$1,$B61,AZ$5,$B$1)</f>
        <v>1089.8699999999999</v>
      </c>
      <c r="BA61" s="55">
        <f>_xll.EQNXTDZ($A$1,$B61,BA$5,$B$1)</f>
        <v>0</v>
      </c>
      <c r="BB61" s="55">
        <f>_xll.EQNXTDZ($A$1,$B61,BB$5,$B$1)</f>
        <v>1651.86</v>
      </c>
      <c r="BC61" s="55">
        <f>_xll.EQNXTDZ($A$1,$B61,BC$5,$B$1)</f>
        <v>0</v>
      </c>
      <c r="BD61" s="55">
        <f>_xll.EQNXTDZ($A$1,$B61,BD$5,$B$1)</f>
        <v>1926.46</v>
      </c>
      <c r="BE61" s="55">
        <f>_xll.EQNXTDZ($A$1,$B61,BE$5,$B$1)</f>
        <v>0</v>
      </c>
      <c r="BF61" s="55">
        <f>_xll.EQNXTDZ($A$1,$B61,BF$5,$B$1)</f>
        <v>2410.98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418.29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668.28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437.19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373.78</v>
      </c>
      <c r="AQ63" s="55">
        <f>_xll.EQNXTDZ($A$1,$B63,AQ$5,$B$1)</f>
        <v>0</v>
      </c>
      <c r="AR63" s="55">
        <f>_xll.EQNXTDZ($A$1,$B63,AR$5,$B$1)</f>
        <v>444.56</v>
      </c>
      <c r="AS63" s="55">
        <f>_xll.EQNXTDZ($A$1,$B63,AS$5,$B$1)</f>
        <v>0</v>
      </c>
      <c r="AT63" s="55">
        <f>_xll.EQNXTDZ($A$1,$B63,AT$5,$B$1)</f>
        <v>906.17</v>
      </c>
      <c r="AU63" s="55">
        <f>_xll.EQNXTDZ($A$1,$B63,AU$5,$B$1)</f>
        <v>0</v>
      </c>
      <c r="AV63" s="55">
        <f>_xll.EQNXTDZ($A$1,$B63,AV$5,$B$1)</f>
        <v>981.96</v>
      </c>
      <c r="AW63" s="55">
        <f>_xll.EQNXTDZ($A$1,$B63,AW$5,$B$1)</f>
        <v>0</v>
      </c>
      <c r="AX63" s="55">
        <f>_xll.EQNXTDZ($A$1,$B63,AX$5,$B$1)</f>
        <v>1124.8399999999999</v>
      </c>
      <c r="AY63" s="55">
        <f>_xll.EQNXTDZ($A$1,$B63,AY$5,$B$1)</f>
        <v>0</v>
      </c>
      <c r="AZ63" s="55">
        <f>_xll.EQNXTDZ($A$1,$B63,AZ$5,$B$1)</f>
        <v>1089.8699999999999</v>
      </c>
      <c r="BA63" s="55">
        <f>_xll.EQNXTDZ($A$1,$B63,BA$5,$B$1)</f>
        <v>0</v>
      </c>
      <c r="BB63" s="55">
        <f>_xll.EQNXTDZ($A$1,$B63,BB$5,$B$1)</f>
        <v>1651.86</v>
      </c>
      <c r="BC63" s="55">
        <f>_xll.EQNXTDZ($A$1,$B63,BC$5,$B$1)</f>
        <v>0</v>
      </c>
      <c r="BD63" s="55">
        <f>_xll.EQNXTDZ($A$1,$B63,BD$5,$B$1)</f>
        <v>1926.46</v>
      </c>
      <c r="BE63" s="55">
        <f>_xll.EQNXTDZ($A$1,$B63,BE$5,$B$1)</f>
        <v>0</v>
      </c>
      <c r="BF63" s="55">
        <f>_xll.EQNXTDZ($A$1,$B63,BF$5,$B$1)</f>
        <v>2410.98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108.36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92.07</v>
      </c>
      <c r="AM64" s="55">
        <f>_xll.EQNXTDZ($A$1,$B64,AM$5,$B$1)</f>
        <v>0</v>
      </c>
      <c r="AN64" s="55">
        <f>_xll.EQNXTDZ($A$1,$B64,AN$5,$B$1)</f>
        <v>80.989999999999995</v>
      </c>
      <c r="AO64" s="55">
        <f>_xll.EQNXTDZ($A$1,$B64,AO$5,$B$1)</f>
        <v>0</v>
      </c>
      <c r="AP64" s="55">
        <f>_xll.EQNXTDZ($A$1,$B64,AP$5,$B$1)</f>
        <v>70.400000000000006</v>
      </c>
      <c r="AQ64" s="55">
        <f>_xll.EQNXTDZ($A$1,$B64,AQ$5,$B$1)</f>
        <v>0</v>
      </c>
      <c r="AR64" s="55">
        <f>_xll.EQNXTDZ($A$1,$B64,AR$5,$B$1)</f>
        <v>74.17</v>
      </c>
      <c r="AS64" s="55">
        <f>_xll.EQNXTDZ($A$1,$B64,AS$5,$B$1)</f>
        <v>0</v>
      </c>
      <c r="AT64" s="55">
        <f>_xll.EQNXTDZ($A$1,$B64,AT$5,$B$1)</f>
        <v>79.16</v>
      </c>
      <c r="AU64" s="55">
        <f>_xll.EQNXTDZ($A$1,$B64,AU$5,$B$1)</f>
        <v>0</v>
      </c>
      <c r="AV64" s="55">
        <f>_xll.EQNXTDZ($A$1,$B64,AV$5,$B$1)</f>
        <v>112.4</v>
      </c>
      <c r="AW64" s="55">
        <f>_xll.EQNXTDZ($A$1,$B64,AW$5,$B$1)</f>
        <v>0</v>
      </c>
      <c r="AX64" s="55">
        <f>_xll.EQNXTDZ($A$1,$B64,AX$5,$B$1)</f>
        <v>166.97</v>
      </c>
      <c r="AY64" s="55">
        <f>_xll.EQNXTDZ($A$1,$B64,AY$5,$B$1)</f>
        <v>0</v>
      </c>
      <c r="AZ64" s="55">
        <f>_xll.EQNXTDZ($A$1,$B64,AZ$5,$B$1)</f>
        <v>160.91999999999999</v>
      </c>
      <c r="BA64" s="55">
        <f>_xll.EQNXTDZ($A$1,$B64,BA$5,$B$1)</f>
        <v>0</v>
      </c>
      <c r="BB64" s="55">
        <f>_xll.EQNXTDZ($A$1,$B64,BB$5,$B$1)</f>
        <v>210.69</v>
      </c>
      <c r="BC64" s="55">
        <f>_xll.EQNXTDZ($A$1,$B64,BC$5,$B$1)</f>
        <v>0</v>
      </c>
      <c r="BD64" s="55">
        <f>_xll.EQNXTDZ($A$1,$B64,BD$5,$B$1)</f>
        <v>204.42</v>
      </c>
      <c r="BE64" s="55">
        <f>_xll.EQNXTDZ($A$1,$B64,BE$5,$B$1)</f>
        <v>0</v>
      </c>
      <c r="BF64" s="55">
        <f>_xll.EQNXTDZ($A$1,$B64,BF$5,$B$1)</f>
        <v>216.04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0.68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0.21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0.46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3.36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1498.91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1498.9</v>
      </c>
      <c r="AM67" s="55">
        <f>_xll.EQNXTDZ($A$1,$B67,AM$5,$B$1)</f>
        <v>0</v>
      </c>
      <c r="AN67" s="55">
        <f>_xll.EQNXTDZ($A$1,$B67,AN$5,$B$1)</f>
        <v>1543.93</v>
      </c>
      <c r="AO67" s="55">
        <f>_xll.EQNXTDZ($A$1,$B67,AO$5,$B$1)</f>
        <v>0</v>
      </c>
      <c r="AP67" s="55">
        <f>_xll.EQNXTDZ($A$1,$B67,AP$5,$B$1)</f>
        <v>1579.92</v>
      </c>
      <c r="AQ67" s="55">
        <f>_xll.EQNXTDZ($A$1,$B67,AQ$5,$B$1)</f>
        <v>0</v>
      </c>
      <c r="AR67" s="55">
        <f>_xll.EQNXTDZ($A$1,$B67,AR$5,$B$1)</f>
        <v>1762.26</v>
      </c>
      <c r="AS67" s="55">
        <f>_xll.EQNXTDZ($A$1,$B67,AS$5,$B$1)</f>
        <v>0</v>
      </c>
      <c r="AT67" s="55">
        <f>_xll.EQNXTDZ($A$1,$B67,AT$5,$B$1)</f>
        <v>2423.23</v>
      </c>
      <c r="AU67" s="55">
        <f>_xll.EQNXTDZ($A$1,$B67,AU$5,$B$1)</f>
        <v>0</v>
      </c>
      <c r="AV67" s="55">
        <f>_xll.EQNXTDZ($A$1,$B67,AV$5,$B$1)</f>
        <v>2694.64</v>
      </c>
      <c r="AW67" s="55">
        <f>_xll.EQNXTDZ($A$1,$B67,AW$5,$B$1)</f>
        <v>0</v>
      </c>
      <c r="AX67" s="55">
        <f>_xll.EQNXTDZ($A$1,$B67,AX$5,$B$1)</f>
        <v>3043.47</v>
      </c>
      <c r="AY67" s="55">
        <f>_xll.EQNXTDZ($A$1,$B67,AY$5,$B$1)</f>
        <v>0</v>
      </c>
      <c r="AZ67" s="55">
        <f>_xll.EQNXTDZ($A$1,$B67,AZ$5,$B$1)</f>
        <v>4035.04</v>
      </c>
      <c r="BA67" s="55">
        <f>_xll.EQNXTDZ($A$1,$B67,BA$5,$B$1)</f>
        <v>0</v>
      </c>
      <c r="BB67" s="55">
        <f>_xll.EQNXTDZ($A$1,$B67,BB$5,$B$1)</f>
        <v>4722.6499999999996</v>
      </c>
      <c r="BC67" s="55">
        <f>_xll.EQNXTDZ($A$1,$B67,BC$5,$B$1)</f>
        <v>0</v>
      </c>
      <c r="BD67" s="55">
        <f>_xll.EQNXTDZ($A$1,$B67,BD$5,$B$1)</f>
        <v>5160.74</v>
      </c>
      <c r="BE67" s="55">
        <f>_xll.EQNXTDZ($A$1,$B67,BE$5,$B$1)</f>
        <v>0</v>
      </c>
      <c r="BF67" s="55">
        <f>_xll.EQNXTDZ($A$1,$B67,BF$5,$B$1)</f>
        <v>5891.08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1437.32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1427.06</v>
      </c>
      <c r="AM68" s="55">
        <f>_xll.EQNXTDZ($A$1,$B68,AM$5,$B$1)</f>
        <v>0</v>
      </c>
      <c r="AN68" s="55">
        <f>_xll.EQNXTDZ($A$1,$B68,AN$5,$B$1)</f>
        <v>1420.79</v>
      </c>
      <c r="AO68" s="55">
        <f>_xll.EQNXTDZ($A$1,$B68,AO$5,$B$1)</f>
        <v>0</v>
      </c>
      <c r="AP68" s="55">
        <f>_xll.EQNXTDZ($A$1,$B68,AP$5,$B$1)</f>
        <v>1457.96</v>
      </c>
      <c r="AQ68" s="55">
        <f>_xll.EQNXTDZ($A$1,$B68,AQ$5,$B$1)</f>
        <v>0</v>
      </c>
      <c r="AR68" s="55">
        <f>_xll.EQNXTDZ($A$1,$B68,AR$5,$B$1)</f>
        <v>1499.88</v>
      </c>
      <c r="AS68" s="55">
        <f>_xll.EQNXTDZ($A$1,$B68,AS$5,$B$1)</f>
        <v>0</v>
      </c>
      <c r="AT68" s="55">
        <f>_xll.EQNXTDZ($A$1,$B68,AT$5,$B$1)</f>
        <v>1841.93</v>
      </c>
      <c r="AU68" s="55">
        <f>_xll.EQNXTDZ($A$1,$B68,AU$5,$B$1)</f>
        <v>0</v>
      </c>
      <c r="AV68" s="55">
        <f>_xll.EQNXTDZ($A$1,$B68,AV$5,$B$1)</f>
        <v>1954.23</v>
      </c>
      <c r="AW68" s="55">
        <f>_xll.EQNXTDZ($A$1,$B68,AW$5,$B$1)</f>
        <v>0</v>
      </c>
      <c r="AX68" s="55">
        <f>_xll.EQNXTDZ($A$1,$B68,AX$5,$B$1)</f>
        <v>2137.7600000000002</v>
      </c>
      <c r="AY68" s="55">
        <f>_xll.EQNXTDZ($A$1,$B68,AY$5,$B$1)</f>
        <v>0</v>
      </c>
      <c r="AZ68" s="55">
        <f>_xll.EQNXTDZ($A$1,$B68,AZ$5,$B$1)</f>
        <v>2305.3200000000002</v>
      </c>
      <c r="BA68" s="55">
        <f>_xll.EQNXTDZ($A$1,$B68,BA$5,$B$1)</f>
        <v>0</v>
      </c>
      <c r="BB68" s="55">
        <f>_xll.EQNXTDZ($A$1,$B68,BB$5,$B$1)</f>
        <v>3095.07</v>
      </c>
      <c r="BC68" s="55">
        <f>_xll.EQNXTDZ($A$1,$B68,BC$5,$B$1)</f>
        <v>0</v>
      </c>
      <c r="BD68" s="55">
        <f>_xll.EQNXTDZ($A$1,$B68,BD$5,$B$1)</f>
        <v>3400.93</v>
      </c>
      <c r="BE68" s="55">
        <f>_xll.EQNXTDZ($A$1,$B68,BE$5,$B$1)</f>
        <v>0</v>
      </c>
      <c r="BF68" s="55">
        <f>_xll.EQNXTDZ($A$1,$B68,BF$5,$B$1)</f>
        <v>4015.82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1437.32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1427.06</v>
      </c>
      <c r="AM71" s="55">
        <f>_xll.EQNXTDZ($A$1,$B71,AM$5,$B$1)</f>
        <v>0</v>
      </c>
      <c r="AN71" s="55">
        <f>_xll.EQNXTDZ($A$1,$B71,AN$5,$B$1)</f>
        <v>1420.79</v>
      </c>
      <c r="AO71" s="55">
        <f>_xll.EQNXTDZ($A$1,$B71,AO$5,$B$1)</f>
        <v>0</v>
      </c>
      <c r="AP71" s="55">
        <f>_xll.EQNXTDZ($A$1,$B71,AP$5,$B$1)</f>
        <v>1457.96</v>
      </c>
      <c r="AQ71" s="55">
        <f>_xll.EQNXTDZ($A$1,$B71,AQ$5,$B$1)</f>
        <v>0</v>
      </c>
      <c r="AR71" s="55">
        <f>_xll.EQNXTDZ($A$1,$B71,AR$5,$B$1)</f>
        <v>1499.88</v>
      </c>
      <c r="AS71" s="55">
        <f>_xll.EQNXTDZ($A$1,$B71,AS$5,$B$1)</f>
        <v>0</v>
      </c>
      <c r="AT71" s="55">
        <f>_xll.EQNXTDZ($A$1,$B71,AT$5,$B$1)</f>
        <v>1841.93</v>
      </c>
      <c r="AU71" s="55">
        <f>_xll.EQNXTDZ($A$1,$B71,AU$5,$B$1)</f>
        <v>0</v>
      </c>
      <c r="AV71" s="55">
        <f>_xll.EQNXTDZ($A$1,$B71,AV$5,$B$1)</f>
        <v>1954.23</v>
      </c>
      <c r="AW71" s="55">
        <f>_xll.EQNXTDZ($A$1,$B71,AW$5,$B$1)</f>
        <v>0</v>
      </c>
      <c r="AX71" s="55">
        <f>_xll.EQNXTDZ($A$1,$B71,AX$5,$B$1)</f>
        <v>2137.7600000000002</v>
      </c>
      <c r="AY71" s="55">
        <f>_xll.EQNXTDZ($A$1,$B71,AY$5,$B$1)</f>
        <v>0</v>
      </c>
      <c r="AZ71" s="55">
        <f>_xll.EQNXTDZ($A$1,$B71,AZ$5,$B$1)</f>
        <v>2305.3200000000002</v>
      </c>
      <c r="BA71" s="55">
        <f>_xll.EQNXTDZ($A$1,$B71,BA$5,$B$1)</f>
        <v>0</v>
      </c>
      <c r="BB71" s="55">
        <f>_xll.EQNXTDZ($A$1,$B71,BB$5,$B$1)</f>
        <v>3095.07</v>
      </c>
      <c r="BC71" s="55">
        <f>_xll.EQNXTDZ($A$1,$B71,BC$5,$B$1)</f>
        <v>0</v>
      </c>
      <c r="BD71" s="55">
        <f>_xll.EQNXTDZ($A$1,$B71,BD$5,$B$1)</f>
        <v>3400.93</v>
      </c>
      <c r="BE71" s="55">
        <f>_xll.EQNXTDZ($A$1,$B71,BE$5,$B$1)</f>
        <v>0</v>
      </c>
      <c r="BF71" s="55">
        <f>_xll.EQNXTDZ($A$1,$B71,BF$5,$B$1)</f>
        <v>4015.82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189.99</v>
      </c>
      <c r="AU72" s="55">
        <f>_xll.EQNXTDZ($A$1,$B72,AU$5,$B$1)</f>
        <v>0</v>
      </c>
      <c r="AV72" s="55">
        <f>_xll.EQNXTDZ($A$1,$B72,AV$5,$B$1)</f>
        <v>189.99</v>
      </c>
      <c r="AW72" s="55">
        <f>_xll.EQNXTDZ($A$1,$B72,AW$5,$B$1)</f>
        <v>0</v>
      </c>
      <c r="AX72" s="55">
        <f>_xll.EQNXTDZ($A$1,$B72,AX$5,$B$1)</f>
        <v>189.99</v>
      </c>
      <c r="AY72" s="55">
        <f>_xll.EQNXTDZ($A$1,$B72,AY$5,$B$1)</f>
        <v>0</v>
      </c>
      <c r="AZ72" s="55">
        <f>_xll.EQNXTDZ($A$1,$B72,AZ$5,$B$1)</f>
        <v>189.99</v>
      </c>
      <c r="BA72" s="55">
        <f>_xll.EQNXTDZ($A$1,$B72,BA$5,$B$1)</f>
        <v>0</v>
      </c>
      <c r="BB72" s="55">
        <f>_xll.EQNXTDZ($A$1,$B72,BB$5,$B$1)</f>
        <v>190.06</v>
      </c>
      <c r="BC72" s="55">
        <f>_xll.EQNXTDZ($A$1,$B72,BC$5,$B$1)</f>
        <v>0</v>
      </c>
      <c r="BD72" s="55">
        <f>_xll.EQNXTDZ($A$1,$B72,BD$5,$B$1)</f>
        <v>190.06</v>
      </c>
      <c r="BE72" s="55">
        <f>_xll.EQNXTDZ($A$1,$B72,BE$5,$B$1)</f>
        <v>0</v>
      </c>
      <c r="BF72" s="55">
        <f>_xll.EQNXTDZ($A$1,$B72,BF$5,$B$1)</f>
        <v>190.06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88.82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31.98</v>
      </c>
      <c r="AM74" s="55">
        <f>_xll.EQNXTDZ($A$1,$B74,AM$5,$B$1)</f>
        <v>0</v>
      </c>
      <c r="AN74" s="55">
        <f>_xll.EQNXTDZ($A$1,$B74,AN$5,$B$1)</f>
        <v>38.76</v>
      </c>
      <c r="AO74" s="55">
        <f>_xll.EQNXTDZ($A$1,$B74,AO$5,$B$1)</f>
        <v>0</v>
      </c>
      <c r="AP74" s="55">
        <f>_xll.EQNXTDZ($A$1,$B74,AP$5,$B$1)</f>
        <v>41.98</v>
      </c>
      <c r="AQ74" s="55">
        <f>_xll.EQNXTDZ($A$1,$B74,AQ$5,$B$1)</f>
        <v>0</v>
      </c>
      <c r="AR74" s="55">
        <f>_xll.EQNXTDZ($A$1,$B74,AR$5,$B$1)</f>
        <v>67.14</v>
      </c>
      <c r="AS74" s="55">
        <f>_xll.EQNXTDZ($A$1,$B74,AS$5,$B$1)</f>
        <v>0</v>
      </c>
      <c r="AT74" s="55">
        <f>_xll.EQNXTDZ($A$1,$B74,AT$5,$B$1)</f>
        <v>96.63</v>
      </c>
      <c r="AU74" s="55">
        <f>_xll.EQNXTDZ($A$1,$B74,AU$5,$B$1)</f>
        <v>0</v>
      </c>
      <c r="AV74" s="55">
        <f>_xll.EQNXTDZ($A$1,$B74,AV$5,$B$1)</f>
        <v>154.33000000000001</v>
      </c>
      <c r="AW74" s="55">
        <f>_xll.EQNXTDZ($A$1,$B74,AW$5,$B$1)</f>
        <v>0</v>
      </c>
      <c r="AX74" s="55">
        <f>_xll.EQNXTDZ($A$1,$B74,AX$5,$B$1)</f>
        <v>178.61</v>
      </c>
      <c r="AY74" s="55">
        <f>_xll.EQNXTDZ($A$1,$B74,AY$5,$B$1)</f>
        <v>0</v>
      </c>
      <c r="AZ74" s="55">
        <f>_xll.EQNXTDZ($A$1,$B74,AZ$5,$B$1)</f>
        <v>393.59</v>
      </c>
      <c r="BA74" s="55">
        <f>_xll.EQNXTDZ($A$1,$B74,BA$5,$B$1)</f>
        <v>0</v>
      </c>
      <c r="BB74" s="55">
        <f>_xll.EQNXTDZ($A$1,$B74,BB$5,$B$1)</f>
        <v>345.26</v>
      </c>
      <c r="BC74" s="55">
        <f>_xll.EQNXTDZ($A$1,$B74,BC$5,$B$1)</f>
        <v>0</v>
      </c>
      <c r="BD74" s="55">
        <f>_xll.EQNXTDZ($A$1,$B74,BD$5,$B$1)</f>
        <v>452.53</v>
      </c>
      <c r="BE74" s="55">
        <f>_xll.EQNXTDZ($A$1,$B74,BE$5,$B$1)</f>
        <v>0</v>
      </c>
      <c r="BF74" s="55">
        <f>_xll.EQNXTDZ($A$1,$B74,BF$5,$B$1)</f>
        <v>382.33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3.2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2.25</v>
      </c>
      <c r="AM77" s="55">
        <f>_xll.EQNXTDZ($A$1,$B77,AM$5,$B$1)</f>
        <v>0</v>
      </c>
      <c r="AN77" s="55">
        <f>_xll.EQNXTDZ($A$1,$B77,AN$5,$B$1)</f>
        <v>2.39</v>
      </c>
      <c r="AO77" s="55">
        <f>_xll.EQNXTDZ($A$1,$B77,AO$5,$B$1)</f>
        <v>0</v>
      </c>
      <c r="AP77" s="55">
        <f>_xll.EQNXTDZ($A$1,$B77,AP$5,$B$1)</f>
        <v>2.65</v>
      </c>
      <c r="AQ77" s="55">
        <f>_xll.EQNXTDZ($A$1,$B77,AQ$5,$B$1)</f>
        <v>0</v>
      </c>
      <c r="AR77" s="55">
        <f>_xll.EQNXTDZ($A$1,$B77,AR$5,$B$1)</f>
        <v>2.59</v>
      </c>
      <c r="AS77" s="55">
        <f>_xll.EQNXTDZ($A$1,$B77,AS$5,$B$1)</f>
        <v>0</v>
      </c>
      <c r="AT77" s="55">
        <f>_xll.EQNXTDZ($A$1,$B77,AT$5,$B$1)</f>
        <v>3.43</v>
      </c>
      <c r="AU77" s="55">
        <f>_xll.EQNXTDZ($A$1,$B77,AU$5,$B$1)</f>
        <v>0</v>
      </c>
      <c r="AV77" s="55">
        <f>_xll.EQNXTDZ($A$1,$B77,AV$5,$B$1)</f>
        <v>3.87</v>
      </c>
      <c r="AW77" s="55">
        <f>_xll.EQNXTDZ($A$1,$B77,AW$5,$B$1)</f>
        <v>0</v>
      </c>
      <c r="AX77" s="55">
        <f>_xll.EQNXTDZ($A$1,$B77,AX$5,$B$1)</f>
        <v>4.47</v>
      </c>
      <c r="AY77" s="55">
        <f>_xll.EQNXTDZ($A$1,$B77,AY$5,$B$1)</f>
        <v>0</v>
      </c>
      <c r="AZ77" s="55">
        <f>_xll.EQNXTDZ($A$1,$B77,AZ$5,$B$1)</f>
        <v>6.1</v>
      </c>
      <c r="BA77" s="55">
        <f>_xll.EQNXTDZ($A$1,$B77,BA$5,$B$1)</f>
        <v>0</v>
      </c>
      <c r="BB77" s="55">
        <f>_xll.EQNXTDZ($A$1,$B77,BB$5,$B$1)</f>
        <v>10.61</v>
      </c>
      <c r="BC77" s="55">
        <f>_xll.EQNXTDZ($A$1,$B77,BC$5,$B$1)</f>
        <v>0</v>
      </c>
      <c r="BD77" s="55">
        <f>_xll.EQNXTDZ($A$1,$B77,BD$5,$B$1)</f>
        <v>12.9</v>
      </c>
      <c r="BE77" s="55">
        <f>_xll.EQNXTDZ($A$1,$B77,BE$5,$B$1)</f>
        <v>0</v>
      </c>
      <c r="BF77" s="55">
        <f>_xll.EQNXTDZ($A$1,$B77,BF$5,$B$1)</f>
        <v>13.54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151.38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117.62</v>
      </c>
      <c r="AM79" s="55">
        <f>_xll.EQNXTDZ($A$1,$B79,AM$5,$B$1)</f>
        <v>0</v>
      </c>
      <c r="AN79" s="55">
        <f>_xll.EQNXTDZ($A$1,$B79,AN$5,$B$1)</f>
        <v>136.51</v>
      </c>
      <c r="AO79" s="55">
        <f>_xll.EQNXTDZ($A$1,$B79,AO$5,$B$1)</f>
        <v>0</v>
      </c>
      <c r="AP79" s="55">
        <f>_xll.EQNXTDZ($A$1,$B79,AP$5,$B$1)</f>
        <v>142.80000000000001</v>
      </c>
      <c r="AQ79" s="55">
        <f>_xll.EQNXTDZ($A$1,$B79,AQ$5,$B$1)</f>
        <v>0</v>
      </c>
      <c r="AR79" s="55">
        <f>_xll.EQNXTDZ($A$1,$B79,AR$5,$B$1)</f>
        <v>161.65</v>
      </c>
      <c r="AS79" s="55">
        <f>_xll.EQNXTDZ($A$1,$B79,AS$5,$B$1)</f>
        <v>0</v>
      </c>
      <c r="AT79" s="55">
        <f>_xll.EQNXTDZ($A$1,$B79,AT$5,$B$1)</f>
        <v>186.84</v>
      </c>
      <c r="AU79" s="55">
        <f>_xll.EQNXTDZ($A$1,$B79,AU$5,$B$1)</f>
        <v>0</v>
      </c>
      <c r="AV79" s="55">
        <f>_xll.EQNXTDZ($A$1,$B79,AV$5,$B$1)</f>
        <v>250.55</v>
      </c>
      <c r="AW79" s="55">
        <f>_xll.EQNXTDZ($A$1,$B79,AW$5,$B$1)</f>
        <v>0</v>
      </c>
      <c r="AX79" s="55">
        <f>_xll.EQNXTDZ($A$1,$B79,AX$5,$B$1)</f>
        <v>411.93</v>
      </c>
      <c r="AY79" s="55">
        <f>_xll.EQNXTDZ($A$1,$B79,AY$5,$B$1)</f>
        <v>0</v>
      </c>
      <c r="AZ79" s="55">
        <f>_xll.EQNXTDZ($A$1,$B79,AZ$5,$B$1)</f>
        <v>526.16</v>
      </c>
      <c r="BA79" s="55">
        <f>_xll.EQNXTDZ($A$1,$B79,BA$5,$B$1)</f>
        <v>0</v>
      </c>
      <c r="BB79" s="55">
        <f>_xll.EQNXTDZ($A$1,$B79,BB$5,$B$1)</f>
        <v>926.51</v>
      </c>
      <c r="BC79" s="55">
        <f>_xll.EQNXTDZ($A$1,$B79,BC$5,$B$1)</f>
        <v>0</v>
      </c>
      <c r="BD79" s="55">
        <f>_xll.EQNXTDZ($A$1,$B79,BD$5,$B$1)</f>
        <v>696.16</v>
      </c>
      <c r="BE79" s="55">
        <f>_xll.EQNXTDZ($A$1,$B79,BE$5,$B$1)</f>
        <v>0</v>
      </c>
      <c r="BF79" s="55">
        <f>_xll.EQNXTDZ($A$1,$B79,BF$5,$B$1)</f>
        <v>1104.78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325.61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405.64</v>
      </c>
      <c r="AM81" s="55">
        <f>_xll.EQNXTDZ($A$1,$B81,AM$5,$B$1)</f>
        <v>0</v>
      </c>
      <c r="AN81" s="55">
        <f>_xll.EQNXTDZ($A$1,$B81,AN$5,$B$1)</f>
        <v>476.59</v>
      </c>
      <c r="AO81" s="55">
        <f>_xll.EQNXTDZ($A$1,$B81,AO$5,$B$1)</f>
        <v>0</v>
      </c>
      <c r="AP81" s="55">
        <f>_xll.EQNXTDZ($A$1,$B81,AP$5,$B$1)</f>
        <v>626.41</v>
      </c>
      <c r="AQ81" s="55">
        <f>_xll.EQNXTDZ($A$1,$B81,AQ$5,$B$1)</f>
        <v>0</v>
      </c>
      <c r="AR81" s="55">
        <f>_xll.EQNXTDZ($A$1,$B81,AR$5,$B$1)</f>
        <v>632.09</v>
      </c>
      <c r="AS81" s="55">
        <f>_xll.EQNXTDZ($A$1,$B81,AS$5,$B$1)</f>
        <v>0</v>
      </c>
      <c r="AT81" s="55">
        <f>_xll.EQNXTDZ($A$1,$B81,AT$5,$B$1)</f>
        <v>836.01</v>
      </c>
      <c r="AU81" s="55">
        <f>_xll.EQNXTDZ($A$1,$B81,AU$5,$B$1)</f>
        <v>0</v>
      </c>
      <c r="AV81" s="55">
        <f>_xll.EQNXTDZ($A$1,$B81,AV$5,$B$1)</f>
        <v>965.23</v>
      </c>
      <c r="AW81" s="55">
        <f>_xll.EQNXTDZ($A$1,$B81,AW$5,$B$1)</f>
        <v>0</v>
      </c>
      <c r="AX81" s="55">
        <f>_xll.EQNXTDZ($A$1,$B81,AX$5,$B$1)</f>
        <v>1040.82</v>
      </c>
      <c r="AY81" s="55">
        <f>_xll.EQNXTDZ($A$1,$B81,AY$5,$B$1)</f>
        <v>0</v>
      </c>
      <c r="AZ81" s="55">
        <f>_xll.EQNXTDZ($A$1,$B81,AZ$5,$B$1)</f>
        <v>1143.1199999999999</v>
      </c>
      <c r="BA81" s="55">
        <f>_xll.EQNXTDZ($A$1,$B81,BA$5,$B$1)</f>
        <v>0</v>
      </c>
      <c r="BB81" s="55">
        <f>_xll.EQNXTDZ($A$1,$B81,BB$5,$B$1)</f>
        <v>1332.05</v>
      </c>
      <c r="BC81" s="55">
        <f>_xll.EQNXTDZ($A$1,$B81,BC$5,$B$1)</f>
        <v>0</v>
      </c>
      <c r="BD81" s="55">
        <f>_xll.EQNXTDZ($A$1,$B81,BD$5,$B$1)</f>
        <v>1614.19</v>
      </c>
      <c r="BE81" s="55">
        <f>_xll.EQNXTDZ($A$1,$B81,BE$5,$B$1)</f>
        <v>0</v>
      </c>
      <c r="BF81" s="55">
        <f>_xll.EQNXTDZ($A$1,$B81,BF$5,$B$1)</f>
        <v>1745.41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194.32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238.95</v>
      </c>
      <c r="AM82" s="55">
        <f>_xll.EQNXTDZ($A$1,$B82,AM$5,$B$1)</f>
        <v>0</v>
      </c>
      <c r="AN82" s="55">
        <f>_xll.EQNXTDZ($A$1,$B82,AN$5,$B$1)</f>
        <v>234.61</v>
      </c>
      <c r="AO82" s="55">
        <f>_xll.EQNXTDZ($A$1,$B82,AO$5,$B$1)</f>
        <v>0</v>
      </c>
      <c r="AP82" s="55">
        <f>_xll.EQNXTDZ($A$1,$B82,AP$5,$B$1)</f>
        <v>296.20999999999998</v>
      </c>
      <c r="AQ82" s="55">
        <f>_xll.EQNXTDZ($A$1,$B82,AQ$5,$B$1)</f>
        <v>0</v>
      </c>
      <c r="AR82" s="55">
        <f>_xll.EQNXTDZ($A$1,$B82,AR$5,$B$1)</f>
        <v>374.4</v>
      </c>
      <c r="AS82" s="55">
        <f>_xll.EQNXTDZ($A$1,$B82,AS$5,$B$1)</f>
        <v>0</v>
      </c>
      <c r="AT82" s="55">
        <f>_xll.EQNXTDZ($A$1,$B82,AT$5,$B$1)</f>
        <v>535.29</v>
      </c>
      <c r="AU82" s="55">
        <f>_xll.EQNXTDZ($A$1,$B82,AU$5,$B$1)</f>
        <v>0</v>
      </c>
      <c r="AV82" s="55">
        <f>_xll.EQNXTDZ($A$1,$B82,AV$5,$B$1)</f>
        <v>615.85</v>
      </c>
      <c r="AW82" s="55">
        <f>_xll.EQNXTDZ($A$1,$B82,AW$5,$B$1)</f>
        <v>0</v>
      </c>
      <c r="AX82" s="55">
        <f>_xll.EQNXTDZ($A$1,$B82,AX$5,$B$1)</f>
        <v>576.63</v>
      </c>
      <c r="AY82" s="55">
        <f>_xll.EQNXTDZ($A$1,$B82,AY$5,$B$1)</f>
        <v>0</v>
      </c>
      <c r="AZ82" s="55">
        <f>_xll.EQNXTDZ($A$1,$B82,AZ$5,$B$1)</f>
        <v>623.69000000000005</v>
      </c>
      <c r="BA82" s="55">
        <f>_xll.EQNXTDZ($A$1,$B82,BA$5,$B$1)</f>
        <v>0</v>
      </c>
      <c r="BB82" s="55">
        <f>_xll.EQNXTDZ($A$1,$B82,BB$5,$B$1)</f>
        <v>920.59</v>
      </c>
      <c r="BC82" s="55">
        <f>_xll.EQNXTDZ($A$1,$B82,BC$5,$B$1)</f>
        <v>0</v>
      </c>
      <c r="BD82" s="55">
        <f>_xll.EQNXTDZ($A$1,$B82,BD$5,$B$1)</f>
        <v>1144.9100000000001</v>
      </c>
      <c r="BE82" s="55">
        <f>_xll.EQNXTDZ($A$1,$B82,BE$5,$B$1)</f>
        <v>0</v>
      </c>
      <c r="BF82" s="55">
        <f>_xll.EQNXTDZ($A$1,$B82,BF$5,$B$1)</f>
        <v>1110.54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71.64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46.66</v>
      </c>
      <c r="AM83" s="55">
        <f>_xll.EQNXTDZ($A$1,$B83,AM$5,$B$1)</f>
        <v>0</v>
      </c>
      <c r="AN83" s="55">
        <f>_xll.EQNXTDZ($A$1,$B83,AN$5,$B$1)</f>
        <v>42.55</v>
      </c>
      <c r="AO83" s="55">
        <f>_xll.EQNXTDZ($A$1,$B83,AO$5,$B$1)</f>
        <v>0</v>
      </c>
      <c r="AP83" s="55">
        <f>_xll.EQNXTDZ($A$1,$B83,AP$5,$B$1)</f>
        <v>43.48</v>
      </c>
      <c r="AQ83" s="55">
        <f>_xll.EQNXTDZ($A$1,$B83,AQ$5,$B$1)</f>
        <v>0</v>
      </c>
      <c r="AR83" s="55">
        <f>_xll.EQNXTDZ($A$1,$B83,AR$5,$B$1)</f>
        <v>47.84</v>
      </c>
      <c r="AS83" s="55">
        <f>_xll.EQNXTDZ($A$1,$B83,AS$5,$B$1)</f>
        <v>0</v>
      </c>
      <c r="AT83" s="55">
        <f>_xll.EQNXTDZ($A$1,$B83,AT$5,$B$1)</f>
        <v>47.34</v>
      </c>
      <c r="AU83" s="55">
        <f>_xll.EQNXTDZ($A$1,$B83,AU$5,$B$1)</f>
        <v>0</v>
      </c>
      <c r="AV83" s="55">
        <f>_xll.EQNXTDZ($A$1,$B83,AV$5,$B$1)</f>
        <v>39.659999999999997</v>
      </c>
      <c r="AW83" s="55">
        <f>_xll.EQNXTDZ($A$1,$B83,AW$5,$B$1)</f>
        <v>0</v>
      </c>
      <c r="AX83" s="55">
        <f>_xll.EQNXTDZ($A$1,$B83,AX$5,$B$1)</f>
        <v>83.02</v>
      </c>
      <c r="AY83" s="55">
        <f>_xll.EQNXTDZ($A$1,$B83,AY$5,$B$1)</f>
        <v>0</v>
      </c>
      <c r="AZ83" s="55">
        <f>_xll.EQNXTDZ($A$1,$B83,AZ$5,$B$1)</f>
        <v>538.82000000000005</v>
      </c>
      <c r="BA83" s="55">
        <f>_xll.EQNXTDZ($A$1,$B83,BA$5,$B$1)</f>
        <v>0</v>
      </c>
      <c r="BB83" s="55">
        <f>_xll.EQNXTDZ($A$1,$B83,BB$5,$B$1)</f>
        <v>123.23</v>
      </c>
      <c r="BC83" s="55">
        <f>_xll.EQNXTDZ($A$1,$B83,BC$5,$B$1)</f>
        <v>0</v>
      </c>
      <c r="BD83" s="55">
        <f>_xll.EQNXTDZ($A$1,$B83,BD$5,$B$1)</f>
        <v>177</v>
      </c>
      <c r="BE83" s="55">
        <f>_xll.EQNXTDZ($A$1,$B83,BE$5,$B$1)</f>
        <v>0</v>
      </c>
      <c r="BF83" s="55">
        <f>_xll.EQNXTDZ($A$1,$B83,BF$5,$B$1)</f>
        <v>178.78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34.99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81.739999999999995</v>
      </c>
      <c r="AM84" s="55">
        <f>_xll.EQNXTDZ($A$1,$B84,AM$5,$B$1)</f>
        <v>0</v>
      </c>
      <c r="AN84" s="55">
        <f>_xll.EQNXTDZ($A$1,$B84,AN$5,$B$1)</f>
        <v>75.849999999999994</v>
      </c>
      <c r="AO84" s="55">
        <f>_xll.EQNXTDZ($A$1,$B84,AO$5,$B$1)</f>
        <v>0</v>
      </c>
      <c r="AP84" s="55">
        <f>_xll.EQNXTDZ($A$1,$B84,AP$5,$B$1)</f>
        <v>63.29</v>
      </c>
      <c r="AQ84" s="55">
        <f>_xll.EQNXTDZ($A$1,$B84,AQ$5,$B$1)</f>
        <v>0</v>
      </c>
      <c r="AR84" s="55">
        <f>_xll.EQNXTDZ($A$1,$B84,AR$5,$B$1)</f>
        <v>70.45</v>
      </c>
      <c r="AS84" s="55">
        <f>_xll.EQNXTDZ($A$1,$B84,AS$5,$B$1)</f>
        <v>0</v>
      </c>
      <c r="AT84" s="55">
        <f>_xll.EQNXTDZ($A$1,$B84,AT$5,$B$1)</f>
        <v>69.260000000000005</v>
      </c>
      <c r="AU84" s="55">
        <f>_xll.EQNXTDZ($A$1,$B84,AU$5,$B$1)</f>
        <v>0</v>
      </c>
      <c r="AV84" s="55">
        <f>_xll.EQNXTDZ($A$1,$B84,AV$5,$B$1)</f>
        <v>73.09</v>
      </c>
      <c r="AW84" s="55">
        <f>_xll.EQNXTDZ($A$1,$B84,AW$5,$B$1)</f>
        <v>0</v>
      </c>
      <c r="AX84" s="55">
        <f>_xll.EQNXTDZ($A$1,$B84,AX$5,$B$1)</f>
        <v>82.51</v>
      </c>
      <c r="AY84" s="55">
        <f>_xll.EQNXTDZ($A$1,$B84,AY$5,$B$1)</f>
        <v>0</v>
      </c>
      <c r="AZ84" s="55">
        <f>_xll.EQNXTDZ($A$1,$B84,AZ$5,$B$1)</f>
        <v>203.27</v>
      </c>
      <c r="BA84" s="55">
        <f>_xll.EQNXTDZ($A$1,$B84,BA$5,$B$1)</f>
        <v>0</v>
      </c>
      <c r="BB84" s="55">
        <f>_xll.EQNXTDZ($A$1,$B84,BB$5,$B$1)</f>
        <v>173.06</v>
      </c>
      <c r="BC84" s="55">
        <f>_xll.EQNXTDZ($A$1,$B84,BC$5,$B$1)</f>
        <v>0</v>
      </c>
      <c r="BD84" s="55">
        <f>_xll.EQNXTDZ($A$1,$B84,BD$5,$B$1)</f>
        <v>577.23</v>
      </c>
      <c r="BE84" s="55">
        <f>_xll.EQNXTDZ($A$1,$B84,BE$5,$B$1)</f>
        <v>0</v>
      </c>
      <c r="BF84" s="55">
        <f>_xll.EQNXTDZ($A$1,$B84,BF$5,$B$1)</f>
        <v>237.04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626.55999999999995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772.99</v>
      </c>
      <c r="AM86" s="55">
        <f>_xll.EQNXTDZ($A$1,$B86,AM$5,$B$1)</f>
        <v>0</v>
      </c>
      <c r="AN86" s="55">
        <f>_xll.EQNXTDZ($A$1,$B86,AN$5,$B$1)</f>
        <v>829.6</v>
      </c>
      <c r="AO86" s="55">
        <f>_xll.EQNXTDZ($A$1,$B86,AO$5,$B$1)</f>
        <v>0</v>
      </c>
      <c r="AP86" s="55">
        <f>_xll.EQNXTDZ($A$1,$B86,AP$5,$B$1)</f>
        <v>1029.3900000000001</v>
      </c>
      <c r="AQ86" s="55">
        <f>_xll.EQNXTDZ($A$1,$B86,AQ$5,$B$1)</f>
        <v>0</v>
      </c>
      <c r="AR86" s="55">
        <f>_xll.EQNXTDZ($A$1,$B86,AR$5,$B$1)</f>
        <v>1124.78</v>
      </c>
      <c r="AS86" s="55">
        <f>_xll.EQNXTDZ($A$1,$B86,AS$5,$B$1)</f>
        <v>0</v>
      </c>
      <c r="AT86" s="55">
        <f>_xll.EQNXTDZ($A$1,$B86,AT$5,$B$1)</f>
        <v>1487.9</v>
      </c>
      <c r="AU86" s="55">
        <f>_xll.EQNXTDZ($A$1,$B86,AU$5,$B$1)</f>
        <v>0</v>
      </c>
      <c r="AV86" s="55">
        <f>_xll.EQNXTDZ($A$1,$B86,AV$5,$B$1)</f>
        <v>1693.83</v>
      </c>
      <c r="AW86" s="55">
        <f>_xll.EQNXTDZ($A$1,$B86,AW$5,$B$1)</f>
        <v>0</v>
      </c>
      <c r="AX86" s="55">
        <f>_xll.EQNXTDZ($A$1,$B86,AX$5,$B$1)</f>
        <v>1782.98</v>
      </c>
      <c r="AY86" s="55">
        <f>_xll.EQNXTDZ($A$1,$B86,AY$5,$B$1)</f>
        <v>0</v>
      </c>
      <c r="AZ86" s="55">
        <f>_xll.EQNXTDZ($A$1,$B86,AZ$5,$B$1)</f>
        <v>2508.9</v>
      </c>
      <c r="BA86" s="55">
        <f>_xll.EQNXTDZ($A$1,$B86,BA$5,$B$1)</f>
        <v>0</v>
      </c>
      <c r="BB86" s="55">
        <f>_xll.EQNXTDZ($A$1,$B86,BB$5,$B$1)</f>
        <v>2548.9299999999998</v>
      </c>
      <c r="BC86" s="55">
        <f>_xll.EQNXTDZ($A$1,$B86,BC$5,$B$1)</f>
        <v>0</v>
      </c>
      <c r="BD86" s="55">
        <f>_xll.EQNXTDZ($A$1,$B86,BD$5,$B$1)</f>
        <v>3513.33</v>
      </c>
      <c r="BE86" s="55">
        <f>_xll.EQNXTDZ($A$1,$B86,BE$5,$B$1)</f>
        <v>0</v>
      </c>
      <c r="BF86" s="55">
        <f>_xll.EQNXTDZ($A$1,$B86,BF$5,$B$1)</f>
        <v>3271.77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244.27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266.35000000000002</v>
      </c>
      <c r="AM88" s="55">
        <f>_xll.EQNXTDZ($A$1,$B88,AM$5,$B$1)</f>
        <v>0</v>
      </c>
      <c r="AN88" s="55">
        <f>_xll.EQNXTDZ($A$1,$B88,AN$5,$B$1)</f>
        <v>308.48</v>
      </c>
      <c r="AO88" s="55">
        <f>_xll.EQNXTDZ($A$1,$B88,AO$5,$B$1)</f>
        <v>0</v>
      </c>
      <c r="AP88" s="55">
        <f>_xll.EQNXTDZ($A$1,$B88,AP$5,$B$1)</f>
        <v>341.82</v>
      </c>
      <c r="AQ88" s="55">
        <f>_xll.EQNXTDZ($A$1,$B88,AQ$5,$B$1)</f>
        <v>0</v>
      </c>
      <c r="AR88" s="55">
        <f>_xll.EQNXTDZ($A$1,$B88,AR$5,$B$1)</f>
        <v>284.10000000000002</v>
      </c>
      <c r="AS88" s="55">
        <f>_xll.EQNXTDZ($A$1,$B88,AS$5,$B$1)</f>
        <v>0</v>
      </c>
      <c r="AT88" s="55">
        <f>_xll.EQNXTDZ($A$1,$B88,AT$5,$B$1)</f>
        <v>246.55</v>
      </c>
      <c r="AU88" s="55">
        <f>_xll.EQNXTDZ($A$1,$B88,AU$5,$B$1)</f>
        <v>0</v>
      </c>
      <c r="AV88" s="55">
        <f>_xll.EQNXTDZ($A$1,$B88,AV$5,$B$1)</f>
        <v>393.91</v>
      </c>
      <c r="AW88" s="55">
        <f>_xll.EQNXTDZ($A$1,$B88,AW$5,$B$1)</f>
        <v>0</v>
      </c>
      <c r="AX88" s="55">
        <f>_xll.EQNXTDZ($A$1,$B88,AX$5,$B$1)</f>
        <v>421.59</v>
      </c>
      <c r="AY88" s="55">
        <f>_xll.EQNXTDZ($A$1,$B88,AY$5,$B$1)</f>
        <v>0</v>
      </c>
      <c r="AZ88" s="55">
        <f>_xll.EQNXTDZ($A$1,$B88,AZ$5,$B$1)</f>
        <v>642.22</v>
      </c>
      <c r="BA88" s="55">
        <f>_xll.EQNXTDZ($A$1,$B88,BA$5,$B$1)</f>
        <v>0</v>
      </c>
      <c r="BB88" s="55">
        <f>_xll.EQNXTDZ($A$1,$B88,BB$5,$B$1)</f>
        <v>402.4</v>
      </c>
      <c r="BC88" s="55">
        <f>_xll.EQNXTDZ($A$1,$B88,BC$5,$B$1)</f>
        <v>0</v>
      </c>
      <c r="BD88" s="55">
        <f>_xll.EQNXTDZ($A$1,$B88,BD$5,$B$1)</f>
        <v>1112.67</v>
      </c>
      <c r="BE88" s="55">
        <f>_xll.EQNXTDZ($A$1,$B88,BE$5,$B$1)</f>
        <v>0</v>
      </c>
      <c r="BF88" s="55">
        <f>_xll.EQNXTDZ($A$1,$B88,BF$5,$B$1)</f>
        <v>929.65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281.77999999999997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352.16</v>
      </c>
      <c r="AM89" s="55">
        <f>_xll.EQNXTDZ($A$1,$B89,AM$5,$B$1)</f>
        <v>0</v>
      </c>
      <c r="AN89" s="55">
        <f>_xll.EQNXTDZ($A$1,$B89,AN$5,$B$1)</f>
        <v>333.87</v>
      </c>
      <c r="AO89" s="55">
        <f>_xll.EQNXTDZ($A$1,$B89,AO$5,$B$1)</f>
        <v>0</v>
      </c>
      <c r="AP89" s="55">
        <f>_xll.EQNXTDZ($A$1,$B89,AP$5,$B$1)</f>
        <v>462.56</v>
      </c>
      <c r="AQ89" s="55">
        <f>_xll.EQNXTDZ($A$1,$B89,AQ$5,$B$1)</f>
        <v>0</v>
      </c>
      <c r="AR89" s="55">
        <f>_xll.EQNXTDZ($A$1,$B89,AR$5,$B$1)</f>
        <v>458.67</v>
      </c>
      <c r="AS89" s="55">
        <f>_xll.EQNXTDZ($A$1,$B89,AS$5,$B$1)</f>
        <v>0</v>
      </c>
      <c r="AT89" s="55">
        <f>_xll.EQNXTDZ($A$1,$B89,AT$5,$B$1)</f>
        <v>711.62</v>
      </c>
      <c r="AU89" s="55">
        <f>_xll.EQNXTDZ($A$1,$B89,AU$5,$B$1)</f>
        <v>0</v>
      </c>
      <c r="AV89" s="55">
        <f>_xll.EQNXTDZ($A$1,$B89,AV$5,$B$1)</f>
        <v>756.34</v>
      </c>
      <c r="AW89" s="55">
        <f>_xll.EQNXTDZ($A$1,$B89,AW$5,$B$1)</f>
        <v>0</v>
      </c>
      <c r="AX89" s="55">
        <f>_xll.EQNXTDZ($A$1,$B89,AX$5,$B$1)</f>
        <v>800.64</v>
      </c>
      <c r="AY89" s="55">
        <f>_xll.EQNXTDZ($A$1,$B89,AY$5,$B$1)</f>
        <v>0</v>
      </c>
      <c r="AZ89" s="55">
        <f>_xll.EQNXTDZ($A$1,$B89,AZ$5,$B$1)</f>
        <v>734.47</v>
      </c>
      <c r="BA89" s="55">
        <f>_xll.EQNXTDZ($A$1,$B89,BA$5,$B$1)</f>
        <v>0</v>
      </c>
      <c r="BB89" s="55">
        <f>_xll.EQNXTDZ($A$1,$B89,BB$5,$B$1)</f>
        <v>1334.33</v>
      </c>
      <c r="BC89" s="55">
        <f>_xll.EQNXTDZ($A$1,$B89,BC$5,$B$1)</f>
        <v>0</v>
      </c>
      <c r="BD89" s="55">
        <f>_xll.EQNXTDZ($A$1,$B89,BD$5,$B$1)</f>
        <v>1321.37</v>
      </c>
      <c r="BE89" s="55">
        <f>_xll.EQNXTDZ($A$1,$B89,BE$5,$B$1)</f>
        <v>0</v>
      </c>
      <c r="BF89" s="55">
        <f>_xll.EQNXTDZ($A$1,$B89,BF$5,$B$1)</f>
        <v>1460.08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241.94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162.58000000000001</v>
      </c>
      <c r="AM91" s="55">
        <f>_xll.EQNXTDZ($A$1,$B91,AM$5,$B$1)</f>
        <v>0</v>
      </c>
      <c r="AN91" s="55">
        <f>_xll.EQNXTDZ($A$1,$B91,AN$5,$B$1)</f>
        <v>147.85</v>
      </c>
      <c r="AO91" s="55">
        <f>_xll.EQNXTDZ($A$1,$B91,AO$5,$B$1)</f>
        <v>0</v>
      </c>
      <c r="AP91" s="55">
        <f>_xll.EQNXTDZ($A$1,$B91,AP$5,$B$1)</f>
        <v>168.99</v>
      </c>
      <c r="AQ91" s="55">
        <f>_xll.EQNXTDZ($A$1,$B91,AQ$5,$B$1)</f>
        <v>0</v>
      </c>
      <c r="AR91" s="55">
        <f>_xll.EQNXTDZ($A$1,$B91,AR$5,$B$1)</f>
        <v>202.56</v>
      </c>
      <c r="AS91" s="55">
        <f>_xll.EQNXTDZ($A$1,$B91,AS$5,$B$1)</f>
        <v>0</v>
      </c>
      <c r="AT91" s="55">
        <f>_xll.EQNXTDZ($A$1,$B91,AT$5,$B$1)</f>
        <v>277.43</v>
      </c>
      <c r="AU91" s="55">
        <f>_xll.EQNXTDZ($A$1,$B91,AU$5,$B$1)</f>
        <v>0</v>
      </c>
      <c r="AV91" s="55">
        <f>_xll.EQNXTDZ($A$1,$B91,AV$5,$B$1)</f>
        <v>260.56</v>
      </c>
      <c r="AW91" s="55">
        <f>_xll.EQNXTDZ($A$1,$B91,AW$5,$B$1)</f>
        <v>0</v>
      </c>
      <c r="AX91" s="55">
        <f>_xll.EQNXTDZ($A$1,$B91,AX$5,$B$1)</f>
        <v>297.35000000000002</v>
      </c>
      <c r="AY91" s="55">
        <f>_xll.EQNXTDZ($A$1,$B91,AY$5,$B$1)</f>
        <v>0</v>
      </c>
      <c r="AZ91" s="55">
        <f>_xll.EQNXTDZ($A$1,$B91,AZ$5,$B$1)</f>
        <v>371.46</v>
      </c>
      <c r="BA91" s="55">
        <f>_xll.EQNXTDZ($A$1,$B91,BA$5,$B$1)</f>
        <v>0</v>
      </c>
      <c r="BB91" s="55">
        <f>_xll.EQNXTDZ($A$1,$B91,BB$5,$B$1)</f>
        <v>629.4</v>
      </c>
      <c r="BC91" s="55">
        <f>_xll.EQNXTDZ($A$1,$B91,BC$5,$B$1)</f>
        <v>0</v>
      </c>
      <c r="BD91" s="55">
        <f>_xll.EQNXTDZ($A$1,$B91,BD$5,$B$1)</f>
        <v>642.30999999999995</v>
      </c>
      <c r="BE91" s="55">
        <f>_xll.EQNXTDZ($A$1,$B91,BE$5,$B$1)</f>
        <v>0</v>
      </c>
      <c r="BF91" s="55">
        <f>_xll.EQNXTDZ($A$1,$B91,BF$5,$B$1)</f>
        <v>649.04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1.83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3.53</v>
      </c>
      <c r="AM92" s="55">
        <f>_xll.EQNXTDZ($A$1,$B92,AM$5,$B$1)</f>
        <v>0</v>
      </c>
      <c r="AN92" s="55">
        <f>_xll.EQNXTDZ($A$1,$B92,AN$5,$B$1)</f>
        <v>4.9800000000000004</v>
      </c>
      <c r="AO92" s="55">
        <f>_xll.EQNXTDZ($A$1,$B92,AO$5,$B$1)</f>
        <v>0</v>
      </c>
      <c r="AP92" s="55">
        <f>_xll.EQNXTDZ($A$1,$B92,AP$5,$B$1)</f>
        <v>4.71</v>
      </c>
      <c r="AQ92" s="55">
        <f>_xll.EQNXTDZ($A$1,$B92,AQ$5,$B$1)</f>
        <v>0</v>
      </c>
      <c r="AR92" s="55">
        <f>_xll.EQNXTDZ($A$1,$B92,AR$5,$B$1)</f>
        <v>6.54</v>
      </c>
      <c r="AS92" s="55">
        <f>_xll.EQNXTDZ($A$1,$B92,AS$5,$B$1)</f>
        <v>0</v>
      </c>
      <c r="AT92" s="55">
        <f>_xll.EQNXTDZ($A$1,$B92,AT$5,$B$1)</f>
        <v>6.77</v>
      </c>
      <c r="AU92" s="55">
        <f>_xll.EQNXTDZ($A$1,$B92,AU$5,$B$1)</f>
        <v>0</v>
      </c>
      <c r="AV92" s="55">
        <f>_xll.EQNXTDZ($A$1,$B92,AV$5,$B$1)</f>
        <v>8.39</v>
      </c>
      <c r="AW92" s="55">
        <f>_xll.EQNXTDZ($A$1,$B92,AW$5,$B$1)</f>
        <v>0</v>
      </c>
      <c r="AX92" s="55">
        <f>_xll.EQNXTDZ($A$1,$B92,AX$5,$B$1)</f>
        <v>11.21</v>
      </c>
      <c r="AY92" s="55">
        <f>_xll.EQNXTDZ($A$1,$B92,AY$5,$B$1)</f>
        <v>0</v>
      </c>
      <c r="AZ92" s="55">
        <f>_xll.EQNXTDZ($A$1,$B92,AZ$5,$B$1)</f>
        <v>14</v>
      </c>
      <c r="BA92" s="55">
        <f>_xll.EQNXTDZ($A$1,$B92,BA$5,$B$1)</f>
        <v>0</v>
      </c>
      <c r="BB92" s="55">
        <f>_xll.EQNXTDZ($A$1,$B92,BB$5,$B$1)</f>
        <v>21.6</v>
      </c>
      <c r="BC92" s="55">
        <f>_xll.EQNXTDZ($A$1,$B92,BC$5,$B$1)</f>
        <v>0</v>
      </c>
      <c r="BD92" s="55">
        <f>_xll.EQNXTDZ($A$1,$B92,BD$5,$B$1)</f>
        <v>24.28</v>
      </c>
      <c r="BE92" s="55">
        <f>_xll.EQNXTDZ($A$1,$B92,BE$5,$B$1)</f>
        <v>0</v>
      </c>
      <c r="BF92" s="55">
        <f>_xll.EQNXTDZ($A$1,$B92,BF$5,$B$1)</f>
        <v>26.12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769.82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784.62</v>
      </c>
      <c r="AM93" s="55">
        <f>_xll.EQNXTDZ($A$1,$B93,AM$5,$B$1)</f>
        <v>0</v>
      </c>
      <c r="AN93" s="55">
        <f>_xll.EQNXTDZ($A$1,$B93,AN$5,$B$1)</f>
        <v>795.18</v>
      </c>
      <c r="AO93" s="55">
        <f>_xll.EQNXTDZ($A$1,$B93,AO$5,$B$1)</f>
        <v>0</v>
      </c>
      <c r="AP93" s="55">
        <f>_xll.EQNXTDZ($A$1,$B93,AP$5,$B$1)</f>
        <v>978.08</v>
      </c>
      <c r="AQ93" s="55">
        <f>_xll.EQNXTDZ($A$1,$B93,AQ$5,$B$1)</f>
        <v>0</v>
      </c>
      <c r="AR93" s="55">
        <f>_xll.EQNXTDZ($A$1,$B93,AR$5,$B$1)</f>
        <v>951.87</v>
      </c>
      <c r="AS93" s="55">
        <f>_xll.EQNXTDZ($A$1,$B93,AS$5,$B$1)</f>
        <v>0</v>
      </c>
      <c r="AT93" s="55">
        <f>_xll.EQNXTDZ($A$1,$B93,AT$5,$B$1)</f>
        <v>1242.3699999999999</v>
      </c>
      <c r="AU93" s="55">
        <f>_xll.EQNXTDZ($A$1,$B93,AU$5,$B$1)</f>
        <v>0</v>
      </c>
      <c r="AV93" s="55">
        <f>_xll.EQNXTDZ($A$1,$B93,AV$5,$B$1)</f>
        <v>1419.2</v>
      </c>
      <c r="AW93" s="55">
        <f>_xll.EQNXTDZ($A$1,$B93,AW$5,$B$1)</f>
        <v>0</v>
      </c>
      <c r="AX93" s="55">
        <f>_xll.EQNXTDZ($A$1,$B93,AX$5,$B$1)</f>
        <v>1530.79</v>
      </c>
      <c r="AY93" s="55">
        <f>_xll.EQNXTDZ($A$1,$B93,AY$5,$B$1)</f>
        <v>0</v>
      </c>
      <c r="AZ93" s="55">
        <f>_xll.EQNXTDZ($A$1,$B93,AZ$5,$B$1)</f>
        <v>1762.15</v>
      </c>
      <c r="BA93" s="55">
        <f>_xll.EQNXTDZ($A$1,$B93,BA$5,$B$1)</f>
        <v>0</v>
      </c>
      <c r="BB93" s="55">
        <f>_xll.EQNXTDZ($A$1,$B93,BB$5,$B$1)</f>
        <v>2387.73</v>
      </c>
      <c r="BC93" s="55">
        <f>_xll.EQNXTDZ($A$1,$B93,BC$5,$B$1)</f>
        <v>0</v>
      </c>
      <c r="BD93" s="55">
        <f>_xll.EQNXTDZ($A$1,$B93,BD$5,$B$1)</f>
        <v>3100.63</v>
      </c>
      <c r="BE93" s="55">
        <f>_xll.EQNXTDZ($A$1,$B93,BE$5,$B$1)</f>
        <v>0</v>
      </c>
      <c r="BF93" s="55">
        <f>_xll.EQNXTDZ($A$1,$B93,BF$5,$B$1)</f>
        <v>3064.89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-143.26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-11.63</v>
      </c>
      <c r="AM94" s="55">
        <f>_xll.EQNXTDZ($A$1,$B94,AM$5,$B$1)</f>
        <v>0</v>
      </c>
      <c r="AN94" s="55">
        <f>_xll.EQNXTDZ($A$1,$B94,AN$5,$B$1)</f>
        <v>34.42</v>
      </c>
      <c r="AO94" s="55">
        <f>_xll.EQNXTDZ($A$1,$B94,AO$5,$B$1)</f>
        <v>0</v>
      </c>
      <c r="AP94" s="55">
        <f>_xll.EQNXTDZ($A$1,$B94,AP$5,$B$1)</f>
        <v>51.31</v>
      </c>
      <c r="AQ94" s="55">
        <f>_xll.EQNXTDZ($A$1,$B94,AQ$5,$B$1)</f>
        <v>0</v>
      </c>
      <c r="AR94" s="55">
        <f>_xll.EQNXTDZ($A$1,$B94,AR$5,$B$1)</f>
        <v>172.91</v>
      </c>
      <c r="AS94" s="55">
        <f>_xll.EQNXTDZ($A$1,$B94,AS$5,$B$1)</f>
        <v>0</v>
      </c>
      <c r="AT94" s="55">
        <f>_xll.EQNXTDZ($A$1,$B94,AT$5,$B$1)</f>
        <v>245.53</v>
      </c>
      <c r="AU94" s="55">
        <f>_xll.EQNXTDZ($A$1,$B94,AU$5,$B$1)</f>
        <v>0</v>
      </c>
      <c r="AV94" s="55">
        <f>_xll.EQNXTDZ($A$1,$B94,AV$5,$B$1)</f>
        <v>274.63</v>
      </c>
      <c r="AW94" s="55">
        <f>_xll.EQNXTDZ($A$1,$B94,AW$5,$B$1)</f>
        <v>0</v>
      </c>
      <c r="AX94" s="55">
        <f>_xll.EQNXTDZ($A$1,$B94,AX$5,$B$1)</f>
        <v>252.19</v>
      </c>
      <c r="AY94" s="55">
        <f>_xll.EQNXTDZ($A$1,$B94,AY$5,$B$1)</f>
        <v>0</v>
      </c>
      <c r="AZ94" s="55">
        <f>_xll.EQNXTDZ($A$1,$B94,AZ$5,$B$1)</f>
        <v>746.75</v>
      </c>
      <c r="BA94" s="55">
        <f>_xll.EQNXTDZ($A$1,$B94,BA$5,$B$1)</f>
        <v>0</v>
      </c>
      <c r="BB94" s="55">
        <f>_xll.EQNXTDZ($A$1,$B94,BB$5,$B$1)</f>
        <v>161.19999999999999</v>
      </c>
      <c r="BC94" s="55">
        <f>_xll.EQNXTDZ($A$1,$B94,BC$5,$B$1)</f>
        <v>0</v>
      </c>
      <c r="BD94" s="55">
        <f>_xll.EQNXTDZ($A$1,$B94,BD$5,$B$1)</f>
        <v>412.7</v>
      </c>
      <c r="BE94" s="55">
        <f>_xll.EQNXTDZ($A$1,$B94,BE$5,$B$1)</f>
        <v>0</v>
      </c>
      <c r="BF94" s="55">
        <f>_xll.EQNXTDZ($A$1,$B94,BF$5,$B$1)</f>
        <v>206.88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-38.549999999999997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-68.38</v>
      </c>
      <c r="AM96" s="55">
        <f>_xll.EQNXTDZ($A$1,$B96,AM$5,$B$1)</f>
        <v>0</v>
      </c>
      <c r="AN96" s="55">
        <f>_xll.EQNXTDZ($A$1,$B96,AN$5,$B$1)</f>
        <v>-88.94</v>
      </c>
      <c r="AO96" s="55">
        <f>_xll.EQNXTDZ($A$1,$B96,AO$5,$B$1)</f>
        <v>0</v>
      </c>
      <c r="AP96" s="55">
        <f>_xll.EQNXTDZ($A$1,$B96,AP$5,$B$1)</f>
        <v>-116.78</v>
      </c>
      <c r="AQ96" s="55">
        <f>_xll.EQNXTDZ($A$1,$B96,AQ$5,$B$1)</f>
        <v>0</v>
      </c>
      <c r="AR96" s="55">
        <f>_xll.EQNXTDZ($A$1,$B96,AR$5,$B$1)</f>
        <v>-141.91</v>
      </c>
      <c r="AS96" s="55">
        <f>_xll.EQNXTDZ($A$1,$B96,AS$5,$B$1)</f>
        <v>0</v>
      </c>
      <c r="AT96" s="55">
        <f>_xll.EQNXTDZ($A$1,$B96,AT$5,$B$1)</f>
        <v>-141.12</v>
      </c>
      <c r="AU96" s="55">
        <f>_xll.EQNXTDZ($A$1,$B96,AU$5,$B$1)</f>
        <v>0</v>
      </c>
      <c r="AV96" s="55">
        <f>_xll.EQNXTDZ($A$1,$B96,AV$5,$B$1)</f>
        <v>-132.96</v>
      </c>
      <c r="AW96" s="55">
        <f>_xll.EQNXTDZ($A$1,$B96,AW$5,$B$1)</f>
        <v>0</v>
      </c>
      <c r="AX96" s="55">
        <f>_xll.EQNXTDZ($A$1,$B96,AX$5,$B$1)</f>
        <v>-131.47999999999999</v>
      </c>
      <c r="AY96" s="55">
        <f>_xll.EQNXTDZ($A$1,$B96,AY$5,$B$1)</f>
        <v>0</v>
      </c>
      <c r="AZ96" s="55">
        <f>_xll.EQNXTDZ($A$1,$B96,AZ$5,$B$1)</f>
        <v>-132.87</v>
      </c>
      <c r="BA96" s="55">
        <f>_xll.EQNXTDZ($A$1,$B96,BA$5,$B$1)</f>
        <v>0</v>
      </c>
      <c r="BB96" s="55">
        <f>_xll.EQNXTDZ($A$1,$B96,BB$5,$B$1)</f>
        <v>-6.06</v>
      </c>
      <c r="BC96" s="55">
        <f>_xll.EQNXTDZ($A$1,$B96,BC$5,$B$1)</f>
        <v>0</v>
      </c>
      <c r="BD96" s="55">
        <f>_xll.EQNXTDZ($A$1,$B96,BD$5,$B$1)</f>
        <v>-4.54</v>
      </c>
      <c r="BE96" s="55">
        <f>_xll.EQNXTDZ($A$1,$B96,BE$5,$B$1)</f>
        <v>0</v>
      </c>
      <c r="BF96" s="55">
        <f>_xll.EQNXTDZ($A$1,$B96,BF$5,$B$1)</f>
        <v>-22.33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1498.91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1498.9</v>
      </c>
      <c r="AM97" s="55">
        <f>_xll.EQNXTDZ($A$1,$B97,AM$5,$B$1)</f>
        <v>0</v>
      </c>
      <c r="AN97" s="55">
        <f>_xll.EQNXTDZ($A$1,$B97,AN$5,$B$1)</f>
        <v>1543.93</v>
      </c>
      <c r="AO97" s="55">
        <f>_xll.EQNXTDZ($A$1,$B97,AO$5,$B$1)</f>
        <v>0</v>
      </c>
      <c r="AP97" s="55">
        <f>_xll.EQNXTDZ($A$1,$B97,AP$5,$B$1)</f>
        <v>1579.92</v>
      </c>
      <c r="AQ97" s="55">
        <f>_xll.EQNXTDZ($A$1,$B97,AQ$5,$B$1)</f>
        <v>0</v>
      </c>
      <c r="AR97" s="55">
        <f>_xll.EQNXTDZ($A$1,$B97,AR$5,$B$1)</f>
        <v>1762.26</v>
      </c>
      <c r="AS97" s="55">
        <f>_xll.EQNXTDZ($A$1,$B97,AS$5,$B$1)</f>
        <v>0</v>
      </c>
      <c r="AT97" s="55">
        <f>_xll.EQNXTDZ($A$1,$B97,AT$5,$B$1)</f>
        <v>2423.23</v>
      </c>
      <c r="AU97" s="55">
        <f>_xll.EQNXTDZ($A$1,$B97,AU$5,$B$1)</f>
        <v>0</v>
      </c>
      <c r="AV97" s="55">
        <f>_xll.EQNXTDZ($A$1,$B97,AV$5,$B$1)</f>
        <v>2694.64</v>
      </c>
      <c r="AW97" s="55">
        <f>_xll.EQNXTDZ($A$1,$B97,AW$5,$B$1)</f>
        <v>0</v>
      </c>
      <c r="AX97" s="55">
        <f>_xll.EQNXTDZ($A$1,$B97,AX$5,$B$1)</f>
        <v>3043.47</v>
      </c>
      <c r="AY97" s="55">
        <f>_xll.EQNXTDZ($A$1,$B97,AY$5,$B$1)</f>
        <v>0</v>
      </c>
      <c r="AZ97" s="55">
        <f>_xll.EQNXTDZ($A$1,$B97,AZ$5,$B$1)</f>
        <v>4035.04</v>
      </c>
      <c r="BA97" s="55">
        <f>_xll.EQNXTDZ($A$1,$B97,BA$5,$B$1)</f>
        <v>0</v>
      </c>
      <c r="BB97" s="55">
        <f>_xll.EQNXTDZ($A$1,$B97,BB$5,$B$1)</f>
        <v>4722.6499999999996</v>
      </c>
      <c r="BC97" s="55">
        <f>_xll.EQNXTDZ($A$1,$B97,BC$5,$B$1)</f>
        <v>0</v>
      </c>
      <c r="BD97" s="55">
        <f>_xll.EQNXTDZ($A$1,$B97,BD$5,$B$1)</f>
        <v>5160.74</v>
      </c>
      <c r="BE97" s="55">
        <f>_xll.EQNXTDZ($A$1,$B97,BE$5,$B$1)</f>
        <v>0</v>
      </c>
      <c r="BF97" s="55">
        <f>_xll.EQNXTDZ($A$1,$B97,BF$5,$B$1)</f>
        <v>5891.08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215216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Craftsman Automation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79.860124400000004</v>
      </c>
      <c r="H6" s="100">
        <f>_xll.EQNXTDZ($A$1,$B6,H$1,$B$1)</f>
        <v>114.01338200000001</v>
      </c>
      <c r="I6" s="100">
        <f>_xll.EQNXTDZ($A$1,$B6,I$1,$B$1)</f>
        <v>150.511428</v>
      </c>
      <c r="J6" s="100">
        <f>_xll.EQNXTDZ($A$1,$B6,J$1,$B$1)</f>
        <v>208.3421329</v>
      </c>
      <c r="K6" s="100">
        <f>_xll.EQNXTDZ($A$1,$B6,K$1,$B$1)</f>
        <v>252.04937409999999</v>
      </c>
      <c r="L6" s="100">
        <f>_xll.EQNXTDZ($A$1,$B6,L$1,$B$1)</f>
        <v>189.75612100000001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674.50099999999998</v>
      </c>
      <c r="P6" s="100">
        <f>_xll.EQNXTDZ($A$1,$B6,P$1,$B$1)</f>
        <v>693.74</v>
      </c>
      <c r="Q6" s="100">
        <f>_xll.EQNXTDZ($A$1,$B6,Q$1,$B$1)</f>
        <v>868.81700000000001</v>
      </c>
      <c r="R6" s="100">
        <f>_xll.EQNXTDZ($A$1,$B6,R$1,$B$1)</f>
        <v>984.88800000000003</v>
      </c>
      <c r="S6" s="100">
        <f>_xll.EQNXTDZ($A$1,$B6,S$1,$B$1)</f>
        <v>1210.1279999999999</v>
      </c>
      <c r="T6" s="100">
        <f>_xll.EQNXTDZ($A$1,$B6,T$1,$B$1)</f>
        <v>1511.53</v>
      </c>
      <c r="U6" s="100">
        <f>_xll.EQNXTDZ($A$1,$B6,U$1,$B$1)</f>
        <v>1818.0070000000001</v>
      </c>
      <c r="V6" s="100">
        <f>_xll.EQNXTDZ($A$1,$B6,V$1,$B$1)</f>
        <v>1492.46</v>
      </c>
      <c r="W6" s="100">
        <f>_xll.EQNXTDZ($A$1,$B6,W$1,$B$1)</f>
        <v>1559.95</v>
      </c>
      <c r="X6" s="100">
        <f>_xll.EQNXTDZ($A$1,$B6,X$1,$B$1)</f>
        <v>2217.02</v>
      </c>
      <c r="Y6" s="100">
        <f>_xll.EQNXTDZ($A$1,$B6,Y$1,$B$1)</f>
        <v>3182.6</v>
      </c>
      <c r="Z6" s="100">
        <f>_xll.EQNXTDZ($A$1,$B6,Z$1,$B$1)</f>
        <v>4451.7299999999996</v>
      </c>
      <c r="AA6" s="100">
        <f>_xll.EQNXTDZ($A$1,$B6,AA$1,$B$1)</f>
        <v>5690.48</v>
      </c>
      <c r="AB6" s="100">
        <f>_xll.EQNXTDZ($A$1,$B6,AB$1,$B$1)</f>
        <v>8069.27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70.879000000000005</v>
      </c>
      <c r="P9" s="100">
        <f>_xll.EQNXTDZ($A$1,$B9,P$1,$B$1)</f>
        <v>77.75</v>
      </c>
      <c r="Q9" s="100">
        <f>_xll.EQNXTDZ($A$1,$B9,Q$1,$B$1)</f>
        <v>68.709999999999994</v>
      </c>
      <c r="R9" s="100">
        <f>_xll.EQNXTDZ($A$1,$B9,R$1,$B$1)</f>
        <v>89.8</v>
      </c>
      <c r="S9" s="100">
        <f>_xll.EQNXTDZ($A$1,$B9,S$1,$B$1)</f>
        <v>108.254</v>
      </c>
      <c r="T9" s="100">
        <f>_xll.EQNXTDZ($A$1,$B9,T$1,$B$1)</f>
        <v>32.44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79.860124400000004</v>
      </c>
      <c r="H10" s="100">
        <f>_xll.EQNXTDZ($A$1,$B10,H$1,$B$1)</f>
        <v>114.01338200000001</v>
      </c>
      <c r="I10" s="100">
        <f>_xll.EQNXTDZ($A$1,$B10,I$1,$B$1)</f>
        <v>150.511428</v>
      </c>
      <c r="J10" s="100">
        <f>_xll.EQNXTDZ($A$1,$B10,J$1,$B$1)</f>
        <v>208.3421329</v>
      </c>
      <c r="K10" s="100">
        <f>_xll.EQNXTDZ($A$1,$B10,K$1,$B$1)</f>
        <v>252.04937409999999</v>
      </c>
      <c r="L10" s="100">
        <f>_xll.EQNXTDZ($A$1,$B10,L$1,$B$1)</f>
        <v>189.75612100000001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603.62199999999996</v>
      </c>
      <c r="P10" s="100">
        <f>_xll.EQNXTDZ($A$1,$B10,P$1,$B$1)</f>
        <v>615.99</v>
      </c>
      <c r="Q10" s="100">
        <f>_xll.EQNXTDZ($A$1,$B10,Q$1,$B$1)</f>
        <v>800.10699999999997</v>
      </c>
      <c r="R10" s="100">
        <f>_xll.EQNXTDZ($A$1,$B10,R$1,$B$1)</f>
        <v>895.08799999999997</v>
      </c>
      <c r="S10" s="100">
        <f>_xll.EQNXTDZ($A$1,$B10,S$1,$B$1)</f>
        <v>1101.874</v>
      </c>
      <c r="T10" s="100">
        <f>_xll.EQNXTDZ($A$1,$B10,T$1,$B$1)</f>
        <v>1479.09</v>
      </c>
      <c r="U10" s="100">
        <f>_xll.EQNXTDZ($A$1,$B10,U$1,$B$1)</f>
        <v>1818.0070000000001</v>
      </c>
      <c r="V10" s="100">
        <f>_xll.EQNXTDZ($A$1,$B10,V$1,$B$1)</f>
        <v>1492.46</v>
      </c>
      <c r="W10" s="100">
        <f>_xll.EQNXTDZ($A$1,$B10,W$1,$B$1)</f>
        <v>1559.95</v>
      </c>
      <c r="X10" s="100">
        <f>_xll.EQNXTDZ($A$1,$B10,X$1,$B$1)</f>
        <v>2217.02</v>
      </c>
      <c r="Y10" s="100">
        <f>_xll.EQNXTDZ($A$1,$B10,Y$1,$B$1)</f>
        <v>3182.6</v>
      </c>
      <c r="Z10" s="100">
        <f>_xll.EQNXTDZ($A$1,$B10,Z$1,$B$1)</f>
        <v>4451.7299999999996</v>
      </c>
      <c r="AA10" s="100">
        <f>_xll.EQNXTDZ($A$1,$B10,AA$1,$B$1)</f>
        <v>5690.48</v>
      </c>
      <c r="AB10" s="100">
        <f>_xll.EQNXTDZ($A$1,$B10,AB$1,$B$1)</f>
        <v>8069.27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-7.3220581999999999</v>
      </c>
      <c r="H11" s="100">
        <f>_xll.EQNXTDZ($A$1,$B11,H$1,$B$1)</f>
        <v>2.2851E-3</v>
      </c>
      <c r="I11" s="100">
        <f>_xll.EQNXTDZ($A$1,$B11,I$1,$B$1)</f>
        <v>-4.2888811999999996</v>
      </c>
      <c r="J11" s="100">
        <f>_xll.EQNXTDZ($A$1,$B11,J$1,$B$1)</f>
        <v>0</v>
      </c>
      <c r="K11" s="100">
        <f>_xll.EQNXTDZ($A$1,$B11,K$1,$B$1)</f>
        <v>-4.5315833000000003</v>
      </c>
      <c r="L11" s="100">
        <f>_xll.EQNXTDZ($A$1,$B11,L$1,$B$1)</f>
        <v>1.1057785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-3.516</v>
      </c>
      <c r="P11" s="100">
        <f>_xll.EQNXTDZ($A$1,$B11,P$1,$B$1)</f>
        <v>-4.298</v>
      </c>
      <c r="Q11" s="100">
        <f>_xll.EQNXTDZ($A$1,$B11,Q$1,$B$1)</f>
        <v>1.611</v>
      </c>
      <c r="R11" s="100">
        <f>_xll.EQNXTDZ($A$1,$B11,R$1,$B$1)</f>
        <v>-16.427</v>
      </c>
      <c r="S11" s="100">
        <f>_xll.EQNXTDZ($A$1,$B11,S$1,$B$1)</f>
        <v>-21.922000000000001</v>
      </c>
      <c r="T11" s="100">
        <f>_xll.EQNXTDZ($A$1,$B11,T$1,$B$1)</f>
        <v>-15.92</v>
      </c>
      <c r="U11" s="100">
        <f>_xll.EQNXTDZ($A$1,$B11,U$1,$B$1)</f>
        <v>-7.0149999999999997</v>
      </c>
      <c r="V11" s="100">
        <f>_xll.EQNXTDZ($A$1,$B11,V$1,$B$1)</f>
        <v>15.07</v>
      </c>
      <c r="W11" s="100">
        <f>_xll.EQNXTDZ($A$1,$B11,W$1,$B$1)</f>
        <v>-6.22</v>
      </c>
      <c r="X11" s="100">
        <f>_xll.EQNXTDZ($A$1,$B11,X$1,$B$1)</f>
        <v>-31.44</v>
      </c>
      <c r="Y11" s="100">
        <f>_xll.EQNXTDZ($A$1,$B11,Y$1,$B$1)</f>
        <v>-70.209999999999994</v>
      </c>
      <c r="Z11" s="100">
        <f>_xll.EQNXTDZ($A$1,$B11,Z$1,$B$1)</f>
        <v>-150.22</v>
      </c>
      <c r="AA11" s="100">
        <f>_xll.EQNXTDZ($A$1,$B11,AA$1,$B$1)</f>
        <v>-194.66</v>
      </c>
      <c r="AB11" s="100">
        <f>_xll.EQNXTDZ($A$1,$B11,AB$1,$B$1)</f>
        <v>-123.43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26.0530306</v>
      </c>
      <c r="H12" s="100">
        <f>_xll.EQNXTDZ($A$1,$B12,H$1,$B$1)</f>
        <v>35.373858599999998</v>
      </c>
      <c r="I12" s="100">
        <f>_xll.EQNXTDZ($A$1,$B12,I$1,$B$1)</f>
        <v>-2.3336307999999999</v>
      </c>
      <c r="J12" s="100">
        <f>_xll.EQNXTDZ($A$1,$B12,J$1,$B$1)</f>
        <v>0</v>
      </c>
      <c r="K12" s="100">
        <f>_xll.EQNXTDZ($A$1,$B12,K$1,$B$1)</f>
        <v>92.797977099999997</v>
      </c>
      <c r="L12" s="100">
        <f>_xll.EQNXTDZ($A$1,$B12,L$1,$B$1)</f>
        <v>37.848480299999999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115.599</v>
      </c>
      <c r="P12" s="100">
        <f>_xll.EQNXTDZ($A$1,$B12,P$1,$B$1)</f>
        <v>143.41999999999999</v>
      </c>
      <c r="Q12" s="100">
        <f>_xll.EQNXTDZ($A$1,$B12,Q$1,$B$1)</f>
        <v>195.75200000000001</v>
      </c>
      <c r="R12" s="100">
        <f>_xll.EQNXTDZ($A$1,$B12,R$1,$B$1)</f>
        <v>283.70100000000002</v>
      </c>
      <c r="S12" s="100">
        <f>_xll.EQNXTDZ($A$1,$B12,S$1,$B$1)</f>
        <v>389.82900000000001</v>
      </c>
      <c r="T12" s="100">
        <f>_xll.EQNXTDZ($A$1,$B12,T$1,$B$1)</f>
        <v>571.91999999999996</v>
      </c>
      <c r="U12" s="100">
        <f>_xll.EQNXTDZ($A$1,$B12,U$1,$B$1)</f>
        <v>689.68299999999999</v>
      </c>
      <c r="V12" s="100">
        <f>_xll.EQNXTDZ($A$1,$B12,V$1,$B$1)</f>
        <v>556.26</v>
      </c>
      <c r="W12" s="100">
        <f>_xll.EQNXTDZ($A$1,$B12,W$1,$B$1)</f>
        <v>660.65</v>
      </c>
      <c r="X12" s="100">
        <f>_xll.EQNXTDZ($A$1,$B12,X$1,$B$1)</f>
        <v>1030.33</v>
      </c>
      <c r="Y12" s="100">
        <f>_xll.EQNXTDZ($A$1,$B12,Y$1,$B$1)</f>
        <v>1672.35</v>
      </c>
      <c r="Z12" s="100">
        <f>_xll.EQNXTDZ($A$1,$B12,Z$1,$B$1)</f>
        <v>2486.4</v>
      </c>
      <c r="AA12" s="100">
        <f>_xll.EQNXTDZ($A$1,$B12,AA$1,$B$1)</f>
        <v>3248.02</v>
      </c>
      <c r="AB12" s="100">
        <f>_xll.EQNXTDZ($A$1,$B12,AB$1,$B$1)</f>
        <v>4434.84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35.249000000000002</v>
      </c>
      <c r="P13" s="100">
        <f>_xll.EQNXTDZ($A$1,$B13,P$1,$B$1)</f>
        <v>35.859000000000002</v>
      </c>
      <c r="Q13" s="100">
        <f>_xll.EQNXTDZ($A$1,$B13,Q$1,$B$1)</f>
        <v>41.920999999999999</v>
      </c>
      <c r="R13" s="100">
        <f>_xll.EQNXTDZ($A$1,$B13,R$1,$B$1)</f>
        <v>51.118000000000002</v>
      </c>
      <c r="S13" s="100">
        <f>_xll.EQNXTDZ($A$1,$B13,S$1,$B$1)</f>
        <v>66.165999999999997</v>
      </c>
      <c r="T13" s="100">
        <f>_xll.EQNXTDZ($A$1,$B13,T$1,$B$1)</f>
        <v>85.59</v>
      </c>
      <c r="U13" s="100">
        <f>_xll.EQNXTDZ($A$1,$B13,U$1,$B$1)</f>
        <v>96.638000000000005</v>
      </c>
      <c r="V13" s="100">
        <f>_xll.EQNXTDZ($A$1,$B13,V$1,$B$1)</f>
        <v>85.09</v>
      </c>
      <c r="W13" s="100">
        <f>_xll.EQNXTDZ($A$1,$B13,W$1,$B$1)</f>
        <v>82.1</v>
      </c>
      <c r="X13" s="100">
        <f>_xll.EQNXTDZ($A$1,$B13,X$1,$B$1)</f>
        <v>112.54</v>
      </c>
      <c r="Y13" s="100">
        <f>_xll.EQNXTDZ($A$1,$B13,Y$1,$B$1)</f>
        <v>166.06</v>
      </c>
      <c r="Z13" s="100">
        <f>_xll.EQNXTDZ($A$1,$B13,Z$1,$B$1)</f>
        <v>262.51</v>
      </c>
      <c r="AA13" s="100">
        <f>_xll.EQNXTDZ($A$1,$B13,AA$1,$B$1)</f>
        <v>367.57</v>
      </c>
      <c r="AB13" s="100">
        <f>_xll.EQNXTDZ($A$1,$B13,AB$1,$B$1)</f>
        <v>523.04999999999995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82.421999999999997</v>
      </c>
      <c r="P14" s="100">
        <f>_xll.EQNXTDZ($A$1,$B14,P$1,$B$1)</f>
        <v>82.680999999999997</v>
      </c>
      <c r="Q14" s="100">
        <f>_xll.EQNXTDZ($A$1,$B14,Q$1,$B$1)</f>
        <v>105.944</v>
      </c>
      <c r="R14" s="100">
        <f>_xll.EQNXTDZ($A$1,$B14,R$1,$B$1)</f>
        <v>122.84699999999999</v>
      </c>
      <c r="S14" s="100">
        <f>_xll.EQNXTDZ($A$1,$B14,S$1,$B$1)</f>
        <v>147.94399999999999</v>
      </c>
      <c r="T14" s="100">
        <f>_xll.EQNXTDZ($A$1,$B14,T$1,$B$1)</f>
        <v>198.63</v>
      </c>
      <c r="U14" s="100">
        <f>_xll.EQNXTDZ($A$1,$B14,U$1,$B$1)</f>
        <v>216.83099999999999</v>
      </c>
      <c r="V14" s="100">
        <f>_xll.EQNXTDZ($A$1,$B14,V$1,$B$1)</f>
        <v>148.84</v>
      </c>
      <c r="W14" s="100">
        <f>_xll.EQNXTDZ($A$1,$B14,W$1,$B$1)</f>
        <v>131.85</v>
      </c>
      <c r="X14" s="100">
        <f>_xll.EQNXTDZ($A$1,$B14,X$1,$B$1)</f>
        <v>175.81</v>
      </c>
      <c r="Y14" s="100">
        <f>_xll.EQNXTDZ($A$1,$B14,Y$1,$B$1)</f>
        <v>215.19</v>
      </c>
      <c r="Z14" s="100">
        <f>_xll.EQNXTDZ($A$1,$B14,Z$1,$B$1)</f>
        <v>273.39999999999998</v>
      </c>
      <c r="AA14" s="100">
        <f>_xll.EQNXTDZ($A$1,$B14,AA$1,$B$1)</f>
        <v>424.92</v>
      </c>
      <c r="AB14" s="100">
        <f>_xll.EQNXTDZ($A$1,$B14,AB$1,$B$1)</f>
        <v>566.99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11.767300000000001</v>
      </c>
      <c r="H15" s="100">
        <f>_xll.EQNXTDZ($A$1,$B15,H$1,$B$1)</f>
        <v>18.9785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31.578099999999999</v>
      </c>
      <c r="L15" s="100">
        <f>_xll.EQNXTDZ($A$1,$B15,L$1,$B$1)</f>
        <v>30.289400000000001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149.40100000000001</v>
      </c>
      <c r="P15" s="100">
        <f>_xll.EQNXTDZ($A$1,$B15,P$1,$B$1)</f>
        <v>143.041</v>
      </c>
      <c r="Q15" s="100">
        <f>_xll.EQNXTDZ($A$1,$B15,Q$1,$B$1)</f>
        <v>198.09399999999999</v>
      </c>
      <c r="R15" s="100">
        <f>_xll.EQNXTDZ($A$1,$B15,R$1,$B$1)</f>
        <v>171.26400000000001</v>
      </c>
      <c r="S15" s="100">
        <f>_xll.EQNXTDZ($A$1,$B15,S$1,$B$1)</f>
        <v>207.78</v>
      </c>
      <c r="T15" s="100">
        <f>_xll.EQNXTDZ($A$1,$B15,T$1,$B$1)</f>
        <v>260.44</v>
      </c>
      <c r="U15" s="100">
        <f>_xll.EQNXTDZ($A$1,$B15,U$1,$B$1)</f>
        <v>286.34500000000003</v>
      </c>
      <c r="V15" s="100">
        <f>_xll.EQNXTDZ($A$1,$B15,V$1,$B$1)</f>
        <v>222.33</v>
      </c>
      <c r="W15" s="100">
        <f>_xll.EQNXTDZ($A$1,$B15,W$1,$B$1)</f>
        <v>191.5</v>
      </c>
      <c r="X15" s="100">
        <f>_xll.EQNXTDZ($A$1,$B15,X$1,$B$1)</f>
        <v>315.35000000000002</v>
      </c>
      <c r="Y15" s="100">
        <f>_xll.EQNXTDZ($A$1,$B15,Y$1,$B$1)</f>
        <v>398.28</v>
      </c>
      <c r="Z15" s="100">
        <f>_xll.EQNXTDZ($A$1,$B15,Z$1,$B$1)</f>
        <v>558.55999999999995</v>
      </c>
      <c r="AA15" s="100">
        <f>_xll.EQNXTDZ($A$1,$B15,AA$1,$B$1)</f>
        <v>764.81</v>
      </c>
      <c r="AB15" s="100">
        <f>_xll.EQNXTDZ($A$1,$B15,AB$1,$B$1)</f>
        <v>1101.49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36.811881999999997</v>
      </c>
      <c r="H17" s="100">
        <f>_xll.EQNXTDZ($A$1,$B17,H$1,$B$1)</f>
        <v>41.284031599999999</v>
      </c>
      <c r="I17" s="100">
        <f>_xll.EQNXTDZ($A$1,$B17,I$1,$B$1)</f>
        <v>4.1500000000000002E-2</v>
      </c>
      <c r="J17" s="100">
        <f>_xll.EQNXTDZ($A$1,$B17,J$1,$B$1)</f>
        <v>0.1137</v>
      </c>
      <c r="K17" s="100">
        <f>_xll.EQNXTDZ($A$1,$B17,K$1,$B$1)</f>
        <v>105.6531415</v>
      </c>
      <c r="L17" s="100">
        <f>_xll.EQNXTDZ($A$1,$B17,L$1,$B$1)</f>
        <v>88.774557099999996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38.902999999999999</v>
      </c>
      <c r="P17" s="100">
        <f>_xll.EQNXTDZ($A$1,$B17,P$1,$B$1)</f>
        <v>37.448999999999998</v>
      </c>
      <c r="Q17" s="100">
        <f>_xll.EQNXTDZ($A$1,$B17,Q$1,$B$1)</f>
        <v>40.814999999999998</v>
      </c>
      <c r="R17" s="100">
        <f>_xll.EQNXTDZ($A$1,$B17,R$1,$B$1)</f>
        <v>45.113</v>
      </c>
      <c r="S17" s="100">
        <f>_xll.EQNXTDZ($A$1,$B17,S$1,$B$1)</f>
        <v>56.777999999999999</v>
      </c>
      <c r="T17" s="100">
        <f>_xll.EQNXTDZ($A$1,$B17,T$1,$B$1)</f>
        <v>70.61</v>
      </c>
      <c r="U17" s="100">
        <f>_xll.EQNXTDZ($A$1,$B17,U$1,$B$1)</f>
        <v>56.957000000000001</v>
      </c>
      <c r="V17" s="100">
        <f>_xll.EQNXTDZ($A$1,$B17,V$1,$B$1)</f>
        <v>41.76</v>
      </c>
      <c r="W17" s="100">
        <f>_xll.EQNXTDZ($A$1,$B17,W$1,$B$1)</f>
        <v>38.950000000000003</v>
      </c>
      <c r="X17" s="100">
        <f>_xll.EQNXTDZ($A$1,$B17,X$1,$B$1)</f>
        <v>46.73</v>
      </c>
      <c r="Y17" s="100">
        <f>_xll.EQNXTDZ($A$1,$B17,Y$1,$B$1)</f>
        <v>66.849999999999994</v>
      </c>
      <c r="Z17" s="100">
        <f>_xll.EQNXTDZ($A$1,$B17,Z$1,$B$1)</f>
        <v>83.61</v>
      </c>
      <c r="AA17" s="100">
        <f>_xll.EQNXTDZ($A$1,$B17,AA$1,$B$1)</f>
        <v>140.86000000000001</v>
      </c>
      <c r="AB17" s="100">
        <f>_xll.EQNXTDZ($A$1,$B17,AB$1,$B$1)</f>
        <v>181.44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9.1069999999999993</v>
      </c>
      <c r="P18" s="100">
        <f>_xll.EQNXTDZ($A$1,$B18,P$1,$B$1)</f>
        <v>8.5909999999999993</v>
      </c>
      <c r="Q18" s="100">
        <f>_xll.EQNXTDZ($A$1,$B18,Q$1,$B$1)</f>
        <v>11.914999999999999</v>
      </c>
      <c r="R18" s="100">
        <f>_xll.EQNXTDZ($A$1,$B18,R$1,$B$1)</f>
        <v>13.372999999999999</v>
      </c>
      <c r="S18" s="100">
        <f>_xll.EQNXTDZ($A$1,$B18,S$1,$B$1)</f>
        <v>19.116</v>
      </c>
      <c r="T18" s="100">
        <f>_xll.EQNXTDZ($A$1,$B18,T$1,$B$1)</f>
        <v>24.93</v>
      </c>
      <c r="U18" s="100">
        <f>_xll.EQNXTDZ($A$1,$B18,U$1,$B$1)</f>
        <v>28.91</v>
      </c>
      <c r="V18" s="100">
        <f>_xll.EQNXTDZ($A$1,$B18,V$1,$B$1)</f>
        <v>21.42</v>
      </c>
      <c r="W18" s="100">
        <f>_xll.EQNXTDZ($A$1,$B18,W$1,$B$1)</f>
        <v>19.739999999999998</v>
      </c>
      <c r="X18" s="100">
        <f>_xll.EQNXTDZ($A$1,$B18,X$1,$B$1)</f>
        <v>31.45</v>
      </c>
      <c r="Y18" s="100">
        <f>_xll.EQNXTDZ($A$1,$B18,Y$1,$B$1)</f>
        <v>45.84</v>
      </c>
      <c r="Z18" s="100">
        <f>_xll.EQNXTDZ($A$1,$B18,Z$1,$B$1)</f>
        <v>53</v>
      </c>
      <c r="AA18" s="100">
        <f>_xll.EQNXTDZ($A$1,$B18,AA$1,$B$1)</f>
        <v>86.97</v>
      </c>
      <c r="AB18" s="100">
        <f>_xll.EQNXTDZ($A$1,$B18,AB$1,$B$1)</f>
        <v>129.4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138.9449936</v>
      </c>
      <c r="J19" s="100">
        <f>_xll.EQNXTDZ($A$1,$B19,J$1,$B$1)</f>
        <v>193.4384901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8.7289999999999992</v>
      </c>
      <c r="P19" s="100">
        <f>_xll.EQNXTDZ($A$1,$B19,P$1,$B$1)</f>
        <v>6.0970000000000004</v>
      </c>
      <c r="Q19" s="100">
        <f>_xll.EQNXTDZ($A$1,$B19,Q$1,$B$1)</f>
        <v>14.24</v>
      </c>
      <c r="R19" s="100">
        <f>_xll.EQNXTDZ($A$1,$B19,R$1,$B$1)</f>
        <v>0.56999999999999995</v>
      </c>
      <c r="S19" s="100">
        <f>_xll.EQNXTDZ($A$1,$B19,S$1,$B$1)</f>
        <v>8.6850000000000005</v>
      </c>
      <c r="T19" s="100">
        <f>_xll.EQNXTDZ($A$1,$B19,T$1,$B$1)</f>
        <v>6.62</v>
      </c>
      <c r="U19" s="100">
        <f>_xll.EQNXTDZ($A$1,$B19,U$1,$B$1)</f>
        <v>7.5750000000000002</v>
      </c>
      <c r="V19" s="100">
        <f>_xll.EQNXTDZ($A$1,$B19,V$1,$B$1)</f>
        <v>4.4000000000000004</v>
      </c>
      <c r="W19" s="100">
        <f>_xll.EQNXTDZ($A$1,$B19,W$1,$B$1)</f>
        <v>3.9</v>
      </c>
      <c r="X19" s="100">
        <f>_xll.EQNXTDZ($A$1,$B19,X$1,$B$1)</f>
        <v>2.66</v>
      </c>
      <c r="Y19" s="100">
        <f>_xll.EQNXTDZ($A$1,$B19,Y$1,$B$1)</f>
        <v>4.63</v>
      </c>
      <c r="Z19" s="100">
        <f>_xll.EQNXTDZ($A$1,$B19,Z$1,$B$1)</f>
        <v>6.59</v>
      </c>
      <c r="AA19" s="100">
        <f>_xll.EQNXTDZ($A$1,$B19,AA$1,$B$1)</f>
        <v>19.28</v>
      </c>
      <c r="AB19" s="100">
        <f>_xll.EQNXTDZ($A$1,$B19,AB$1,$B$1)</f>
        <v>17.899999999999999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67.310154400000002</v>
      </c>
      <c r="H21" s="100">
        <f>_xll.EQNXTDZ($A$1,$B21,H$1,$B$1)</f>
        <v>95.638675300000003</v>
      </c>
      <c r="I21" s="100">
        <f>_xll.EQNXTDZ($A$1,$B21,I$1,$B$1)</f>
        <v>132.36398159999999</v>
      </c>
      <c r="J21" s="100">
        <f>_xll.EQNXTDZ($A$1,$B21,J$1,$B$1)</f>
        <v>193.55219009999999</v>
      </c>
      <c r="K21" s="100">
        <f>_xll.EQNXTDZ($A$1,$B21,K$1,$B$1)</f>
        <v>225.49763530000001</v>
      </c>
      <c r="L21" s="100">
        <f>_xll.EQNXTDZ($A$1,$B21,L$1,$B$1)</f>
        <v>158.0182159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435.89400000000001</v>
      </c>
      <c r="P21" s="100">
        <f>_xll.EQNXTDZ($A$1,$B21,P$1,$B$1)</f>
        <v>452.84</v>
      </c>
      <c r="Q21" s="100">
        <f>_xll.EQNXTDZ($A$1,$B21,Q$1,$B$1)</f>
        <v>610.29200000000003</v>
      </c>
      <c r="R21" s="100">
        <f>_xll.EQNXTDZ($A$1,$B21,R$1,$B$1)</f>
        <v>671.55899999999997</v>
      </c>
      <c r="S21" s="100">
        <f>_xll.EQNXTDZ($A$1,$B21,S$1,$B$1)</f>
        <v>874.37599999999998</v>
      </c>
      <c r="T21" s="100">
        <f>_xll.EQNXTDZ($A$1,$B21,T$1,$B$1)</f>
        <v>1202.82</v>
      </c>
      <c r="U21" s="100">
        <f>_xll.EQNXTDZ($A$1,$B21,U$1,$B$1)</f>
        <v>1375.924</v>
      </c>
      <c r="V21" s="100">
        <f>_xll.EQNXTDZ($A$1,$B21,V$1,$B$1)</f>
        <v>1095.17</v>
      </c>
      <c r="W21" s="100">
        <f>_xll.EQNXTDZ($A$1,$B21,W$1,$B$1)</f>
        <v>1122.47</v>
      </c>
      <c r="X21" s="100">
        <f>_xll.EQNXTDZ($A$1,$B21,X$1,$B$1)</f>
        <v>1683.43</v>
      </c>
      <c r="Y21" s="100">
        <f>_xll.EQNXTDZ($A$1,$B21,Y$1,$B$1)</f>
        <v>2498.9899999999998</v>
      </c>
      <c r="Z21" s="100">
        <f>_xll.EQNXTDZ($A$1,$B21,Z$1,$B$1)</f>
        <v>3573.85</v>
      </c>
      <c r="AA21" s="100">
        <f>_xll.EQNXTDZ($A$1,$B21,AA$1,$B$1)</f>
        <v>4857.7700000000004</v>
      </c>
      <c r="AB21" s="100">
        <f>_xll.EQNXTDZ($A$1,$B21,AB$1,$B$1)</f>
        <v>6831.68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12.54997</v>
      </c>
      <c r="H22" s="100">
        <f>_xll.EQNXTDZ($A$1,$B22,H$1,$B$1)</f>
        <v>18.374706700000001</v>
      </c>
      <c r="I22" s="100">
        <f>_xll.EQNXTDZ($A$1,$B22,I$1,$B$1)</f>
        <v>18.1474464</v>
      </c>
      <c r="J22" s="100">
        <f>_xll.EQNXTDZ($A$1,$B22,J$1,$B$1)</f>
        <v>14.7899428</v>
      </c>
      <c r="K22" s="100">
        <f>_xll.EQNXTDZ($A$1,$B22,K$1,$B$1)</f>
        <v>26.551738799999999</v>
      </c>
      <c r="L22" s="100">
        <f>_xll.EQNXTDZ($A$1,$B22,L$1,$B$1)</f>
        <v>31.737905099999999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167.72800000000001</v>
      </c>
      <c r="P22" s="100">
        <f>_xll.EQNXTDZ($A$1,$B22,P$1,$B$1)</f>
        <v>163.15</v>
      </c>
      <c r="Q22" s="100">
        <f>_xll.EQNXTDZ($A$1,$B22,Q$1,$B$1)</f>
        <v>189.815</v>
      </c>
      <c r="R22" s="100">
        <f>_xll.EQNXTDZ($A$1,$B22,R$1,$B$1)</f>
        <v>223.529</v>
      </c>
      <c r="S22" s="100">
        <f>_xll.EQNXTDZ($A$1,$B22,S$1,$B$1)</f>
        <v>227.49799999999999</v>
      </c>
      <c r="T22" s="100">
        <f>_xll.EQNXTDZ($A$1,$B22,T$1,$B$1)</f>
        <v>276.27</v>
      </c>
      <c r="U22" s="100">
        <f>_xll.EQNXTDZ($A$1,$B22,U$1,$B$1)</f>
        <v>442.08300000000003</v>
      </c>
      <c r="V22" s="100">
        <f>_xll.EQNXTDZ($A$1,$B22,V$1,$B$1)</f>
        <v>397.29</v>
      </c>
      <c r="W22" s="100">
        <f>_xll.EQNXTDZ($A$1,$B22,W$1,$B$1)</f>
        <v>437.48</v>
      </c>
      <c r="X22" s="100">
        <f>_xll.EQNXTDZ($A$1,$B22,X$1,$B$1)</f>
        <v>533.59</v>
      </c>
      <c r="Y22" s="100">
        <f>_xll.EQNXTDZ($A$1,$B22,Y$1,$B$1)</f>
        <v>683.61</v>
      </c>
      <c r="Z22" s="100">
        <f>_xll.EQNXTDZ($A$1,$B22,Z$1,$B$1)</f>
        <v>877.88</v>
      </c>
      <c r="AA22" s="100">
        <f>_xll.EQNXTDZ($A$1,$B22,AA$1,$B$1)</f>
        <v>832.71</v>
      </c>
      <c r="AB22" s="100">
        <f>_xll.EQNXTDZ($A$1,$B22,AB$1,$B$1)</f>
        <v>1237.5899999999999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5.5259999999999998</v>
      </c>
      <c r="P23" s="100">
        <f>_xll.EQNXTDZ($A$1,$B23,P$1,$B$1)</f>
        <v>12.246</v>
      </c>
      <c r="Q23" s="100">
        <f>_xll.EQNXTDZ($A$1,$B23,Q$1,$B$1)</f>
        <v>1.0069999999999999</v>
      </c>
      <c r="R23" s="100">
        <f>_xll.EQNXTDZ($A$1,$B23,R$1,$B$1)</f>
        <v>13.612</v>
      </c>
      <c r="S23" s="100">
        <f>_xll.EQNXTDZ($A$1,$B23,S$1,$B$1)</f>
        <v>11.381</v>
      </c>
      <c r="T23" s="100">
        <f>_xll.EQNXTDZ($A$1,$B23,T$1,$B$1)</f>
        <v>15.06</v>
      </c>
      <c r="U23" s="100">
        <f>_xll.EQNXTDZ($A$1,$B23,U$1,$B$1)</f>
        <v>14.194000000000001</v>
      </c>
      <c r="V23" s="100">
        <f>_xll.EQNXTDZ($A$1,$B23,V$1,$B$1)</f>
        <v>9.27</v>
      </c>
      <c r="W23" s="100">
        <f>_xll.EQNXTDZ($A$1,$B23,W$1,$B$1)</f>
        <v>14.55</v>
      </c>
      <c r="X23" s="100">
        <f>_xll.EQNXTDZ($A$1,$B23,X$1,$B$1)</f>
        <v>8.11</v>
      </c>
      <c r="Y23" s="100">
        <f>_xll.EQNXTDZ($A$1,$B23,Y$1,$B$1)</f>
        <v>12.54</v>
      </c>
      <c r="Z23" s="100">
        <f>_xll.EQNXTDZ($A$1,$B23,Z$1,$B$1)</f>
        <v>18.190000000000001</v>
      </c>
      <c r="AA23" s="100">
        <f>_xll.EQNXTDZ($A$1,$B23,AA$1,$B$1)</f>
        <v>25.07</v>
      </c>
      <c r="AB23" s="100">
        <f>_xll.EQNXTDZ($A$1,$B23,AB$1,$B$1)</f>
        <v>61.36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12.54997</v>
      </c>
      <c r="H24" s="100">
        <f>_xll.EQNXTDZ($A$1,$B24,H$1,$B$1)</f>
        <v>18.374706700000001</v>
      </c>
      <c r="I24" s="100">
        <f>_xll.EQNXTDZ($A$1,$B24,I$1,$B$1)</f>
        <v>18.1474464</v>
      </c>
      <c r="J24" s="100">
        <f>_xll.EQNXTDZ($A$1,$B24,J$1,$B$1)</f>
        <v>14.7899428</v>
      </c>
      <c r="K24" s="100">
        <f>_xll.EQNXTDZ($A$1,$B24,K$1,$B$1)</f>
        <v>26.551738799999999</v>
      </c>
      <c r="L24" s="100">
        <f>_xll.EQNXTDZ($A$1,$B24,L$1,$B$1)</f>
        <v>31.737905099999999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173.25399999999999</v>
      </c>
      <c r="P24" s="100">
        <f>_xll.EQNXTDZ($A$1,$B24,P$1,$B$1)</f>
        <v>175.39599999999999</v>
      </c>
      <c r="Q24" s="100">
        <f>_xll.EQNXTDZ($A$1,$B24,Q$1,$B$1)</f>
        <v>190.822</v>
      </c>
      <c r="R24" s="100">
        <f>_xll.EQNXTDZ($A$1,$B24,R$1,$B$1)</f>
        <v>237.14099999999999</v>
      </c>
      <c r="S24" s="100">
        <f>_xll.EQNXTDZ($A$1,$B24,S$1,$B$1)</f>
        <v>238.87899999999999</v>
      </c>
      <c r="T24" s="100">
        <f>_xll.EQNXTDZ($A$1,$B24,T$1,$B$1)</f>
        <v>291.33</v>
      </c>
      <c r="U24" s="100">
        <f>_xll.EQNXTDZ($A$1,$B24,U$1,$B$1)</f>
        <v>456.27699999999999</v>
      </c>
      <c r="V24" s="100">
        <f>_xll.EQNXTDZ($A$1,$B24,V$1,$B$1)</f>
        <v>406.56</v>
      </c>
      <c r="W24" s="100">
        <f>_xll.EQNXTDZ($A$1,$B24,W$1,$B$1)</f>
        <v>452.03</v>
      </c>
      <c r="X24" s="100">
        <f>_xll.EQNXTDZ($A$1,$B24,X$1,$B$1)</f>
        <v>541.70000000000005</v>
      </c>
      <c r="Y24" s="100">
        <f>_xll.EQNXTDZ($A$1,$B24,Y$1,$B$1)</f>
        <v>696.15</v>
      </c>
      <c r="Z24" s="100">
        <f>_xll.EQNXTDZ($A$1,$B24,Z$1,$B$1)</f>
        <v>896.07</v>
      </c>
      <c r="AA24" s="100">
        <f>_xll.EQNXTDZ($A$1,$B24,AA$1,$B$1)</f>
        <v>857.78</v>
      </c>
      <c r="AB24" s="100">
        <f>_xll.EQNXTDZ($A$1,$B24,AB$1,$B$1)</f>
        <v>1298.95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51.042000000000002</v>
      </c>
      <c r="P25" s="100">
        <f>_xll.EQNXTDZ($A$1,$B25,P$1,$B$1)</f>
        <v>52.383000000000003</v>
      </c>
      <c r="Q25" s="100">
        <f>_xll.EQNXTDZ($A$1,$B25,Q$1,$B$1)</f>
        <v>64.369</v>
      </c>
      <c r="R25" s="100">
        <f>_xll.EQNXTDZ($A$1,$B25,R$1,$B$1)</f>
        <v>79.807000000000002</v>
      </c>
      <c r="S25" s="100">
        <f>_xll.EQNXTDZ($A$1,$B25,S$1,$B$1)</f>
        <v>89.658000000000001</v>
      </c>
      <c r="T25" s="100">
        <f>_xll.EQNXTDZ($A$1,$B25,T$1,$B$1)</f>
        <v>109.1</v>
      </c>
      <c r="U25" s="100">
        <f>_xll.EQNXTDZ($A$1,$B25,U$1,$B$1)</f>
        <v>140.54900000000001</v>
      </c>
      <c r="V25" s="100">
        <f>_xll.EQNXTDZ($A$1,$B25,V$1,$B$1)</f>
        <v>148.6</v>
      </c>
      <c r="W25" s="100">
        <f>_xll.EQNXTDZ($A$1,$B25,W$1,$B$1)</f>
        <v>110.99</v>
      </c>
      <c r="X25" s="100">
        <f>_xll.EQNXTDZ($A$1,$B25,X$1,$B$1)</f>
        <v>84.36</v>
      </c>
      <c r="Y25" s="100">
        <f>_xll.EQNXTDZ($A$1,$B25,Y$1,$B$1)</f>
        <v>120.23</v>
      </c>
      <c r="Z25" s="100">
        <f>_xll.EQNXTDZ($A$1,$B25,Z$1,$B$1)</f>
        <v>174.54</v>
      </c>
      <c r="AA25" s="100">
        <f>_xll.EQNXTDZ($A$1,$B25,AA$1,$B$1)</f>
        <v>216.64</v>
      </c>
      <c r="AB25" s="100">
        <f>_xll.EQNXTDZ($A$1,$B25,AB$1,$B$1)</f>
        <v>308.97000000000003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12.54997</v>
      </c>
      <c r="H26" s="100">
        <f>_xll.EQNXTDZ($A$1,$B26,H$1,$B$1)</f>
        <v>18.374706700000001</v>
      </c>
      <c r="I26" s="100">
        <f>_xll.EQNXTDZ($A$1,$B26,I$1,$B$1)</f>
        <v>18.1474464</v>
      </c>
      <c r="J26" s="100">
        <f>_xll.EQNXTDZ($A$1,$B26,J$1,$B$1)</f>
        <v>14.7899428</v>
      </c>
      <c r="K26" s="100">
        <f>_xll.EQNXTDZ($A$1,$B26,K$1,$B$1)</f>
        <v>26.551738799999999</v>
      </c>
      <c r="L26" s="100">
        <f>_xll.EQNXTDZ($A$1,$B26,L$1,$B$1)</f>
        <v>31.737905099999999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122.212</v>
      </c>
      <c r="P26" s="100">
        <f>_xll.EQNXTDZ($A$1,$B26,P$1,$B$1)</f>
        <v>123.01300000000001</v>
      </c>
      <c r="Q26" s="100">
        <f>_xll.EQNXTDZ($A$1,$B26,Q$1,$B$1)</f>
        <v>126.453</v>
      </c>
      <c r="R26" s="100">
        <f>_xll.EQNXTDZ($A$1,$B26,R$1,$B$1)</f>
        <v>157.334</v>
      </c>
      <c r="S26" s="100">
        <f>_xll.EQNXTDZ($A$1,$B26,S$1,$B$1)</f>
        <v>149.221</v>
      </c>
      <c r="T26" s="100">
        <f>_xll.EQNXTDZ($A$1,$B26,T$1,$B$1)</f>
        <v>182.23</v>
      </c>
      <c r="U26" s="100">
        <f>_xll.EQNXTDZ($A$1,$B26,U$1,$B$1)</f>
        <v>315.72800000000001</v>
      </c>
      <c r="V26" s="100">
        <f>_xll.EQNXTDZ($A$1,$B26,V$1,$B$1)</f>
        <v>257.95999999999998</v>
      </c>
      <c r="W26" s="100">
        <f>_xll.EQNXTDZ($A$1,$B26,W$1,$B$1)</f>
        <v>341.04</v>
      </c>
      <c r="X26" s="100">
        <f>_xll.EQNXTDZ($A$1,$B26,X$1,$B$1)</f>
        <v>457.34</v>
      </c>
      <c r="Y26" s="100">
        <f>_xll.EQNXTDZ($A$1,$B26,Y$1,$B$1)</f>
        <v>575.91999999999996</v>
      </c>
      <c r="Z26" s="100">
        <f>_xll.EQNXTDZ($A$1,$B26,Z$1,$B$1)</f>
        <v>721.53</v>
      </c>
      <c r="AA26" s="100">
        <f>_xll.EQNXTDZ($A$1,$B26,AA$1,$B$1)</f>
        <v>641.14</v>
      </c>
      <c r="AB26" s="100">
        <f>_xll.EQNXTDZ($A$1,$B26,AB$1,$B$1)</f>
        <v>989.98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4.5789192999999999</v>
      </c>
      <c r="H27" s="100">
        <f>_xll.EQNXTDZ($A$1,$B27,H$1,$B$1)</f>
        <v>5.8362401999999998</v>
      </c>
      <c r="I27" s="100">
        <f>_xll.EQNXTDZ($A$1,$B27,I$1,$B$1)</f>
        <v>7.0705935000000002</v>
      </c>
      <c r="J27" s="100">
        <f>_xll.EQNXTDZ($A$1,$B27,J$1,$B$1)</f>
        <v>0</v>
      </c>
      <c r="K27" s="100">
        <f>_xll.EQNXTDZ($A$1,$B27,K$1,$B$1)</f>
        <v>15.8643508</v>
      </c>
      <c r="L27" s="100">
        <f>_xll.EQNXTDZ($A$1,$B27,L$1,$B$1)</f>
        <v>18.996565199999999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68.346000000000004</v>
      </c>
      <c r="P27" s="100">
        <f>_xll.EQNXTDZ($A$1,$B27,P$1,$B$1)</f>
        <v>81.040000000000006</v>
      </c>
      <c r="Q27" s="100">
        <f>_xll.EQNXTDZ($A$1,$B27,Q$1,$B$1)</f>
        <v>95.108999999999995</v>
      </c>
      <c r="R27" s="100">
        <f>_xll.EQNXTDZ($A$1,$B27,R$1,$B$1)</f>
        <v>101.98399999999999</v>
      </c>
      <c r="S27" s="100">
        <f>_xll.EQNXTDZ($A$1,$B27,S$1,$B$1)</f>
        <v>113.955</v>
      </c>
      <c r="T27" s="100">
        <f>_xll.EQNXTDZ($A$1,$B27,T$1,$B$1)</f>
        <v>136.44999999999999</v>
      </c>
      <c r="U27" s="100">
        <f>_xll.EQNXTDZ($A$1,$B27,U$1,$B$1)</f>
        <v>176.148</v>
      </c>
      <c r="V27" s="100">
        <f>_xll.EQNXTDZ($A$1,$B27,V$1,$B$1)</f>
        <v>196.4</v>
      </c>
      <c r="W27" s="100">
        <f>_xll.EQNXTDZ($A$1,$B27,W$1,$B$1)</f>
        <v>192.45</v>
      </c>
      <c r="X27" s="100">
        <f>_xll.EQNXTDZ($A$1,$B27,X$1,$B$1)</f>
        <v>205.99</v>
      </c>
      <c r="Y27" s="100">
        <f>_xll.EQNXTDZ($A$1,$B27,Y$1,$B$1)</f>
        <v>221.61</v>
      </c>
      <c r="Z27" s="100">
        <f>_xll.EQNXTDZ($A$1,$B27,Z$1,$B$1)</f>
        <v>277.69</v>
      </c>
      <c r="AA27" s="100">
        <f>_xll.EQNXTDZ($A$1,$B27,AA$1,$B$1)</f>
        <v>347.02</v>
      </c>
      <c r="AB27" s="100">
        <f>_xll.EQNXTDZ($A$1,$B27,AB$1,$B$1)</f>
        <v>443.85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4.2000000000000003E-2</v>
      </c>
      <c r="P28" s="100">
        <f>_xll.EQNXTDZ($A$1,$B28,P$1,$B$1)</f>
        <v>5.1999999999999998E-2</v>
      </c>
      <c r="Q28" s="100">
        <f>_xll.EQNXTDZ($A$1,$B28,Q$1,$B$1)</f>
        <v>2.1999999999999999E-2</v>
      </c>
      <c r="R28" s="100">
        <f>_xll.EQNXTDZ($A$1,$B28,R$1,$B$1)</f>
        <v>5.8000000000000003E-2</v>
      </c>
      <c r="S28" s="100">
        <f>_xll.EQNXTDZ($A$1,$B28,S$1,$B$1)</f>
        <v>0.224</v>
      </c>
      <c r="T28" s="100">
        <f>_xll.EQNXTDZ($A$1,$B28,T$1,$B$1)</f>
        <v>0.25</v>
      </c>
      <c r="U28" s="100">
        <f>_xll.EQNXTDZ($A$1,$B28,U$1,$B$1)</f>
        <v>0.40300000000000002</v>
      </c>
      <c r="V28" s="100">
        <f>_xll.EQNXTDZ($A$1,$B28,V$1,$B$1)</f>
        <v>-0.02</v>
      </c>
      <c r="W28" s="100">
        <f>_xll.EQNXTDZ($A$1,$B28,W$1,$B$1)</f>
        <v>0.17</v>
      </c>
      <c r="X28" s="100">
        <f>_xll.EQNXTDZ($A$1,$B28,X$1,$B$1)</f>
        <v>0.38</v>
      </c>
      <c r="Y28" s="100">
        <f>_xll.EQNXTDZ($A$1,$B28,Y$1,$B$1)</f>
        <v>0.48</v>
      </c>
      <c r="Z28" s="100">
        <f>_xll.EQNXTDZ($A$1,$B28,Z$1,$B$1)</f>
        <v>0.85</v>
      </c>
      <c r="AA28" s="100">
        <f>_xll.EQNXTDZ($A$1,$B28,AA$1,$B$1)</f>
        <v>1</v>
      </c>
      <c r="AB28" s="100">
        <f>_xll.EQNXTDZ($A$1,$B28,AB$1,$B$1)</f>
        <v>1.1200000000000001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-5.77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-25.47</v>
      </c>
      <c r="AB29" s="100">
        <f>_xll.EQNXTDZ($A$1,$B29,AB$1,$B$1)</f>
        <v>-12.95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0.99</v>
      </c>
      <c r="H30" s="100">
        <f>_xll.EQNXTDZ($A$1,$B30,H$1,$B$1)</f>
        <v>2.4529999999999998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1.7511000000000001</v>
      </c>
      <c r="L30" s="100">
        <f>_xll.EQNXTDZ($A$1,$B30,L$1,$B$1)</f>
        <v>2.3437999999999999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15.629</v>
      </c>
      <c r="P30" s="100">
        <f>_xll.EQNXTDZ($A$1,$B30,P$1,$B$1)</f>
        <v>18.643000000000001</v>
      </c>
      <c r="Q30" s="100">
        <f>_xll.EQNXTDZ($A$1,$B30,Q$1,$B$1)</f>
        <v>10.564</v>
      </c>
      <c r="R30" s="100">
        <f>_xll.EQNXTDZ($A$1,$B30,R$1,$B$1)</f>
        <v>10.805</v>
      </c>
      <c r="S30" s="100">
        <f>_xll.EQNXTDZ($A$1,$B30,S$1,$B$1)</f>
        <v>-7.0970000000000004</v>
      </c>
      <c r="T30" s="100">
        <f>_xll.EQNXTDZ($A$1,$B30,T$1,$B$1)</f>
        <v>12.88</v>
      </c>
      <c r="U30" s="100">
        <f>_xll.EQNXTDZ($A$1,$B30,U$1,$B$1)</f>
        <v>42.616</v>
      </c>
      <c r="V30" s="100">
        <f>_xll.EQNXTDZ($A$1,$B30,V$1,$B$1)</f>
        <v>15.76</v>
      </c>
      <c r="W30" s="100">
        <f>_xll.EQNXTDZ($A$1,$B30,W$1,$B$1)</f>
        <v>51.4</v>
      </c>
      <c r="X30" s="100">
        <f>_xll.EQNXTDZ($A$1,$B30,X$1,$B$1)</f>
        <v>88.64</v>
      </c>
      <c r="Y30" s="100">
        <f>_xll.EQNXTDZ($A$1,$B30,Y$1,$B$1)</f>
        <v>103.83</v>
      </c>
      <c r="Z30" s="100">
        <f>_xll.EQNXTDZ($A$1,$B30,Z$1,$B$1)</f>
        <v>107.36</v>
      </c>
      <c r="AA30" s="100">
        <f>_xll.EQNXTDZ($A$1,$B30,AA$1,$B$1)</f>
        <v>68.78</v>
      </c>
      <c r="AB30" s="100">
        <f>_xll.EQNXTDZ($A$1,$B30,AB$1,$B$1)</f>
        <v>150.31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-2.57</v>
      </c>
      <c r="Z32" s="100">
        <f>_xll.EQNXTDZ($A$1,$B32,Z$1,$B$1)</f>
        <v>-32.86</v>
      </c>
      <c r="AA32" s="100">
        <f>_xll.EQNXTDZ($A$1,$B32,AA$1,$B$1)</f>
        <v>-6.3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6.9810506999999999</v>
      </c>
      <c r="H35" s="100">
        <f>_xll.EQNXTDZ($A$1,$B35,H$1,$B$1)</f>
        <v>10.085466500000001</v>
      </c>
      <c r="I35" s="100">
        <f>_xll.EQNXTDZ($A$1,$B35,I$1,$B$1)</f>
        <v>11.0768529</v>
      </c>
      <c r="J35" s="100">
        <f>_xll.EQNXTDZ($A$1,$B35,J$1,$B$1)</f>
        <v>14.7899428</v>
      </c>
      <c r="K35" s="100">
        <f>_xll.EQNXTDZ($A$1,$B35,K$1,$B$1)</f>
        <v>8.9362879999999993</v>
      </c>
      <c r="L35" s="100">
        <f>_xll.EQNXTDZ($A$1,$B35,L$1,$B$1)</f>
        <v>10.3975399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38.279000000000003</v>
      </c>
      <c r="P35" s="100">
        <f>_xll.EQNXTDZ($A$1,$B35,P$1,$B$1)</f>
        <v>23.382000000000001</v>
      </c>
      <c r="Q35" s="100">
        <f>_xll.EQNXTDZ($A$1,$B35,Q$1,$B$1)</f>
        <v>20.802</v>
      </c>
      <c r="R35" s="100">
        <f>_xll.EQNXTDZ($A$1,$B35,R$1,$B$1)</f>
        <v>44.603000000000002</v>
      </c>
      <c r="S35" s="100">
        <f>_xll.EQNXTDZ($A$1,$B35,S$1,$B$1)</f>
        <v>42.587000000000003</v>
      </c>
      <c r="T35" s="100">
        <f>_xll.EQNXTDZ($A$1,$B35,T$1,$B$1)</f>
        <v>33.15</v>
      </c>
      <c r="U35" s="100">
        <f>_xll.EQNXTDZ($A$1,$B35,U$1,$B$1)</f>
        <v>97.367000000000004</v>
      </c>
      <c r="V35" s="100">
        <f>_xll.EQNXTDZ($A$1,$B35,V$1,$B$1)</f>
        <v>40.01</v>
      </c>
      <c r="W35" s="100">
        <f>_xll.EQNXTDZ($A$1,$B35,W$1,$B$1)</f>
        <v>97.36</v>
      </c>
      <c r="X35" s="100">
        <f>_xll.EQNXTDZ($A$1,$B35,X$1,$B$1)</f>
        <v>163.09</v>
      </c>
      <c r="Y35" s="100">
        <f>_xll.EQNXTDZ($A$1,$B35,Y$1,$B$1)</f>
        <v>248.39</v>
      </c>
      <c r="Z35" s="100">
        <f>_xll.EQNXTDZ($A$1,$B35,Z$1,$B$1)</f>
        <v>304.47000000000003</v>
      </c>
      <c r="AA35" s="100">
        <f>_xll.EQNXTDZ($A$1,$B35,AA$1,$B$1)</f>
        <v>194.57</v>
      </c>
      <c r="AB35" s="100">
        <f>_xll.EQNXTDZ($A$1,$B35,AB$1,$B$1)</f>
        <v>383.99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0.85</v>
      </c>
      <c r="H41" s="55">
        <f>_xll.EQNXTDZ($A$1,$B41,H$1,$B$1)</f>
        <v>0.85</v>
      </c>
      <c r="I41" s="55">
        <f>_xll.EQNXTDZ($A$1,$B41,I$1,$B$1)</f>
        <v>4.05</v>
      </c>
      <c r="J41" s="55">
        <f>_xll.EQNXTDZ($A$1,$B41,J$1,$B$1)</f>
        <v>4.05</v>
      </c>
      <c r="K41" s="55">
        <f>_xll.EQNXTDZ($A$1,$B41,K$1,$B$1)</f>
        <v>4.05</v>
      </c>
      <c r="L41" s="55">
        <f>_xll.EQNXTDZ($A$1,$B41,L$1,$B$1)</f>
        <v>4.05</v>
      </c>
      <c r="M41" s="55">
        <f>_xll.EQNXTDZ($A$1,$B41,M$1,$B$1)</f>
        <v>4.7126299999999999</v>
      </c>
      <c r="N41" s="55">
        <f>_xll.EQNXTDZ($A$1,$B41,N$1,$B$1)</f>
        <v>4.7126299999999999</v>
      </c>
      <c r="O41" s="55">
        <f>_xll.EQNXTDZ($A$1,$B41,O$1,$B$1)</f>
        <v>5.7489999999999997</v>
      </c>
      <c r="P41" s="55">
        <f>_xll.EQNXTDZ($A$1,$B41,P$1,$B$1)</f>
        <v>5.7489999999999997</v>
      </c>
      <c r="Q41" s="55">
        <f>_xll.EQNXTDZ($A$1,$B41,Q$1,$B$1)</f>
        <v>5.7489999999999997</v>
      </c>
      <c r="R41" s="55">
        <f>_xll.EQNXTDZ($A$1,$B41,R$1,$B$1)</f>
        <v>5.7489999999999997</v>
      </c>
      <c r="S41" s="55">
        <f>_xll.EQNXTDZ($A$1,$B41,S$1,$B$1)</f>
        <v>5.7489999999999997</v>
      </c>
      <c r="T41" s="55">
        <f>_xll.EQNXTDZ($A$1,$B41,T$1,$B$1)</f>
        <v>10.06</v>
      </c>
      <c r="U41" s="55">
        <f>_xll.EQNXTDZ($A$1,$B41,U$1,$B$1)</f>
        <v>10.061</v>
      </c>
      <c r="V41" s="55">
        <f>_xll.EQNXTDZ($A$1,$B41,V$1,$B$1)</f>
        <v>10.06</v>
      </c>
      <c r="W41" s="55">
        <f>_xll.EQNXTDZ($A$1,$B41,W$1,$B$1)</f>
        <v>10.56</v>
      </c>
      <c r="X41" s="55">
        <f>_xll.EQNXTDZ($A$1,$B41,X$1,$B$1)</f>
        <v>10.56</v>
      </c>
      <c r="Y41" s="55">
        <f>_xll.EQNXTDZ($A$1,$B41,Y$1,$B$1)</f>
        <v>10.56</v>
      </c>
      <c r="Z41" s="55">
        <f>_xll.EQNXTDZ($A$1,$B41,Z$1,$B$1)</f>
        <v>10.56</v>
      </c>
      <c r="AA41" s="55">
        <f>_xll.EQNXTDZ($A$1,$B41,AA$1,$B$1)</f>
        <v>11.93</v>
      </c>
      <c r="AB41" s="55">
        <f>_xll.EQNXTDZ($A$1,$B41,AB$1,$B$1)</f>
        <v>11.93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20.632903599999999</v>
      </c>
      <c r="H43" s="55">
        <f>_xll.EQNXTDZ($A$1,$B43,H$1,$B$1)</f>
        <v>30.6333701</v>
      </c>
      <c r="I43" s="55">
        <f>_xll.EQNXTDZ($A$1,$B43,I$1,$B$1)</f>
        <v>39.374696900000004</v>
      </c>
      <c r="J43" s="55">
        <f>_xll.EQNXTDZ($A$1,$B43,J$1,$B$1)</f>
        <v>55.830981199999997</v>
      </c>
      <c r="K43" s="55">
        <f>_xll.EQNXTDZ($A$1,$B43,K$1,$B$1)</f>
        <v>62.290927699999997</v>
      </c>
      <c r="L43" s="55">
        <f>_xll.EQNXTDZ($A$1,$B43,L$1,$B$1)</f>
        <v>72.602367599999994</v>
      </c>
      <c r="M43" s="55">
        <f>_xll.EQNXTDZ($A$1,$B43,M$1,$B$1)</f>
        <v>132.13632920000001</v>
      </c>
      <c r="N43" s="55">
        <f>_xll.EQNXTDZ($A$1,$B43,N$1,$B$1)</f>
        <v>177.67815540000001</v>
      </c>
      <c r="O43" s="55">
        <f>_xll.EQNXTDZ($A$1,$B43,O$1,$B$1)</f>
        <v>430.57900000000001</v>
      </c>
      <c r="P43" s="55">
        <f>_xll.EQNXTDZ($A$1,$B43,P$1,$B$1)</f>
        <v>452.46699999999998</v>
      </c>
      <c r="Q43" s="55">
        <f>_xll.EQNXTDZ($A$1,$B43,Q$1,$B$1)</f>
        <v>486.541</v>
      </c>
      <c r="R43" s="55">
        <f>_xll.EQNXTDZ($A$1,$B43,R$1,$B$1)</f>
        <v>528.15300000000002</v>
      </c>
      <c r="S43" s="55">
        <f>_xll.EQNXTDZ($A$1,$B43,S$1,$B$1)</f>
        <v>570.98400000000004</v>
      </c>
      <c r="T43" s="55">
        <f>_xll.EQNXTDZ($A$1,$B43,T$1,$B$1)</f>
        <v>588.21</v>
      </c>
      <c r="U43" s="55">
        <f>_xll.EQNXTDZ($A$1,$B43,U$1,$B$1)</f>
        <v>673.19799999999998</v>
      </c>
      <c r="V43" s="55">
        <f>_xll.EQNXTDZ($A$1,$B43,V$1,$B$1)</f>
        <v>711.53</v>
      </c>
      <c r="W43" s="55">
        <f>_xll.EQNXTDZ($A$1,$B43,W$1,$B$1)</f>
        <v>958.87</v>
      </c>
      <c r="X43" s="55">
        <f>_xll.EQNXTDZ($A$1,$B43,X$1,$B$1)</f>
        <v>1125.18</v>
      </c>
      <c r="Y43" s="55">
        <f>_xll.EQNXTDZ($A$1,$B43,Y$1,$B$1)</f>
        <v>1366.34</v>
      </c>
      <c r="Z43" s="55">
        <f>_xll.EQNXTDZ($A$1,$B43,Z$1,$B$1)</f>
        <v>1647.42</v>
      </c>
      <c r="AA43" s="55">
        <f>_xll.EQNXTDZ($A$1,$B43,AA$1,$B$1)</f>
        <v>2844.81</v>
      </c>
      <c r="AB43" s="55">
        <f>_xll.EQNXTDZ($A$1,$B43,AB$1,$B$1)</f>
        <v>3252.13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21.4829036</v>
      </c>
      <c r="H44" s="55">
        <f>_xll.EQNXTDZ($A$1,$B44,H$1,$B$1)</f>
        <v>31.483370099999998</v>
      </c>
      <c r="I44" s="55">
        <f>_xll.EQNXTDZ($A$1,$B44,I$1,$B$1)</f>
        <v>43.424696900000001</v>
      </c>
      <c r="J44" s="55">
        <f>_xll.EQNXTDZ($A$1,$B44,J$1,$B$1)</f>
        <v>59.880981200000001</v>
      </c>
      <c r="K44" s="55">
        <f>_xll.EQNXTDZ($A$1,$B44,K$1,$B$1)</f>
        <v>66.340927699999995</v>
      </c>
      <c r="L44" s="55">
        <f>_xll.EQNXTDZ($A$1,$B44,L$1,$B$1)</f>
        <v>76.652367600000005</v>
      </c>
      <c r="M44" s="55">
        <f>_xll.EQNXTDZ($A$1,$B44,M$1,$B$1)</f>
        <v>136.8489592</v>
      </c>
      <c r="N44" s="55">
        <f>_xll.EQNXTDZ($A$1,$B44,N$1,$B$1)</f>
        <v>182.3907854</v>
      </c>
      <c r="O44" s="55">
        <f>_xll.EQNXTDZ($A$1,$B44,O$1,$B$1)</f>
        <v>436.32799999999997</v>
      </c>
      <c r="P44" s="55">
        <f>_xll.EQNXTDZ($A$1,$B44,P$1,$B$1)</f>
        <v>458.21600000000001</v>
      </c>
      <c r="Q44" s="55">
        <f>_xll.EQNXTDZ($A$1,$B44,Q$1,$B$1)</f>
        <v>492.29</v>
      </c>
      <c r="R44" s="55">
        <f>_xll.EQNXTDZ($A$1,$B44,R$1,$B$1)</f>
        <v>533.90200000000004</v>
      </c>
      <c r="S44" s="55">
        <f>_xll.EQNXTDZ($A$1,$B44,S$1,$B$1)</f>
        <v>576.73299999999995</v>
      </c>
      <c r="T44" s="55">
        <f>_xll.EQNXTDZ($A$1,$B44,T$1,$B$1)</f>
        <v>598.27</v>
      </c>
      <c r="U44" s="55">
        <f>_xll.EQNXTDZ($A$1,$B44,U$1,$B$1)</f>
        <v>683.25900000000001</v>
      </c>
      <c r="V44" s="55">
        <f>_xll.EQNXTDZ($A$1,$B44,V$1,$B$1)</f>
        <v>721.59</v>
      </c>
      <c r="W44" s="55">
        <f>_xll.EQNXTDZ($A$1,$B44,W$1,$B$1)</f>
        <v>969.43</v>
      </c>
      <c r="X44" s="55">
        <f>_xll.EQNXTDZ($A$1,$B44,X$1,$B$1)</f>
        <v>1135.74</v>
      </c>
      <c r="Y44" s="55">
        <f>_xll.EQNXTDZ($A$1,$B44,Y$1,$B$1)</f>
        <v>1376.9</v>
      </c>
      <c r="Z44" s="55">
        <f>_xll.EQNXTDZ($A$1,$B44,Z$1,$B$1)</f>
        <v>1657.98</v>
      </c>
      <c r="AA44" s="55">
        <f>_xll.EQNXTDZ($A$1,$B44,AA$1,$B$1)</f>
        <v>2856.74</v>
      </c>
      <c r="AB44" s="55">
        <f>_xll.EQNXTDZ($A$1,$B44,AB$1,$B$1)</f>
        <v>3264.06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61</v>
      </c>
      <c r="Z45" s="55">
        <f>_xll.EQNXTDZ($A$1,$B45,Z$1,$B$1)</f>
        <v>93.68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48.6706845</v>
      </c>
      <c r="H47" s="55">
        <f>_xll.EQNXTDZ($A$1,$B47,H$1,$B$1)</f>
        <v>58.976467599999999</v>
      </c>
      <c r="I47" s="55">
        <f>_xll.EQNXTDZ($A$1,$B47,I$1,$B$1)</f>
        <v>80.698287300000004</v>
      </c>
      <c r="J47" s="55">
        <f>_xll.EQNXTDZ($A$1,$B47,J$1,$B$1)</f>
        <v>141.4967269</v>
      </c>
      <c r="K47" s="55">
        <f>_xll.EQNXTDZ($A$1,$B47,K$1,$B$1)</f>
        <v>197.5739001</v>
      </c>
      <c r="L47" s="55">
        <f>_xll.EQNXTDZ($A$1,$B47,L$1,$B$1)</f>
        <v>199.05396200000001</v>
      </c>
      <c r="M47" s="55">
        <f>_xll.EQNXTDZ($A$1,$B47,M$1,$B$1)</f>
        <v>149.34706420000001</v>
      </c>
      <c r="N47" s="55">
        <f>_xll.EQNXTDZ($A$1,$B47,N$1,$B$1)</f>
        <v>297.95483769999998</v>
      </c>
      <c r="O47" s="55">
        <f>_xll.EQNXTDZ($A$1,$B47,O$1,$B$1)</f>
        <v>263.17700000000002</v>
      </c>
      <c r="P47" s="55">
        <f>_xll.EQNXTDZ($A$1,$B47,P$1,$B$1)</f>
        <v>276.61</v>
      </c>
      <c r="Q47" s="55">
        <f>_xll.EQNXTDZ($A$1,$B47,Q$1,$B$1)</f>
        <v>303.916</v>
      </c>
      <c r="R47" s="55">
        <f>_xll.EQNXTDZ($A$1,$B47,R$1,$B$1)</f>
        <v>315.90600000000001</v>
      </c>
      <c r="S47" s="55">
        <f>_xll.EQNXTDZ($A$1,$B47,S$1,$B$1)</f>
        <v>434.108</v>
      </c>
      <c r="T47" s="55">
        <f>_xll.EQNXTDZ($A$1,$B47,T$1,$B$1)</f>
        <v>430.33</v>
      </c>
      <c r="U47" s="55">
        <f>_xll.EQNXTDZ($A$1,$B47,U$1,$B$1)</f>
        <v>693.20100000000002</v>
      </c>
      <c r="V47" s="55">
        <f>_xll.EQNXTDZ($A$1,$B47,V$1,$B$1)</f>
        <v>668.28</v>
      </c>
      <c r="W47" s="55">
        <f>_xll.EQNXTDZ($A$1,$B47,W$1,$B$1)</f>
        <v>437.19</v>
      </c>
      <c r="X47" s="55">
        <f>_xll.EQNXTDZ($A$1,$B47,X$1,$B$1)</f>
        <v>373.78</v>
      </c>
      <c r="Y47" s="55">
        <f>_xll.EQNXTDZ($A$1,$B47,Y$1,$B$1)</f>
        <v>906.17</v>
      </c>
      <c r="Z47" s="55">
        <f>_xll.EQNXTDZ($A$1,$B47,Z$1,$B$1)</f>
        <v>1124.8399999999999</v>
      </c>
      <c r="AA47" s="55">
        <f>_xll.EQNXTDZ($A$1,$B47,AA$1,$B$1)</f>
        <v>1651.86</v>
      </c>
      <c r="AB47" s="55">
        <f>_xll.EQNXTDZ($A$1,$B47,AB$1,$B$1)</f>
        <v>2410.98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1.0564811999999999</v>
      </c>
      <c r="H48" s="55">
        <f>_xll.EQNXTDZ($A$1,$B48,H$1,$B$1)</f>
        <v>1.4748486000000001</v>
      </c>
      <c r="I48" s="55">
        <f>_xll.EQNXTDZ($A$1,$B48,I$1,$B$1)</f>
        <v>1.8039999</v>
      </c>
      <c r="J48" s="55">
        <f>_xll.EQNXTDZ($A$1,$B48,J$1,$B$1)</f>
        <v>1.0266468</v>
      </c>
      <c r="K48" s="55">
        <f>_xll.EQNXTDZ($A$1,$B48,K$1,$B$1)</f>
        <v>0.18756429999999999</v>
      </c>
      <c r="L48" s="55">
        <f>_xll.EQNXTDZ($A$1,$B48,L$1,$B$1)</f>
        <v>0.37621739999999998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6.8360000000000003</v>
      </c>
      <c r="H49" s="55">
        <f>_xll.EQNXTDZ($A$1,$B49,H$1,$B$1)</f>
        <v>7.9432999999999998</v>
      </c>
      <c r="I49" s="55">
        <f>_xll.EQNXTDZ($A$1,$B49,I$1,$B$1)</f>
        <v>10.0185</v>
      </c>
      <c r="J49" s="55">
        <f>_xll.EQNXTDZ($A$1,$B49,J$1,$B$1)</f>
        <v>14.706300000000001</v>
      </c>
      <c r="K49" s="55">
        <f>_xll.EQNXTDZ($A$1,$B49,K$1,$B$1)</f>
        <v>17.985600000000002</v>
      </c>
      <c r="L49" s="55">
        <f>_xll.EQNXTDZ($A$1,$B49,L$1,$B$1)</f>
        <v>19.767900000000001</v>
      </c>
      <c r="M49" s="55">
        <f>_xll.EQNXTDZ($A$1,$B49,M$1,$B$1)</f>
        <v>31.639696499999999</v>
      </c>
      <c r="N49" s="55">
        <f>_xll.EQNXTDZ($A$1,$B49,N$1,$B$1)</f>
        <v>49.648132599999997</v>
      </c>
      <c r="O49" s="55">
        <f>_xll.EQNXTDZ($A$1,$B49,O$1,$B$1)</f>
        <v>40.954999999999998</v>
      </c>
      <c r="P49" s="55">
        <f>_xll.EQNXTDZ($A$1,$B49,P$1,$B$1)</f>
        <v>48.591000000000001</v>
      </c>
      <c r="Q49" s="55">
        <f>_xll.EQNXTDZ($A$1,$B49,Q$1,$B$1)</f>
        <v>47.417000000000002</v>
      </c>
      <c r="R49" s="55">
        <f>_xll.EQNXTDZ($A$1,$B49,R$1,$B$1)</f>
        <v>46.442</v>
      </c>
      <c r="S49" s="55">
        <f>_xll.EQNXTDZ($A$1,$B49,S$1,$B$1)</f>
        <v>28.381</v>
      </c>
      <c r="T49" s="55">
        <f>_xll.EQNXTDZ($A$1,$B49,T$1,$B$1)</f>
        <v>32.83</v>
      </c>
      <c r="U49" s="55">
        <f>_xll.EQNXTDZ($A$1,$B49,U$1,$B$1)</f>
        <v>35.526000000000003</v>
      </c>
      <c r="V49" s="55">
        <f>_xll.EQNXTDZ($A$1,$B49,V$1,$B$1)</f>
        <v>38.549999999999997</v>
      </c>
      <c r="W49" s="55">
        <f>_xll.EQNXTDZ($A$1,$B49,W$1,$B$1)</f>
        <v>68.38</v>
      </c>
      <c r="X49" s="55">
        <f>_xll.EQNXTDZ($A$1,$B49,X$1,$B$1)</f>
        <v>116.78</v>
      </c>
      <c r="Y49" s="55">
        <f>_xll.EQNXTDZ($A$1,$B49,Y$1,$B$1)</f>
        <v>141.12</v>
      </c>
      <c r="Z49" s="55">
        <f>_xll.EQNXTDZ($A$1,$B49,Z$1,$B$1)</f>
        <v>131.47999999999999</v>
      </c>
      <c r="AA49" s="55">
        <f>_xll.EQNXTDZ($A$1,$B49,AA$1,$B$1)</f>
        <v>6.06</v>
      </c>
      <c r="AB49" s="55">
        <f>_xll.EQNXTDZ($A$1,$B49,AB$1,$B$1)</f>
        <v>22.33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0.21876590000000001</v>
      </c>
      <c r="N50" s="55">
        <f>_xll.EQNXTDZ($A$1,$B50,N$1,$B$1)</f>
        <v>0.89324400000000004</v>
      </c>
      <c r="O50" s="55">
        <f>_xll.EQNXTDZ($A$1,$B50,O$1,$B$1)</f>
        <v>7.46</v>
      </c>
      <c r="P50" s="55">
        <f>_xll.EQNXTDZ($A$1,$B50,P$1,$B$1)</f>
        <v>6.4260000000000002</v>
      </c>
      <c r="Q50" s="55">
        <f>_xll.EQNXTDZ($A$1,$B50,Q$1,$B$1)</f>
        <v>6.1059999999999999</v>
      </c>
      <c r="R50" s="55">
        <f>_xll.EQNXTDZ($A$1,$B50,R$1,$B$1)</f>
        <v>2.7919999999999998</v>
      </c>
      <c r="S50" s="55">
        <f>_xll.EQNXTDZ($A$1,$B50,S$1,$B$1)</f>
        <v>1.0209999999999999</v>
      </c>
      <c r="T50" s="55">
        <f>_xll.EQNXTDZ($A$1,$B50,T$1,$B$1)</f>
        <v>0.64</v>
      </c>
      <c r="U50" s="55">
        <f>_xll.EQNXTDZ($A$1,$B50,U$1,$B$1)</f>
        <v>91.253</v>
      </c>
      <c r="V50" s="55">
        <f>_xll.EQNXTDZ($A$1,$B50,V$1,$B$1)</f>
        <v>108.36</v>
      </c>
      <c r="W50" s="55">
        <f>_xll.EQNXTDZ($A$1,$B50,W$1,$B$1)</f>
        <v>92.07</v>
      </c>
      <c r="X50" s="55">
        <f>_xll.EQNXTDZ($A$1,$B50,X$1,$B$1)</f>
        <v>70.400000000000006</v>
      </c>
      <c r="Y50" s="55">
        <f>_xll.EQNXTDZ($A$1,$B50,Y$1,$B$1)</f>
        <v>79.16</v>
      </c>
      <c r="Z50" s="55">
        <f>_xll.EQNXTDZ($A$1,$B50,Z$1,$B$1)</f>
        <v>166.97</v>
      </c>
      <c r="AA50" s="55">
        <f>_xll.EQNXTDZ($A$1,$B50,AA$1,$B$1)</f>
        <v>210.69</v>
      </c>
      <c r="AB50" s="55">
        <f>_xll.EQNXTDZ($A$1,$B50,AB$1,$B$1)</f>
        <v>216.04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0.14499999999999999</v>
      </c>
      <c r="P52" s="55">
        <f>_xll.EQNXTDZ($A$1,$B52,P$1,$B$1)</f>
        <v>0.154</v>
      </c>
      <c r="Q52" s="55">
        <f>_xll.EQNXTDZ($A$1,$B52,Q$1,$B$1)</f>
        <v>0.19</v>
      </c>
      <c r="R52" s="55">
        <f>_xll.EQNXTDZ($A$1,$B52,R$1,$B$1)</f>
        <v>0.17799999999999999</v>
      </c>
      <c r="S52" s="55">
        <f>_xll.EQNXTDZ($A$1,$B52,S$1,$B$1)</f>
        <v>0.19900000000000001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0.68</v>
      </c>
      <c r="W52" s="55">
        <f>_xll.EQNXTDZ($A$1,$B52,W$1,$B$1)</f>
        <v>0.21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3.36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56.563165699999999</v>
      </c>
      <c r="H53" s="55">
        <f>_xll.EQNXTDZ($A$1,$B53,H$1,$B$1)</f>
        <v>68.394616200000002</v>
      </c>
      <c r="I53" s="55">
        <f>_xll.EQNXTDZ($A$1,$B53,I$1,$B$1)</f>
        <v>92.520787200000001</v>
      </c>
      <c r="J53" s="55">
        <f>_xll.EQNXTDZ($A$1,$B53,J$1,$B$1)</f>
        <v>157.22967370000001</v>
      </c>
      <c r="K53" s="55">
        <f>_xll.EQNXTDZ($A$1,$B53,K$1,$B$1)</f>
        <v>215.7470644</v>
      </c>
      <c r="L53" s="55">
        <f>_xll.EQNXTDZ($A$1,$B53,L$1,$B$1)</f>
        <v>219.19807940000001</v>
      </c>
      <c r="M53" s="55">
        <f>_xll.EQNXTDZ($A$1,$B53,M$1,$B$1)</f>
        <v>181.20552660000001</v>
      </c>
      <c r="N53" s="55">
        <f>_xll.EQNXTDZ($A$1,$B53,N$1,$B$1)</f>
        <v>348.49621430000002</v>
      </c>
      <c r="O53" s="55">
        <f>_xll.EQNXTDZ($A$1,$B53,O$1,$B$1)</f>
        <v>311.73700000000002</v>
      </c>
      <c r="P53" s="55">
        <f>_xll.EQNXTDZ($A$1,$B53,P$1,$B$1)</f>
        <v>331.78100000000001</v>
      </c>
      <c r="Q53" s="55">
        <f>_xll.EQNXTDZ($A$1,$B53,Q$1,$B$1)</f>
        <v>357.62900000000002</v>
      </c>
      <c r="R53" s="55">
        <f>_xll.EQNXTDZ($A$1,$B53,R$1,$B$1)</f>
        <v>365.31799999999998</v>
      </c>
      <c r="S53" s="55">
        <f>_xll.EQNXTDZ($A$1,$B53,S$1,$B$1)</f>
        <v>463.709</v>
      </c>
      <c r="T53" s="55">
        <f>_xll.EQNXTDZ($A$1,$B53,T$1,$B$1)</f>
        <v>463.8</v>
      </c>
      <c r="U53" s="55">
        <f>_xll.EQNXTDZ($A$1,$B53,U$1,$B$1)</f>
        <v>819.98</v>
      </c>
      <c r="V53" s="55">
        <f>_xll.EQNXTDZ($A$1,$B53,V$1,$B$1)</f>
        <v>815.87</v>
      </c>
      <c r="W53" s="55">
        <f>_xll.EQNXTDZ($A$1,$B53,W$1,$B$1)</f>
        <v>597.85</v>
      </c>
      <c r="X53" s="55">
        <f>_xll.EQNXTDZ($A$1,$B53,X$1,$B$1)</f>
        <v>560.96</v>
      </c>
      <c r="Y53" s="55">
        <f>_xll.EQNXTDZ($A$1,$B53,Y$1,$B$1)</f>
        <v>1126.45</v>
      </c>
      <c r="Z53" s="55">
        <f>_xll.EQNXTDZ($A$1,$B53,Z$1,$B$1)</f>
        <v>1423.29</v>
      </c>
      <c r="AA53" s="55">
        <f>_xll.EQNXTDZ($A$1,$B53,AA$1,$B$1)</f>
        <v>1871.97</v>
      </c>
      <c r="AB53" s="55">
        <f>_xll.EQNXTDZ($A$1,$B53,AB$1,$B$1)</f>
        <v>2649.35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30.227854399999998</v>
      </c>
      <c r="H54" s="55">
        <f>_xll.EQNXTDZ($A$1,$B54,H$1,$B$1)</f>
        <v>20.718392099999999</v>
      </c>
      <c r="I54" s="55">
        <f>_xll.EQNXTDZ($A$1,$B54,I$1,$B$1)</f>
        <v>40.955395600000003</v>
      </c>
      <c r="J54" s="55">
        <f>_xll.EQNXTDZ($A$1,$B54,J$1,$B$1)</f>
        <v>66.541766899999999</v>
      </c>
      <c r="K54" s="55">
        <f>_xll.EQNXTDZ($A$1,$B54,K$1,$B$1)</f>
        <v>58.524745099999997</v>
      </c>
      <c r="L54" s="55">
        <f>_xll.EQNXTDZ($A$1,$B54,L$1,$B$1)</f>
        <v>70.559082099999998</v>
      </c>
      <c r="M54" s="55">
        <f>_xll.EQNXTDZ($A$1,$B54,M$1,$B$1)</f>
        <v>94.836903000000007</v>
      </c>
      <c r="N54" s="55">
        <f>_xll.EQNXTDZ($A$1,$B54,N$1,$B$1)</f>
        <v>121.4398671</v>
      </c>
      <c r="O54" s="55">
        <f>_xll.EQNXTDZ($A$1,$B54,O$1,$B$1)</f>
        <v>90.611000000000004</v>
      </c>
      <c r="P54" s="55">
        <f>_xll.EQNXTDZ($A$1,$B54,P$1,$B$1)</f>
        <v>141.29499999999999</v>
      </c>
      <c r="Q54" s="55">
        <f>_xll.EQNXTDZ($A$1,$B54,Q$1,$B$1)</f>
        <v>175.53299999999999</v>
      </c>
      <c r="R54" s="55">
        <f>_xll.EQNXTDZ($A$1,$B54,R$1,$B$1)</f>
        <v>202.785</v>
      </c>
      <c r="S54" s="55">
        <f>_xll.EQNXTDZ($A$1,$B54,S$1,$B$1)</f>
        <v>297.82400000000001</v>
      </c>
      <c r="T54" s="55">
        <f>_xll.EQNXTDZ($A$1,$B54,T$1,$B$1)</f>
        <v>362.74</v>
      </c>
      <c r="U54" s="55">
        <f>_xll.EQNXTDZ($A$1,$B54,U$1,$B$1)</f>
        <v>331.209</v>
      </c>
      <c r="V54" s="55">
        <f>_xll.EQNXTDZ($A$1,$B54,V$1,$B$1)</f>
        <v>281.77999999999997</v>
      </c>
      <c r="W54" s="55">
        <f>_xll.EQNXTDZ($A$1,$B54,W$1,$B$1)</f>
        <v>352.16</v>
      </c>
      <c r="X54" s="55">
        <f>_xll.EQNXTDZ($A$1,$B54,X$1,$B$1)</f>
        <v>462.56</v>
      </c>
      <c r="Y54" s="55">
        <f>_xll.EQNXTDZ($A$1,$B54,Y$1,$B$1)</f>
        <v>711.62</v>
      </c>
      <c r="Z54" s="55">
        <f>_xll.EQNXTDZ($A$1,$B54,Z$1,$B$1)</f>
        <v>800.64</v>
      </c>
      <c r="AA54" s="55">
        <f>_xll.EQNXTDZ($A$1,$B54,AA$1,$B$1)</f>
        <v>1334.33</v>
      </c>
      <c r="AB54" s="55">
        <f>_xll.EQNXTDZ($A$1,$B54,AB$1,$B$1)</f>
        <v>1460.08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6.8343353000000002</v>
      </c>
      <c r="H55" s="55">
        <f>_xll.EQNXTDZ($A$1,$B55,H$1,$B$1)</f>
        <v>5.5311447999999999</v>
      </c>
      <c r="I55" s="55">
        <f>_xll.EQNXTDZ($A$1,$B55,I$1,$B$1)</f>
        <v>5.9492931999999996</v>
      </c>
      <c r="J55" s="55">
        <f>_xll.EQNXTDZ($A$1,$B55,J$1,$B$1)</f>
        <v>0</v>
      </c>
      <c r="K55" s="55">
        <f>_xll.EQNXTDZ($A$1,$B55,K$1,$B$1)</f>
        <v>13.6160029</v>
      </c>
      <c r="L55" s="55">
        <f>_xll.EQNXTDZ($A$1,$B55,L$1,$B$1)</f>
        <v>21.297029200000001</v>
      </c>
      <c r="M55" s="55">
        <f>_xll.EQNXTDZ($A$1,$B55,M$1,$B$1)</f>
        <v>73.204958099999999</v>
      </c>
      <c r="N55" s="55">
        <f>_xll.EQNXTDZ($A$1,$B55,N$1,$B$1)</f>
        <v>129.09039039999999</v>
      </c>
      <c r="O55" s="55">
        <f>_xll.EQNXTDZ($A$1,$B55,O$1,$B$1)</f>
        <v>110.551</v>
      </c>
      <c r="P55" s="55">
        <f>_xll.EQNXTDZ($A$1,$B55,P$1,$B$1)</f>
        <v>158.04499999999999</v>
      </c>
      <c r="Q55" s="55">
        <f>_xll.EQNXTDZ($A$1,$B55,Q$1,$B$1)</f>
        <v>188.589</v>
      </c>
      <c r="R55" s="55">
        <f>_xll.EQNXTDZ($A$1,$B55,R$1,$B$1)</f>
        <v>160.756</v>
      </c>
      <c r="S55" s="55">
        <f>_xll.EQNXTDZ($A$1,$B55,S$1,$B$1)</f>
        <v>251.17599999999999</v>
      </c>
      <c r="T55" s="55">
        <f>_xll.EQNXTDZ($A$1,$B55,T$1,$B$1)</f>
        <v>243.19</v>
      </c>
      <c r="U55" s="55">
        <f>_xll.EQNXTDZ($A$1,$B55,U$1,$B$1)</f>
        <v>345.77199999999999</v>
      </c>
      <c r="V55" s="55">
        <f>_xll.EQNXTDZ($A$1,$B55,V$1,$B$1)</f>
        <v>241.94</v>
      </c>
      <c r="W55" s="55">
        <f>_xll.EQNXTDZ($A$1,$B55,W$1,$B$1)</f>
        <v>270.12</v>
      </c>
      <c r="X55" s="55">
        <f>_xll.EQNXTDZ($A$1,$B55,X$1,$B$1)</f>
        <v>310.69</v>
      </c>
      <c r="Y55" s="55">
        <f>_xll.EQNXTDZ($A$1,$B55,Y$1,$B$1)</f>
        <v>361.94</v>
      </c>
      <c r="Z55" s="55">
        <f>_xll.EQNXTDZ($A$1,$B55,Z$1,$B$1)</f>
        <v>429.61</v>
      </c>
      <c r="AA55" s="55">
        <f>_xll.EQNXTDZ($A$1,$B55,AA$1,$B$1)</f>
        <v>803.4</v>
      </c>
      <c r="AB55" s="55">
        <f>_xll.EQNXTDZ($A$1,$B55,AB$1,$B$1)</f>
        <v>912.52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95.679677799999993</v>
      </c>
      <c r="N56" s="55">
        <f>_xll.EQNXTDZ($A$1,$B56,N$1,$B$1)</f>
        <v>145.7094778</v>
      </c>
      <c r="O56" s="55">
        <f>_xll.EQNXTDZ($A$1,$B56,O$1,$B$1)</f>
        <v>162.56800000000001</v>
      </c>
      <c r="P56" s="55">
        <f>_xll.EQNXTDZ($A$1,$B56,P$1,$B$1)</f>
        <v>166.898</v>
      </c>
      <c r="Q56" s="55">
        <f>_xll.EQNXTDZ($A$1,$B56,Q$1,$B$1)</f>
        <v>158.63800000000001</v>
      </c>
      <c r="R56" s="55">
        <f>_xll.EQNXTDZ($A$1,$B56,R$1,$B$1)</f>
        <v>205.482</v>
      </c>
      <c r="S56" s="55">
        <f>_xll.EQNXTDZ($A$1,$B56,S$1,$B$1)</f>
        <v>223.542</v>
      </c>
      <c r="T56" s="55">
        <f>_xll.EQNXTDZ($A$1,$B56,T$1,$B$1)</f>
        <v>272.08999999999997</v>
      </c>
      <c r="U56" s="55">
        <f>_xll.EQNXTDZ($A$1,$B56,U$1,$B$1)</f>
        <v>135.01400000000001</v>
      </c>
      <c r="V56" s="55">
        <f>_xll.EQNXTDZ($A$1,$B56,V$1,$B$1)</f>
        <v>244.27</v>
      </c>
      <c r="W56" s="55">
        <f>_xll.EQNXTDZ($A$1,$B56,W$1,$B$1)</f>
        <v>158.13999999999999</v>
      </c>
      <c r="X56" s="55">
        <f>_xll.EQNXTDZ($A$1,$B56,X$1,$B$1)</f>
        <v>193.22</v>
      </c>
      <c r="Y56" s="55">
        <f>_xll.EQNXTDZ($A$1,$B56,Y$1,$B$1)</f>
        <v>130.47999999999999</v>
      </c>
      <c r="Z56" s="55">
        <f>_xll.EQNXTDZ($A$1,$B56,Z$1,$B$1)</f>
        <v>280.20999999999998</v>
      </c>
      <c r="AA56" s="55">
        <f>_xll.EQNXTDZ($A$1,$B56,AA$1,$B$1)</f>
        <v>216.78</v>
      </c>
      <c r="AB56" s="55">
        <f>_xll.EQNXTDZ($A$1,$B56,AB$1,$B$1)</f>
        <v>617.54999999999995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1.075</v>
      </c>
      <c r="H57" s="55">
        <f>_xll.EQNXTDZ($A$1,$B57,H$1,$B$1)</f>
        <v>2.5379999999999998</v>
      </c>
      <c r="I57" s="55">
        <f>_xll.EQNXTDZ($A$1,$B57,I$1,$B$1)</f>
        <v>7.0833645000000001</v>
      </c>
      <c r="J57" s="55">
        <f>_xll.EQNXTDZ($A$1,$B57,J$1,$B$1)</f>
        <v>4.8567153000000003</v>
      </c>
      <c r="K57" s="55">
        <f>_xll.EQNXTDZ($A$1,$B57,K$1,$B$1)</f>
        <v>2.1560999999999999</v>
      </c>
      <c r="L57" s="55">
        <f>_xll.EQNXTDZ($A$1,$B57,L$1,$B$1)</f>
        <v>2.7488000000000001</v>
      </c>
      <c r="M57" s="55">
        <f>_xll.EQNXTDZ($A$1,$B57,M$1,$B$1)</f>
        <v>4.3956588999999999</v>
      </c>
      <c r="N57" s="55">
        <f>_xll.EQNXTDZ($A$1,$B57,N$1,$B$1)</f>
        <v>8.0213748999999996</v>
      </c>
      <c r="O57" s="55">
        <f>_xll.EQNXTDZ($A$1,$B57,O$1,$B$1)</f>
        <v>1.456</v>
      </c>
      <c r="P57" s="55">
        <f>_xll.EQNXTDZ($A$1,$B57,P$1,$B$1)</f>
        <v>1.46</v>
      </c>
      <c r="Q57" s="55">
        <f>_xll.EQNXTDZ($A$1,$B57,Q$1,$B$1)</f>
        <v>4.6859999999999999</v>
      </c>
      <c r="R57" s="55">
        <f>_xll.EQNXTDZ($A$1,$B57,R$1,$B$1)</f>
        <v>1.8089999999999999</v>
      </c>
      <c r="S57" s="55">
        <f>_xll.EQNXTDZ($A$1,$B57,S$1,$B$1)</f>
        <v>1.71</v>
      </c>
      <c r="T57" s="55">
        <f>_xll.EQNXTDZ($A$1,$B57,T$1,$B$1)</f>
        <v>4.09</v>
      </c>
      <c r="U57" s="55">
        <f>_xll.EQNXTDZ($A$1,$B57,U$1,$B$1)</f>
        <v>10.164</v>
      </c>
      <c r="V57" s="55">
        <f>_xll.EQNXTDZ($A$1,$B57,V$1,$B$1)</f>
        <v>1.83</v>
      </c>
      <c r="W57" s="55">
        <f>_xll.EQNXTDZ($A$1,$B57,W$1,$B$1)</f>
        <v>4.2</v>
      </c>
      <c r="X57" s="55">
        <f>_xll.EQNXTDZ($A$1,$B57,X$1,$B$1)</f>
        <v>11.61</v>
      </c>
      <c r="Y57" s="55">
        <f>_xll.EQNXTDZ($A$1,$B57,Y$1,$B$1)</f>
        <v>38.33</v>
      </c>
      <c r="Z57" s="55">
        <f>_xll.EQNXTDZ($A$1,$B57,Z$1,$B$1)</f>
        <v>20.329999999999998</v>
      </c>
      <c r="AA57" s="55">
        <f>_xll.EQNXTDZ($A$1,$B57,AA$1,$B$1)</f>
        <v>33.22</v>
      </c>
      <c r="AB57" s="55">
        <f>_xll.EQNXTDZ($A$1,$B57,AB$1,$B$1)</f>
        <v>74.739999999999995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38.1371897</v>
      </c>
      <c r="H59" s="55">
        <f>_xll.EQNXTDZ($A$1,$B59,H$1,$B$1)</f>
        <v>28.787536899999999</v>
      </c>
      <c r="I59" s="55">
        <f>_xll.EQNXTDZ($A$1,$B59,I$1,$B$1)</f>
        <v>53.988053299999997</v>
      </c>
      <c r="J59" s="55">
        <f>_xll.EQNXTDZ($A$1,$B59,J$1,$B$1)</f>
        <v>71.398482200000004</v>
      </c>
      <c r="K59" s="55">
        <f>_xll.EQNXTDZ($A$1,$B59,K$1,$B$1)</f>
        <v>74.296847999999997</v>
      </c>
      <c r="L59" s="55">
        <f>_xll.EQNXTDZ($A$1,$B59,L$1,$B$1)</f>
        <v>94.604911299999998</v>
      </c>
      <c r="M59" s="55">
        <f>_xll.EQNXTDZ($A$1,$B59,M$1,$B$1)</f>
        <v>268.11719779999999</v>
      </c>
      <c r="N59" s="55">
        <f>_xll.EQNXTDZ($A$1,$B59,N$1,$B$1)</f>
        <v>404.26111020000002</v>
      </c>
      <c r="O59" s="55">
        <f>_xll.EQNXTDZ($A$1,$B59,O$1,$B$1)</f>
        <v>365.18599999999998</v>
      </c>
      <c r="P59" s="55">
        <f>_xll.EQNXTDZ($A$1,$B59,P$1,$B$1)</f>
        <v>467.69799999999998</v>
      </c>
      <c r="Q59" s="55">
        <f>_xll.EQNXTDZ($A$1,$B59,Q$1,$B$1)</f>
        <v>527.44600000000003</v>
      </c>
      <c r="R59" s="55">
        <f>_xll.EQNXTDZ($A$1,$B59,R$1,$B$1)</f>
        <v>570.83199999999999</v>
      </c>
      <c r="S59" s="55">
        <f>_xll.EQNXTDZ($A$1,$B59,S$1,$B$1)</f>
        <v>774.25199999999995</v>
      </c>
      <c r="T59" s="55">
        <f>_xll.EQNXTDZ($A$1,$B59,T$1,$B$1)</f>
        <v>882.11</v>
      </c>
      <c r="U59" s="55">
        <f>_xll.EQNXTDZ($A$1,$B59,U$1,$B$1)</f>
        <v>822.15899999999999</v>
      </c>
      <c r="V59" s="55">
        <f>_xll.EQNXTDZ($A$1,$B59,V$1,$B$1)</f>
        <v>769.82</v>
      </c>
      <c r="W59" s="55">
        <f>_xll.EQNXTDZ($A$1,$B59,W$1,$B$1)</f>
        <v>784.62</v>
      </c>
      <c r="X59" s="55">
        <f>_xll.EQNXTDZ($A$1,$B59,X$1,$B$1)</f>
        <v>978.08</v>
      </c>
      <c r="Y59" s="55">
        <f>_xll.EQNXTDZ($A$1,$B59,Y$1,$B$1)</f>
        <v>1242.3699999999999</v>
      </c>
      <c r="Z59" s="55">
        <f>_xll.EQNXTDZ($A$1,$B59,Z$1,$B$1)</f>
        <v>1530.79</v>
      </c>
      <c r="AA59" s="55">
        <f>_xll.EQNXTDZ($A$1,$B59,AA$1,$B$1)</f>
        <v>2387.73</v>
      </c>
      <c r="AB59" s="55">
        <f>_xll.EQNXTDZ($A$1,$B59,AB$1,$B$1)</f>
        <v>3064.89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116.18325900000001</v>
      </c>
      <c r="H60" s="55">
        <f>_xll.EQNXTDZ($A$1,$B60,H$1,$B$1)</f>
        <v>128.6655232</v>
      </c>
      <c r="I60" s="55">
        <f>_xll.EQNXTDZ($A$1,$B60,I$1,$B$1)</f>
        <v>189.93353740000001</v>
      </c>
      <c r="J60" s="55">
        <f>_xll.EQNXTDZ($A$1,$B60,J$1,$B$1)</f>
        <v>288.50913709999998</v>
      </c>
      <c r="K60" s="55">
        <f>_xll.EQNXTDZ($A$1,$B60,K$1,$B$1)</f>
        <v>356.38484010000002</v>
      </c>
      <c r="L60" s="55">
        <f>_xll.EQNXTDZ($A$1,$B60,L$1,$B$1)</f>
        <v>390.4553583</v>
      </c>
      <c r="M60" s="55">
        <f>_xll.EQNXTDZ($A$1,$B60,M$1,$B$1)</f>
        <v>586.17168360000005</v>
      </c>
      <c r="N60" s="55">
        <f>_xll.EQNXTDZ($A$1,$B60,N$1,$B$1)</f>
        <v>935.14810990000001</v>
      </c>
      <c r="O60" s="55">
        <f>_xll.EQNXTDZ($A$1,$B60,O$1,$B$1)</f>
        <v>1113.251</v>
      </c>
      <c r="P60" s="55">
        <f>_xll.EQNXTDZ($A$1,$B60,P$1,$B$1)</f>
        <v>1257.6949999999999</v>
      </c>
      <c r="Q60" s="55">
        <f>_xll.EQNXTDZ($A$1,$B60,Q$1,$B$1)</f>
        <v>1377.365</v>
      </c>
      <c r="R60" s="55">
        <f>_xll.EQNXTDZ($A$1,$B60,R$1,$B$1)</f>
        <v>1470.0519999999999</v>
      </c>
      <c r="S60" s="55">
        <f>_xll.EQNXTDZ($A$1,$B60,S$1,$B$1)</f>
        <v>1814.694</v>
      </c>
      <c r="T60" s="55">
        <f>_xll.EQNXTDZ($A$1,$B60,T$1,$B$1)</f>
        <v>1944.18</v>
      </c>
      <c r="U60" s="55">
        <f>_xll.EQNXTDZ($A$1,$B60,U$1,$B$1)</f>
        <v>2325.3980000000001</v>
      </c>
      <c r="V60" s="55">
        <f>_xll.EQNXTDZ($A$1,$B60,V$1,$B$1)</f>
        <v>2307.2800000000002</v>
      </c>
      <c r="W60" s="55">
        <f>_xll.EQNXTDZ($A$1,$B60,W$1,$B$1)</f>
        <v>2351.9</v>
      </c>
      <c r="X60" s="55">
        <f>_xll.EQNXTDZ($A$1,$B60,X$1,$B$1)</f>
        <v>2674.78</v>
      </c>
      <c r="Y60" s="55">
        <f>_xll.EQNXTDZ($A$1,$B60,Y$1,$B$1)</f>
        <v>3806.72</v>
      </c>
      <c r="Z60" s="55">
        <f>_xll.EQNXTDZ($A$1,$B60,Z$1,$B$1)</f>
        <v>4705.74</v>
      </c>
      <c r="AA60" s="55">
        <f>_xll.EQNXTDZ($A$1,$B60,AA$1,$B$1)</f>
        <v>7116.44</v>
      </c>
      <c r="AB60" s="55">
        <f>_xll.EQNXTDZ($A$1,$B60,AB$1,$B$1)</f>
        <v>8978.2999999999993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77.276709600000004</v>
      </c>
      <c r="H62" s="55">
        <f>_xll.EQNXTDZ($A$1,$B62,H$1,$B$1)</f>
        <v>93.8256023</v>
      </c>
      <c r="I62" s="55">
        <f>_xll.EQNXTDZ($A$1,$B62,I$1,$B$1)</f>
        <v>129.76693320000001</v>
      </c>
      <c r="J62" s="55">
        <f>_xll.EQNXTDZ($A$1,$B62,J$1,$B$1)</f>
        <v>194.86751599999999</v>
      </c>
      <c r="K62" s="55">
        <f>_xll.EQNXTDZ($A$1,$B62,K$1,$B$1)</f>
        <v>261.53473639999999</v>
      </c>
      <c r="L62" s="55">
        <f>_xll.EQNXTDZ($A$1,$B62,L$1,$B$1)</f>
        <v>300.22244819999997</v>
      </c>
      <c r="M62" s="55">
        <f>_xll.EQNXTDZ($A$1,$B62,M$1,$B$1)</f>
        <v>435.24108869999998</v>
      </c>
      <c r="N62" s="55">
        <f>_xll.EQNXTDZ($A$1,$B62,N$1,$B$1)</f>
        <v>667.50093430000004</v>
      </c>
      <c r="O62" s="55">
        <f>_xll.EQNXTDZ($A$1,$B62,O$1,$B$1)</f>
        <v>858.16899999999998</v>
      </c>
      <c r="P62" s="55">
        <f>_xll.EQNXTDZ($A$1,$B62,P$1,$B$1)</f>
        <v>1011.077</v>
      </c>
      <c r="Q62" s="55">
        <f>_xll.EQNXTDZ($A$1,$B62,Q$1,$B$1)</f>
        <v>1167.3309999999999</v>
      </c>
      <c r="R62" s="55">
        <f>_xll.EQNXTDZ($A$1,$B62,R$1,$B$1)</f>
        <v>1321.2380000000001</v>
      </c>
      <c r="S62" s="55">
        <f>_xll.EQNXTDZ($A$1,$B62,S$1,$B$1)</f>
        <v>1659.2</v>
      </c>
      <c r="T62" s="55">
        <f>_xll.EQNXTDZ($A$1,$B62,T$1,$B$1)</f>
        <v>1592.68</v>
      </c>
      <c r="U62" s="55">
        <f>_xll.EQNXTDZ($A$1,$B62,U$1,$B$1)</f>
        <v>2094.9499999999998</v>
      </c>
      <c r="V62" s="55">
        <f>_xll.EQNXTDZ($A$1,$B62,V$1,$B$1)</f>
        <v>2207.6999999999998</v>
      </c>
      <c r="W62" s="55">
        <f>_xll.EQNXTDZ($A$1,$B62,W$1,$B$1)</f>
        <v>2367.2199999999998</v>
      </c>
      <c r="X62" s="55">
        <f>_xll.EQNXTDZ($A$1,$B62,X$1,$B$1)</f>
        <v>2599.15</v>
      </c>
      <c r="Y62" s="55">
        <f>_xll.EQNXTDZ($A$1,$B62,Y$1,$B$1)</f>
        <v>3315.54</v>
      </c>
      <c r="Z62" s="55">
        <f>_xll.EQNXTDZ($A$1,$B62,Z$1,$B$1)</f>
        <v>4012.91</v>
      </c>
      <c r="AA62" s="55">
        <f>_xll.EQNXTDZ($A$1,$B62,AA$1,$B$1)</f>
        <v>5777.63</v>
      </c>
      <c r="AB62" s="55">
        <f>_xll.EQNXTDZ($A$1,$B62,AB$1,$B$1)</f>
        <v>7167.1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13.429452299999999</v>
      </c>
      <c r="H63" s="55">
        <f>_xll.EQNXTDZ($A$1,$B63,H$1,$B$1)</f>
        <v>19.054111899999999</v>
      </c>
      <c r="I63" s="55">
        <f>_xll.EQNXTDZ($A$1,$B63,I$1,$B$1)</f>
        <v>26.041831200000001</v>
      </c>
      <c r="J63" s="55">
        <f>_xll.EQNXTDZ($A$1,$B63,J$1,$B$1)</f>
        <v>36.449240500000002</v>
      </c>
      <c r="K63" s="55">
        <f>_xll.EQNXTDZ($A$1,$B63,K$1,$B$1)</f>
        <v>52.146787799999998</v>
      </c>
      <c r="L63" s="55">
        <f>_xll.EQNXTDZ($A$1,$B63,L$1,$B$1)</f>
        <v>71.140459100000001</v>
      </c>
      <c r="M63" s="55">
        <f>_xll.EQNXTDZ($A$1,$B63,M$1,$B$1)</f>
        <v>98.0023506</v>
      </c>
      <c r="N63" s="55">
        <f>_xll.EQNXTDZ($A$1,$B63,N$1,$B$1)</f>
        <v>139.26902179999999</v>
      </c>
      <c r="O63" s="55">
        <f>_xll.EQNXTDZ($A$1,$B63,O$1,$B$1)</f>
        <v>64.591999999999999</v>
      </c>
      <c r="P63" s="55">
        <f>_xll.EQNXTDZ($A$1,$B63,P$1,$B$1)</f>
        <v>146.60499999999999</v>
      </c>
      <c r="Q63" s="55">
        <f>_xll.EQNXTDZ($A$1,$B63,Q$1,$B$1)</f>
        <v>232.81100000000001</v>
      </c>
      <c r="R63" s="55">
        <f>_xll.EQNXTDZ($A$1,$B63,R$1,$B$1)</f>
        <v>329.959</v>
      </c>
      <c r="S63" s="55">
        <f>_xll.EQNXTDZ($A$1,$B63,S$1,$B$1)</f>
        <v>431.53199999999998</v>
      </c>
      <c r="T63" s="55">
        <f>_xll.EQNXTDZ($A$1,$B63,T$1,$B$1)</f>
        <v>332.97</v>
      </c>
      <c r="U63" s="55">
        <f>_xll.EQNXTDZ($A$1,$B63,U$1,$B$1)</f>
        <v>506.36399999999998</v>
      </c>
      <c r="V63" s="55">
        <f>_xll.EQNXTDZ($A$1,$B63,V$1,$B$1)</f>
        <v>661.91</v>
      </c>
      <c r="W63" s="55">
        <f>_xll.EQNXTDZ($A$1,$B63,W$1,$B$1)</f>
        <v>856.73</v>
      </c>
      <c r="X63" s="55">
        <f>_xll.EQNXTDZ($A$1,$B63,X$1,$B$1)</f>
        <v>1055.3699999999999</v>
      </c>
      <c r="Y63" s="55">
        <f>_xll.EQNXTDZ($A$1,$B63,Y$1,$B$1)</f>
        <v>1191.6600000000001</v>
      </c>
      <c r="Z63" s="55">
        <f>_xll.EQNXTDZ($A$1,$B63,Z$1,$B$1)</f>
        <v>1446.2</v>
      </c>
      <c r="AA63" s="55">
        <f>_xll.EQNXTDZ($A$1,$B63,AA$1,$B$1)</f>
        <v>2107.3000000000002</v>
      </c>
      <c r="AB63" s="55">
        <f>_xll.EQNXTDZ($A$1,$B63,AB$1,$B$1)</f>
        <v>2490.7800000000002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63.847257300000003</v>
      </c>
      <c r="H65" s="55">
        <f>_xll.EQNXTDZ($A$1,$B65,H$1,$B$1)</f>
        <v>74.771490400000005</v>
      </c>
      <c r="I65" s="55">
        <f>_xll.EQNXTDZ($A$1,$B65,I$1,$B$1)</f>
        <v>103.72510200000001</v>
      </c>
      <c r="J65" s="55">
        <f>_xll.EQNXTDZ($A$1,$B65,J$1,$B$1)</f>
        <v>158.41827549999999</v>
      </c>
      <c r="K65" s="55">
        <f>_xll.EQNXTDZ($A$1,$B65,K$1,$B$1)</f>
        <v>209.38794859999999</v>
      </c>
      <c r="L65" s="55">
        <f>_xll.EQNXTDZ($A$1,$B65,L$1,$B$1)</f>
        <v>229.08198909999999</v>
      </c>
      <c r="M65" s="55">
        <f>_xll.EQNXTDZ($A$1,$B65,M$1,$B$1)</f>
        <v>337.23873809999998</v>
      </c>
      <c r="N65" s="55">
        <f>_xll.EQNXTDZ($A$1,$B65,N$1,$B$1)</f>
        <v>528.23191250000002</v>
      </c>
      <c r="O65" s="55">
        <f>_xll.EQNXTDZ($A$1,$B65,O$1,$B$1)</f>
        <v>793.577</v>
      </c>
      <c r="P65" s="55">
        <f>_xll.EQNXTDZ($A$1,$B65,P$1,$B$1)</f>
        <v>864.47199999999998</v>
      </c>
      <c r="Q65" s="55">
        <f>_xll.EQNXTDZ($A$1,$B65,Q$1,$B$1)</f>
        <v>934.52</v>
      </c>
      <c r="R65" s="55">
        <f>_xll.EQNXTDZ($A$1,$B65,R$1,$B$1)</f>
        <v>991.279</v>
      </c>
      <c r="S65" s="55">
        <f>_xll.EQNXTDZ($A$1,$B65,S$1,$B$1)</f>
        <v>1227.6679999999999</v>
      </c>
      <c r="T65" s="55">
        <f>_xll.EQNXTDZ($A$1,$B65,T$1,$B$1)</f>
        <v>1259.71</v>
      </c>
      <c r="U65" s="55">
        <f>_xll.EQNXTDZ($A$1,$B65,U$1,$B$1)</f>
        <v>1588.586</v>
      </c>
      <c r="V65" s="55">
        <f>_xll.EQNXTDZ($A$1,$B65,V$1,$B$1)</f>
        <v>1545.79</v>
      </c>
      <c r="W65" s="55">
        <f>_xll.EQNXTDZ($A$1,$B65,W$1,$B$1)</f>
        <v>1510.49</v>
      </c>
      <c r="X65" s="55">
        <f>_xll.EQNXTDZ($A$1,$B65,X$1,$B$1)</f>
        <v>1543.78</v>
      </c>
      <c r="Y65" s="55">
        <f>_xll.EQNXTDZ($A$1,$B65,Y$1,$B$1)</f>
        <v>2123.88</v>
      </c>
      <c r="Z65" s="55">
        <f>_xll.EQNXTDZ($A$1,$B65,Z$1,$B$1)</f>
        <v>2566.71</v>
      </c>
      <c r="AA65" s="55">
        <f>_xll.EQNXTDZ($A$1,$B65,AA$1,$B$1)</f>
        <v>3670.33</v>
      </c>
      <c r="AB65" s="55">
        <f>_xll.EQNXTDZ($A$1,$B65,AB$1,$B$1)</f>
        <v>4676.32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5.5630560999999998</v>
      </c>
      <c r="H67" s="55">
        <f>_xll.EQNXTDZ($A$1,$B67,H$1,$B$1)</f>
        <v>1.6438562999999999</v>
      </c>
      <c r="I67" s="55">
        <f>_xll.EQNXTDZ($A$1,$B67,I$1,$B$1)</f>
        <v>1.8894599000000001</v>
      </c>
      <c r="J67" s="55">
        <f>_xll.EQNXTDZ($A$1,$B67,J$1,$B$1)</f>
        <v>0</v>
      </c>
      <c r="K67" s="55">
        <f>_xll.EQNXTDZ($A$1,$B67,K$1,$B$1)</f>
        <v>3.0769223000000001</v>
      </c>
      <c r="L67" s="55">
        <f>_xll.EQNXTDZ($A$1,$B67,L$1,$B$1)</f>
        <v>4.8874770999999999</v>
      </c>
      <c r="M67" s="55">
        <f>_xll.EQNXTDZ($A$1,$B67,M$1,$B$1)</f>
        <v>9.2763513999999994</v>
      </c>
      <c r="N67" s="55">
        <f>_xll.EQNXTDZ($A$1,$B67,N$1,$B$1)</f>
        <v>55.7195508</v>
      </c>
      <c r="O67" s="55">
        <f>_xll.EQNXTDZ($A$1,$B67,O$1,$B$1)</f>
        <v>11.554</v>
      </c>
      <c r="P67" s="55">
        <f>_xll.EQNXTDZ($A$1,$B67,P$1,$B$1)</f>
        <v>12.659000000000001</v>
      </c>
      <c r="Q67" s="55">
        <f>_xll.EQNXTDZ($A$1,$B67,Q$1,$B$1)</f>
        <v>54.238</v>
      </c>
      <c r="R67" s="55">
        <f>_xll.EQNXTDZ($A$1,$B67,R$1,$B$1)</f>
        <v>40.031999999999996</v>
      </c>
      <c r="S67" s="55">
        <f>_xll.EQNXTDZ($A$1,$B67,S$1,$B$1)</f>
        <v>11.154999999999999</v>
      </c>
      <c r="T67" s="55">
        <f>_xll.EQNXTDZ($A$1,$B67,T$1,$B$1)</f>
        <v>24.31</v>
      </c>
      <c r="U67" s="55">
        <f>_xll.EQNXTDZ($A$1,$B67,U$1,$B$1)</f>
        <v>90.614000000000004</v>
      </c>
      <c r="V67" s="55">
        <f>_xll.EQNXTDZ($A$1,$B67,V$1,$B$1)</f>
        <v>88.82</v>
      </c>
      <c r="W67" s="55">
        <f>_xll.EQNXTDZ($A$1,$B67,W$1,$B$1)</f>
        <v>31.98</v>
      </c>
      <c r="X67" s="55">
        <f>_xll.EQNXTDZ($A$1,$B67,X$1,$B$1)</f>
        <v>41.98</v>
      </c>
      <c r="Y67" s="55">
        <f>_xll.EQNXTDZ($A$1,$B67,Y$1,$B$1)</f>
        <v>96.63</v>
      </c>
      <c r="Z67" s="55">
        <f>_xll.EQNXTDZ($A$1,$B67,Z$1,$B$1)</f>
        <v>178.61</v>
      </c>
      <c r="AA67" s="55">
        <f>_xll.EQNXTDZ($A$1,$B67,AA$1,$B$1)</f>
        <v>345.26</v>
      </c>
      <c r="AB67" s="55">
        <f>_xll.EQNXTDZ($A$1,$B67,AB$1,$B$1)</f>
        <v>382.33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0.19400000000000001</v>
      </c>
      <c r="H71" s="55">
        <f>_xll.EQNXTDZ($A$1,$B71,H$1,$B$1)</f>
        <v>0.19400000000000001</v>
      </c>
      <c r="I71" s="55">
        <f>_xll.EQNXTDZ($A$1,$B71,I$1,$B$1)</f>
        <v>0.19400000000000001</v>
      </c>
      <c r="J71" s="55">
        <f>_xll.EQNXTDZ($A$1,$B71,J$1,$B$1)</f>
        <v>2.1349885999999998</v>
      </c>
      <c r="K71" s="55">
        <f>_xll.EQNXTDZ($A$1,$B71,K$1,$B$1)</f>
        <v>3.3752697999999999</v>
      </c>
      <c r="L71" s="55">
        <f>_xll.EQNXTDZ($A$1,$B71,L$1,$B$1)</f>
        <v>3.3732698000000001</v>
      </c>
      <c r="M71" s="55">
        <f>_xll.EQNXTDZ($A$1,$B71,M$1,$B$1)</f>
        <v>0.01</v>
      </c>
      <c r="N71" s="55">
        <f>_xll.EQNXTDZ($A$1,$B71,N$1,$B$1)</f>
        <v>0.01</v>
      </c>
      <c r="O71" s="55">
        <f>_xll.EQNXTDZ($A$1,$B71,O$1,$B$1)</f>
        <v>2.12</v>
      </c>
      <c r="P71" s="55">
        <f>_xll.EQNXTDZ($A$1,$B71,P$1,$B$1)</f>
        <v>2.1800000000000002</v>
      </c>
      <c r="Q71" s="55">
        <f>_xll.EQNXTDZ($A$1,$B71,Q$1,$B$1)</f>
        <v>2.323</v>
      </c>
      <c r="R71" s="55">
        <f>_xll.EQNXTDZ($A$1,$B71,R$1,$B$1)</f>
        <v>2.4079999999999999</v>
      </c>
      <c r="S71" s="55">
        <f>_xll.EQNXTDZ($A$1,$B71,S$1,$B$1)</f>
        <v>2.629</v>
      </c>
      <c r="T71" s="55">
        <f>_xll.EQNXTDZ($A$1,$B71,T$1,$B$1)</f>
        <v>3.87</v>
      </c>
      <c r="U71" s="55">
        <f>_xll.EQNXTDZ($A$1,$B71,U$1,$B$1)</f>
        <v>4.1589999999999998</v>
      </c>
      <c r="V71" s="55">
        <f>_xll.EQNXTDZ($A$1,$B71,V$1,$B$1)</f>
        <v>3.2</v>
      </c>
      <c r="W71" s="55">
        <f>_xll.EQNXTDZ($A$1,$B71,W$1,$B$1)</f>
        <v>2.25</v>
      </c>
      <c r="X71" s="55">
        <f>_xll.EQNXTDZ($A$1,$B71,X$1,$B$1)</f>
        <v>2.65</v>
      </c>
      <c r="Y71" s="55">
        <f>_xll.EQNXTDZ($A$1,$B71,Y$1,$B$1)</f>
        <v>3.43</v>
      </c>
      <c r="Z71" s="55">
        <f>_xll.EQNXTDZ($A$1,$B71,Z$1,$B$1)</f>
        <v>4.47</v>
      </c>
      <c r="AA71" s="55">
        <f>_xll.EQNXTDZ($A$1,$B71,AA$1,$B$1)</f>
        <v>10.61</v>
      </c>
      <c r="AB71" s="55">
        <f>_xll.EQNXTDZ($A$1,$B71,AB$1,$B$1)</f>
        <v>13.54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25.8269612</v>
      </c>
      <c r="N72" s="55">
        <f>_xll.EQNXTDZ($A$1,$B72,N$1,$B$1)</f>
        <v>46.541775700000002</v>
      </c>
      <c r="O72" s="55">
        <f>_xll.EQNXTDZ($A$1,$B72,O$1,$B$1)</f>
        <v>15.382999999999999</v>
      </c>
      <c r="P72" s="55">
        <f>_xll.EQNXTDZ($A$1,$B72,P$1,$B$1)</f>
        <v>38.597999999999999</v>
      </c>
      <c r="Q72" s="55">
        <f>_xll.EQNXTDZ($A$1,$B72,Q$1,$B$1)</f>
        <v>22.643000000000001</v>
      </c>
      <c r="R72" s="55">
        <f>_xll.EQNXTDZ($A$1,$B72,R$1,$B$1)</f>
        <v>13.407</v>
      </c>
      <c r="S72" s="55">
        <f>_xll.EQNXTDZ($A$1,$B72,S$1,$B$1)</f>
        <v>19.393999999999998</v>
      </c>
      <c r="T72" s="55">
        <f>_xll.EQNXTDZ($A$1,$B72,T$1,$B$1)</f>
        <v>49.19</v>
      </c>
      <c r="U72" s="55">
        <f>_xll.EQNXTDZ($A$1,$B72,U$1,$B$1)</f>
        <v>32.731000000000002</v>
      </c>
      <c r="V72" s="55">
        <f>_xll.EQNXTDZ($A$1,$B72,V$1,$B$1)</f>
        <v>29.79</v>
      </c>
      <c r="W72" s="55">
        <f>_xll.EQNXTDZ($A$1,$B72,W$1,$B$1)</f>
        <v>32.729999999999997</v>
      </c>
      <c r="X72" s="55">
        <f>_xll.EQNXTDZ($A$1,$B72,X$1,$B$1)</f>
        <v>56.55</v>
      </c>
      <c r="Y72" s="55">
        <f>_xll.EQNXTDZ($A$1,$B72,Y$1,$B$1)</f>
        <v>93.5</v>
      </c>
      <c r="Z72" s="55">
        <f>_xll.EQNXTDZ($A$1,$B72,Z$1,$B$1)</f>
        <v>172.13</v>
      </c>
      <c r="AA72" s="55">
        <f>_xll.EQNXTDZ($A$1,$B72,AA$1,$B$1)</f>
        <v>191.7</v>
      </c>
      <c r="AB72" s="55">
        <f>_xll.EQNXTDZ($A$1,$B72,AB$1,$B$1)</f>
        <v>284.20999999999998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0.13672300000000001</v>
      </c>
      <c r="N73" s="55">
        <f>_xll.EQNXTDZ($A$1,$B73,N$1,$B$1)</f>
        <v>0.78703780000000001</v>
      </c>
      <c r="O73" s="55">
        <f>_xll.EQNXTDZ($A$1,$B73,O$1,$B$1)</f>
        <v>1.2609999999999999</v>
      </c>
      <c r="P73" s="55">
        <f>_xll.EQNXTDZ($A$1,$B73,P$1,$B$1)</f>
        <v>1.23</v>
      </c>
      <c r="Q73" s="55">
        <f>_xll.EQNXTDZ($A$1,$B73,Q$1,$B$1)</f>
        <v>8.8049999999999997</v>
      </c>
      <c r="R73" s="55">
        <f>_xll.EQNXTDZ($A$1,$B73,R$1,$B$1)</f>
        <v>8.6969999999999992</v>
      </c>
      <c r="S73" s="55">
        <f>_xll.EQNXTDZ($A$1,$B73,S$1,$B$1)</f>
        <v>8.5890000000000004</v>
      </c>
      <c r="T73" s="55">
        <f>_xll.EQNXTDZ($A$1,$B73,T$1,$B$1)</f>
        <v>9.89</v>
      </c>
      <c r="U73" s="55">
        <f>_xll.EQNXTDZ($A$1,$B73,U$1,$B$1)</f>
        <v>0.58499999999999996</v>
      </c>
      <c r="V73" s="55">
        <f>_xll.EQNXTDZ($A$1,$B73,V$1,$B$1)</f>
        <v>13.12</v>
      </c>
      <c r="W73" s="55">
        <f>_xll.EQNXTDZ($A$1,$B73,W$1,$B$1)</f>
        <v>1.46</v>
      </c>
      <c r="X73" s="55">
        <f>_xll.EQNXTDZ($A$1,$B73,X$1,$B$1)</f>
        <v>0.43</v>
      </c>
      <c r="Y73" s="55">
        <f>_xll.EQNXTDZ($A$1,$B73,Y$1,$B$1)</f>
        <v>1.38</v>
      </c>
      <c r="Z73" s="55">
        <f>_xll.EQNXTDZ($A$1,$B73,Z$1,$B$1)</f>
        <v>0.84</v>
      </c>
      <c r="AA73" s="55">
        <f>_xll.EQNXTDZ($A$1,$B73,AA$1,$B$1)</f>
        <v>0.28000000000000003</v>
      </c>
      <c r="AB73" s="55">
        <f>_xll.EQNXTDZ($A$1,$B73,AB$1,$B$1)</f>
        <v>0.15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69.604313399999995</v>
      </c>
      <c r="H74" s="55">
        <f>_xll.EQNXTDZ($A$1,$B74,H$1,$B$1)</f>
        <v>76.609346700000003</v>
      </c>
      <c r="I74" s="55">
        <f>_xll.EQNXTDZ($A$1,$B74,I$1,$B$1)</f>
        <v>105.8085619</v>
      </c>
      <c r="J74" s="55">
        <f>_xll.EQNXTDZ($A$1,$B74,J$1,$B$1)</f>
        <v>160.55326410000001</v>
      </c>
      <c r="K74" s="55">
        <f>_xll.EQNXTDZ($A$1,$B74,K$1,$B$1)</f>
        <v>215.84014070000001</v>
      </c>
      <c r="L74" s="55">
        <f>_xll.EQNXTDZ($A$1,$B74,L$1,$B$1)</f>
        <v>237.342736</v>
      </c>
      <c r="M74" s="55">
        <f>_xll.EQNXTDZ($A$1,$B74,M$1,$B$1)</f>
        <v>372.48877370000002</v>
      </c>
      <c r="N74" s="55">
        <f>_xll.EQNXTDZ($A$1,$B74,N$1,$B$1)</f>
        <v>631.29027680000002</v>
      </c>
      <c r="O74" s="55">
        <f>_xll.EQNXTDZ($A$1,$B74,O$1,$B$1)</f>
        <v>823.89499999999998</v>
      </c>
      <c r="P74" s="55">
        <f>_xll.EQNXTDZ($A$1,$B74,P$1,$B$1)</f>
        <v>919.13900000000001</v>
      </c>
      <c r="Q74" s="55">
        <f>_xll.EQNXTDZ($A$1,$B74,Q$1,$B$1)</f>
        <v>1022.529</v>
      </c>
      <c r="R74" s="55">
        <f>_xll.EQNXTDZ($A$1,$B74,R$1,$B$1)</f>
        <v>1055.8230000000001</v>
      </c>
      <c r="S74" s="55">
        <f>_xll.EQNXTDZ($A$1,$B74,S$1,$B$1)</f>
        <v>1269.4349999999999</v>
      </c>
      <c r="T74" s="55">
        <f>_xll.EQNXTDZ($A$1,$B74,T$1,$B$1)</f>
        <v>1346.97</v>
      </c>
      <c r="U74" s="55">
        <f>_xll.EQNXTDZ($A$1,$B74,U$1,$B$1)</f>
        <v>1716.675</v>
      </c>
      <c r="V74" s="55">
        <f>_xll.EQNXTDZ($A$1,$B74,V$1,$B$1)</f>
        <v>1680.72</v>
      </c>
      <c r="W74" s="55">
        <f>_xll.EQNXTDZ($A$1,$B74,W$1,$B$1)</f>
        <v>1578.91</v>
      </c>
      <c r="X74" s="55">
        <f>_xll.EQNXTDZ($A$1,$B74,X$1,$B$1)</f>
        <v>1645.39</v>
      </c>
      <c r="Y74" s="55">
        <f>_xll.EQNXTDZ($A$1,$B74,Y$1,$B$1)</f>
        <v>2318.8200000000002</v>
      </c>
      <c r="Z74" s="55">
        <f>_xll.EQNXTDZ($A$1,$B74,Z$1,$B$1)</f>
        <v>2922.76</v>
      </c>
      <c r="AA74" s="55">
        <f>_xll.EQNXTDZ($A$1,$B74,AA$1,$B$1)</f>
        <v>4218.18</v>
      </c>
      <c r="AB74" s="55">
        <f>_xll.EQNXTDZ($A$1,$B74,AB$1,$B$1)</f>
        <v>5356.55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17.934824299999999</v>
      </c>
      <c r="H76" s="55">
        <f>_xll.EQNXTDZ($A$1,$B76,H$1,$B$1)</f>
        <v>20.045900499999998</v>
      </c>
      <c r="I76" s="55">
        <f>_xll.EQNXTDZ($A$1,$B76,I$1,$B$1)</f>
        <v>28.019516899999999</v>
      </c>
      <c r="J76" s="55">
        <f>_xll.EQNXTDZ($A$1,$B76,J$1,$B$1)</f>
        <v>48.698444799999997</v>
      </c>
      <c r="K76" s="55">
        <f>_xll.EQNXTDZ($A$1,$B76,K$1,$B$1)</f>
        <v>61.525756100000002</v>
      </c>
      <c r="L76" s="55">
        <f>_xll.EQNXTDZ($A$1,$B76,L$1,$B$1)</f>
        <v>68.568196700000001</v>
      </c>
      <c r="M76" s="55">
        <f>_xll.EQNXTDZ($A$1,$B76,M$1,$B$1)</f>
        <v>103.2018202</v>
      </c>
      <c r="N76" s="55">
        <f>_xll.EQNXTDZ($A$1,$B76,N$1,$B$1)</f>
        <v>147.4281435</v>
      </c>
      <c r="O76" s="55">
        <f>_xll.EQNXTDZ($A$1,$B76,O$1,$B$1)</f>
        <v>119.247</v>
      </c>
      <c r="P76" s="55">
        <f>_xll.EQNXTDZ($A$1,$B76,P$1,$B$1)</f>
        <v>126.755</v>
      </c>
      <c r="Q76" s="55">
        <f>_xll.EQNXTDZ($A$1,$B76,Q$1,$B$1)</f>
        <v>147.898</v>
      </c>
      <c r="R76" s="55">
        <f>_xll.EQNXTDZ($A$1,$B76,R$1,$B$1)</f>
        <v>181.93899999999999</v>
      </c>
      <c r="S76" s="55">
        <f>_xll.EQNXTDZ($A$1,$B76,S$1,$B$1)</f>
        <v>225.99700000000001</v>
      </c>
      <c r="T76" s="55">
        <f>_xll.EQNXTDZ($A$1,$B76,T$1,$B$1)</f>
        <v>300.45999999999998</v>
      </c>
      <c r="U76" s="55">
        <f>_xll.EQNXTDZ($A$1,$B76,U$1,$B$1)</f>
        <v>323.30799999999999</v>
      </c>
      <c r="V76" s="55">
        <f>_xll.EQNXTDZ($A$1,$B76,V$1,$B$1)</f>
        <v>325.61</v>
      </c>
      <c r="W76" s="55">
        <f>_xll.EQNXTDZ($A$1,$B76,W$1,$B$1)</f>
        <v>405.64</v>
      </c>
      <c r="X76" s="55">
        <f>_xll.EQNXTDZ($A$1,$B76,X$1,$B$1)</f>
        <v>626.41</v>
      </c>
      <c r="Y76" s="55">
        <f>_xll.EQNXTDZ($A$1,$B76,Y$1,$B$1)</f>
        <v>836.01</v>
      </c>
      <c r="Z76" s="55">
        <f>_xll.EQNXTDZ($A$1,$B76,Z$1,$B$1)</f>
        <v>1040.82</v>
      </c>
      <c r="AA76" s="55">
        <f>_xll.EQNXTDZ($A$1,$B76,AA$1,$B$1)</f>
        <v>1332.05</v>
      </c>
      <c r="AB76" s="55">
        <f>_xll.EQNXTDZ($A$1,$B76,AB$1,$B$1)</f>
        <v>1745.41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16.414101899999999</v>
      </c>
      <c r="H77" s="55">
        <f>_xll.EQNXTDZ($A$1,$B77,H$1,$B$1)</f>
        <v>21.6258774</v>
      </c>
      <c r="I77" s="55">
        <f>_xll.EQNXTDZ($A$1,$B77,I$1,$B$1)</f>
        <v>30.182686700000001</v>
      </c>
      <c r="J77" s="55">
        <f>_xll.EQNXTDZ($A$1,$B77,J$1,$B$1)</f>
        <v>53.027276299999997</v>
      </c>
      <c r="K77" s="55">
        <f>_xll.EQNXTDZ($A$1,$B77,K$1,$B$1)</f>
        <v>49.152511500000003</v>
      </c>
      <c r="L77" s="55">
        <f>_xll.EQNXTDZ($A$1,$B77,L$1,$B$1)</f>
        <v>40.754997600000003</v>
      </c>
      <c r="M77" s="55">
        <f>_xll.EQNXTDZ($A$1,$B77,M$1,$B$1)</f>
        <v>64.276691999999997</v>
      </c>
      <c r="N77" s="55">
        <f>_xll.EQNXTDZ($A$1,$B77,N$1,$B$1)</f>
        <v>91.353911600000004</v>
      </c>
      <c r="O77" s="55">
        <f>_xll.EQNXTDZ($A$1,$B77,O$1,$B$1)</f>
        <v>95.100999999999999</v>
      </c>
      <c r="P77" s="55">
        <f>_xll.EQNXTDZ($A$1,$B77,P$1,$B$1)</f>
        <v>131.83099999999999</v>
      </c>
      <c r="Q77" s="55">
        <f>_xll.EQNXTDZ($A$1,$B77,Q$1,$B$1)</f>
        <v>125.435</v>
      </c>
      <c r="R77" s="55">
        <f>_xll.EQNXTDZ($A$1,$B77,R$1,$B$1)</f>
        <v>134.81</v>
      </c>
      <c r="S77" s="55">
        <f>_xll.EQNXTDZ($A$1,$B77,S$1,$B$1)</f>
        <v>174.11099999999999</v>
      </c>
      <c r="T77" s="55">
        <f>_xll.EQNXTDZ($A$1,$B77,T$1,$B$1)</f>
        <v>201.69</v>
      </c>
      <c r="U77" s="55">
        <f>_xll.EQNXTDZ($A$1,$B77,U$1,$B$1)</f>
        <v>210.03200000000001</v>
      </c>
      <c r="V77" s="55">
        <f>_xll.EQNXTDZ($A$1,$B77,V$1,$B$1)</f>
        <v>194.32</v>
      </c>
      <c r="W77" s="55">
        <f>_xll.EQNXTDZ($A$1,$B77,W$1,$B$1)</f>
        <v>238.95</v>
      </c>
      <c r="X77" s="55">
        <f>_xll.EQNXTDZ($A$1,$B77,X$1,$B$1)</f>
        <v>296.20999999999998</v>
      </c>
      <c r="Y77" s="55">
        <f>_xll.EQNXTDZ($A$1,$B77,Y$1,$B$1)</f>
        <v>535.29</v>
      </c>
      <c r="Z77" s="55">
        <f>_xll.EQNXTDZ($A$1,$B77,Z$1,$B$1)</f>
        <v>576.63</v>
      </c>
      <c r="AA77" s="55">
        <f>_xll.EQNXTDZ($A$1,$B77,AA$1,$B$1)</f>
        <v>920.59</v>
      </c>
      <c r="AB77" s="55">
        <f>_xll.EQNXTDZ($A$1,$B77,AB$1,$B$1)</f>
        <v>1110.54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5.1241674000000001</v>
      </c>
      <c r="H78" s="55">
        <f>_xll.EQNXTDZ($A$1,$B78,H$1,$B$1)</f>
        <v>2.3223872999999999</v>
      </c>
      <c r="I78" s="55">
        <f>_xll.EQNXTDZ($A$1,$B78,I$1,$B$1)</f>
        <v>5.9535593999999996</v>
      </c>
      <c r="J78" s="55">
        <f>_xll.EQNXTDZ($A$1,$B78,J$1,$B$1)</f>
        <v>8.0171886000000008</v>
      </c>
      <c r="K78" s="55">
        <f>_xll.EQNXTDZ($A$1,$B78,K$1,$B$1)</f>
        <v>5.3873430000000004</v>
      </c>
      <c r="L78" s="55">
        <f>_xll.EQNXTDZ($A$1,$B78,L$1,$B$1)</f>
        <v>6.7442839000000001</v>
      </c>
      <c r="M78" s="55">
        <f>_xll.EQNXTDZ($A$1,$B78,M$1,$B$1)</f>
        <v>15.884190500000001</v>
      </c>
      <c r="N78" s="55">
        <f>_xll.EQNXTDZ($A$1,$B78,N$1,$B$1)</f>
        <v>20.288361699999999</v>
      </c>
      <c r="O78" s="55">
        <f>_xll.EQNXTDZ($A$1,$B78,O$1,$B$1)</f>
        <v>11.72</v>
      </c>
      <c r="P78" s="55">
        <f>_xll.EQNXTDZ($A$1,$B78,P$1,$B$1)</f>
        <v>7.0010000000000003</v>
      </c>
      <c r="Q78" s="55">
        <f>_xll.EQNXTDZ($A$1,$B78,Q$1,$B$1)</f>
        <v>16.690000000000001</v>
      </c>
      <c r="R78" s="55">
        <f>_xll.EQNXTDZ($A$1,$B78,R$1,$B$1)</f>
        <v>16.510000000000002</v>
      </c>
      <c r="S78" s="55">
        <f>_xll.EQNXTDZ($A$1,$B78,S$1,$B$1)</f>
        <v>39.744</v>
      </c>
      <c r="T78" s="55">
        <f>_xll.EQNXTDZ($A$1,$B78,T$1,$B$1)</f>
        <v>48.68</v>
      </c>
      <c r="U78" s="55">
        <f>_xll.EQNXTDZ($A$1,$B78,U$1,$B$1)</f>
        <v>26.581</v>
      </c>
      <c r="V78" s="55">
        <f>_xll.EQNXTDZ($A$1,$B78,V$1,$B$1)</f>
        <v>71.64</v>
      </c>
      <c r="W78" s="55">
        <f>_xll.EQNXTDZ($A$1,$B78,W$1,$B$1)</f>
        <v>46.66</v>
      </c>
      <c r="X78" s="55">
        <f>_xll.EQNXTDZ($A$1,$B78,X$1,$B$1)</f>
        <v>43.48</v>
      </c>
      <c r="Y78" s="55">
        <f>_xll.EQNXTDZ($A$1,$B78,Y$1,$B$1)</f>
        <v>47.34</v>
      </c>
      <c r="Z78" s="55">
        <f>_xll.EQNXTDZ($A$1,$B78,Z$1,$B$1)</f>
        <v>83.02</v>
      </c>
      <c r="AA78" s="55">
        <f>_xll.EQNXTDZ($A$1,$B78,AA$1,$B$1)</f>
        <v>123.23</v>
      </c>
      <c r="AB78" s="55">
        <f>_xll.EQNXTDZ($A$1,$B78,AB$1,$B$1)</f>
        <v>178.78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17.808469500000001</v>
      </c>
      <c r="N79" s="55">
        <f>_xll.EQNXTDZ($A$1,$B79,N$1,$B$1)</f>
        <v>2.2021533999999998</v>
      </c>
      <c r="O79" s="55">
        <f>_xll.EQNXTDZ($A$1,$B79,O$1,$B$1)</f>
        <v>6.1589999999999998</v>
      </c>
      <c r="P79" s="55">
        <f>_xll.EQNXTDZ($A$1,$B79,P$1,$B$1)</f>
        <v>10.749000000000001</v>
      </c>
      <c r="Q79" s="55">
        <f>_xll.EQNXTDZ($A$1,$B79,Q$1,$B$1)</f>
        <v>8.3490000000000002</v>
      </c>
      <c r="R79" s="55">
        <f>_xll.EQNXTDZ($A$1,$B79,R$1,$B$1)</f>
        <v>7.9130000000000003</v>
      </c>
      <c r="S79" s="55">
        <f>_xll.EQNXTDZ($A$1,$B79,S$1,$B$1)</f>
        <v>9.7509999999999994</v>
      </c>
      <c r="T79" s="55">
        <f>_xll.EQNXTDZ($A$1,$B79,T$1,$B$1)</f>
        <v>14.33</v>
      </c>
      <c r="U79" s="55">
        <f>_xll.EQNXTDZ($A$1,$B79,U$1,$B$1)</f>
        <v>19.32</v>
      </c>
      <c r="V79" s="55">
        <f>_xll.EQNXTDZ($A$1,$B79,V$1,$B$1)</f>
        <v>16.59</v>
      </c>
      <c r="W79" s="55">
        <f>_xll.EQNXTDZ($A$1,$B79,W$1,$B$1)</f>
        <v>16.91</v>
      </c>
      <c r="X79" s="55">
        <f>_xll.EQNXTDZ($A$1,$B79,X$1,$B$1)</f>
        <v>22.61</v>
      </c>
      <c r="Y79" s="55">
        <f>_xll.EQNXTDZ($A$1,$B79,Y$1,$B$1)</f>
        <v>19.78</v>
      </c>
      <c r="Z79" s="55">
        <f>_xll.EQNXTDZ($A$1,$B79,Z$1,$B$1)</f>
        <v>23.09</v>
      </c>
      <c r="AA79" s="55">
        <f>_xll.EQNXTDZ($A$1,$B79,AA$1,$B$1)</f>
        <v>36.119999999999997</v>
      </c>
      <c r="AB79" s="55">
        <f>_xll.EQNXTDZ($A$1,$B79,AB$1,$B$1)</f>
        <v>44.7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7.1058519999999996</v>
      </c>
      <c r="H80" s="55">
        <f>_xll.EQNXTDZ($A$1,$B80,H$1,$B$1)</f>
        <v>8.0620113</v>
      </c>
      <c r="I80" s="55">
        <f>_xll.EQNXTDZ($A$1,$B80,I$1,$B$1)</f>
        <v>19.969212500000001</v>
      </c>
      <c r="J80" s="55">
        <f>_xll.EQNXTDZ($A$1,$B80,J$1,$B$1)</f>
        <v>18.212963299999998</v>
      </c>
      <c r="K80" s="55">
        <f>_xll.EQNXTDZ($A$1,$B80,K$1,$B$1)</f>
        <v>24.4790888</v>
      </c>
      <c r="L80" s="55">
        <f>_xll.EQNXTDZ($A$1,$B80,L$1,$B$1)</f>
        <v>37.045144100000002</v>
      </c>
      <c r="M80" s="55">
        <f>_xll.EQNXTDZ($A$1,$B80,M$1,$B$1)</f>
        <v>12.511737699999999</v>
      </c>
      <c r="N80" s="55">
        <f>_xll.EQNXTDZ($A$1,$B80,N$1,$B$1)</f>
        <v>42.585262899999996</v>
      </c>
      <c r="O80" s="55">
        <f>_xll.EQNXTDZ($A$1,$B80,O$1,$B$1)</f>
        <v>57.128999999999998</v>
      </c>
      <c r="P80" s="55">
        <f>_xll.EQNXTDZ($A$1,$B80,P$1,$B$1)</f>
        <v>62.22</v>
      </c>
      <c r="Q80" s="55">
        <f>_xll.EQNXTDZ($A$1,$B80,Q$1,$B$1)</f>
        <v>56.463999999999999</v>
      </c>
      <c r="R80" s="55">
        <f>_xll.EQNXTDZ($A$1,$B80,R$1,$B$1)</f>
        <v>73.057000000000002</v>
      </c>
      <c r="S80" s="55">
        <f>_xll.EQNXTDZ($A$1,$B80,S$1,$B$1)</f>
        <v>95.656000000000006</v>
      </c>
      <c r="T80" s="55">
        <f>_xll.EQNXTDZ($A$1,$B80,T$1,$B$1)</f>
        <v>32.049999999999997</v>
      </c>
      <c r="U80" s="55">
        <f>_xll.EQNXTDZ($A$1,$B80,U$1,$B$1)</f>
        <v>29.481999999999999</v>
      </c>
      <c r="V80" s="55">
        <f>_xll.EQNXTDZ($A$1,$B80,V$1,$B$1)</f>
        <v>18.399999999999999</v>
      </c>
      <c r="W80" s="55">
        <f>_xll.EQNXTDZ($A$1,$B80,W$1,$B$1)</f>
        <v>64.83</v>
      </c>
      <c r="X80" s="55">
        <f>_xll.EQNXTDZ($A$1,$B80,X$1,$B$1)</f>
        <v>40.68</v>
      </c>
      <c r="Y80" s="55">
        <f>_xll.EQNXTDZ($A$1,$B80,Y$1,$B$1)</f>
        <v>49.48</v>
      </c>
      <c r="Z80" s="55">
        <f>_xll.EQNXTDZ($A$1,$B80,Z$1,$B$1)</f>
        <v>59.42</v>
      </c>
      <c r="AA80" s="55">
        <f>_xll.EQNXTDZ($A$1,$B80,AA$1,$B$1)</f>
        <v>136.94</v>
      </c>
      <c r="AB80" s="55">
        <f>_xll.EQNXTDZ($A$1,$B80,AB$1,$B$1)</f>
        <v>192.34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349.33</v>
      </c>
      <c r="AB81" s="55">
        <f>_xll.EQNXTDZ($A$1,$B81,AB$1,$B$1)</f>
        <v>349.98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46.578945599999997</v>
      </c>
      <c r="H82" s="55">
        <f>_xll.EQNXTDZ($A$1,$B82,H$1,$B$1)</f>
        <v>52.056176499999999</v>
      </c>
      <c r="I82" s="55">
        <f>_xll.EQNXTDZ($A$1,$B82,I$1,$B$1)</f>
        <v>84.124975500000005</v>
      </c>
      <c r="J82" s="55">
        <f>_xll.EQNXTDZ($A$1,$B82,J$1,$B$1)</f>
        <v>127.955873</v>
      </c>
      <c r="K82" s="55">
        <f>_xll.EQNXTDZ($A$1,$B82,K$1,$B$1)</f>
        <v>140.54469940000001</v>
      </c>
      <c r="L82" s="55">
        <f>_xll.EQNXTDZ($A$1,$B82,L$1,$B$1)</f>
        <v>153.1126223</v>
      </c>
      <c r="M82" s="55">
        <f>_xll.EQNXTDZ($A$1,$B82,M$1,$B$1)</f>
        <v>213.6829099</v>
      </c>
      <c r="N82" s="55">
        <f>_xll.EQNXTDZ($A$1,$B82,N$1,$B$1)</f>
        <v>303.85783309999999</v>
      </c>
      <c r="O82" s="55">
        <f>_xll.EQNXTDZ($A$1,$B82,O$1,$B$1)</f>
        <v>289.35599999999999</v>
      </c>
      <c r="P82" s="55">
        <f>_xll.EQNXTDZ($A$1,$B82,P$1,$B$1)</f>
        <v>338.55599999999998</v>
      </c>
      <c r="Q82" s="55">
        <f>_xll.EQNXTDZ($A$1,$B82,Q$1,$B$1)</f>
        <v>354.83600000000001</v>
      </c>
      <c r="R82" s="55">
        <f>_xll.EQNXTDZ($A$1,$B82,R$1,$B$1)</f>
        <v>414.22899999999998</v>
      </c>
      <c r="S82" s="55">
        <f>_xll.EQNXTDZ($A$1,$B82,S$1,$B$1)</f>
        <v>545.25900000000001</v>
      </c>
      <c r="T82" s="55">
        <f>_xll.EQNXTDZ($A$1,$B82,T$1,$B$1)</f>
        <v>597.21</v>
      </c>
      <c r="U82" s="55">
        <f>_xll.EQNXTDZ($A$1,$B82,U$1,$B$1)</f>
        <v>608.72299999999996</v>
      </c>
      <c r="V82" s="55">
        <f>_xll.EQNXTDZ($A$1,$B82,V$1,$B$1)</f>
        <v>626.55999999999995</v>
      </c>
      <c r="W82" s="55">
        <f>_xll.EQNXTDZ($A$1,$B82,W$1,$B$1)</f>
        <v>772.99</v>
      </c>
      <c r="X82" s="55">
        <f>_xll.EQNXTDZ($A$1,$B82,X$1,$B$1)</f>
        <v>1029.3900000000001</v>
      </c>
      <c r="Y82" s="55">
        <f>_xll.EQNXTDZ($A$1,$B82,Y$1,$B$1)</f>
        <v>1487.9</v>
      </c>
      <c r="Z82" s="55">
        <f>_xll.EQNXTDZ($A$1,$B82,Z$1,$B$1)</f>
        <v>1782.98</v>
      </c>
      <c r="AA82" s="55">
        <f>_xll.EQNXTDZ($A$1,$B82,AA$1,$B$1)</f>
        <v>2548.9299999999998</v>
      </c>
      <c r="AB82" s="55">
        <f>_xll.EQNXTDZ($A$1,$B82,AB$1,$B$1)</f>
        <v>3271.77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116.18325900000001</v>
      </c>
      <c r="H84" s="55">
        <f>_xll.EQNXTDZ($A$1,$B84,H$1,$B$1)</f>
        <v>128.6655232</v>
      </c>
      <c r="I84" s="55">
        <f>_xll.EQNXTDZ($A$1,$B84,I$1,$B$1)</f>
        <v>189.93353740000001</v>
      </c>
      <c r="J84" s="55">
        <f>_xll.EQNXTDZ($A$1,$B84,J$1,$B$1)</f>
        <v>288.50913709999998</v>
      </c>
      <c r="K84" s="55">
        <f>_xll.EQNXTDZ($A$1,$B84,K$1,$B$1)</f>
        <v>356.38484010000002</v>
      </c>
      <c r="L84" s="55">
        <f>_xll.EQNXTDZ($A$1,$B84,L$1,$B$1)</f>
        <v>390.4553583</v>
      </c>
      <c r="M84" s="55">
        <f>_xll.EQNXTDZ($A$1,$B84,M$1,$B$1)</f>
        <v>586.17168360000005</v>
      </c>
      <c r="N84" s="55">
        <f>_xll.EQNXTDZ($A$1,$B84,N$1,$B$1)</f>
        <v>935.14810990000001</v>
      </c>
      <c r="O84" s="55">
        <f>_xll.EQNXTDZ($A$1,$B84,O$1,$B$1)</f>
        <v>1113.251</v>
      </c>
      <c r="P84" s="55">
        <f>_xll.EQNXTDZ($A$1,$B84,P$1,$B$1)</f>
        <v>1257.6949999999999</v>
      </c>
      <c r="Q84" s="55">
        <f>_xll.EQNXTDZ($A$1,$B84,Q$1,$B$1)</f>
        <v>1377.365</v>
      </c>
      <c r="R84" s="55">
        <f>_xll.EQNXTDZ($A$1,$B84,R$1,$B$1)</f>
        <v>1470.0519999999999</v>
      </c>
      <c r="S84" s="55">
        <f>_xll.EQNXTDZ($A$1,$B84,S$1,$B$1)</f>
        <v>1814.694</v>
      </c>
      <c r="T84" s="55">
        <f>_xll.EQNXTDZ($A$1,$B84,T$1,$B$1)</f>
        <v>1944.18</v>
      </c>
      <c r="U84" s="55">
        <f>_xll.EQNXTDZ($A$1,$B84,U$1,$B$1)</f>
        <v>2325.3980000000001</v>
      </c>
      <c r="V84" s="55">
        <f>_xll.EQNXTDZ($A$1,$B84,V$1,$B$1)</f>
        <v>2307.2800000000002</v>
      </c>
      <c r="W84" s="55">
        <f>_xll.EQNXTDZ($A$1,$B84,W$1,$B$1)</f>
        <v>2351.9</v>
      </c>
      <c r="X84" s="55">
        <f>_xll.EQNXTDZ($A$1,$B84,X$1,$B$1)</f>
        <v>2674.78</v>
      </c>
      <c r="Y84" s="55">
        <f>_xll.EQNXTDZ($A$1,$B84,Y$1,$B$1)</f>
        <v>3806.72</v>
      </c>
      <c r="Z84" s="55">
        <f>_xll.EQNXTDZ($A$1,$B84,Z$1,$B$1)</f>
        <v>4705.74</v>
      </c>
      <c r="AA84" s="55">
        <f>_xll.EQNXTDZ($A$1,$B84,AA$1,$B$1)</f>
        <v>7116.44</v>
      </c>
      <c r="AB84" s="55">
        <f>_xll.EQNXTDZ($A$1,$B84,AB$1,$B$1)</f>
        <v>8978.2999999999993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44.067700000000002</v>
      </c>
      <c r="L85" s="55">
        <f>_xll.EQNXTDZ($A$1,$B85,L$1,$B$1)</f>
        <v>32.018099999999997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20.806000000000001</v>
      </c>
      <c r="P85" s="55">
        <f>_xll.EQNXTDZ($A$1,$B85,P$1,$B$1)</f>
        <v>14.648</v>
      </c>
      <c r="Q85" s="55">
        <f>_xll.EQNXTDZ($A$1,$B85,Q$1,$B$1)</f>
        <v>28.050999999999998</v>
      </c>
      <c r="R85" s="55">
        <f>_xll.EQNXTDZ($A$1,$B85,R$1,$B$1)</f>
        <v>25.902000000000001</v>
      </c>
      <c r="S85" s="55">
        <f>_xll.EQNXTDZ($A$1,$B85,S$1,$B$1)</f>
        <v>27.356999999999999</v>
      </c>
      <c r="T85" s="55">
        <f>_xll.EQNXTDZ($A$1,$B85,T$1,$B$1)</f>
        <v>104.13</v>
      </c>
      <c r="U85" s="55">
        <f>_xll.EQNXTDZ($A$1,$B85,U$1,$B$1)</f>
        <v>0</v>
      </c>
      <c r="V85" s="55">
        <f>_xll.EQNXTDZ($A$1,$B85,V$1,$B$1)</f>
        <v>20.36</v>
      </c>
      <c r="W85" s="55">
        <f>_xll.EQNXTDZ($A$1,$B85,W$1,$B$1)</f>
        <v>18.77</v>
      </c>
      <c r="X85" s="55">
        <f>_xll.EQNXTDZ($A$1,$B85,X$1,$B$1)</f>
        <v>42.34</v>
      </c>
      <c r="Y85" s="55">
        <f>_xll.EQNXTDZ($A$1,$B85,Y$1,$B$1)</f>
        <v>25.57</v>
      </c>
      <c r="Z85" s="55">
        <f>_xll.EQNXTDZ($A$1,$B85,Z$1,$B$1)</f>
        <v>55.3</v>
      </c>
      <c r="AA85" s="55">
        <f>_xll.EQNXTDZ($A$1,$B85,AA$1,$B$1)</f>
        <v>118.45</v>
      </c>
      <c r="AB85" s="55">
        <f>_xll.EQNXTDZ($A$1,$B85,AB$1,$B$1)</f>
        <v>189.85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189.99</v>
      </c>
      <c r="Z86" s="55">
        <f>_xll.EQNXTDZ($A$1,$B86,Z$1,$B$1)</f>
        <v>189.99</v>
      </c>
      <c r="AA86" s="55">
        <f>_xll.EQNXTDZ($A$1,$B86,AA$1,$B$1)</f>
        <v>214.98</v>
      </c>
      <c r="AB86" s="55">
        <f>_xll.EQNXTDZ($A$1,$B86,AB$1,$B$1)</f>
        <v>211.15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34.547800000000002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49.034700000000001</v>
      </c>
      <c r="O88" s="55">
        <f>_xll.EQNXTDZ($A$1,$B88,O$1,$B$1)</f>
        <v>14.449</v>
      </c>
      <c r="P88" s="55">
        <f>_xll.EQNXTDZ($A$1,$B88,P$1,$B$1)</f>
        <v>16.559000000000001</v>
      </c>
      <c r="Q88" s="55">
        <f>_xll.EQNXTDZ($A$1,$B88,Q$1,$B$1)</f>
        <v>23.236999999999998</v>
      </c>
      <c r="R88" s="55">
        <f>_xll.EQNXTDZ($A$1,$B88,R$1,$B$1)</f>
        <v>22.116</v>
      </c>
      <c r="S88" s="55">
        <f>_xll.EQNXTDZ($A$1,$B88,S$1,$B$1)</f>
        <v>33.816000000000003</v>
      </c>
      <c r="T88" s="55">
        <f>_xll.EQNXTDZ($A$1,$B88,T$1,$B$1)</f>
        <v>61.22</v>
      </c>
      <c r="U88" s="55">
        <f>_xll.EQNXTDZ($A$1,$B88,U$1,$B$1)</f>
        <v>93.45</v>
      </c>
      <c r="V88" s="55">
        <f>_xll.EQNXTDZ($A$1,$B88,V$1,$B$1)</f>
        <v>49.03</v>
      </c>
      <c r="W88" s="55">
        <f>_xll.EQNXTDZ($A$1,$B88,W$1,$B$1)</f>
        <v>108.21</v>
      </c>
      <c r="X88" s="55">
        <f>_xll.EQNXTDZ($A$1,$B88,X$1,$B$1)</f>
        <v>74.75</v>
      </c>
      <c r="Y88" s="55">
        <f>_xll.EQNXTDZ($A$1,$B88,Y$1,$B$1)</f>
        <v>70.19</v>
      </c>
      <c r="Z88" s="55">
        <f>_xll.EQNXTDZ($A$1,$B88,Z$1,$B$1)</f>
        <v>94.75</v>
      </c>
      <c r="AA88" s="55">
        <f>_xll.EQNXTDZ($A$1,$B88,AA$1,$B$1)</f>
        <v>144.91</v>
      </c>
      <c r="AB88" s="55">
        <f>_xll.EQNXTDZ($A$1,$B88,AB$1,$B$1)</f>
        <v>265.05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44.44</v>
      </c>
      <c r="P89" s="55">
        <f>_xll.EQNXTDZ($A$1,$B89,P$1,$B$1)</f>
        <v>63.582000000000001</v>
      </c>
      <c r="Q89" s="55">
        <f>_xll.EQNXTDZ($A$1,$B89,Q$1,$B$1)</f>
        <v>63.261000000000003</v>
      </c>
      <c r="R89" s="55">
        <f>_xll.EQNXTDZ($A$1,$B89,R$1,$B$1)</f>
        <v>73.254000000000005</v>
      </c>
      <c r="S89" s="55">
        <f>_xll.EQNXTDZ($A$1,$B89,S$1,$B$1)</f>
        <v>85.564999999999998</v>
      </c>
      <c r="T89" s="55">
        <f>_xll.EQNXTDZ($A$1,$B89,T$1,$B$1)</f>
        <v>83.05</v>
      </c>
      <c r="U89" s="55">
        <f>_xll.EQNXTDZ($A$1,$B89,U$1,$B$1)</f>
        <v>63.597999999999999</v>
      </c>
      <c r="V89" s="55">
        <f>_xll.EQNXTDZ($A$1,$B89,V$1,$B$1)</f>
        <v>79.06</v>
      </c>
      <c r="W89" s="55">
        <f>_xll.EQNXTDZ($A$1,$B89,W$1,$B$1)</f>
        <v>0</v>
      </c>
      <c r="X89" s="55">
        <f>_xll.EQNXTDZ($A$1,$B89,X$1,$B$1)</f>
        <v>73.849999999999994</v>
      </c>
      <c r="Y89" s="55">
        <f>_xll.EQNXTDZ($A$1,$B89,Y$1,$B$1)</f>
        <v>45.88</v>
      </c>
      <c r="Z89" s="55">
        <f>_xll.EQNXTDZ($A$1,$B89,Z$1,$B$1)</f>
        <v>46.63</v>
      </c>
      <c r="AA89" s="55">
        <f>_xll.EQNXTDZ($A$1,$B89,AA$1,$B$1)</f>
        <v>40.71</v>
      </c>
      <c r="AB89" s="55">
        <f>_xll.EQNXTDZ($A$1,$B89,AB$1,$B$1)</f>
        <v>47.05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17.79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189.99</v>
      </c>
      <c r="Z91" s="55">
        <f>_xll.EQNXTDZ($A$1,$B91,Z$1,$B$1)</f>
        <v>189.99</v>
      </c>
      <c r="AA91" s="55">
        <f>_xll.EQNXTDZ($A$1,$B91,AA$1,$B$1)</f>
        <v>216.9</v>
      </c>
      <c r="AB91" s="55">
        <f>_xll.EQNXTDZ($A$1,$B91,AB$1,$B$1)</f>
        <v>216.9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1.92</v>
      </c>
      <c r="AB92" s="55">
        <f>_xll.EQNXTDZ($A$1,$B92,AB$1,$B$1)</f>
        <v>5.75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21.5276</v>
      </c>
      <c r="L93" s="55">
        <f>_xll.EQNXTDZ($A$1,$B93,L$1,$B$1)</f>
        <v>20.1554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5.8049999999999997</v>
      </c>
      <c r="P93" s="55">
        <f>_xll.EQNXTDZ($A$1,$B93,P$1,$B$1)</f>
        <v>6.1539999999999999</v>
      </c>
      <c r="Q93" s="55">
        <f>_xll.EQNXTDZ($A$1,$B93,Q$1,$B$1)</f>
        <v>5.8760000000000003</v>
      </c>
      <c r="R93" s="55">
        <f>_xll.EQNXTDZ($A$1,$B93,R$1,$B$1)</f>
        <v>5.5549999999999997</v>
      </c>
      <c r="S93" s="55">
        <f>_xll.EQNXTDZ($A$1,$B93,S$1,$B$1)</f>
        <v>7.048</v>
      </c>
      <c r="T93" s="55">
        <f>_xll.EQNXTDZ($A$1,$B93,T$1,$B$1)</f>
        <v>49.25</v>
      </c>
      <c r="U93" s="55">
        <f>_xll.EQNXTDZ($A$1,$B93,U$1,$B$1)</f>
        <v>0</v>
      </c>
      <c r="V93" s="55">
        <f>_xll.EQNXTDZ($A$1,$B93,V$1,$B$1)</f>
        <v>19.8</v>
      </c>
      <c r="W93" s="55">
        <f>_xll.EQNXTDZ($A$1,$B93,W$1,$B$1)</f>
        <v>18.77</v>
      </c>
      <c r="X93" s="55">
        <f>_xll.EQNXTDZ($A$1,$B93,X$1,$B$1)</f>
        <v>20.170000000000002</v>
      </c>
      <c r="Y93" s="55">
        <f>_xll.EQNXTDZ($A$1,$B93,Y$1,$B$1)</f>
        <v>6.49</v>
      </c>
      <c r="Z93" s="55">
        <f>_xll.EQNXTDZ($A$1,$B93,Z$1,$B$1)</f>
        <v>9.1300000000000008</v>
      </c>
      <c r="AA93" s="55">
        <f>_xll.EQNXTDZ($A$1,$B93,AA$1,$B$1)</f>
        <v>31.99</v>
      </c>
      <c r="AB93" s="55">
        <f>_xll.EQNXTDZ($A$1,$B93,AB$1,$B$1)</f>
        <v>33.15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0.64670000000000005</v>
      </c>
      <c r="L95" s="55">
        <f>_xll.EQNXTDZ($A$1,$B95,L$1,$B$1)</f>
        <v>5.0829000000000004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9.8379999999999992</v>
      </c>
      <c r="P95" s="55">
        <f>_xll.EQNXTDZ($A$1,$B95,P$1,$B$1)</f>
        <v>3.7320000000000002</v>
      </c>
      <c r="Q95" s="55">
        <f>_xll.EQNXTDZ($A$1,$B95,Q$1,$B$1)</f>
        <v>17.111000000000001</v>
      </c>
      <c r="R95" s="55">
        <f>_xll.EQNXTDZ($A$1,$B95,R$1,$B$1)</f>
        <v>14.242000000000001</v>
      </c>
      <c r="S95" s="55">
        <f>_xll.EQNXTDZ($A$1,$B95,S$1,$B$1)</f>
        <v>13.416</v>
      </c>
      <c r="T95" s="55">
        <f>_xll.EQNXTDZ($A$1,$B95,T$1,$B$1)</f>
        <v>8.9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45.98</v>
      </c>
      <c r="U97" s="55">
        <f>_xll.EQNXTDZ($A$1,$B97,U$1,$B$1)</f>
        <v>0</v>
      </c>
      <c r="V97" s="55">
        <f>_xll.EQNXTDZ($A$1,$B97,V$1,$B$1)</f>
        <v>0.56000000000000005</v>
      </c>
      <c r="W97" s="55">
        <f>_xll.EQNXTDZ($A$1,$B97,W$1,$B$1)</f>
        <v>0</v>
      </c>
      <c r="X97" s="55">
        <f>_xll.EQNXTDZ($A$1,$B97,X$1,$B$1)</f>
        <v>22.17</v>
      </c>
      <c r="Y97" s="55">
        <f>_xll.EQNXTDZ($A$1,$B97,Y$1,$B$1)</f>
        <v>19.079999999999998</v>
      </c>
      <c r="Z97" s="55">
        <f>_xll.EQNXTDZ($A$1,$B97,Z$1,$B$1)</f>
        <v>46.17</v>
      </c>
      <c r="AA97" s="55">
        <f>_xll.EQNXTDZ($A$1,$B97,AA$1,$B$1)</f>
        <v>86.46</v>
      </c>
      <c r="AB97" s="55">
        <f>_xll.EQNXTDZ($A$1,$B97,AB$1,$B$1)</f>
        <v>156.69999999999999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21.8934</v>
      </c>
      <c r="L98" s="55">
        <f>_xll.EQNXTDZ($A$1,$B98,L$1,$B$1)</f>
        <v>6.7797999999999998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5.1630000000000003</v>
      </c>
      <c r="P98" s="55">
        <f>_xll.EQNXTDZ($A$1,$B98,P$1,$B$1)</f>
        <v>4.7619999999999996</v>
      </c>
      <c r="Q98" s="55">
        <f>_xll.EQNXTDZ($A$1,$B98,Q$1,$B$1)</f>
        <v>5.0640000000000001</v>
      </c>
      <c r="R98" s="55">
        <f>_xll.EQNXTDZ($A$1,$B98,R$1,$B$1)</f>
        <v>6.1050000000000004</v>
      </c>
      <c r="S98" s="55">
        <f>_xll.EQNXTDZ($A$1,$B98,S$1,$B$1)</f>
        <v>6.8929999999999998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0.85</v>
      </c>
      <c r="H104" s="55">
        <f>_xll.EQNXTDZ($A$1,$B104,H$1,$B$1)</f>
        <v>0.85</v>
      </c>
      <c r="I104" s="55">
        <f>_xll.EQNXTDZ($A$1,$B104,I$1,$B$1)</f>
        <v>4.05</v>
      </c>
      <c r="J104" s="55">
        <f>_xll.EQNXTDZ($A$1,$B104,J$1,$B$1)</f>
        <v>4.05</v>
      </c>
      <c r="K104" s="55">
        <f>_xll.EQNXTDZ($A$1,$B104,K$1,$B$1)</f>
        <v>4.05</v>
      </c>
      <c r="L104" s="55">
        <f>_xll.EQNXTDZ($A$1,$B104,L$1,$B$1)</f>
        <v>4.05</v>
      </c>
      <c r="M104" s="55">
        <f>_xll.EQNXTDZ($A$1,$B104,M$1,$B$1)</f>
        <v>4.7126299999999999</v>
      </c>
      <c r="N104" s="55">
        <f>_xll.EQNXTDZ($A$1,$B104,N$1,$B$1)</f>
        <v>4.7126299999999999</v>
      </c>
      <c r="O104" s="55">
        <f>_xll.EQNXTDZ($A$1,$B104,O$1,$B$1)</f>
        <v>5.7489999999999997</v>
      </c>
      <c r="P104" s="55">
        <f>_xll.EQNXTDZ($A$1,$B104,P$1,$B$1)</f>
        <v>5.7489999999999997</v>
      </c>
      <c r="Q104" s="55">
        <f>_xll.EQNXTDZ($A$1,$B104,Q$1,$B$1)</f>
        <v>5.7489999999999997</v>
      </c>
      <c r="R104" s="55">
        <f>_xll.EQNXTDZ($A$1,$B104,R$1,$B$1)</f>
        <v>5.7489999999999997</v>
      </c>
      <c r="S104" s="55">
        <f>_xll.EQNXTDZ($A$1,$B104,S$1,$B$1)</f>
        <v>5.7489999999999997</v>
      </c>
      <c r="T104" s="55">
        <f>_xll.EQNXTDZ($A$1,$B104,T$1,$B$1)</f>
        <v>10.06</v>
      </c>
      <c r="U104" s="55">
        <f>_xll.EQNXTDZ($A$1,$B104,U$1,$B$1)</f>
        <v>10.061</v>
      </c>
      <c r="V104" s="55">
        <f>_xll.EQNXTDZ($A$1,$B104,V$1,$B$1)</f>
        <v>10.06</v>
      </c>
      <c r="W104" s="55">
        <f>_xll.EQNXTDZ($A$1,$B104,W$1,$B$1)</f>
        <v>10.56</v>
      </c>
      <c r="X104" s="55">
        <f>_xll.EQNXTDZ($A$1,$B104,X$1,$B$1)</f>
        <v>10.56</v>
      </c>
      <c r="Y104" s="55">
        <f>_xll.EQNXTDZ($A$1,$B104,Y$1,$B$1)</f>
        <v>10.56</v>
      </c>
      <c r="Z104" s="55">
        <f>_xll.EQNXTDZ($A$1,$B104,Z$1,$B$1)</f>
        <v>10.56</v>
      </c>
      <c r="AA104" s="55">
        <f>_xll.EQNXTDZ($A$1,$B104,AA$1,$B$1)</f>
        <v>11.93</v>
      </c>
      <c r="AB104" s="55">
        <f>_xll.EQNXTDZ($A$1,$B104,AB$1,$B$1)</f>
        <v>11.93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100</v>
      </c>
      <c r="H105" s="55">
        <f>_xll.EQNXTDZ($A$1,$B105,H$1,$B$1)</f>
        <v>100</v>
      </c>
      <c r="I105" s="55">
        <f>_xll.EQNXTDZ($A$1,$B105,I$1,$B$1)</f>
        <v>100</v>
      </c>
      <c r="J105" s="55">
        <f>_xll.EQNXTDZ($A$1,$B105,J$1,$B$1)</f>
        <v>100</v>
      </c>
      <c r="K105" s="55">
        <f>_xll.EQNXTDZ($A$1,$B105,K$1,$B$1)</f>
        <v>100</v>
      </c>
      <c r="L105" s="55">
        <f>_xll.EQNXTDZ($A$1,$B105,L$1,$B$1)</f>
        <v>100</v>
      </c>
      <c r="M105" s="55">
        <f>_xll.EQNXTDZ($A$1,$B105,M$1,$B$1)</f>
        <v>100</v>
      </c>
      <c r="N105" s="55">
        <f>_xll.EQNXTDZ($A$1,$B105,N$1,$B$1)</f>
        <v>100</v>
      </c>
      <c r="O105" s="55">
        <f>_xll.EQNXTDZ($A$1,$B105,O$1,$B$1)</f>
        <v>100</v>
      </c>
      <c r="P105" s="55">
        <f>_xll.EQNXTDZ($A$1,$B105,P$1,$B$1)</f>
        <v>100</v>
      </c>
      <c r="Q105" s="55">
        <f>_xll.EQNXTDZ($A$1,$B105,Q$1,$B$1)</f>
        <v>100</v>
      </c>
      <c r="R105" s="55">
        <f>_xll.EQNXTDZ($A$1,$B105,R$1,$B$1)</f>
        <v>100</v>
      </c>
      <c r="S105" s="55">
        <f>_xll.EQNXTDZ($A$1,$B105,S$1,$B$1)</f>
        <v>100</v>
      </c>
      <c r="T105" s="55">
        <f>_xll.EQNXTDZ($A$1,$B105,T$1,$B$1)</f>
        <v>100</v>
      </c>
      <c r="U105" s="55">
        <f>_xll.EQNXTDZ($A$1,$B105,U$1,$B$1)</f>
        <v>5</v>
      </c>
      <c r="V105" s="55">
        <f>_xll.EQNXTDZ($A$1,$B105,V$1,$B$1)</f>
        <v>5</v>
      </c>
      <c r="W105" s="55">
        <f>_xll.EQNXTDZ($A$1,$B105,W$1,$B$1)</f>
        <v>5</v>
      </c>
      <c r="X105" s="55">
        <f>_xll.EQNXTDZ($A$1,$B105,X$1,$B$1)</f>
        <v>5</v>
      </c>
      <c r="Y105" s="55">
        <f>_xll.EQNXTDZ($A$1,$B105,Y$1,$B$1)</f>
        <v>5</v>
      </c>
      <c r="Z105" s="55">
        <f>_xll.EQNXTDZ($A$1,$B105,Z$1,$B$1)</f>
        <v>5</v>
      </c>
      <c r="AA105" s="55">
        <f>_xll.EQNXTDZ($A$1,$B105,AA$1,$B$1)</f>
        <v>5</v>
      </c>
      <c r="AB105" s="55">
        <f>_xll.EQNXTDZ($A$1,$B105,AB$1,$B$1)</f>
        <v>5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1417.85</v>
      </c>
      <c r="X106" s="55">
        <f>_xll.EQNXTDZ($A$1,$B106,X$1,$B$1)</f>
        <v>2356.1999999999998</v>
      </c>
      <c r="Y106" s="55">
        <f>_xll.EQNXTDZ($A$1,$B106,Y$1,$B$1)</f>
        <v>3246.25</v>
      </c>
      <c r="Z106" s="55">
        <f>_xll.EQNXTDZ($A$1,$B106,Z$1,$B$1)</f>
        <v>4321.75</v>
      </c>
      <c r="AA106" s="55">
        <f>_xll.EQNXTDZ($A$1,$B106,AA$1,$B$1)</f>
        <v>4859.5</v>
      </c>
      <c r="AB106" s="55">
        <f>_xll.EQNXTDZ($A$1,$B106,AB$1,$B$1)</f>
        <v>6989.15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1530</v>
      </c>
      <c r="X107" s="55">
        <f>_xll.EQNXTDZ($A$1,$B107,X$1,$B$1)</f>
        <v>2772.8</v>
      </c>
      <c r="Y107" s="55">
        <f>_xll.EQNXTDZ($A$1,$B107,Y$1,$B$1)</f>
        <v>3709.95</v>
      </c>
      <c r="Z107" s="55">
        <f>_xll.EQNXTDZ($A$1,$B107,Z$1,$B$1)</f>
        <v>5510</v>
      </c>
      <c r="AA107" s="55">
        <f>_xll.EQNXTDZ($A$1,$B107,AA$1,$B$1)</f>
        <v>7107.15</v>
      </c>
      <c r="AB107" s="55">
        <f>_xll.EQNXTDZ($A$1,$B107,AB$1,$B$1)</f>
        <v>8198.9500000000007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1349.2</v>
      </c>
      <c r="X108" s="55">
        <f>_xll.EQNXTDZ($A$1,$B108,X$1,$B$1)</f>
        <v>1115</v>
      </c>
      <c r="Y108" s="55">
        <f>_xll.EQNXTDZ($A$1,$B108,Y$1,$B$1)</f>
        <v>2024</v>
      </c>
      <c r="Z108" s="55">
        <f>_xll.EQNXTDZ($A$1,$B108,Z$1,$B$1)</f>
        <v>3001.05</v>
      </c>
      <c r="AA108" s="55">
        <f>_xll.EQNXTDZ($A$1,$B108,AA$1,$B$1)</f>
        <v>3860.1</v>
      </c>
      <c r="AB108" s="55">
        <f>_xll.EQNXTDZ($A$1,$B108,AB$1,$B$1)</f>
        <v>3700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2994.4992000000002</v>
      </c>
      <c r="X109" s="55">
        <f>_xll.EQNXTDZ($A$1,$B109,X$1,$B$1)</f>
        <v>4976.2943999999998</v>
      </c>
      <c r="Y109" s="55">
        <f>_xll.EQNXTDZ($A$1,$B109,Y$1,$B$1)</f>
        <v>6856.08</v>
      </c>
      <c r="Z109" s="55">
        <f>_xll.EQNXTDZ($A$1,$B109,Z$1,$B$1)</f>
        <v>9127.5360000000001</v>
      </c>
      <c r="AA109" s="55">
        <f>_xll.EQNXTDZ($A$1,$B109,AA$1,$B$1)</f>
        <v>11594.767</v>
      </c>
      <c r="AB109" s="55">
        <f>_xll.EQNXTDZ($A$1,$B109,AB$1,$B$1)</f>
        <v>16676.1119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0.126984126984127</v>
      </c>
      <c r="H110" s="55">
        <f>_xll.EQNXTDZ($A$1,$B110,H$1,$B$1)</f>
        <v>0.126984126984127</v>
      </c>
      <c r="I110" s="55">
        <f>_xll.EQNXTDZ($A$1,$B110,I$1,$B$1)</f>
        <v>0.28571428571428598</v>
      </c>
      <c r="J110" s="55">
        <f>_xll.EQNXTDZ($A$1,$B110,J$1,$B$1)</f>
        <v>0.28571428571428598</v>
      </c>
      <c r="K110" s="55">
        <f>_xll.EQNXTDZ($A$1,$B110,K$1,$B$1)</f>
        <v>0.28571428571428598</v>
      </c>
      <c r="L110" s="55">
        <f>_xll.EQNXTDZ($A$1,$B110,L$1,$B$1)</f>
        <v>0.28571428571428598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0.28571428571428598</v>
      </c>
      <c r="P110" s="55">
        <f>_xll.EQNXTDZ($A$1,$B110,P$1,$B$1)</f>
        <v>0.28571428571428598</v>
      </c>
      <c r="Q110" s="55">
        <f>_xll.EQNXTDZ($A$1,$B110,Q$1,$B$1)</f>
        <v>0.28571428571428598</v>
      </c>
      <c r="R110" s="55">
        <f>_xll.EQNXTDZ($A$1,$B110,R$1,$B$1)</f>
        <v>0.28571428571428598</v>
      </c>
      <c r="S110" s="55">
        <f>_xll.EQNXTDZ($A$1,$B110,S$1,$B$1)</f>
        <v>0.28571428571428598</v>
      </c>
      <c r="T110" s="55">
        <f>_xll.EQNXTDZ($A$1,$B110,T$1,$B$1)</f>
        <v>10</v>
      </c>
      <c r="U110" s="55">
        <f>_xll.EQNXTDZ($A$1,$B110,U$1,$B$1)</f>
        <v>2.5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3.75</v>
      </c>
      <c r="Y110" s="55">
        <f>_xll.EQNXTDZ($A$1,$B110,Y$1,$B$1)</f>
        <v>11.25</v>
      </c>
      <c r="Z110" s="55">
        <f>_xll.EQNXTDZ($A$1,$B110,Z$1,$B$1)</f>
        <v>11.25</v>
      </c>
      <c r="AA110" s="55">
        <f>_xll.EQNXTDZ($A$1,$B110,AA$1,$B$1)</f>
        <v>5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29.55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59.76</v>
      </c>
      <c r="X112" s="56">
        <f>_xll.EQNXTDZ($A$1,$B112,X$5)</f>
        <v>59.76</v>
      </c>
      <c r="Y112" s="56">
        <f>_xll.EQNXTDZ($A$1,$B112,Y$5)</f>
        <v>58.77</v>
      </c>
      <c r="Z112" s="56">
        <f>_xll.EQNXTDZ($A$1,$B112,Z$5)</f>
        <v>54.99</v>
      </c>
      <c r="AA112" s="56">
        <f>_xll.EQNXTDZ($A$1,$B112,AA$5)</f>
        <v>48.7</v>
      </c>
      <c r="AB112" s="56">
        <f>_xll.EQNXTDZ($A$1,$B112,AB$5)</f>
        <v>48.7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215216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1359</v>
      </c>
      <c r="DE6" cm="1">
        <f t="array" ref="DE6">_xll.EQNXTDZ($A$1,$B6,DE$1)</f>
        <v>1425.1</v>
      </c>
      <c r="DF6" cm="1">
        <f t="array" ref="DF6">_xll.EQNXTDZ($A$1,$B6,DF$1)</f>
        <v>1345.15</v>
      </c>
      <c r="DG6" cm="1">
        <f t="array" ref="DG6">_xll.EQNXTDZ($A$1,$B6,DG$1)</f>
        <v>1701</v>
      </c>
      <c r="DH6" cm="1">
        <f t="array" ref="DH6">_xll.EQNXTDZ($A$1,$B6,DH$1)</f>
        <v>1780</v>
      </c>
      <c r="DI6" cm="1">
        <f t="array" ref="DI6">_xll.EQNXTDZ($A$1,$B6,DI$1)</f>
        <v>2019</v>
      </c>
      <c r="DJ6" cm="1">
        <f t="array" ref="DJ6">_xll.EQNXTDZ($A$1,$B6,DJ$1)</f>
        <v>1925.5</v>
      </c>
      <c r="DK6" cm="1">
        <f t="array" ref="DK6">_xll.EQNXTDZ($A$1,$B6,DK$1)</f>
        <v>2090</v>
      </c>
      <c r="DL6" cm="1">
        <f t="array" ref="DL6">_xll.EQNXTDZ($A$1,$B6,DL$1)</f>
        <v>2700</v>
      </c>
      <c r="DM6" cm="1">
        <f t="array" ref="DM6">_xll.EQNXTDZ($A$1,$B6,DM$1)</f>
        <v>2323.6999999999998</v>
      </c>
      <c r="DN6" cm="1">
        <f t="array" ref="DN6">_xll.EQNXTDZ($A$1,$B6,DN$1)</f>
        <v>2295</v>
      </c>
      <c r="DO6" cm="1">
        <f t="array" ref="DO6">_xll.EQNXTDZ($A$1,$B6,DO$1)</f>
        <v>2044.4</v>
      </c>
      <c r="DP6" cm="1">
        <f t="array" ref="DP6">_xll.EQNXTDZ($A$1,$B6,DP$1)</f>
        <v>1967.35</v>
      </c>
      <c r="DQ6" cm="1">
        <f t="array" ref="DQ6">_xll.EQNXTDZ($A$1,$B6,DQ$1)</f>
        <v>2388</v>
      </c>
      <c r="DR6" cm="1">
        <f t="array" ref="DR6">_xll.EQNXTDZ($A$1,$B6,DR$1)</f>
        <v>2211</v>
      </c>
      <c r="DS6" cm="1">
        <f t="array" ref="DS6">_xll.EQNXTDZ($A$1,$B6,DS$1)</f>
        <v>2343.5</v>
      </c>
      <c r="DT6" cm="1">
        <f t="array" ref="DT6">_xll.EQNXTDZ($A$1,$B6,DT$1)</f>
        <v>2250</v>
      </c>
      <c r="DU6" cm="1">
        <f t="array" ref="DU6">_xll.EQNXTDZ($A$1,$B6,DU$1)</f>
        <v>2894</v>
      </c>
      <c r="DV6" cm="1">
        <f t="array" ref="DV6">_xll.EQNXTDZ($A$1,$B6,DV$1)</f>
        <v>2600</v>
      </c>
      <c r="DW6" cm="1">
        <f t="array" ref="DW6">_xll.EQNXTDZ($A$1,$B6,DW$1)</f>
        <v>2775</v>
      </c>
      <c r="DX6" cm="1">
        <f t="array" ref="DX6">_xll.EQNXTDZ($A$1,$B6,DX$1)</f>
        <v>3140</v>
      </c>
      <c r="DY6" cm="1">
        <f t="array" ref="DY6">_xll.EQNXTDZ($A$1,$B6,DY$1)</f>
        <v>3047</v>
      </c>
      <c r="DZ6" cm="1">
        <f t="array" ref="DZ6">_xll.EQNXTDZ($A$1,$B6,DZ$1)</f>
        <v>3508</v>
      </c>
      <c r="EA6" cm="1">
        <f t="array" ref="EA6">_xll.EQNXTDZ($A$1,$B6,EA$1)</f>
        <v>3217.1</v>
      </c>
      <c r="EB6" cm="1">
        <f t="array" ref="EB6">_xll.EQNXTDZ($A$1,$B6,EB$1)</f>
        <v>3342.9</v>
      </c>
      <c r="EC6" cm="1">
        <f t="array" ref="EC6">_xll.EQNXTDZ($A$1,$B6,EC$1)</f>
        <v>3255.3</v>
      </c>
      <c r="ED6" cm="1">
        <f t="array" ref="ED6">_xll.EQNXTDZ($A$1,$B6,ED$1)</f>
        <v>3130.85</v>
      </c>
      <c r="EE6" cm="1">
        <f t="array" ref="EE6">_xll.EQNXTDZ($A$1,$B6,EE$1)</f>
        <v>3765.45</v>
      </c>
      <c r="EF6" cm="1">
        <f t="array" ref="EF6">_xll.EQNXTDZ($A$1,$B6,EF$1)</f>
        <v>4037.2</v>
      </c>
      <c r="EG6" cm="1">
        <f t="array" ref="EG6">_xll.EQNXTDZ($A$1,$B6,EG$1)</f>
        <v>4692.8</v>
      </c>
      <c r="EH6" cm="1">
        <f t="array" ref="EH6">_xll.EQNXTDZ($A$1,$B6,EH$1)</f>
        <v>4938</v>
      </c>
      <c r="EI6" cm="1">
        <f t="array" ref="EI6">_xll.EQNXTDZ($A$1,$B6,EI$1)</f>
        <v>4624.75</v>
      </c>
      <c r="EJ6" cm="1">
        <f t="array" ref="EJ6">_xll.EQNXTDZ($A$1,$B6,EJ$1)</f>
        <v>4868.8</v>
      </c>
      <c r="EK6" cm="1">
        <f t="array" ref="EK6">_xll.EQNXTDZ($A$1,$B6,EK$1)</f>
        <v>5085.5</v>
      </c>
      <c r="EL6" cm="1">
        <f t="array" ref="EL6">_xll.EQNXTDZ($A$1,$B6,EL$1)</f>
        <v>5406.25</v>
      </c>
      <c r="EM6" cm="1">
        <f t="array" ref="EM6">_xll.EQNXTDZ($A$1,$B6,EM$1)</f>
        <v>4377</v>
      </c>
      <c r="EN6" cm="1">
        <f t="array" ref="EN6">_xll.EQNXTDZ($A$1,$B6,EN$1)</f>
        <v>4274.95</v>
      </c>
      <c r="EO6" cm="1">
        <f t="array" ref="EO6">_xll.EQNXTDZ($A$1,$B6,EO$1)</f>
        <v>4379.55</v>
      </c>
      <c r="EP6" cm="1">
        <f t="array" ref="EP6">_xll.EQNXTDZ($A$1,$B6,EP$1)</f>
        <v>4460</v>
      </c>
      <c r="EQ6" cm="1">
        <f t="array" ref="EQ6">_xll.EQNXTDZ($A$1,$B6,EQ$1)</f>
        <v>4284.95</v>
      </c>
      <c r="ER6" cm="1">
        <f t="array" ref="ER6">_xll.EQNXTDZ($A$1,$B6,ER$1)</f>
        <v>5604.95</v>
      </c>
      <c r="ES6" cm="1">
        <f t="array" ref="ES6">_xll.EQNXTDZ($A$1,$B6,ES$1)</f>
        <v>5594.95</v>
      </c>
      <c r="ET6" cm="1">
        <f t="array" ref="ET6">_xll.EQNXTDZ($A$1,$B6,ET$1)</f>
        <v>6124.35</v>
      </c>
      <c r="EU6" cm="1">
        <f t="array" ref="EU6">_xll.EQNXTDZ($A$1,$B6,EU$1)</f>
        <v>6473.25</v>
      </c>
      <c r="EV6" cm="1">
        <f t="array" ref="EV6">_xll.EQNXTDZ($A$1,$B6,EV$1)</f>
        <v>5164.05</v>
      </c>
      <c r="EW6" cm="1">
        <f t="array" ref="EW6">_xll.EQNXTDZ($A$1,$B6,EW$1)</f>
        <v>5107.75</v>
      </c>
      <c r="EX6" cm="1">
        <f t="array" ref="EX6">_xll.EQNXTDZ($A$1,$B6,EX$1)</f>
        <v>5429</v>
      </c>
      <c r="EY6" cm="1">
        <f t="array" ref="EY6">_xll.EQNXTDZ($A$1,$B6,EY$1)</f>
        <v>4184.05</v>
      </c>
      <c r="EZ6" cm="1">
        <f t="array" ref="EZ6">_xll.EQNXTDZ($A$1,$B6,EZ$1)</f>
        <v>4381.2</v>
      </c>
      <c r="FA6" cm="1">
        <f t="array" ref="FA6">_xll.EQNXTDZ($A$1,$B6,FA$1)</f>
        <v>4904.95</v>
      </c>
      <c r="FB6" cm="1">
        <f t="array" ref="FB6">_xll.EQNXTDZ($A$1,$B6,FB$1)</f>
        <v>4550.1000000000004</v>
      </c>
      <c r="FC6" cm="1">
        <f t="array" ref="FC6">_xll.EQNXTDZ($A$1,$B6,FC$1)</f>
        <v>5632</v>
      </c>
      <c r="FD6" cm="1">
        <f t="array" ref="FD6">_xll.EQNXTDZ($A$1,$B6,FD$1)</f>
        <v>5597</v>
      </c>
      <c r="FE6" cm="1">
        <f t="array" ref="FE6">_xll.EQNXTDZ($A$1,$B6,FE$1)</f>
        <v>6674</v>
      </c>
      <c r="FF6" cm="1">
        <f t="array" ref="FF6">_xll.EQNXTDZ($A$1,$B6,FF$1)</f>
        <v>6955</v>
      </c>
      <c r="FG6" cm="1">
        <f t="array" ref="FG6">_xll.EQNXTDZ($A$1,$B6,FG$1)</f>
        <v>6795</v>
      </c>
      <c r="FH6" cm="1">
        <f t="array" ref="FH6">_xll.EQNXTDZ($A$1,$B6,FH$1)</f>
        <v>6780</v>
      </c>
      <c r="FI6" cm="1">
        <f t="array" ref="FI6">_xll.EQNXTDZ($A$1,$B6,FI$1)</f>
        <v>7053</v>
      </c>
      <c r="FJ6" cm="1">
        <f t="array" ref="FJ6">_xll.EQNXTDZ($A$1,$B6,FJ$1)</f>
        <v>7600</v>
      </c>
      <c r="FK6" cm="1">
        <f t="array" ref="FK6">_xll.EQNXTDZ($A$1,$B6,FK$1)</f>
        <v>7338.5</v>
      </c>
      <c r="FL6" cm="1">
        <f t="array" ref="FL6">_xll.EQNXTDZ($A$1,$B6,FL$1)</f>
        <v>7250</v>
      </c>
      <c r="FM6" cm="1">
        <f t="array" ref="FM6">_xll.EQNXTDZ($A$1,$B6,FM$1)</f>
        <v>7140.5</v>
      </c>
      <c r="FN6" cm="1">
        <f t="array" ref="FN6">_xll.EQNXTDZ($A$1,$B6,FN$1)</f>
        <v>7795</v>
      </c>
      <c r="FO6" cm="1">
        <f t="array" ref="FO6">_xll.EQNXTDZ($A$1,$B6,FO$1)</f>
        <v>9178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1530</v>
      </c>
      <c r="DE7" s="116" cm="1">
        <f t="array" ref="DE7">_xll.EQNXTDZ($A$1,$B7,DE$1)</f>
        <v>1488.95</v>
      </c>
      <c r="DF7" s="116" cm="1">
        <f t="array" ref="DF7">_xll.EQNXTDZ($A$1,$B7,DF$1)</f>
        <v>1738</v>
      </c>
      <c r="DG7" s="116" cm="1">
        <f t="array" ref="DG7">_xll.EQNXTDZ($A$1,$B7,DG$1)</f>
        <v>1854.9</v>
      </c>
      <c r="DH7" s="116" cm="1">
        <f t="array" ref="DH7">_xll.EQNXTDZ($A$1,$B7,DH$1)</f>
        <v>2176</v>
      </c>
      <c r="DI7" s="116" cm="1">
        <f t="array" ref="DI7">_xll.EQNXTDZ($A$1,$B7,DI$1)</f>
        <v>2073.4499999999998</v>
      </c>
      <c r="DJ7" s="116" cm="1">
        <f t="array" ref="DJ7">_xll.EQNXTDZ($A$1,$B7,DJ$1)</f>
        <v>2242</v>
      </c>
      <c r="DK7" s="116" cm="1">
        <f t="array" ref="DK7">_xll.EQNXTDZ($A$1,$B7,DK$1)</f>
        <v>2710</v>
      </c>
      <c r="DL7" s="116" cm="1">
        <f t="array" ref="DL7">_xll.EQNXTDZ($A$1,$B7,DL$1)</f>
        <v>2778</v>
      </c>
      <c r="DM7" s="116" cm="1">
        <f t="array" ref="DM7">_xll.EQNXTDZ($A$1,$B7,DM$1)</f>
        <v>2347.35</v>
      </c>
      <c r="DN7" s="116" cm="1">
        <f t="array" ref="DN7">_xll.EQNXTDZ($A$1,$B7,DN$1)</f>
        <v>2449</v>
      </c>
      <c r="DO7" s="116" cm="1">
        <f t="array" ref="DO7">_xll.EQNXTDZ($A$1,$B7,DO$1)</f>
        <v>2264</v>
      </c>
      <c r="DP7" s="116" cm="1">
        <f t="array" ref="DP7">_xll.EQNXTDZ($A$1,$B7,DP$1)</f>
        <v>2389.9499999999998</v>
      </c>
      <c r="DQ7" s="116" cm="1">
        <f t="array" ref="DQ7">_xll.EQNXTDZ($A$1,$B7,DQ$1)</f>
        <v>2498.75</v>
      </c>
      <c r="DR7" s="116" cm="1">
        <f t="array" ref="DR7">_xll.EQNXTDZ($A$1,$B7,DR$1)</f>
        <v>2444</v>
      </c>
      <c r="DS7" s="116" cm="1">
        <f t="array" ref="DS7">_xll.EQNXTDZ($A$1,$B7,DS$1)</f>
        <v>2477.1999999999998</v>
      </c>
      <c r="DT7" s="116" cm="1">
        <f t="array" ref="DT7">_xll.EQNXTDZ($A$1,$B7,DT$1)</f>
        <v>2853.9</v>
      </c>
      <c r="DU7" s="116" cm="1">
        <f t="array" ref="DU7">_xll.EQNXTDZ($A$1,$B7,DU$1)</f>
        <v>2894.9</v>
      </c>
      <c r="DV7" s="116" cm="1">
        <f t="array" ref="DV7">_xll.EQNXTDZ($A$1,$B7,DV$1)</f>
        <v>2994.85</v>
      </c>
      <c r="DW7" s="116" cm="1">
        <f t="array" ref="DW7">_xll.EQNXTDZ($A$1,$B7,DW$1)</f>
        <v>3199</v>
      </c>
      <c r="DX7" s="116" cm="1">
        <f t="array" ref="DX7">_xll.EQNXTDZ($A$1,$B7,DX$1)</f>
        <v>3466.8</v>
      </c>
      <c r="DY7" s="116" cm="1">
        <f t="array" ref="DY7">_xll.EQNXTDZ($A$1,$B7,DY$1)</f>
        <v>3710.95</v>
      </c>
      <c r="DZ7" s="116" cm="1">
        <f t="array" ref="DZ7">_xll.EQNXTDZ($A$1,$B7,DZ$1)</f>
        <v>3707.8</v>
      </c>
      <c r="EA7" s="116" cm="1">
        <f t="array" ref="EA7">_xll.EQNXTDZ($A$1,$B7,EA$1)</f>
        <v>3613.9</v>
      </c>
      <c r="EB7" s="116" cm="1">
        <f t="array" ref="EB7">_xll.EQNXTDZ($A$1,$B7,EB$1)</f>
        <v>3386.6</v>
      </c>
      <c r="EC7" s="116" cm="1">
        <f t="array" ref="EC7">_xll.EQNXTDZ($A$1,$B7,EC$1)</f>
        <v>3255.3</v>
      </c>
      <c r="ED7" s="116" cm="1">
        <f t="array" ref="ED7">_xll.EQNXTDZ($A$1,$B7,ED$1)</f>
        <v>3824</v>
      </c>
      <c r="EE7" s="116" cm="1">
        <f t="array" ref="EE7">_xll.EQNXTDZ($A$1,$B7,EE$1)</f>
        <v>4139.95</v>
      </c>
      <c r="EF7" s="116" cm="1">
        <f t="array" ref="EF7">_xll.EQNXTDZ($A$1,$B7,EF$1)</f>
        <v>4963</v>
      </c>
      <c r="EG7" s="116" cm="1">
        <f t="array" ref="EG7">_xll.EQNXTDZ($A$1,$B7,EG$1)</f>
        <v>5025.5</v>
      </c>
      <c r="EH7" s="116" cm="1">
        <f t="array" ref="EH7">_xll.EQNXTDZ($A$1,$B7,EH$1)</f>
        <v>5065.95</v>
      </c>
      <c r="EI7" s="116" cm="1">
        <f t="array" ref="EI7">_xll.EQNXTDZ($A$1,$B7,EI$1)</f>
        <v>5037.75</v>
      </c>
      <c r="EJ7" s="116" cm="1">
        <f t="array" ref="EJ7">_xll.EQNXTDZ($A$1,$B7,EJ$1)</f>
        <v>5419</v>
      </c>
      <c r="EK7" s="116" cm="1">
        <f t="array" ref="EK7">_xll.EQNXTDZ($A$1,$B7,EK$1)</f>
        <v>5513.65</v>
      </c>
      <c r="EL7" s="116" cm="1">
        <f t="array" ref="EL7">_xll.EQNXTDZ($A$1,$B7,EL$1)</f>
        <v>5441.45</v>
      </c>
      <c r="EM7" s="116" cm="1">
        <f t="array" ref="EM7">_xll.EQNXTDZ($A$1,$B7,EM$1)</f>
        <v>4581</v>
      </c>
      <c r="EN7" s="116" cm="1">
        <f t="array" ref="EN7">_xll.EQNXTDZ($A$1,$B7,EN$1)</f>
        <v>4447</v>
      </c>
      <c r="EO7" s="116" cm="1">
        <f t="array" ref="EO7">_xll.EQNXTDZ($A$1,$B7,EO$1)</f>
        <v>4754.7</v>
      </c>
      <c r="EP7" s="116" cm="1">
        <f t="array" ref="EP7">_xll.EQNXTDZ($A$1,$B7,EP$1)</f>
        <v>4487.3999999999996</v>
      </c>
      <c r="EQ7" s="116" cm="1">
        <f t="array" ref="EQ7">_xll.EQNXTDZ($A$1,$B7,EQ$1)</f>
        <v>5690</v>
      </c>
      <c r="ER7" s="116" cm="1">
        <f t="array" ref="ER7">_xll.EQNXTDZ($A$1,$B7,ER$1)</f>
        <v>5840</v>
      </c>
      <c r="ES7" s="116" cm="1">
        <f t="array" ref="ES7">_xll.EQNXTDZ($A$1,$B7,ES$1)</f>
        <v>6679.65</v>
      </c>
      <c r="ET7" s="116" cm="1">
        <f t="array" ref="ET7">_xll.EQNXTDZ($A$1,$B7,ET$1)</f>
        <v>7121.25</v>
      </c>
      <c r="EU7" s="116" cm="1">
        <f t="array" ref="EU7">_xll.EQNXTDZ($A$1,$B7,EU$1)</f>
        <v>6618.95</v>
      </c>
      <c r="EV7" s="116" cm="1">
        <f t="array" ref="EV7">_xll.EQNXTDZ($A$1,$B7,EV$1)</f>
        <v>5398.2</v>
      </c>
      <c r="EW7" s="116" cm="1">
        <f t="array" ref="EW7">_xll.EQNXTDZ($A$1,$B7,EW$1)</f>
        <v>5894.7</v>
      </c>
      <c r="EX7" s="116" cm="1">
        <f t="array" ref="EX7">_xll.EQNXTDZ($A$1,$B7,EX$1)</f>
        <v>5429</v>
      </c>
      <c r="EY7" s="116" cm="1">
        <f t="array" ref="EY7">_xll.EQNXTDZ($A$1,$B7,EY$1)</f>
        <v>4710</v>
      </c>
      <c r="EZ7" s="116" cm="1">
        <f t="array" ref="EZ7">_xll.EQNXTDZ($A$1,$B7,EZ$1)</f>
        <v>5247.95</v>
      </c>
      <c r="FA7" s="116" cm="1">
        <f t="array" ref="FA7">_xll.EQNXTDZ($A$1,$B7,FA$1)</f>
        <v>4955</v>
      </c>
      <c r="FB7" s="116" cm="1">
        <f t="array" ref="FB7">_xll.EQNXTDZ($A$1,$B7,FB$1)</f>
        <v>5842.3</v>
      </c>
      <c r="FC7" s="116" cm="1">
        <f t="array" ref="FC7">_xll.EQNXTDZ($A$1,$B7,FC$1)</f>
        <v>5749.5</v>
      </c>
      <c r="FD7" s="116" cm="1">
        <f t="array" ref="FD7">_xll.EQNXTDZ($A$1,$B7,FD$1)</f>
        <v>7067</v>
      </c>
      <c r="FE7" s="116" cm="1">
        <f t="array" ref="FE7">_xll.EQNXTDZ($A$1,$B7,FE$1)</f>
        <v>7254.5</v>
      </c>
      <c r="FF7" s="116" cm="1">
        <f t="array" ref="FF7">_xll.EQNXTDZ($A$1,$B7,FF$1)</f>
        <v>7200</v>
      </c>
      <c r="FG7" s="116" cm="1">
        <f t="array" ref="FG7">_xll.EQNXTDZ($A$1,$B7,FG$1)</f>
        <v>6875.5</v>
      </c>
      <c r="FH7" s="116" cm="1">
        <f t="array" ref="FH7">_xll.EQNXTDZ($A$1,$B7,FH$1)</f>
        <v>7378.5</v>
      </c>
      <c r="FI7" s="116" cm="1">
        <f t="array" ref="FI7">_xll.EQNXTDZ($A$1,$B7,FI$1)</f>
        <v>7837</v>
      </c>
      <c r="FJ7" s="116" cm="1">
        <f t="array" ref="FJ7">_xll.EQNXTDZ($A$1,$B7,FJ$1)</f>
        <v>8069</v>
      </c>
      <c r="FK7" s="116" cm="1">
        <f t="array" ref="FK7">_xll.EQNXTDZ($A$1,$B7,FK$1)</f>
        <v>8220</v>
      </c>
      <c r="FL7" s="116" cm="1">
        <f t="array" ref="FL7">_xll.EQNXTDZ($A$1,$B7,FL$1)</f>
        <v>7700</v>
      </c>
      <c r="FM7" s="116" cm="1">
        <f t="array" ref="FM7">_xll.EQNXTDZ($A$1,$B7,FM$1)</f>
        <v>7933</v>
      </c>
      <c r="FN7" s="116" cm="1">
        <f t="array" ref="FN7">_xll.EQNXTDZ($A$1,$B7,FN$1)</f>
        <v>9738</v>
      </c>
      <c r="FO7" s="116" cm="1">
        <f t="array" ref="FO7">_xll.EQNXTDZ($A$1,$B7,FO$1)</f>
        <v>9490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1530</v>
      </c>
      <c r="IY7" s="116">
        <f>+MAX(DE7:DG7)</f>
        <v>1854.9</v>
      </c>
      <c r="IZ7" s="116">
        <f>+MAX(DH7:DJ7)</f>
        <v>2242</v>
      </c>
      <c r="JA7" s="116">
        <f>+MAX(DK7:DM7)</f>
        <v>2778</v>
      </c>
      <c r="JB7" s="116">
        <f>+MAX(DN7:DP7)</f>
        <v>2449</v>
      </c>
      <c r="JC7" s="116">
        <f>+MAX(DQ7:DS7)</f>
        <v>2498.75</v>
      </c>
      <c r="JD7" s="116">
        <f>+MAX(DT7:DV7)</f>
        <v>2994.85</v>
      </c>
      <c r="JE7" s="116">
        <f>+MAX(DW7:DY7)</f>
        <v>3710.95</v>
      </c>
      <c r="JF7" s="116">
        <f>+MAX(DZ7:EB7)</f>
        <v>3707.8</v>
      </c>
      <c r="JG7" s="116">
        <f>+MAX(EC7:EE7)</f>
        <v>4139.95</v>
      </c>
      <c r="JH7" s="116">
        <f>+MAX(EF7:EH7)</f>
        <v>5065.95</v>
      </c>
      <c r="JI7" s="116">
        <f>+MAX(EI7:EK7)</f>
        <v>5513.65</v>
      </c>
      <c r="JJ7" s="116">
        <f>+MAX(EL7:EN7)</f>
        <v>5441.45</v>
      </c>
      <c r="JK7" s="116">
        <f>MAX(EO7:EQ7)</f>
        <v>5690</v>
      </c>
      <c r="JL7" s="116">
        <f>MAX(ER7:ET7)</f>
        <v>7121.25</v>
      </c>
      <c r="JM7" s="116">
        <f>MAX(EU7:EW7)</f>
        <v>6618.95</v>
      </c>
      <c r="JN7" s="116">
        <f>MAX(EX7:EZ7)</f>
        <v>5429</v>
      </c>
      <c r="JO7" s="116">
        <f>MAX(FA7:FC7)</f>
        <v>5842.3</v>
      </c>
      <c r="JP7" s="116">
        <f>MAX(FD7:FF7)</f>
        <v>7254.5</v>
      </c>
      <c r="JQ7" s="116">
        <f>MAX(FG7:FI7)</f>
        <v>7837</v>
      </c>
      <c r="JR7" s="116">
        <f>MAX(FJ7:FL7)</f>
        <v>8220</v>
      </c>
      <c r="JS7" s="116">
        <f>MAX(FM7:FO7)</f>
        <v>9738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1350</v>
      </c>
      <c r="DE8" s="116" cm="1">
        <f t="array" ref="DE8">_xll.EQNXTDZ($A$1,$B8,DE$1)</f>
        <v>1245</v>
      </c>
      <c r="DF8" s="116" cm="1">
        <f t="array" ref="DF8">_xll.EQNXTDZ($A$1,$B8,DF$1)</f>
        <v>1291.75</v>
      </c>
      <c r="DG8" s="116" cm="1">
        <f t="array" ref="DG8">_xll.EQNXTDZ($A$1,$B8,DG$1)</f>
        <v>1648.5</v>
      </c>
      <c r="DH8" s="116" cm="1">
        <f t="array" ref="DH8">_xll.EQNXTDZ($A$1,$B8,DH$1)</f>
        <v>1761.35</v>
      </c>
      <c r="DI8" s="116" cm="1">
        <f t="array" ref="DI8">_xll.EQNXTDZ($A$1,$B8,DI$1)</f>
        <v>1834.8</v>
      </c>
      <c r="DJ8" s="116" cm="1">
        <f t="array" ref="DJ8">_xll.EQNXTDZ($A$1,$B8,DJ$1)</f>
        <v>1919.5</v>
      </c>
      <c r="DK8" s="116" cm="1">
        <f t="array" ref="DK8">_xll.EQNXTDZ($A$1,$B8,DK$1)</f>
        <v>2049.5</v>
      </c>
      <c r="DL8" s="116" cm="1">
        <f t="array" ref="DL8">_xll.EQNXTDZ($A$1,$B8,DL$1)</f>
        <v>2130</v>
      </c>
      <c r="DM8" s="116" cm="1">
        <f t="array" ref="DM8">_xll.EQNXTDZ($A$1,$B8,DM$1)</f>
        <v>2075.25</v>
      </c>
      <c r="DN8" s="116" cm="1">
        <f t="array" ref="DN8">_xll.EQNXTDZ($A$1,$B8,DN$1)</f>
        <v>1901.1</v>
      </c>
      <c r="DO8" s="116" cm="1">
        <f t="array" ref="DO8">_xll.EQNXTDZ($A$1,$B8,DO$1)</f>
        <v>1840</v>
      </c>
      <c r="DP8" s="116" cm="1">
        <f t="array" ref="DP8">_xll.EQNXTDZ($A$1,$B8,DP$1)</f>
        <v>1900</v>
      </c>
      <c r="DQ8" s="116" cm="1">
        <f t="array" ref="DQ8">_xll.EQNXTDZ($A$1,$B8,DQ$1)</f>
        <v>2124.25</v>
      </c>
      <c r="DR8" s="116" cm="1">
        <f t="array" ref="DR8">_xll.EQNXTDZ($A$1,$B8,DR$1)</f>
        <v>2100</v>
      </c>
      <c r="DS8" s="116" cm="1">
        <f t="array" ref="DS8">_xll.EQNXTDZ($A$1,$B8,DS$1)</f>
        <v>2026.6</v>
      </c>
      <c r="DT8" s="116" cm="1">
        <f t="array" ref="DT8">_xll.EQNXTDZ($A$1,$B8,DT$1)</f>
        <v>2250</v>
      </c>
      <c r="DU8" s="116" cm="1">
        <f t="array" ref="DU8">_xll.EQNXTDZ($A$1,$B8,DU$1)</f>
        <v>2502.3000000000002</v>
      </c>
      <c r="DV8" s="116" cm="1">
        <f t="array" ref="DV8">_xll.EQNXTDZ($A$1,$B8,DV$1)</f>
        <v>2585</v>
      </c>
      <c r="DW8" s="116" cm="1">
        <f t="array" ref="DW8">_xll.EQNXTDZ($A$1,$B8,DW$1)</f>
        <v>2730</v>
      </c>
      <c r="DX8" s="116" cm="1">
        <f t="array" ref="DX8">_xll.EQNXTDZ($A$1,$B8,DX$1)</f>
        <v>2992.75</v>
      </c>
      <c r="DY8" s="116" cm="1">
        <f t="array" ref="DY8">_xll.EQNXTDZ($A$1,$B8,DY$1)</f>
        <v>3032.3</v>
      </c>
      <c r="DZ8" s="116" cm="1">
        <f t="array" ref="DZ8">_xll.EQNXTDZ($A$1,$B8,DZ$1)</f>
        <v>3107.7</v>
      </c>
      <c r="EA8" s="116" cm="1">
        <f t="array" ref="EA8">_xll.EQNXTDZ($A$1,$B8,EA$1)</f>
        <v>3085.55</v>
      </c>
      <c r="EB8" s="116" cm="1">
        <f t="array" ref="EB8">_xll.EQNXTDZ($A$1,$B8,EB$1)</f>
        <v>2735</v>
      </c>
      <c r="EC8" s="116" cm="1">
        <f t="array" ref="EC8">_xll.EQNXTDZ($A$1,$B8,EC$1)</f>
        <v>3000</v>
      </c>
      <c r="ED8" s="116" cm="1">
        <f t="array" ref="ED8">_xll.EQNXTDZ($A$1,$B8,ED$1)</f>
        <v>3110.15</v>
      </c>
      <c r="EE8" s="116" cm="1">
        <f t="array" ref="EE8">_xll.EQNXTDZ($A$1,$B8,EE$1)</f>
        <v>3666.3</v>
      </c>
      <c r="EF8" s="116" cm="1">
        <f t="array" ref="EF8">_xll.EQNXTDZ($A$1,$B8,EF$1)</f>
        <v>3915.25</v>
      </c>
      <c r="EG8" s="116" cm="1">
        <f t="array" ref="EG8">_xll.EQNXTDZ($A$1,$B8,EG$1)</f>
        <v>4529.95</v>
      </c>
      <c r="EH8" s="116" cm="1">
        <f t="array" ref="EH8">_xll.EQNXTDZ($A$1,$B8,EH$1)</f>
        <v>4522.25</v>
      </c>
      <c r="EI8" s="116" cm="1">
        <f t="array" ref="EI8">_xll.EQNXTDZ($A$1,$B8,EI$1)</f>
        <v>4214.3500000000004</v>
      </c>
      <c r="EJ8" s="116" cm="1">
        <f t="array" ref="EJ8">_xll.EQNXTDZ($A$1,$B8,EJ$1)</f>
        <v>4741</v>
      </c>
      <c r="EK8" s="116" cm="1">
        <f t="array" ref="EK8">_xll.EQNXTDZ($A$1,$B8,EK$1)</f>
        <v>4998.5</v>
      </c>
      <c r="EL8" s="116" cm="1">
        <f t="array" ref="EL8">_xll.EQNXTDZ($A$1,$B8,EL$1)</f>
        <v>4341.05</v>
      </c>
      <c r="EM8" s="116" cm="1">
        <f t="array" ref="EM8">_xll.EQNXTDZ($A$1,$B8,EM$1)</f>
        <v>4028.05</v>
      </c>
      <c r="EN8" s="116" cm="1">
        <f t="array" ref="EN8">_xll.EQNXTDZ($A$1,$B8,EN$1)</f>
        <v>3782.05</v>
      </c>
      <c r="EO8" s="116" cm="1">
        <f t="array" ref="EO8">_xll.EQNXTDZ($A$1,$B8,EO$1)</f>
        <v>4250</v>
      </c>
      <c r="EP8" s="116" cm="1">
        <f t="array" ref="EP8">_xll.EQNXTDZ($A$1,$B8,EP$1)</f>
        <v>4111</v>
      </c>
      <c r="EQ8" s="116" cm="1">
        <f t="array" ref="EQ8">_xll.EQNXTDZ($A$1,$B8,EQ$1)</f>
        <v>4080.2</v>
      </c>
      <c r="ER8" s="116" cm="1">
        <f t="array" ref="ER8">_xll.EQNXTDZ($A$1,$B8,ER$1)</f>
        <v>4997.95</v>
      </c>
      <c r="ES8" s="116" cm="1">
        <f t="array" ref="ES8">_xll.EQNXTDZ($A$1,$B8,ES$1)</f>
        <v>5091.05</v>
      </c>
      <c r="ET8" s="116" cm="1">
        <f t="array" ref="ET8">_xll.EQNXTDZ($A$1,$B8,ET$1)</f>
        <v>5785</v>
      </c>
      <c r="EU8" s="116" cm="1">
        <f t="array" ref="EU8">_xll.EQNXTDZ($A$1,$B8,EU$1)</f>
        <v>4833</v>
      </c>
      <c r="EV8" s="116" cm="1">
        <f t="array" ref="EV8">_xll.EQNXTDZ($A$1,$B8,EV$1)</f>
        <v>4602.3999999999996</v>
      </c>
      <c r="EW8" s="116" cm="1">
        <f t="array" ref="EW8">_xll.EQNXTDZ($A$1,$B8,EW$1)</f>
        <v>4842</v>
      </c>
      <c r="EX8" s="116" cm="1">
        <f t="array" ref="EX8">_xll.EQNXTDZ($A$1,$B8,EX$1)</f>
        <v>4035.95</v>
      </c>
      <c r="EY8" s="116" cm="1">
        <f t="array" ref="EY8">_xll.EQNXTDZ($A$1,$B8,EY$1)</f>
        <v>3864</v>
      </c>
      <c r="EZ8" s="116" cm="1">
        <f t="array" ref="EZ8">_xll.EQNXTDZ($A$1,$B8,EZ$1)</f>
        <v>4273.55</v>
      </c>
      <c r="FA8" s="116" cm="1">
        <f t="array" ref="FA8">_xll.EQNXTDZ($A$1,$B8,FA$1)</f>
        <v>3700</v>
      </c>
      <c r="FB8" s="116" cm="1">
        <f t="array" ref="FB8">_xll.EQNXTDZ($A$1,$B8,FB$1)</f>
        <v>4419.8999999999996</v>
      </c>
      <c r="FC8" s="116" cm="1">
        <f t="array" ref="FC8">_xll.EQNXTDZ($A$1,$B8,FC$1)</f>
        <v>5100</v>
      </c>
      <c r="FD8" s="116" cm="1">
        <f t="array" ref="FD8">_xll.EQNXTDZ($A$1,$B8,FD$1)</f>
        <v>5523</v>
      </c>
      <c r="FE8" s="116" cm="1">
        <f t="array" ref="FE8">_xll.EQNXTDZ($A$1,$B8,FE$1)</f>
        <v>6255</v>
      </c>
      <c r="FF8" s="116" cm="1">
        <f t="array" ref="FF8">_xll.EQNXTDZ($A$1,$B8,FF$1)</f>
        <v>6525.5</v>
      </c>
      <c r="FG8" s="116" cm="1">
        <f t="array" ref="FG8">_xll.EQNXTDZ($A$1,$B8,FG$1)</f>
        <v>6324</v>
      </c>
      <c r="FH8" s="116" cm="1">
        <f t="array" ref="FH8">_xll.EQNXTDZ($A$1,$B8,FH$1)</f>
        <v>6530</v>
      </c>
      <c r="FI8" s="116" cm="1">
        <f t="array" ref="FI8">_xll.EQNXTDZ($A$1,$B8,FI$1)</f>
        <v>6723</v>
      </c>
      <c r="FJ8" s="116" cm="1">
        <f t="array" ref="FJ8">_xll.EQNXTDZ($A$1,$B8,FJ$1)</f>
        <v>7123.5</v>
      </c>
      <c r="FK8" s="116" cm="1">
        <f t="array" ref="FK8">_xll.EQNXTDZ($A$1,$B8,FK$1)</f>
        <v>7080</v>
      </c>
      <c r="FL8" s="116" cm="1">
        <f t="array" ref="FL8">_xll.EQNXTDZ($A$1,$B8,FL$1)</f>
        <v>6451.5</v>
      </c>
      <c r="FM8" s="116" cm="1">
        <f t="array" ref="FM8">_xll.EQNXTDZ($A$1,$B8,FM$1)</f>
        <v>6665</v>
      </c>
      <c r="FN8" s="116" cm="1">
        <f t="array" ref="FN8">_xll.EQNXTDZ($A$1,$B8,FN$1)</f>
        <v>7612.5</v>
      </c>
      <c r="FO8" s="116" cm="1">
        <f t="array" ref="FO8">_xll.EQNXTDZ($A$1,$B8,FO$1)</f>
        <v>8589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1245</v>
      </c>
      <c r="IZ8" s="116">
        <f>+MIN(DH8:DJ8)</f>
        <v>1761.35</v>
      </c>
      <c r="JA8" s="116">
        <f>+MIN(DK8:DM8)</f>
        <v>2049.5</v>
      </c>
      <c r="JB8" s="116">
        <f>+MIN(DN8:DP8)</f>
        <v>1840</v>
      </c>
      <c r="JC8" s="116">
        <f>+MIN(DQ8:DS8)</f>
        <v>2026.6</v>
      </c>
      <c r="JD8" s="116">
        <f>+MIN(DT8:DV8)</f>
        <v>2250</v>
      </c>
      <c r="JE8" s="116">
        <f>+MIN(DW8:DY8)</f>
        <v>2730</v>
      </c>
      <c r="JF8" s="116">
        <f>+MIN(DZ8:EB8)</f>
        <v>2735</v>
      </c>
      <c r="JG8" s="116">
        <f>+MIN(EC8:EE8)</f>
        <v>3000</v>
      </c>
      <c r="JH8" s="116">
        <f>+MIN(EF8:EH8)</f>
        <v>3915.25</v>
      </c>
      <c r="JI8" s="116">
        <f>+MIN(EI8:EK8)</f>
        <v>4214.3500000000004</v>
      </c>
      <c r="JJ8" s="116">
        <f>+MIN(EL8:EN8)</f>
        <v>3782.05</v>
      </c>
      <c r="JK8" s="116">
        <f>MIN(EO8:EQ8)</f>
        <v>4080.2</v>
      </c>
      <c r="JL8" s="116">
        <f>MIN(ER8:ET8)</f>
        <v>4997.95</v>
      </c>
      <c r="JM8" s="116">
        <f>MIN(EU8:EW8)</f>
        <v>4602.3999999999996</v>
      </c>
      <c r="JN8" s="116">
        <f>MIN(EX8:EZ8)</f>
        <v>3864</v>
      </c>
      <c r="JO8" s="116">
        <f>MIN(FA8:FC8)</f>
        <v>3700</v>
      </c>
      <c r="JP8" s="116">
        <f>MIN(FD8:FF8)</f>
        <v>5523</v>
      </c>
      <c r="JQ8" s="116">
        <f>MIN(FG8:FI8)</f>
        <v>6324</v>
      </c>
      <c r="JR8" s="116">
        <f>MIN(FJ8:FL8)</f>
        <v>6451.5</v>
      </c>
      <c r="JS8" s="116">
        <f>MIN(FM8:FO8)</f>
        <v>6665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1419.45</v>
      </c>
      <c r="DE9" s="116" cm="1">
        <f t="array" ref="DE9">_xll.EQNXTDZ($A$1,$B9,DE$1)</f>
        <v>1345.6</v>
      </c>
      <c r="DF9" s="116" cm="1">
        <f t="array" ref="DF9">_xll.EQNXTDZ($A$1,$B9,DF$1)</f>
        <v>1706.95</v>
      </c>
      <c r="DG9" s="116" cm="1">
        <f t="array" ref="DG9">_xll.EQNXTDZ($A$1,$B9,DG$1)</f>
        <v>1775.4</v>
      </c>
      <c r="DH9" s="116" cm="1">
        <f t="array" ref="DH9">_xll.EQNXTDZ($A$1,$B9,DH$1)</f>
        <v>2003.5</v>
      </c>
      <c r="DI9" s="116" cm="1">
        <f t="array" ref="DI9">_xll.EQNXTDZ($A$1,$B9,DI$1)</f>
        <v>1930.05</v>
      </c>
      <c r="DJ9" s="116" cm="1">
        <f t="array" ref="DJ9">_xll.EQNXTDZ($A$1,$B9,DJ$1)</f>
        <v>2109.75</v>
      </c>
      <c r="DK9" s="116" cm="1">
        <f t="array" ref="DK9">_xll.EQNXTDZ($A$1,$B9,DK$1)</f>
        <v>2628.9</v>
      </c>
      <c r="DL9" s="116" cm="1">
        <f t="array" ref="DL9">_xll.EQNXTDZ($A$1,$B9,DL$1)</f>
        <v>2272.0500000000002</v>
      </c>
      <c r="DM9" s="116" cm="1">
        <f t="array" ref="DM9">_xll.EQNXTDZ($A$1,$B9,DM$1)</f>
        <v>2260.9499999999998</v>
      </c>
      <c r="DN9" s="116" cm="1">
        <f t="array" ref="DN9">_xll.EQNXTDZ($A$1,$B9,DN$1)</f>
        <v>2044.4</v>
      </c>
      <c r="DO9" s="116" cm="1">
        <f t="array" ref="DO9">_xll.EQNXTDZ($A$1,$B9,DO$1)</f>
        <v>1997.3</v>
      </c>
      <c r="DP9" s="116" cm="1">
        <f t="array" ref="DP9">_xll.EQNXTDZ($A$1,$B9,DP$1)</f>
        <v>2358.4</v>
      </c>
      <c r="DQ9" s="116" cm="1">
        <f t="array" ref="DQ9">_xll.EQNXTDZ($A$1,$B9,DQ$1)</f>
        <v>2242.4</v>
      </c>
      <c r="DR9" s="116" cm="1">
        <f t="array" ref="DR9">_xll.EQNXTDZ($A$1,$B9,DR$1)</f>
        <v>2367.9</v>
      </c>
      <c r="DS9" s="116" cm="1">
        <f t="array" ref="DS9">_xll.EQNXTDZ($A$1,$B9,DS$1)</f>
        <v>2278.25</v>
      </c>
      <c r="DT9" s="116" cm="1">
        <f t="array" ref="DT9">_xll.EQNXTDZ($A$1,$B9,DT$1)</f>
        <v>2797.65</v>
      </c>
      <c r="DU9" s="116" cm="1">
        <f t="array" ref="DU9">_xll.EQNXTDZ($A$1,$B9,DU$1)</f>
        <v>2606.6</v>
      </c>
      <c r="DV9" s="116" cm="1">
        <f t="array" ref="DV9">_xll.EQNXTDZ($A$1,$B9,DV$1)</f>
        <v>2769.75</v>
      </c>
      <c r="DW9" s="116" cm="1">
        <f t="array" ref="DW9">_xll.EQNXTDZ($A$1,$B9,DW$1)</f>
        <v>3142.55</v>
      </c>
      <c r="DX9" s="116" cm="1">
        <f t="array" ref="DX9">_xll.EQNXTDZ($A$1,$B9,DX$1)</f>
        <v>3043.3</v>
      </c>
      <c r="DY9" s="116" cm="1">
        <f t="array" ref="DY9">_xll.EQNXTDZ($A$1,$B9,DY$1)</f>
        <v>3493.55</v>
      </c>
      <c r="DZ9" s="116" cm="1">
        <f t="array" ref="DZ9">_xll.EQNXTDZ($A$1,$B9,DZ$1)</f>
        <v>3189.7</v>
      </c>
      <c r="EA9" s="116" cm="1">
        <f t="array" ref="EA9">_xll.EQNXTDZ($A$1,$B9,EA$1)</f>
        <v>3324.5</v>
      </c>
      <c r="EB9" s="116" cm="1">
        <f t="array" ref="EB9">_xll.EQNXTDZ($A$1,$B9,EB$1)</f>
        <v>3255.3</v>
      </c>
      <c r="EC9" s="116" cm="1">
        <f t="array" ref="EC9">_xll.EQNXTDZ($A$1,$B9,EC$1)</f>
        <v>3099.9</v>
      </c>
      <c r="ED9" s="116" cm="1">
        <f t="array" ref="ED9">_xll.EQNXTDZ($A$1,$B9,ED$1)</f>
        <v>3728.2</v>
      </c>
      <c r="EE9" s="116" cm="1">
        <f t="array" ref="EE9">_xll.EQNXTDZ($A$1,$B9,EE$1)</f>
        <v>4026.6</v>
      </c>
      <c r="EF9" s="116" cm="1">
        <f t="array" ref="EF9">_xll.EQNXTDZ($A$1,$B9,EF$1)</f>
        <v>4655.3</v>
      </c>
      <c r="EG9" s="116" cm="1">
        <f t="array" ref="EG9">_xll.EQNXTDZ($A$1,$B9,EG$1)</f>
        <v>4918.1000000000004</v>
      </c>
      <c r="EH9" s="116" cm="1">
        <f t="array" ref="EH9">_xll.EQNXTDZ($A$1,$B9,EH$1)</f>
        <v>4635.45</v>
      </c>
      <c r="EI9" s="116" cm="1">
        <f t="array" ref="EI9">_xll.EQNXTDZ($A$1,$B9,EI$1)</f>
        <v>4868.8</v>
      </c>
      <c r="EJ9" s="116" cm="1">
        <f t="array" ref="EJ9">_xll.EQNXTDZ($A$1,$B9,EJ$1)</f>
        <v>5049.75</v>
      </c>
      <c r="EK9" s="116" cm="1">
        <f t="array" ref="EK9">_xll.EQNXTDZ($A$1,$B9,EK$1)</f>
        <v>5406.25</v>
      </c>
      <c r="EL9" s="116" cm="1">
        <f t="array" ref="EL9">_xll.EQNXTDZ($A$1,$B9,EL$1)</f>
        <v>4376.3</v>
      </c>
      <c r="EM9" s="116" cm="1">
        <f t="array" ref="EM9">_xll.EQNXTDZ($A$1,$B9,EM$1)</f>
        <v>4188.8500000000004</v>
      </c>
      <c r="EN9" s="116" cm="1">
        <f t="array" ref="EN9">_xll.EQNXTDZ($A$1,$B9,EN$1)</f>
        <v>4314.8999999999996</v>
      </c>
      <c r="EO9" s="116" cm="1">
        <f t="array" ref="EO9">_xll.EQNXTDZ($A$1,$B9,EO$1)</f>
        <v>4426.3999999999996</v>
      </c>
      <c r="EP9" s="116" cm="1">
        <f t="array" ref="EP9">_xll.EQNXTDZ($A$1,$B9,EP$1)</f>
        <v>4231.1000000000004</v>
      </c>
      <c r="EQ9" s="116" cm="1">
        <f t="array" ref="EQ9">_xll.EQNXTDZ($A$1,$B9,EQ$1)</f>
        <v>5541.55</v>
      </c>
      <c r="ER9" s="116" cm="1">
        <f t="array" ref="ER9">_xll.EQNXTDZ($A$1,$B9,ER$1)</f>
        <v>5589.5</v>
      </c>
      <c r="ES9" s="116" cm="1">
        <f t="array" ref="ES9">_xll.EQNXTDZ($A$1,$B9,ES$1)</f>
        <v>6038.9</v>
      </c>
      <c r="ET9" s="116" cm="1">
        <f t="array" ref="ET9">_xll.EQNXTDZ($A$1,$B9,ET$1)</f>
        <v>6474.6</v>
      </c>
      <c r="EU9" s="116" cm="1">
        <f t="array" ref="EU9">_xll.EQNXTDZ($A$1,$B9,EU$1)</f>
        <v>5099.1499999999996</v>
      </c>
      <c r="EV9" s="116" cm="1">
        <f t="array" ref="EV9">_xll.EQNXTDZ($A$1,$B9,EV$1)</f>
        <v>5099.3</v>
      </c>
      <c r="EW9" s="116" cm="1">
        <f t="array" ref="EW9">_xll.EQNXTDZ($A$1,$B9,EW$1)</f>
        <v>5385.1</v>
      </c>
      <c r="EX9" s="116" cm="1">
        <f t="array" ref="EX9">_xll.EQNXTDZ($A$1,$B9,EX$1)</f>
        <v>4177.2</v>
      </c>
      <c r="EY9" s="116" cm="1">
        <f t="array" ref="EY9">_xll.EQNXTDZ($A$1,$B9,EY$1)</f>
        <v>4501.8500000000004</v>
      </c>
      <c r="EZ9" s="116" cm="1">
        <f t="array" ref="EZ9">_xll.EQNXTDZ($A$1,$B9,EZ$1)</f>
        <v>4877.3</v>
      </c>
      <c r="FA9" s="116" cm="1">
        <f t="array" ref="FA9">_xll.EQNXTDZ($A$1,$B9,FA$1)</f>
        <v>4605.3</v>
      </c>
      <c r="FB9" s="116" cm="1">
        <f t="array" ref="FB9">_xll.EQNXTDZ($A$1,$B9,FB$1)</f>
        <v>5604.4</v>
      </c>
      <c r="FC9" s="116" cm="1">
        <f t="array" ref="FC9">_xll.EQNXTDZ($A$1,$B9,FC$1)</f>
        <v>5570.5</v>
      </c>
      <c r="FD9" s="116" cm="1">
        <f t="array" ref="FD9">_xll.EQNXTDZ($A$1,$B9,FD$1)</f>
        <v>6752</v>
      </c>
      <c r="FE9" s="116" cm="1">
        <f t="array" ref="FE9">_xll.EQNXTDZ($A$1,$B9,FE$1)</f>
        <v>6912.5</v>
      </c>
      <c r="FF9" s="116" cm="1">
        <f t="array" ref="FF9">_xll.EQNXTDZ($A$1,$B9,FF$1)</f>
        <v>6793.5</v>
      </c>
      <c r="FG9" s="116" cm="1">
        <f t="array" ref="FG9">_xll.EQNXTDZ($A$1,$B9,FG$1)</f>
        <v>6680</v>
      </c>
      <c r="FH9" s="116" cm="1">
        <f t="array" ref="FH9">_xll.EQNXTDZ($A$1,$B9,FH$1)</f>
        <v>7024.5</v>
      </c>
      <c r="FI9" s="116" cm="1">
        <f t="array" ref="FI9">_xll.EQNXTDZ($A$1,$B9,FI$1)</f>
        <v>7689.5</v>
      </c>
      <c r="FJ9" s="116" cm="1">
        <f t="array" ref="FJ9">_xll.EQNXTDZ($A$1,$B9,FJ$1)</f>
        <v>7317</v>
      </c>
      <c r="FK9" s="116" cm="1">
        <f t="array" ref="FK9">_xll.EQNXTDZ($A$1,$B9,FK$1)</f>
        <v>7526</v>
      </c>
      <c r="FL9" s="116" cm="1">
        <f t="array" ref="FL9">_xll.EQNXTDZ($A$1,$B9,FL$1)</f>
        <v>6977</v>
      </c>
      <c r="FM9" s="116" cm="1">
        <f t="array" ref="FM9">_xll.EQNXTDZ($A$1,$B9,FM$1)</f>
        <v>7688</v>
      </c>
      <c r="FN9" s="116" cm="1">
        <f t="array" ref="FN9">_xll.EQNXTDZ($A$1,$B9,FN$1)</f>
        <v>9074</v>
      </c>
      <c r="FO9" s="116" cm="1">
        <f t="array" ref="FO9">_xll.EQNXTDZ($A$1,$B9,FO$1)</f>
        <v>9326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1419.45</v>
      </c>
      <c r="IY9" s="116">
        <f>+DG9</f>
        <v>1775.4</v>
      </c>
      <c r="IZ9" s="116">
        <f>+DJ9</f>
        <v>2109.75</v>
      </c>
      <c r="JA9" s="116">
        <f>+DM9</f>
        <v>2260.9499999999998</v>
      </c>
      <c r="JB9" s="116">
        <f>+DP9</f>
        <v>2358.4</v>
      </c>
      <c r="JC9" s="116">
        <f>+DS9</f>
        <v>2278.25</v>
      </c>
      <c r="JD9" s="116">
        <f>+DV9</f>
        <v>2769.75</v>
      </c>
      <c r="JE9" s="116">
        <f>+DY9</f>
        <v>3493.55</v>
      </c>
      <c r="JF9" s="116">
        <f>+EB9</f>
        <v>3255.3</v>
      </c>
      <c r="JG9" s="116">
        <f>+EE9</f>
        <v>4026.6</v>
      </c>
      <c r="JH9" s="116">
        <f>+EH9</f>
        <v>4635.45</v>
      </c>
      <c r="JI9" s="116">
        <f>+EK9</f>
        <v>5406.25</v>
      </c>
      <c r="JJ9" s="116">
        <f>+EN9</f>
        <v>4314.8999999999996</v>
      </c>
      <c r="JK9" s="116">
        <f>EQ9</f>
        <v>5541.55</v>
      </c>
      <c r="JL9" s="116">
        <f>ET9</f>
        <v>6474.6</v>
      </c>
      <c r="JM9" s="116">
        <f>EW9</f>
        <v>5385.1</v>
      </c>
      <c r="JN9" s="116">
        <f>EZ9</f>
        <v>4877.3</v>
      </c>
      <c r="JO9" s="116">
        <f>FC9</f>
        <v>5570.5</v>
      </c>
      <c r="JP9" s="116">
        <f>FF9</f>
        <v>6793.5</v>
      </c>
      <c r="JQ9" s="116">
        <f>FI9</f>
        <v>7689.5</v>
      </c>
      <c r="JR9" s="116">
        <f>FL9</f>
        <v>6977</v>
      </c>
      <c r="JS9" s="116">
        <f>FO9</f>
        <v>9326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1350</v>
      </c>
      <c r="DE13" cm="1">
        <f t="array" ref="DE13">_xll.EQNXTDZ($A$1,$B13,DE$1)</f>
        <v>1440</v>
      </c>
      <c r="DF13" cm="1">
        <f t="array" ref="DF13">_xll.EQNXTDZ($A$1,$B13,DF$1)</f>
        <v>1338.3</v>
      </c>
      <c r="DG13" cm="1">
        <f t="array" ref="DG13">_xll.EQNXTDZ($A$1,$B13,DG$1)</f>
        <v>1710</v>
      </c>
      <c r="DH13" cm="1">
        <f t="array" ref="DH13">_xll.EQNXTDZ($A$1,$B13,DH$1)</f>
        <v>1770</v>
      </c>
      <c r="DI13" cm="1">
        <f t="array" ref="DI13">_xll.EQNXTDZ($A$1,$B13,DI$1)</f>
        <v>2020.8</v>
      </c>
      <c r="DJ13" cm="1">
        <f t="array" ref="DJ13">_xll.EQNXTDZ($A$1,$B13,DJ$1)</f>
        <v>1931.4</v>
      </c>
      <c r="DK13" cm="1">
        <f t="array" ref="DK13">_xll.EQNXTDZ($A$1,$B13,DK$1)</f>
        <v>2064.8000000000002</v>
      </c>
      <c r="DL13" cm="1">
        <f t="array" ref="DL13">_xll.EQNXTDZ($A$1,$B13,DL$1)</f>
        <v>2715</v>
      </c>
      <c r="DM13" cm="1">
        <f t="array" ref="DM13">_xll.EQNXTDZ($A$1,$B13,DM$1)</f>
        <v>2325.8000000000002</v>
      </c>
      <c r="DN13" cm="1">
        <f t="array" ref="DN13">_xll.EQNXTDZ($A$1,$B13,DN$1)</f>
        <v>2266</v>
      </c>
      <c r="DO13" cm="1">
        <f t="array" ref="DO13">_xll.EQNXTDZ($A$1,$B13,DO$1)</f>
        <v>2039.05</v>
      </c>
      <c r="DP13" cm="1">
        <f t="array" ref="DP13">_xll.EQNXTDZ($A$1,$B13,DP$1)</f>
        <v>1945.25</v>
      </c>
      <c r="DQ13" cm="1">
        <f t="array" ref="DQ13">_xll.EQNXTDZ($A$1,$B13,DQ$1)</f>
        <v>2415</v>
      </c>
      <c r="DR13" cm="1">
        <f t="array" ref="DR13">_xll.EQNXTDZ($A$1,$B13,DR$1)</f>
        <v>2117</v>
      </c>
      <c r="DS13" cm="1">
        <f t="array" ref="DS13">_xll.EQNXTDZ($A$1,$B13,DS$1)</f>
        <v>2340.1</v>
      </c>
      <c r="DT13" cm="1">
        <f t="array" ref="DT13">_xll.EQNXTDZ($A$1,$B13,DT$1)</f>
        <v>2270</v>
      </c>
      <c r="DU13" cm="1">
        <f t="array" ref="DU13">_xll.EQNXTDZ($A$1,$B13,DU$1)</f>
        <v>2899.4</v>
      </c>
      <c r="DV13" cm="1">
        <f t="array" ref="DV13">_xll.EQNXTDZ($A$1,$B13,DV$1)</f>
        <v>2620.4499999999998</v>
      </c>
      <c r="DW13" cm="1">
        <f t="array" ref="DW13">_xll.EQNXTDZ($A$1,$B13,DW$1)</f>
        <v>2722.05</v>
      </c>
      <c r="DX13" cm="1">
        <f t="array" ref="DX13">_xll.EQNXTDZ($A$1,$B13,DX$1)</f>
        <v>3174.2</v>
      </c>
      <c r="DY13" cm="1">
        <f t="array" ref="DY13">_xll.EQNXTDZ($A$1,$B13,DY$1)</f>
        <v>3038</v>
      </c>
      <c r="DZ13" cm="1">
        <f t="array" ref="DZ13">_xll.EQNXTDZ($A$1,$B13,DZ$1)</f>
        <v>3500.15</v>
      </c>
      <c r="EA13" cm="1">
        <f t="array" ref="EA13">_xll.EQNXTDZ($A$1,$B13,EA$1)</f>
        <v>3195.45</v>
      </c>
      <c r="EB13" cm="1">
        <f t="array" ref="EB13">_xll.EQNXTDZ($A$1,$B13,EB$1)</f>
        <v>3252.75</v>
      </c>
      <c r="EC13" cm="1">
        <f t="array" ref="EC13">_xll.EQNXTDZ($A$1,$B13,EC$1)</f>
        <v>3246.3</v>
      </c>
      <c r="ED13" cm="1">
        <f t="array" ref="ED13">_xll.EQNXTDZ($A$1,$B13,ED$1)</f>
        <v>3110.9</v>
      </c>
      <c r="EE13" cm="1">
        <f t="array" ref="EE13">_xll.EQNXTDZ($A$1,$B13,EE$1)</f>
        <v>3783.1</v>
      </c>
      <c r="EF13" cm="1">
        <f t="array" ref="EF13">_xll.EQNXTDZ($A$1,$B13,EF$1)</f>
        <v>4025.05</v>
      </c>
      <c r="EG13" cm="1">
        <f t="array" ref="EG13">_xll.EQNXTDZ($A$1,$B13,EG$1)</f>
        <v>4660.05</v>
      </c>
      <c r="EH13" cm="1">
        <f t="array" ref="EH13">_xll.EQNXTDZ($A$1,$B13,EH$1)</f>
        <v>4964.6000000000004</v>
      </c>
      <c r="EI13" cm="1">
        <f t="array" ref="EI13">_xll.EQNXTDZ($A$1,$B13,EI$1)</f>
        <v>4637</v>
      </c>
      <c r="EJ13" cm="1">
        <f t="array" ref="EJ13">_xll.EQNXTDZ($A$1,$B13,EJ$1)</f>
        <v>4949.95</v>
      </c>
      <c r="EK13" cm="1">
        <f t="array" ref="EK13">_xll.EQNXTDZ($A$1,$B13,EK$1)</f>
        <v>5094.95</v>
      </c>
      <c r="EL13" cm="1">
        <f t="array" ref="EL13">_xll.EQNXTDZ($A$1,$B13,EL$1)</f>
        <v>5438.3</v>
      </c>
      <c r="EM13" cm="1">
        <f t="array" ref="EM13">_xll.EQNXTDZ($A$1,$B13,EM$1)</f>
        <v>4378</v>
      </c>
      <c r="EN13" cm="1">
        <f t="array" ref="EN13">_xll.EQNXTDZ($A$1,$B13,EN$1)</f>
        <v>4236.55</v>
      </c>
      <c r="EO13" cm="1">
        <f t="array" ref="EO13">_xll.EQNXTDZ($A$1,$B13,EO$1)</f>
        <v>4344.3500000000004</v>
      </c>
      <c r="EP13" cm="1">
        <f t="array" ref="EP13">_xll.EQNXTDZ($A$1,$B13,EP$1)</f>
        <v>4472.25</v>
      </c>
      <c r="EQ13" cm="1">
        <f t="array" ref="EQ13">_xll.EQNXTDZ($A$1,$B13,EQ$1)</f>
        <v>4260.05</v>
      </c>
      <c r="ER13" cm="1">
        <f t="array" ref="ER13">_xll.EQNXTDZ($A$1,$B13,ER$1)</f>
        <v>5542.6</v>
      </c>
      <c r="ES13" cm="1">
        <f t="array" ref="ES13">_xll.EQNXTDZ($A$1,$B13,ES$1)</f>
        <v>5605.7</v>
      </c>
      <c r="ET13" cm="1">
        <f t="array" ref="ET13">_xll.EQNXTDZ($A$1,$B13,ET$1)</f>
        <v>6136</v>
      </c>
      <c r="EU13" cm="1">
        <f t="array" ref="EU13">_xll.EQNXTDZ($A$1,$B13,EU$1)</f>
        <v>6649.95</v>
      </c>
      <c r="EV13" cm="1">
        <f t="array" ref="EV13">_xll.EQNXTDZ($A$1,$B13,EV$1)</f>
        <v>5200</v>
      </c>
      <c r="EW13" cm="1">
        <f t="array" ref="EW13">_xll.EQNXTDZ($A$1,$B13,EW$1)</f>
        <v>5300</v>
      </c>
      <c r="EX13" cm="1">
        <f t="array" ref="EX13">_xll.EQNXTDZ($A$1,$B13,EX$1)</f>
        <v>5495</v>
      </c>
      <c r="EY13" cm="1">
        <f t="array" ref="EY13">_xll.EQNXTDZ($A$1,$B13,EY$1)</f>
        <v>4287.3999999999996</v>
      </c>
      <c r="EZ13" cm="1">
        <f t="array" ref="EZ13">_xll.EQNXTDZ($A$1,$B13,EZ$1)</f>
        <v>4406.8500000000004</v>
      </c>
      <c r="FA13" cm="1">
        <f t="array" ref="FA13">_xll.EQNXTDZ($A$1,$B13,FA$1)</f>
        <v>4850</v>
      </c>
      <c r="FB13" cm="1">
        <f t="array" ref="FB13">_xll.EQNXTDZ($A$1,$B13,FB$1)</f>
        <v>4605.3</v>
      </c>
      <c r="FC13" cm="1">
        <f t="array" ref="FC13">_xll.EQNXTDZ($A$1,$B13,FC$1)</f>
        <v>5697.95</v>
      </c>
      <c r="FD13" cm="1">
        <f t="array" ref="FD13">_xll.EQNXTDZ($A$1,$B13,FD$1)</f>
        <v>5575.15</v>
      </c>
      <c r="FE13" cm="1">
        <f t="array" ref="FE13">_xll.EQNXTDZ($A$1,$B13,FE$1)</f>
        <v>6814.95</v>
      </c>
      <c r="FF13" cm="1">
        <f t="array" ref="FF13">_xll.EQNXTDZ($A$1,$B13,FF$1)</f>
        <v>7324.95</v>
      </c>
      <c r="FG13" cm="1">
        <f t="array" ref="FG13">_xll.EQNXTDZ($A$1,$B13,FG$1)</f>
        <v>6760.1</v>
      </c>
      <c r="FH13" cm="1">
        <f t="array" ref="FH13">_xll.EQNXTDZ($A$1,$B13,FH$1)</f>
        <v>6741.5</v>
      </c>
      <c r="FI13" cm="1">
        <f t="array" ref="FI13">_xll.EQNXTDZ($A$1,$B13,FI$1)</f>
        <v>7026.05</v>
      </c>
      <c r="FJ13" cm="1">
        <f t="array" ref="FJ13">_xll.EQNXTDZ($A$1,$B13,FJ$1)</f>
        <v>7605</v>
      </c>
      <c r="FK13" cm="1">
        <f t="array" ref="FK13">_xll.EQNXTDZ($A$1,$B13,FK$1)</f>
        <v>7348.55</v>
      </c>
      <c r="FL13" cm="1">
        <f t="array" ref="FL13">_xll.EQNXTDZ($A$1,$B13,FL$1)</f>
        <v>7151.65</v>
      </c>
      <c r="FM13" cm="1">
        <f t="array" ref="FM13">_xll.EQNXTDZ($A$1,$B13,FM$1)</f>
        <v>7100.25</v>
      </c>
      <c r="FN13" cm="1">
        <f t="array" ref="FN13">_xll.EQNXTDZ($A$1,$B13,FN$1)</f>
        <v>7703.05</v>
      </c>
      <c r="FO13" cm="1">
        <f t="array" ref="FO13">_xll.EQNXTDZ($A$1,$B13,FO$1)</f>
        <v>9050.9500000000007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1530</v>
      </c>
      <c r="DE14" s="116" cm="1">
        <f t="array" ref="DE14">_xll.EQNXTDZ($A$1,$B14,DE$1)</f>
        <v>1488</v>
      </c>
      <c r="DF14" s="116" cm="1">
        <f t="array" ref="DF14">_xll.EQNXTDZ($A$1,$B14,DF$1)</f>
        <v>1737.2</v>
      </c>
      <c r="DG14" s="116" cm="1">
        <f t="array" ref="DG14">_xll.EQNXTDZ($A$1,$B14,DG$1)</f>
        <v>1852.4</v>
      </c>
      <c r="DH14" s="116" cm="1">
        <f t="array" ref="DH14">_xll.EQNXTDZ($A$1,$B14,DH$1)</f>
        <v>2176.9499999999998</v>
      </c>
      <c r="DI14" s="116" cm="1">
        <f t="array" ref="DI14">_xll.EQNXTDZ($A$1,$B14,DI$1)</f>
        <v>2073.5</v>
      </c>
      <c r="DJ14" s="116" cm="1">
        <f t="array" ref="DJ14">_xll.EQNXTDZ($A$1,$B14,DJ$1)</f>
        <v>2242.35</v>
      </c>
      <c r="DK14" s="116" cm="1">
        <f t="array" ref="DK14">_xll.EQNXTDZ($A$1,$B14,DK$1)</f>
        <v>2714</v>
      </c>
      <c r="DL14" s="116" cm="1">
        <f t="array" ref="DL14">_xll.EQNXTDZ($A$1,$B14,DL$1)</f>
        <v>2772.8</v>
      </c>
      <c r="DM14" s="116" cm="1">
        <f t="array" ref="DM14">_xll.EQNXTDZ($A$1,$B14,DM$1)</f>
        <v>2341</v>
      </c>
      <c r="DN14" s="116" cm="1">
        <f t="array" ref="DN14">_xll.EQNXTDZ($A$1,$B14,DN$1)</f>
        <v>2446.1999999999998</v>
      </c>
      <c r="DO14" s="116" cm="1">
        <f t="array" ref="DO14">_xll.EQNXTDZ($A$1,$B14,DO$1)</f>
        <v>2262.65</v>
      </c>
      <c r="DP14" s="116" cm="1">
        <f t="array" ref="DP14">_xll.EQNXTDZ($A$1,$B14,DP$1)</f>
        <v>2390</v>
      </c>
      <c r="DQ14" s="116" cm="1">
        <f t="array" ref="DQ14">_xll.EQNXTDZ($A$1,$B14,DQ$1)</f>
        <v>2495.9499999999998</v>
      </c>
      <c r="DR14" s="116" cm="1">
        <f t="array" ref="DR14">_xll.EQNXTDZ($A$1,$B14,DR$1)</f>
        <v>2425</v>
      </c>
      <c r="DS14" s="116" cm="1">
        <f t="array" ref="DS14">_xll.EQNXTDZ($A$1,$B14,DS$1)</f>
        <v>2473.4499999999998</v>
      </c>
      <c r="DT14" s="116" cm="1">
        <f t="array" ref="DT14">_xll.EQNXTDZ($A$1,$B14,DT$1)</f>
        <v>2851</v>
      </c>
      <c r="DU14" s="116" cm="1">
        <f t="array" ref="DU14">_xll.EQNXTDZ($A$1,$B14,DU$1)</f>
        <v>2899.4</v>
      </c>
      <c r="DV14" s="116" cm="1">
        <f t="array" ref="DV14">_xll.EQNXTDZ($A$1,$B14,DV$1)</f>
        <v>3005.1</v>
      </c>
      <c r="DW14" s="116" cm="1">
        <f t="array" ref="DW14">_xll.EQNXTDZ($A$1,$B14,DW$1)</f>
        <v>3194.2</v>
      </c>
      <c r="DX14" s="116" cm="1">
        <f t="array" ref="DX14">_xll.EQNXTDZ($A$1,$B14,DX$1)</f>
        <v>3462.95</v>
      </c>
      <c r="DY14" s="116" cm="1">
        <f t="array" ref="DY14">_xll.EQNXTDZ($A$1,$B14,DY$1)</f>
        <v>3709.95</v>
      </c>
      <c r="DZ14" s="116" cm="1">
        <f t="array" ref="DZ14">_xll.EQNXTDZ($A$1,$B14,DZ$1)</f>
        <v>3701.5</v>
      </c>
      <c r="EA14" s="116" cm="1">
        <f t="array" ref="EA14">_xll.EQNXTDZ($A$1,$B14,EA$1)</f>
        <v>3611</v>
      </c>
      <c r="EB14" s="116" cm="1">
        <f t="array" ref="EB14">_xll.EQNXTDZ($A$1,$B14,EB$1)</f>
        <v>3385.7</v>
      </c>
      <c r="EC14" s="116" cm="1">
        <f t="array" ref="EC14">_xll.EQNXTDZ($A$1,$B14,EC$1)</f>
        <v>3255.5</v>
      </c>
      <c r="ED14" s="116" cm="1">
        <f t="array" ref="ED14">_xll.EQNXTDZ($A$1,$B14,ED$1)</f>
        <v>3830.95</v>
      </c>
      <c r="EE14" s="116" cm="1">
        <f t="array" ref="EE14">_xll.EQNXTDZ($A$1,$B14,EE$1)</f>
        <v>4139.1000000000004</v>
      </c>
      <c r="EF14" s="116" cm="1">
        <f t="array" ref="EF14">_xll.EQNXTDZ($A$1,$B14,EF$1)</f>
        <v>4947.2</v>
      </c>
      <c r="EG14" s="116" cm="1">
        <f t="array" ref="EG14">_xll.EQNXTDZ($A$1,$B14,EG$1)</f>
        <v>5020.25</v>
      </c>
      <c r="EH14" s="116" cm="1">
        <f t="array" ref="EH14">_xll.EQNXTDZ($A$1,$B14,EH$1)</f>
        <v>5045</v>
      </c>
      <c r="EI14" s="116" cm="1">
        <f t="array" ref="EI14">_xll.EQNXTDZ($A$1,$B14,EI$1)</f>
        <v>5032.3</v>
      </c>
      <c r="EJ14" s="116" cm="1">
        <f t="array" ref="EJ14">_xll.EQNXTDZ($A$1,$B14,EJ$1)</f>
        <v>5413</v>
      </c>
      <c r="EK14" s="116" cm="1">
        <f t="array" ref="EK14">_xll.EQNXTDZ($A$1,$B14,EK$1)</f>
        <v>5510</v>
      </c>
      <c r="EL14" s="116" cm="1">
        <f t="array" ref="EL14">_xll.EQNXTDZ($A$1,$B14,EL$1)</f>
        <v>5438.3</v>
      </c>
      <c r="EM14" s="116" cm="1">
        <f t="array" ref="EM14">_xll.EQNXTDZ($A$1,$B14,EM$1)</f>
        <v>4541.55</v>
      </c>
      <c r="EN14" s="116" cm="1">
        <f t="array" ref="EN14">_xll.EQNXTDZ($A$1,$B14,EN$1)</f>
        <v>4446.75</v>
      </c>
      <c r="EO14" s="116" cm="1">
        <f t="array" ref="EO14">_xll.EQNXTDZ($A$1,$B14,EO$1)</f>
        <v>4758.45</v>
      </c>
      <c r="EP14" s="116" cm="1">
        <f t="array" ref="EP14">_xll.EQNXTDZ($A$1,$B14,EP$1)</f>
        <v>4526</v>
      </c>
      <c r="EQ14" s="116" cm="1">
        <f t="array" ref="EQ14">_xll.EQNXTDZ($A$1,$B14,EQ$1)</f>
        <v>5685.8</v>
      </c>
      <c r="ER14" s="116" cm="1">
        <f t="array" ref="ER14">_xll.EQNXTDZ($A$1,$B14,ER$1)</f>
        <v>5825.55</v>
      </c>
      <c r="ES14" s="116" cm="1">
        <f t="array" ref="ES14">_xll.EQNXTDZ($A$1,$B14,ES$1)</f>
        <v>6671.25</v>
      </c>
      <c r="ET14" s="116" cm="1">
        <f t="array" ref="ET14">_xll.EQNXTDZ($A$1,$B14,ET$1)</f>
        <v>7107.15</v>
      </c>
      <c r="EU14" s="116" cm="1">
        <f t="array" ref="EU14">_xll.EQNXTDZ($A$1,$B14,EU$1)</f>
        <v>6649.95</v>
      </c>
      <c r="EV14" s="116" cm="1">
        <f t="array" ref="EV14">_xll.EQNXTDZ($A$1,$B14,EV$1)</f>
        <v>5394.5</v>
      </c>
      <c r="EW14" s="116" cm="1">
        <f t="array" ref="EW14">_xll.EQNXTDZ($A$1,$B14,EW$1)</f>
        <v>5899.65</v>
      </c>
      <c r="EX14" s="116" cm="1">
        <f t="array" ref="EX14">_xll.EQNXTDZ($A$1,$B14,EX$1)</f>
        <v>5495</v>
      </c>
      <c r="EY14" s="116" cm="1">
        <f t="array" ref="EY14">_xll.EQNXTDZ($A$1,$B14,EY$1)</f>
        <v>4735.75</v>
      </c>
      <c r="EZ14" s="116" cm="1">
        <f t="array" ref="EZ14">_xll.EQNXTDZ($A$1,$B14,EZ$1)</f>
        <v>5232.05</v>
      </c>
      <c r="FA14" s="116" cm="1">
        <f t="array" ref="FA14">_xll.EQNXTDZ($A$1,$B14,FA$1)</f>
        <v>4946.3999999999996</v>
      </c>
      <c r="FB14" s="116" cm="1">
        <f t="array" ref="FB14">_xll.EQNXTDZ($A$1,$B14,FB$1)</f>
        <v>5838.1</v>
      </c>
      <c r="FC14" s="116" cm="1">
        <f t="array" ref="FC14">_xll.EQNXTDZ($A$1,$B14,FC$1)</f>
        <v>5742.45</v>
      </c>
      <c r="FD14" s="116" cm="1">
        <f t="array" ref="FD14">_xll.EQNXTDZ($A$1,$B14,FD$1)</f>
        <v>7057.65</v>
      </c>
      <c r="FE14" s="116" cm="1">
        <f t="array" ref="FE14">_xll.EQNXTDZ($A$1,$B14,FE$1)</f>
        <v>7289.95</v>
      </c>
      <c r="FF14" s="116" cm="1">
        <f t="array" ref="FF14">_xll.EQNXTDZ($A$1,$B14,FF$1)</f>
        <v>7324.95</v>
      </c>
      <c r="FG14" s="116" cm="1">
        <f t="array" ref="FG14">_xll.EQNXTDZ($A$1,$B14,FG$1)</f>
        <v>6859.95</v>
      </c>
      <c r="FH14" s="116" cm="1">
        <f t="array" ref="FH14">_xll.EQNXTDZ($A$1,$B14,FH$1)</f>
        <v>7370.5</v>
      </c>
      <c r="FI14" s="116" cm="1">
        <f t="array" ref="FI14">_xll.EQNXTDZ($A$1,$B14,FI$1)</f>
        <v>7829.3</v>
      </c>
      <c r="FJ14" s="116" cm="1">
        <f t="array" ref="FJ14">_xll.EQNXTDZ($A$1,$B14,FJ$1)</f>
        <v>8068.75</v>
      </c>
      <c r="FK14" s="116" cm="1">
        <f t="array" ref="FK14">_xll.EQNXTDZ($A$1,$B14,FK$1)</f>
        <v>8198.9500000000007</v>
      </c>
      <c r="FL14" s="116" cm="1">
        <f t="array" ref="FL14">_xll.EQNXTDZ($A$1,$B14,FL$1)</f>
        <v>7700</v>
      </c>
      <c r="FM14" s="116" cm="1">
        <f t="array" ref="FM14">_xll.EQNXTDZ($A$1,$B14,FM$1)</f>
        <v>7931.35</v>
      </c>
      <c r="FN14" s="116" cm="1">
        <f t="array" ref="FN14">_xll.EQNXTDZ($A$1,$B14,FN$1)</f>
        <v>9750.0499999999993</v>
      </c>
      <c r="FO14" s="116" cm="1">
        <f t="array" ref="FO14">_xll.EQNXTDZ($A$1,$B14,FO$1)</f>
        <v>9483.9500000000007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1530</v>
      </c>
      <c r="IY14" s="116">
        <f>+MAX(DE14:DG14)</f>
        <v>1852.4</v>
      </c>
      <c r="IZ14" s="116">
        <f>+MAX(DH14:DJ14)</f>
        <v>2242.35</v>
      </c>
      <c r="JA14" s="116">
        <f>+MAX(DK14:DM14)</f>
        <v>2772.8</v>
      </c>
      <c r="JB14" s="116">
        <f>+MAX(DN14:DP14)</f>
        <v>2446.1999999999998</v>
      </c>
      <c r="JC14" s="116">
        <f>+MAX(DQ14:DS14)</f>
        <v>2495.9499999999998</v>
      </c>
      <c r="JD14" s="116">
        <f>+MAX(DT14:DV14)</f>
        <v>3005.1</v>
      </c>
      <c r="JE14" s="116">
        <f>+MAX(DW14:DY14)</f>
        <v>3709.95</v>
      </c>
      <c r="JF14" s="116">
        <f>+MAX(DZ14:EB14)</f>
        <v>3701.5</v>
      </c>
      <c r="JG14" s="116">
        <f>+MAX(EC14:EE14)</f>
        <v>4139.1000000000004</v>
      </c>
      <c r="JH14" s="116">
        <f>+MAX(EF14:EH14)</f>
        <v>5045</v>
      </c>
      <c r="JI14" s="116">
        <f>+MAX(EI14:EK14)</f>
        <v>5510</v>
      </c>
      <c r="JJ14" s="116">
        <f>+MAX(EL14:EN14)</f>
        <v>5438.3</v>
      </c>
      <c r="JK14" s="116">
        <f>MAX(EO14:EQ14)</f>
        <v>5685.8</v>
      </c>
      <c r="JL14" s="116">
        <f>MAX(ER14:ET14)</f>
        <v>7107.15</v>
      </c>
      <c r="JM14" s="116">
        <f>MAX(EU14:EW14)</f>
        <v>6649.95</v>
      </c>
      <c r="JN14" s="116">
        <f>MAX(EX14:EZ14)</f>
        <v>5495</v>
      </c>
      <c r="JO14" s="116">
        <f>MAX(FA14:FC14)</f>
        <v>5838.1</v>
      </c>
      <c r="JP14" s="116">
        <f>MAX(FD14:FF14)</f>
        <v>7324.95</v>
      </c>
      <c r="JQ14" s="116">
        <f>MAX(FG14:FI14)</f>
        <v>7829.3</v>
      </c>
      <c r="JR14" s="116">
        <f>MAX(FJ14:FL14)</f>
        <v>8198.9500000000007</v>
      </c>
      <c r="JS14" s="116">
        <f>MAX(FM14:FO14)</f>
        <v>9750.0499999999993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1349.2</v>
      </c>
      <c r="DE15" s="116" cm="1">
        <f t="array" ref="DE15">_xll.EQNXTDZ($A$1,$B15,DE$1)</f>
        <v>1115</v>
      </c>
      <c r="DF15" s="116" cm="1">
        <f t="array" ref="DF15">_xll.EQNXTDZ($A$1,$B15,DF$1)</f>
        <v>1265</v>
      </c>
      <c r="DG15" s="116" cm="1">
        <f t="array" ref="DG15">_xll.EQNXTDZ($A$1,$B15,DG$1)</f>
        <v>1649.5</v>
      </c>
      <c r="DH15" s="116" cm="1">
        <f t="array" ref="DH15">_xll.EQNXTDZ($A$1,$B15,DH$1)</f>
        <v>1756.95</v>
      </c>
      <c r="DI15" s="116" cm="1">
        <f t="array" ref="DI15">_xll.EQNXTDZ($A$1,$B15,DI$1)</f>
        <v>1825</v>
      </c>
      <c r="DJ15" s="116" cm="1">
        <f t="array" ref="DJ15">_xll.EQNXTDZ($A$1,$B15,DJ$1)</f>
        <v>1822</v>
      </c>
      <c r="DK15" s="116" cm="1">
        <f t="array" ref="DK15">_xll.EQNXTDZ($A$1,$B15,DK$1)</f>
        <v>2051.9499999999998</v>
      </c>
      <c r="DL15" s="116" cm="1">
        <f t="array" ref="DL15">_xll.EQNXTDZ($A$1,$B15,DL$1)</f>
        <v>2139.5</v>
      </c>
      <c r="DM15" s="116" cm="1">
        <f t="array" ref="DM15">_xll.EQNXTDZ($A$1,$B15,DM$1)</f>
        <v>2067.6999999999998</v>
      </c>
      <c r="DN15" s="116" cm="1">
        <f t="array" ref="DN15">_xll.EQNXTDZ($A$1,$B15,DN$1)</f>
        <v>1905</v>
      </c>
      <c r="DO15" s="116" cm="1">
        <f t="array" ref="DO15">_xll.EQNXTDZ($A$1,$B15,DO$1)</f>
        <v>1845</v>
      </c>
      <c r="DP15" s="116" cm="1">
        <f t="array" ref="DP15">_xll.EQNXTDZ($A$1,$B15,DP$1)</f>
        <v>1901.9</v>
      </c>
      <c r="DQ15" s="116" cm="1">
        <f t="array" ref="DQ15">_xll.EQNXTDZ($A$1,$B15,DQ$1)</f>
        <v>2119.9</v>
      </c>
      <c r="DR15" s="116" cm="1">
        <f t="array" ref="DR15">_xll.EQNXTDZ($A$1,$B15,DR$1)</f>
        <v>2092.6</v>
      </c>
      <c r="DS15" s="116" cm="1">
        <f t="array" ref="DS15">_xll.EQNXTDZ($A$1,$B15,DS$1)</f>
        <v>2024</v>
      </c>
      <c r="DT15" s="116" cm="1">
        <f t="array" ref="DT15">_xll.EQNXTDZ($A$1,$B15,DT$1)</f>
        <v>2258.0500000000002</v>
      </c>
      <c r="DU15" s="116" cm="1">
        <f t="array" ref="DU15">_xll.EQNXTDZ($A$1,$B15,DU$1)</f>
        <v>2464</v>
      </c>
      <c r="DV15" s="116" cm="1">
        <f t="array" ref="DV15">_xll.EQNXTDZ($A$1,$B15,DV$1)</f>
        <v>2580</v>
      </c>
      <c r="DW15" s="116" cm="1">
        <f t="array" ref="DW15">_xll.EQNXTDZ($A$1,$B15,DW$1)</f>
        <v>2717.35</v>
      </c>
      <c r="DX15" s="116" cm="1">
        <f t="array" ref="DX15">_xll.EQNXTDZ($A$1,$B15,DX$1)</f>
        <v>2976.5</v>
      </c>
      <c r="DY15" s="116" cm="1">
        <f t="array" ref="DY15">_xll.EQNXTDZ($A$1,$B15,DY$1)</f>
        <v>3038</v>
      </c>
      <c r="DZ15" s="116" cm="1">
        <f t="array" ref="DZ15">_xll.EQNXTDZ($A$1,$B15,DZ$1)</f>
        <v>3110</v>
      </c>
      <c r="EA15" s="116" cm="1">
        <f t="array" ref="EA15">_xll.EQNXTDZ($A$1,$B15,EA$1)</f>
        <v>3080.95</v>
      </c>
      <c r="EB15" s="116" cm="1">
        <f t="array" ref="EB15">_xll.EQNXTDZ($A$1,$B15,EB$1)</f>
        <v>2699.4</v>
      </c>
      <c r="EC15" s="116" cm="1">
        <f t="array" ref="EC15">_xll.EQNXTDZ($A$1,$B15,EC$1)</f>
        <v>3001.05</v>
      </c>
      <c r="ED15" s="116" cm="1">
        <f t="array" ref="ED15">_xll.EQNXTDZ($A$1,$B15,ED$1)</f>
        <v>3110.9</v>
      </c>
      <c r="EE15" s="116" cm="1">
        <f t="array" ref="EE15">_xll.EQNXTDZ($A$1,$B15,EE$1)</f>
        <v>3668.5</v>
      </c>
      <c r="EF15" s="116" cm="1">
        <f t="array" ref="EF15">_xll.EQNXTDZ($A$1,$B15,EF$1)</f>
        <v>3918.45</v>
      </c>
      <c r="EG15" s="116" cm="1">
        <f t="array" ref="EG15">_xll.EQNXTDZ($A$1,$B15,EG$1)</f>
        <v>4522.3500000000004</v>
      </c>
      <c r="EH15" s="116" cm="1">
        <f t="array" ref="EH15">_xll.EQNXTDZ($A$1,$B15,EH$1)</f>
        <v>4522.3</v>
      </c>
      <c r="EI15" s="116" cm="1">
        <f t="array" ref="EI15">_xll.EQNXTDZ($A$1,$B15,EI$1)</f>
        <v>4210.55</v>
      </c>
      <c r="EJ15" s="116" cm="1">
        <f t="array" ref="EJ15">_xll.EQNXTDZ($A$1,$B15,EJ$1)</f>
        <v>4739.75</v>
      </c>
      <c r="EK15" s="116" cm="1">
        <f t="array" ref="EK15">_xll.EQNXTDZ($A$1,$B15,EK$1)</f>
        <v>5000</v>
      </c>
      <c r="EL15" s="116" cm="1">
        <f t="array" ref="EL15">_xll.EQNXTDZ($A$1,$B15,EL$1)</f>
        <v>4340</v>
      </c>
      <c r="EM15" s="116" cm="1">
        <f t="array" ref="EM15">_xll.EQNXTDZ($A$1,$B15,EM$1)</f>
        <v>4030.35</v>
      </c>
      <c r="EN15" s="116" cm="1">
        <f t="array" ref="EN15">_xll.EQNXTDZ($A$1,$B15,EN$1)</f>
        <v>3782.05</v>
      </c>
      <c r="EO15" s="116" cm="1">
        <f t="array" ref="EO15">_xll.EQNXTDZ($A$1,$B15,EO$1)</f>
        <v>4250.05</v>
      </c>
      <c r="EP15" s="116" cm="1">
        <f t="array" ref="EP15">_xll.EQNXTDZ($A$1,$B15,EP$1)</f>
        <v>4112.55</v>
      </c>
      <c r="EQ15" s="116" cm="1">
        <f t="array" ref="EQ15">_xll.EQNXTDZ($A$1,$B15,EQ$1)</f>
        <v>4095</v>
      </c>
      <c r="ER15" s="116" cm="1">
        <f t="array" ref="ER15">_xll.EQNXTDZ($A$1,$B15,ER$1)</f>
        <v>4850.1000000000004</v>
      </c>
      <c r="ES15" s="116" cm="1">
        <f t="array" ref="ES15">_xll.EQNXTDZ($A$1,$B15,ES$1)</f>
        <v>5083.6000000000004</v>
      </c>
      <c r="ET15" s="116" cm="1">
        <f t="array" ref="ET15">_xll.EQNXTDZ($A$1,$B15,ET$1)</f>
        <v>5817.2</v>
      </c>
      <c r="EU15" s="116" cm="1">
        <f t="array" ref="EU15">_xll.EQNXTDZ($A$1,$B15,EU$1)</f>
        <v>4839.8</v>
      </c>
      <c r="EV15" s="116" cm="1">
        <f t="array" ref="EV15">_xll.EQNXTDZ($A$1,$B15,EV$1)</f>
        <v>4610.8999999999996</v>
      </c>
      <c r="EW15" s="116" cm="1">
        <f t="array" ref="EW15">_xll.EQNXTDZ($A$1,$B15,EW$1)</f>
        <v>4848</v>
      </c>
      <c r="EX15" s="116" cm="1">
        <f t="array" ref="EX15">_xll.EQNXTDZ($A$1,$B15,EX$1)</f>
        <v>4033.7</v>
      </c>
      <c r="EY15" s="116" cm="1">
        <f t="array" ref="EY15">_xll.EQNXTDZ($A$1,$B15,EY$1)</f>
        <v>3860.1</v>
      </c>
      <c r="EZ15" s="116" cm="1">
        <f t="array" ref="EZ15">_xll.EQNXTDZ($A$1,$B15,EZ$1)</f>
        <v>4267.8999999999996</v>
      </c>
      <c r="FA15" s="116" cm="1">
        <f t="array" ref="FA15">_xll.EQNXTDZ($A$1,$B15,FA$1)</f>
        <v>3700</v>
      </c>
      <c r="FB15" s="116" cm="1">
        <f t="array" ref="FB15">_xll.EQNXTDZ($A$1,$B15,FB$1)</f>
        <v>4425</v>
      </c>
      <c r="FC15" s="116" cm="1">
        <f t="array" ref="FC15">_xll.EQNXTDZ($A$1,$B15,FC$1)</f>
        <v>5120</v>
      </c>
      <c r="FD15" s="116" cm="1">
        <f t="array" ref="FD15">_xll.EQNXTDZ($A$1,$B15,FD$1)</f>
        <v>5533.4</v>
      </c>
      <c r="FE15" s="116" cm="1">
        <f t="array" ref="FE15">_xll.EQNXTDZ($A$1,$B15,FE$1)</f>
        <v>6258.3</v>
      </c>
      <c r="FF15" s="116" cm="1">
        <f t="array" ref="FF15">_xll.EQNXTDZ($A$1,$B15,FF$1)</f>
        <v>6525.2</v>
      </c>
      <c r="FG15" s="116" cm="1">
        <f t="array" ref="FG15">_xll.EQNXTDZ($A$1,$B15,FG$1)</f>
        <v>6318.1</v>
      </c>
      <c r="FH15" s="116" cm="1">
        <f t="array" ref="FH15">_xll.EQNXTDZ($A$1,$B15,FH$1)</f>
        <v>6530.5</v>
      </c>
      <c r="FI15" s="116" cm="1">
        <f t="array" ref="FI15">_xll.EQNXTDZ($A$1,$B15,FI$1)</f>
        <v>6751</v>
      </c>
      <c r="FJ15" s="116" cm="1">
        <f t="array" ref="FJ15">_xll.EQNXTDZ($A$1,$B15,FJ$1)</f>
        <v>7128.75</v>
      </c>
      <c r="FK15" s="116" cm="1">
        <f t="array" ref="FK15">_xll.EQNXTDZ($A$1,$B15,FK$1)</f>
        <v>7102.2</v>
      </c>
      <c r="FL15" s="116" cm="1">
        <f t="array" ref="FL15">_xll.EQNXTDZ($A$1,$B15,FL$1)</f>
        <v>6251.65</v>
      </c>
      <c r="FM15" s="116" cm="1">
        <f t="array" ref="FM15">_xll.EQNXTDZ($A$1,$B15,FM$1)</f>
        <v>6666.35</v>
      </c>
      <c r="FN15" s="116" cm="1">
        <f t="array" ref="FN15">_xll.EQNXTDZ($A$1,$B15,FN$1)</f>
        <v>7607.65</v>
      </c>
      <c r="FO15" s="116" cm="1">
        <f t="array" ref="FO15">_xll.EQNXTDZ($A$1,$B15,FO$1)</f>
        <v>8606.0499999999993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1115</v>
      </c>
      <c r="IZ15" s="116">
        <f>+MIN(DH15:DJ15)</f>
        <v>1756.95</v>
      </c>
      <c r="JA15" s="116">
        <f>+MIN(DK15:DM15)</f>
        <v>2051.9499999999998</v>
      </c>
      <c r="JB15" s="116">
        <f>+MIN(DN15:DP15)</f>
        <v>1845</v>
      </c>
      <c r="JC15" s="116">
        <f>+MIN(DQ15:DS15)</f>
        <v>2024</v>
      </c>
      <c r="JD15" s="116">
        <f>+MIN(DT15:DV15)</f>
        <v>2258.0500000000002</v>
      </c>
      <c r="JE15" s="116">
        <f>+MIN(DW15:DY15)</f>
        <v>2717.35</v>
      </c>
      <c r="JF15" s="116">
        <f>+MIN(DZ15:EB15)</f>
        <v>2699.4</v>
      </c>
      <c r="JG15" s="116">
        <f>+MIN(EC15:EE15)</f>
        <v>3001.05</v>
      </c>
      <c r="JH15" s="116">
        <f>+MIN(EF15:EH15)</f>
        <v>3918.45</v>
      </c>
      <c r="JI15" s="116">
        <f>+MIN(EI15:EK15)</f>
        <v>4210.55</v>
      </c>
      <c r="JJ15" s="116">
        <f>+MIN(EL15:EN15)</f>
        <v>3782.05</v>
      </c>
      <c r="JK15" s="116">
        <f>MIN(EO15:EQ15)</f>
        <v>4095</v>
      </c>
      <c r="JL15" s="116">
        <f>MIN(ER15:ET15)</f>
        <v>4850.1000000000004</v>
      </c>
      <c r="JM15" s="116">
        <f>MIN(EU15:EW15)</f>
        <v>4610.8999999999996</v>
      </c>
      <c r="JN15" s="116">
        <f>MIN(EX15:EZ15)</f>
        <v>3860.1</v>
      </c>
      <c r="JO15" s="116">
        <f>MIN(FA15:FC15)</f>
        <v>3700</v>
      </c>
      <c r="JP15" s="116">
        <f>MIN(FD15:FF15)</f>
        <v>5533.4</v>
      </c>
      <c r="JQ15" s="116">
        <f>MIN(FG15:FI15)</f>
        <v>6318.1</v>
      </c>
      <c r="JR15" s="116">
        <f>MIN(FJ15:FL15)</f>
        <v>6251.65</v>
      </c>
      <c r="JS15" s="116">
        <f>MIN(FM15:FO15)</f>
        <v>6666.35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1417.85</v>
      </c>
      <c r="DE16" s="116" cm="1">
        <f t="array" ref="DE16">_xll.EQNXTDZ($A$1,$B16,DE$1)</f>
        <v>1344.1</v>
      </c>
      <c r="DF16" s="116" cm="1">
        <f t="array" ref="DF16">_xll.EQNXTDZ($A$1,$B16,DF$1)</f>
        <v>1707.35</v>
      </c>
      <c r="DG16" s="116" cm="1">
        <f t="array" ref="DG16">_xll.EQNXTDZ($A$1,$B16,DG$1)</f>
        <v>1777.75</v>
      </c>
      <c r="DH16" s="116" cm="1">
        <f t="array" ref="DH16">_xll.EQNXTDZ($A$1,$B16,DH$1)</f>
        <v>2001.75</v>
      </c>
      <c r="DI16" s="116" cm="1">
        <f t="array" ref="DI16">_xll.EQNXTDZ($A$1,$B16,DI$1)</f>
        <v>1932.15</v>
      </c>
      <c r="DJ16" s="116" cm="1">
        <f t="array" ref="DJ16">_xll.EQNXTDZ($A$1,$B16,DJ$1)</f>
        <v>2109.6</v>
      </c>
      <c r="DK16" s="116" cm="1">
        <f t="array" ref="DK16">_xll.EQNXTDZ($A$1,$B16,DK$1)</f>
        <v>2630.6</v>
      </c>
      <c r="DL16" s="116" cm="1">
        <f t="array" ref="DL16">_xll.EQNXTDZ($A$1,$B16,DL$1)</f>
        <v>2273.6999999999998</v>
      </c>
      <c r="DM16" s="116" cm="1">
        <f t="array" ref="DM16">_xll.EQNXTDZ($A$1,$B16,DM$1)</f>
        <v>2265.9499999999998</v>
      </c>
      <c r="DN16" s="116" cm="1">
        <f t="array" ref="DN16">_xll.EQNXTDZ($A$1,$B16,DN$1)</f>
        <v>2044.55</v>
      </c>
      <c r="DO16" s="116" cm="1">
        <f t="array" ref="DO16">_xll.EQNXTDZ($A$1,$B16,DO$1)</f>
        <v>1994.8</v>
      </c>
      <c r="DP16" s="116" cm="1">
        <f t="array" ref="DP16">_xll.EQNXTDZ($A$1,$B16,DP$1)</f>
        <v>2356.1999999999998</v>
      </c>
      <c r="DQ16" s="116" cm="1">
        <f t="array" ref="DQ16">_xll.EQNXTDZ($A$1,$B16,DQ$1)</f>
        <v>2241.6999999999998</v>
      </c>
      <c r="DR16" s="116" cm="1">
        <f t="array" ref="DR16">_xll.EQNXTDZ($A$1,$B16,DR$1)</f>
        <v>2364.85</v>
      </c>
      <c r="DS16" s="116" cm="1">
        <f t="array" ref="DS16">_xll.EQNXTDZ($A$1,$B16,DS$1)</f>
        <v>2268.6999999999998</v>
      </c>
      <c r="DT16" s="116" cm="1">
        <f t="array" ref="DT16">_xll.EQNXTDZ($A$1,$B16,DT$1)</f>
        <v>2800.65</v>
      </c>
      <c r="DU16" s="116" cm="1">
        <f t="array" ref="DU16">_xll.EQNXTDZ($A$1,$B16,DU$1)</f>
        <v>2612.5500000000002</v>
      </c>
      <c r="DV16" s="116" cm="1">
        <f t="array" ref="DV16">_xll.EQNXTDZ($A$1,$B16,DV$1)</f>
        <v>2755.25</v>
      </c>
      <c r="DW16" s="116" cm="1">
        <f t="array" ref="DW16">_xll.EQNXTDZ($A$1,$B16,DW$1)</f>
        <v>3147.75</v>
      </c>
      <c r="DX16" s="116" cm="1">
        <f t="array" ref="DX16">_xll.EQNXTDZ($A$1,$B16,DX$1)</f>
        <v>3043.45</v>
      </c>
      <c r="DY16" s="116" cm="1">
        <f t="array" ref="DY16">_xll.EQNXTDZ($A$1,$B16,DY$1)</f>
        <v>3506.85</v>
      </c>
      <c r="DZ16" s="116" cm="1">
        <f t="array" ref="DZ16">_xll.EQNXTDZ($A$1,$B16,DZ$1)</f>
        <v>3195.45</v>
      </c>
      <c r="EA16" s="116" cm="1">
        <f t="array" ref="EA16">_xll.EQNXTDZ($A$1,$B16,EA$1)</f>
        <v>3323.1</v>
      </c>
      <c r="EB16" s="116" cm="1">
        <f t="array" ref="EB16">_xll.EQNXTDZ($A$1,$B16,EB$1)</f>
        <v>3246.25</v>
      </c>
      <c r="EC16" s="116" cm="1">
        <f t="array" ref="EC16">_xll.EQNXTDZ($A$1,$B16,EC$1)</f>
        <v>3098.25</v>
      </c>
      <c r="ED16" s="116" cm="1">
        <f t="array" ref="ED16">_xll.EQNXTDZ($A$1,$B16,ED$1)</f>
        <v>3767.7</v>
      </c>
      <c r="EE16" s="116" cm="1">
        <f t="array" ref="EE16">_xll.EQNXTDZ($A$1,$B16,EE$1)</f>
        <v>4028.95</v>
      </c>
      <c r="EF16" s="116" cm="1">
        <f t="array" ref="EF16">_xll.EQNXTDZ($A$1,$B16,EF$1)</f>
        <v>4658.45</v>
      </c>
      <c r="EG16" s="116" cm="1">
        <f t="array" ref="EG16">_xll.EQNXTDZ($A$1,$B16,EG$1)</f>
        <v>4977.55</v>
      </c>
      <c r="EH16" s="116" cm="1">
        <f t="array" ref="EH16">_xll.EQNXTDZ($A$1,$B16,EH$1)</f>
        <v>4621.95</v>
      </c>
      <c r="EI16" s="116" cm="1">
        <f t="array" ref="EI16">_xll.EQNXTDZ($A$1,$B16,EI$1)</f>
        <v>4872.75</v>
      </c>
      <c r="EJ16" s="116" cm="1">
        <f t="array" ref="EJ16">_xll.EQNXTDZ($A$1,$B16,EJ$1)</f>
        <v>5050.8999999999996</v>
      </c>
      <c r="EK16" s="116" cm="1">
        <f t="array" ref="EK16">_xll.EQNXTDZ($A$1,$B16,EK$1)</f>
        <v>5398.4</v>
      </c>
      <c r="EL16" s="116" cm="1">
        <f t="array" ref="EL16">_xll.EQNXTDZ($A$1,$B16,EL$1)</f>
        <v>4374.55</v>
      </c>
      <c r="EM16" s="116" cm="1">
        <f t="array" ref="EM16">_xll.EQNXTDZ($A$1,$B16,EM$1)</f>
        <v>4205.1000000000004</v>
      </c>
      <c r="EN16" s="116" cm="1">
        <f t="array" ref="EN16">_xll.EQNXTDZ($A$1,$B16,EN$1)</f>
        <v>4321.75</v>
      </c>
      <c r="EO16" s="116" cm="1">
        <f t="array" ref="EO16">_xll.EQNXTDZ($A$1,$B16,EO$1)</f>
        <v>4422.3500000000004</v>
      </c>
      <c r="EP16" s="116" cm="1">
        <f t="array" ref="EP16">_xll.EQNXTDZ($A$1,$B16,EP$1)</f>
        <v>4236.8999999999996</v>
      </c>
      <c r="EQ16" s="116" cm="1">
        <f t="array" ref="EQ16">_xll.EQNXTDZ($A$1,$B16,EQ$1)</f>
        <v>5542.65</v>
      </c>
      <c r="ER16" s="116" cm="1">
        <f t="array" ref="ER16">_xll.EQNXTDZ($A$1,$B16,ER$1)</f>
        <v>5635</v>
      </c>
      <c r="ES16" s="116" cm="1">
        <f t="array" ref="ES16">_xll.EQNXTDZ($A$1,$B16,ES$1)</f>
        <v>6037.65</v>
      </c>
      <c r="ET16" s="116" cm="1">
        <f t="array" ref="ET16">_xll.EQNXTDZ($A$1,$B16,ET$1)</f>
        <v>6471</v>
      </c>
      <c r="EU16" s="116" cm="1">
        <f t="array" ref="EU16">_xll.EQNXTDZ($A$1,$B16,EU$1)</f>
        <v>5101.7</v>
      </c>
      <c r="EV16" s="116" cm="1">
        <f t="array" ref="EV16">_xll.EQNXTDZ($A$1,$B16,EV$1)</f>
        <v>5090.55</v>
      </c>
      <c r="EW16" s="116" cm="1">
        <f t="array" ref="EW16">_xll.EQNXTDZ($A$1,$B16,EW$1)</f>
        <v>5376.15</v>
      </c>
      <c r="EX16" s="116" cm="1">
        <f t="array" ref="EX16">_xll.EQNXTDZ($A$1,$B16,EX$1)</f>
        <v>4183.55</v>
      </c>
      <c r="EY16" s="116" cm="1">
        <f t="array" ref="EY16">_xll.EQNXTDZ($A$1,$B16,EY$1)</f>
        <v>4471.6499999999996</v>
      </c>
      <c r="EZ16" s="116" cm="1">
        <f t="array" ref="EZ16">_xll.EQNXTDZ($A$1,$B16,EZ$1)</f>
        <v>4859.5</v>
      </c>
      <c r="FA16" s="116" cm="1">
        <f t="array" ref="FA16">_xll.EQNXTDZ($A$1,$B16,FA$1)</f>
        <v>4608.3500000000004</v>
      </c>
      <c r="FB16" s="116" cm="1">
        <f t="array" ref="FB16">_xll.EQNXTDZ($A$1,$B16,FB$1)</f>
        <v>5607</v>
      </c>
      <c r="FC16" s="116" cm="1">
        <f t="array" ref="FC16">_xll.EQNXTDZ($A$1,$B16,FC$1)</f>
        <v>5559.5</v>
      </c>
      <c r="FD16" s="116" cm="1">
        <f t="array" ref="FD16">_xll.EQNXTDZ($A$1,$B16,FD$1)</f>
        <v>6709.35</v>
      </c>
      <c r="FE16" s="116" cm="1">
        <f t="array" ref="FE16">_xll.EQNXTDZ($A$1,$B16,FE$1)</f>
        <v>6891.6</v>
      </c>
      <c r="FF16" s="116" cm="1">
        <f t="array" ref="FF16">_xll.EQNXTDZ($A$1,$B16,FF$1)</f>
        <v>6785</v>
      </c>
      <c r="FG16" s="116" cm="1">
        <f t="array" ref="FG16">_xll.EQNXTDZ($A$1,$B16,FG$1)</f>
        <v>6665.85</v>
      </c>
      <c r="FH16" s="116" cm="1">
        <f t="array" ref="FH16">_xll.EQNXTDZ($A$1,$B16,FH$1)</f>
        <v>7029</v>
      </c>
      <c r="FI16" s="116" cm="1">
        <f t="array" ref="FI16">_xll.EQNXTDZ($A$1,$B16,FI$1)</f>
        <v>7655.35</v>
      </c>
      <c r="FJ16" s="116" cm="1">
        <f t="array" ref="FJ16">_xll.EQNXTDZ($A$1,$B16,FJ$1)</f>
        <v>7312.7</v>
      </c>
      <c r="FK16" s="116" cm="1">
        <f t="array" ref="FK16">_xll.EQNXTDZ($A$1,$B16,FK$1)</f>
        <v>7525.4</v>
      </c>
      <c r="FL16" s="116" cm="1">
        <f t="array" ref="FL16">_xll.EQNXTDZ($A$1,$B16,FL$1)</f>
        <v>6989.15</v>
      </c>
      <c r="FM16" s="116" cm="1">
        <f t="array" ref="FM16">_xll.EQNXTDZ($A$1,$B16,FM$1)</f>
        <v>7690.3</v>
      </c>
      <c r="FN16" s="116" cm="1">
        <f t="array" ref="FN16">_xll.EQNXTDZ($A$1,$B16,FN$1)</f>
        <v>9084.0499999999993</v>
      </c>
      <c r="FO16" s="116" cm="1">
        <f t="array" ref="FO16">_xll.EQNXTDZ($A$1,$B16,FO$1)</f>
        <v>9324.25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1417.85</v>
      </c>
      <c r="IY16" s="116">
        <f>+DG16</f>
        <v>1777.75</v>
      </c>
      <c r="IZ16" s="116">
        <f>+DJ16</f>
        <v>2109.6</v>
      </c>
      <c r="JA16" s="116">
        <f>+DM16</f>
        <v>2265.9499999999998</v>
      </c>
      <c r="JB16" s="116">
        <f>+DP16</f>
        <v>2356.1999999999998</v>
      </c>
      <c r="JC16" s="116">
        <f>+DS16</f>
        <v>2268.6999999999998</v>
      </c>
      <c r="JD16" s="116">
        <f>+DV16</f>
        <v>2755.25</v>
      </c>
      <c r="JE16" s="116">
        <f>+DY16</f>
        <v>3506.85</v>
      </c>
      <c r="JF16" s="116">
        <f>+EB16</f>
        <v>3246.25</v>
      </c>
      <c r="JG16" s="116">
        <f>+EE16</f>
        <v>4028.95</v>
      </c>
      <c r="JH16" s="116">
        <f>+EH16</f>
        <v>4621.95</v>
      </c>
      <c r="JI16" s="116">
        <f>+EK16</f>
        <v>5398.4</v>
      </c>
      <c r="JJ16" s="116">
        <f>+EN16</f>
        <v>4321.75</v>
      </c>
      <c r="JK16" s="116">
        <f>EQ16</f>
        <v>5542.65</v>
      </c>
      <c r="JL16" s="116">
        <f>ET16</f>
        <v>6471</v>
      </c>
      <c r="JM16" s="116">
        <f>EW16</f>
        <v>5376.15</v>
      </c>
      <c r="JN16" s="116">
        <f>EZ16</f>
        <v>4859.5</v>
      </c>
      <c r="JO16" s="116">
        <f>FC16</f>
        <v>5559.5</v>
      </c>
      <c r="JP16" s="116">
        <f>FF16</f>
        <v>6785</v>
      </c>
      <c r="JQ16" s="116">
        <f>FI16</f>
        <v>7655.35</v>
      </c>
      <c r="JR16" s="116">
        <f>FL16</f>
        <v>6989.15</v>
      </c>
      <c r="JS16" s="116">
        <f>FO16</f>
        <v>9324.25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1530</v>
      </c>
      <c r="IY19" s="116">
        <f t="shared" si="1"/>
        <v>1852.4</v>
      </c>
      <c r="IZ19" s="116">
        <f t="shared" si="1"/>
        <v>2242.35</v>
      </c>
      <c r="JA19" s="116">
        <f t="shared" si="1"/>
        <v>2772.8</v>
      </c>
      <c r="JB19" s="116">
        <f t="shared" si="1"/>
        <v>2446.1999999999998</v>
      </c>
      <c r="JC19" s="116">
        <f t="shared" si="1"/>
        <v>2495.9499999999998</v>
      </c>
      <c r="JD19" s="116">
        <f t="shared" si="1"/>
        <v>3005.1</v>
      </c>
      <c r="JE19" s="116">
        <f t="shared" si="1"/>
        <v>3709.95</v>
      </c>
      <c r="JF19" s="116">
        <f t="shared" si="1"/>
        <v>3701.5</v>
      </c>
      <c r="JG19" s="116">
        <f t="shared" si="1"/>
        <v>4139.1000000000004</v>
      </c>
      <c r="JH19" s="116">
        <f t="shared" si="1"/>
        <v>5045</v>
      </c>
      <c r="JI19" s="116">
        <f t="shared" si="1"/>
        <v>5510</v>
      </c>
      <c r="JJ19" s="116">
        <f t="shared" ref="JJ19:JJ21" si="2">+IF(JJ14=0,JJ7,JJ14)</f>
        <v>5438.3</v>
      </c>
      <c r="JK19" s="116">
        <f t="shared" ref="JK19" si="3">+IF(JK14=0,JK7,JK14)</f>
        <v>5685.8</v>
      </c>
      <c r="JL19" s="116">
        <f t="shared" ref="JL19:JM19" si="4">+IF(JL14=0,JL7,JL14)</f>
        <v>7107.15</v>
      </c>
      <c r="JM19" s="116">
        <f t="shared" si="4"/>
        <v>6649.95</v>
      </c>
      <c r="JN19" s="116">
        <f t="shared" ref="JN19:JO19" si="5">+IF(JN14=0,JN7,JN14)</f>
        <v>5495</v>
      </c>
      <c r="JO19" s="116">
        <f t="shared" si="5"/>
        <v>5838.1</v>
      </c>
      <c r="JP19" s="116">
        <f t="shared" ref="JP19" si="6">+IF(JP14=0,JP7,JP14)</f>
        <v>7324.95</v>
      </c>
      <c r="JQ19" s="116">
        <f t="shared" ref="JQ19:KH19" si="7">+IF(JQ14=0,JQ7,JQ14)</f>
        <v>7829.3</v>
      </c>
      <c r="JR19" s="116">
        <f t="shared" si="7"/>
        <v>8198.9500000000007</v>
      </c>
      <c r="JS19" s="116">
        <f t="shared" si="7"/>
        <v>9750.0499999999993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1115</v>
      </c>
      <c r="IZ20" s="116">
        <f t="shared" si="1"/>
        <v>1756.95</v>
      </c>
      <c r="JA20" s="116">
        <f t="shared" si="1"/>
        <v>2051.9499999999998</v>
      </c>
      <c r="JB20" s="116">
        <f t="shared" si="1"/>
        <v>1845</v>
      </c>
      <c r="JC20" s="116">
        <f t="shared" si="1"/>
        <v>2024</v>
      </c>
      <c r="JD20" s="116">
        <f t="shared" si="1"/>
        <v>2258.0500000000002</v>
      </c>
      <c r="JE20" s="116">
        <f t="shared" si="1"/>
        <v>2717.35</v>
      </c>
      <c r="JF20" s="116">
        <f t="shared" si="1"/>
        <v>2699.4</v>
      </c>
      <c r="JG20" s="116">
        <f t="shared" si="1"/>
        <v>3001.05</v>
      </c>
      <c r="JH20" s="116">
        <f t="shared" si="1"/>
        <v>3918.45</v>
      </c>
      <c r="JI20" s="116">
        <f t="shared" si="1"/>
        <v>4210.55</v>
      </c>
      <c r="JJ20" s="116">
        <f t="shared" si="2"/>
        <v>3782.05</v>
      </c>
      <c r="JK20" s="116">
        <f t="shared" ref="JK20" si="9">+IF(JK15=0,JK8,JK15)</f>
        <v>4095</v>
      </c>
      <c r="JL20" s="116">
        <f t="shared" ref="JL20:JM20" si="10">+IF(JL15=0,JL8,JL15)</f>
        <v>4850.1000000000004</v>
      </c>
      <c r="JM20" s="116">
        <f t="shared" si="10"/>
        <v>4610.8999999999996</v>
      </c>
      <c r="JN20" s="116">
        <f t="shared" ref="JN20:JO20" si="11">+IF(JN15=0,JN8,JN15)</f>
        <v>3860.1</v>
      </c>
      <c r="JO20" s="116">
        <f t="shared" si="11"/>
        <v>3700</v>
      </c>
      <c r="JP20" s="116">
        <f t="shared" ref="JP20" si="12">+IF(JP15=0,JP8,JP15)</f>
        <v>5533.4</v>
      </c>
      <c r="JQ20" s="116">
        <f t="shared" ref="JQ20:KH20" si="13">+IF(JQ15=0,JQ8,JQ15)</f>
        <v>6318.1</v>
      </c>
      <c r="JR20" s="116">
        <f t="shared" si="13"/>
        <v>6251.65</v>
      </c>
      <c r="JS20" s="116">
        <f t="shared" si="13"/>
        <v>6666.35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1417.85</v>
      </c>
      <c r="IY21" s="116">
        <f t="shared" si="1"/>
        <v>1777.75</v>
      </c>
      <c r="IZ21" s="116">
        <f t="shared" si="1"/>
        <v>2109.6</v>
      </c>
      <c r="JA21" s="116">
        <f t="shared" si="1"/>
        <v>2265.9499999999998</v>
      </c>
      <c r="JB21" s="116">
        <f t="shared" si="1"/>
        <v>2356.1999999999998</v>
      </c>
      <c r="JC21" s="116">
        <f t="shared" si="1"/>
        <v>2268.6999999999998</v>
      </c>
      <c r="JD21" s="116">
        <f t="shared" si="1"/>
        <v>2755.25</v>
      </c>
      <c r="JE21" s="116">
        <f t="shared" si="1"/>
        <v>3506.85</v>
      </c>
      <c r="JF21" s="116">
        <f t="shared" si="1"/>
        <v>3246.25</v>
      </c>
      <c r="JG21" s="116">
        <f t="shared" si="1"/>
        <v>4028.95</v>
      </c>
      <c r="JH21" s="116">
        <f t="shared" si="1"/>
        <v>4621.95</v>
      </c>
      <c r="JI21" s="116">
        <f t="shared" si="1"/>
        <v>5398.4</v>
      </c>
      <c r="JJ21" s="116">
        <f t="shared" si="2"/>
        <v>4321.75</v>
      </c>
      <c r="JK21" s="116">
        <f t="shared" ref="JK21" si="14">+IF(JK16=0,JK9,JK16)</f>
        <v>5542.65</v>
      </c>
      <c r="JL21" s="116">
        <f t="shared" ref="JL21:JM21" si="15">+IF(JL16=0,JL9,JL16)</f>
        <v>6471</v>
      </c>
      <c r="JM21" s="116">
        <f t="shared" si="15"/>
        <v>5376.15</v>
      </c>
      <c r="JN21" s="116">
        <f t="shared" ref="JN21:JO21" si="16">+IF(JN16=0,JN9,JN16)</f>
        <v>4859.5</v>
      </c>
      <c r="JO21" s="116">
        <f t="shared" si="16"/>
        <v>5559.5</v>
      </c>
      <c r="JP21" s="116">
        <f t="shared" ref="JP21" si="17">+IF(JP16=0,JP9,JP16)</f>
        <v>6785</v>
      </c>
      <c r="JQ21" s="116">
        <f t="shared" ref="JQ21:KH21" si="18">+IF(JQ16=0,JQ9,JQ16)</f>
        <v>7655.35</v>
      </c>
      <c r="JR21" s="116">
        <f t="shared" si="18"/>
        <v>6989.15</v>
      </c>
      <c r="JS21" s="116">
        <f t="shared" si="18"/>
        <v>9324.25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215216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201412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574903</v>
      </c>
      <c r="G6" cm="1">
        <f t="array" ref="G6">_xll.EQNXTDZ($A$1,$B6,G$1)</f>
        <v>0</v>
      </c>
      <c r="H6" cm="1">
        <f t="array" ref="H6">_xll.EQNXTDZ($A$1,$B6,H$1)</f>
        <v>574903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574903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574903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574903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20121600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21128311</v>
      </c>
      <c r="AM6" cm="1">
        <f t="array" ref="AM6">_xll.EQNXTDZ($A$1,$B6,AM$1)</f>
        <v>21128311</v>
      </c>
      <c r="AN6" cm="1">
        <f t="array" ref="AN6">_xll.EQNXTDZ($A$1,$B6,AN$1)</f>
        <v>21128311</v>
      </c>
      <c r="AO6" cm="1">
        <f t="array" ref="AO6">_xll.EQNXTDZ($A$1,$B6,AO$1)</f>
        <v>21128311</v>
      </c>
      <c r="AP6" cm="1">
        <f t="array" ref="AP6">_xll.EQNXTDZ($A$1,$B6,AP$1)</f>
        <v>21128311</v>
      </c>
      <c r="AQ6" cm="1">
        <f t="array" ref="AQ6">_xll.EQNXTDZ($A$1,$B6,AQ$1)</f>
        <v>21128311</v>
      </c>
      <c r="AR6" cm="1">
        <f t="array" ref="AR6">_xll.EQNXTDZ($A$1,$B6,AR$1)</f>
        <v>21128311</v>
      </c>
      <c r="AS6" cm="1">
        <f t="array" ref="AS6">_xll.EQNXTDZ($A$1,$B6,AS$1)</f>
        <v>21128311</v>
      </c>
      <c r="AT6" cm="1">
        <f t="array" ref="AT6">_xll.EQNXTDZ($A$1,$B6,AT$1)</f>
        <v>21128311</v>
      </c>
      <c r="AU6" cm="1">
        <f t="array" ref="AU6">_xll.EQNXTDZ($A$1,$B6,AU$1)</f>
        <v>21128311</v>
      </c>
      <c r="AV6" cm="1">
        <f t="array" ref="AV6">_xll.EQNXTDZ($A$1,$B6,AV$1)</f>
        <v>21128311</v>
      </c>
      <c r="AW6" cm="1">
        <f t="array" ref="AW6">_xll.EQNXTDZ($A$1,$B6,AW$1)</f>
        <v>21128311</v>
      </c>
      <c r="AX6" cm="1">
        <f t="array" ref="AX6">_xll.EQNXTDZ($A$1,$B6,AX$1)</f>
        <v>21128311</v>
      </c>
      <c r="AY6" cm="1">
        <f t="array" ref="AY6">_xll.EQNXTDZ($A$1,$B6,AY$1)</f>
        <v>23855583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5.7490300000000001E-2</v>
      </c>
      <c r="G7" s="100">
        <f t="shared" si="0"/>
        <v>0</v>
      </c>
      <c r="H7" s="100">
        <f t="shared" si="0"/>
        <v>5.7490300000000001E-2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5.7490300000000001E-2</v>
      </c>
      <c r="N7" s="100">
        <f t="shared" si="0"/>
        <v>0</v>
      </c>
      <c r="O7" s="100">
        <f t="shared" si="0"/>
        <v>0</v>
      </c>
      <c r="P7" s="100">
        <f t="shared" si="0"/>
        <v>5.7490300000000001E-2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5.7490300000000001E-2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2.0121600000000002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2.1128311000000002</v>
      </c>
      <c r="AM7" s="100">
        <f t="shared" si="1"/>
        <v>2.1128311000000002</v>
      </c>
      <c r="AN7" s="100">
        <f t="shared" si="1"/>
        <v>2.1128311000000002</v>
      </c>
      <c r="AO7" s="100">
        <f t="shared" si="1"/>
        <v>2.1128311000000002</v>
      </c>
      <c r="AP7" s="100">
        <f t="shared" si="1"/>
        <v>2.1128311000000002</v>
      </c>
      <c r="AQ7" s="100">
        <f t="shared" si="1"/>
        <v>2.1128311000000002</v>
      </c>
      <c r="AR7" s="100">
        <f t="shared" si="1"/>
        <v>2.1128311000000002</v>
      </c>
      <c r="AS7" s="100">
        <f t="shared" si="1"/>
        <v>2.1128311000000002</v>
      </c>
      <c r="AT7" s="100">
        <f t="shared" ref="AT7:AX7" si="2">+AT6/10^7</f>
        <v>2.1128311000000002</v>
      </c>
      <c r="AU7" s="100">
        <f t="shared" si="2"/>
        <v>2.1128311000000002</v>
      </c>
      <c r="AV7" s="100">
        <f t="shared" si="2"/>
        <v>2.1128311000000002</v>
      </c>
      <c r="AW7" s="100">
        <f t="shared" si="2"/>
        <v>2.1128311000000002</v>
      </c>
      <c r="AX7" s="100">
        <f t="shared" si="2"/>
        <v>2.1128311000000002</v>
      </c>
      <c r="AY7" s="100">
        <f t="shared" ref="AY7" si="3">+AY6/10^7</f>
        <v>2.3855583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215216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44280</v>
      </c>
      <c r="B4" s="116">
        <v>1489</v>
      </c>
      <c r="C4" s="116">
        <v>1433</v>
      </c>
      <c r="D4" s="116">
        <v>1349.2</v>
      </c>
      <c r="E4" s="116">
        <v>1350</v>
      </c>
      <c r="F4" s="116">
        <v>1433</v>
      </c>
      <c r="G4">
        <v>174695</v>
      </c>
      <c r="H4" s="116"/>
      <c r="I4" s="116"/>
      <c r="L4" s="170">
        <v>44280</v>
      </c>
      <c r="M4" s="116">
        <v>1435.6</v>
      </c>
      <c r="N4" s="116">
        <v>1490</v>
      </c>
      <c r="O4" s="116">
        <v>1350</v>
      </c>
      <c r="P4" s="116">
        <v>1359</v>
      </c>
      <c r="Q4" s="116">
        <v>1435.6</v>
      </c>
      <c r="R4">
        <v>3479695</v>
      </c>
    </row>
    <row r="5" spans="1:18" x14ac:dyDescent="0.25">
      <c r="A5" s="170">
        <v>44281</v>
      </c>
      <c r="B5" s="116">
        <v>1530</v>
      </c>
      <c r="C5" s="116">
        <v>1492.6</v>
      </c>
      <c r="D5" s="116">
        <v>1427.9</v>
      </c>
      <c r="E5" s="116">
        <v>1440</v>
      </c>
      <c r="F5" s="116">
        <v>1492.6</v>
      </c>
      <c r="G5">
        <v>162791</v>
      </c>
      <c r="H5" s="116"/>
      <c r="I5" s="116"/>
      <c r="L5" s="170">
        <v>44281</v>
      </c>
      <c r="M5" s="116">
        <v>1494.5</v>
      </c>
      <c r="N5" s="116">
        <v>1530</v>
      </c>
      <c r="O5" s="116">
        <v>1428.3</v>
      </c>
      <c r="P5" s="116">
        <v>1430</v>
      </c>
      <c r="Q5" s="116">
        <v>1494.5</v>
      </c>
      <c r="R5">
        <v>1002138</v>
      </c>
    </row>
    <row r="6" spans="1:18" x14ac:dyDescent="0.25">
      <c r="A6" s="170">
        <v>44285</v>
      </c>
      <c r="B6" s="116">
        <v>1511</v>
      </c>
      <c r="C6" s="116">
        <v>1488.7</v>
      </c>
      <c r="D6" s="116">
        <v>1435</v>
      </c>
      <c r="E6" s="116">
        <v>1510</v>
      </c>
      <c r="F6" s="116">
        <v>1488.7</v>
      </c>
      <c r="G6">
        <v>20815</v>
      </c>
      <c r="H6" s="116"/>
      <c r="I6" s="116"/>
      <c r="L6" s="170">
        <v>44285</v>
      </c>
      <c r="M6" s="116">
        <v>1486.55</v>
      </c>
      <c r="N6" s="116">
        <v>1510</v>
      </c>
      <c r="O6" s="116">
        <v>1435.5</v>
      </c>
      <c r="P6" s="116">
        <v>1501</v>
      </c>
      <c r="Q6" s="116">
        <v>1486.55</v>
      </c>
      <c r="R6">
        <v>170145</v>
      </c>
    </row>
    <row r="7" spans="1:18" x14ac:dyDescent="0.25">
      <c r="A7" s="170">
        <v>44286</v>
      </c>
      <c r="B7" s="116">
        <v>1489.95</v>
      </c>
      <c r="C7" s="116">
        <v>1417.85</v>
      </c>
      <c r="D7" s="116">
        <v>1410.35</v>
      </c>
      <c r="E7" s="116">
        <v>1455</v>
      </c>
      <c r="F7" s="116">
        <v>1417.85</v>
      </c>
      <c r="G7">
        <v>19105</v>
      </c>
      <c r="H7" s="116"/>
      <c r="I7" s="116"/>
      <c r="L7" s="170">
        <v>44286</v>
      </c>
      <c r="M7" s="116">
        <v>1419.45</v>
      </c>
      <c r="N7" s="116">
        <v>1489.85</v>
      </c>
      <c r="O7" s="116">
        <v>1409.95</v>
      </c>
      <c r="P7" s="116">
        <v>1476.1</v>
      </c>
      <c r="Q7" s="116">
        <v>1419.45</v>
      </c>
      <c r="R7">
        <v>146087</v>
      </c>
    </row>
    <row r="8" spans="1:18" x14ac:dyDescent="0.25">
      <c r="A8" s="170">
        <v>44287</v>
      </c>
      <c r="B8" s="116">
        <v>1475.75</v>
      </c>
      <c r="C8" s="116">
        <v>1449.1</v>
      </c>
      <c r="D8" s="116">
        <v>1437.1</v>
      </c>
      <c r="E8" s="116">
        <v>1440</v>
      </c>
      <c r="F8" s="116">
        <v>1449.1</v>
      </c>
      <c r="G8">
        <v>8766</v>
      </c>
      <c r="H8" s="116"/>
      <c r="I8" s="116"/>
      <c r="L8" s="170">
        <v>44287</v>
      </c>
      <c r="M8" s="116">
        <v>1449.05</v>
      </c>
      <c r="N8" s="116">
        <v>1476</v>
      </c>
      <c r="O8" s="116">
        <v>1425.1</v>
      </c>
      <c r="P8" s="116">
        <v>1425.1</v>
      </c>
      <c r="Q8" s="116">
        <v>1449.05</v>
      </c>
      <c r="R8">
        <v>67232</v>
      </c>
    </row>
    <row r="9" spans="1:18" x14ac:dyDescent="0.25">
      <c r="A9" s="170">
        <v>44291</v>
      </c>
      <c r="B9" s="116">
        <v>1459</v>
      </c>
      <c r="C9" s="116">
        <v>1424.9</v>
      </c>
      <c r="D9" s="116">
        <v>1422</v>
      </c>
      <c r="E9" s="116">
        <v>1425</v>
      </c>
      <c r="F9" s="116">
        <v>1424.9</v>
      </c>
      <c r="G9">
        <v>8009</v>
      </c>
      <c r="H9" s="116"/>
      <c r="I9" s="116"/>
      <c r="L9" s="170">
        <v>44291</v>
      </c>
      <c r="M9" s="116">
        <v>1424.95</v>
      </c>
      <c r="N9" s="116">
        <v>1459.95</v>
      </c>
      <c r="O9" s="116">
        <v>1422</v>
      </c>
      <c r="P9" s="116">
        <v>1435</v>
      </c>
      <c r="Q9" s="116">
        <v>1424.95</v>
      </c>
      <c r="R9">
        <v>37221</v>
      </c>
    </row>
    <row r="10" spans="1:18" x14ac:dyDescent="0.25">
      <c r="A10" s="170">
        <v>44292</v>
      </c>
      <c r="B10" s="116">
        <v>1470</v>
      </c>
      <c r="C10" s="116">
        <v>1458.3</v>
      </c>
      <c r="D10" s="116">
        <v>1421.35</v>
      </c>
      <c r="E10" s="116">
        <v>1450</v>
      </c>
      <c r="F10" s="116">
        <v>1458.3</v>
      </c>
      <c r="G10">
        <v>7089</v>
      </c>
      <c r="H10" s="116"/>
      <c r="I10" s="116"/>
      <c r="L10" s="170">
        <v>44292</v>
      </c>
      <c r="M10" s="116">
        <v>1455.25</v>
      </c>
      <c r="N10" s="116">
        <v>1470</v>
      </c>
      <c r="O10" s="116">
        <v>1422.05</v>
      </c>
      <c r="P10" s="116">
        <v>1430</v>
      </c>
      <c r="Q10" s="116">
        <v>1455.25</v>
      </c>
      <c r="R10">
        <v>71043</v>
      </c>
    </row>
    <row r="11" spans="1:18" x14ac:dyDescent="0.25">
      <c r="A11" s="170">
        <v>44293</v>
      </c>
      <c r="B11" s="116">
        <v>1488</v>
      </c>
      <c r="C11" s="116">
        <v>1453.65</v>
      </c>
      <c r="D11" s="116">
        <v>1443.55</v>
      </c>
      <c r="E11" s="116">
        <v>1458.4</v>
      </c>
      <c r="F11" s="116">
        <v>1453.65</v>
      </c>
      <c r="G11">
        <v>8916</v>
      </c>
      <c r="H11" s="116"/>
      <c r="I11" s="116"/>
      <c r="L11" s="170">
        <v>44293</v>
      </c>
      <c r="M11" s="116">
        <v>1455.05</v>
      </c>
      <c r="N11" s="116">
        <v>1488.95</v>
      </c>
      <c r="O11" s="116">
        <v>1443.65</v>
      </c>
      <c r="P11" s="116">
        <v>1459</v>
      </c>
      <c r="Q11" s="116">
        <v>1455.05</v>
      </c>
      <c r="R11">
        <v>62183</v>
      </c>
    </row>
    <row r="12" spans="1:18" x14ac:dyDescent="0.25">
      <c r="A12" s="170">
        <v>44294</v>
      </c>
      <c r="B12" s="116">
        <v>1481</v>
      </c>
      <c r="C12" s="116">
        <v>1456.35</v>
      </c>
      <c r="D12" s="116">
        <v>1446</v>
      </c>
      <c r="E12" s="116">
        <v>1446</v>
      </c>
      <c r="F12" s="116">
        <v>1456.35</v>
      </c>
      <c r="G12">
        <v>5196</v>
      </c>
      <c r="H12" s="116"/>
      <c r="I12" s="116"/>
      <c r="L12" s="170">
        <v>44294</v>
      </c>
      <c r="M12" s="116">
        <v>1456.35</v>
      </c>
      <c r="N12" s="116">
        <v>1481.95</v>
      </c>
      <c r="O12" s="116">
        <v>1450</v>
      </c>
      <c r="P12" s="116">
        <v>1464</v>
      </c>
      <c r="Q12" s="116">
        <v>1456.35</v>
      </c>
      <c r="R12">
        <v>62787</v>
      </c>
    </row>
    <row r="13" spans="1:18" x14ac:dyDescent="0.25">
      <c r="A13" s="170">
        <v>44295</v>
      </c>
      <c r="B13" s="116">
        <v>1475</v>
      </c>
      <c r="C13" s="116">
        <v>1444.45</v>
      </c>
      <c r="D13" s="116">
        <v>1441</v>
      </c>
      <c r="E13" s="116">
        <v>1445.1</v>
      </c>
      <c r="F13" s="116">
        <v>1444.45</v>
      </c>
      <c r="G13">
        <v>3533</v>
      </c>
      <c r="H13" s="116"/>
      <c r="I13" s="116"/>
      <c r="L13" s="170">
        <v>44295</v>
      </c>
      <c r="M13" s="116">
        <v>1444.8</v>
      </c>
      <c r="N13" s="116">
        <v>1477</v>
      </c>
      <c r="O13" s="116">
        <v>1441.45</v>
      </c>
      <c r="P13" s="116">
        <v>1461</v>
      </c>
      <c r="Q13" s="116">
        <v>1444.8</v>
      </c>
      <c r="R13">
        <v>32379</v>
      </c>
    </row>
    <row r="14" spans="1:18" x14ac:dyDescent="0.25">
      <c r="A14" s="170">
        <v>44298</v>
      </c>
      <c r="B14" s="116">
        <v>1431</v>
      </c>
      <c r="C14" s="116">
        <v>1365.35</v>
      </c>
      <c r="D14" s="116">
        <v>1355</v>
      </c>
      <c r="E14" s="116">
        <v>1431</v>
      </c>
      <c r="F14" s="116">
        <v>1365.35</v>
      </c>
      <c r="G14">
        <v>5880</v>
      </c>
      <c r="H14" s="116"/>
      <c r="I14" s="116"/>
      <c r="L14" s="170">
        <v>44298</v>
      </c>
      <c r="M14" s="116">
        <v>1366</v>
      </c>
      <c r="N14" s="116">
        <v>1430</v>
      </c>
      <c r="O14" s="116">
        <v>1351.1</v>
      </c>
      <c r="P14" s="116">
        <v>1423</v>
      </c>
      <c r="Q14" s="116">
        <v>1366</v>
      </c>
      <c r="R14">
        <v>76484</v>
      </c>
    </row>
    <row r="15" spans="1:18" x14ac:dyDescent="0.25">
      <c r="A15" s="170">
        <v>44299</v>
      </c>
      <c r="B15" s="116">
        <v>1385.1</v>
      </c>
      <c r="C15" s="116">
        <v>1368.15</v>
      </c>
      <c r="D15" s="116">
        <v>1364.05</v>
      </c>
      <c r="E15" s="116">
        <v>1376.6</v>
      </c>
      <c r="F15" s="116">
        <v>1368.15</v>
      </c>
      <c r="G15">
        <v>1624</v>
      </c>
      <c r="H15" s="116"/>
      <c r="I15" s="116"/>
      <c r="L15" s="170">
        <v>44299</v>
      </c>
      <c r="M15" s="116">
        <v>1368.4</v>
      </c>
      <c r="N15" s="116">
        <v>1387.95</v>
      </c>
      <c r="O15" s="116">
        <v>1361.15</v>
      </c>
      <c r="P15" s="116">
        <v>1372</v>
      </c>
      <c r="Q15" s="116">
        <v>1368.4</v>
      </c>
      <c r="R15">
        <v>36743</v>
      </c>
    </row>
    <row r="16" spans="1:18" x14ac:dyDescent="0.25">
      <c r="A16" s="170">
        <v>44301</v>
      </c>
      <c r="B16" s="116">
        <v>1379</v>
      </c>
      <c r="C16" s="116">
        <v>1341.25</v>
      </c>
      <c r="D16" s="116">
        <v>1338.2</v>
      </c>
      <c r="E16" s="116">
        <v>1375</v>
      </c>
      <c r="F16" s="116">
        <v>1341.25</v>
      </c>
      <c r="G16">
        <v>2406</v>
      </c>
      <c r="H16" s="116"/>
      <c r="I16" s="116"/>
      <c r="L16" s="170">
        <v>44301</v>
      </c>
      <c r="M16" s="116">
        <v>1341.8</v>
      </c>
      <c r="N16" s="116">
        <v>1380.85</v>
      </c>
      <c r="O16" s="116">
        <v>1336.7</v>
      </c>
      <c r="P16" s="116">
        <v>1371.05</v>
      </c>
      <c r="Q16" s="116">
        <v>1341.8</v>
      </c>
      <c r="R16">
        <v>38327</v>
      </c>
    </row>
    <row r="17" spans="1:18" x14ac:dyDescent="0.25">
      <c r="A17" s="170">
        <v>44302</v>
      </c>
      <c r="B17" s="116">
        <v>1376.1</v>
      </c>
      <c r="C17" s="116">
        <v>1338.55</v>
      </c>
      <c r="D17" s="116">
        <v>1336</v>
      </c>
      <c r="E17" s="116">
        <v>1342</v>
      </c>
      <c r="F17" s="116">
        <v>1338.55</v>
      </c>
      <c r="G17">
        <v>2374</v>
      </c>
      <c r="H17" s="116"/>
      <c r="I17" s="116"/>
      <c r="L17" s="170">
        <v>44302</v>
      </c>
      <c r="M17" s="116">
        <v>1338.3</v>
      </c>
      <c r="N17" s="116">
        <v>1377</v>
      </c>
      <c r="O17" s="116">
        <v>1335</v>
      </c>
      <c r="P17" s="116">
        <v>1377</v>
      </c>
      <c r="Q17" s="116">
        <v>1338.3</v>
      </c>
      <c r="R17">
        <v>31669</v>
      </c>
    </row>
    <row r="18" spans="1:18" x14ac:dyDescent="0.25">
      <c r="A18" s="170">
        <v>44305</v>
      </c>
      <c r="B18" s="116">
        <v>1330</v>
      </c>
      <c r="C18" s="116">
        <v>1297.5</v>
      </c>
      <c r="D18" s="116">
        <v>1115</v>
      </c>
      <c r="E18" s="116">
        <v>1115</v>
      </c>
      <c r="F18" s="116">
        <v>1297.5</v>
      </c>
      <c r="G18">
        <v>7679</v>
      </c>
      <c r="H18" s="116"/>
      <c r="I18" s="116"/>
      <c r="L18" s="170">
        <v>44305</v>
      </c>
      <c r="M18" s="116">
        <v>1296.0999999999999</v>
      </c>
      <c r="N18" s="116">
        <v>1320</v>
      </c>
      <c r="O18" s="116">
        <v>1295</v>
      </c>
      <c r="P18" s="116">
        <v>1314</v>
      </c>
      <c r="Q18" s="116">
        <v>1296.0999999999999</v>
      </c>
      <c r="R18">
        <v>32114</v>
      </c>
    </row>
    <row r="19" spans="1:18" x14ac:dyDescent="0.25">
      <c r="A19" s="170">
        <v>44306</v>
      </c>
      <c r="B19" s="116">
        <v>1339.4</v>
      </c>
      <c r="C19" s="116">
        <v>1296.05</v>
      </c>
      <c r="D19" s="116">
        <v>1291.5</v>
      </c>
      <c r="E19" s="116">
        <v>1300</v>
      </c>
      <c r="F19" s="116">
        <v>1296.05</v>
      </c>
      <c r="G19">
        <v>5976</v>
      </c>
      <c r="H19" s="116"/>
      <c r="I19" s="116"/>
      <c r="L19" s="170">
        <v>44306</v>
      </c>
      <c r="M19" s="116">
        <v>1294.8499999999999</v>
      </c>
      <c r="N19" s="116">
        <v>1339.7</v>
      </c>
      <c r="O19" s="116">
        <v>1286</v>
      </c>
      <c r="P19" s="116">
        <v>1305.0999999999999</v>
      </c>
      <c r="Q19" s="116">
        <v>1294.8499999999999</v>
      </c>
      <c r="R19">
        <v>52698</v>
      </c>
    </row>
    <row r="20" spans="1:18" x14ac:dyDescent="0.25">
      <c r="A20" s="170">
        <v>44308</v>
      </c>
      <c r="B20" s="116">
        <v>1315</v>
      </c>
      <c r="C20" s="116">
        <v>1276.05</v>
      </c>
      <c r="D20" s="116">
        <v>1245.0999999999999</v>
      </c>
      <c r="E20" s="116">
        <v>1290</v>
      </c>
      <c r="F20" s="116">
        <v>1276.05</v>
      </c>
      <c r="G20">
        <v>7569</v>
      </c>
      <c r="H20" s="116"/>
      <c r="I20" s="116"/>
      <c r="L20" s="170">
        <v>44308</v>
      </c>
      <c r="M20" s="116">
        <v>1273.2</v>
      </c>
      <c r="N20" s="116">
        <v>1333</v>
      </c>
      <c r="O20" s="116">
        <v>1245</v>
      </c>
      <c r="P20" s="116">
        <v>1290</v>
      </c>
      <c r="Q20" s="116">
        <v>1273.2</v>
      </c>
      <c r="R20">
        <v>194559</v>
      </c>
    </row>
    <row r="21" spans="1:18" x14ac:dyDescent="0.25">
      <c r="A21" s="170">
        <v>44309</v>
      </c>
      <c r="B21" s="116">
        <v>1311</v>
      </c>
      <c r="C21" s="116">
        <v>1283.55</v>
      </c>
      <c r="D21" s="116">
        <v>1276.05</v>
      </c>
      <c r="E21" s="116">
        <v>1276.05</v>
      </c>
      <c r="F21" s="116">
        <v>1283.55</v>
      </c>
      <c r="G21">
        <v>3525</v>
      </c>
      <c r="H21" s="116"/>
      <c r="I21" s="116"/>
      <c r="L21" s="170">
        <v>44309</v>
      </c>
      <c r="M21" s="116">
        <v>1284.0999999999999</v>
      </c>
      <c r="N21" s="116">
        <v>1315</v>
      </c>
      <c r="O21" s="116">
        <v>1275</v>
      </c>
      <c r="P21" s="116">
        <v>1299</v>
      </c>
      <c r="Q21" s="116">
        <v>1284.0999999999999</v>
      </c>
      <c r="R21">
        <v>58253</v>
      </c>
    </row>
    <row r="22" spans="1:18" x14ac:dyDescent="0.25">
      <c r="A22" s="170">
        <v>44312</v>
      </c>
      <c r="B22" s="116">
        <v>1316</v>
      </c>
      <c r="C22" s="116">
        <v>1297.5999999999999</v>
      </c>
      <c r="D22" s="116">
        <v>1286.45</v>
      </c>
      <c r="E22" s="116">
        <v>1292</v>
      </c>
      <c r="F22" s="116">
        <v>1297.5999999999999</v>
      </c>
      <c r="G22">
        <v>4505</v>
      </c>
      <c r="H22" s="116"/>
      <c r="I22" s="116"/>
      <c r="L22" s="170">
        <v>44312</v>
      </c>
      <c r="M22" s="116">
        <v>1300.5</v>
      </c>
      <c r="N22" s="116">
        <v>1316</v>
      </c>
      <c r="O22" s="116">
        <v>1285</v>
      </c>
      <c r="P22" s="116">
        <v>1290</v>
      </c>
      <c r="Q22" s="116">
        <v>1300.5</v>
      </c>
      <c r="R22">
        <v>86599</v>
      </c>
    </row>
    <row r="23" spans="1:18" x14ac:dyDescent="0.25">
      <c r="A23" s="170">
        <v>44313</v>
      </c>
      <c r="B23" s="116">
        <v>1311.95</v>
      </c>
      <c r="C23" s="116">
        <v>1305.3</v>
      </c>
      <c r="D23" s="116">
        <v>1295</v>
      </c>
      <c r="E23" s="116">
        <v>1298.75</v>
      </c>
      <c r="F23" s="116">
        <v>1305.3</v>
      </c>
      <c r="G23">
        <v>4006</v>
      </c>
      <c r="H23" s="116"/>
      <c r="I23" s="116"/>
      <c r="L23" s="170">
        <v>44313</v>
      </c>
      <c r="M23" s="116">
        <v>1305</v>
      </c>
      <c r="N23" s="116">
        <v>1313.9</v>
      </c>
      <c r="O23" s="116">
        <v>1292.5</v>
      </c>
      <c r="P23" s="116">
        <v>1308.8</v>
      </c>
      <c r="Q23" s="116">
        <v>1305</v>
      </c>
      <c r="R23">
        <v>83136</v>
      </c>
    </row>
    <row r="24" spans="1:18" x14ac:dyDescent="0.25">
      <c r="A24" s="170">
        <v>44314</v>
      </c>
      <c r="B24" s="116">
        <v>1364</v>
      </c>
      <c r="C24" s="116">
        <v>1358.65</v>
      </c>
      <c r="D24" s="116">
        <v>1306.0999999999999</v>
      </c>
      <c r="E24" s="116">
        <v>1306.5</v>
      </c>
      <c r="F24" s="116">
        <v>1358.65</v>
      </c>
      <c r="G24">
        <v>7807</v>
      </c>
      <c r="H24" s="116"/>
      <c r="I24" s="116"/>
      <c r="L24" s="170">
        <v>44314</v>
      </c>
      <c r="M24" s="116">
        <v>1359.1</v>
      </c>
      <c r="N24" s="116">
        <v>1365</v>
      </c>
      <c r="O24" s="116">
        <v>1307</v>
      </c>
      <c r="P24" s="116">
        <v>1307</v>
      </c>
      <c r="Q24" s="116">
        <v>1359.1</v>
      </c>
      <c r="R24">
        <v>68163</v>
      </c>
    </row>
    <row r="25" spans="1:18" x14ac:dyDescent="0.25">
      <c r="A25" s="170">
        <v>44315</v>
      </c>
      <c r="B25" s="116">
        <v>1374.55</v>
      </c>
      <c r="C25" s="116">
        <v>1360.3</v>
      </c>
      <c r="D25" s="116">
        <v>1340</v>
      </c>
      <c r="E25" s="116">
        <v>1365</v>
      </c>
      <c r="F25" s="116">
        <v>1360.3</v>
      </c>
      <c r="G25">
        <v>2607</v>
      </c>
      <c r="H25" s="116"/>
      <c r="I25" s="116"/>
      <c r="L25" s="170">
        <v>44315</v>
      </c>
      <c r="M25" s="116">
        <v>1358.15</v>
      </c>
      <c r="N25" s="116">
        <v>1377.75</v>
      </c>
      <c r="O25" s="116">
        <v>1339.3</v>
      </c>
      <c r="P25" s="116">
        <v>1363.25</v>
      </c>
      <c r="Q25" s="116">
        <v>1358.15</v>
      </c>
      <c r="R25">
        <v>32211</v>
      </c>
    </row>
    <row r="26" spans="1:18" x14ac:dyDescent="0.25">
      <c r="A26" s="170">
        <v>44316</v>
      </c>
      <c r="B26" s="116">
        <v>1367.05</v>
      </c>
      <c r="C26" s="116">
        <v>1344.1</v>
      </c>
      <c r="D26" s="116">
        <v>1331.8</v>
      </c>
      <c r="E26" s="116">
        <v>1347.85</v>
      </c>
      <c r="F26" s="116">
        <v>1344.1</v>
      </c>
      <c r="G26">
        <v>2714</v>
      </c>
      <c r="H26" s="116"/>
      <c r="I26" s="116"/>
      <c r="L26" s="170">
        <v>44316</v>
      </c>
      <c r="M26" s="116">
        <v>1345.6</v>
      </c>
      <c r="N26" s="116">
        <v>1367.15</v>
      </c>
      <c r="O26" s="116">
        <v>1336.55</v>
      </c>
      <c r="P26" s="116">
        <v>1350</v>
      </c>
      <c r="Q26" s="116">
        <v>1345.6</v>
      </c>
      <c r="R26">
        <v>28684</v>
      </c>
    </row>
    <row r="27" spans="1:18" x14ac:dyDescent="0.25">
      <c r="A27" s="170">
        <v>44319</v>
      </c>
      <c r="B27" s="116">
        <v>1345.5</v>
      </c>
      <c r="C27" s="116">
        <v>1294.05</v>
      </c>
      <c r="D27" s="116">
        <v>1292</v>
      </c>
      <c r="E27" s="116">
        <v>1338.3</v>
      </c>
      <c r="F27" s="116">
        <v>1294.05</v>
      </c>
      <c r="G27">
        <v>15761</v>
      </c>
      <c r="H27" s="116"/>
      <c r="I27" s="116"/>
      <c r="L27" s="170">
        <v>44319</v>
      </c>
      <c r="M27" s="116">
        <v>1293.5999999999999</v>
      </c>
      <c r="N27" s="116">
        <v>1345.55</v>
      </c>
      <c r="O27" s="116">
        <v>1291.75</v>
      </c>
      <c r="P27" s="116">
        <v>1345.15</v>
      </c>
      <c r="Q27" s="116">
        <v>1293.5999999999999</v>
      </c>
      <c r="R27">
        <v>56238</v>
      </c>
    </row>
    <row r="28" spans="1:18" x14ac:dyDescent="0.25">
      <c r="A28" s="170">
        <v>44320</v>
      </c>
      <c r="B28" s="116">
        <v>1338</v>
      </c>
      <c r="C28" s="116">
        <v>1328.65</v>
      </c>
      <c r="D28" s="116">
        <v>1265</v>
      </c>
      <c r="E28" s="116">
        <v>1265</v>
      </c>
      <c r="F28" s="116">
        <v>1328.65</v>
      </c>
      <c r="G28">
        <v>3703</v>
      </c>
      <c r="H28" s="116"/>
      <c r="I28" s="116"/>
      <c r="L28" s="170">
        <v>44320</v>
      </c>
      <c r="M28" s="116">
        <v>1331.15</v>
      </c>
      <c r="N28" s="116">
        <v>1340</v>
      </c>
      <c r="O28" s="116">
        <v>1296.0999999999999</v>
      </c>
      <c r="P28" s="116">
        <v>1307</v>
      </c>
      <c r="Q28" s="116">
        <v>1331.15</v>
      </c>
      <c r="R28">
        <v>44843</v>
      </c>
    </row>
    <row r="29" spans="1:18" x14ac:dyDescent="0.25">
      <c r="A29" s="170">
        <v>44321</v>
      </c>
      <c r="B29" s="116">
        <v>1398</v>
      </c>
      <c r="C29" s="116">
        <v>1369.3</v>
      </c>
      <c r="D29" s="116">
        <v>1305</v>
      </c>
      <c r="E29" s="116">
        <v>1338</v>
      </c>
      <c r="F29" s="116">
        <v>1369.3</v>
      </c>
      <c r="G29">
        <v>20875</v>
      </c>
      <c r="H29" s="116"/>
      <c r="I29" s="116"/>
      <c r="L29" s="170">
        <v>44321</v>
      </c>
      <c r="M29" s="116">
        <v>1378.2</v>
      </c>
      <c r="N29" s="116">
        <v>1400</v>
      </c>
      <c r="O29" s="116">
        <v>1299</v>
      </c>
      <c r="P29" s="116">
        <v>1335</v>
      </c>
      <c r="Q29" s="116">
        <v>1378.2</v>
      </c>
      <c r="R29">
        <v>72070</v>
      </c>
    </row>
    <row r="30" spans="1:18" x14ac:dyDescent="0.25">
      <c r="A30" s="170">
        <v>44322</v>
      </c>
      <c r="B30" s="116">
        <v>1430</v>
      </c>
      <c r="C30" s="116">
        <v>1403.75</v>
      </c>
      <c r="D30" s="116">
        <v>1368</v>
      </c>
      <c r="E30" s="116">
        <v>1430</v>
      </c>
      <c r="F30" s="116">
        <v>1403.75</v>
      </c>
      <c r="G30">
        <v>15885</v>
      </c>
      <c r="H30" s="116"/>
      <c r="I30" s="116"/>
      <c r="L30" s="170">
        <v>44322</v>
      </c>
      <c r="M30" s="116">
        <v>1406.2</v>
      </c>
      <c r="N30" s="116">
        <v>1429</v>
      </c>
      <c r="O30" s="116">
        <v>1366.15</v>
      </c>
      <c r="P30" s="116">
        <v>1425</v>
      </c>
      <c r="Q30" s="116">
        <v>1406.2</v>
      </c>
      <c r="R30">
        <v>106027</v>
      </c>
    </row>
    <row r="31" spans="1:18" x14ac:dyDescent="0.25">
      <c r="A31" s="170">
        <v>44323</v>
      </c>
      <c r="B31" s="116">
        <v>1495.95</v>
      </c>
      <c r="C31" s="116">
        <v>1485.65</v>
      </c>
      <c r="D31" s="116">
        <v>1395</v>
      </c>
      <c r="E31" s="116">
        <v>1395</v>
      </c>
      <c r="F31" s="116">
        <v>1485.65</v>
      </c>
      <c r="G31">
        <v>23983</v>
      </c>
      <c r="H31" s="116"/>
      <c r="I31" s="116"/>
      <c r="L31" s="170">
        <v>44323</v>
      </c>
      <c r="M31" s="116">
        <v>1485.7</v>
      </c>
      <c r="N31" s="116">
        <v>1499</v>
      </c>
      <c r="O31" s="116">
        <v>1406</v>
      </c>
      <c r="P31" s="116">
        <v>1420.8</v>
      </c>
      <c r="Q31" s="116">
        <v>1485.7</v>
      </c>
      <c r="R31">
        <v>200337</v>
      </c>
    </row>
    <row r="32" spans="1:18" x14ac:dyDescent="0.25">
      <c r="A32" s="170">
        <v>44326</v>
      </c>
      <c r="B32" s="116">
        <v>1548.7</v>
      </c>
      <c r="C32" s="116">
        <v>1534.15</v>
      </c>
      <c r="D32" s="116">
        <v>1492.6</v>
      </c>
      <c r="E32" s="116">
        <v>1500</v>
      </c>
      <c r="F32" s="116">
        <v>1534.15</v>
      </c>
      <c r="G32">
        <v>19694</v>
      </c>
      <c r="H32" s="116"/>
      <c r="I32" s="116"/>
      <c r="L32" s="170">
        <v>44326</v>
      </c>
      <c r="M32" s="116">
        <v>1535.5</v>
      </c>
      <c r="N32" s="116">
        <v>1550</v>
      </c>
      <c r="O32" s="116">
        <v>1491.55</v>
      </c>
      <c r="P32" s="116">
        <v>1517</v>
      </c>
      <c r="Q32" s="116">
        <v>1535.5</v>
      </c>
      <c r="R32">
        <v>334749</v>
      </c>
    </row>
    <row r="33" spans="1:18" x14ac:dyDescent="0.25">
      <c r="A33" s="170">
        <v>44327</v>
      </c>
      <c r="B33" s="116">
        <v>1535</v>
      </c>
      <c r="C33" s="116">
        <v>1496.3</v>
      </c>
      <c r="D33" s="116">
        <v>1477.95</v>
      </c>
      <c r="E33" s="116">
        <v>1527.5</v>
      </c>
      <c r="F33" s="116">
        <v>1496.3</v>
      </c>
      <c r="G33">
        <v>4107</v>
      </c>
      <c r="H33" s="116"/>
      <c r="I33" s="116"/>
      <c r="L33" s="170">
        <v>44327</v>
      </c>
      <c r="M33" s="116">
        <v>1499.6</v>
      </c>
      <c r="N33" s="116">
        <v>1535</v>
      </c>
      <c r="O33" s="116">
        <v>1492.35</v>
      </c>
      <c r="P33" s="116">
        <v>1519</v>
      </c>
      <c r="Q33" s="116">
        <v>1499.6</v>
      </c>
      <c r="R33">
        <v>151515</v>
      </c>
    </row>
    <row r="34" spans="1:18" x14ac:dyDescent="0.25">
      <c r="A34" s="170">
        <v>44328</v>
      </c>
      <c r="B34" s="116">
        <v>1572.3</v>
      </c>
      <c r="C34" s="116">
        <v>1524.95</v>
      </c>
      <c r="D34" s="116">
        <v>1494.95</v>
      </c>
      <c r="E34" s="116">
        <v>1500</v>
      </c>
      <c r="F34" s="116">
        <v>1524.95</v>
      </c>
      <c r="G34">
        <v>7467</v>
      </c>
      <c r="H34" s="116"/>
      <c r="I34" s="116"/>
      <c r="L34" s="170">
        <v>44328</v>
      </c>
      <c r="M34" s="116">
        <v>1525.35</v>
      </c>
      <c r="N34" s="116">
        <v>1574</v>
      </c>
      <c r="O34" s="116">
        <v>1496.6</v>
      </c>
      <c r="P34" s="116">
        <v>1499</v>
      </c>
      <c r="Q34" s="116">
        <v>1525.35</v>
      </c>
      <c r="R34">
        <v>140050</v>
      </c>
    </row>
    <row r="35" spans="1:18" x14ac:dyDescent="0.25">
      <c r="A35" s="170">
        <v>44330</v>
      </c>
      <c r="B35" s="116">
        <v>1545</v>
      </c>
      <c r="C35" s="116">
        <v>1530.95</v>
      </c>
      <c r="D35" s="116">
        <v>1505</v>
      </c>
      <c r="E35" s="116">
        <v>1522</v>
      </c>
      <c r="F35" s="116">
        <v>1530.95</v>
      </c>
      <c r="G35">
        <v>4228</v>
      </c>
      <c r="H35" s="116"/>
      <c r="I35" s="116"/>
      <c r="L35" s="170">
        <v>44330</v>
      </c>
      <c r="M35" s="116">
        <v>1532.25</v>
      </c>
      <c r="N35" s="116">
        <v>1547</v>
      </c>
      <c r="O35" s="116">
        <v>1503</v>
      </c>
      <c r="P35" s="116">
        <v>1526.05</v>
      </c>
      <c r="Q35" s="116">
        <v>1532.25</v>
      </c>
      <c r="R35">
        <v>148091</v>
      </c>
    </row>
    <row r="36" spans="1:18" x14ac:dyDescent="0.25">
      <c r="A36" s="170">
        <v>44333</v>
      </c>
      <c r="B36" s="116">
        <v>1545</v>
      </c>
      <c r="C36" s="116">
        <v>1518.65</v>
      </c>
      <c r="D36" s="116">
        <v>1513</v>
      </c>
      <c r="E36" s="116">
        <v>1531</v>
      </c>
      <c r="F36" s="116">
        <v>1518.65</v>
      </c>
      <c r="G36">
        <v>12220</v>
      </c>
      <c r="H36" s="116"/>
      <c r="I36" s="116"/>
      <c r="L36" s="170">
        <v>44333</v>
      </c>
      <c r="M36" s="116">
        <v>1520.1</v>
      </c>
      <c r="N36" s="116">
        <v>1547.2</v>
      </c>
      <c r="O36" s="116">
        <v>1513</v>
      </c>
      <c r="P36" s="116">
        <v>1547</v>
      </c>
      <c r="Q36" s="116">
        <v>1520.1</v>
      </c>
      <c r="R36">
        <v>252416</v>
      </c>
    </row>
    <row r="37" spans="1:18" x14ac:dyDescent="0.25">
      <c r="A37" s="170">
        <v>44334</v>
      </c>
      <c r="B37" s="116">
        <v>1545</v>
      </c>
      <c r="C37" s="116">
        <v>1509.45</v>
      </c>
      <c r="D37" s="116">
        <v>1502.5</v>
      </c>
      <c r="E37" s="116">
        <v>1520.1</v>
      </c>
      <c r="F37" s="116">
        <v>1509.45</v>
      </c>
      <c r="G37">
        <v>5744</v>
      </c>
      <c r="H37" s="116"/>
      <c r="I37" s="116"/>
      <c r="L37" s="170">
        <v>44334</v>
      </c>
      <c r="M37" s="116">
        <v>1510.5</v>
      </c>
      <c r="N37" s="116">
        <v>1550</v>
      </c>
      <c r="O37" s="116">
        <v>1501.75</v>
      </c>
      <c r="P37" s="116">
        <v>1530</v>
      </c>
      <c r="Q37" s="116">
        <v>1510.5</v>
      </c>
      <c r="R37">
        <v>110954</v>
      </c>
    </row>
    <row r="38" spans="1:18" x14ac:dyDescent="0.25">
      <c r="A38" s="170">
        <v>44335</v>
      </c>
      <c r="B38" s="116">
        <v>1550</v>
      </c>
      <c r="C38" s="116">
        <v>1481.85</v>
      </c>
      <c r="D38" s="116">
        <v>1460</v>
      </c>
      <c r="E38" s="116">
        <v>1510</v>
      </c>
      <c r="F38" s="116">
        <v>1481.85</v>
      </c>
      <c r="G38">
        <v>10371</v>
      </c>
      <c r="H38" s="116"/>
      <c r="I38" s="116"/>
      <c r="L38" s="170">
        <v>44335</v>
      </c>
      <c r="M38" s="116">
        <v>1491.85</v>
      </c>
      <c r="N38" s="116">
        <v>1521.95</v>
      </c>
      <c r="O38" s="116">
        <v>1480.35</v>
      </c>
      <c r="P38" s="116">
        <v>1510.5</v>
      </c>
      <c r="Q38" s="116">
        <v>1491.85</v>
      </c>
      <c r="R38">
        <v>58784</v>
      </c>
    </row>
    <row r="39" spans="1:18" x14ac:dyDescent="0.25">
      <c r="A39" s="170">
        <v>44336</v>
      </c>
      <c r="B39" s="116">
        <v>1509</v>
      </c>
      <c r="C39" s="116">
        <v>1485</v>
      </c>
      <c r="D39" s="116">
        <v>1480</v>
      </c>
      <c r="E39" s="116">
        <v>1483.9</v>
      </c>
      <c r="F39" s="116">
        <v>1485</v>
      </c>
      <c r="G39">
        <v>10402</v>
      </c>
      <c r="H39" s="116"/>
      <c r="I39" s="116"/>
      <c r="L39" s="170">
        <v>44336</v>
      </c>
      <c r="M39" s="116">
        <v>1484.5</v>
      </c>
      <c r="N39" s="116">
        <v>1510</v>
      </c>
      <c r="O39" s="116">
        <v>1478.1</v>
      </c>
      <c r="P39" s="116">
        <v>1490</v>
      </c>
      <c r="Q39" s="116">
        <v>1484.5</v>
      </c>
      <c r="R39">
        <v>59743</v>
      </c>
    </row>
    <row r="40" spans="1:18" x14ac:dyDescent="0.25">
      <c r="A40" s="170">
        <v>44337</v>
      </c>
      <c r="B40" s="116">
        <v>1513.5</v>
      </c>
      <c r="C40" s="116">
        <v>1480.3</v>
      </c>
      <c r="D40" s="116">
        <v>1460.3</v>
      </c>
      <c r="E40" s="116">
        <v>1494.7</v>
      </c>
      <c r="F40" s="116">
        <v>1480.3</v>
      </c>
      <c r="G40">
        <v>11169</v>
      </c>
      <c r="H40" s="116"/>
      <c r="I40" s="116"/>
      <c r="L40" s="170">
        <v>44337</v>
      </c>
      <c r="M40" s="116">
        <v>1476.45</v>
      </c>
      <c r="N40" s="116">
        <v>1515</v>
      </c>
      <c r="O40" s="116">
        <v>1460</v>
      </c>
      <c r="P40" s="116">
        <v>1492</v>
      </c>
      <c r="Q40" s="116">
        <v>1476.45</v>
      </c>
      <c r="R40">
        <v>98710</v>
      </c>
    </row>
    <row r="41" spans="1:18" x14ac:dyDescent="0.25">
      <c r="A41" s="170">
        <v>44340</v>
      </c>
      <c r="B41" s="116">
        <v>1503.35</v>
      </c>
      <c r="C41" s="116">
        <v>1492.25</v>
      </c>
      <c r="D41" s="116">
        <v>1455</v>
      </c>
      <c r="E41" s="116">
        <v>1455</v>
      </c>
      <c r="F41" s="116">
        <v>1492.25</v>
      </c>
      <c r="G41">
        <v>8288</v>
      </c>
      <c r="H41" s="116"/>
      <c r="I41" s="116"/>
      <c r="L41" s="170">
        <v>44340</v>
      </c>
      <c r="M41" s="116">
        <v>1494.1</v>
      </c>
      <c r="N41" s="116">
        <v>1502.15</v>
      </c>
      <c r="O41" s="116">
        <v>1470.5</v>
      </c>
      <c r="P41" s="116">
        <v>1480</v>
      </c>
      <c r="Q41" s="116">
        <v>1494.1</v>
      </c>
      <c r="R41">
        <v>35914</v>
      </c>
    </row>
    <row r="42" spans="1:18" x14ac:dyDescent="0.25">
      <c r="A42" s="170">
        <v>44341</v>
      </c>
      <c r="B42" s="116">
        <v>1640.65</v>
      </c>
      <c r="C42" s="116">
        <v>1598.05</v>
      </c>
      <c r="D42" s="116">
        <v>1493</v>
      </c>
      <c r="E42" s="116">
        <v>1493</v>
      </c>
      <c r="F42" s="116">
        <v>1598.05</v>
      </c>
      <c r="G42">
        <v>137815</v>
      </c>
      <c r="H42" s="116"/>
      <c r="I42" s="116"/>
      <c r="L42" s="170">
        <v>44341</v>
      </c>
      <c r="M42" s="116">
        <v>1593</v>
      </c>
      <c r="N42" s="116">
        <v>1605.35</v>
      </c>
      <c r="O42" s="116">
        <v>1500</v>
      </c>
      <c r="P42" s="116">
        <v>1500</v>
      </c>
      <c r="Q42" s="116">
        <v>1593</v>
      </c>
      <c r="R42">
        <v>358890</v>
      </c>
    </row>
    <row r="43" spans="1:18" x14ac:dyDescent="0.25">
      <c r="A43" s="170">
        <v>44342</v>
      </c>
      <c r="B43" s="116">
        <v>1646.85</v>
      </c>
      <c r="C43" s="116">
        <v>1629.7</v>
      </c>
      <c r="D43" s="116">
        <v>1574</v>
      </c>
      <c r="E43" s="116">
        <v>1610</v>
      </c>
      <c r="F43" s="116">
        <v>1629.7</v>
      </c>
      <c r="G43">
        <v>35230</v>
      </c>
      <c r="H43" s="116"/>
      <c r="I43" s="116"/>
      <c r="L43" s="170">
        <v>44342</v>
      </c>
      <c r="M43" s="116">
        <v>1630.15</v>
      </c>
      <c r="N43" s="116">
        <v>1648</v>
      </c>
      <c r="O43" s="116">
        <v>1573.55</v>
      </c>
      <c r="P43" s="116">
        <v>1609</v>
      </c>
      <c r="Q43" s="116">
        <v>1630.15</v>
      </c>
      <c r="R43">
        <v>122685</v>
      </c>
    </row>
    <row r="44" spans="1:18" x14ac:dyDescent="0.25">
      <c r="A44" s="170">
        <v>44343</v>
      </c>
      <c r="B44" s="116">
        <v>1649.95</v>
      </c>
      <c r="C44" s="116">
        <v>1632.35</v>
      </c>
      <c r="D44" s="116">
        <v>1600</v>
      </c>
      <c r="E44" s="116">
        <v>1646</v>
      </c>
      <c r="F44" s="116">
        <v>1632.35</v>
      </c>
      <c r="G44">
        <v>9836</v>
      </c>
      <c r="H44" s="116"/>
      <c r="I44" s="116"/>
      <c r="L44" s="170">
        <v>44343</v>
      </c>
      <c r="M44" s="116">
        <v>1632.6</v>
      </c>
      <c r="N44" s="116">
        <v>1649.9</v>
      </c>
      <c r="O44" s="116">
        <v>1599</v>
      </c>
      <c r="P44" s="116">
        <v>1640</v>
      </c>
      <c r="Q44" s="116">
        <v>1632.6</v>
      </c>
      <c r="R44">
        <v>73263</v>
      </c>
    </row>
    <row r="45" spans="1:18" x14ac:dyDescent="0.25">
      <c r="A45" s="170">
        <v>44344</v>
      </c>
      <c r="B45" s="116">
        <v>1685</v>
      </c>
      <c r="C45" s="116">
        <v>1639.15</v>
      </c>
      <c r="D45" s="116">
        <v>1586.4</v>
      </c>
      <c r="E45" s="116">
        <v>1632.35</v>
      </c>
      <c r="F45" s="116">
        <v>1639.15</v>
      </c>
      <c r="G45">
        <v>14669</v>
      </c>
      <c r="H45" s="116"/>
      <c r="I45" s="116"/>
      <c r="L45" s="170">
        <v>44344</v>
      </c>
      <c r="M45" s="116">
        <v>1639.9</v>
      </c>
      <c r="N45" s="116">
        <v>1685</v>
      </c>
      <c r="O45" s="116">
        <v>1585</v>
      </c>
      <c r="P45" s="116">
        <v>1638</v>
      </c>
      <c r="Q45" s="116">
        <v>1639.9</v>
      </c>
      <c r="R45">
        <v>141693</v>
      </c>
    </row>
    <row r="46" spans="1:18" x14ac:dyDescent="0.25">
      <c r="A46" s="170">
        <v>44347</v>
      </c>
      <c r="B46" s="116">
        <v>1737.2</v>
      </c>
      <c r="C46" s="116">
        <v>1707.35</v>
      </c>
      <c r="D46" s="116">
        <v>1623.05</v>
      </c>
      <c r="E46" s="116">
        <v>1635</v>
      </c>
      <c r="F46" s="116">
        <v>1707.35</v>
      </c>
      <c r="G46">
        <v>18087</v>
      </c>
      <c r="H46" s="116"/>
      <c r="I46" s="116"/>
      <c r="L46" s="170">
        <v>44347</v>
      </c>
      <c r="M46" s="116">
        <v>1706.95</v>
      </c>
      <c r="N46" s="116">
        <v>1738</v>
      </c>
      <c r="O46" s="116">
        <v>1623.6</v>
      </c>
      <c r="P46" s="116">
        <v>1643</v>
      </c>
      <c r="Q46" s="116">
        <v>1706.95</v>
      </c>
      <c r="R46">
        <v>177334</v>
      </c>
    </row>
    <row r="47" spans="1:18" x14ac:dyDescent="0.25">
      <c r="A47" s="170">
        <v>44348</v>
      </c>
      <c r="B47" s="116">
        <v>1776.5</v>
      </c>
      <c r="C47" s="116">
        <v>1746.65</v>
      </c>
      <c r="D47" s="116">
        <v>1654.95</v>
      </c>
      <c r="E47" s="116">
        <v>1710</v>
      </c>
      <c r="F47" s="116">
        <v>1746.65</v>
      </c>
      <c r="G47">
        <v>51939</v>
      </c>
      <c r="H47" s="116"/>
      <c r="I47" s="116"/>
      <c r="L47" s="170">
        <v>44348</v>
      </c>
      <c r="M47" s="116">
        <v>1749.2</v>
      </c>
      <c r="N47" s="116">
        <v>1778</v>
      </c>
      <c r="O47" s="116">
        <v>1653.4</v>
      </c>
      <c r="P47" s="116">
        <v>1701</v>
      </c>
      <c r="Q47" s="116">
        <v>1749.2</v>
      </c>
      <c r="R47">
        <v>195257</v>
      </c>
    </row>
    <row r="48" spans="1:18" x14ac:dyDescent="0.25">
      <c r="A48" s="170">
        <v>44349</v>
      </c>
      <c r="B48" s="116">
        <v>1792.95</v>
      </c>
      <c r="C48" s="116">
        <v>1778.05</v>
      </c>
      <c r="D48" s="116">
        <v>1725.05</v>
      </c>
      <c r="E48" s="116">
        <v>1745.6</v>
      </c>
      <c r="F48" s="116">
        <v>1778.05</v>
      </c>
      <c r="G48">
        <v>22760</v>
      </c>
      <c r="H48" s="116"/>
      <c r="I48" s="116"/>
      <c r="L48" s="170">
        <v>44349</v>
      </c>
      <c r="M48" s="116">
        <v>1777.65</v>
      </c>
      <c r="N48" s="116">
        <v>1794</v>
      </c>
      <c r="O48" s="116">
        <v>1725</v>
      </c>
      <c r="P48" s="116">
        <v>1741.3</v>
      </c>
      <c r="Q48" s="116">
        <v>1777.65</v>
      </c>
      <c r="R48">
        <v>114030</v>
      </c>
    </row>
    <row r="49" spans="1:18" x14ac:dyDescent="0.25">
      <c r="A49" s="170">
        <v>44350</v>
      </c>
      <c r="B49" s="116">
        <v>1800</v>
      </c>
      <c r="C49" s="116">
        <v>1782.4</v>
      </c>
      <c r="D49" s="116">
        <v>1760.65</v>
      </c>
      <c r="E49" s="116">
        <v>1775</v>
      </c>
      <c r="F49" s="116">
        <v>1782.4</v>
      </c>
      <c r="G49">
        <v>21690</v>
      </c>
      <c r="H49" s="116"/>
      <c r="I49" s="116"/>
      <c r="L49" s="170">
        <v>44350</v>
      </c>
      <c r="M49" s="116">
        <v>1784.35</v>
      </c>
      <c r="N49" s="116">
        <v>1800</v>
      </c>
      <c r="O49" s="116">
        <v>1760</v>
      </c>
      <c r="P49" s="116">
        <v>1786</v>
      </c>
      <c r="Q49" s="116">
        <v>1784.35</v>
      </c>
      <c r="R49">
        <v>77069</v>
      </c>
    </row>
    <row r="50" spans="1:18" x14ac:dyDescent="0.25">
      <c r="A50" s="170">
        <v>44351</v>
      </c>
      <c r="B50" s="116">
        <v>1807.85</v>
      </c>
      <c r="C50" s="116">
        <v>1793.8</v>
      </c>
      <c r="D50" s="116">
        <v>1768.05</v>
      </c>
      <c r="E50" s="116">
        <v>1798.65</v>
      </c>
      <c r="F50" s="116">
        <v>1793.8</v>
      </c>
      <c r="G50">
        <v>12338</v>
      </c>
      <c r="H50" s="116"/>
      <c r="I50" s="116"/>
      <c r="L50" s="170">
        <v>44351</v>
      </c>
      <c r="M50" s="116">
        <v>1791.9</v>
      </c>
      <c r="N50" s="116">
        <v>1807.7</v>
      </c>
      <c r="O50" s="116">
        <v>1770</v>
      </c>
      <c r="P50" s="116">
        <v>1786</v>
      </c>
      <c r="Q50" s="116">
        <v>1791.9</v>
      </c>
      <c r="R50">
        <v>108480</v>
      </c>
    </row>
    <row r="51" spans="1:18" x14ac:dyDescent="0.25">
      <c r="A51" s="170">
        <v>44354</v>
      </c>
      <c r="B51" s="116">
        <v>1833</v>
      </c>
      <c r="C51" s="116">
        <v>1809.3</v>
      </c>
      <c r="D51" s="116">
        <v>1768.2</v>
      </c>
      <c r="E51" s="116">
        <v>1768.2</v>
      </c>
      <c r="F51" s="116">
        <v>1809.3</v>
      </c>
      <c r="G51">
        <v>23237</v>
      </c>
      <c r="H51" s="116"/>
      <c r="I51" s="116"/>
      <c r="L51" s="170">
        <v>44354</v>
      </c>
      <c r="M51" s="116">
        <v>1808.2</v>
      </c>
      <c r="N51" s="116">
        <v>1834.35</v>
      </c>
      <c r="O51" s="116">
        <v>1771.3</v>
      </c>
      <c r="P51" s="116">
        <v>1795</v>
      </c>
      <c r="Q51" s="116">
        <v>1808.2</v>
      </c>
      <c r="R51">
        <v>95360</v>
      </c>
    </row>
    <row r="52" spans="1:18" x14ac:dyDescent="0.25">
      <c r="A52" s="170">
        <v>44355</v>
      </c>
      <c r="B52" s="116">
        <v>1833.25</v>
      </c>
      <c r="C52" s="116">
        <v>1800.9</v>
      </c>
      <c r="D52" s="116">
        <v>1789.95</v>
      </c>
      <c r="E52" s="116">
        <v>1825</v>
      </c>
      <c r="F52" s="116">
        <v>1800.9</v>
      </c>
      <c r="G52">
        <v>17801</v>
      </c>
      <c r="H52" s="116"/>
      <c r="I52" s="116"/>
      <c r="L52" s="170">
        <v>44355</v>
      </c>
      <c r="M52" s="116">
        <v>1800.45</v>
      </c>
      <c r="N52" s="116">
        <v>1835</v>
      </c>
      <c r="O52" s="116">
        <v>1789</v>
      </c>
      <c r="P52" s="116">
        <v>1832</v>
      </c>
      <c r="Q52" s="116">
        <v>1800.45</v>
      </c>
      <c r="R52">
        <v>51294</v>
      </c>
    </row>
    <row r="53" spans="1:18" x14ac:dyDescent="0.25">
      <c r="A53" s="170">
        <v>44356</v>
      </c>
      <c r="B53" s="116">
        <v>1852.4</v>
      </c>
      <c r="C53" s="116">
        <v>1802.3</v>
      </c>
      <c r="D53" s="116">
        <v>1792</v>
      </c>
      <c r="E53" s="116">
        <v>1792</v>
      </c>
      <c r="F53" s="116">
        <v>1802.3</v>
      </c>
      <c r="G53">
        <v>25469</v>
      </c>
      <c r="H53" s="116"/>
      <c r="I53" s="116"/>
      <c r="L53" s="170">
        <v>44356</v>
      </c>
      <c r="M53" s="116">
        <v>1804.35</v>
      </c>
      <c r="N53" s="116">
        <v>1854.9</v>
      </c>
      <c r="O53" s="116">
        <v>1791</v>
      </c>
      <c r="P53" s="116">
        <v>1810</v>
      </c>
      <c r="Q53" s="116">
        <v>1804.35</v>
      </c>
      <c r="R53">
        <v>103394</v>
      </c>
    </row>
    <row r="54" spans="1:18" x14ac:dyDescent="0.25">
      <c r="A54" s="170">
        <v>44357</v>
      </c>
      <c r="B54" s="116">
        <v>1835</v>
      </c>
      <c r="C54" s="116">
        <v>1819.05</v>
      </c>
      <c r="D54" s="116">
        <v>1802.8</v>
      </c>
      <c r="E54" s="116">
        <v>1835</v>
      </c>
      <c r="F54" s="116">
        <v>1819.05</v>
      </c>
      <c r="G54">
        <v>5068</v>
      </c>
      <c r="H54" s="116"/>
      <c r="I54" s="116"/>
      <c r="L54" s="170">
        <v>44357</v>
      </c>
      <c r="M54" s="116">
        <v>1818.2</v>
      </c>
      <c r="N54" s="116">
        <v>1835</v>
      </c>
      <c r="O54" s="116">
        <v>1804.8</v>
      </c>
      <c r="P54" s="116">
        <v>1835</v>
      </c>
      <c r="Q54" s="116">
        <v>1818.2</v>
      </c>
      <c r="R54">
        <v>25675</v>
      </c>
    </row>
    <row r="55" spans="1:18" x14ac:dyDescent="0.25">
      <c r="A55" s="170">
        <v>44358</v>
      </c>
      <c r="B55" s="116">
        <v>1833.6</v>
      </c>
      <c r="C55" s="116">
        <v>1794.9</v>
      </c>
      <c r="D55" s="116">
        <v>1785.75</v>
      </c>
      <c r="E55" s="116">
        <v>1820.5</v>
      </c>
      <c r="F55" s="116">
        <v>1794.9</v>
      </c>
      <c r="G55">
        <v>13634</v>
      </c>
      <c r="H55" s="116"/>
      <c r="I55" s="116"/>
      <c r="L55" s="170">
        <v>44358</v>
      </c>
      <c r="M55" s="116">
        <v>1797.2</v>
      </c>
      <c r="N55" s="116">
        <v>1834.4</v>
      </c>
      <c r="O55" s="116">
        <v>1785</v>
      </c>
      <c r="P55" s="116">
        <v>1826.95</v>
      </c>
      <c r="Q55" s="116">
        <v>1797.2</v>
      </c>
      <c r="R55">
        <v>42589</v>
      </c>
    </row>
    <row r="56" spans="1:18" x14ac:dyDescent="0.25">
      <c r="A56" s="170">
        <v>44361</v>
      </c>
      <c r="B56" s="116">
        <v>1800</v>
      </c>
      <c r="C56" s="116">
        <v>1784.95</v>
      </c>
      <c r="D56" s="116">
        <v>1722.55</v>
      </c>
      <c r="E56" s="116">
        <v>1800</v>
      </c>
      <c r="F56" s="116">
        <v>1784.95</v>
      </c>
      <c r="G56">
        <v>6705</v>
      </c>
      <c r="H56" s="116"/>
      <c r="I56" s="116"/>
      <c r="L56" s="170">
        <v>44361</v>
      </c>
      <c r="M56" s="116">
        <v>1786.45</v>
      </c>
      <c r="N56" s="116">
        <v>1798</v>
      </c>
      <c r="O56" s="116">
        <v>1718.15</v>
      </c>
      <c r="P56" s="116">
        <v>1797</v>
      </c>
      <c r="Q56" s="116">
        <v>1786.45</v>
      </c>
      <c r="R56">
        <v>36421</v>
      </c>
    </row>
    <row r="57" spans="1:18" x14ac:dyDescent="0.25">
      <c r="A57" s="170">
        <v>44362</v>
      </c>
      <c r="B57" s="116">
        <v>1806.55</v>
      </c>
      <c r="C57" s="116">
        <v>1767.9</v>
      </c>
      <c r="D57" s="116">
        <v>1763</v>
      </c>
      <c r="E57" s="116">
        <v>1797</v>
      </c>
      <c r="F57" s="116">
        <v>1767.9</v>
      </c>
      <c r="G57">
        <v>3211</v>
      </c>
      <c r="H57" s="116"/>
      <c r="I57" s="116"/>
      <c r="L57" s="170">
        <v>44362</v>
      </c>
      <c r="M57" s="116">
        <v>1769.8</v>
      </c>
      <c r="N57" s="116">
        <v>1805.05</v>
      </c>
      <c r="O57" s="116">
        <v>1761</v>
      </c>
      <c r="P57" s="116">
        <v>1788</v>
      </c>
      <c r="Q57" s="116">
        <v>1769.8</v>
      </c>
      <c r="R57">
        <v>24666</v>
      </c>
    </row>
    <row r="58" spans="1:18" x14ac:dyDescent="0.25">
      <c r="A58" s="170">
        <v>44363</v>
      </c>
      <c r="B58" s="116">
        <v>1778.95</v>
      </c>
      <c r="C58" s="116">
        <v>1736.95</v>
      </c>
      <c r="D58" s="116">
        <v>1725</v>
      </c>
      <c r="E58" s="116">
        <v>1772.4</v>
      </c>
      <c r="F58" s="116">
        <v>1736.95</v>
      </c>
      <c r="G58">
        <v>2027</v>
      </c>
      <c r="H58" s="116"/>
      <c r="I58" s="116"/>
      <c r="L58" s="170">
        <v>44363</v>
      </c>
      <c r="M58" s="116">
        <v>1738.05</v>
      </c>
      <c r="N58" s="116">
        <v>1789.8</v>
      </c>
      <c r="O58" s="116">
        <v>1721</v>
      </c>
      <c r="P58" s="116">
        <v>1769.8</v>
      </c>
      <c r="Q58" s="116">
        <v>1738.05</v>
      </c>
      <c r="R58">
        <v>26931</v>
      </c>
    </row>
    <row r="59" spans="1:18" x14ac:dyDescent="0.25">
      <c r="A59" s="170">
        <v>44364</v>
      </c>
      <c r="B59" s="116">
        <v>1732.6</v>
      </c>
      <c r="C59" s="116">
        <v>1721.9</v>
      </c>
      <c r="D59" s="116">
        <v>1710</v>
      </c>
      <c r="E59" s="116">
        <v>1725</v>
      </c>
      <c r="F59" s="116">
        <v>1721.9</v>
      </c>
      <c r="G59">
        <v>1395</v>
      </c>
      <c r="H59" s="116"/>
      <c r="I59" s="116"/>
      <c r="L59" s="170">
        <v>44364</v>
      </c>
      <c r="M59" s="116">
        <v>1722.2</v>
      </c>
      <c r="N59" s="116">
        <v>1737.15</v>
      </c>
      <c r="O59" s="116">
        <v>1701</v>
      </c>
      <c r="P59" s="116">
        <v>1701</v>
      </c>
      <c r="Q59" s="116">
        <v>1722.2</v>
      </c>
      <c r="R59">
        <v>30921</v>
      </c>
    </row>
    <row r="60" spans="1:18" x14ac:dyDescent="0.25">
      <c r="A60" s="170">
        <v>44365</v>
      </c>
      <c r="B60" s="116">
        <v>1729.6</v>
      </c>
      <c r="C60" s="116">
        <v>1703.05</v>
      </c>
      <c r="D60" s="116">
        <v>1685</v>
      </c>
      <c r="E60" s="116">
        <v>1721</v>
      </c>
      <c r="F60" s="116">
        <v>1703.05</v>
      </c>
      <c r="G60">
        <v>3870</v>
      </c>
      <c r="H60" s="116"/>
      <c r="I60" s="116"/>
      <c r="L60" s="170">
        <v>44365</v>
      </c>
      <c r="M60" s="116">
        <v>1700.45</v>
      </c>
      <c r="N60" s="116">
        <v>1732.9</v>
      </c>
      <c r="O60" s="116">
        <v>1685</v>
      </c>
      <c r="P60" s="116">
        <v>1723</v>
      </c>
      <c r="Q60" s="116">
        <v>1700.45</v>
      </c>
      <c r="R60">
        <v>31823</v>
      </c>
    </row>
    <row r="61" spans="1:18" x14ac:dyDescent="0.25">
      <c r="A61" s="170">
        <v>44368</v>
      </c>
      <c r="B61" s="116">
        <v>1754.85</v>
      </c>
      <c r="C61" s="116">
        <v>1723.1</v>
      </c>
      <c r="D61" s="116">
        <v>1649.5</v>
      </c>
      <c r="E61" s="116">
        <v>1680</v>
      </c>
      <c r="F61" s="116">
        <v>1723.1</v>
      </c>
      <c r="G61">
        <v>4364</v>
      </c>
      <c r="H61" s="116"/>
      <c r="I61" s="116"/>
      <c r="L61" s="170">
        <v>44368</v>
      </c>
      <c r="M61" s="116">
        <v>1725.9</v>
      </c>
      <c r="N61" s="116">
        <v>1755</v>
      </c>
      <c r="O61" s="116">
        <v>1648.5</v>
      </c>
      <c r="P61" s="116">
        <v>1675</v>
      </c>
      <c r="Q61" s="116">
        <v>1725.9</v>
      </c>
      <c r="R61">
        <v>32329</v>
      </c>
    </row>
    <row r="62" spans="1:18" x14ac:dyDescent="0.25">
      <c r="A62" s="170">
        <v>44369</v>
      </c>
      <c r="B62" s="116">
        <v>1790</v>
      </c>
      <c r="C62" s="116">
        <v>1741.3</v>
      </c>
      <c r="D62" s="116">
        <v>1719.25</v>
      </c>
      <c r="E62" s="116">
        <v>1790</v>
      </c>
      <c r="F62" s="116">
        <v>1741.3</v>
      </c>
      <c r="G62">
        <v>1718</v>
      </c>
      <c r="H62" s="116"/>
      <c r="I62" s="116"/>
      <c r="L62" s="170">
        <v>44369</v>
      </c>
      <c r="M62" s="116">
        <v>1740.45</v>
      </c>
      <c r="N62" s="116">
        <v>1752.9</v>
      </c>
      <c r="O62" s="116">
        <v>1716.05</v>
      </c>
      <c r="P62" s="116">
        <v>1750</v>
      </c>
      <c r="Q62" s="116">
        <v>1740.45</v>
      </c>
      <c r="R62">
        <v>11448</v>
      </c>
    </row>
    <row r="63" spans="1:18" x14ac:dyDescent="0.25">
      <c r="A63" s="170">
        <v>44370</v>
      </c>
      <c r="B63" s="116">
        <v>1798</v>
      </c>
      <c r="C63" s="116">
        <v>1788.1</v>
      </c>
      <c r="D63" s="116">
        <v>1730</v>
      </c>
      <c r="E63" s="116">
        <v>1742.85</v>
      </c>
      <c r="F63" s="116">
        <v>1788.1</v>
      </c>
      <c r="G63">
        <v>14714</v>
      </c>
      <c r="H63" s="116"/>
      <c r="I63" s="116"/>
      <c r="L63" s="170">
        <v>44370</v>
      </c>
      <c r="M63" s="116">
        <v>1789.8</v>
      </c>
      <c r="N63" s="116">
        <v>1800</v>
      </c>
      <c r="O63" s="116">
        <v>1729.35</v>
      </c>
      <c r="P63" s="116">
        <v>1741</v>
      </c>
      <c r="Q63" s="116">
        <v>1789.8</v>
      </c>
      <c r="R63">
        <v>38530</v>
      </c>
    </row>
    <row r="64" spans="1:18" x14ac:dyDescent="0.25">
      <c r="A64" s="170">
        <v>44371</v>
      </c>
      <c r="B64" s="116">
        <v>1810</v>
      </c>
      <c r="C64" s="116">
        <v>1762.2</v>
      </c>
      <c r="D64" s="116">
        <v>1755</v>
      </c>
      <c r="E64" s="116">
        <v>1796</v>
      </c>
      <c r="F64" s="116">
        <v>1762.2</v>
      </c>
      <c r="G64">
        <v>7950</v>
      </c>
      <c r="H64" s="116"/>
      <c r="I64" s="116"/>
      <c r="L64" s="170">
        <v>44371</v>
      </c>
      <c r="M64" s="116">
        <v>1764.7</v>
      </c>
      <c r="N64" s="116">
        <v>1815</v>
      </c>
      <c r="O64" s="116">
        <v>1756.1</v>
      </c>
      <c r="P64" s="116">
        <v>1789.8</v>
      </c>
      <c r="Q64" s="116">
        <v>1764.7</v>
      </c>
      <c r="R64">
        <v>20436</v>
      </c>
    </row>
    <row r="65" spans="1:18" x14ac:dyDescent="0.25">
      <c r="A65" s="170">
        <v>44372</v>
      </c>
      <c r="B65" s="116">
        <v>1792</v>
      </c>
      <c r="C65" s="116">
        <v>1742.6</v>
      </c>
      <c r="D65" s="116">
        <v>1734.1</v>
      </c>
      <c r="E65" s="116">
        <v>1762.8</v>
      </c>
      <c r="F65" s="116">
        <v>1742.6</v>
      </c>
      <c r="G65">
        <v>12144</v>
      </c>
      <c r="H65" s="116"/>
      <c r="I65" s="116"/>
      <c r="L65" s="170">
        <v>44372</v>
      </c>
      <c r="M65" s="116">
        <v>1743</v>
      </c>
      <c r="N65" s="116">
        <v>1793.7</v>
      </c>
      <c r="O65" s="116">
        <v>1733</v>
      </c>
      <c r="P65" s="116">
        <v>1755</v>
      </c>
      <c r="Q65" s="116">
        <v>1743</v>
      </c>
      <c r="R65">
        <v>17519</v>
      </c>
    </row>
    <row r="66" spans="1:18" x14ac:dyDescent="0.25">
      <c r="A66" s="170">
        <v>44375</v>
      </c>
      <c r="B66" s="116">
        <v>1770</v>
      </c>
      <c r="C66" s="116">
        <v>1754.6</v>
      </c>
      <c r="D66" s="116">
        <v>1721.45</v>
      </c>
      <c r="E66" s="116">
        <v>1770</v>
      </c>
      <c r="F66" s="116">
        <v>1754.6</v>
      </c>
      <c r="G66">
        <v>9117</v>
      </c>
      <c r="H66" s="116"/>
      <c r="I66" s="116"/>
      <c r="L66" s="170">
        <v>44375</v>
      </c>
      <c r="M66" s="116">
        <v>1755</v>
      </c>
      <c r="N66" s="116">
        <v>1772.3</v>
      </c>
      <c r="O66" s="116">
        <v>1720.5</v>
      </c>
      <c r="P66" s="116">
        <v>1733</v>
      </c>
      <c r="Q66" s="116">
        <v>1755</v>
      </c>
      <c r="R66">
        <v>17786</v>
      </c>
    </row>
    <row r="67" spans="1:18" x14ac:dyDescent="0.25">
      <c r="A67" s="170">
        <v>44376</v>
      </c>
      <c r="B67" s="116">
        <v>1800</v>
      </c>
      <c r="C67" s="116">
        <v>1791.9</v>
      </c>
      <c r="D67" s="116">
        <v>1750.55</v>
      </c>
      <c r="E67" s="116">
        <v>1795.45</v>
      </c>
      <c r="F67" s="116">
        <v>1791.9</v>
      </c>
      <c r="G67">
        <v>8322</v>
      </c>
      <c r="H67" s="116"/>
      <c r="I67" s="116"/>
      <c r="L67" s="170">
        <v>44376</v>
      </c>
      <c r="M67" s="116">
        <v>1793.9</v>
      </c>
      <c r="N67" s="116">
        <v>1800</v>
      </c>
      <c r="O67" s="116">
        <v>1748.6</v>
      </c>
      <c r="P67" s="116">
        <v>1775</v>
      </c>
      <c r="Q67" s="116">
        <v>1793.9</v>
      </c>
      <c r="R67">
        <v>39508</v>
      </c>
    </row>
    <row r="68" spans="1:18" x14ac:dyDescent="0.25">
      <c r="A68" s="170">
        <v>44377</v>
      </c>
      <c r="B68" s="116">
        <v>1814</v>
      </c>
      <c r="C68" s="116">
        <v>1777.75</v>
      </c>
      <c r="D68" s="116">
        <v>1762</v>
      </c>
      <c r="E68" s="116">
        <v>1794.5</v>
      </c>
      <c r="F68" s="116">
        <v>1777.75</v>
      </c>
      <c r="G68">
        <v>6907</v>
      </c>
      <c r="H68" s="116"/>
      <c r="I68" s="116"/>
      <c r="L68" s="170">
        <v>44377</v>
      </c>
      <c r="M68" s="116">
        <v>1775.4</v>
      </c>
      <c r="N68" s="116">
        <v>1815.1</v>
      </c>
      <c r="O68" s="116">
        <v>1760.25</v>
      </c>
      <c r="P68" s="116">
        <v>1800</v>
      </c>
      <c r="Q68" s="116">
        <v>1775.4</v>
      </c>
      <c r="R68">
        <v>42826</v>
      </c>
    </row>
    <row r="69" spans="1:18" x14ac:dyDescent="0.25">
      <c r="A69" s="170">
        <v>44378</v>
      </c>
      <c r="B69" s="116">
        <v>1795</v>
      </c>
      <c r="C69" s="116">
        <v>1788.1</v>
      </c>
      <c r="D69" s="116">
        <v>1759.45</v>
      </c>
      <c r="E69" s="116">
        <v>1770</v>
      </c>
      <c r="F69" s="116">
        <v>1788.1</v>
      </c>
      <c r="G69">
        <v>5719</v>
      </c>
      <c r="H69" s="116"/>
      <c r="I69" s="116"/>
      <c r="L69" s="170">
        <v>44378</v>
      </c>
      <c r="M69" s="116">
        <v>1784.95</v>
      </c>
      <c r="N69" s="116">
        <v>1797.95</v>
      </c>
      <c r="O69" s="116">
        <v>1761.35</v>
      </c>
      <c r="P69" s="116">
        <v>1780</v>
      </c>
      <c r="Q69" s="116">
        <v>1784.95</v>
      </c>
      <c r="R69">
        <v>10393</v>
      </c>
    </row>
    <row r="70" spans="1:18" x14ac:dyDescent="0.25">
      <c r="A70" s="170">
        <v>44379</v>
      </c>
      <c r="B70" s="116">
        <v>1911.05</v>
      </c>
      <c r="C70" s="116">
        <v>1856.7</v>
      </c>
      <c r="D70" s="116">
        <v>1756.95</v>
      </c>
      <c r="E70" s="116">
        <v>1790</v>
      </c>
      <c r="F70" s="116">
        <v>1856.7</v>
      </c>
      <c r="G70">
        <v>22643</v>
      </c>
      <c r="H70" s="116"/>
      <c r="I70" s="116"/>
      <c r="L70" s="170">
        <v>44379</v>
      </c>
      <c r="M70" s="116">
        <v>1854</v>
      </c>
      <c r="N70" s="116">
        <v>1914</v>
      </c>
      <c r="O70" s="116">
        <v>1786.9</v>
      </c>
      <c r="P70" s="116">
        <v>1794</v>
      </c>
      <c r="Q70" s="116">
        <v>1854</v>
      </c>
      <c r="R70">
        <v>113903</v>
      </c>
    </row>
    <row r="71" spans="1:18" x14ac:dyDescent="0.25">
      <c r="A71" s="170">
        <v>44382</v>
      </c>
      <c r="B71" s="116">
        <v>2091.5500000000002</v>
      </c>
      <c r="C71" s="116">
        <v>2050.65</v>
      </c>
      <c r="D71" s="116">
        <v>1875</v>
      </c>
      <c r="E71" s="116">
        <v>1900</v>
      </c>
      <c r="F71" s="116">
        <v>2050.65</v>
      </c>
      <c r="G71">
        <v>38124</v>
      </c>
      <c r="H71" s="116"/>
      <c r="I71" s="116"/>
      <c r="L71" s="170">
        <v>44382</v>
      </c>
      <c r="M71" s="116">
        <v>2051.5</v>
      </c>
      <c r="N71" s="116">
        <v>2094</v>
      </c>
      <c r="O71" s="116">
        <v>1894.5</v>
      </c>
      <c r="P71" s="116">
        <v>1923</v>
      </c>
      <c r="Q71" s="116">
        <v>2051.5</v>
      </c>
      <c r="R71">
        <v>269344</v>
      </c>
    </row>
    <row r="72" spans="1:18" x14ac:dyDescent="0.25">
      <c r="A72" s="170">
        <v>44383</v>
      </c>
      <c r="B72" s="116">
        <v>2085.6</v>
      </c>
      <c r="C72" s="116">
        <v>1987.85</v>
      </c>
      <c r="D72" s="116">
        <v>1966.4</v>
      </c>
      <c r="E72" s="116">
        <v>2062</v>
      </c>
      <c r="F72" s="116">
        <v>1987.85</v>
      </c>
      <c r="G72">
        <v>16059</v>
      </c>
      <c r="H72" s="116"/>
      <c r="I72" s="116"/>
      <c r="L72" s="170">
        <v>44383</v>
      </c>
      <c r="M72" s="116">
        <v>1991.65</v>
      </c>
      <c r="N72" s="116">
        <v>2089</v>
      </c>
      <c r="O72" s="116">
        <v>1980</v>
      </c>
      <c r="P72" s="116">
        <v>2058.85</v>
      </c>
      <c r="Q72" s="116">
        <v>1991.65</v>
      </c>
      <c r="R72">
        <v>80696</v>
      </c>
    </row>
    <row r="73" spans="1:18" x14ac:dyDescent="0.25">
      <c r="A73" s="170">
        <v>44384</v>
      </c>
      <c r="B73" s="116">
        <v>2064.4</v>
      </c>
      <c r="C73" s="116">
        <v>1984.7</v>
      </c>
      <c r="D73" s="116">
        <v>1976.55</v>
      </c>
      <c r="E73" s="116">
        <v>2030</v>
      </c>
      <c r="F73" s="116">
        <v>1984.7</v>
      </c>
      <c r="G73">
        <v>5466</v>
      </c>
      <c r="H73" s="116"/>
      <c r="I73" s="116"/>
      <c r="L73" s="170">
        <v>44384</v>
      </c>
      <c r="M73" s="116">
        <v>1986.9</v>
      </c>
      <c r="N73" s="116">
        <v>2068.8000000000002</v>
      </c>
      <c r="O73" s="116">
        <v>1978</v>
      </c>
      <c r="P73" s="116">
        <v>2000</v>
      </c>
      <c r="Q73" s="116">
        <v>1986.9</v>
      </c>
      <c r="R73">
        <v>40613</v>
      </c>
    </row>
    <row r="74" spans="1:18" x14ac:dyDescent="0.25">
      <c r="A74" s="170">
        <v>44385</v>
      </c>
      <c r="B74" s="116">
        <v>2053.6</v>
      </c>
      <c r="C74" s="116">
        <v>2003.75</v>
      </c>
      <c r="D74" s="116">
        <v>1990</v>
      </c>
      <c r="E74" s="116">
        <v>1999.85</v>
      </c>
      <c r="F74" s="116">
        <v>2003.75</v>
      </c>
      <c r="G74">
        <v>3307</v>
      </c>
      <c r="H74" s="116"/>
      <c r="I74" s="116"/>
      <c r="L74" s="170">
        <v>44385</v>
      </c>
      <c r="M74" s="116">
        <v>2001.65</v>
      </c>
      <c r="N74" s="116">
        <v>2054</v>
      </c>
      <c r="O74" s="116">
        <v>1990</v>
      </c>
      <c r="P74" s="116">
        <v>2000</v>
      </c>
      <c r="Q74" s="116">
        <v>2001.65</v>
      </c>
      <c r="R74">
        <v>46734</v>
      </c>
    </row>
    <row r="75" spans="1:18" x14ac:dyDescent="0.25">
      <c r="A75" s="170">
        <v>44386</v>
      </c>
      <c r="B75" s="116">
        <v>2080</v>
      </c>
      <c r="C75" s="116">
        <v>2014.65</v>
      </c>
      <c r="D75" s="116">
        <v>1975</v>
      </c>
      <c r="E75" s="116">
        <v>1975</v>
      </c>
      <c r="F75" s="116">
        <v>2014.65</v>
      </c>
      <c r="G75">
        <v>12754</v>
      </c>
      <c r="H75" s="116"/>
      <c r="I75" s="116"/>
      <c r="L75" s="170">
        <v>44386</v>
      </c>
      <c r="M75" s="116">
        <v>2012.4</v>
      </c>
      <c r="N75" s="116">
        <v>2084.0500000000002</v>
      </c>
      <c r="O75" s="116">
        <v>2002</v>
      </c>
      <c r="P75" s="116">
        <v>2019</v>
      </c>
      <c r="Q75" s="116">
        <v>2012.4</v>
      </c>
      <c r="R75">
        <v>95340</v>
      </c>
    </row>
    <row r="76" spans="1:18" x14ac:dyDescent="0.25">
      <c r="A76" s="170">
        <v>44389</v>
      </c>
      <c r="B76" s="116">
        <v>2172</v>
      </c>
      <c r="C76" s="116">
        <v>2135.1999999999998</v>
      </c>
      <c r="D76" s="116">
        <v>2013</v>
      </c>
      <c r="E76" s="116">
        <v>2013</v>
      </c>
      <c r="F76" s="116">
        <v>2135.1999999999998</v>
      </c>
      <c r="G76">
        <v>28329</v>
      </c>
      <c r="H76" s="116"/>
      <c r="I76" s="116"/>
      <c r="L76" s="170">
        <v>44389</v>
      </c>
      <c r="M76" s="116">
        <v>2135.4499999999998</v>
      </c>
      <c r="N76" s="116">
        <v>2173</v>
      </c>
      <c r="O76" s="116">
        <v>2031</v>
      </c>
      <c r="P76" s="116">
        <v>2034.7</v>
      </c>
      <c r="Q76" s="116">
        <v>2135.4499999999998</v>
      </c>
      <c r="R76">
        <v>288304</v>
      </c>
    </row>
    <row r="77" spans="1:18" x14ac:dyDescent="0.25">
      <c r="A77" s="170">
        <v>44390</v>
      </c>
      <c r="B77" s="116">
        <v>2176.9499999999998</v>
      </c>
      <c r="C77" s="116">
        <v>2094.4</v>
      </c>
      <c r="D77" s="116">
        <v>2073.15</v>
      </c>
      <c r="E77" s="116">
        <v>2169</v>
      </c>
      <c r="F77" s="116">
        <v>2094.4</v>
      </c>
      <c r="G77">
        <v>5237</v>
      </c>
      <c r="H77" s="116"/>
      <c r="I77" s="116"/>
      <c r="L77" s="170">
        <v>44390</v>
      </c>
      <c r="M77" s="116">
        <v>2093.9499999999998</v>
      </c>
      <c r="N77" s="116">
        <v>2176</v>
      </c>
      <c r="O77" s="116">
        <v>2075</v>
      </c>
      <c r="P77" s="116">
        <v>2158.4499999999998</v>
      </c>
      <c r="Q77" s="116">
        <v>2093.9499999999998</v>
      </c>
      <c r="R77">
        <v>62038</v>
      </c>
    </row>
    <row r="78" spans="1:18" x14ac:dyDescent="0.25">
      <c r="A78" s="170">
        <v>44391</v>
      </c>
      <c r="B78" s="116">
        <v>2149.6999999999998</v>
      </c>
      <c r="C78" s="116">
        <v>2122.6999999999998</v>
      </c>
      <c r="D78" s="116">
        <v>2081</v>
      </c>
      <c r="E78" s="116">
        <v>2088</v>
      </c>
      <c r="F78" s="116">
        <v>2122.6999999999998</v>
      </c>
      <c r="G78">
        <v>8137</v>
      </c>
      <c r="H78" s="116"/>
      <c r="I78" s="116"/>
      <c r="L78" s="170">
        <v>44391</v>
      </c>
      <c r="M78" s="116">
        <v>2126.6</v>
      </c>
      <c r="N78" s="116">
        <v>2150</v>
      </c>
      <c r="O78" s="116">
        <v>2075</v>
      </c>
      <c r="P78" s="116">
        <v>2075</v>
      </c>
      <c r="Q78" s="116">
        <v>2126.6</v>
      </c>
      <c r="R78">
        <v>76582</v>
      </c>
    </row>
    <row r="79" spans="1:18" x14ac:dyDescent="0.25">
      <c r="A79" s="170">
        <v>44392</v>
      </c>
      <c r="B79" s="116">
        <v>2100</v>
      </c>
      <c r="C79" s="116">
        <v>2041.55</v>
      </c>
      <c r="D79" s="116">
        <v>2021.25</v>
      </c>
      <c r="E79" s="116">
        <v>2100</v>
      </c>
      <c r="F79" s="116">
        <v>2041.55</v>
      </c>
      <c r="G79">
        <v>10483</v>
      </c>
      <c r="H79" s="116"/>
      <c r="I79" s="116"/>
      <c r="L79" s="170">
        <v>44392</v>
      </c>
      <c r="M79" s="116">
        <v>2040.95</v>
      </c>
      <c r="N79" s="116">
        <v>2098</v>
      </c>
      <c r="O79" s="116">
        <v>2018.6</v>
      </c>
      <c r="P79" s="116">
        <v>2098</v>
      </c>
      <c r="Q79" s="116">
        <v>2040.95</v>
      </c>
      <c r="R79">
        <v>159703</v>
      </c>
    </row>
    <row r="80" spans="1:18" x14ac:dyDescent="0.25">
      <c r="A80" s="170">
        <v>44393</v>
      </c>
      <c r="B80" s="116">
        <v>2140</v>
      </c>
      <c r="C80" s="116">
        <v>2100.65</v>
      </c>
      <c r="D80" s="116">
        <v>2050</v>
      </c>
      <c r="E80" s="116">
        <v>2050</v>
      </c>
      <c r="F80" s="116">
        <v>2100.65</v>
      </c>
      <c r="G80">
        <v>19455</v>
      </c>
      <c r="H80" s="116"/>
      <c r="I80" s="116"/>
      <c r="L80" s="170">
        <v>44393</v>
      </c>
      <c r="M80" s="116">
        <v>2102.1999999999998</v>
      </c>
      <c r="N80" s="116">
        <v>2149</v>
      </c>
      <c r="O80" s="116">
        <v>2045.5</v>
      </c>
      <c r="P80" s="116">
        <v>2055</v>
      </c>
      <c r="Q80" s="116">
        <v>2102.1999999999998</v>
      </c>
      <c r="R80">
        <v>242498</v>
      </c>
    </row>
    <row r="81" spans="1:18" x14ac:dyDescent="0.25">
      <c r="A81" s="170">
        <v>44396</v>
      </c>
      <c r="B81" s="116">
        <v>2147</v>
      </c>
      <c r="C81" s="116">
        <v>2085.5500000000002</v>
      </c>
      <c r="D81" s="116">
        <v>2075.4499999999998</v>
      </c>
      <c r="E81" s="116">
        <v>2082</v>
      </c>
      <c r="F81" s="116">
        <v>2085.5500000000002</v>
      </c>
      <c r="G81">
        <v>5212</v>
      </c>
      <c r="H81" s="116"/>
      <c r="I81" s="116"/>
      <c r="L81" s="170">
        <v>44396</v>
      </c>
      <c r="M81" s="116">
        <v>2086.25</v>
      </c>
      <c r="N81" s="116">
        <v>2145.1</v>
      </c>
      <c r="O81" s="116">
        <v>2071.6</v>
      </c>
      <c r="P81" s="116">
        <v>2100</v>
      </c>
      <c r="Q81" s="116">
        <v>2086.25</v>
      </c>
      <c r="R81">
        <v>100484</v>
      </c>
    </row>
    <row r="82" spans="1:18" x14ac:dyDescent="0.25">
      <c r="A82" s="170">
        <v>44397</v>
      </c>
      <c r="B82" s="116">
        <v>2110</v>
      </c>
      <c r="C82" s="116">
        <v>2075.4499999999998</v>
      </c>
      <c r="D82" s="116">
        <v>2002.45</v>
      </c>
      <c r="E82" s="116">
        <v>2099.25</v>
      </c>
      <c r="F82" s="116">
        <v>2075.4499999999998</v>
      </c>
      <c r="G82">
        <v>5454</v>
      </c>
      <c r="H82" s="116"/>
      <c r="I82" s="116"/>
      <c r="L82" s="170">
        <v>44397</v>
      </c>
      <c r="M82" s="116">
        <v>2065.65</v>
      </c>
      <c r="N82" s="116">
        <v>2110.1999999999998</v>
      </c>
      <c r="O82" s="116">
        <v>2001.5</v>
      </c>
      <c r="P82" s="116">
        <v>2105.6999999999998</v>
      </c>
      <c r="Q82" s="116">
        <v>2065.65</v>
      </c>
      <c r="R82">
        <v>50870</v>
      </c>
    </row>
    <row r="83" spans="1:18" x14ac:dyDescent="0.25">
      <c r="A83" s="170">
        <v>44399</v>
      </c>
      <c r="B83" s="116">
        <v>2097.35</v>
      </c>
      <c r="C83" s="116">
        <v>2046.2</v>
      </c>
      <c r="D83" s="116">
        <v>2040</v>
      </c>
      <c r="E83" s="116">
        <v>2075.4499999999998</v>
      </c>
      <c r="F83" s="116">
        <v>2046.2</v>
      </c>
      <c r="G83">
        <v>6560</v>
      </c>
      <c r="H83" s="116"/>
      <c r="I83" s="116"/>
      <c r="L83" s="170">
        <v>44399</v>
      </c>
      <c r="M83" s="116">
        <v>2047.1</v>
      </c>
      <c r="N83" s="116">
        <v>2099.0500000000002</v>
      </c>
      <c r="O83" s="116">
        <v>2040</v>
      </c>
      <c r="P83" s="116">
        <v>2084.6999999999998</v>
      </c>
      <c r="Q83" s="116">
        <v>2047.1</v>
      </c>
      <c r="R83">
        <v>41071</v>
      </c>
    </row>
    <row r="84" spans="1:18" x14ac:dyDescent="0.25">
      <c r="A84" s="170">
        <v>44400</v>
      </c>
      <c r="B84" s="116">
        <v>2080</v>
      </c>
      <c r="C84" s="116">
        <v>2032.8</v>
      </c>
      <c r="D84" s="116">
        <v>2025.35</v>
      </c>
      <c r="E84" s="116">
        <v>2059.5</v>
      </c>
      <c r="F84" s="116">
        <v>2032.8</v>
      </c>
      <c r="G84">
        <v>2171</v>
      </c>
      <c r="H84" s="116"/>
      <c r="I84" s="116"/>
      <c r="L84" s="170">
        <v>44400</v>
      </c>
      <c r="M84" s="116">
        <v>2032.55</v>
      </c>
      <c r="N84" s="116">
        <v>2081.6</v>
      </c>
      <c r="O84" s="116">
        <v>2025</v>
      </c>
      <c r="P84" s="116">
        <v>2025</v>
      </c>
      <c r="Q84" s="116">
        <v>2032.55</v>
      </c>
      <c r="R84">
        <v>27534</v>
      </c>
    </row>
    <row r="85" spans="1:18" x14ac:dyDescent="0.25">
      <c r="A85" s="170">
        <v>44403</v>
      </c>
      <c r="B85" s="116">
        <v>2047.45</v>
      </c>
      <c r="C85" s="116">
        <v>1997.65</v>
      </c>
      <c r="D85" s="116">
        <v>1978.1</v>
      </c>
      <c r="E85" s="116">
        <v>2030.2</v>
      </c>
      <c r="F85" s="116">
        <v>1997.65</v>
      </c>
      <c r="G85">
        <v>8174</v>
      </c>
      <c r="H85" s="116"/>
      <c r="I85" s="116"/>
      <c r="L85" s="170">
        <v>44403</v>
      </c>
      <c r="M85" s="116">
        <v>1993.75</v>
      </c>
      <c r="N85" s="116">
        <v>2047.5</v>
      </c>
      <c r="O85" s="116">
        <v>1978</v>
      </c>
      <c r="P85" s="116">
        <v>2039</v>
      </c>
      <c r="Q85" s="116">
        <v>1993.75</v>
      </c>
      <c r="R85">
        <v>69080</v>
      </c>
    </row>
    <row r="86" spans="1:18" x14ac:dyDescent="0.25">
      <c r="A86" s="170">
        <v>44404</v>
      </c>
      <c r="B86" s="116">
        <v>2045</v>
      </c>
      <c r="C86" s="116">
        <v>1971.75</v>
      </c>
      <c r="D86" s="116">
        <v>1935</v>
      </c>
      <c r="E86" s="116">
        <v>1935</v>
      </c>
      <c r="F86" s="116">
        <v>1971.75</v>
      </c>
      <c r="G86">
        <v>4886</v>
      </c>
      <c r="H86" s="116"/>
      <c r="I86" s="116"/>
      <c r="L86" s="170">
        <v>44404</v>
      </c>
      <c r="M86" s="116">
        <v>1983.45</v>
      </c>
      <c r="N86" s="116">
        <v>2020</v>
      </c>
      <c r="O86" s="116">
        <v>1980</v>
      </c>
      <c r="P86" s="116">
        <v>1996</v>
      </c>
      <c r="Q86" s="116">
        <v>1983.45</v>
      </c>
      <c r="R86">
        <v>35374</v>
      </c>
    </row>
    <row r="87" spans="1:18" x14ac:dyDescent="0.25">
      <c r="A87" s="170">
        <v>44405</v>
      </c>
      <c r="B87" s="116">
        <v>2010</v>
      </c>
      <c r="C87" s="116">
        <v>1972.6</v>
      </c>
      <c r="D87" s="116">
        <v>1942.7</v>
      </c>
      <c r="E87" s="116">
        <v>2010</v>
      </c>
      <c r="F87" s="116">
        <v>1972.6</v>
      </c>
      <c r="G87">
        <v>1460</v>
      </c>
      <c r="H87" s="116"/>
      <c r="I87" s="116"/>
      <c r="L87" s="170">
        <v>44405</v>
      </c>
      <c r="M87" s="116">
        <v>1972.95</v>
      </c>
      <c r="N87" s="116">
        <v>2019</v>
      </c>
      <c r="O87" s="116">
        <v>1944</v>
      </c>
      <c r="P87" s="116">
        <v>2019</v>
      </c>
      <c r="Q87" s="116">
        <v>1972.95</v>
      </c>
      <c r="R87">
        <v>24041</v>
      </c>
    </row>
    <row r="88" spans="1:18" x14ac:dyDescent="0.25">
      <c r="A88" s="170">
        <v>44406</v>
      </c>
      <c r="B88" s="116">
        <v>2023.45</v>
      </c>
      <c r="C88" s="116">
        <v>1988.6</v>
      </c>
      <c r="D88" s="116">
        <v>1957.75</v>
      </c>
      <c r="E88" s="116">
        <v>1980</v>
      </c>
      <c r="F88" s="116">
        <v>1988.6</v>
      </c>
      <c r="G88">
        <v>1434</v>
      </c>
      <c r="H88" s="116"/>
      <c r="I88" s="116"/>
      <c r="L88" s="170">
        <v>44406</v>
      </c>
      <c r="M88" s="116">
        <v>1988.1</v>
      </c>
      <c r="N88" s="116">
        <v>2025</v>
      </c>
      <c r="O88" s="116">
        <v>1953.7</v>
      </c>
      <c r="P88" s="116">
        <v>1975</v>
      </c>
      <c r="Q88" s="116">
        <v>1988.1</v>
      </c>
      <c r="R88">
        <v>35322</v>
      </c>
    </row>
    <row r="89" spans="1:18" x14ac:dyDescent="0.25">
      <c r="A89" s="170">
        <v>44407</v>
      </c>
      <c r="B89" s="116">
        <v>2017.8</v>
      </c>
      <c r="C89" s="116">
        <v>2001.75</v>
      </c>
      <c r="D89" s="116">
        <v>1991.25</v>
      </c>
      <c r="E89" s="116">
        <v>2000</v>
      </c>
      <c r="F89" s="116">
        <v>2001.75</v>
      </c>
      <c r="G89">
        <v>2968</v>
      </c>
      <c r="H89" s="116"/>
      <c r="I89" s="116"/>
      <c r="L89" s="170">
        <v>44407</v>
      </c>
      <c r="M89" s="116">
        <v>2003.5</v>
      </c>
      <c r="N89" s="116">
        <v>2020</v>
      </c>
      <c r="O89" s="116">
        <v>1993</v>
      </c>
      <c r="P89" s="116">
        <v>2000</v>
      </c>
      <c r="Q89" s="116">
        <v>2003.5</v>
      </c>
      <c r="R89">
        <v>15554</v>
      </c>
    </row>
    <row r="90" spans="1:18" x14ac:dyDescent="0.25">
      <c r="A90" s="170">
        <v>44410</v>
      </c>
      <c r="B90" s="116">
        <v>2073.5</v>
      </c>
      <c r="C90" s="116">
        <v>2064.1</v>
      </c>
      <c r="D90" s="116">
        <v>2001</v>
      </c>
      <c r="E90" s="116">
        <v>2020.8</v>
      </c>
      <c r="F90" s="116">
        <v>2064.1</v>
      </c>
      <c r="G90">
        <v>3068</v>
      </c>
      <c r="H90" s="116"/>
      <c r="I90" s="116"/>
      <c r="L90" s="170">
        <v>44410</v>
      </c>
      <c r="M90" s="116">
        <v>2062.3000000000002</v>
      </c>
      <c r="N90" s="116">
        <v>2073.4499999999998</v>
      </c>
      <c r="O90" s="116">
        <v>2000</v>
      </c>
      <c r="P90" s="116">
        <v>2019</v>
      </c>
      <c r="Q90" s="116">
        <v>2062.3000000000002</v>
      </c>
      <c r="R90">
        <v>41373</v>
      </c>
    </row>
    <row r="91" spans="1:18" x14ac:dyDescent="0.25">
      <c r="A91" s="170">
        <v>44411</v>
      </c>
      <c r="B91" s="116">
        <v>2064.15</v>
      </c>
      <c r="C91" s="116">
        <v>2026.45</v>
      </c>
      <c r="D91" s="116">
        <v>2000.6</v>
      </c>
      <c r="E91" s="116">
        <v>2063.35</v>
      </c>
      <c r="F91" s="116">
        <v>2026.45</v>
      </c>
      <c r="G91">
        <v>4728</v>
      </c>
      <c r="H91" s="116"/>
      <c r="I91" s="116"/>
      <c r="L91" s="170">
        <v>44411</v>
      </c>
      <c r="M91" s="116">
        <v>2025.55</v>
      </c>
      <c r="N91" s="116">
        <v>2063.5500000000002</v>
      </c>
      <c r="O91" s="116">
        <v>2001</v>
      </c>
      <c r="P91" s="116">
        <v>2062.3000000000002</v>
      </c>
      <c r="Q91" s="116">
        <v>2025.55</v>
      </c>
      <c r="R91">
        <v>34029</v>
      </c>
    </row>
    <row r="92" spans="1:18" x14ac:dyDescent="0.25">
      <c r="A92" s="170">
        <v>44412</v>
      </c>
      <c r="B92" s="116">
        <v>2046.65</v>
      </c>
      <c r="C92" s="116">
        <v>1989.1</v>
      </c>
      <c r="D92" s="116">
        <v>1980</v>
      </c>
      <c r="E92" s="116">
        <v>2000.05</v>
      </c>
      <c r="F92" s="116">
        <v>1989.1</v>
      </c>
      <c r="G92">
        <v>5522</v>
      </c>
      <c r="H92" s="116"/>
      <c r="I92" s="116"/>
      <c r="L92" s="170">
        <v>44412</v>
      </c>
      <c r="M92" s="116">
        <v>1989.25</v>
      </c>
      <c r="N92" s="116">
        <v>2051.15</v>
      </c>
      <c r="O92" s="116">
        <v>1979.05</v>
      </c>
      <c r="P92" s="116">
        <v>2002.25</v>
      </c>
      <c r="Q92" s="116">
        <v>1989.25</v>
      </c>
      <c r="R92">
        <v>28453</v>
      </c>
    </row>
    <row r="93" spans="1:18" x14ac:dyDescent="0.25">
      <c r="A93" s="170">
        <v>44413</v>
      </c>
      <c r="B93" s="116">
        <v>2018</v>
      </c>
      <c r="C93" s="116">
        <v>1957.15</v>
      </c>
      <c r="D93" s="116">
        <v>1950.4</v>
      </c>
      <c r="E93" s="116">
        <v>2018</v>
      </c>
      <c r="F93" s="116">
        <v>1957.15</v>
      </c>
      <c r="G93">
        <v>1658</v>
      </c>
      <c r="H93" s="116"/>
      <c r="I93" s="116"/>
      <c r="L93" s="170">
        <v>44413</v>
      </c>
      <c r="M93" s="116">
        <v>1955.7</v>
      </c>
      <c r="N93" s="116">
        <v>2003.15</v>
      </c>
      <c r="O93" s="116">
        <v>1950</v>
      </c>
      <c r="P93" s="116">
        <v>1993.9</v>
      </c>
      <c r="Q93" s="116">
        <v>1955.7</v>
      </c>
      <c r="R93">
        <v>131996</v>
      </c>
    </row>
    <row r="94" spans="1:18" x14ac:dyDescent="0.25">
      <c r="A94" s="170">
        <v>44414</v>
      </c>
      <c r="B94" s="116">
        <v>2009</v>
      </c>
      <c r="C94" s="116">
        <v>1993.65</v>
      </c>
      <c r="D94" s="116">
        <v>1968.7</v>
      </c>
      <c r="E94" s="116">
        <v>1977.9</v>
      </c>
      <c r="F94" s="116">
        <v>1993.65</v>
      </c>
      <c r="G94">
        <v>2199</v>
      </c>
      <c r="H94" s="116"/>
      <c r="I94" s="116"/>
      <c r="L94" s="170">
        <v>44414</v>
      </c>
      <c r="M94" s="116">
        <v>1997.45</v>
      </c>
      <c r="N94" s="116">
        <v>2009.95</v>
      </c>
      <c r="O94" s="116">
        <v>1957</v>
      </c>
      <c r="P94" s="116">
        <v>1957</v>
      </c>
      <c r="Q94" s="116">
        <v>1997.45</v>
      </c>
      <c r="R94">
        <v>15742</v>
      </c>
    </row>
    <row r="95" spans="1:18" x14ac:dyDescent="0.25">
      <c r="A95" s="170">
        <v>44417</v>
      </c>
      <c r="B95" s="116">
        <v>2012</v>
      </c>
      <c r="C95" s="116">
        <v>2000.9</v>
      </c>
      <c r="D95" s="116">
        <v>1952.35</v>
      </c>
      <c r="E95" s="116">
        <v>2009.15</v>
      </c>
      <c r="F95" s="116">
        <v>2000.9</v>
      </c>
      <c r="G95">
        <v>1462</v>
      </c>
      <c r="H95" s="116"/>
      <c r="I95" s="116"/>
      <c r="L95" s="170">
        <v>44417</v>
      </c>
      <c r="M95" s="116">
        <v>2001.8</v>
      </c>
      <c r="N95" s="116">
        <v>2019.8</v>
      </c>
      <c r="O95" s="116">
        <v>1950.55</v>
      </c>
      <c r="P95" s="116">
        <v>2019.8</v>
      </c>
      <c r="Q95" s="116">
        <v>2001.8</v>
      </c>
      <c r="R95">
        <v>26466</v>
      </c>
    </row>
    <row r="96" spans="1:18" x14ac:dyDescent="0.25">
      <c r="A96" s="170">
        <v>44418</v>
      </c>
      <c r="B96" s="116">
        <v>2013</v>
      </c>
      <c r="C96" s="116">
        <v>1930.8</v>
      </c>
      <c r="D96" s="116">
        <v>1896</v>
      </c>
      <c r="E96" s="116">
        <v>2013</v>
      </c>
      <c r="F96" s="116">
        <v>1930.8</v>
      </c>
      <c r="G96">
        <v>4130</v>
      </c>
      <c r="H96" s="116"/>
      <c r="I96" s="116"/>
      <c r="L96" s="170">
        <v>44418</v>
      </c>
      <c r="M96" s="116">
        <v>1931.55</v>
      </c>
      <c r="N96" s="116">
        <v>2014.95</v>
      </c>
      <c r="O96" s="116">
        <v>1895</v>
      </c>
      <c r="P96" s="116">
        <v>2014.9</v>
      </c>
      <c r="Q96" s="116">
        <v>1931.55</v>
      </c>
      <c r="R96">
        <v>26096</v>
      </c>
    </row>
    <row r="97" spans="1:18" x14ac:dyDescent="0.25">
      <c r="A97" s="170">
        <v>44419</v>
      </c>
      <c r="B97" s="116">
        <v>2007</v>
      </c>
      <c r="C97" s="116">
        <v>1985.55</v>
      </c>
      <c r="D97" s="116">
        <v>1825</v>
      </c>
      <c r="E97" s="116">
        <v>1825</v>
      </c>
      <c r="F97" s="116">
        <v>1985.55</v>
      </c>
      <c r="G97">
        <v>1649</v>
      </c>
      <c r="H97" s="116"/>
      <c r="I97" s="116"/>
      <c r="L97" s="170">
        <v>44419</v>
      </c>
      <c r="M97" s="116">
        <v>1989</v>
      </c>
      <c r="N97" s="116">
        <v>2010</v>
      </c>
      <c r="O97" s="116">
        <v>1914.15</v>
      </c>
      <c r="P97" s="116">
        <v>1931.55</v>
      </c>
      <c r="Q97" s="116">
        <v>1989</v>
      </c>
      <c r="R97">
        <v>47617</v>
      </c>
    </row>
    <row r="98" spans="1:18" x14ac:dyDescent="0.25">
      <c r="A98" s="170">
        <v>44420</v>
      </c>
      <c r="B98" s="116">
        <v>2017</v>
      </c>
      <c r="C98" s="116">
        <v>1973.6</v>
      </c>
      <c r="D98" s="116">
        <v>1956.25</v>
      </c>
      <c r="E98" s="116">
        <v>1996.1</v>
      </c>
      <c r="F98" s="116">
        <v>1973.6</v>
      </c>
      <c r="G98">
        <v>648</v>
      </c>
      <c r="H98" s="116"/>
      <c r="I98" s="116"/>
      <c r="L98" s="170">
        <v>44420</v>
      </c>
      <c r="M98" s="116">
        <v>1980.65</v>
      </c>
      <c r="N98" s="116">
        <v>2050</v>
      </c>
      <c r="O98" s="116">
        <v>1952</v>
      </c>
      <c r="P98" s="116">
        <v>1989</v>
      </c>
      <c r="Q98" s="116">
        <v>1980.65</v>
      </c>
      <c r="R98">
        <v>15046</v>
      </c>
    </row>
    <row r="99" spans="1:18" x14ac:dyDescent="0.25">
      <c r="A99" s="170">
        <v>44421</v>
      </c>
      <c r="B99" s="116">
        <v>2051.5500000000002</v>
      </c>
      <c r="C99" s="116">
        <v>1998.75</v>
      </c>
      <c r="D99" s="116">
        <v>1986.6</v>
      </c>
      <c r="E99" s="116">
        <v>1986.6</v>
      </c>
      <c r="F99" s="116">
        <v>1998.75</v>
      </c>
      <c r="G99">
        <v>2798</v>
      </c>
      <c r="H99" s="116"/>
      <c r="I99" s="116"/>
      <c r="L99" s="170">
        <v>44421</v>
      </c>
      <c r="M99" s="116">
        <v>1998.8</v>
      </c>
      <c r="N99" s="116">
        <v>2053</v>
      </c>
      <c r="O99" s="116">
        <v>1978</v>
      </c>
      <c r="P99" s="116">
        <v>2010</v>
      </c>
      <c r="Q99" s="116">
        <v>1998.8</v>
      </c>
      <c r="R99">
        <v>31276</v>
      </c>
    </row>
    <row r="100" spans="1:18" x14ac:dyDescent="0.25">
      <c r="A100" s="170">
        <v>44424</v>
      </c>
      <c r="B100" s="116">
        <v>2010</v>
      </c>
      <c r="C100" s="116">
        <v>1965.9</v>
      </c>
      <c r="D100" s="116">
        <v>1955.85</v>
      </c>
      <c r="E100" s="116">
        <v>1988.95</v>
      </c>
      <c r="F100" s="116">
        <v>1965.9</v>
      </c>
      <c r="G100">
        <v>1280</v>
      </c>
      <c r="H100" s="116"/>
      <c r="I100" s="116"/>
      <c r="L100" s="170">
        <v>44424</v>
      </c>
      <c r="M100" s="116">
        <v>1965.7</v>
      </c>
      <c r="N100" s="116">
        <v>2039</v>
      </c>
      <c r="O100" s="116">
        <v>1952.15</v>
      </c>
      <c r="P100" s="116">
        <v>2039</v>
      </c>
      <c r="Q100" s="116">
        <v>1965.7</v>
      </c>
      <c r="R100">
        <v>13959</v>
      </c>
    </row>
    <row r="101" spans="1:18" x14ac:dyDescent="0.25">
      <c r="A101" s="170">
        <v>44425</v>
      </c>
      <c r="B101" s="116">
        <v>1985.2</v>
      </c>
      <c r="C101" s="116">
        <v>1960.85</v>
      </c>
      <c r="D101" s="116">
        <v>1958.4</v>
      </c>
      <c r="E101" s="116">
        <v>1980.9</v>
      </c>
      <c r="F101" s="116">
        <v>1960.85</v>
      </c>
      <c r="G101">
        <v>1291</v>
      </c>
      <c r="H101" s="116"/>
      <c r="I101" s="116"/>
      <c r="L101" s="170">
        <v>44425</v>
      </c>
      <c r="M101" s="116">
        <v>1961.7</v>
      </c>
      <c r="N101" s="116">
        <v>1990</v>
      </c>
      <c r="O101" s="116">
        <v>1960</v>
      </c>
      <c r="P101" s="116">
        <v>1990</v>
      </c>
      <c r="Q101" s="116">
        <v>1961.7</v>
      </c>
      <c r="R101">
        <v>7535</v>
      </c>
    </row>
    <row r="102" spans="1:18" x14ac:dyDescent="0.25">
      <c r="A102" s="170">
        <v>44426</v>
      </c>
      <c r="B102" s="116">
        <v>1968.9</v>
      </c>
      <c r="C102" s="116">
        <v>1939.3</v>
      </c>
      <c r="D102" s="116">
        <v>1922.3</v>
      </c>
      <c r="E102" s="116">
        <v>1966.95</v>
      </c>
      <c r="F102" s="116">
        <v>1939.3</v>
      </c>
      <c r="G102">
        <v>1571</v>
      </c>
      <c r="H102" s="116"/>
      <c r="I102" s="116"/>
      <c r="L102" s="170">
        <v>44426</v>
      </c>
      <c r="M102" s="116">
        <v>1947.7</v>
      </c>
      <c r="N102" s="116">
        <v>1990</v>
      </c>
      <c r="O102" s="116">
        <v>1920</v>
      </c>
      <c r="P102" s="116">
        <v>1990</v>
      </c>
      <c r="Q102" s="116">
        <v>1947.7</v>
      </c>
      <c r="R102">
        <v>18813</v>
      </c>
    </row>
    <row r="103" spans="1:18" x14ac:dyDescent="0.25">
      <c r="A103" s="170">
        <v>44428</v>
      </c>
      <c r="B103" s="116">
        <v>1940.05</v>
      </c>
      <c r="C103" s="116">
        <v>1921.9</v>
      </c>
      <c r="D103" s="116">
        <v>1910.1</v>
      </c>
      <c r="E103" s="116">
        <v>1921.8</v>
      </c>
      <c r="F103" s="116">
        <v>1921.9</v>
      </c>
      <c r="G103">
        <v>9807</v>
      </c>
      <c r="H103" s="116"/>
      <c r="I103" s="116"/>
      <c r="L103" s="170">
        <v>44428</v>
      </c>
      <c r="M103" s="116">
        <v>1920.7</v>
      </c>
      <c r="N103" s="116">
        <v>1940.4</v>
      </c>
      <c r="O103" s="116">
        <v>1903</v>
      </c>
      <c r="P103" s="116">
        <v>1905.55</v>
      </c>
      <c r="Q103" s="116">
        <v>1920.7</v>
      </c>
      <c r="R103">
        <v>32866</v>
      </c>
    </row>
    <row r="104" spans="1:18" x14ac:dyDescent="0.25">
      <c r="A104" s="170">
        <v>44431</v>
      </c>
      <c r="B104" s="116">
        <v>1936.1</v>
      </c>
      <c r="C104" s="116">
        <v>1862.55</v>
      </c>
      <c r="D104" s="116">
        <v>1839.55</v>
      </c>
      <c r="E104" s="116">
        <v>1921</v>
      </c>
      <c r="F104" s="116">
        <v>1862.55</v>
      </c>
      <c r="G104">
        <v>9639</v>
      </c>
      <c r="H104" s="116"/>
      <c r="I104" s="116"/>
      <c r="L104" s="170">
        <v>44431</v>
      </c>
      <c r="M104" s="116">
        <v>1862.95</v>
      </c>
      <c r="N104" s="116">
        <v>1934.6</v>
      </c>
      <c r="O104" s="116">
        <v>1838.8</v>
      </c>
      <c r="P104" s="116">
        <v>1931</v>
      </c>
      <c r="Q104" s="116">
        <v>1862.95</v>
      </c>
      <c r="R104">
        <v>30427</v>
      </c>
    </row>
    <row r="105" spans="1:18" x14ac:dyDescent="0.25">
      <c r="A105" s="170">
        <v>44432</v>
      </c>
      <c r="B105" s="116">
        <v>1896.85</v>
      </c>
      <c r="C105" s="116">
        <v>1877.95</v>
      </c>
      <c r="D105" s="116">
        <v>1840</v>
      </c>
      <c r="E105" s="116">
        <v>1840</v>
      </c>
      <c r="F105" s="116">
        <v>1877.95</v>
      </c>
      <c r="G105">
        <v>652</v>
      </c>
      <c r="H105" s="116"/>
      <c r="I105" s="116"/>
      <c r="L105" s="170">
        <v>44432</v>
      </c>
      <c r="M105" s="116">
        <v>1878.95</v>
      </c>
      <c r="N105" s="116">
        <v>1899.85</v>
      </c>
      <c r="O105" s="116">
        <v>1859.95</v>
      </c>
      <c r="P105" s="116">
        <v>1860</v>
      </c>
      <c r="Q105" s="116">
        <v>1878.95</v>
      </c>
      <c r="R105">
        <v>8825</v>
      </c>
    </row>
    <row r="106" spans="1:18" x14ac:dyDescent="0.25">
      <c r="A106" s="170">
        <v>44433</v>
      </c>
      <c r="B106" s="116">
        <v>1927.8</v>
      </c>
      <c r="C106" s="116">
        <v>1917.2</v>
      </c>
      <c r="D106" s="116">
        <v>1891.05</v>
      </c>
      <c r="E106" s="116">
        <v>1891.05</v>
      </c>
      <c r="F106" s="116">
        <v>1917.2</v>
      </c>
      <c r="G106">
        <v>538</v>
      </c>
      <c r="H106" s="116"/>
      <c r="I106" s="116"/>
      <c r="L106" s="170">
        <v>44433</v>
      </c>
      <c r="M106" s="116">
        <v>1919.05</v>
      </c>
      <c r="N106" s="116">
        <v>1928.95</v>
      </c>
      <c r="O106" s="116">
        <v>1881.15</v>
      </c>
      <c r="P106" s="116">
        <v>1887.25</v>
      </c>
      <c r="Q106" s="116">
        <v>1919.05</v>
      </c>
      <c r="R106">
        <v>10543</v>
      </c>
    </row>
    <row r="107" spans="1:18" x14ac:dyDescent="0.25">
      <c r="A107" s="170">
        <v>44434</v>
      </c>
      <c r="B107" s="116">
        <v>1944.7</v>
      </c>
      <c r="C107" s="116">
        <v>1921.05</v>
      </c>
      <c r="D107" s="116">
        <v>1907.3</v>
      </c>
      <c r="E107" s="116">
        <v>1913</v>
      </c>
      <c r="F107" s="116">
        <v>1921.05</v>
      </c>
      <c r="G107">
        <v>476</v>
      </c>
      <c r="H107" s="116"/>
      <c r="I107" s="116"/>
      <c r="L107" s="170">
        <v>44434</v>
      </c>
      <c r="M107" s="116">
        <v>1922.6</v>
      </c>
      <c r="N107" s="116">
        <v>1945</v>
      </c>
      <c r="O107" s="116">
        <v>1905</v>
      </c>
      <c r="P107" s="116">
        <v>1905</v>
      </c>
      <c r="Q107" s="116">
        <v>1922.6</v>
      </c>
      <c r="R107">
        <v>7926</v>
      </c>
    </row>
    <row r="108" spans="1:18" x14ac:dyDescent="0.25">
      <c r="A108" s="170">
        <v>44435</v>
      </c>
      <c r="B108" s="116">
        <v>1948.45</v>
      </c>
      <c r="C108" s="116">
        <v>1936.6</v>
      </c>
      <c r="D108" s="116">
        <v>1919.55</v>
      </c>
      <c r="E108" s="116">
        <v>1931.55</v>
      </c>
      <c r="F108" s="116">
        <v>1936.6</v>
      </c>
      <c r="G108">
        <v>787</v>
      </c>
      <c r="H108" s="116"/>
      <c r="I108" s="116"/>
      <c r="L108" s="170">
        <v>44435</v>
      </c>
      <c r="M108" s="116">
        <v>1937</v>
      </c>
      <c r="N108" s="116">
        <v>1952</v>
      </c>
      <c r="O108" s="116">
        <v>1920.25</v>
      </c>
      <c r="P108" s="116">
        <v>1922.6</v>
      </c>
      <c r="Q108" s="116">
        <v>1937</v>
      </c>
      <c r="R108">
        <v>29312</v>
      </c>
    </row>
    <row r="109" spans="1:18" x14ac:dyDescent="0.25">
      <c r="A109" s="170">
        <v>44438</v>
      </c>
      <c r="B109" s="116">
        <v>1963.9</v>
      </c>
      <c r="C109" s="116">
        <v>1947</v>
      </c>
      <c r="D109" s="116">
        <v>1938.1</v>
      </c>
      <c r="E109" s="116">
        <v>1938.1</v>
      </c>
      <c r="F109" s="116">
        <v>1947</v>
      </c>
      <c r="G109">
        <v>463</v>
      </c>
      <c r="H109" s="116"/>
      <c r="I109" s="116"/>
      <c r="L109" s="170">
        <v>44438</v>
      </c>
      <c r="M109" s="116">
        <v>1951.95</v>
      </c>
      <c r="N109" s="116">
        <v>1966.1</v>
      </c>
      <c r="O109" s="116">
        <v>1935.85</v>
      </c>
      <c r="P109" s="116">
        <v>1952</v>
      </c>
      <c r="Q109" s="116">
        <v>1951.95</v>
      </c>
      <c r="R109">
        <v>9939</v>
      </c>
    </row>
    <row r="110" spans="1:18" x14ac:dyDescent="0.25">
      <c r="A110" s="170">
        <v>44439</v>
      </c>
      <c r="B110" s="116">
        <v>1958.95</v>
      </c>
      <c r="C110" s="116">
        <v>1932.15</v>
      </c>
      <c r="D110" s="116">
        <v>1892.85</v>
      </c>
      <c r="E110" s="116">
        <v>1948.05</v>
      </c>
      <c r="F110" s="116">
        <v>1932.15</v>
      </c>
      <c r="G110">
        <v>946</v>
      </c>
      <c r="H110" s="116"/>
      <c r="I110" s="116"/>
      <c r="L110" s="170">
        <v>44439</v>
      </c>
      <c r="M110" s="116">
        <v>1930.05</v>
      </c>
      <c r="N110" s="116">
        <v>1967</v>
      </c>
      <c r="O110" s="116">
        <v>1834.8</v>
      </c>
      <c r="P110" s="116">
        <v>1962.6</v>
      </c>
      <c r="Q110" s="116">
        <v>1930.05</v>
      </c>
      <c r="R110">
        <v>11489</v>
      </c>
    </row>
    <row r="111" spans="1:18" x14ac:dyDescent="0.25">
      <c r="A111" s="170">
        <v>44440</v>
      </c>
      <c r="B111" s="116">
        <v>1978.35</v>
      </c>
      <c r="C111" s="116">
        <v>1947.65</v>
      </c>
      <c r="D111" s="116">
        <v>1918.75</v>
      </c>
      <c r="E111" s="116">
        <v>1931.4</v>
      </c>
      <c r="F111" s="116">
        <v>1947.65</v>
      </c>
      <c r="G111">
        <v>2017</v>
      </c>
      <c r="H111" s="116"/>
      <c r="I111" s="116"/>
      <c r="L111" s="170">
        <v>44440</v>
      </c>
      <c r="M111" s="116">
        <v>1945.4</v>
      </c>
      <c r="N111" s="116">
        <v>1979.8</v>
      </c>
      <c r="O111" s="116">
        <v>1919.5</v>
      </c>
      <c r="P111" s="116">
        <v>1925.5</v>
      </c>
      <c r="Q111" s="116">
        <v>1945.4</v>
      </c>
      <c r="R111">
        <v>24885</v>
      </c>
    </row>
    <row r="112" spans="1:18" x14ac:dyDescent="0.25">
      <c r="A112" s="170">
        <v>44441</v>
      </c>
      <c r="B112" s="116">
        <v>2085.6999999999998</v>
      </c>
      <c r="C112" s="116">
        <v>2037</v>
      </c>
      <c r="D112" s="116">
        <v>1977</v>
      </c>
      <c r="E112" s="116">
        <v>1977</v>
      </c>
      <c r="F112" s="116">
        <v>2037</v>
      </c>
      <c r="G112">
        <v>12556</v>
      </c>
      <c r="H112" s="116"/>
      <c r="I112" s="116"/>
      <c r="L112" s="170">
        <v>44441</v>
      </c>
      <c r="M112" s="116">
        <v>2038.1</v>
      </c>
      <c r="N112" s="116">
        <v>2100</v>
      </c>
      <c r="O112" s="116">
        <v>1981.1</v>
      </c>
      <c r="P112" s="116">
        <v>1981.1</v>
      </c>
      <c r="Q112" s="116">
        <v>2038.1</v>
      </c>
      <c r="R112">
        <v>70108</v>
      </c>
    </row>
    <row r="113" spans="1:18" x14ac:dyDescent="0.25">
      <c r="A113" s="170">
        <v>44442</v>
      </c>
      <c r="B113" s="116">
        <v>2066.85</v>
      </c>
      <c r="C113" s="116">
        <v>1987.45</v>
      </c>
      <c r="D113" s="116">
        <v>1970</v>
      </c>
      <c r="E113" s="116">
        <v>2066.8000000000002</v>
      </c>
      <c r="F113" s="116">
        <v>1987.45</v>
      </c>
      <c r="G113">
        <v>3874</v>
      </c>
      <c r="H113" s="116"/>
      <c r="I113" s="116"/>
      <c r="L113" s="170">
        <v>44442</v>
      </c>
      <c r="M113" s="116">
        <v>1983.05</v>
      </c>
      <c r="N113" s="116">
        <v>2064.9</v>
      </c>
      <c r="O113" s="116">
        <v>1972.35</v>
      </c>
      <c r="P113" s="116">
        <v>2064.9</v>
      </c>
      <c r="Q113" s="116">
        <v>1983.05</v>
      </c>
      <c r="R113">
        <v>33695</v>
      </c>
    </row>
    <row r="114" spans="1:18" x14ac:dyDescent="0.25">
      <c r="A114" s="170">
        <v>44445</v>
      </c>
      <c r="B114" s="116">
        <v>2015</v>
      </c>
      <c r="C114" s="116">
        <v>1982.15</v>
      </c>
      <c r="D114" s="116">
        <v>1968.55</v>
      </c>
      <c r="E114" s="116">
        <v>1999</v>
      </c>
      <c r="F114" s="116">
        <v>1982.15</v>
      </c>
      <c r="G114">
        <v>2495</v>
      </c>
      <c r="H114" s="116"/>
      <c r="I114" s="116"/>
      <c r="L114" s="170">
        <v>44445</v>
      </c>
      <c r="M114" s="116">
        <v>1983.6</v>
      </c>
      <c r="N114" s="116">
        <v>2017.35</v>
      </c>
      <c r="O114" s="116">
        <v>1975.65</v>
      </c>
      <c r="P114" s="116">
        <v>1998.25</v>
      </c>
      <c r="Q114" s="116">
        <v>1983.6</v>
      </c>
      <c r="R114">
        <v>20081</v>
      </c>
    </row>
    <row r="115" spans="1:18" x14ac:dyDescent="0.25">
      <c r="A115" s="170">
        <v>44446</v>
      </c>
      <c r="B115" s="116">
        <v>2023.5</v>
      </c>
      <c r="C115" s="116">
        <v>1984.4</v>
      </c>
      <c r="D115" s="116">
        <v>1964.15</v>
      </c>
      <c r="E115" s="116">
        <v>1988.25</v>
      </c>
      <c r="F115" s="116">
        <v>1984.4</v>
      </c>
      <c r="G115">
        <v>1450</v>
      </c>
      <c r="H115" s="116"/>
      <c r="I115" s="116"/>
      <c r="L115" s="170">
        <v>44446</v>
      </c>
      <c r="M115" s="116">
        <v>1985.6</v>
      </c>
      <c r="N115" s="116">
        <v>2025</v>
      </c>
      <c r="O115" s="116">
        <v>1960</v>
      </c>
      <c r="P115" s="116">
        <v>1994</v>
      </c>
      <c r="Q115" s="116">
        <v>1985.6</v>
      </c>
      <c r="R115">
        <v>13379</v>
      </c>
    </row>
    <row r="116" spans="1:18" x14ac:dyDescent="0.25">
      <c r="A116" s="170">
        <v>44447</v>
      </c>
      <c r="B116" s="116">
        <v>2008.75</v>
      </c>
      <c r="C116" s="116">
        <v>1979.4</v>
      </c>
      <c r="D116" s="116">
        <v>1956.6</v>
      </c>
      <c r="E116" s="116">
        <v>1975.05</v>
      </c>
      <c r="F116" s="116">
        <v>1979.4</v>
      </c>
      <c r="G116">
        <v>968</v>
      </c>
      <c r="H116" s="116"/>
      <c r="I116" s="116"/>
      <c r="L116" s="170">
        <v>44447</v>
      </c>
      <c r="M116" s="116">
        <v>1977.3</v>
      </c>
      <c r="N116" s="116">
        <v>2010</v>
      </c>
      <c r="O116" s="116">
        <v>1953.05</v>
      </c>
      <c r="P116" s="116">
        <v>1980</v>
      </c>
      <c r="Q116" s="116">
        <v>1977.3</v>
      </c>
      <c r="R116">
        <v>9053</v>
      </c>
    </row>
    <row r="117" spans="1:18" x14ac:dyDescent="0.25">
      <c r="A117" s="170">
        <v>44448</v>
      </c>
      <c r="B117" s="116">
        <v>1993.2</v>
      </c>
      <c r="C117" s="116">
        <v>1980.6</v>
      </c>
      <c r="D117" s="116">
        <v>1970</v>
      </c>
      <c r="E117" s="116">
        <v>1979.8</v>
      </c>
      <c r="F117" s="116">
        <v>1980.6</v>
      </c>
      <c r="G117">
        <v>1942</v>
      </c>
      <c r="H117" s="116"/>
      <c r="I117" s="116"/>
      <c r="L117" s="170">
        <v>44448</v>
      </c>
      <c r="M117" s="116">
        <v>1978.15</v>
      </c>
      <c r="N117" s="116">
        <v>1992.65</v>
      </c>
      <c r="O117" s="116">
        <v>1967</v>
      </c>
      <c r="P117" s="116">
        <v>1975</v>
      </c>
      <c r="Q117" s="116">
        <v>1978.15</v>
      </c>
      <c r="R117">
        <v>9929</v>
      </c>
    </row>
    <row r="118" spans="1:18" x14ac:dyDescent="0.25">
      <c r="A118" s="170">
        <v>44452</v>
      </c>
      <c r="B118" s="116">
        <v>1987</v>
      </c>
      <c r="C118" s="116">
        <v>1971.55</v>
      </c>
      <c r="D118" s="116">
        <v>1943.6</v>
      </c>
      <c r="E118" s="116">
        <v>1987</v>
      </c>
      <c r="F118" s="116">
        <v>1971.55</v>
      </c>
      <c r="G118">
        <v>1575</v>
      </c>
      <c r="H118" s="116"/>
      <c r="I118" s="116"/>
      <c r="L118" s="170">
        <v>44452</v>
      </c>
      <c r="M118" s="116">
        <v>1971.55</v>
      </c>
      <c r="N118" s="116">
        <v>1983.8</v>
      </c>
      <c r="O118" s="116">
        <v>1950.05</v>
      </c>
      <c r="P118" s="116">
        <v>1965</v>
      </c>
      <c r="Q118" s="116">
        <v>1971.55</v>
      </c>
      <c r="R118">
        <v>9908</v>
      </c>
    </row>
    <row r="119" spans="1:18" x14ac:dyDescent="0.25">
      <c r="A119" s="170">
        <v>44453</v>
      </c>
      <c r="B119" s="116">
        <v>1994.35</v>
      </c>
      <c r="C119" s="116">
        <v>1966.2</v>
      </c>
      <c r="D119" s="116">
        <v>1960.1</v>
      </c>
      <c r="E119" s="116">
        <v>1960.1</v>
      </c>
      <c r="F119" s="116">
        <v>1966.2</v>
      </c>
      <c r="G119">
        <v>1859</v>
      </c>
      <c r="H119" s="116"/>
      <c r="I119" s="116"/>
      <c r="L119" s="170">
        <v>44453</v>
      </c>
      <c r="M119" s="116">
        <v>1966.45</v>
      </c>
      <c r="N119" s="116">
        <v>1990</v>
      </c>
      <c r="O119" s="116">
        <v>1961.2</v>
      </c>
      <c r="P119" s="116">
        <v>1985.6</v>
      </c>
      <c r="Q119" s="116">
        <v>1966.45</v>
      </c>
      <c r="R119">
        <v>9061</v>
      </c>
    </row>
    <row r="120" spans="1:18" x14ac:dyDescent="0.25">
      <c r="A120" s="170">
        <v>44454</v>
      </c>
      <c r="B120" s="116">
        <v>2014.85</v>
      </c>
      <c r="C120" s="116">
        <v>1965.65</v>
      </c>
      <c r="D120" s="116">
        <v>1945</v>
      </c>
      <c r="E120" s="116">
        <v>1953.2</v>
      </c>
      <c r="F120" s="116">
        <v>1965.65</v>
      </c>
      <c r="G120">
        <v>1865</v>
      </c>
      <c r="H120" s="116"/>
      <c r="I120" s="116"/>
      <c r="L120" s="170">
        <v>44454</v>
      </c>
      <c r="M120" s="116">
        <v>1965.25</v>
      </c>
      <c r="N120" s="116">
        <v>2019</v>
      </c>
      <c r="O120" s="116">
        <v>1940.65</v>
      </c>
      <c r="P120" s="116">
        <v>1977</v>
      </c>
      <c r="Q120" s="116">
        <v>1965.25</v>
      </c>
      <c r="R120">
        <v>22727</v>
      </c>
    </row>
    <row r="121" spans="1:18" x14ac:dyDescent="0.25">
      <c r="A121" s="170">
        <v>44455</v>
      </c>
      <c r="B121" s="116">
        <v>1989.85</v>
      </c>
      <c r="C121" s="116">
        <v>1974.65</v>
      </c>
      <c r="D121" s="116">
        <v>1953.3</v>
      </c>
      <c r="E121" s="116">
        <v>1989</v>
      </c>
      <c r="F121" s="116">
        <v>1974.65</v>
      </c>
      <c r="G121">
        <v>1880</v>
      </c>
      <c r="H121" s="116"/>
      <c r="I121" s="116"/>
      <c r="L121" s="170">
        <v>44455</v>
      </c>
      <c r="M121" s="116">
        <v>1975</v>
      </c>
      <c r="N121" s="116">
        <v>1990</v>
      </c>
      <c r="O121" s="116">
        <v>1963.05</v>
      </c>
      <c r="P121" s="116">
        <v>1970</v>
      </c>
      <c r="Q121" s="116">
        <v>1975</v>
      </c>
      <c r="R121">
        <v>9419</v>
      </c>
    </row>
    <row r="122" spans="1:18" x14ac:dyDescent="0.25">
      <c r="A122" s="170">
        <v>44456</v>
      </c>
      <c r="B122" s="116">
        <v>1986.7</v>
      </c>
      <c r="C122" s="116">
        <v>1973.25</v>
      </c>
      <c r="D122" s="116">
        <v>1956.65</v>
      </c>
      <c r="E122" s="116">
        <v>1979</v>
      </c>
      <c r="F122" s="116">
        <v>1973.25</v>
      </c>
      <c r="G122">
        <v>1201</v>
      </c>
      <c r="H122" s="116"/>
      <c r="I122" s="116"/>
      <c r="L122" s="170">
        <v>44456</v>
      </c>
      <c r="M122" s="116">
        <v>1978.1</v>
      </c>
      <c r="N122" s="116">
        <v>1992</v>
      </c>
      <c r="O122" s="116">
        <v>1955</v>
      </c>
      <c r="P122" s="116">
        <v>1992</v>
      </c>
      <c r="Q122" s="116">
        <v>1978.1</v>
      </c>
      <c r="R122">
        <v>28051</v>
      </c>
    </row>
    <row r="123" spans="1:18" x14ac:dyDescent="0.25">
      <c r="A123" s="170">
        <v>44459</v>
      </c>
      <c r="B123" s="116">
        <v>2046.75</v>
      </c>
      <c r="C123" s="116">
        <v>1959.25</v>
      </c>
      <c r="D123" s="116">
        <v>1958</v>
      </c>
      <c r="E123" s="116">
        <v>1986.95</v>
      </c>
      <c r="F123" s="116">
        <v>1959.25</v>
      </c>
      <c r="G123">
        <v>1449</v>
      </c>
      <c r="H123" s="116"/>
      <c r="I123" s="116"/>
      <c r="L123" s="170">
        <v>44459</v>
      </c>
      <c r="M123" s="116">
        <v>1960.2</v>
      </c>
      <c r="N123" s="116">
        <v>2014</v>
      </c>
      <c r="O123" s="116">
        <v>1958.45</v>
      </c>
      <c r="P123" s="116">
        <v>1985</v>
      </c>
      <c r="Q123" s="116">
        <v>1960.2</v>
      </c>
      <c r="R123">
        <v>19835</v>
      </c>
    </row>
    <row r="124" spans="1:18" x14ac:dyDescent="0.25">
      <c r="A124" s="170">
        <v>44460</v>
      </c>
      <c r="B124" s="116">
        <v>1988.05</v>
      </c>
      <c r="C124" s="116">
        <v>1964.75</v>
      </c>
      <c r="D124" s="116">
        <v>1822</v>
      </c>
      <c r="E124" s="116">
        <v>1822</v>
      </c>
      <c r="F124" s="116">
        <v>1964.75</v>
      </c>
      <c r="G124">
        <v>1266</v>
      </c>
      <c r="H124" s="116"/>
      <c r="I124" s="116"/>
      <c r="L124" s="170">
        <v>44460</v>
      </c>
      <c r="M124" s="116">
        <v>1964.35</v>
      </c>
      <c r="N124" s="116">
        <v>1989.95</v>
      </c>
      <c r="O124" s="116">
        <v>1929</v>
      </c>
      <c r="P124" s="116">
        <v>1941</v>
      </c>
      <c r="Q124" s="116">
        <v>1964.35</v>
      </c>
      <c r="R124">
        <v>12374</v>
      </c>
    </row>
    <row r="125" spans="1:18" x14ac:dyDescent="0.25">
      <c r="A125" s="170">
        <v>44461</v>
      </c>
      <c r="B125" s="116">
        <v>1980</v>
      </c>
      <c r="C125" s="116">
        <v>1969.2</v>
      </c>
      <c r="D125" s="116">
        <v>1960.85</v>
      </c>
      <c r="E125" s="116">
        <v>1972.4</v>
      </c>
      <c r="F125" s="116">
        <v>1969.2</v>
      </c>
      <c r="G125">
        <v>934</v>
      </c>
      <c r="H125" s="116"/>
      <c r="I125" s="116"/>
      <c r="L125" s="170">
        <v>44461</v>
      </c>
      <c r="M125" s="116">
        <v>1970.15</v>
      </c>
      <c r="N125" s="116">
        <v>1982.25</v>
      </c>
      <c r="O125" s="116">
        <v>1962</v>
      </c>
      <c r="P125" s="116">
        <v>1982.25</v>
      </c>
      <c r="Q125" s="116">
        <v>1970.15</v>
      </c>
      <c r="R125">
        <v>5994</v>
      </c>
    </row>
    <row r="126" spans="1:18" x14ac:dyDescent="0.25">
      <c r="A126" s="170">
        <v>44462</v>
      </c>
      <c r="B126" s="116">
        <v>2151</v>
      </c>
      <c r="C126" s="116">
        <v>2140.9</v>
      </c>
      <c r="D126" s="116">
        <v>1965</v>
      </c>
      <c r="E126" s="116">
        <v>1978</v>
      </c>
      <c r="F126" s="116">
        <v>2140.9</v>
      </c>
      <c r="G126">
        <v>8084</v>
      </c>
      <c r="H126" s="116"/>
      <c r="I126" s="116"/>
      <c r="L126" s="170">
        <v>44462</v>
      </c>
      <c r="M126" s="116">
        <v>2140.4</v>
      </c>
      <c r="N126" s="116">
        <v>2155</v>
      </c>
      <c r="O126" s="116">
        <v>1962.85</v>
      </c>
      <c r="P126" s="116">
        <v>1999</v>
      </c>
      <c r="Q126" s="116">
        <v>2140.4</v>
      </c>
      <c r="R126">
        <v>199435</v>
      </c>
    </row>
    <row r="127" spans="1:18" x14ac:dyDescent="0.25">
      <c r="A127" s="170">
        <v>44463</v>
      </c>
      <c r="B127" s="116">
        <v>2242.35</v>
      </c>
      <c r="C127" s="116">
        <v>2117.5</v>
      </c>
      <c r="D127" s="116">
        <v>2102.6</v>
      </c>
      <c r="E127" s="116">
        <v>2188</v>
      </c>
      <c r="F127" s="116">
        <v>2117.5</v>
      </c>
      <c r="G127">
        <v>26637</v>
      </c>
      <c r="H127" s="116"/>
      <c r="I127" s="116"/>
      <c r="L127" s="170">
        <v>44463</v>
      </c>
      <c r="M127" s="116">
        <v>2116.0500000000002</v>
      </c>
      <c r="N127" s="116">
        <v>2242</v>
      </c>
      <c r="O127" s="116">
        <v>2103.0500000000002</v>
      </c>
      <c r="P127" s="116">
        <v>2178</v>
      </c>
      <c r="Q127" s="116">
        <v>2116.0500000000002</v>
      </c>
      <c r="R127">
        <v>194785</v>
      </c>
    </row>
    <row r="128" spans="1:18" x14ac:dyDescent="0.25">
      <c r="A128" s="170">
        <v>44466</v>
      </c>
      <c r="B128" s="116">
        <v>2140</v>
      </c>
      <c r="C128" s="116">
        <v>2117.75</v>
      </c>
      <c r="D128" s="116">
        <v>2013</v>
      </c>
      <c r="E128" s="116">
        <v>2013</v>
      </c>
      <c r="F128" s="116">
        <v>2117.75</v>
      </c>
      <c r="G128">
        <v>5812</v>
      </c>
      <c r="H128" s="116"/>
      <c r="I128" s="116"/>
      <c r="L128" s="170">
        <v>44466</v>
      </c>
      <c r="M128" s="116">
        <v>2122.1</v>
      </c>
      <c r="N128" s="116">
        <v>2141.1</v>
      </c>
      <c r="O128" s="116">
        <v>2082.5500000000002</v>
      </c>
      <c r="P128" s="116">
        <v>2129.9499999999998</v>
      </c>
      <c r="Q128" s="116">
        <v>2122.1</v>
      </c>
      <c r="R128">
        <v>30369</v>
      </c>
    </row>
    <row r="129" spans="1:18" x14ac:dyDescent="0.25">
      <c r="A129" s="170">
        <v>44467</v>
      </c>
      <c r="B129" s="116">
        <v>2140</v>
      </c>
      <c r="C129" s="116">
        <v>2124.35</v>
      </c>
      <c r="D129" s="116">
        <v>2101.5500000000002</v>
      </c>
      <c r="E129" s="116">
        <v>2101.5500000000002</v>
      </c>
      <c r="F129" s="116">
        <v>2124.35</v>
      </c>
      <c r="G129">
        <v>1507</v>
      </c>
      <c r="H129" s="116"/>
      <c r="I129" s="116"/>
      <c r="L129" s="170">
        <v>44467</v>
      </c>
      <c r="M129" s="116">
        <v>2121</v>
      </c>
      <c r="N129" s="116">
        <v>2142</v>
      </c>
      <c r="O129" s="116">
        <v>2097.85</v>
      </c>
      <c r="P129" s="116">
        <v>2135</v>
      </c>
      <c r="Q129" s="116">
        <v>2121</v>
      </c>
      <c r="R129">
        <v>27090</v>
      </c>
    </row>
    <row r="130" spans="1:18" x14ac:dyDescent="0.25">
      <c r="A130" s="170">
        <v>44468</v>
      </c>
      <c r="B130" s="116">
        <v>2159.1</v>
      </c>
      <c r="C130" s="116">
        <v>2121.3000000000002</v>
      </c>
      <c r="D130" s="116">
        <v>2063</v>
      </c>
      <c r="E130" s="116">
        <v>2063</v>
      </c>
      <c r="F130" s="116">
        <v>2121.3000000000002</v>
      </c>
      <c r="G130">
        <v>2967</v>
      </c>
      <c r="H130" s="116"/>
      <c r="I130" s="116"/>
      <c r="L130" s="170">
        <v>44468</v>
      </c>
      <c r="M130" s="116">
        <v>2121.9</v>
      </c>
      <c r="N130" s="116">
        <v>2160</v>
      </c>
      <c r="O130" s="116">
        <v>2091.15</v>
      </c>
      <c r="P130" s="116">
        <v>2120.9499999999998</v>
      </c>
      <c r="Q130" s="116">
        <v>2121.9</v>
      </c>
      <c r="R130">
        <v>20996</v>
      </c>
    </row>
    <row r="131" spans="1:18" x14ac:dyDescent="0.25">
      <c r="A131" s="170">
        <v>44469</v>
      </c>
      <c r="B131" s="116">
        <v>2120</v>
      </c>
      <c r="C131" s="116">
        <v>2109.6</v>
      </c>
      <c r="D131" s="116">
        <v>2061</v>
      </c>
      <c r="E131" s="116">
        <v>2100</v>
      </c>
      <c r="F131" s="116">
        <v>2109.6</v>
      </c>
      <c r="G131">
        <v>534</v>
      </c>
      <c r="H131" s="116"/>
      <c r="I131" s="116"/>
      <c r="L131" s="170">
        <v>44469</v>
      </c>
      <c r="M131" s="116">
        <v>2109.75</v>
      </c>
      <c r="N131" s="116">
        <v>2125.75</v>
      </c>
      <c r="O131" s="116">
        <v>2103</v>
      </c>
      <c r="P131" s="116">
        <v>2105</v>
      </c>
      <c r="Q131" s="116">
        <v>2109.75</v>
      </c>
      <c r="R131">
        <v>10208</v>
      </c>
    </row>
    <row r="132" spans="1:18" x14ac:dyDescent="0.25">
      <c r="A132" s="170">
        <v>44470</v>
      </c>
      <c r="B132" s="116">
        <v>2120.1</v>
      </c>
      <c r="C132" s="116">
        <v>2107.1</v>
      </c>
      <c r="D132" s="116">
        <v>2051.9499999999998</v>
      </c>
      <c r="E132" s="116">
        <v>2064.8000000000002</v>
      </c>
      <c r="F132" s="116">
        <v>2107.1</v>
      </c>
      <c r="G132">
        <v>830</v>
      </c>
      <c r="H132" s="116"/>
      <c r="I132" s="116"/>
      <c r="L132" s="170">
        <v>44470</v>
      </c>
      <c r="M132" s="116">
        <v>2106.8000000000002</v>
      </c>
      <c r="N132" s="116">
        <v>2124.9</v>
      </c>
      <c r="O132" s="116">
        <v>2049.5</v>
      </c>
      <c r="P132" s="116">
        <v>2090</v>
      </c>
      <c r="Q132" s="116">
        <v>2106.8000000000002</v>
      </c>
      <c r="R132">
        <v>19447</v>
      </c>
    </row>
    <row r="133" spans="1:18" x14ac:dyDescent="0.25">
      <c r="A133" s="170">
        <v>44473</v>
      </c>
      <c r="B133" s="116">
        <v>2140</v>
      </c>
      <c r="C133" s="116">
        <v>2110.9499999999998</v>
      </c>
      <c r="D133" s="116">
        <v>2074.4499999999998</v>
      </c>
      <c r="E133" s="116">
        <v>2130</v>
      </c>
      <c r="F133" s="116">
        <v>2110.9499999999998</v>
      </c>
      <c r="G133">
        <v>3172</v>
      </c>
      <c r="H133" s="116"/>
      <c r="I133" s="116"/>
      <c r="L133" s="170">
        <v>44473</v>
      </c>
      <c r="M133" s="116">
        <v>2111.1</v>
      </c>
      <c r="N133" s="116">
        <v>2142.5500000000002</v>
      </c>
      <c r="O133" s="116">
        <v>2072.65</v>
      </c>
      <c r="P133" s="116">
        <v>2129.9</v>
      </c>
      <c r="Q133" s="116">
        <v>2111.1</v>
      </c>
      <c r="R133">
        <v>21799</v>
      </c>
    </row>
    <row r="134" spans="1:18" x14ac:dyDescent="0.25">
      <c r="A134" s="170">
        <v>44474</v>
      </c>
      <c r="B134" s="116">
        <v>2225</v>
      </c>
      <c r="C134" s="116">
        <v>2168.25</v>
      </c>
      <c r="D134" s="116">
        <v>2110.5</v>
      </c>
      <c r="E134" s="116">
        <v>2110.5</v>
      </c>
      <c r="F134" s="116">
        <v>2168.25</v>
      </c>
      <c r="G134">
        <v>2860</v>
      </c>
      <c r="H134" s="116"/>
      <c r="I134" s="116"/>
      <c r="L134" s="170">
        <v>44474</v>
      </c>
      <c r="M134" s="116">
        <v>2178.35</v>
      </c>
      <c r="N134" s="116">
        <v>2220</v>
      </c>
      <c r="O134" s="116">
        <v>2103.3000000000002</v>
      </c>
      <c r="P134" s="116">
        <v>2115</v>
      </c>
      <c r="Q134" s="116">
        <v>2178.35</v>
      </c>
      <c r="R134">
        <v>49575</v>
      </c>
    </row>
    <row r="135" spans="1:18" x14ac:dyDescent="0.25">
      <c r="A135" s="170">
        <v>44475</v>
      </c>
      <c r="B135" s="116">
        <v>2327.4</v>
      </c>
      <c r="C135" s="116">
        <v>2240.85</v>
      </c>
      <c r="D135" s="116">
        <v>2197.85</v>
      </c>
      <c r="E135" s="116">
        <v>2218</v>
      </c>
      <c r="F135" s="116">
        <v>2240.85</v>
      </c>
      <c r="G135">
        <v>11504</v>
      </c>
      <c r="H135" s="116"/>
      <c r="I135" s="116"/>
      <c r="L135" s="170">
        <v>44475</v>
      </c>
      <c r="M135" s="116">
        <v>2240.75</v>
      </c>
      <c r="N135" s="116">
        <v>2328</v>
      </c>
      <c r="O135" s="116">
        <v>2194.9</v>
      </c>
      <c r="P135" s="116">
        <v>2204.8000000000002</v>
      </c>
      <c r="Q135" s="116">
        <v>2240.75</v>
      </c>
      <c r="R135">
        <v>153065</v>
      </c>
    </row>
    <row r="136" spans="1:18" x14ac:dyDescent="0.25">
      <c r="A136" s="170">
        <v>44476</v>
      </c>
      <c r="B136" s="116">
        <v>2289</v>
      </c>
      <c r="C136" s="116">
        <v>2208.6</v>
      </c>
      <c r="D136" s="116">
        <v>2175</v>
      </c>
      <c r="E136" s="116">
        <v>2288</v>
      </c>
      <c r="F136" s="116">
        <v>2208.6</v>
      </c>
      <c r="G136">
        <v>5032</v>
      </c>
      <c r="H136" s="116"/>
      <c r="I136" s="116"/>
      <c r="L136" s="170">
        <v>44476</v>
      </c>
      <c r="M136" s="116">
        <v>2204.4</v>
      </c>
      <c r="N136" s="116">
        <v>2290.5500000000002</v>
      </c>
      <c r="O136" s="116">
        <v>2182.85</v>
      </c>
      <c r="P136" s="116">
        <v>2275.1999999999998</v>
      </c>
      <c r="Q136" s="116">
        <v>2204.4</v>
      </c>
      <c r="R136">
        <v>29289</v>
      </c>
    </row>
    <row r="137" spans="1:18" x14ac:dyDescent="0.25">
      <c r="A137" s="170">
        <v>44477</v>
      </c>
      <c r="B137" s="116">
        <v>2267.1</v>
      </c>
      <c r="C137" s="116">
        <v>2180.75</v>
      </c>
      <c r="D137" s="116">
        <v>2160</v>
      </c>
      <c r="E137" s="116">
        <v>2160</v>
      </c>
      <c r="F137" s="116">
        <v>2180.75</v>
      </c>
      <c r="G137">
        <v>3393</v>
      </c>
      <c r="H137" s="116"/>
      <c r="I137" s="116"/>
      <c r="L137" s="170">
        <v>44477</v>
      </c>
      <c r="M137" s="116">
        <v>2183.15</v>
      </c>
      <c r="N137" s="116">
        <v>2320</v>
      </c>
      <c r="O137" s="116">
        <v>2171.85</v>
      </c>
      <c r="P137" s="116">
        <v>2221.9499999999998</v>
      </c>
      <c r="Q137" s="116">
        <v>2183.15</v>
      </c>
      <c r="R137">
        <v>17787</v>
      </c>
    </row>
    <row r="138" spans="1:18" x14ac:dyDescent="0.25">
      <c r="A138" s="170">
        <v>44480</v>
      </c>
      <c r="B138" s="116">
        <v>2299.4499999999998</v>
      </c>
      <c r="C138" s="116">
        <v>2257.6</v>
      </c>
      <c r="D138" s="116">
        <v>2187</v>
      </c>
      <c r="E138" s="116">
        <v>2187</v>
      </c>
      <c r="F138" s="116">
        <v>2257.6</v>
      </c>
      <c r="G138">
        <v>1850</v>
      </c>
      <c r="H138" s="116"/>
      <c r="I138" s="116"/>
      <c r="L138" s="170">
        <v>44480</v>
      </c>
      <c r="M138" s="116">
        <v>2253.0500000000002</v>
      </c>
      <c r="N138" s="116">
        <v>2298.9</v>
      </c>
      <c r="O138" s="116">
        <v>2232.4</v>
      </c>
      <c r="P138" s="116">
        <v>2234</v>
      </c>
      <c r="Q138" s="116">
        <v>2253.0500000000002</v>
      </c>
      <c r="R138">
        <v>37983</v>
      </c>
    </row>
    <row r="139" spans="1:18" x14ac:dyDescent="0.25">
      <c r="A139" s="170">
        <v>44481</v>
      </c>
      <c r="B139" s="116">
        <v>2285</v>
      </c>
      <c r="C139" s="116">
        <v>2267.3000000000002</v>
      </c>
      <c r="D139" s="116">
        <v>2233.5</v>
      </c>
      <c r="E139" s="116">
        <v>2260</v>
      </c>
      <c r="F139" s="116">
        <v>2267.3000000000002</v>
      </c>
      <c r="G139">
        <v>3624</v>
      </c>
      <c r="H139" s="116"/>
      <c r="I139" s="116"/>
      <c r="L139" s="170">
        <v>44481</v>
      </c>
      <c r="M139" s="116">
        <v>2267.0500000000002</v>
      </c>
      <c r="N139" s="116">
        <v>2288.5500000000002</v>
      </c>
      <c r="O139" s="116">
        <v>2236.1999999999998</v>
      </c>
      <c r="P139" s="116">
        <v>2258</v>
      </c>
      <c r="Q139" s="116">
        <v>2267.0500000000002</v>
      </c>
      <c r="R139">
        <v>20010</v>
      </c>
    </row>
    <row r="140" spans="1:18" x14ac:dyDescent="0.25">
      <c r="A140" s="170">
        <v>44482</v>
      </c>
      <c r="B140" s="116">
        <v>2539.5500000000002</v>
      </c>
      <c r="C140" s="116">
        <v>2428.75</v>
      </c>
      <c r="D140" s="116">
        <v>2251</v>
      </c>
      <c r="E140" s="116">
        <v>2251</v>
      </c>
      <c r="F140" s="116">
        <v>2428.75</v>
      </c>
      <c r="G140">
        <v>25767</v>
      </c>
      <c r="H140" s="116"/>
      <c r="I140" s="116"/>
      <c r="L140" s="170">
        <v>44482</v>
      </c>
      <c r="M140" s="116">
        <v>2426.6999999999998</v>
      </c>
      <c r="N140" s="116">
        <v>2540</v>
      </c>
      <c r="O140" s="116">
        <v>2280.75</v>
      </c>
      <c r="P140" s="116">
        <v>2285</v>
      </c>
      <c r="Q140" s="116">
        <v>2426.6999999999998</v>
      </c>
      <c r="R140">
        <v>207267</v>
      </c>
    </row>
    <row r="141" spans="1:18" x14ac:dyDescent="0.25">
      <c r="A141" s="170">
        <v>44483</v>
      </c>
      <c r="B141" s="116">
        <v>2489</v>
      </c>
      <c r="C141" s="116">
        <v>2382.8000000000002</v>
      </c>
      <c r="D141" s="116">
        <v>2367.25</v>
      </c>
      <c r="E141" s="116">
        <v>2380</v>
      </c>
      <c r="F141" s="116">
        <v>2382.8000000000002</v>
      </c>
      <c r="G141">
        <v>7938</v>
      </c>
      <c r="H141" s="116"/>
      <c r="I141" s="116"/>
      <c r="L141" s="170">
        <v>44483</v>
      </c>
      <c r="M141" s="116">
        <v>2385.8000000000002</v>
      </c>
      <c r="N141" s="116">
        <v>2475</v>
      </c>
      <c r="O141" s="116">
        <v>2371.1</v>
      </c>
      <c r="P141" s="116">
        <v>2430</v>
      </c>
      <c r="Q141" s="116">
        <v>2385.8000000000002</v>
      </c>
      <c r="R141">
        <v>34622</v>
      </c>
    </row>
    <row r="142" spans="1:18" x14ac:dyDescent="0.25">
      <c r="A142" s="170">
        <v>44487</v>
      </c>
      <c r="B142" s="116">
        <v>2568.6999999999998</v>
      </c>
      <c r="C142" s="116">
        <v>2530.4</v>
      </c>
      <c r="D142" s="116">
        <v>2412.4</v>
      </c>
      <c r="E142" s="116">
        <v>2430.0500000000002</v>
      </c>
      <c r="F142" s="116">
        <v>2530.4</v>
      </c>
      <c r="G142">
        <v>12452</v>
      </c>
      <c r="H142" s="116"/>
      <c r="I142" s="116"/>
      <c r="L142" s="170">
        <v>44487</v>
      </c>
      <c r="M142" s="116">
        <v>2531.35</v>
      </c>
      <c r="N142" s="116">
        <v>2570</v>
      </c>
      <c r="O142" s="116">
        <v>2412.25</v>
      </c>
      <c r="P142" s="116">
        <v>2438</v>
      </c>
      <c r="Q142" s="116">
        <v>2531.35</v>
      </c>
      <c r="R142">
        <v>133460</v>
      </c>
    </row>
    <row r="143" spans="1:18" x14ac:dyDescent="0.25">
      <c r="A143" s="170">
        <v>44488</v>
      </c>
      <c r="B143" s="116">
        <v>2714</v>
      </c>
      <c r="C143" s="116">
        <v>2546</v>
      </c>
      <c r="D143" s="116">
        <v>2516.4499999999998</v>
      </c>
      <c r="E143" s="116">
        <v>2714</v>
      </c>
      <c r="F143" s="116">
        <v>2546</v>
      </c>
      <c r="G143">
        <v>14345</v>
      </c>
      <c r="H143" s="116"/>
      <c r="I143" s="116"/>
      <c r="L143" s="170">
        <v>44488</v>
      </c>
      <c r="M143" s="116">
        <v>2549.9</v>
      </c>
      <c r="N143" s="116">
        <v>2710</v>
      </c>
      <c r="O143" s="116">
        <v>2510.1999999999998</v>
      </c>
      <c r="P143" s="116">
        <v>2695</v>
      </c>
      <c r="Q143" s="116">
        <v>2549.9</v>
      </c>
      <c r="R143">
        <v>127654</v>
      </c>
    </row>
    <row r="144" spans="1:18" x14ac:dyDescent="0.25">
      <c r="A144" s="170">
        <v>44489</v>
      </c>
      <c r="B144" s="116">
        <v>2673.15</v>
      </c>
      <c r="C144" s="116">
        <v>2518.1999999999998</v>
      </c>
      <c r="D144" s="116">
        <v>2428.25</v>
      </c>
      <c r="E144" s="116">
        <v>2543</v>
      </c>
      <c r="F144" s="116">
        <v>2518.1999999999998</v>
      </c>
      <c r="G144">
        <v>3912</v>
      </c>
      <c r="H144" s="116"/>
      <c r="I144" s="116"/>
      <c r="L144" s="170">
        <v>44489</v>
      </c>
      <c r="M144" s="116">
        <v>2520.35</v>
      </c>
      <c r="N144" s="116">
        <v>2678</v>
      </c>
      <c r="O144" s="116">
        <v>2425.1</v>
      </c>
      <c r="P144" s="116">
        <v>2555</v>
      </c>
      <c r="Q144" s="116">
        <v>2520.35</v>
      </c>
      <c r="R144">
        <v>85608</v>
      </c>
    </row>
    <row r="145" spans="1:18" x14ac:dyDescent="0.25">
      <c r="A145" s="170">
        <v>44490</v>
      </c>
      <c r="B145" s="116">
        <v>2523.35</v>
      </c>
      <c r="C145" s="116">
        <v>2466.8000000000002</v>
      </c>
      <c r="D145" s="116">
        <v>2448.8000000000002</v>
      </c>
      <c r="E145" s="116">
        <v>2518.25</v>
      </c>
      <c r="F145" s="116">
        <v>2466.8000000000002</v>
      </c>
      <c r="G145">
        <v>1992</v>
      </c>
      <c r="H145" s="116"/>
      <c r="I145" s="116"/>
      <c r="L145" s="170">
        <v>44490</v>
      </c>
      <c r="M145" s="116">
        <v>2467.35</v>
      </c>
      <c r="N145" s="116">
        <v>2532</v>
      </c>
      <c r="O145" s="116">
        <v>2447.4</v>
      </c>
      <c r="P145" s="116">
        <v>2532</v>
      </c>
      <c r="Q145" s="116">
        <v>2467.35</v>
      </c>
      <c r="R145">
        <v>30670</v>
      </c>
    </row>
    <row r="146" spans="1:18" x14ac:dyDescent="0.25">
      <c r="A146" s="170">
        <v>44491</v>
      </c>
      <c r="B146" s="116">
        <v>2485.25</v>
      </c>
      <c r="C146" s="116">
        <v>2408</v>
      </c>
      <c r="D146" s="116">
        <v>2401</v>
      </c>
      <c r="E146" s="116">
        <v>2485.25</v>
      </c>
      <c r="F146" s="116">
        <v>2408</v>
      </c>
      <c r="G146">
        <v>1303</v>
      </c>
      <c r="H146" s="116"/>
      <c r="I146" s="116"/>
      <c r="L146" s="170">
        <v>44491</v>
      </c>
      <c r="M146" s="116">
        <v>2409.85</v>
      </c>
      <c r="N146" s="116">
        <v>2488.8000000000002</v>
      </c>
      <c r="O146" s="116">
        <v>2400</v>
      </c>
      <c r="P146" s="116">
        <v>2475</v>
      </c>
      <c r="Q146" s="116">
        <v>2409.85</v>
      </c>
      <c r="R146">
        <v>22584</v>
      </c>
    </row>
    <row r="147" spans="1:18" x14ac:dyDescent="0.25">
      <c r="A147" s="170">
        <v>44494</v>
      </c>
      <c r="B147" s="116">
        <v>2509.5500000000002</v>
      </c>
      <c r="C147" s="116">
        <v>2495.6999999999998</v>
      </c>
      <c r="D147" s="116">
        <v>2345.5500000000002</v>
      </c>
      <c r="E147" s="116">
        <v>2371</v>
      </c>
      <c r="F147" s="116">
        <v>2495.6999999999998</v>
      </c>
      <c r="G147">
        <v>2955</v>
      </c>
      <c r="H147" s="116"/>
      <c r="I147" s="116"/>
      <c r="L147" s="170">
        <v>44494</v>
      </c>
      <c r="M147" s="116">
        <v>2499.25</v>
      </c>
      <c r="N147" s="116">
        <v>2506.15</v>
      </c>
      <c r="O147" s="116">
        <v>2345</v>
      </c>
      <c r="P147" s="116">
        <v>2415</v>
      </c>
      <c r="Q147" s="116">
        <v>2499.25</v>
      </c>
      <c r="R147">
        <v>62453</v>
      </c>
    </row>
    <row r="148" spans="1:18" x14ac:dyDescent="0.25">
      <c r="A148" s="170">
        <v>44495</v>
      </c>
      <c r="B148" s="116">
        <v>2629</v>
      </c>
      <c r="C148" s="116">
        <v>2602.5</v>
      </c>
      <c r="D148" s="116">
        <v>2463.5500000000002</v>
      </c>
      <c r="E148" s="116">
        <v>2498.5</v>
      </c>
      <c r="F148" s="116">
        <v>2602.5</v>
      </c>
      <c r="G148">
        <v>4346</v>
      </c>
      <c r="H148" s="116"/>
      <c r="I148" s="116"/>
      <c r="L148" s="170">
        <v>44495</v>
      </c>
      <c r="M148" s="116">
        <v>2605.6999999999998</v>
      </c>
      <c r="N148" s="116">
        <v>2630</v>
      </c>
      <c r="O148" s="116">
        <v>2461.5500000000002</v>
      </c>
      <c r="P148" s="116">
        <v>2517.9</v>
      </c>
      <c r="Q148" s="116">
        <v>2605.6999999999998</v>
      </c>
      <c r="R148">
        <v>62615</v>
      </c>
    </row>
    <row r="149" spans="1:18" x14ac:dyDescent="0.25">
      <c r="A149" s="170">
        <v>44496</v>
      </c>
      <c r="B149" s="116">
        <v>2679</v>
      </c>
      <c r="C149" s="116">
        <v>2579.75</v>
      </c>
      <c r="D149" s="116">
        <v>2570</v>
      </c>
      <c r="E149" s="116">
        <v>2650</v>
      </c>
      <c r="F149" s="116">
        <v>2579.75</v>
      </c>
      <c r="G149">
        <v>1879</v>
      </c>
      <c r="H149" s="116"/>
      <c r="I149" s="116"/>
      <c r="L149" s="170">
        <v>44496</v>
      </c>
      <c r="M149" s="116">
        <v>2577.9499999999998</v>
      </c>
      <c r="N149" s="116">
        <v>2680.05</v>
      </c>
      <c r="O149" s="116">
        <v>2550</v>
      </c>
      <c r="P149" s="116">
        <v>2606</v>
      </c>
      <c r="Q149" s="116">
        <v>2577.9499999999998</v>
      </c>
      <c r="R149">
        <v>29336</v>
      </c>
    </row>
    <row r="150" spans="1:18" x14ac:dyDescent="0.25">
      <c r="A150" s="170">
        <v>44497</v>
      </c>
      <c r="B150" s="116">
        <v>2593.35</v>
      </c>
      <c r="C150" s="116">
        <v>2565.6999999999998</v>
      </c>
      <c r="D150" s="116">
        <v>2536.4</v>
      </c>
      <c r="E150" s="116">
        <v>2572</v>
      </c>
      <c r="F150" s="116">
        <v>2565.6999999999998</v>
      </c>
      <c r="G150">
        <v>2291</v>
      </c>
      <c r="H150" s="116"/>
      <c r="I150" s="116"/>
      <c r="L150" s="170">
        <v>44497</v>
      </c>
      <c r="M150" s="116">
        <v>2568</v>
      </c>
      <c r="N150" s="116">
        <v>2598</v>
      </c>
      <c r="O150" s="116">
        <v>2535.15</v>
      </c>
      <c r="P150" s="116">
        <v>2590</v>
      </c>
      <c r="Q150" s="116">
        <v>2568</v>
      </c>
      <c r="R150">
        <v>16068</v>
      </c>
    </row>
    <row r="151" spans="1:18" x14ac:dyDescent="0.25">
      <c r="A151" s="170">
        <v>44498</v>
      </c>
      <c r="B151" s="116">
        <v>2683.4</v>
      </c>
      <c r="C151" s="116">
        <v>2630.6</v>
      </c>
      <c r="D151" s="116">
        <v>2513</v>
      </c>
      <c r="E151" s="116">
        <v>2549.1</v>
      </c>
      <c r="F151" s="116">
        <v>2630.6</v>
      </c>
      <c r="G151">
        <v>3965</v>
      </c>
      <c r="H151" s="116"/>
      <c r="I151" s="116"/>
      <c r="L151" s="170">
        <v>44498</v>
      </c>
      <c r="M151" s="116">
        <v>2628.9</v>
      </c>
      <c r="N151" s="116">
        <v>2682</v>
      </c>
      <c r="O151" s="116">
        <v>2505</v>
      </c>
      <c r="P151" s="116">
        <v>2574</v>
      </c>
      <c r="Q151" s="116">
        <v>2628.9</v>
      </c>
      <c r="R151">
        <v>46497</v>
      </c>
    </row>
    <row r="152" spans="1:18" x14ac:dyDescent="0.25">
      <c r="A152" s="170">
        <v>44501</v>
      </c>
      <c r="B152" s="116">
        <v>2772.8</v>
      </c>
      <c r="C152" s="116">
        <v>2653.9</v>
      </c>
      <c r="D152" s="116">
        <v>2620</v>
      </c>
      <c r="E152" s="116">
        <v>2715</v>
      </c>
      <c r="F152" s="116">
        <v>2653.9</v>
      </c>
      <c r="G152">
        <v>7520</v>
      </c>
      <c r="H152" s="116"/>
      <c r="I152" s="116"/>
      <c r="L152" s="170">
        <v>44501</v>
      </c>
      <c r="M152" s="116">
        <v>2652.7</v>
      </c>
      <c r="N152" s="116">
        <v>2778</v>
      </c>
      <c r="O152" s="116">
        <v>2628.9</v>
      </c>
      <c r="P152" s="116">
        <v>2700</v>
      </c>
      <c r="Q152" s="116">
        <v>2652.7</v>
      </c>
      <c r="R152">
        <v>51725</v>
      </c>
    </row>
    <row r="153" spans="1:18" x14ac:dyDescent="0.25">
      <c r="A153" s="170">
        <v>44502</v>
      </c>
      <c r="B153" s="116">
        <v>2694.7</v>
      </c>
      <c r="C153" s="116">
        <v>2614</v>
      </c>
      <c r="D153" s="116">
        <v>2602.5</v>
      </c>
      <c r="E153" s="116">
        <v>2676.2</v>
      </c>
      <c r="F153" s="116">
        <v>2614</v>
      </c>
      <c r="G153">
        <v>3672</v>
      </c>
      <c r="H153" s="116"/>
      <c r="I153" s="116"/>
      <c r="L153" s="170">
        <v>44502</v>
      </c>
      <c r="M153" s="116">
        <v>2620.0500000000002</v>
      </c>
      <c r="N153" s="116">
        <v>2688</v>
      </c>
      <c r="O153" s="116">
        <v>2601.15</v>
      </c>
      <c r="P153" s="116">
        <v>2672.25</v>
      </c>
      <c r="Q153" s="116">
        <v>2620.0500000000002</v>
      </c>
      <c r="R153">
        <v>22609</v>
      </c>
    </row>
    <row r="154" spans="1:18" x14ac:dyDescent="0.25">
      <c r="A154" s="170">
        <v>44503</v>
      </c>
      <c r="B154" s="116">
        <v>2705</v>
      </c>
      <c r="C154" s="116">
        <v>2602.0500000000002</v>
      </c>
      <c r="D154" s="116">
        <v>2590.0500000000002</v>
      </c>
      <c r="E154" s="116">
        <v>2705</v>
      </c>
      <c r="F154" s="116">
        <v>2602.0500000000002</v>
      </c>
      <c r="G154">
        <v>1897</v>
      </c>
      <c r="H154" s="116"/>
      <c r="I154" s="116"/>
      <c r="L154" s="170">
        <v>44503</v>
      </c>
      <c r="M154" s="116">
        <v>2605.1999999999998</v>
      </c>
      <c r="N154" s="116">
        <v>2675</v>
      </c>
      <c r="O154" s="116">
        <v>2590</v>
      </c>
      <c r="P154" s="116">
        <v>2630</v>
      </c>
      <c r="Q154" s="116">
        <v>2605.1999999999998</v>
      </c>
      <c r="R154">
        <v>19109</v>
      </c>
    </row>
    <row r="155" spans="1:18" x14ac:dyDescent="0.25">
      <c r="A155" s="170">
        <v>44504</v>
      </c>
      <c r="B155" s="116">
        <v>2625.3</v>
      </c>
      <c r="C155" s="116">
        <v>2607.5</v>
      </c>
      <c r="D155" s="116">
        <v>2595</v>
      </c>
      <c r="E155" s="116">
        <v>2620</v>
      </c>
      <c r="F155" s="116">
        <v>2607.5</v>
      </c>
      <c r="G155">
        <v>289</v>
      </c>
      <c r="H155" s="116"/>
      <c r="I155" s="116"/>
      <c r="L155" s="170">
        <v>44504</v>
      </c>
      <c r="M155" s="116">
        <v>2604.75</v>
      </c>
      <c r="N155" s="116">
        <v>2624</v>
      </c>
      <c r="O155" s="116">
        <v>2591.0500000000002</v>
      </c>
      <c r="P155" s="116">
        <v>2610</v>
      </c>
      <c r="Q155" s="116">
        <v>2604.75</v>
      </c>
      <c r="R155">
        <v>6396</v>
      </c>
    </row>
    <row r="156" spans="1:18" x14ac:dyDescent="0.25">
      <c r="A156" s="170">
        <v>44508</v>
      </c>
      <c r="B156" s="116">
        <v>2655</v>
      </c>
      <c r="C156" s="116">
        <v>2565.5500000000002</v>
      </c>
      <c r="D156" s="116">
        <v>2526</v>
      </c>
      <c r="E156" s="116">
        <v>2605.9</v>
      </c>
      <c r="F156" s="116">
        <v>2565.5500000000002</v>
      </c>
      <c r="G156">
        <v>2320</v>
      </c>
      <c r="H156" s="116"/>
      <c r="I156" s="116"/>
      <c r="L156" s="170">
        <v>44508</v>
      </c>
      <c r="M156" s="116">
        <v>2565.9</v>
      </c>
      <c r="N156" s="116">
        <v>2664</v>
      </c>
      <c r="O156" s="116">
        <v>2515.9499999999998</v>
      </c>
      <c r="P156" s="116">
        <v>2628.25</v>
      </c>
      <c r="Q156" s="116">
        <v>2565.9</v>
      </c>
      <c r="R156">
        <v>33401</v>
      </c>
    </row>
    <row r="157" spans="1:18" x14ac:dyDescent="0.25">
      <c r="A157" s="170">
        <v>44509</v>
      </c>
      <c r="B157" s="116">
        <v>2627.05</v>
      </c>
      <c r="C157" s="116">
        <v>2588.85</v>
      </c>
      <c r="D157" s="116">
        <v>2546.6999999999998</v>
      </c>
      <c r="E157" s="116">
        <v>2575.5500000000002</v>
      </c>
      <c r="F157" s="116">
        <v>2588.85</v>
      </c>
      <c r="G157">
        <v>1226</v>
      </c>
      <c r="H157" s="116"/>
      <c r="I157" s="116"/>
      <c r="L157" s="170">
        <v>44509</v>
      </c>
      <c r="M157" s="116">
        <v>2602.15</v>
      </c>
      <c r="N157" s="116">
        <v>2625</v>
      </c>
      <c r="O157" s="116">
        <v>2545</v>
      </c>
      <c r="P157" s="116">
        <v>2598</v>
      </c>
      <c r="Q157" s="116">
        <v>2602.15</v>
      </c>
      <c r="R157">
        <v>37587</v>
      </c>
    </row>
    <row r="158" spans="1:18" x14ac:dyDescent="0.25">
      <c r="A158" s="170">
        <v>44510</v>
      </c>
      <c r="B158" s="116">
        <v>2590</v>
      </c>
      <c r="C158" s="116">
        <v>2576.75</v>
      </c>
      <c r="D158" s="116">
        <v>2544.9</v>
      </c>
      <c r="E158" s="116">
        <v>2560</v>
      </c>
      <c r="F158" s="116">
        <v>2576.75</v>
      </c>
      <c r="G158">
        <v>1153</v>
      </c>
      <c r="H158" s="116"/>
      <c r="I158" s="116"/>
      <c r="L158" s="170">
        <v>44510</v>
      </c>
      <c r="M158" s="116">
        <v>2577.15</v>
      </c>
      <c r="N158" s="116">
        <v>2590.4499999999998</v>
      </c>
      <c r="O158" s="116">
        <v>2544.9</v>
      </c>
      <c r="P158" s="116">
        <v>2546.0500000000002</v>
      </c>
      <c r="Q158" s="116">
        <v>2577.15</v>
      </c>
      <c r="R158">
        <v>8216</v>
      </c>
    </row>
    <row r="159" spans="1:18" x14ac:dyDescent="0.25">
      <c r="A159" s="170">
        <v>44511</v>
      </c>
      <c r="B159" s="116">
        <v>2589.8000000000002</v>
      </c>
      <c r="C159" s="116">
        <v>2489.85</v>
      </c>
      <c r="D159" s="116">
        <v>2474.9499999999998</v>
      </c>
      <c r="E159" s="116">
        <v>2560</v>
      </c>
      <c r="F159" s="116">
        <v>2489.85</v>
      </c>
      <c r="G159">
        <v>1743</v>
      </c>
      <c r="H159" s="116"/>
      <c r="I159" s="116"/>
      <c r="L159" s="170">
        <v>44511</v>
      </c>
      <c r="M159" s="116">
        <v>2487.9</v>
      </c>
      <c r="N159" s="116">
        <v>2593.5</v>
      </c>
      <c r="O159" s="116">
        <v>2475</v>
      </c>
      <c r="P159" s="116">
        <v>2588.25</v>
      </c>
      <c r="Q159" s="116">
        <v>2487.9</v>
      </c>
      <c r="R159">
        <v>14357</v>
      </c>
    </row>
    <row r="160" spans="1:18" x14ac:dyDescent="0.25">
      <c r="A160" s="170">
        <v>44512</v>
      </c>
      <c r="B160" s="116">
        <v>2520.6999999999998</v>
      </c>
      <c r="C160" s="116">
        <v>2448.3000000000002</v>
      </c>
      <c r="D160" s="116">
        <v>2419.15</v>
      </c>
      <c r="E160" s="116">
        <v>2500</v>
      </c>
      <c r="F160" s="116">
        <v>2448.3000000000002</v>
      </c>
      <c r="G160">
        <v>2975</v>
      </c>
      <c r="H160" s="116"/>
      <c r="I160" s="116"/>
      <c r="L160" s="170">
        <v>44512</v>
      </c>
      <c r="M160" s="116">
        <v>2451.5</v>
      </c>
      <c r="N160" s="116">
        <v>2516.6</v>
      </c>
      <c r="O160" s="116">
        <v>2420</v>
      </c>
      <c r="P160" s="116">
        <v>2487.9</v>
      </c>
      <c r="Q160" s="116">
        <v>2451.5</v>
      </c>
      <c r="R160">
        <v>24386</v>
      </c>
    </row>
    <row r="161" spans="1:18" x14ac:dyDescent="0.25">
      <c r="A161" s="170">
        <v>44515</v>
      </c>
      <c r="B161" s="116">
        <v>2462.5</v>
      </c>
      <c r="C161" s="116">
        <v>2443.8000000000002</v>
      </c>
      <c r="D161" s="116">
        <v>2404.35</v>
      </c>
      <c r="E161" s="116">
        <v>2445</v>
      </c>
      <c r="F161" s="116">
        <v>2443.8000000000002</v>
      </c>
      <c r="G161">
        <v>810</v>
      </c>
      <c r="H161" s="116"/>
      <c r="I161" s="116"/>
      <c r="L161" s="170">
        <v>44515</v>
      </c>
      <c r="M161" s="116">
        <v>2444.4</v>
      </c>
      <c r="N161" s="116">
        <v>2484.5</v>
      </c>
      <c r="O161" s="116">
        <v>2403.0500000000002</v>
      </c>
      <c r="P161" s="116">
        <v>2484.5</v>
      </c>
      <c r="Q161" s="116">
        <v>2444.4</v>
      </c>
      <c r="R161">
        <v>18152</v>
      </c>
    </row>
    <row r="162" spans="1:18" x14ac:dyDescent="0.25">
      <c r="A162" s="170">
        <v>44516</v>
      </c>
      <c r="B162" s="116">
        <v>2500</v>
      </c>
      <c r="C162" s="116">
        <v>2416.65</v>
      </c>
      <c r="D162" s="116">
        <v>2389.5</v>
      </c>
      <c r="E162" s="116">
        <v>2500</v>
      </c>
      <c r="F162" s="116">
        <v>2416.65</v>
      </c>
      <c r="G162">
        <v>957</v>
      </c>
      <c r="H162" s="116"/>
      <c r="I162" s="116"/>
      <c r="L162" s="170">
        <v>44516</v>
      </c>
      <c r="M162" s="116">
        <v>2414.6999999999998</v>
      </c>
      <c r="N162" s="116">
        <v>2465.65</v>
      </c>
      <c r="O162" s="116">
        <v>2393</v>
      </c>
      <c r="P162" s="116">
        <v>2445.4499999999998</v>
      </c>
      <c r="Q162" s="116">
        <v>2414.6999999999998</v>
      </c>
      <c r="R162">
        <v>18873</v>
      </c>
    </row>
    <row r="163" spans="1:18" x14ac:dyDescent="0.25">
      <c r="A163" s="170">
        <v>44517</v>
      </c>
      <c r="B163" s="116">
        <v>2499.9</v>
      </c>
      <c r="C163" s="116">
        <v>2433.6</v>
      </c>
      <c r="D163" s="116">
        <v>2392.25</v>
      </c>
      <c r="E163" s="116">
        <v>2499.9</v>
      </c>
      <c r="F163" s="116">
        <v>2433.6</v>
      </c>
      <c r="G163">
        <v>1453</v>
      </c>
      <c r="H163" s="116"/>
      <c r="I163" s="116"/>
      <c r="L163" s="170">
        <v>44517</v>
      </c>
      <c r="M163" s="116">
        <v>2438.35</v>
      </c>
      <c r="N163" s="116">
        <v>2472.6</v>
      </c>
      <c r="O163" s="116">
        <v>2400</v>
      </c>
      <c r="P163" s="116">
        <v>2410</v>
      </c>
      <c r="Q163" s="116">
        <v>2438.35</v>
      </c>
      <c r="R163">
        <v>11597</v>
      </c>
    </row>
    <row r="164" spans="1:18" x14ac:dyDescent="0.25">
      <c r="A164" s="170">
        <v>44518</v>
      </c>
      <c r="B164" s="116">
        <v>2459.9499999999998</v>
      </c>
      <c r="C164" s="116">
        <v>2352.1999999999998</v>
      </c>
      <c r="D164" s="116">
        <v>2320</v>
      </c>
      <c r="E164" s="116">
        <v>2456.85</v>
      </c>
      <c r="F164" s="116">
        <v>2352.1999999999998</v>
      </c>
      <c r="G164">
        <v>819</v>
      </c>
      <c r="H164" s="116"/>
      <c r="I164" s="116"/>
      <c r="L164" s="170">
        <v>44518</v>
      </c>
      <c r="M164" s="116">
        <v>2346.1999999999998</v>
      </c>
      <c r="N164" s="116">
        <v>2460.35</v>
      </c>
      <c r="O164" s="116">
        <v>2324</v>
      </c>
      <c r="P164" s="116">
        <v>2438.35</v>
      </c>
      <c r="Q164" s="116">
        <v>2346.1999999999998</v>
      </c>
      <c r="R164">
        <v>16497</v>
      </c>
    </row>
    <row r="165" spans="1:18" x14ac:dyDescent="0.25">
      <c r="A165" s="170">
        <v>44522</v>
      </c>
      <c r="B165" s="116">
        <v>2329.85</v>
      </c>
      <c r="C165" s="116">
        <v>2227.6</v>
      </c>
      <c r="D165" s="116">
        <v>2201</v>
      </c>
      <c r="E165" s="116">
        <v>2305</v>
      </c>
      <c r="F165" s="116">
        <v>2227.6</v>
      </c>
      <c r="G165">
        <v>2969</v>
      </c>
      <c r="H165" s="116"/>
      <c r="I165" s="116"/>
      <c r="L165" s="170">
        <v>44522</v>
      </c>
      <c r="M165" s="116">
        <v>2225.6999999999998</v>
      </c>
      <c r="N165" s="116">
        <v>2366.25</v>
      </c>
      <c r="O165" s="116">
        <v>2201</v>
      </c>
      <c r="P165" s="116">
        <v>2340.0500000000002</v>
      </c>
      <c r="Q165" s="116">
        <v>2225.6999999999998</v>
      </c>
      <c r="R165">
        <v>29222</v>
      </c>
    </row>
    <row r="166" spans="1:18" x14ac:dyDescent="0.25">
      <c r="A166" s="170">
        <v>44523</v>
      </c>
      <c r="B166" s="116">
        <v>2379.8000000000002</v>
      </c>
      <c r="C166" s="116">
        <v>2340.9499999999998</v>
      </c>
      <c r="D166" s="116">
        <v>2180.35</v>
      </c>
      <c r="E166" s="116">
        <v>2201.3000000000002</v>
      </c>
      <c r="F166" s="116">
        <v>2340.9499999999998</v>
      </c>
      <c r="G166">
        <v>3473</v>
      </c>
      <c r="H166" s="116"/>
      <c r="I166" s="116"/>
      <c r="L166" s="170">
        <v>44523</v>
      </c>
      <c r="M166" s="116">
        <v>2346.9</v>
      </c>
      <c r="N166" s="116">
        <v>2377.75</v>
      </c>
      <c r="O166" s="116">
        <v>2180</v>
      </c>
      <c r="P166" s="116">
        <v>2180</v>
      </c>
      <c r="Q166" s="116">
        <v>2346.9</v>
      </c>
      <c r="R166">
        <v>35204</v>
      </c>
    </row>
    <row r="167" spans="1:18" x14ac:dyDescent="0.25">
      <c r="A167" s="170">
        <v>44524</v>
      </c>
      <c r="B167" s="116">
        <v>2420</v>
      </c>
      <c r="C167" s="116">
        <v>2408.6</v>
      </c>
      <c r="D167" s="116">
        <v>2348.4</v>
      </c>
      <c r="E167" s="116">
        <v>2408.35</v>
      </c>
      <c r="F167" s="116">
        <v>2408.6</v>
      </c>
      <c r="G167">
        <v>1995</v>
      </c>
      <c r="H167" s="116"/>
      <c r="I167" s="116"/>
      <c r="L167" s="170">
        <v>44524</v>
      </c>
      <c r="M167" s="116">
        <v>2408.15</v>
      </c>
      <c r="N167" s="116">
        <v>2440</v>
      </c>
      <c r="O167" s="116">
        <v>2346</v>
      </c>
      <c r="P167" s="116">
        <v>2440</v>
      </c>
      <c r="Q167" s="116">
        <v>2408.15</v>
      </c>
      <c r="R167">
        <v>14734</v>
      </c>
    </row>
    <row r="168" spans="1:18" x14ac:dyDescent="0.25">
      <c r="A168" s="170">
        <v>44525</v>
      </c>
      <c r="B168" s="116">
        <v>2442.65</v>
      </c>
      <c r="C168" s="116">
        <v>2415.25</v>
      </c>
      <c r="D168" s="116">
        <v>2371</v>
      </c>
      <c r="E168" s="116">
        <v>2380.1</v>
      </c>
      <c r="F168" s="116">
        <v>2415.25</v>
      </c>
      <c r="G168">
        <v>808</v>
      </c>
      <c r="H168" s="116"/>
      <c r="I168" s="116"/>
      <c r="L168" s="170">
        <v>44525</v>
      </c>
      <c r="M168" s="116">
        <v>2424.35</v>
      </c>
      <c r="N168" s="116">
        <v>2445</v>
      </c>
      <c r="O168" s="116">
        <v>2361.1999999999998</v>
      </c>
      <c r="P168" s="116">
        <v>2361.1999999999998</v>
      </c>
      <c r="Q168" s="116">
        <v>2424.35</v>
      </c>
      <c r="R168">
        <v>13301</v>
      </c>
    </row>
    <row r="169" spans="1:18" x14ac:dyDescent="0.25">
      <c r="A169" s="170">
        <v>44526</v>
      </c>
      <c r="B169" s="116">
        <v>2404.9499999999998</v>
      </c>
      <c r="C169" s="116">
        <v>2285.9</v>
      </c>
      <c r="D169" s="116">
        <v>2250</v>
      </c>
      <c r="E169" s="116">
        <v>2353.65</v>
      </c>
      <c r="F169" s="116">
        <v>2285.9</v>
      </c>
      <c r="G169">
        <v>656</v>
      </c>
      <c r="H169" s="116"/>
      <c r="I169" s="116"/>
      <c r="L169" s="170">
        <v>44526</v>
      </c>
      <c r="M169" s="116">
        <v>2279.6999999999998</v>
      </c>
      <c r="N169" s="116">
        <v>2411</v>
      </c>
      <c r="O169" s="116">
        <v>2248</v>
      </c>
      <c r="P169" s="116">
        <v>2411</v>
      </c>
      <c r="Q169" s="116">
        <v>2279.6999999999998</v>
      </c>
      <c r="R169">
        <v>13830</v>
      </c>
    </row>
    <row r="170" spans="1:18" x14ac:dyDescent="0.25">
      <c r="A170" s="170">
        <v>44529</v>
      </c>
      <c r="B170" s="116">
        <v>2243.85</v>
      </c>
      <c r="C170" s="116">
        <v>2230.1999999999998</v>
      </c>
      <c r="D170" s="116">
        <v>2139.5</v>
      </c>
      <c r="E170" s="116">
        <v>2150</v>
      </c>
      <c r="F170" s="116">
        <v>2230.1999999999998</v>
      </c>
      <c r="G170">
        <v>3115</v>
      </c>
      <c r="H170" s="116"/>
      <c r="I170" s="116"/>
      <c r="L170" s="170">
        <v>44529</v>
      </c>
      <c r="M170" s="116">
        <v>2231.9</v>
      </c>
      <c r="N170" s="116">
        <v>2247.8000000000002</v>
      </c>
      <c r="O170" s="116">
        <v>2130</v>
      </c>
      <c r="P170" s="116">
        <v>2230.5500000000002</v>
      </c>
      <c r="Q170" s="116">
        <v>2231.9</v>
      </c>
      <c r="R170">
        <v>15113</v>
      </c>
    </row>
    <row r="171" spans="1:18" x14ac:dyDescent="0.25">
      <c r="A171" s="170">
        <v>44530</v>
      </c>
      <c r="B171" s="116">
        <v>2334.0500000000002</v>
      </c>
      <c r="C171" s="116">
        <v>2273.6999999999998</v>
      </c>
      <c r="D171" s="116">
        <v>2250.15</v>
      </c>
      <c r="E171" s="116">
        <v>2289.9</v>
      </c>
      <c r="F171" s="116">
        <v>2273.6999999999998</v>
      </c>
      <c r="G171">
        <v>433</v>
      </c>
      <c r="H171" s="116"/>
      <c r="I171" s="116"/>
      <c r="L171" s="170">
        <v>44530</v>
      </c>
      <c r="M171" s="116">
        <v>2272.0500000000002</v>
      </c>
      <c r="N171" s="116">
        <v>2377</v>
      </c>
      <c r="O171" s="116">
        <v>2232.25</v>
      </c>
      <c r="P171" s="116">
        <v>2232.25</v>
      </c>
      <c r="Q171" s="116">
        <v>2272.0500000000002</v>
      </c>
      <c r="R171">
        <v>16430</v>
      </c>
    </row>
    <row r="172" spans="1:18" x14ac:dyDescent="0.25">
      <c r="A172" s="170">
        <v>44531</v>
      </c>
      <c r="B172" s="116">
        <v>2325.8000000000002</v>
      </c>
      <c r="C172" s="116">
        <v>2273.0500000000002</v>
      </c>
      <c r="D172" s="116">
        <v>2235.3000000000002</v>
      </c>
      <c r="E172" s="116">
        <v>2325.8000000000002</v>
      </c>
      <c r="F172" s="116">
        <v>2273.0500000000002</v>
      </c>
      <c r="G172">
        <v>557</v>
      </c>
      <c r="H172" s="116"/>
      <c r="I172" s="116"/>
      <c r="L172" s="170">
        <v>44531</v>
      </c>
      <c r="M172" s="116">
        <v>2265.15</v>
      </c>
      <c r="N172" s="116">
        <v>2323.6999999999998</v>
      </c>
      <c r="O172" s="116">
        <v>2233.25</v>
      </c>
      <c r="P172" s="116">
        <v>2323.6999999999998</v>
      </c>
      <c r="Q172" s="116">
        <v>2265.15</v>
      </c>
      <c r="R172">
        <v>9900</v>
      </c>
    </row>
    <row r="173" spans="1:18" x14ac:dyDescent="0.25">
      <c r="A173" s="170">
        <v>44532</v>
      </c>
      <c r="B173" s="116">
        <v>2300</v>
      </c>
      <c r="C173" s="116">
        <v>2283.85</v>
      </c>
      <c r="D173" s="116">
        <v>2272.0500000000002</v>
      </c>
      <c r="E173" s="116">
        <v>2280.1999999999998</v>
      </c>
      <c r="F173" s="116">
        <v>2283.85</v>
      </c>
      <c r="G173">
        <v>1085</v>
      </c>
      <c r="H173" s="116"/>
      <c r="I173" s="116"/>
      <c r="L173" s="170">
        <v>44532</v>
      </c>
      <c r="M173" s="116">
        <v>2284.35</v>
      </c>
      <c r="N173" s="116">
        <v>2304.4499999999998</v>
      </c>
      <c r="O173" s="116">
        <v>2268</v>
      </c>
      <c r="P173" s="116">
        <v>2299</v>
      </c>
      <c r="Q173" s="116">
        <v>2284.35</v>
      </c>
      <c r="R173">
        <v>5021</v>
      </c>
    </row>
    <row r="174" spans="1:18" x14ac:dyDescent="0.25">
      <c r="A174" s="170">
        <v>44533</v>
      </c>
      <c r="B174" s="116">
        <v>2341</v>
      </c>
      <c r="C174" s="116">
        <v>2287.4499999999998</v>
      </c>
      <c r="D174" s="116">
        <v>2280</v>
      </c>
      <c r="E174" s="116">
        <v>2310.65</v>
      </c>
      <c r="F174" s="116">
        <v>2287.4499999999998</v>
      </c>
      <c r="G174">
        <v>356</v>
      </c>
      <c r="H174" s="116"/>
      <c r="I174" s="116"/>
      <c r="L174" s="170">
        <v>44533</v>
      </c>
      <c r="M174" s="116">
        <v>2298</v>
      </c>
      <c r="N174" s="116">
        <v>2347.35</v>
      </c>
      <c r="O174" s="116">
        <v>2275</v>
      </c>
      <c r="P174" s="116">
        <v>2299.9</v>
      </c>
      <c r="Q174" s="116">
        <v>2298</v>
      </c>
      <c r="R174">
        <v>20626</v>
      </c>
    </row>
    <row r="175" spans="1:18" x14ac:dyDescent="0.25">
      <c r="A175" s="170">
        <v>44536</v>
      </c>
      <c r="B175" s="116">
        <v>2333.1999999999998</v>
      </c>
      <c r="C175" s="116">
        <v>2264.4</v>
      </c>
      <c r="D175" s="116">
        <v>2261</v>
      </c>
      <c r="E175" s="116">
        <v>2333.1999999999998</v>
      </c>
      <c r="F175" s="116">
        <v>2264.4</v>
      </c>
      <c r="G175">
        <v>199</v>
      </c>
      <c r="H175" s="116"/>
      <c r="I175" s="116"/>
      <c r="L175" s="170">
        <v>44536</v>
      </c>
      <c r="M175" s="116">
        <v>2264.6</v>
      </c>
      <c r="N175" s="116">
        <v>2298</v>
      </c>
      <c r="O175" s="116">
        <v>2260</v>
      </c>
      <c r="P175" s="116">
        <v>2298</v>
      </c>
      <c r="Q175" s="116">
        <v>2264.6</v>
      </c>
      <c r="R175">
        <v>3865</v>
      </c>
    </row>
    <row r="176" spans="1:18" x14ac:dyDescent="0.25">
      <c r="A176" s="170">
        <v>44537</v>
      </c>
      <c r="B176" s="116">
        <v>2300.35</v>
      </c>
      <c r="C176" s="116">
        <v>2249.75</v>
      </c>
      <c r="D176" s="116">
        <v>2227.85</v>
      </c>
      <c r="E176" s="116">
        <v>2251</v>
      </c>
      <c r="F176" s="116">
        <v>2249.75</v>
      </c>
      <c r="G176">
        <v>288</v>
      </c>
      <c r="H176" s="116"/>
      <c r="I176" s="116"/>
      <c r="L176" s="170">
        <v>44537</v>
      </c>
      <c r="M176" s="116">
        <v>2243.75</v>
      </c>
      <c r="N176" s="116">
        <v>2301.6999999999998</v>
      </c>
      <c r="O176" s="116">
        <v>2229.5</v>
      </c>
      <c r="P176" s="116">
        <v>2286.6</v>
      </c>
      <c r="Q176" s="116">
        <v>2243.75</v>
      </c>
      <c r="R176">
        <v>14453</v>
      </c>
    </row>
    <row r="177" spans="1:18" x14ac:dyDescent="0.25">
      <c r="A177" s="170">
        <v>44538</v>
      </c>
      <c r="B177" s="116">
        <v>2291.3000000000002</v>
      </c>
      <c r="C177" s="116">
        <v>2244.85</v>
      </c>
      <c r="D177" s="116">
        <v>2222</v>
      </c>
      <c r="E177" s="116">
        <v>2222</v>
      </c>
      <c r="F177" s="116">
        <v>2244.85</v>
      </c>
      <c r="G177">
        <v>3057</v>
      </c>
      <c r="H177" s="116"/>
      <c r="I177" s="116"/>
      <c r="L177" s="170">
        <v>44538</v>
      </c>
      <c r="M177" s="116">
        <v>2244.4</v>
      </c>
      <c r="N177" s="116">
        <v>2295</v>
      </c>
      <c r="O177" s="116">
        <v>2238</v>
      </c>
      <c r="P177" s="116">
        <v>2265</v>
      </c>
      <c r="Q177" s="116">
        <v>2244.4</v>
      </c>
      <c r="R177">
        <v>12818</v>
      </c>
    </row>
    <row r="178" spans="1:18" x14ac:dyDescent="0.25">
      <c r="A178" s="170">
        <v>44539</v>
      </c>
      <c r="B178" s="116">
        <v>2294.8000000000002</v>
      </c>
      <c r="C178" s="116">
        <v>2245.5500000000002</v>
      </c>
      <c r="D178" s="116">
        <v>2241</v>
      </c>
      <c r="E178" s="116">
        <v>2294.75</v>
      </c>
      <c r="F178" s="116">
        <v>2245.5500000000002</v>
      </c>
      <c r="G178">
        <v>535</v>
      </c>
      <c r="H178" s="116"/>
      <c r="I178" s="116"/>
      <c r="L178" s="170">
        <v>44539</v>
      </c>
      <c r="M178" s="116">
        <v>2247.5500000000002</v>
      </c>
      <c r="N178" s="116">
        <v>2295</v>
      </c>
      <c r="O178" s="116">
        <v>2241.0500000000002</v>
      </c>
      <c r="P178" s="116">
        <v>2290</v>
      </c>
      <c r="Q178" s="116">
        <v>2247.5500000000002</v>
      </c>
      <c r="R178">
        <v>11695</v>
      </c>
    </row>
    <row r="179" spans="1:18" x14ac:dyDescent="0.25">
      <c r="A179" s="170">
        <v>44540</v>
      </c>
      <c r="B179" s="116">
        <v>2275</v>
      </c>
      <c r="C179" s="116">
        <v>2230</v>
      </c>
      <c r="D179" s="116">
        <v>2224.9</v>
      </c>
      <c r="E179" s="116">
        <v>2250.0500000000002</v>
      </c>
      <c r="F179" s="116">
        <v>2230</v>
      </c>
      <c r="G179">
        <v>329</v>
      </c>
      <c r="H179" s="116"/>
      <c r="I179" s="116"/>
      <c r="L179" s="170">
        <v>44540</v>
      </c>
      <c r="M179" s="116">
        <v>2231.5500000000002</v>
      </c>
      <c r="N179" s="116">
        <v>2279.5</v>
      </c>
      <c r="O179" s="116">
        <v>2225.6999999999998</v>
      </c>
      <c r="P179" s="116">
        <v>2240</v>
      </c>
      <c r="Q179" s="116">
        <v>2231.5500000000002</v>
      </c>
      <c r="R179">
        <v>52215</v>
      </c>
    </row>
    <row r="180" spans="1:18" x14ac:dyDescent="0.25">
      <c r="A180" s="170">
        <v>44543</v>
      </c>
      <c r="B180" s="116">
        <v>2329.9499999999998</v>
      </c>
      <c r="C180" s="116">
        <v>2231.1</v>
      </c>
      <c r="D180" s="116">
        <v>2228</v>
      </c>
      <c r="E180" s="116">
        <v>2329.9499999999998</v>
      </c>
      <c r="F180" s="116">
        <v>2231.1</v>
      </c>
      <c r="G180">
        <v>215</v>
      </c>
      <c r="H180" s="116"/>
      <c r="I180" s="116"/>
      <c r="L180" s="170">
        <v>44543</v>
      </c>
      <c r="M180" s="116">
        <v>2222.0500000000002</v>
      </c>
      <c r="N180" s="116">
        <v>2261.5</v>
      </c>
      <c r="O180" s="116">
        <v>2200.1</v>
      </c>
      <c r="P180" s="116">
        <v>2235</v>
      </c>
      <c r="Q180" s="116">
        <v>2222.0500000000002</v>
      </c>
      <c r="R180">
        <v>5332</v>
      </c>
    </row>
    <row r="181" spans="1:18" x14ac:dyDescent="0.25">
      <c r="A181" s="170">
        <v>44544</v>
      </c>
      <c r="B181" s="116">
        <v>2329.35</v>
      </c>
      <c r="C181" s="116">
        <v>2238.1</v>
      </c>
      <c r="D181" s="116">
        <v>2200</v>
      </c>
      <c r="E181" s="116">
        <v>2200</v>
      </c>
      <c r="F181" s="116">
        <v>2238.1</v>
      </c>
      <c r="G181">
        <v>1785</v>
      </c>
      <c r="H181" s="116"/>
      <c r="I181" s="116"/>
      <c r="L181" s="170">
        <v>44544</v>
      </c>
      <c r="M181" s="116">
        <v>2225.6</v>
      </c>
      <c r="N181" s="116">
        <v>2331.9499999999998</v>
      </c>
      <c r="O181" s="116">
        <v>2200.1</v>
      </c>
      <c r="P181" s="116">
        <v>2200.1</v>
      </c>
      <c r="Q181" s="116">
        <v>2225.6</v>
      </c>
      <c r="R181">
        <v>24071</v>
      </c>
    </row>
    <row r="182" spans="1:18" x14ac:dyDescent="0.25">
      <c r="A182" s="170">
        <v>44545</v>
      </c>
      <c r="B182" s="116">
        <v>2307.9499999999998</v>
      </c>
      <c r="C182" s="116">
        <v>2225.1999999999998</v>
      </c>
      <c r="D182" s="116">
        <v>2216</v>
      </c>
      <c r="E182" s="116">
        <v>2227.4499999999998</v>
      </c>
      <c r="F182" s="116">
        <v>2225.1999999999998</v>
      </c>
      <c r="G182">
        <v>1698</v>
      </c>
      <c r="H182" s="116"/>
      <c r="I182" s="116"/>
      <c r="L182" s="170">
        <v>44545</v>
      </c>
      <c r="M182" s="116">
        <v>2222.75</v>
      </c>
      <c r="N182" s="116">
        <v>2307.4499999999998</v>
      </c>
      <c r="O182" s="116">
        <v>2215</v>
      </c>
      <c r="P182" s="116">
        <v>2222</v>
      </c>
      <c r="Q182" s="116">
        <v>2222.75</v>
      </c>
      <c r="R182">
        <v>14722</v>
      </c>
    </row>
    <row r="183" spans="1:18" x14ac:dyDescent="0.25">
      <c r="A183" s="170">
        <v>44546</v>
      </c>
      <c r="B183" s="116">
        <v>2252.65</v>
      </c>
      <c r="C183" s="116">
        <v>2197.15</v>
      </c>
      <c r="D183" s="116">
        <v>2186.4</v>
      </c>
      <c r="E183" s="116">
        <v>2241.8000000000002</v>
      </c>
      <c r="F183" s="116">
        <v>2197.15</v>
      </c>
      <c r="G183">
        <v>718</v>
      </c>
      <c r="H183" s="116"/>
      <c r="I183" s="116"/>
      <c r="L183" s="170">
        <v>44546</v>
      </c>
      <c r="M183" s="116">
        <v>2199.6</v>
      </c>
      <c r="N183" s="116">
        <v>2253.0500000000002</v>
      </c>
      <c r="O183" s="116">
        <v>2185.9</v>
      </c>
      <c r="P183" s="116">
        <v>2248.25</v>
      </c>
      <c r="Q183" s="116">
        <v>2199.6</v>
      </c>
      <c r="R183">
        <v>7738</v>
      </c>
    </row>
    <row r="184" spans="1:18" x14ac:dyDescent="0.25">
      <c r="A184" s="170">
        <v>44547</v>
      </c>
      <c r="B184" s="116">
        <v>2216.5</v>
      </c>
      <c r="C184" s="116">
        <v>2202.6999999999998</v>
      </c>
      <c r="D184" s="116">
        <v>2180.75</v>
      </c>
      <c r="E184" s="116">
        <v>2201.6</v>
      </c>
      <c r="F184" s="116">
        <v>2202.6999999999998</v>
      </c>
      <c r="G184">
        <v>324</v>
      </c>
      <c r="H184" s="116"/>
      <c r="I184" s="116"/>
      <c r="L184" s="170">
        <v>44547</v>
      </c>
      <c r="M184" s="116">
        <v>2196.0500000000002</v>
      </c>
      <c r="N184" s="116">
        <v>2218</v>
      </c>
      <c r="O184" s="116">
        <v>2180</v>
      </c>
      <c r="P184" s="116">
        <v>2218</v>
      </c>
      <c r="Q184" s="116">
        <v>2196.0500000000002</v>
      </c>
      <c r="R184">
        <v>5235</v>
      </c>
    </row>
    <row r="185" spans="1:18" x14ac:dyDescent="0.25">
      <c r="A185" s="170">
        <v>44550</v>
      </c>
      <c r="B185" s="116">
        <v>2181.15</v>
      </c>
      <c r="C185" s="116">
        <v>2106.4</v>
      </c>
      <c r="D185" s="116">
        <v>2067.6999999999998</v>
      </c>
      <c r="E185" s="116">
        <v>2165.1</v>
      </c>
      <c r="F185" s="116">
        <v>2106.4</v>
      </c>
      <c r="G185">
        <v>3162</v>
      </c>
      <c r="H185" s="116"/>
      <c r="I185" s="116"/>
      <c r="L185" s="170">
        <v>44550</v>
      </c>
      <c r="M185" s="116">
        <v>2112</v>
      </c>
      <c r="N185" s="116">
        <v>2197.25</v>
      </c>
      <c r="O185" s="116">
        <v>2075.25</v>
      </c>
      <c r="P185" s="116">
        <v>2157</v>
      </c>
      <c r="Q185" s="116">
        <v>2112</v>
      </c>
      <c r="R185">
        <v>14500</v>
      </c>
    </row>
    <row r="186" spans="1:18" x14ac:dyDescent="0.25">
      <c r="A186" s="170">
        <v>44551</v>
      </c>
      <c r="B186" s="116">
        <v>2159.9499999999998</v>
      </c>
      <c r="C186" s="116">
        <v>2112.4499999999998</v>
      </c>
      <c r="D186" s="116">
        <v>2093.9</v>
      </c>
      <c r="E186" s="116">
        <v>2100</v>
      </c>
      <c r="F186" s="116">
        <v>2112.4499999999998</v>
      </c>
      <c r="G186">
        <v>358</v>
      </c>
      <c r="H186" s="116"/>
      <c r="I186" s="116"/>
      <c r="L186" s="170">
        <v>44551</v>
      </c>
      <c r="M186" s="116">
        <v>2124.8000000000002</v>
      </c>
      <c r="N186" s="116">
        <v>2161.75</v>
      </c>
      <c r="O186" s="116">
        <v>2091.25</v>
      </c>
      <c r="P186" s="116">
        <v>2120</v>
      </c>
      <c r="Q186" s="116">
        <v>2124.8000000000002</v>
      </c>
      <c r="R186">
        <v>8020</v>
      </c>
    </row>
    <row r="187" spans="1:18" x14ac:dyDescent="0.25">
      <c r="A187" s="170">
        <v>44552</v>
      </c>
      <c r="B187" s="116">
        <v>2176.0500000000002</v>
      </c>
      <c r="C187" s="116">
        <v>2163.4499999999998</v>
      </c>
      <c r="D187" s="116">
        <v>2132.15</v>
      </c>
      <c r="E187" s="116">
        <v>2139.35</v>
      </c>
      <c r="F187" s="116">
        <v>2163.4499999999998</v>
      </c>
      <c r="G187">
        <v>260</v>
      </c>
      <c r="H187" s="116"/>
      <c r="I187" s="116"/>
      <c r="L187" s="170">
        <v>44552</v>
      </c>
      <c r="M187" s="116">
        <v>2168</v>
      </c>
      <c r="N187" s="116">
        <v>2174.3000000000002</v>
      </c>
      <c r="O187" s="116">
        <v>2130</v>
      </c>
      <c r="P187" s="116">
        <v>2149.9</v>
      </c>
      <c r="Q187" s="116">
        <v>2168</v>
      </c>
      <c r="R187">
        <v>5569</v>
      </c>
    </row>
    <row r="188" spans="1:18" x14ac:dyDescent="0.25">
      <c r="A188" s="170">
        <v>44553</v>
      </c>
      <c r="B188" s="116">
        <v>2274.8000000000002</v>
      </c>
      <c r="C188" s="116">
        <v>2229.75</v>
      </c>
      <c r="D188" s="116">
        <v>2195.15</v>
      </c>
      <c r="E188" s="116">
        <v>2195.15</v>
      </c>
      <c r="F188" s="116">
        <v>2229.75</v>
      </c>
      <c r="G188">
        <v>1411</v>
      </c>
      <c r="H188" s="116"/>
      <c r="I188" s="116"/>
      <c r="L188" s="170">
        <v>44553</v>
      </c>
      <c r="M188" s="116">
        <v>2228.85</v>
      </c>
      <c r="N188" s="116">
        <v>2240</v>
      </c>
      <c r="O188" s="116">
        <v>2166.85</v>
      </c>
      <c r="P188" s="116">
        <v>2168</v>
      </c>
      <c r="Q188" s="116">
        <v>2228.85</v>
      </c>
      <c r="R188">
        <v>10022</v>
      </c>
    </row>
    <row r="189" spans="1:18" x14ac:dyDescent="0.25">
      <c r="A189" s="170">
        <v>44554</v>
      </c>
      <c r="B189" s="116">
        <v>2300</v>
      </c>
      <c r="C189" s="116">
        <v>2272.75</v>
      </c>
      <c r="D189" s="116">
        <v>2201.15</v>
      </c>
      <c r="E189" s="116">
        <v>2217.1</v>
      </c>
      <c r="F189" s="116">
        <v>2272.75</v>
      </c>
      <c r="G189">
        <v>1955</v>
      </c>
      <c r="H189" s="116"/>
      <c r="I189" s="116"/>
      <c r="L189" s="170">
        <v>44554</v>
      </c>
      <c r="M189" s="116">
        <v>2274.4</v>
      </c>
      <c r="N189" s="116">
        <v>2311.65</v>
      </c>
      <c r="O189" s="116">
        <v>2200</v>
      </c>
      <c r="P189" s="116">
        <v>2264.9</v>
      </c>
      <c r="Q189" s="116">
        <v>2274.4</v>
      </c>
      <c r="R189">
        <v>27006</v>
      </c>
    </row>
    <row r="190" spans="1:18" x14ac:dyDescent="0.25">
      <c r="A190" s="170">
        <v>44557</v>
      </c>
      <c r="B190" s="116">
        <v>2333.1999999999998</v>
      </c>
      <c r="C190" s="116">
        <v>2240.4</v>
      </c>
      <c r="D190" s="116">
        <v>2226.0500000000002</v>
      </c>
      <c r="E190" s="116">
        <v>2333.1999999999998</v>
      </c>
      <c r="F190" s="116">
        <v>2240.4</v>
      </c>
      <c r="G190">
        <v>1260</v>
      </c>
      <c r="H190" s="116"/>
      <c r="I190" s="116"/>
      <c r="L190" s="170">
        <v>44557</v>
      </c>
      <c r="M190" s="116">
        <v>2245.4</v>
      </c>
      <c r="N190" s="116">
        <v>2275</v>
      </c>
      <c r="O190" s="116">
        <v>2211.6999999999998</v>
      </c>
      <c r="P190" s="116">
        <v>2257.1999999999998</v>
      </c>
      <c r="Q190" s="116">
        <v>2245.4</v>
      </c>
      <c r="R190">
        <v>7761</v>
      </c>
    </row>
    <row r="191" spans="1:18" x14ac:dyDescent="0.25">
      <c r="A191" s="170">
        <v>44558</v>
      </c>
      <c r="B191" s="116">
        <v>2271.5</v>
      </c>
      <c r="C191" s="116">
        <v>2241.9499999999998</v>
      </c>
      <c r="D191" s="116">
        <v>2237.5</v>
      </c>
      <c r="E191" s="116">
        <v>2267.6</v>
      </c>
      <c r="F191" s="116">
        <v>2241.9499999999998</v>
      </c>
      <c r="G191">
        <v>176</v>
      </c>
      <c r="H191" s="116"/>
      <c r="I191" s="116"/>
      <c r="L191" s="170">
        <v>44558</v>
      </c>
      <c r="M191" s="116">
        <v>2245.5</v>
      </c>
      <c r="N191" s="116">
        <v>2279.3000000000002</v>
      </c>
      <c r="O191" s="116">
        <v>2240.5</v>
      </c>
      <c r="P191" s="116">
        <v>2274.85</v>
      </c>
      <c r="Q191" s="116">
        <v>2245.5</v>
      </c>
      <c r="R191">
        <v>5771</v>
      </c>
    </row>
    <row r="192" spans="1:18" x14ac:dyDescent="0.25">
      <c r="A192" s="170">
        <v>44559</v>
      </c>
      <c r="B192" s="116">
        <v>2325.3000000000002</v>
      </c>
      <c r="C192" s="116">
        <v>2272.6999999999998</v>
      </c>
      <c r="D192" s="116">
        <v>2258.6999999999998</v>
      </c>
      <c r="E192" s="116">
        <v>2262.3000000000002</v>
      </c>
      <c r="F192" s="116">
        <v>2272.6999999999998</v>
      </c>
      <c r="G192">
        <v>395</v>
      </c>
      <c r="H192" s="116"/>
      <c r="I192" s="116"/>
      <c r="L192" s="170">
        <v>44559</v>
      </c>
      <c r="M192" s="116">
        <v>2276.3000000000002</v>
      </c>
      <c r="N192" s="116">
        <v>2328.9499999999998</v>
      </c>
      <c r="O192" s="116">
        <v>2256.25</v>
      </c>
      <c r="P192" s="116">
        <v>2274.8000000000002</v>
      </c>
      <c r="Q192" s="116">
        <v>2276.3000000000002</v>
      </c>
      <c r="R192">
        <v>17326</v>
      </c>
    </row>
    <row r="193" spans="1:18" x14ac:dyDescent="0.25">
      <c r="A193" s="170">
        <v>44560</v>
      </c>
      <c r="B193" s="116">
        <v>2291.9499999999998</v>
      </c>
      <c r="C193" s="116">
        <v>2265.75</v>
      </c>
      <c r="D193" s="116">
        <v>2259.1</v>
      </c>
      <c r="E193" s="116">
        <v>2267.25</v>
      </c>
      <c r="F193" s="116">
        <v>2265.75</v>
      </c>
      <c r="G193">
        <v>259</v>
      </c>
      <c r="H193" s="116"/>
      <c r="I193" s="116"/>
      <c r="L193" s="170">
        <v>44560</v>
      </c>
      <c r="M193" s="116">
        <v>2267.35</v>
      </c>
      <c r="N193" s="116">
        <v>2296.1</v>
      </c>
      <c r="O193" s="116">
        <v>2261</v>
      </c>
      <c r="P193" s="116">
        <v>2272.75</v>
      </c>
      <c r="Q193" s="116">
        <v>2267.35</v>
      </c>
      <c r="R193">
        <v>4692</v>
      </c>
    </row>
    <row r="194" spans="1:18" x14ac:dyDescent="0.25">
      <c r="A194" s="170">
        <v>44561</v>
      </c>
      <c r="B194" s="116">
        <v>2285.9499999999998</v>
      </c>
      <c r="C194" s="116">
        <v>2265.9499999999998</v>
      </c>
      <c r="D194" s="116">
        <v>2251</v>
      </c>
      <c r="E194" s="116">
        <v>2266.1</v>
      </c>
      <c r="F194" s="116">
        <v>2265.9499999999998</v>
      </c>
      <c r="G194">
        <v>228</v>
      </c>
      <c r="H194" s="116"/>
      <c r="I194" s="116"/>
      <c r="L194" s="170">
        <v>44561</v>
      </c>
      <c r="M194" s="116">
        <v>2260.9499999999998</v>
      </c>
      <c r="N194" s="116">
        <v>2294.9</v>
      </c>
      <c r="O194" s="116">
        <v>2240.0500000000002</v>
      </c>
      <c r="P194" s="116">
        <v>2294.9</v>
      </c>
      <c r="Q194" s="116">
        <v>2260.9499999999998</v>
      </c>
      <c r="R194">
        <v>7413</v>
      </c>
    </row>
    <row r="195" spans="1:18" x14ac:dyDescent="0.25">
      <c r="A195" s="170">
        <v>44564</v>
      </c>
      <c r="B195" s="116">
        <v>2349.8000000000002</v>
      </c>
      <c r="C195" s="116">
        <v>2333.4499999999998</v>
      </c>
      <c r="D195" s="116">
        <v>2265.65</v>
      </c>
      <c r="E195" s="116">
        <v>2266</v>
      </c>
      <c r="F195" s="116">
        <v>2333.4499999999998</v>
      </c>
      <c r="G195">
        <v>1668</v>
      </c>
      <c r="H195" s="116"/>
      <c r="I195" s="116"/>
      <c r="L195" s="170">
        <v>44564</v>
      </c>
      <c r="M195" s="116">
        <v>2335.0500000000002</v>
      </c>
      <c r="N195" s="116">
        <v>2348.9499999999998</v>
      </c>
      <c r="O195" s="116">
        <v>2266.0500000000002</v>
      </c>
      <c r="P195" s="116">
        <v>2295</v>
      </c>
      <c r="Q195" s="116">
        <v>2335.0500000000002</v>
      </c>
      <c r="R195">
        <v>13573</v>
      </c>
    </row>
    <row r="196" spans="1:18" x14ac:dyDescent="0.25">
      <c r="A196" s="170">
        <v>44565</v>
      </c>
      <c r="B196" s="116">
        <v>2410</v>
      </c>
      <c r="C196" s="116">
        <v>2387.35</v>
      </c>
      <c r="D196" s="116">
        <v>2346.1</v>
      </c>
      <c r="E196" s="116">
        <v>2360</v>
      </c>
      <c r="F196" s="116">
        <v>2387.35</v>
      </c>
      <c r="G196">
        <v>623</v>
      </c>
      <c r="H196" s="116"/>
      <c r="I196" s="116"/>
      <c r="L196" s="170">
        <v>44565</v>
      </c>
      <c r="M196" s="116">
        <v>2386</v>
      </c>
      <c r="N196" s="116">
        <v>2414</v>
      </c>
      <c r="O196" s="116">
        <v>2340</v>
      </c>
      <c r="P196" s="116">
        <v>2360</v>
      </c>
      <c r="Q196" s="116">
        <v>2386</v>
      </c>
      <c r="R196">
        <v>17772</v>
      </c>
    </row>
    <row r="197" spans="1:18" x14ac:dyDescent="0.25">
      <c r="A197" s="170">
        <v>44566</v>
      </c>
      <c r="B197" s="116">
        <v>2381.65</v>
      </c>
      <c r="C197" s="116">
        <v>2346.6</v>
      </c>
      <c r="D197" s="116">
        <v>2340</v>
      </c>
      <c r="E197" s="116">
        <v>2356</v>
      </c>
      <c r="F197" s="116">
        <v>2346.6</v>
      </c>
      <c r="G197">
        <v>1073</v>
      </c>
      <c r="H197" s="116"/>
      <c r="I197" s="116"/>
      <c r="L197" s="170">
        <v>44566</v>
      </c>
      <c r="M197" s="116">
        <v>2346.4499999999998</v>
      </c>
      <c r="N197" s="116">
        <v>2399.9499999999998</v>
      </c>
      <c r="O197" s="116">
        <v>2338</v>
      </c>
      <c r="P197" s="116">
        <v>2399.9499999999998</v>
      </c>
      <c r="Q197" s="116">
        <v>2346.4499999999998</v>
      </c>
      <c r="R197">
        <v>11241</v>
      </c>
    </row>
    <row r="198" spans="1:18" x14ac:dyDescent="0.25">
      <c r="A198" s="170">
        <v>44567</v>
      </c>
      <c r="B198" s="116">
        <v>2354.1999999999998</v>
      </c>
      <c r="C198" s="116">
        <v>2320.6999999999998</v>
      </c>
      <c r="D198" s="116">
        <v>2230</v>
      </c>
      <c r="E198" s="116">
        <v>2230</v>
      </c>
      <c r="F198" s="116">
        <v>2320.6999999999998</v>
      </c>
      <c r="G198">
        <v>1430</v>
      </c>
      <c r="H198" s="116"/>
      <c r="I198" s="116"/>
      <c r="L198" s="170">
        <v>44567</v>
      </c>
      <c r="M198" s="116">
        <v>2324.85</v>
      </c>
      <c r="N198" s="116">
        <v>2364.9499999999998</v>
      </c>
      <c r="O198" s="116">
        <v>2300</v>
      </c>
      <c r="P198" s="116">
        <v>2364.9499999999998</v>
      </c>
      <c r="Q198" s="116">
        <v>2324.85</v>
      </c>
      <c r="R198">
        <v>8636</v>
      </c>
    </row>
    <row r="199" spans="1:18" x14ac:dyDescent="0.25">
      <c r="A199" s="170">
        <v>44568</v>
      </c>
      <c r="B199" s="116">
        <v>2375</v>
      </c>
      <c r="C199" s="116">
        <v>2358.6999999999998</v>
      </c>
      <c r="D199" s="116">
        <v>2329.9499999999998</v>
      </c>
      <c r="E199" s="116">
        <v>2361.1</v>
      </c>
      <c r="F199" s="116">
        <v>2358.6999999999998</v>
      </c>
      <c r="G199">
        <v>54931</v>
      </c>
      <c r="H199" s="116"/>
      <c r="I199" s="116"/>
      <c r="L199" s="170">
        <v>44568</v>
      </c>
      <c r="M199" s="116">
        <v>2359.1</v>
      </c>
      <c r="N199" s="116">
        <v>2376</v>
      </c>
      <c r="O199" s="116">
        <v>2315.6999999999998</v>
      </c>
      <c r="P199" s="116">
        <v>2350</v>
      </c>
      <c r="Q199" s="116">
        <v>2359.1</v>
      </c>
      <c r="R199">
        <v>89928</v>
      </c>
    </row>
    <row r="200" spans="1:18" x14ac:dyDescent="0.25">
      <c r="A200" s="170">
        <v>44571</v>
      </c>
      <c r="B200" s="116">
        <v>2395.9</v>
      </c>
      <c r="C200" s="116">
        <v>2321.9499999999998</v>
      </c>
      <c r="D200" s="116">
        <v>2297.1999999999998</v>
      </c>
      <c r="E200" s="116">
        <v>2300.1</v>
      </c>
      <c r="F200" s="116">
        <v>2321.9499999999998</v>
      </c>
      <c r="G200">
        <v>1880</v>
      </c>
      <c r="H200" s="116"/>
      <c r="I200" s="116"/>
      <c r="L200" s="170">
        <v>44571</v>
      </c>
      <c r="M200" s="116">
        <v>2327.6999999999998</v>
      </c>
      <c r="N200" s="116">
        <v>2395</v>
      </c>
      <c r="O200" s="116">
        <v>2302.35</v>
      </c>
      <c r="P200" s="116">
        <v>2393.8000000000002</v>
      </c>
      <c r="Q200" s="116">
        <v>2327.6999999999998</v>
      </c>
      <c r="R200">
        <v>14054</v>
      </c>
    </row>
    <row r="201" spans="1:18" x14ac:dyDescent="0.25">
      <c r="A201" s="170">
        <v>44572</v>
      </c>
      <c r="B201" s="116">
        <v>2345.5</v>
      </c>
      <c r="C201" s="116">
        <v>2323.65</v>
      </c>
      <c r="D201" s="116">
        <v>2307.6</v>
      </c>
      <c r="E201" s="116">
        <v>2338.1</v>
      </c>
      <c r="F201" s="116">
        <v>2323.65</v>
      </c>
      <c r="G201">
        <v>621</v>
      </c>
      <c r="H201" s="116"/>
      <c r="I201" s="116"/>
      <c r="L201" s="170">
        <v>44572</v>
      </c>
      <c r="M201" s="116">
        <v>2318.5</v>
      </c>
      <c r="N201" s="116">
        <v>2350</v>
      </c>
      <c r="O201" s="116">
        <v>2304.0500000000002</v>
      </c>
      <c r="P201" s="116">
        <v>2321</v>
      </c>
      <c r="Q201" s="116">
        <v>2318.5</v>
      </c>
      <c r="R201">
        <v>14332</v>
      </c>
    </row>
    <row r="202" spans="1:18" x14ac:dyDescent="0.25">
      <c r="A202" s="170">
        <v>44573</v>
      </c>
      <c r="B202" s="116">
        <v>2394</v>
      </c>
      <c r="C202" s="116">
        <v>2328.75</v>
      </c>
      <c r="D202" s="116">
        <v>2303.8000000000002</v>
      </c>
      <c r="E202" s="116">
        <v>2394</v>
      </c>
      <c r="F202" s="116">
        <v>2328.75</v>
      </c>
      <c r="G202">
        <v>863</v>
      </c>
      <c r="H202" s="116"/>
      <c r="I202" s="116"/>
      <c r="L202" s="170">
        <v>44573</v>
      </c>
      <c r="M202" s="116">
        <v>2326.6</v>
      </c>
      <c r="N202" s="116">
        <v>2362</v>
      </c>
      <c r="O202" s="116">
        <v>2304.1</v>
      </c>
      <c r="P202" s="116">
        <v>2349</v>
      </c>
      <c r="Q202" s="116">
        <v>2326.6</v>
      </c>
      <c r="R202">
        <v>12461</v>
      </c>
    </row>
    <row r="203" spans="1:18" x14ac:dyDescent="0.25">
      <c r="A203" s="170">
        <v>44574</v>
      </c>
      <c r="B203" s="116">
        <v>2363</v>
      </c>
      <c r="C203" s="116">
        <v>2339.5500000000002</v>
      </c>
      <c r="D203" s="116">
        <v>2313.6</v>
      </c>
      <c r="E203" s="116">
        <v>2323.25</v>
      </c>
      <c r="F203" s="116">
        <v>2339.5500000000002</v>
      </c>
      <c r="G203">
        <v>3275</v>
      </c>
      <c r="H203" s="116"/>
      <c r="I203" s="116"/>
      <c r="L203" s="170">
        <v>44574</v>
      </c>
      <c r="M203" s="116">
        <v>2344.85</v>
      </c>
      <c r="N203" s="116">
        <v>2363</v>
      </c>
      <c r="O203" s="116">
        <v>2300</v>
      </c>
      <c r="P203" s="116">
        <v>2311</v>
      </c>
      <c r="Q203" s="116">
        <v>2344.85</v>
      </c>
      <c r="R203">
        <v>35645</v>
      </c>
    </row>
    <row r="204" spans="1:18" x14ac:dyDescent="0.25">
      <c r="A204" s="170">
        <v>44575</v>
      </c>
      <c r="B204" s="116">
        <v>2414</v>
      </c>
      <c r="C204" s="116">
        <v>2342.9499999999998</v>
      </c>
      <c r="D204" s="116">
        <v>2321.4499999999998</v>
      </c>
      <c r="E204" s="116">
        <v>2414</v>
      </c>
      <c r="F204" s="116">
        <v>2342.9499999999998</v>
      </c>
      <c r="G204">
        <v>580</v>
      </c>
      <c r="H204" s="116"/>
      <c r="I204" s="116"/>
      <c r="L204" s="170">
        <v>44575</v>
      </c>
      <c r="M204" s="116">
        <v>2340.3000000000002</v>
      </c>
      <c r="N204" s="116">
        <v>2365.4</v>
      </c>
      <c r="O204" s="116">
        <v>2306</v>
      </c>
      <c r="P204" s="116">
        <v>2306</v>
      </c>
      <c r="Q204" s="116">
        <v>2340.3000000000002</v>
      </c>
      <c r="R204">
        <v>23776</v>
      </c>
    </row>
    <row r="205" spans="1:18" x14ac:dyDescent="0.25">
      <c r="A205" s="170">
        <v>44578</v>
      </c>
      <c r="B205" s="116">
        <v>2446.1999999999998</v>
      </c>
      <c r="C205" s="116">
        <v>2400.5500000000002</v>
      </c>
      <c r="D205" s="116">
        <v>2342</v>
      </c>
      <c r="E205" s="116">
        <v>2342</v>
      </c>
      <c r="F205" s="116">
        <v>2400.5500000000002</v>
      </c>
      <c r="G205">
        <v>3272</v>
      </c>
      <c r="H205" s="116"/>
      <c r="I205" s="116"/>
      <c r="L205" s="170">
        <v>44578</v>
      </c>
      <c r="M205" s="116">
        <v>2400.35</v>
      </c>
      <c r="N205" s="116">
        <v>2449</v>
      </c>
      <c r="O205" s="116">
        <v>2340.3000000000002</v>
      </c>
      <c r="P205" s="116">
        <v>2340.3000000000002</v>
      </c>
      <c r="Q205" s="116">
        <v>2400.35</v>
      </c>
      <c r="R205">
        <v>27147</v>
      </c>
    </row>
    <row r="206" spans="1:18" x14ac:dyDescent="0.25">
      <c r="A206" s="170">
        <v>44579</v>
      </c>
      <c r="B206" s="116">
        <v>2425.9</v>
      </c>
      <c r="C206" s="116">
        <v>2391.65</v>
      </c>
      <c r="D206" s="116">
        <v>2350.1</v>
      </c>
      <c r="E206" s="116">
        <v>2401.35</v>
      </c>
      <c r="F206" s="116">
        <v>2391.65</v>
      </c>
      <c r="G206">
        <v>2563</v>
      </c>
      <c r="H206" s="116"/>
      <c r="I206" s="116"/>
      <c r="L206" s="170">
        <v>44579</v>
      </c>
      <c r="M206" s="116">
        <v>2389.1999999999998</v>
      </c>
      <c r="N206" s="116">
        <v>2430</v>
      </c>
      <c r="O206" s="116">
        <v>2368.4</v>
      </c>
      <c r="P206" s="116">
        <v>2410</v>
      </c>
      <c r="Q206" s="116">
        <v>2389.1999999999998</v>
      </c>
      <c r="R206">
        <v>26702</v>
      </c>
    </row>
    <row r="207" spans="1:18" x14ac:dyDescent="0.25">
      <c r="A207" s="170">
        <v>44580</v>
      </c>
      <c r="B207" s="116">
        <v>2396.0500000000002</v>
      </c>
      <c r="C207" s="116">
        <v>2306.4</v>
      </c>
      <c r="D207" s="116">
        <v>2275</v>
      </c>
      <c r="E207" s="116">
        <v>2363.1</v>
      </c>
      <c r="F207" s="116">
        <v>2306.4</v>
      </c>
      <c r="G207">
        <v>3321</v>
      </c>
      <c r="H207" s="116"/>
      <c r="I207" s="116"/>
      <c r="L207" s="170">
        <v>44580</v>
      </c>
      <c r="M207" s="116">
        <v>2306.65</v>
      </c>
      <c r="N207" s="116">
        <v>2399</v>
      </c>
      <c r="O207" s="116">
        <v>2270.15</v>
      </c>
      <c r="P207" s="116">
        <v>2389.1999999999998</v>
      </c>
      <c r="Q207" s="116">
        <v>2306.65</v>
      </c>
      <c r="R207">
        <v>19673</v>
      </c>
    </row>
    <row r="208" spans="1:18" x14ac:dyDescent="0.25">
      <c r="A208" s="170">
        <v>44581</v>
      </c>
      <c r="B208" s="116">
        <v>2332.9</v>
      </c>
      <c r="C208" s="116">
        <v>2325.8000000000002</v>
      </c>
      <c r="D208" s="116">
        <v>2306</v>
      </c>
      <c r="E208" s="116">
        <v>2306.0500000000002</v>
      </c>
      <c r="F208" s="116">
        <v>2325.8000000000002</v>
      </c>
      <c r="G208">
        <v>826</v>
      </c>
      <c r="H208" s="116"/>
      <c r="I208" s="116"/>
      <c r="L208" s="170">
        <v>44581</v>
      </c>
      <c r="M208" s="116">
        <v>2324.65</v>
      </c>
      <c r="N208" s="116">
        <v>2350</v>
      </c>
      <c r="O208" s="116">
        <v>2300</v>
      </c>
      <c r="P208" s="116">
        <v>2306.65</v>
      </c>
      <c r="Q208" s="116">
        <v>2324.65</v>
      </c>
      <c r="R208">
        <v>6713</v>
      </c>
    </row>
    <row r="209" spans="1:18" x14ac:dyDescent="0.25">
      <c r="A209" s="170">
        <v>44582</v>
      </c>
      <c r="B209" s="116">
        <v>2334.15</v>
      </c>
      <c r="C209" s="116">
        <v>2249</v>
      </c>
      <c r="D209" s="116">
        <v>2200</v>
      </c>
      <c r="E209" s="116">
        <v>2257</v>
      </c>
      <c r="F209" s="116">
        <v>2249</v>
      </c>
      <c r="G209">
        <v>1114</v>
      </c>
      <c r="H209" s="116"/>
      <c r="I209" s="116"/>
      <c r="L209" s="170">
        <v>44582</v>
      </c>
      <c r="M209" s="116">
        <v>2242.4499999999998</v>
      </c>
      <c r="N209" s="116">
        <v>2337.85</v>
      </c>
      <c r="O209" s="116">
        <v>2219.8000000000002</v>
      </c>
      <c r="P209" s="116">
        <v>2311</v>
      </c>
      <c r="Q209" s="116">
        <v>2242.4499999999998</v>
      </c>
      <c r="R209">
        <v>17047</v>
      </c>
    </row>
    <row r="210" spans="1:18" x14ac:dyDescent="0.25">
      <c r="A210" s="170">
        <v>44585</v>
      </c>
      <c r="B210" s="116">
        <v>2210</v>
      </c>
      <c r="C210" s="116">
        <v>2198.15</v>
      </c>
      <c r="D210" s="116">
        <v>2100</v>
      </c>
      <c r="E210" s="116">
        <v>2150</v>
      </c>
      <c r="F210" s="116">
        <v>2198.15</v>
      </c>
      <c r="G210">
        <v>2739</v>
      </c>
      <c r="H210" s="116"/>
      <c r="I210" s="116"/>
      <c r="L210" s="170">
        <v>44585</v>
      </c>
      <c r="M210" s="116">
        <v>2199.15</v>
      </c>
      <c r="N210" s="116">
        <v>2219</v>
      </c>
      <c r="O210" s="116">
        <v>2050</v>
      </c>
      <c r="P210" s="116">
        <v>2201</v>
      </c>
      <c r="Q210" s="116">
        <v>2199.15</v>
      </c>
      <c r="R210">
        <v>24425</v>
      </c>
    </row>
    <row r="211" spans="1:18" x14ac:dyDescent="0.25">
      <c r="A211" s="170">
        <v>44586</v>
      </c>
      <c r="B211" s="116">
        <v>2151.25</v>
      </c>
      <c r="C211" s="116">
        <v>2098.5500000000002</v>
      </c>
      <c r="D211" s="116">
        <v>1905</v>
      </c>
      <c r="E211" s="116">
        <v>1996</v>
      </c>
      <c r="F211" s="116">
        <v>2098.5500000000002</v>
      </c>
      <c r="G211">
        <v>3577</v>
      </c>
      <c r="H211" s="116"/>
      <c r="I211" s="116"/>
      <c r="L211" s="170">
        <v>44586</v>
      </c>
      <c r="M211" s="116">
        <v>2100.0500000000002</v>
      </c>
      <c r="N211" s="116">
        <v>2155</v>
      </c>
      <c r="O211" s="116">
        <v>1901.1</v>
      </c>
      <c r="P211" s="116">
        <v>1950</v>
      </c>
      <c r="Q211" s="116">
        <v>2100.0500000000002</v>
      </c>
      <c r="R211">
        <v>107923</v>
      </c>
    </row>
    <row r="212" spans="1:18" x14ac:dyDescent="0.25">
      <c r="A212" s="170">
        <v>44588</v>
      </c>
      <c r="B212" s="116">
        <v>2116.5</v>
      </c>
      <c r="C212" s="116">
        <v>2058.25</v>
      </c>
      <c r="D212" s="116">
        <v>2023.7</v>
      </c>
      <c r="E212" s="116">
        <v>2116.5</v>
      </c>
      <c r="F212" s="116">
        <v>2058.25</v>
      </c>
      <c r="G212">
        <v>1412</v>
      </c>
      <c r="H212" s="116"/>
      <c r="I212" s="116"/>
      <c r="L212" s="170">
        <v>44588</v>
      </c>
      <c r="M212" s="116">
        <v>2056.1</v>
      </c>
      <c r="N212" s="116">
        <v>2119</v>
      </c>
      <c r="O212" s="116">
        <v>2022.05</v>
      </c>
      <c r="P212" s="116">
        <v>2119</v>
      </c>
      <c r="Q212" s="116">
        <v>2056.1</v>
      </c>
      <c r="R212">
        <v>21105</v>
      </c>
    </row>
    <row r="213" spans="1:18" x14ac:dyDescent="0.25">
      <c r="A213" s="170">
        <v>44589</v>
      </c>
      <c r="B213" s="116">
        <v>2098.6</v>
      </c>
      <c r="C213" s="116">
        <v>2062</v>
      </c>
      <c r="D213" s="116">
        <v>2040.05</v>
      </c>
      <c r="E213" s="116">
        <v>2065.25</v>
      </c>
      <c r="F213" s="116">
        <v>2062</v>
      </c>
      <c r="G213">
        <v>1196</v>
      </c>
      <c r="H213" s="116"/>
      <c r="I213" s="116"/>
      <c r="L213" s="170">
        <v>44589</v>
      </c>
      <c r="M213" s="116">
        <v>2060.6</v>
      </c>
      <c r="N213" s="116">
        <v>2094.8000000000002</v>
      </c>
      <c r="O213" s="116">
        <v>2022.5</v>
      </c>
      <c r="P213" s="116">
        <v>2079.8000000000002</v>
      </c>
      <c r="Q213" s="116">
        <v>2060.6</v>
      </c>
      <c r="R213">
        <v>8146</v>
      </c>
    </row>
    <row r="214" spans="1:18" x14ac:dyDescent="0.25">
      <c r="A214" s="170">
        <v>44592</v>
      </c>
      <c r="B214" s="116">
        <v>2095.15</v>
      </c>
      <c r="C214" s="116">
        <v>2044.55</v>
      </c>
      <c r="D214" s="116">
        <v>2030.4</v>
      </c>
      <c r="E214" s="116">
        <v>2077.3000000000002</v>
      </c>
      <c r="F214" s="116">
        <v>2044.55</v>
      </c>
      <c r="G214">
        <v>918</v>
      </c>
      <c r="H214" s="116"/>
      <c r="I214" s="116"/>
      <c r="L214" s="170">
        <v>44592</v>
      </c>
      <c r="M214" s="116">
        <v>2044.4</v>
      </c>
      <c r="N214" s="116">
        <v>2098</v>
      </c>
      <c r="O214" s="116">
        <v>2032.25</v>
      </c>
      <c r="P214" s="116">
        <v>2098</v>
      </c>
      <c r="Q214" s="116">
        <v>2044.4</v>
      </c>
      <c r="R214">
        <v>7221</v>
      </c>
    </row>
    <row r="215" spans="1:18" x14ac:dyDescent="0.25">
      <c r="A215" s="170">
        <v>44593</v>
      </c>
      <c r="B215" s="116">
        <v>2059.15</v>
      </c>
      <c r="C215" s="116">
        <v>2012.35</v>
      </c>
      <c r="D215" s="116">
        <v>1998.8</v>
      </c>
      <c r="E215" s="116">
        <v>2039.05</v>
      </c>
      <c r="F215" s="116">
        <v>2012.35</v>
      </c>
      <c r="G215">
        <v>1856</v>
      </c>
      <c r="H215" s="116"/>
      <c r="I215" s="116"/>
      <c r="L215" s="170">
        <v>44593</v>
      </c>
      <c r="M215" s="116">
        <v>2007.35</v>
      </c>
      <c r="N215" s="116">
        <v>2060</v>
      </c>
      <c r="O215" s="116">
        <v>2000</v>
      </c>
      <c r="P215" s="116">
        <v>2044.4</v>
      </c>
      <c r="Q215" s="116">
        <v>2007.35</v>
      </c>
      <c r="R215">
        <v>7421</v>
      </c>
    </row>
    <row r="216" spans="1:18" x14ac:dyDescent="0.25">
      <c r="A216" s="170">
        <v>44594</v>
      </c>
      <c r="B216" s="116">
        <v>2180</v>
      </c>
      <c r="C216" s="116">
        <v>2160.75</v>
      </c>
      <c r="D216" s="116">
        <v>1960.05</v>
      </c>
      <c r="E216" s="116">
        <v>1960.05</v>
      </c>
      <c r="F216" s="116">
        <v>2160.75</v>
      </c>
      <c r="G216">
        <v>2145</v>
      </c>
      <c r="H216" s="116"/>
      <c r="I216" s="116"/>
      <c r="L216" s="170">
        <v>44594</v>
      </c>
      <c r="M216" s="116">
        <v>2157.9</v>
      </c>
      <c r="N216" s="116">
        <v>2189</v>
      </c>
      <c r="O216" s="116">
        <v>2014</v>
      </c>
      <c r="P216" s="116">
        <v>2014</v>
      </c>
      <c r="Q216" s="116">
        <v>2157.9</v>
      </c>
      <c r="R216">
        <v>20962</v>
      </c>
    </row>
    <row r="217" spans="1:18" x14ac:dyDescent="0.25">
      <c r="A217" s="170">
        <v>44595</v>
      </c>
      <c r="B217" s="116">
        <v>2262.65</v>
      </c>
      <c r="C217" s="116">
        <v>2190</v>
      </c>
      <c r="D217" s="116">
        <v>2155</v>
      </c>
      <c r="E217" s="116">
        <v>2155</v>
      </c>
      <c r="F217" s="116">
        <v>2190</v>
      </c>
      <c r="G217">
        <v>2013</v>
      </c>
      <c r="H217" s="116"/>
      <c r="I217" s="116"/>
      <c r="L217" s="170">
        <v>44595</v>
      </c>
      <c r="M217" s="116">
        <v>2186.1999999999998</v>
      </c>
      <c r="N217" s="116">
        <v>2264</v>
      </c>
      <c r="O217" s="116">
        <v>2151</v>
      </c>
      <c r="P217" s="116">
        <v>2160</v>
      </c>
      <c r="Q217" s="116">
        <v>2186.1999999999998</v>
      </c>
      <c r="R217">
        <v>17578</v>
      </c>
    </row>
    <row r="218" spans="1:18" x14ac:dyDescent="0.25">
      <c r="A218" s="170">
        <v>44596</v>
      </c>
      <c r="B218" s="116">
        <v>2162.6999999999998</v>
      </c>
      <c r="C218" s="116">
        <v>2111.1</v>
      </c>
      <c r="D218" s="116">
        <v>2101.3000000000002</v>
      </c>
      <c r="E218" s="116">
        <v>2150</v>
      </c>
      <c r="F218" s="116">
        <v>2111.1</v>
      </c>
      <c r="G218">
        <v>903</v>
      </c>
      <c r="H218" s="116"/>
      <c r="I218" s="116"/>
      <c r="L218" s="170">
        <v>44596</v>
      </c>
      <c r="M218" s="116">
        <v>2114.8000000000002</v>
      </c>
      <c r="N218" s="116">
        <v>2185</v>
      </c>
      <c r="O218" s="116">
        <v>2100</v>
      </c>
      <c r="P218" s="116">
        <v>2185</v>
      </c>
      <c r="Q218" s="116">
        <v>2114.8000000000002</v>
      </c>
      <c r="R218">
        <v>46393</v>
      </c>
    </row>
    <row r="219" spans="1:18" x14ac:dyDescent="0.25">
      <c r="A219" s="170">
        <v>44599</v>
      </c>
      <c r="B219" s="116">
        <v>2172</v>
      </c>
      <c r="C219" s="116">
        <v>2039.35</v>
      </c>
      <c r="D219" s="116">
        <v>2029.05</v>
      </c>
      <c r="E219" s="116">
        <v>2130.15</v>
      </c>
      <c r="F219" s="116">
        <v>2039.35</v>
      </c>
      <c r="G219">
        <v>636</v>
      </c>
      <c r="H219" s="116"/>
      <c r="I219" s="116"/>
      <c r="L219" s="170">
        <v>44599</v>
      </c>
      <c r="M219" s="116">
        <v>2043.2</v>
      </c>
      <c r="N219" s="116">
        <v>2145.25</v>
      </c>
      <c r="O219" s="116">
        <v>2030</v>
      </c>
      <c r="P219" s="116">
        <v>2114.8000000000002</v>
      </c>
      <c r="Q219" s="116">
        <v>2043.2</v>
      </c>
      <c r="R219">
        <v>11063</v>
      </c>
    </row>
    <row r="220" spans="1:18" x14ac:dyDescent="0.25">
      <c r="A220" s="170">
        <v>44600</v>
      </c>
      <c r="B220" s="116">
        <v>2067.25</v>
      </c>
      <c r="C220" s="116">
        <v>2039.8</v>
      </c>
      <c r="D220" s="116">
        <v>2003.25</v>
      </c>
      <c r="E220" s="116">
        <v>2057.3000000000002</v>
      </c>
      <c r="F220" s="116">
        <v>2039.8</v>
      </c>
      <c r="G220">
        <v>742</v>
      </c>
      <c r="H220" s="116"/>
      <c r="I220" s="116"/>
      <c r="L220" s="170">
        <v>44600</v>
      </c>
      <c r="M220" s="116">
        <v>2041.15</v>
      </c>
      <c r="N220" s="116">
        <v>2074.5500000000002</v>
      </c>
      <c r="O220" s="116">
        <v>2000</v>
      </c>
      <c r="P220" s="116">
        <v>2045.1</v>
      </c>
      <c r="Q220" s="116">
        <v>2041.15</v>
      </c>
      <c r="R220">
        <v>8931</v>
      </c>
    </row>
    <row r="221" spans="1:18" x14ac:dyDescent="0.25">
      <c r="A221" s="170">
        <v>44601</v>
      </c>
      <c r="B221" s="116">
        <v>2089.8000000000002</v>
      </c>
      <c r="C221" s="116">
        <v>2058.35</v>
      </c>
      <c r="D221" s="116">
        <v>2049.1</v>
      </c>
      <c r="E221" s="116">
        <v>2071.9</v>
      </c>
      <c r="F221" s="116">
        <v>2058.35</v>
      </c>
      <c r="G221">
        <v>5522</v>
      </c>
      <c r="H221" s="116"/>
      <c r="I221" s="116"/>
      <c r="L221" s="170">
        <v>44601</v>
      </c>
      <c r="M221" s="116">
        <v>2059.75</v>
      </c>
      <c r="N221" s="116">
        <v>2101</v>
      </c>
      <c r="O221" s="116">
        <v>2047.45</v>
      </c>
      <c r="P221" s="116">
        <v>2063.25</v>
      </c>
      <c r="Q221" s="116">
        <v>2059.75</v>
      </c>
      <c r="R221">
        <v>5724</v>
      </c>
    </row>
    <row r="222" spans="1:18" x14ac:dyDescent="0.25">
      <c r="A222" s="170">
        <v>44602</v>
      </c>
      <c r="B222" s="116">
        <v>2090</v>
      </c>
      <c r="C222" s="116">
        <v>2081.65</v>
      </c>
      <c r="D222" s="116">
        <v>2049.25</v>
      </c>
      <c r="E222" s="116">
        <v>2051.3000000000002</v>
      </c>
      <c r="F222" s="116">
        <v>2081.65</v>
      </c>
      <c r="G222">
        <v>266</v>
      </c>
      <c r="H222" s="116"/>
      <c r="I222" s="116"/>
      <c r="L222" s="170">
        <v>44602</v>
      </c>
      <c r="M222" s="116">
        <v>2082.35</v>
      </c>
      <c r="N222" s="116">
        <v>2092</v>
      </c>
      <c r="O222" s="116">
        <v>2047.2</v>
      </c>
      <c r="P222" s="116">
        <v>2055.65</v>
      </c>
      <c r="Q222" s="116">
        <v>2082.35</v>
      </c>
      <c r="R222">
        <v>4754</v>
      </c>
    </row>
    <row r="223" spans="1:18" x14ac:dyDescent="0.25">
      <c r="A223" s="170">
        <v>44603</v>
      </c>
      <c r="B223" s="116">
        <v>2064.6</v>
      </c>
      <c r="C223" s="116">
        <v>2028.55</v>
      </c>
      <c r="D223" s="116">
        <v>2019.75</v>
      </c>
      <c r="E223" s="116">
        <v>2057.65</v>
      </c>
      <c r="F223" s="116">
        <v>2028.55</v>
      </c>
      <c r="G223">
        <v>466</v>
      </c>
      <c r="H223" s="116"/>
      <c r="I223" s="116"/>
      <c r="L223" s="170">
        <v>44603</v>
      </c>
      <c r="M223" s="116">
        <v>2026.85</v>
      </c>
      <c r="N223" s="116">
        <v>2071</v>
      </c>
      <c r="O223" s="116">
        <v>2018</v>
      </c>
      <c r="P223" s="116">
        <v>2071</v>
      </c>
      <c r="Q223" s="116">
        <v>2026.85</v>
      </c>
      <c r="R223">
        <v>5119</v>
      </c>
    </row>
    <row r="224" spans="1:18" x14ac:dyDescent="0.25">
      <c r="A224" s="170">
        <v>44606</v>
      </c>
      <c r="B224" s="116">
        <v>1999.5</v>
      </c>
      <c r="C224" s="116">
        <v>1954.1</v>
      </c>
      <c r="D224" s="116">
        <v>1949.05</v>
      </c>
      <c r="E224" s="116">
        <v>1966</v>
      </c>
      <c r="F224" s="116">
        <v>1954.1</v>
      </c>
      <c r="G224">
        <v>1912</v>
      </c>
      <c r="H224" s="116"/>
      <c r="I224" s="116"/>
      <c r="L224" s="170">
        <v>44606</v>
      </c>
      <c r="M224" s="116">
        <v>1951.55</v>
      </c>
      <c r="N224" s="116">
        <v>2004.85</v>
      </c>
      <c r="O224" s="116">
        <v>1950</v>
      </c>
      <c r="P224" s="116">
        <v>1962</v>
      </c>
      <c r="Q224" s="116">
        <v>1951.55</v>
      </c>
      <c r="R224">
        <v>9487</v>
      </c>
    </row>
    <row r="225" spans="1:18" x14ac:dyDescent="0.25">
      <c r="A225" s="170">
        <v>44607</v>
      </c>
      <c r="B225" s="116">
        <v>1991.05</v>
      </c>
      <c r="C225" s="116">
        <v>1967.6</v>
      </c>
      <c r="D225" s="116">
        <v>1911</v>
      </c>
      <c r="E225" s="116">
        <v>1911</v>
      </c>
      <c r="F225" s="116">
        <v>1967.6</v>
      </c>
      <c r="G225">
        <v>1123</v>
      </c>
      <c r="H225" s="116"/>
      <c r="I225" s="116"/>
      <c r="L225" s="170">
        <v>44607</v>
      </c>
      <c r="M225" s="116">
        <v>1977.65</v>
      </c>
      <c r="N225" s="116">
        <v>1994</v>
      </c>
      <c r="O225" s="116">
        <v>1950</v>
      </c>
      <c r="P225" s="116">
        <v>1977.65</v>
      </c>
      <c r="Q225" s="116">
        <v>1977.65</v>
      </c>
      <c r="R225">
        <v>8677</v>
      </c>
    </row>
    <row r="226" spans="1:18" x14ac:dyDescent="0.25">
      <c r="A226" s="170">
        <v>44608</v>
      </c>
      <c r="B226" s="116">
        <v>2016.1</v>
      </c>
      <c r="C226" s="116">
        <v>1973.3</v>
      </c>
      <c r="D226" s="116">
        <v>1963.4</v>
      </c>
      <c r="E226" s="116">
        <v>1993.45</v>
      </c>
      <c r="F226" s="116">
        <v>1973.3</v>
      </c>
      <c r="G226">
        <v>271</v>
      </c>
      <c r="H226" s="116"/>
      <c r="I226" s="116"/>
      <c r="L226" s="170">
        <v>44608</v>
      </c>
      <c r="M226" s="116">
        <v>1976.55</v>
      </c>
      <c r="N226" s="116">
        <v>2024.7</v>
      </c>
      <c r="O226" s="116">
        <v>1965</v>
      </c>
      <c r="P226" s="116">
        <v>1979.8</v>
      </c>
      <c r="Q226" s="116">
        <v>1976.55</v>
      </c>
      <c r="R226">
        <v>7423</v>
      </c>
    </row>
    <row r="227" spans="1:18" x14ac:dyDescent="0.25">
      <c r="A227" s="170">
        <v>44609</v>
      </c>
      <c r="B227" s="116">
        <v>2161</v>
      </c>
      <c r="C227" s="116">
        <v>2037.8</v>
      </c>
      <c r="D227" s="116">
        <v>1955.2</v>
      </c>
      <c r="E227" s="116">
        <v>2161</v>
      </c>
      <c r="F227" s="116">
        <v>2037.8</v>
      </c>
      <c r="G227">
        <v>688</v>
      </c>
      <c r="H227" s="116"/>
      <c r="I227" s="116"/>
      <c r="L227" s="170">
        <v>44609</v>
      </c>
      <c r="M227" s="116">
        <v>2043.75</v>
      </c>
      <c r="N227" s="116">
        <v>2056</v>
      </c>
      <c r="O227" s="116">
        <v>1970</v>
      </c>
      <c r="P227" s="116">
        <v>1970</v>
      </c>
      <c r="Q227" s="116">
        <v>2043.75</v>
      </c>
      <c r="R227">
        <v>8520</v>
      </c>
    </row>
    <row r="228" spans="1:18" x14ac:dyDescent="0.25">
      <c r="A228" s="170">
        <v>44610</v>
      </c>
      <c r="B228" s="116">
        <v>2184.9499999999998</v>
      </c>
      <c r="C228" s="116">
        <v>2095.4</v>
      </c>
      <c r="D228" s="116">
        <v>2038.15</v>
      </c>
      <c r="E228" s="116">
        <v>2184.9499999999998</v>
      </c>
      <c r="F228" s="116">
        <v>2095.4</v>
      </c>
      <c r="G228">
        <v>899</v>
      </c>
      <c r="H228" s="116"/>
      <c r="I228" s="116"/>
      <c r="L228" s="170">
        <v>44610</v>
      </c>
      <c r="M228" s="116">
        <v>2088.6</v>
      </c>
      <c r="N228" s="116">
        <v>2145</v>
      </c>
      <c r="O228" s="116">
        <v>2037.35</v>
      </c>
      <c r="P228" s="116">
        <v>2050</v>
      </c>
      <c r="Q228" s="116">
        <v>2088.6</v>
      </c>
      <c r="R228">
        <v>15814</v>
      </c>
    </row>
    <row r="229" spans="1:18" x14ac:dyDescent="0.25">
      <c r="A229" s="170">
        <v>44613</v>
      </c>
      <c r="B229" s="116">
        <v>2050</v>
      </c>
      <c r="C229" s="116">
        <v>2016.25</v>
      </c>
      <c r="D229" s="116">
        <v>1949.2</v>
      </c>
      <c r="E229" s="116">
        <v>1949.2</v>
      </c>
      <c r="F229" s="116">
        <v>2016.25</v>
      </c>
      <c r="G229">
        <v>463</v>
      </c>
      <c r="H229" s="116"/>
      <c r="I229" s="116"/>
      <c r="L229" s="170">
        <v>44613</v>
      </c>
      <c r="M229" s="116">
        <v>2021.8</v>
      </c>
      <c r="N229" s="116">
        <v>2053.9499999999998</v>
      </c>
      <c r="O229" s="116">
        <v>2005.6</v>
      </c>
      <c r="P229" s="116">
        <v>2046.85</v>
      </c>
      <c r="Q229" s="116">
        <v>2021.8</v>
      </c>
      <c r="R229">
        <v>4768</v>
      </c>
    </row>
    <row r="230" spans="1:18" x14ac:dyDescent="0.25">
      <c r="A230" s="170">
        <v>44614</v>
      </c>
      <c r="B230" s="116">
        <v>1996.65</v>
      </c>
      <c r="C230" s="116">
        <v>1981.45</v>
      </c>
      <c r="D230" s="116">
        <v>1949.1</v>
      </c>
      <c r="E230" s="116">
        <v>1975.7</v>
      </c>
      <c r="F230" s="116">
        <v>1981.45</v>
      </c>
      <c r="G230">
        <v>609</v>
      </c>
      <c r="H230" s="116"/>
      <c r="I230" s="116"/>
      <c r="L230" s="170">
        <v>44614</v>
      </c>
      <c r="M230" s="116">
        <v>1988.65</v>
      </c>
      <c r="N230" s="116">
        <v>2000</v>
      </c>
      <c r="O230" s="116">
        <v>1930</v>
      </c>
      <c r="P230" s="116">
        <v>1930</v>
      </c>
      <c r="Q230" s="116">
        <v>1988.65</v>
      </c>
      <c r="R230">
        <v>6905</v>
      </c>
    </row>
    <row r="231" spans="1:18" x14ac:dyDescent="0.25">
      <c r="A231" s="170">
        <v>44615</v>
      </c>
      <c r="B231" s="116">
        <v>2031.95</v>
      </c>
      <c r="C231" s="116">
        <v>1975.55</v>
      </c>
      <c r="D231" s="116">
        <v>1961.9</v>
      </c>
      <c r="E231" s="116">
        <v>2019.4</v>
      </c>
      <c r="F231" s="116">
        <v>1975.55</v>
      </c>
      <c r="G231">
        <v>410</v>
      </c>
      <c r="H231" s="116"/>
      <c r="I231" s="116"/>
      <c r="L231" s="170">
        <v>44615</v>
      </c>
      <c r="M231" s="116">
        <v>1982.9</v>
      </c>
      <c r="N231" s="116">
        <v>2036</v>
      </c>
      <c r="O231" s="116">
        <v>1965.6</v>
      </c>
      <c r="P231" s="116">
        <v>1985</v>
      </c>
      <c r="Q231" s="116">
        <v>1982.9</v>
      </c>
      <c r="R231">
        <v>6086</v>
      </c>
    </row>
    <row r="232" spans="1:18" x14ac:dyDescent="0.25">
      <c r="A232" s="170">
        <v>44616</v>
      </c>
      <c r="B232" s="116">
        <v>1977.55</v>
      </c>
      <c r="C232" s="116">
        <v>1846.95</v>
      </c>
      <c r="D232" s="116">
        <v>1845</v>
      </c>
      <c r="E232" s="116">
        <v>1945.15</v>
      </c>
      <c r="F232" s="116">
        <v>1846.95</v>
      </c>
      <c r="G232">
        <v>1256</v>
      </c>
      <c r="H232" s="116"/>
      <c r="I232" s="116"/>
      <c r="L232" s="170">
        <v>44616</v>
      </c>
      <c r="M232" s="116">
        <v>1850.05</v>
      </c>
      <c r="N232" s="116">
        <v>1980</v>
      </c>
      <c r="O232" s="116">
        <v>1840</v>
      </c>
      <c r="P232" s="116">
        <v>1875</v>
      </c>
      <c r="Q232" s="116">
        <v>1850.05</v>
      </c>
      <c r="R232">
        <v>12404</v>
      </c>
    </row>
    <row r="233" spans="1:18" x14ac:dyDescent="0.25">
      <c r="A233" s="170">
        <v>44617</v>
      </c>
      <c r="B233" s="116">
        <v>1950</v>
      </c>
      <c r="C233" s="116">
        <v>1934.95</v>
      </c>
      <c r="D233" s="116">
        <v>1917.1</v>
      </c>
      <c r="E233" s="116">
        <v>1931.65</v>
      </c>
      <c r="F233" s="116">
        <v>1934.95</v>
      </c>
      <c r="G233">
        <v>300</v>
      </c>
      <c r="H233" s="116"/>
      <c r="I233" s="116"/>
      <c r="L233" s="170">
        <v>44617</v>
      </c>
      <c r="M233" s="116">
        <v>1934.55</v>
      </c>
      <c r="N233" s="116">
        <v>1951</v>
      </c>
      <c r="O233" s="116">
        <v>1850.25</v>
      </c>
      <c r="P233" s="116">
        <v>1850.25</v>
      </c>
      <c r="Q233" s="116">
        <v>1934.55</v>
      </c>
      <c r="R233">
        <v>11221</v>
      </c>
    </row>
    <row r="234" spans="1:18" x14ac:dyDescent="0.25">
      <c r="A234" s="170">
        <v>44620</v>
      </c>
      <c r="B234" s="116">
        <v>2009</v>
      </c>
      <c r="C234" s="116">
        <v>1994.8</v>
      </c>
      <c r="D234" s="116">
        <v>1880</v>
      </c>
      <c r="E234" s="116">
        <v>1950</v>
      </c>
      <c r="F234" s="116">
        <v>1994.8</v>
      </c>
      <c r="G234">
        <v>932</v>
      </c>
      <c r="H234" s="116"/>
      <c r="I234" s="116"/>
      <c r="L234" s="170">
        <v>44620</v>
      </c>
      <c r="M234" s="116">
        <v>1997.3</v>
      </c>
      <c r="N234" s="116">
        <v>2010</v>
      </c>
      <c r="O234" s="116">
        <v>1872.05</v>
      </c>
      <c r="P234" s="116">
        <v>1921.9</v>
      </c>
      <c r="Q234" s="116">
        <v>1997.3</v>
      </c>
      <c r="R234">
        <v>6592</v>
      </c>
    </row>
    <row r="235" spans="1:18" x14ac:dyDescent="0.25">
      <c r="A235" s="170">
        <v>44622</v>
      </c>
      <c r="B235" s="116">
        <v>2050.15</v>
      </c>
      <c r="C235" s="116">
        <v>2023.9</v>
      </c>
      <c r="D235" s="116">
        <v>1926.4</v>
      </c>
      <c r="E235" s="116">
        <v>1945.25</v>
      </c>
      <c r="F235" s="116">
        <v>2023.9</v>
      </c>
      <c r="G235">
        <v>1965</v>
      </c>
      <c r="H235" s="116"/>
      <c r="I235" s="116"/>
      <c r="L235" s="170">
        <v>44622</v>
      </c>
      <c r="M235" s="116">
        <v>2028.85</v>
      </c>
      <c r="N235" s="116">
        <v>2049</v>
      </c>
      <c r="O235" s="116">
        <v>1915.1</v>
      </c>
      <c r="P235" s="116">
        <v>1967.35</v>
      </c>
      <c r="Q235" s="116">
        <v>2028.85</v>
      </c>
      <c r="R235">
        <v>12839</v>
      </c>
    </row>
    <row r="236" spans="1:18" x14ac:dyDescent="0.25">
      <c r="A236" s="170">
        <v>44623</v>
      </c>
      <c r="B236" s="116">
        <v>2096.6999999999998</v>
      </c>
      <c r="C236" s="116">
        <v>2065.3000000000002</v>
      </c>
      <c r="D236" s="116">
        <v>2040.3</v>
      </c>
      <c r="E236" s="116">
        <v>2050.9499999999998</v>
      </c>
      <c r="F236" s="116">
        <v>2065.3000000000002</v>
      </c>
      <c r="G236">
        <v>426</v>
      </c>
      <c r="H236" s="116"/>
      <c r="I236" s="116"/>
      <c r="L236" s="170">
        <v>44623</v>
      </c>
      <c r="M236" s="116">
        <v>2068.75</v>
      </c>
      <c r="N236" s="116">
        <v>2100</v>
      </c>
      <c r="O236" s="116">
        <v>2025.75</v>
      </c>
      <c r="P236" s="116">
        <v>2050</v>
      </c>
      <c r="Q236" s="116">
        <v>2068.75</v>
      </c>
      <c r="R236">
        <v>20172</v>
      </c>
    </row>
    <row r="237" spans="1:18" x14ac:dyDescent="0.25">
      <c r="A237" s="170">
        <v>44624</v>
      </c>
      <c r="B237" s="116">
        <v>2087.5500000000002</v>
      </c>
      <c r="C237" s="116">
        <v>2048.35</v>
      </c>
      <c r="D237" s="116">
        <v>1992.4</v>
      </c>
      <c r="E237" s="116">
        <v>2074.1</v>
      </c>
      <c r="F237" s="116">
        <v>2048.35</v>
      </c>
      <c r="G237">
        <v>2282</v>
      </c>
      <c r="H237" s="116"/>
      <c r="I237" s="116"/>
      <c r="L237" s="170">
        <v>44624</v>
      </c>
      <c r="M237" s="116">
        <v>2046.5</v>
      </c>
      <c r="N237" s="116">
        <v>2094.9</v>
      </c>
      <c r="O237" s="116">
        <v>1991</v>
      </c>
      <c r="P237" s="116">
        <v>2075</v>
      </c>
      <c r="Q237" s="116">
        <v>2046.5</v>
      </c>
      <c r="R237">
        <v>15629</v>
      </c>
    </row>
    <row r="238" spans="1:18" x14ac:dyDescent="0.25">
      <c r="A238" s="170">
        <v>44627</v>
      </c>
      <c r="B238" s="116">
        <v>1995</v>
      </c>
      <c r="C238" s="116">
        <v>1941.65</v>
      </c>
      <c r="D238" s="116">
        <v>1901.9</v>
      </c>
      <c r="E238" s="116">
        <v>1995</v>
      </c>
      <c r="F238" s="116">
        <v>1941.65</v>
      </c>
      <c r="G238">
        <v>1174</v>
      </c>
      <c r="H238" s="116"/>
      <c r="I238" s="116"/>
      <c r="L238" s="170">
        <v>44627</v>
      </c>
      <c r="M238" s="116">
        <v>1940.75</v>
      </c>
      <c r="N238" s="116">
        <v>1970</v>
      </c>
      <c r="O238" s="116">
        <v>1900</v>
      </c>
      <c r="P238" s="116">
        <v>1970</v>
      </c>
      <c r="Q238" s="116">
        <v>1940.75</v>
      </c>
      <c r="R238">
        <v>13854</v>
      </c>
    </row>
    <row r="239" spans="1:18" x14ac:dyDescent="0.25">
      <c r="A239" s="170">
        <v>44628</v>
      </c>
      <c r="B239" s="116">
        <v>1993.65</v>
      </c>
      <c r="C239" s="116">
        <v>1948.5</v>
      </c>
      <c r="D239" s="116">
        <v>1941.95</v>
      </c>
      <c r="E239" s="116">
        <v>1955</v>
      </c>
      <c r="F239" s="116">
        <v>1948.5</v>
      </c>
      <c r="G239">
        <v>2006</v>
      </c>
      <c r="H239" s="116"/>
      <c r="I239" s="116"/>
      <c r="L239" s="170">
        <v>44628</v>
      </c>
      <c r="M239" s="116">
        <v>1948.9</v>
      </c>
      <c r="N239" s="116">
        <v>1998</v>
      </c>
      <c r="O239" s="116">
        <v>1939.5</v>
      </c>
      <c r="P239" s="116">
        <v>1947.8</v>
      </c>
      <c r="Q239" s="116">
        <v>1948.9</v>
      </c>
      <c r="R239">
        <v>7449</v>
      </c>
    </row>
    <row r="240" spans="1:18" x14ac:dyDescent="0.25">
      <c r="A240" s="170">
        <v>44629</v>
      </c>
      <c r="B240" s="116">
        <v>2000.7</v>
      </c>
      <c r="C240" s="116">
        <v>1959.8</v>
      </c>
      <c r="D240" s="116">
        <v>1948.9</v>
      </c>
      <c r="E240" s="116">
        <v>2000.7</v>
      </c>
      <c r="F240" s="116">
        <v>1959.8</v>
      </c>
      <c r="G240">
        <v>277</v>
      </c>
      <c r="H240" s="116"/>
      <c r="I240" s="116"/>
      <c r="L240" s="170">
        <v>44629</v>
      </c>
      <c r="M240" s="116">
        <v>1961.2</v>
      </c>
      <c r="N240" s="116">
        <v>2020</v>
      </c>
      <c r="O240" s="116">
        <v>1948.7</v>
      </c>
      <c r="P240" s="116">
        <v>2020</v>
      </c>
      <c r="Q240" s="116">
        <v>1961.2</v>
      </c>
      <c r="R240">
        <v>3967</v>
      </c>
    </row>
    <row r="241" spans="1:18" x14ac:dyDescent="0.25">
      <c r="A241" s="170">
        <v>44630</v>
      </c>
      <c r="B241" s="116">
        <v>2270.8000000000002</v>
      </c>
      <c r="C241" s="116">
        <v>1964.9</v>
      </c>
      <c r="D241" s="116">
        <v>1960</v>
      </c>
      <c r="E241" s="116">
        <v>2270.8000000000002</v>
      </c>
      <c r="F241" s="116">
        <v>1964.9</v>
      </c>
      <c r="G241">
        <v>644</v>
      </c>
      <c r="H241" s="116"/>
      <c r="I241" s="116"/>
      <c r="L241" s="170">
        <v>44630</v>
      </c>
      <c r="M241" s="116">
        <v>1970</v>
      </c>
      <c r="N241" s="116">
        <v>2015.8</v>
      </c>
      <c r="O241" s="116">
        <v>1960</v>
      </c>
      <c r="P241" s="116">
        <v>1994.25</v>
      </c>
      <c r="Q241" s="116">
        <v>1970</v>
      </c>
      <c r="R241">
        <v>19909</v>
      </c>
    </row>
    <row r="242" spans="1:18" x14ac:dyDescent="0.25">
      <c r="A242" s="170">
        <v>44631</v>
      </c>
      <c r="B242" s="116">
        <v>2000</v>
      </c>
      <c r="C242" s="116">
        <v>1976.4</v>
      </c>
      <c r="D242" s="116">
        <v>1955.05</v>
      </c>
      <c r="E242" s="116">
        <v>1962.5</v>
      </c>
      <c r="F242" s="116">
        <v>1976.4</v>
      </c>
      <c r="G242">
        <v>402</v>
      </c>
      <c r="H242" s="116"/>
      <c r="I242" s="116"/>
      <c r="L242" s="170">
        <v>44631</v>
      </c>
      <c r="M242" s="116">
        <v>1984.35</v>
      </c>
      <c r="N242" s="116">
        <v>2009.95</v>
      </c>
      <c r="O242" s="116">
        <v>1955</v>
      </c>
      <c r="P242" s="116">
        <v>1983.25</v>
      </c>
      <c r="Q242" s="116">
        <v>1984.35</v>
      </c>
      <c r="R242">
        <v>7791</v>
      </c>
    </row>
    <row r="243" spans="1:18" x14ac:dyDescent="0.25">
      <c r="A243" s="170">
        <v>44634</v>
      </c>
      <c r="B243" s="116">
        <v>2020.75</v>
      </c>
      <c r="C243" s="116">
        <v>2006.8</v>
      </c>
      <c r="D243" s="116">
        <v>1941.45</v>
      </c>
      <c r="E243" s="116">
        <v>1971.1</v>
      </c>
      <c r="F243" s="116">
        <v>2006.8</v>
      </c>
      <c r="G243">
        <v>174</v>
      </c>
      <c r="H243" s="116"/>
      <c r="I243" s="116"/>
      <c r="L243" s="170">
        <v>44634</v>
      </c>
      <c r="M243" s="116">
        <v>1999.15</v>
      </c>
      <c r="N243" s="116">
        <v>2025</v>
      </c>
      <c r="O243" s="116">
        <v>1940</v>
      </c>
      <c r="P243" s="116">
        <v>1977.1</v>
      </c>
      <c r="Q243" s="116">
        <v>1999.15</v>
      </c>
      <c r="R243">
        <v>9374</v>
      </c>
    </row>
    <row r="244" spans="1:18" x14ac:dyDescent="0.25">
      <c r="A244" s="170">
        <v>44635</v>
      </c>
      <c r="B244" s="116">
        <v>2120.85</v>
      </c>
      <c r="C244" s="116">
        <v>2054.85</v>
      </c>
      <c r="D244" s="116">
        <v>1955.1</v>
      </c>
      <c r="E244" s="116">
        <v>1984.9</v>
      </c>
      <c r="F244" s="116">
        <v>2054.85</v>
      </c>
      <c r="G244">
        <v>1088</v>
      </c>
      <c r="H244" s="116"/>
      <c r="I244" s="116"/>
      <c r="L244" s="170">
        <v>44635</v>
      </c>
      <c r="M244" s="116">
        <v>2070.6</v>
      </c>
      <c r="N244" s="116">
        <v>2126.0500000000002</v>
      </c>
      <c r="O244" s="116">
        <v>1950</v>
      </c>
      <c r="P244" s="116">
        <v>1985</v>
      </c>
      <c r="Q244" s="116">
        <v>2070.6</v>
      </c>
      <c r="R244">
        <v>19623</v>
      </c>
    </row>
    <row r="245" spans="1:18" x14ac:dyDescent="0.25">
      <c r="A245" s="170">
        <v>44636</v>
      </c>
      <c r="B245" s="116">
        <v>2091.0500000000002</v>
      </c>
      <c r="C245" s="116">
        <v>2042.45</v>
      </c>
      <c r="D245" s="116">
        <v>2029.4</v>
      </c>
      <c r="E245" s="116">
        <v>2088.9</v>
      </c>
      <c r="F245" s="116">
        <v>2042.45</v>
      </c>
      <c r="G245">
        <v>1503</v>
      </c>
      <c r="H245" s="116"/>
      <c r="I245" s="116"/>
      <c r="L245" s="170">
        <v>44636</v>
      </c>
      <c r="M245" s="116">
        <v>2039.85</v>
      </c>
      <c r="N245" s="116">
        <v>2103.25</v>
      </c>
      <c r="O245" s="116">
        <v>2022</v>
      </c>
      <c r="P245" s="116">
        <v>2065.25</v>
      </c>
      <c r="Q245" s="116">
        <v>2039.85</v>
      </c>
      <c r="R245">
        <v>6739</v>
      </c>
    </row>
    <row r="246" spans="1:18" x14ac:dyDescent="0.25">
      <c r="A246" s="170">
        <v>44637</v>
      </c>
      <c r="B246" s="116">
        <v>2051.3000000000002</v>
      </c>
      <c r="C246" s="116">
        <v>2032.35</v>
      </c>
      <c r="D246" s="116">
        <v>1969</v>
      </c>
      <c r="E246" s="116">
        <v>2051.3000000000002</v>
      </c>
      <c r="F246" s="116">
        <v>2032.35</v>
      </c>
      <c r="G246">
        <v>3753</v>
      </c>
      <c r="H246" s="116"/>
      <c r="I246" s="116"/>
      <c r="L246" s="170">
        <v>44637</v>
      </c>
      <c r="M246" s="116">
        <v>2036.75</v>
      </c>
      <c r="N246" s="116">
        <v>2069.25</v>
      </c>
      <c r="O246" s="116">
        <v>1966.7</v>
      </c>
      <c r="P246" s="116">
        <v>2069.25</v>
      </c>
      <c r="Q246" s="116">
        <v>2036.75</v>
      </c>
      <c r="R246">
        <v>20743</v>
      </c>
    </row>
    <row r="247" spans="1:18" x14ac:dyDescent="0.25">
      <c r="A247" s="170">
        <v>44641</v>
      </c>
      <c r="B247" s="116">
        <v>2047.15</v>
      </c>
      <c r="C247" s="116">
        <v>2036.2</v>
      </c>
      <c r="D247" s="116">
        <v>1961.1</v>
      </c>
      <c r="E247" s="116">
        <v>1961.1</v>
      </c>
      <c r="F247" s="116">
        <v>2036.2</v>
      </c>
      <c r="G247">
        <v>250</v>
      </c>
      <c r="H247" s="116"/>
      <c r="I247" s="116"/>
      <c r="L247" s="170">
        <v>44641</v>
      </c>
      <c r="M247" s="116">
        <v>2027.9</v>
      </c>
      <c r="N247" s="116">
        <v>2050</v>
      </c>
      <c r="O247" s="116">
        <v>2005.55</v>
      </c>
      <c r="P247" s="116">
        <v>2047.25</v>
      </c>
      <c r="Q247" s="116">
        <v>2027.9</v>
      </c>
      <c r="R247">
        <v>13323</v>
      </c>
    </row>
    <row r="248" spans="1:18" x14ac:dyDescent="0.25">
      <c r="A248" s="170">
        <v>44642</v>
      </c>
      <c r="B248" s="116">
        <v>2240</v>
      </c>
      <c r="C248" s="116">
        <v>2185.6</v>
      </c>
      <c r="D248" s="116">
        <v>2029.5</v>
      </c>
      <c r="E248" s="116">
        <v>2035.55</v>
      </c>
      <c r="F248" s="116">
        <v>2185.6</v>
      </c>
      <c r="G248">
        <v>8257</v>
      </c>
      <c r="H248" s="116"/>
      <c r="I248" s="116"/>
      <c r="L248" s="170">
        <v>44642</v>
      </c>
      <c r="M248" s="116">
        <v>2185.9499999999998</v>
      </c>
      <c r="N248" s="116">
        <v>2240.1</v>
      </c>
      <c r="O248" s="116">
        <v>2027.9</v>
      </c>
      <c r="P248" s="116">
        <v>2027.9</v>
      </c>
      <c r="Q248" s="116">
        <v>2185.9499999999998</v>
      </c>
      <c r="R248">
        <v>71592</v>
      </c>
    </row>
    <row r="249" spans="1:18" x14ac:dyDescent="0.25">
      <c r="A249" s="170">
        <v>44643</v>
      </c>
      <c r="B249" s="116">
        <v>2268.75</v>
      </c>
      <c r="C249" s="116">
        <v>2179.5</v>
      </c>
      <c r="D249" s="116">
        <v>2165</v>
      </c>
      <c r="E249" s="116">
        <v>2195.8000000000002</v>
      </c>
      <c r="F249" s="116">
        <v>2179.5</v>
      </c>
      <c r="G249">
        <v>2080</v>
      </c>
      <c r="H249" s="116"/>
      <c r="I249" s="116"/>
      <c r="L249" s="170">
        <v>44643</v>
      </c>
      <c r="M249" s="116">
        <v>2180.85</v>
      </c>
      <c r="N249" s="116">
        <v>2328.0500000000002</v>
      </c>
      <c r="O249" s="116">
        <v>2161.9499999999998</v>
      </c>
      <c r="P249" s="116">
        <v>2209.6999999999998</v>
      </c>
      <c r="Q249" s="116">
        <v>2180.85</v>
      </c>
      <c r="R249">
        <v>24199</v>
      </c>
    </row>
    <row r="250" spans="1:18" x14ac:dyDescent="0.25">
      <c r="A250" s="170">
        <v>44644</v>
      </c>
      <c r="B250" s="116">
        <v>2224.8000000000002</v>
      </c>
      <c r="C250" s="116">
        <v>2137.4</v>
      </c>
      <c r="D250" s="116">
        <v>2110</v>
      </c>
      <c r="E250" s="116">
        <v>2224.8000000000002</v>
      </c>
      <c r="F250" s="116">
        <v>2137.4</v>
      </c>
      <c r="G250">
        <v>1287</v>
      </c>
      <c r="H250" s="116"/>
      <c r="I250" s="116"/>
      <c r="L250" s="170">
        <v>44644</v>
      </c>
      <c r="M250" s="116">
        <v>2148.9499999999998</v>
      </c>
      <c r="N250" s="116">
        <v>2210</v>
      </c>
      <c r="O250" s="116">
        <v>2110.0500000000002</v>
      </c>
      <c r="P250" s="116">
        <v>2197</v>
      </c>
      <c r="Q250" s="116">
        <v>2148.9499999999998</v>
      </c>
      <c r="R250">
        <v>9787</v>
      </c>
    </row>
    <row r="251" spans="1:18" x14ac:dyDescent="0.25">
      <c r="A251" s="170">
        <v>44645</v>
      </c>
      <c r="B251" s="116">
        <v>2175.9499999999998</v>
      </c>
      <c r="C251" s="116">
        <v>2100.4</v>
      </c>
      <c r="D251" s="116">
        <v>2055.1999999999998</v>
      </c>
      <c r="E251" s="116">
        <v>2175.75</v>
      </c>
      <c r="F251" s="116">
        <v>2100.4</v>
      </c>
      <c r="G251">
        <v>3017</v>
      </c>
      <c r="H251" s="116"/>
      <c r="I251" s="116"/>
      <c r="L251" s="170">
        <v>44645</v>
      </c>
      <c r="M251" s="116">
        <v>2100.65</v>
      </c>
      <c r="N251" s="116">
        <v>2177.5</v>
      </c>
      <c r="O251" s="116">
        <v>2055.4</v>
      </c>
      <c r="P251" s="116">
        <v>2150.5500000000002</v>
      </c>
      <c r="Q251" s="116">
        <v>2100.65</v>
      </c>
      <c r="R251">
        <v>18028</v>
      </c>
    </row>
    <row r="252" spans="1:18" x14ac:dyDescent="0.25">
      <c r="A252" s="170">
        <v>44648</v>
      </c>
      <c r="B252" s="116">
        <v>2156.9499999999998</v>
      </c>
      <c r="C252" s="116">
        <v>2153.85</v>
      </c>
      <c r="D252" s="116">
        <v>2058.6</v>
      </c>
      <c r="E252" s="116">
        <v>2088.3000000000002</v>
      </c>
      <c r="F252" s="116">
        <v>2153.85</v>
      </c>
      <c r="G252">
        <v>575</v>
      </c>
      <c r="H252" s="116"/>
      <c r="I252" s="116"/>
      <c r="L252" s="170">
        <v>44648</v>
      </c>
      <c r="M252" s="116">
        <v>2153.4499999999998</v>
      </c>
      <c r="N252" s="116">
        <v>2159.9499999999998</v>
      </c>
      <c r="O252" s="116">
        <v>2051</v>
      </c>
      <c r="P252" s="116">
        <v>2066.1</v>
      </c>
      <c r="Q252" s="116">
        <v>2153.4499999999998</v>
      </c>
      <c r="R252">
        <v>12539</v>
      </c>
    </row>
    <row r="253" spans="1:18" x14ac:dyDescent="0.25">
      <c r="A253" s="170">
        <v>44649</v>
      </c>
      <c r="B253" s="116">
        <v>2201.15</v>
      </c>
      <c r="C253" s="116">
        <v>2179.15</v>
      </c>
      <c r="D253" s="116">
        <v>2124.1999999999998</v>
      </c>
      <c r="E253" s="116">
        <v>2165.9</v>
      </c>
      <c r="F253" s="116">
        <v>2179.15</v>
      </c>
      <c r="G253">
        <v>1347</v>
      </c>
      <c r="H253" s="116"/>
      <c r="I253" s="116"/>
      <c r="L253" s="170">
        <v>44649</v>
      </c>
      <c r="M253" s="116">
        <v>2186.9499999999998</v>
      </c>
      <c r="N253" s="116">
        <v>2214</v>
      </c>
      <c r="O253" s="116">
        <v>2126</v>
      </c>
      <c r="P253" s="116">
        <v>2153.5</v>
      </c>
      <c r="Q253" s="116">
        <v>2186.9499999999998</v>
      </c>
      <c r="R253">
        <v>8475</v>
      </c>
    </row>
    <row r="254" spans="1:18" x14ac:dyDescent="0.25">
      <c r="A254" s="170">
        <v>44650</v>
      </c>
      <c r="B254" s="116">
        <v>2350.1999999999998</v>
      </c>
      <c r="C254" s="116">
        <v>2297.85</v>
      </c>
      <c r="D254" s="116">
        <v>2189.9</v>
      </c>
      <c r="E254" s="116">
        <v>2189.9</v>
      </c>
      <c r="F254" s="116">
        <v>2297.85</v>
      </c>
      <c r="G254">
        <v>2761</v>
      </c>
      <c r="H254" s="116"/>
      <c r="I254" s="116"/>
      <c r="L254" s="170">
        <v>44650</v>
      </c>
      <c r="M254" s="116">
        <v>2299</v>
      </c>
      <c r="N254" s="116">
        <v>2360</v>
      </c>
      <c r="O254" s="116">
        <v>2203.3000000000002</v>
      </c>
      <c r="P254" s="116">
        <v>2230</v>
      </c>
      <c r="Q254" s="116">
        <v>2299</v>
      </c>
      <c r="R254">
        <v>76644</v>
      </c>
    </row>
    <row r="255" spans="1:18" x14ac:dyDescent="0.25">
      <c r="A255" s="170">
        <v>44651</v>
      </c>
      <c r="B255" s="116">
        <v>2390</v>
      </c>
      <c r="C255" s="116">
        <v>2356.1999999999998</v>
      </c>
      <c r="D255" s="116">
        <v>2319</v>
      </c>
      <c r="E255" s="116">
        <v>2319</v>
      </c>
      <c r="F255" s="116">
        <v>2356.1999999999998</v>
      </c>
      <c r="G255">
        <v>2689</v>
      </c>
      <c r="H255" s="116"/>
      <c r="I255" s="116"/>
      <c r="L255" s="170">
        <v>44651</v>
      </c>
      <c r="M255" s="116">
        <v>2358.4</v>
      </c>
      <c r="N255" s="116">
        <v>2389.9499999999998</v>
      </c>
      <c r="O255" s="116">
        <v>2310</v>
      </c>
      <c r="P255" s="116">
        <v>2310</v>
      </c>
      <c r="Q255" s="116">
        <v>2358.4</v>
      </c>
      <c r="R255">
        <v>44919</v>
      </c>
    </row>
    <row r="256" spans="1:18" x14ac:dyDescent="0.25">
      <c r="A256" s="170">
        <v>44652</v>
      </c>
      <c r="B256" s="116">
        <v>2415</v>
      </c>
      <c r="C256" s="116">
        <v>2371.6999999999998</v>
      </c>
      <c r="D256" s="116">
        <v>2336.8000000000002</v>
      </c>
      <c r="E256" s="116">
        <v>2415</v>
      </c>
      <c r="F256" s="116">
        <v>2371.6999999999998</v>
      </c>
      <c r="G256">
        <v>1138</v>
      </c>
      <c r="H256" s="116"/>
      <c r="I256" s="116"/>
      <c r="L256" s="170">
        <v>44652</v>
      </c>
      <c r="M256" s="116">
        <v>2367.4</v>
      </c>
      <c r="N256" s="116">
        <v>2398</v>
      </c>
      <c r="O256" s="116">
        <v>2332.4499999999998</v>
      </c>
      <c r="P256" s="116">
        <v>2388</v>
      </c>
      <c r="Q256" s="116">
        <v>2367.4</v>
      </c>
      <c r="R256">
        <v>16135</v>
      </c>
    </row>
    <row r="257" spans="1:18" x14ac:dyDescent="0.25">
      <c r="A257" s="170">
        <v>44655</v>
      </c>
      <c r="B257" s="116">
        <v>2422.3000000000002</v>
      </c>
      <c r="C257" s="116">
        <v>2368.85</v>
      </c>
      <c r="D257" s="116">
        <v>2307</v>
      </c>
      <c r="E257" s="116">
        <v>2307</v>
      </c>
      <c r="F257" s="116">
        <v>2368.85</v>
      </c>
      <c r="G257">
        <v>2790</v>
      </c>
      <c r="H257" s="116"/>
      <c r="I257" s="116"/>
      <c r="L257" s="170">
        <v>44655</v>
      </c>
      <c r="M257" s="116">
        <v>2370.75</v>
      </c>
      <c r="N257" s="116">
        <v>2425</v>
      </c>
      <c r="O257" s="116">
        <v>2355</v>
      </c>
      <c r="P257" s="116">
        <v>2355</v>
      </c>
      <c r="Q257" s="116">
        <v>2370.75</v>
      </c>
      <c r="R257">
        <v>11684</v>
      </c>
    </row>
    <row r="258" spans="1:18" x14ac:dyDescent="0.25">
      <c r="A258" s="170">
        <v>44656</v>
      </c>
      <c r="B258" s="116">
        <v>2448.9499999999998</v>
      </c>
      <c r="C258" s="116">
        <v>2408.75</v>
      </c>
      <c r="D258" s="116">
        <v>2377.9</v>
      </c>
      <c r="E258" s="116">
        <v>2438</v>
      </c>
      <c r="F258" s="116">
        <v>2408.75</v>
      </c>
      <c r="G258">
        <v>848</v>
      </c>
      <c r="H258" s="116"/>
      <c r="I258" s="116"/>
      <c r="L258" s="170">
        <v>44656</v>
      </c>
      <c r="M258" s="116">
        <v>2410.1</v>
      </c>
      <c r="N258" s="116">
        <v>2438.75</v>
      </c>
      <c r="O258" s="116">
        <v>2350</v>
      </c>
      <c r="P258" s="116">
        <v>2360</v>
      </c>
      <c r="Q258" s="116">
        <v>2410.1</v>
      </c>
      <c r="R258">
        <v>20192</v>
      </c>
    </row>
    <row r="259" spans="1:18" x14ac:dyDescent="0.25">
      <c r="A259" s="170">
        <v>44657</v>
      </c>
      <c r="B259" s="116">
        <v>2480.8000000000002</v>
      </c>
      <c r="C259" s="116">
        <v>2471.3000000000002</v>
      </c>
      <c r="D259" s="116">
        <v>2411.9</v>
      </c>
      <c r="E259" s="116">
        <v>2414.6999999999998</v>
      </c>
      <c r="F259" s="116">
        <v>2471.3000000000002</v>
      </c>
      <c r="G259">
        <v>958</v>
      </c>
      <c r="H259" s="116"/>
      <c r="I259" s="116"/>
      <c r="L259" s="170">
        <v>44657</v>
      </c>
      <c r="M259" s="116">
        <v>2470.9499999999998</v>
      </c>
      <c r="N259" s="116">
        <v>2480</v>
      </c>
      <c r="O259" s="116">
        <v>2395</v>
      </c>
      <c r="P259" s="116">
        <v>2410.1</v>
      </c>
      <c r="Q259" s="116">
        <v>2470.9499999999998</v>
      </c>
      <c r="R259">
        <v>19583</v>
      </c>
    </row>
    <row r="260" spans="1:18" x14ac:dyDescent="0.25">
      <c r="A260" s="170">
        <v>44658</v>
      </c>
      <c r="B260" s="116">
        <v>2495</v>
      </c>
      <c r="C260" s="116">
        <v>2392.9</v>
      </c>
      <c r="D260" s="116">
        <v>2285</v>
      </c>
      <c r="E260" s="116">
        <v>2455</v>
      </c>
      <c r="F260" s="116">
        <v>2392.9</v>
      </c>
      <c r="G260">
        <v>3393</v>
      </c>
      <c r="H260" s="116"/>
      <c r="I260" s="116"/>
      <c r="L260" s="170">
        <v>44658</v>
      </c>
      <c r="M260" s="116">
        <v>2396.0500000000002</v>
      </c>
      <c r="N260" s="116">
        <v>2498.75</v>
      </c>
      <c r="O260" s="116">
        <v>2368</v>
      </c>
      <c r="P260" s="116">
        <v>2476</v>
      </c>
      <c r="Q260" s="116">
        <v>2396.0500000000002</v>
      </c>
      <c r="R260">
        <v>17431</v>
      </c>
    </row>
    <row r="261" spans="1:18" x14ac:dyDescent="0.25">
      <c r="A261" s="170">
        <v>44659</v>
      </c>
      <c r="B261" s="116">
        <v>2421.5500000000002</v>
      </c>
      <c r="C261" s="116">
        <v>2400.4499999999998</v>
      </c>
      <c r="D261" s="116">
        <v>2374.75</v>
      </c>
      <c r="E261" s="116">
        <v>2400</v>
      </c>
      <c r="F261" s="116">
        <v>2400.4499999999998</v>
      </c>
      <c r="G261">
        <v>4561</v>
      </c>
      <c r="H261" s="116"/>
      <c r="I261" s="116"/>
      <c r="L261" s="170">
        <v>44659</v>
      </c>
      <c r="M261" s="116">
        <v>2397.8000000000002</v>
      </c>
      <c r="N261" s="116">
        <v>2424.4</v>
      </c>
      <c r="O261" s="116">
        <v>2373.1</v>
      </c>
      <c r="P261" s="116">
        <v>2397</v>
      </c>
      <c r="Q261" s="116">
        <v>2397.8000000000002</v>
      </c>
      <c r="R261">
        <v>13518</v>
      </c>
    </row>
    <row r="262" spans="1:18" x14ac:dyDescent="0.25">
      <c r="A262" s="170">
        <v>44662</v>
      </c>
      <c r="B262" s="116">
        <v>2495.9499999999998</v>
      </c>
      <c r="C262" s="116">
        <v>2456.6999999999998</v>
      </c>
      <c r="D262" s="116">
        <v>2400</v>
      </c>
      <c r="E262" s="116">
        <v>2400</v>
      </c>
      <c r="F262" s="116">
        <v>2456.6999999999998</v>
      </c>
      <c r="G262">
        <v>1926</v>
      </c>
      <c r="H262" s="116"/>
      <c r="I262" s="116"/>
      <c r="L262" s="170">
        <v>44662</v>
      </c>
      <c r="M262" s="116">
        <v>2461.9</v>
      </c>
      <c r="N262" s="116">
        <v>2496</v>
      </c>
      <c r="O262" s="116">
        <v>2390.1</v>
      </c>
      <c r="P262" s="116">
        <v>2390.1</v>
      </c>
      <c r="Q262" s="116">
        <v>2461.9</v>
      </c>
      <c r="R262">
        <v>20640</v>
      </c>
    </row>
    <row r="263" spans="1:18" x14ac:dyDescent="0.25">
      <c r="A263" s="170">
        <v>44663</v>
      </c>
      <c r="B263" s="116">
        <v>2439.5</v>
      </c>
      <c r="C263" s="116">
        <v>2410.9499999999998</v>
      </c>
      <c r="D263" s="116">
        <v>2390</v>
      </c>
      <c r="E263" s="116">
        <v>2391.1</v>
      </c>
      <c r="F263" s="116">
        <v>2410.9499999999998</v>
      </c>
      <c r="G263">
        <v>2699</v>
      </c>
      <c r="H263" s="116"/>
      <c r="I263" s="116"/>
      <c r="L263" s="170">
        <v>44663</v>
      </c>
      <c r="M263" s="116">
        <v>2408.35</v>
      </c>
      <c r="N263" s="116">
        <v>2440</v>
      </c>
      <c r="O263" s="116">
        <v>2390.1</v>
      </c>
      <c r="P263" s="116">
        <v>2440</v>
      </c>
      <c r="Q263" s="116">
        <v>2408.35</v>
      </c>
      <c r="R263">
        <v>9716</v>
      </c>
    </row>
    <row r="264" spans="1:18" x14ac:dyDescent="0.25">
      <c r="A264" s="170">
        <v>44664</v>
      </c>
      <c r="B264" s="116">
        <v>2438.6</v>
      </c>
      <c r="C264" s="116">
        <v>2398.75</v>
      </c>
      <c r="D264" s="116">
        <v>2388.1999999999998</v>
      </c>
      <c r="E264" s="116">
        <v>2438.6</v>
      </c>
      <c r="F264" s="116">
        <v>2398.75</v>
      </c>
      <c r="G264">
        <v>1200</v>
      </c>
      <c r="H264" s="116"/>
      <c r="I264" s="116"/>
      <c r="L264" s="170">
        <v>44664</v>
      </c>
      <c r="M264" s="116">
        <v>2399.6999999999998</v>
      </c>
      <c r="N264" s="116">
        <v>2438.1</v>
      </c>
      <c r="O264" s="116">
        <v>2390.1</v>
      </c>
      <c r="P264" s="116">
        <v>2401.1</v>
      </c>
      <c r="Q264" s="116">
        <v>2399.6999999999998</v>
      </c>
      <c r="R264">
        <v>9153</v>
      </c>
    </row>
    <row r="265" spans="1:18" x14ac:dyDescent="0.25">
      <c r="A265" s="170">
        <v>44669</v>
      </c>
      <c r="B265" s="116">
        <v>2361.6999999999998</v>
      </c>
      <c r="C265" s="116">
        <v>2317.6999999999998</v>
      </c>
      <c r="D265" s="116">
        <v>2291.5</v>
      </c>
      <c r="E265" s="116">
        <v>2310</v>
      </c>
      <c r="F265" s="116">
        <v>2317.6999999999998</v>
      </c>
      <c r="G265">
        <v>892</v>
      </c>
      <c r="H265" s="116"/>
      <c r="I265" s="116"/>
      <c r="L265" s="170">
        <v>44669</v>
      </c>
      <c r="M265" s="116">
        <v>2322.0500000000002</v>
      </c>
      <c r="N265" s="116">
        <v>2365.15</v>
      </c>
      <c r="O265" s="116">
        <v>2293</v>
      </c>
      <c r="P265" s="116">
        <v>2342.1</v>
      </c>
      <c r="Q265" s="116">
        <v>2322.0500000000002</v>
      </c>
      <c r="R265">
        <v>7094</v>
      </c>
    </row>
    <row r="266" spans="1:18" x14ac:dyDescent="0.25">
      <c r="A266" s="170">
        <v>44670</v>
      </c>
      <c r="B266" s="116">
        <v>2386.6</v>
      </c>
      <c r="C266" s="116">
        <v>2318.3000000000002</v>
      </c>
      <c r="D266" s="116">
        <v>2295.1999999999998</v>
      </c>
      <c r="E266" s="116">
        <v>2341.6999999999998</v>
      </c>
      <c r="F266" s="116">
        <v>2318.3000000000002</v>
      </c>
      <c r="G266">
        <v>499</v>
      </c>
      <c r="H266" s="116"/>
      <c r="I266" s="116"/>
      <c r="L266" s="170">
        <v>44670</v>
      </c>
      <c r="M266" s="116">
        <v>2314.5500000000002</v>
      </c>
      <c r="N266" s="116">
        <v>2388.75</v>
      </c>
      <c r="O266" s="116">
        <v>2301.1</v>
      </c>
      <c r="P266" s="116">
        <v>2320.1</v>
      </c>
      <c r="Q266" s="116">
        <v>2314.5500000000002</v>
      </c>
      <c r="R266">
        <v>7009</v>
      </c>
    </row>
    <row r="267" spans="1:18" x14ac:dyDescent="0.25">
      <c r="A267" s="170">
        <v>44671</v>
      </c>
      <c r="B267" s="116">
        <v>2368.1</v>
      </c>
      <c r="C267" s="116">
        <v>2231.6</v>
      </c>
      <c r="D267" s="116">
        <v>2214.0500000000002</v>
      </c>
      <c r="E267" s="116">
        <v>2318.75</v>
      </c>
      <c r="F267" s="116">
        <v>2231.6</v>
      </c>
      <c r="G267">
        <v>1609</v>
      </c>
      <c r="H267" s="116"/>
      <c r="I267" s="116"/>
      <c r="L267" s="170">
        <v>44671</v>
      </c>
      <c r="M267" s="116">
        <v>2227.4</v>
      </c>
      <c r="N267" s="116">
        <v>2369.9</v>
      </c>
      <c r="O267" s="116">
        <v>2201.1</v>
      </c>
      <c r="P267" s="116">
        <v>2314.5500000000002</v>
      </c>
      <c r="Q267" s="116">
        <v>2227.4</v>
      </c>
      <c r="R267">
        <v>12313</v>
      </c>
    </row>
    <row r="268" spans="1:18" x14ac:dyDescent="0.25">
      <c r="A268" s="170">
        <v>44672</v>
      </c>
      <c r="B268" s="116">
        <v>2331</v>
      </c>
      <c r="C268" s="116">
        <v>2187.6</v>
      </c>
      <c r="D268" s="116">
        <v>2161</v>
      </c>
      <c r="E268" s="116">
        <v>2331</v>
      </c>
      <c r="F268" s="116">
        <v>2187.6</v>
      </c>
      <c r="G268">
        <v>2067</v>
      </c>
      <c r="H268" s="116"/>
      <c r="I268" s="116"/>
      <c r="L268" s="170">
        <v>44672</v>
      </c>
      <c r="M268" s="116">
        <v>2182.65</v>
      </c>
      <c r="N268" s="116">
        <v>2276.85</v>
      </c>
      <c r="O268" s="116">
        <v>2149.4</v>
      </c>
      <c r="P268" s="116">
        <v>2230.0500000000002</v>
      </c>
      <c r="Q268" s="116">
        <v>2182.65</v>
      </c>
      <c r="R268">
        <v>15450</v>
      </c>
    </row>
    <row r="269" spans="1:18" x14ac:dyDescent="0.25">
      <c r="A269" s="170">
        <v>44673</v>
      </c>
      <c r="B269" s="116">
        <v>2245.75</v>
      </c>
      <c r="C269" s="116">
        <v>2176.4499999999998</v>
      </c>
      <c r="D269" s="116">
        <v>2160.8000000000002</v>
      </c>
      <c r="E269" s="116">
        <v>2208</v>
      </c>
      <c r="F269" s="116">
        <v>2176.4499999999998</v>
      </c>
      <c r="G269">
        <v>1019</v>
      </c>
      <c r="H269" s="116"/>
      <c r="I269" s="116"/>
      <c r="L269" s="170">
        <v>44673</v>
      </c>
      <c r="M269" s="116">
        <v>2173.75</v>
      </c>
      <c r="N269" s="116">
        <v>2244.15</v>
      </c>
      <c r="O269" s="116">
        <v>2155.85</v>
      </c>
      <c r="P269" s="116">
        <v>2185</v>
      </c>
      <c r="Q269" s="116">
        <v>2173.75</v>
      </c>
      <c r="R269">
        <v>6610</v>
      </c>
    </row>
    <row r="270" spans="1:18" x14ac:dyDescent="0.25">
      <c r="A270" s="170">
        <v>44676</v>
      </c>
      <c r="B270" s="116">
        <v>2201.4499999999998</v>
      </c>
      <c r="C270" s="116">
        <v>2165.8000000000002</v>
      </c>
      <c r="D270" s="116">
        <v>2119.9</v>
      </c>
      <c r="E270" s="116">
        <v>2149.6</v>
      </c>
      <c r="F270" s="116">
        <v>2165.8000000000002</v>
      </c>
      <c r="G270">
        <v>913</v>
      </c>
      <c r="H270" s="116"/>
      <c r="I270" s="116"/>
      <c r="L270" s="170">
        <v>44676</v>
      </c>
      <c r="M270" s="116">
        <v>2166.5</v>
      </c>
      <c r="N270" s="116">
        <v>2202</v>
      </c>
      <c r="O270" s="116">
        <v>2151</v>
      </c>
      <c r="P270" s="116">
        <v>2173.75</v>
      </c>
      <c r="Q270" s="116">
        <v>2166.5</v>
      </c>
      <c r="R270">
        <v>9673</v>
      </c>
    </row>
    <row r="271" spans="1:18" x14ac:dyDescent="0.25">
      <c r="A271" s="170">
        <v>44677</v>
      </c>
      <c r="B271" s="116">
        <v>2199.9499999999998</v>
      </c>
      <c r="C271" s="116">
        <v>2177.15</v>
      </c>
      <c r="D271" s="116">
        <v>2160.5</v>
      </c>
      <c r="E271" s="116">
        <v>2178.1999999999998</v>
      </c>
      <c r="F271" s="116">
        <v>2177.15</v>
      </c>
      <c r="G271">
        <v>657</v>
      </c>
      <c r="H271" s="116"/>
      <c r="I271" s="116"/>
      <c r="L271" s="170">
        <v>44677</v>
      </c>
      <c r="M271" s="116">
        <v>2176.65</v>
      </c>
      <c r="N271" s="116">
        <v>2200</v>
      </c>
      <c r="O271" s="116">
        <v>2163.4499999999998</v>
      </c>
      <c r="P271" s="116">
        <v>2199.9</v>
      </c>
      <c r="Q271" s="116">
        <v>2176.65</v>
      </c>
      <c r="R271">
        <v>7085</v>
      </c>
    </row>
    <row r="272" spans="1:18" x14ac:dyDescent="0.25">
      <c r="A272" s="170">
        <v>44678</v>
      </c>
      <c r="B272" s="116">
        <v>2220</v>
      </c>
      <c r="C272" s="116">
        <v>2173.4</v>
      </c>
      <c r="D272" s="116">
        <v>2130</v>
      </c>
      <c r="E272" s="116">
        <v>2160.5500000000002</v>
      </c>
      <c r="F272" s="116">
        <v>2173.4</v>
      </c>
      <c r="G272">
        <v>2881</v>
      </c>
      <c r="H272" s="116"/>
      <c r="I272" s="116"/>
      <c r="L272" s="170">
        <v>44678</v>
      </c>
      <c r="M272" s="116">
        <v>2165.85</v>
      </c>
      <c r="N272" s="116">
        <v>2220</v>
      </c>
      <c r="O272" s="116">
        <v>2124.25</v>
      </c>
      <c r="P272" s="116">
        <v>2160</v>
      </c>
      <c r="Q272" s="116">
        <v>2165.85</v>
      </c>
      <c r="R272">
        <v>12944</v>
      </c>
    </row>
    <row r="273" spans="1:18" x14ac:dyDescent="0.25">
      <c r="A273" s="170">
        <v>44679</v>
      </c>
      <c r="B273" s="116">
        <v>2260</v>
      </c>
      <c r="C273" s="116">
        <v>2250.1999999999998</v>
      </c>
      <c r="D273" s="116">
        <v>2171.8000000000002</v>
      </c>
      <c r="E273" s="116">
        <v>2179</v>
      </c>
      <c r="F273" s="116">
        <v>2250.1999999999998</v>
      </c>
      <c r="G273">
        <v>1383</v>
      </c>
      <c r="H273" s="116"/>
      <c r="I273" s="116"/>
      <c r="L273" s="170">
        <v>44679</v>
      </c>
      <c r="M273" s="116">
        <v>2251.9</v>
      </c>
      <c r="N273" s="116">
        <v>2263</v>
      </c>
      <c r="O273" s="116">
        <v>2160</v>
      </c>
      <c r="P273" s="116">
        <v>2173</v>
      </c>
      <c r="Q273" s="116">
        <v>2251.9</v>
      </c>
      <c r="R273">
        <v>9125</v>
      </c>
    </row>
    <row r="274" spans="1:18" x14ac:dyDescent="0.25">
      <c r="A274" s="170">
        <v>44680</v>
      </c>
      <c r="B274" s="116">
        <v>2303.9499999999998</v>
      </c>
      <c r="C274" s="116">
        <v>2241.6999999999998</v>
      </c>
      <c r="D274" s="116">
        <v>2222.1</v>
      </c>
      <c r="E274" s="116">
        <v>2274.85</v>
      </c>
      <c r="F274" s="116">
        <v>2241.6999999999998</v>
      </c>
      <c r="G274">
        <v>1866</v>
      </c>
      <c r="H274" s="116"/>
      <c r="I274" s="116"/>
      <c r="L274" s="170">
        <v>44680</v>
      </c>
      <c r="M274" s="116">
        <v>2242.4</v>
      </c>
      <c r="N274" s="116">
        <v>2299.9</v>
      </c>
      <c r="O274" s="116">
        <v>2225.5500000000002</v>
      </c>
      <c r="P274" s="116">
        <v>2273.8000000000002</v>
      </c>
      <c r="Q274" s="116">
        <v>2242.4</v>
      </c>
      <c r="R274">
        <v>7865</v>
      </c>
    </row>
    <row r="275" spans="1:18" x14ac:dyDescent="0.25">
      <c r="A275" s="170">
        <v>44683</v>
      </c>
      <c r="B275" s="116">
        <v>2247.85</v>
      </c>
      <c r="C275" s="116">
        <v>2216.1</v>
      </c>
      <c r="D275" s="116">
        <v>2117</v>
      </c>
      <c r="E275" s="116">
        <v>2117</v>
      </c>
      <c r="F275" s="116">
        <v>2216.1</v>
      </c>
      <c r="G275">
        <v>717</v>
      </c>
      <c r="H275" s="116"/>
      <c r="I275" s="116"/>
      <c r="L275" s="170">
        <v>44683</v>
      </c>
      <c r="M275" s="116">
        <v>2203.15</v>
      </c>
      <c r="N275" s="116">
        <v>2248.6999999999998</v>
      </c>
      <c r="O275" s="116">
        <v>2176.9</v>
      </c>
      <c r="P275" s="116">
        <v>2211</v>
      </c>
      <c r="Q275" s="116">
        <v>2203.15</v>
      </c>
      <c r="R275">
        <v>8580</v>
      </c>
    </row>
    <row r="276" spans="1:18" x14ac:dyDescent="0.25">
      <c r="A276" s="170">
        <v>44685</v>
      </c>
      <c r="B276" s="116">
        <v>2248.1999999999998</v>
      </c>
      <c r="C276" s="116">
        <v>2171.0500000000002</v>
      </c>
      <c r="D276" s="116">
        <v>2150</v>
      </c>
      <c r="E276" s="116">
        <v>2230.4499999999998</v>
      </c>
      <c r="F276" s="116">
        <v>2171.0500000000002</v>
      </c>
      <c r="G276">
        <v>1486</v>
      </c>
      <c r="H276" s="116"/>
      <c r="I276" s="116"/>
      <c r="L276" s="170">
        <v>44685</v>
      </c>
      <c r="M276" s="116">
        <v>2176.0500000000002</v>
      </c>
      <c r="N276" s="116">
        <v>2248.0500000000002</v>
      </c>
      <c r="O276" s="116">
        <v>2151.5500000000002</v>
      </c>
      <c r="P276" s="116">
        <v>2204</v>
      </c>
      <c r="Q276" s="116">
        <v>2176.0500000000002</v>
      </c>
      <c r="R276">
        <v>6649</v>
      </c>
    </row>
    <row r="277" spans="1:18" x14ac:dyDescent="0.25">
      <c r="A277" s="170">
        <v>44686</v>
      </c>
      <c r="B277" s="116">
        <v>2262.4</v>
      </c>
      <c r="C277" s="116">
        <v>2211.15</v>
      </c>
      <c r="D277" s="116">
        <v>2164</v>
      </c>
      <c r="E277" s="116">
        <v>2189.6999999999998</v>
      </c>
      <c r="F277" s="116">
        <v>2211.15</v>
      </c>
      <c r="G277">
        <v>890</v>
      </c>
      <c r="H277" s="116"/>
      <c r="I277" s="116"/>
      <c r="L277" s="170">
        <v>44686</v>
      </c>
      <c r="M277" s="116">
        <v>2210.8000000000002</v>
      </c>
      <c r="N277" s="116">
        <v>2264</v>
      </c>
      <c r="O277" s="116">
        <v>2161.1999999999998</v>
      </c>
      <c r="P277" s="116">
        <v>2176.0500000000002</v>
      </c>
      <c r="Q277" s="116">
        <v>2210.8000000000002</v>
      </c>
      <c r="R277">
        <v>8657</v>
      </c>
    </row>
    <row r="278" spans="1:18" x14ac:dyDescent="0.25">
      <c r="A278" s="170">
        <v>44687</v>
      </c>
      <c r="B278" s="116">
        <v>2260</v>
      </c>
      <c r="C278" s="116">
        <v>2238.5</v>
      </c>
      <c r="D278" s="116">
        <v>2130.5</v>
      </c>
      <c r="E278" s="116">
        <v>2130.5</v>
      </c>
      <c r="F278" s="116">
        <v>2238.5</v>
      </c>
      <c r="G278">
        <v>1641</v>
      </c>
      <c r="H278" s="116"/>
      <c r="I278" s="116"/>
      <c r="L278" s="170">
        <v>44687</v>
      </c>
      <c r="M278" s="116">
        <v>2241.5500000000002</v>
      </c>
      <c r="N278" s="116">
        <v>2260.5</v>
      </c>
      <c r="O278" s="116">
        <v>2159</v>
      </c>
      <c r="P278" s="116">
        <v>2208</v>
      </c>
      <c r="Q278" s="116">
        <v>2241.5500000000002</v>
      </c>
      <c r="R278">
        <v>12843</v>
      </c>
    </row>
    <row r="279" spans="1:18" x14ac:dyDescent="0.25">
      <c r="A279" s="170">
        <v>44690</v>
      </c>
      <c r="B279" s="116">
        <v>2267.75</v>
      </c>
      <c r="C279" s="116">
        <v>2152.9</v>
      </c>
      <c r="D279" s="116">
        <v>2127.85</v>
      </c>
      <c r="E279" s="116">
        <v>2196.5</v>
      </c>
      <c r="F279" s="116">
        <v>2152.9</v>
      </c>
      <c r="G279">
        <v>2206</v>
      </c>
      <c r="H279" s="116"/>
      <c r="I279" s="116"/>
      <c r="L279" s="170">
        <v>44690</v>
      </c>
      <c r="M279" s="116">
        <v>2151.1</v>
      </c>
      <c r="N279" s="116">
        <v>2264</v>
      </c>
      <c r="O279" s="116">
        <v>2125.5500000000002</v>
      </c>
      <c r="P279" s="116">
        <v>2221</v>
      </c>
      <c r="Q279" s="116">
        <v>2151.1</v>
      </c>
      <c r="R279">
        <v>13882</v>
      </c>
    </row>
    <row r="280" spans="1:18" x14ac:dyDescent="0.25">
      <c r="A280" s="170">
        <v>44691</v>
      </c>
      <c r="B280" s="116">
        <v>2300</v>
      </c>
      <c r="C280" s="116">
        <v>2158.35</v>
      </c>
      <c r="D280" s="116">
        <v>2092.6</v>
      </c>
      <c r="E280" s="116">
        <v>2300</v>
      </c>
      <c r="F280" s="116">
        <v>2158.35</v>
      </c>
      <c r="G280">
        <v>3048</v>
      </c>
      <c r="H280" s="116"/>
      <c r="I280" s="116"/>
      <c r="L280" s="170">
        <v>44691</v>
      </c>
      <c r="M280" s="116">
        <v>2144.3000000000002</v>
      </c>
      <c r="N280" s="116">
        <v>2334</v>
      </c>
      <c r="O280" s="116">
        <v>2100</v>
      </c>
      <c r="P280" s="116">
        <v>2105</v>
      </c>
      <c r="Q280" s="116">
        <v>2144.3000000000002</v>
      </c>
      <c r="R280">
        <v>47846</v>
      </c>
    </row>
    <row r="281" spans="1:18" x14ac:dyDescent="0.25">
      <c r="A281" s="170">
        <v>44692</v>
      </c>
      <c r="B281" s="116">
        <v>2264.3000000000002</v>
      </c>
      <c r="C281" s="116">
        <v>2208.6999999999998</v>
      </c>
      <c r="D281" s="116">
        <v>2101.85</v>
      </c>
      <c r="E281" s="116">
        <v>2170.1</v>
      </c>
      <c r="F281" s="116">
        <v>2208.6999999999998</v>
      </c>
      <c r="G281">
        <v>4228</v>
      </c>
      <c r="H281" s="116"/>
      <c r="I281" s="116"/>
      <c r="L281" s="170">
        <v>44692</v>
      </c>
      <c r="M281" s="116">
        <v>2233.6999999999998</v>
      </c>
      <c r="N281" s="116">
        <v>2264</v>
      </c>
      <c r="O281" s="116">
        <v>2103.1999999999998</v>
      </c>
      <c r="P281" s="116">
        <v>2170</v>
      </c>
      <c r="Q281" s="116">
        <v>2233.6999999999998</v>
      </c>
      <c r="R281">
        <v>16282</v>
      </c>
    </row>
    <row r="282" spans="1:18" x14ac:dyDescent="0.25">
      <c r="A282" s="170">
        <v>44693</v>
      </c>
      <c r="B282" s="116">
        <v>2220.4</v>
      </c>
      <c r="C282" s="116">
        <v>2162.9499999999998</v>
      </c>
      <c r="D282" s="116">
        <v>2159.0500000000002</v>
      </c>
      <c r="E282" s="116">
        <v>2214.35</v>
      </c>
      <c r="F282" s="116">
        <v>2162.9499999999998</v>
      </c>
      <c r="G282">
        <v>832</v>
      </c>
      <c r="H282" s="116"/>
      <c r="I282" s="116"/>
      <c r="L282" s="170">
        <v>44693</v>
      </c>
      <c r="M282" s="116">
        <v>2165.85</v>
      </c>
      <c r="N282" s="116">
        <v>2247</v>
      </c>
      <c r="O282" s="116">
        <v>2152.9</v>
      </c>
      <c r="P282" s="116">
        <v>2200.9</v>
      </c>
      <c r="Q282" s="116">
        <v>2165.85</v>
      </c>
      <c r="R282">
        <v>8237</v>
      </c>
    </row>
    <row r="283" spans="1:18" x14ac:dyDescent="0.25">
      <c r="A283" s="170">
        <v>44694</v>
      </c>
      <c r="B283" s="116">
        <v>2247.35</v>
      </c>
      <c r="C283" s="116">
        <v>2195.6999999999998</v>
      </c>
      <c r="D283" s="116">
        <v>2104.65</v>
      </c>
      <c r="E283" s="116">
        <v>2189.75</v>
      </c>
      <c r="F283" s="116">
        <v>2195.6999999999998</v>
      </c>
      <c r="G283">
        <v>1929</v>
      </c>
      <c r="H283" s="116"/>
      <c r="I283" s="116"/>
      <c r="L283" s="170">
        <v>44694</v>
      </c>
      <c r="M283" s="116">
        <v>2192.8000000000002</v>
      </c>
      <c r="N283" s="116">
        <v>2256</v>
      </c>
      <c r="O283" s="116">
        <v>2105</v>
      </c>
      <c r="P283" s="116">
        <v>2171</v>
      </c>
      <c r="Q283" s="116">
        <v>2192.8000000000002</v>
      </c>
      <c r="R283">
        <v>41570</v>
      </c>
    </row>
    <row r="284" spans="1:18" x14ac:dyDescent="0.25">
      <c r="A284" s="170">
        <v>44697</v>
      </c>
      <c r="B284" s="116">
        <v>2286</v>
      </c>
      <c r="C284" s="116">
        <v>2274.5</v>
      </c>
      <c r="D284" s="116">
        <v>2179.3000000000002</v>
      </c>
      <c r="E284" s="116">
        <v>2225.5500000000002</v>
      </c>
      <c r="F284" s="116">
        <v>2274.5</v>
      </c>
      <c r="G284">
        <v>1461</v>
      </c>
      <c r="H284" s="116"/>
      <c r="I284" s="116"/>
      <c r="L284" s="170">
        <v>44697</v>
      </c>
      <c r="M284" s="116">
        <v>2278.15</v>
      </c>
      <c r="N284" s="116">
        <v>2297</v>
      </c>
      <c r="O284" s="116">
        <v>2175.4499999999998</v>
      </c>
      <c r="P284" s="116">
        <v>2225</v>
      </c>
      <c r="Q284" s="116">
        <v>2278.15</v>
      </c>
      <c r="R284">
        <v>14979</v>
      </c>
    </row>
    <row r="285" spans="1:18" x14ac:dyDescent="0.25">
      <c r="A285" s="170">
        <v>44698</v>
      </c>
      <c r="B285" s="116">
        <v>2316.8000000000002</v>
      </c>
      <c r="C285" s="116">
        <v>2288.0500000000002</v>
      </c>
      <c r="D285" s="116">
        <v>2247.9</v>
      </c>
      <c r="E285" s="116">
        <v>2298.3000000000002</v>
      </c>
      <c r="F285" s="116">
        <v>2288.0500000000002</v>
      </c>
      <c r="G285">
        <v>458</v>
      </c>
      <c r="H285" s="116"/>
      <c r="I285" s="116"/>
      <c r="L285" s="170">
        <v>44698</v>
      </c>
      <c r="M285" s="116">
        <v>2285</v>
      </c>
      <c r="N285" s="116">
        <v>2323.85</v>
      </c>
      <c r="O285" s="116">
        <v>2247.4</v>
      </c>
      <c r="P285" s="116">
        <v>2300</v>
      </c>
      <c r="Q285" s="116">
        <v>2285</v>
      </c>
      <c r="R285">
        <v>32687</v>
      </c>
    </row>
    <row r="286" spans="1:18" x14ac:dyDescent="0.25">
      <c r="A286" s="170">
        <v>44699</v>
      </c>
      <c r="B286" s="116">
        <v>2318.5</v>
      </c>
      <c r="C286" s="116">
        <v>2292.3000000000002</v>
      </c>
      <c r="D286" s="116">
        <v>2281.65</v>
      </c>
      <c r="E286" s="116">
        <v>2303.1</v>
      </c>
      <c r="F286" s="116">
        <v>2292.3000000000002</v>
      </c>
      <c r="G286">
        <v>716</v>
      </c>
      <c r="H286" s="116"/>
      <c r="I286" s="116"/>
      <c r="L286" s="170">
        <v>44699</v>
      </c>
      <c r="M286" s="116">
        <v>2299.1</v>
      </c>
      <c r="N286" s="116">
        <v>2339</v>
      </c>
      <c r="O286" s="116">
        <v>2281</v>
      </c>
      <c r="P286" s="116">
        <v>2286</v>
      </c>
      <c r="Q286" s="116">
        <v>2299.1</v>
      </c>
      <c r="R286">
        <v>33629</v>
      </c>
    </row>
    <row r="287" spans="1:18" x14ac:dyDescent="0.25">
      <c r="A287" s="170">
        <v>44700</v>
      </c>
      <c r="B287" s="116">
        <v>2250</v>
      </c>
      <c r="C287" s="116">
        <v>2212.4499999999998</v>
      </c>
      <c r="D287" s="116">
        <v>2204.1999999999998</v>
      </c>
      <c r="E287" s="116">
        <v>2221.3000000000002</v>
      </c>
      <c r="F287" s="116">
        <v>2212.4499999999998</v>
      </c>
      <c r="G287">
        <v>403</v>
      </c>
      <c r="H287" s="116"/>
      <c r="I287" s="116"/>
      <c r="L287" s="170">
        <v>44700</v>
      </c>
      <c r="M287" s="116">
        <v>2220.9499999999998</v>
      </c>
      <c r="N287" s="116">
        <v>2264.4</v>
      </c>
      <c r="O287" s="116">
        <v>2201.25</v>
      </c>
      <c r="P287" s="116">
        <v>2250</v>
      </c>
      <c r="Q287" s="116">
        <v>2220.9499999999998</v>
      </c>
      <c r="R287">
        <v>26245</v>
      </c>
    </row>
    <row r="288" spans="1:18" x14ac:dyDescent="0.25">
      <c r="A288" s="170">
        <v>44701</v>
      </c>
      <c r="B288" s="116">
        <v>2312.6999999999998</v>
      </c>
      <c r="C288" s="116">
        <v>2301.9</v>
      </c>
      <c r="D288" s="116">
        <v>2236.9</v>
      </c>
      <c r="E288" s="116">
        <v>2258.65</v>
      </c>
      <c r="F288" s="116">
        <v>2301.9</v>
      </c>
      <c r="G288">
        <v>280</v>
      </c>
      <c r="H288" s="116"/>
      <c r="I288" s="116"/>
      <c r="L288" s="170">
        <v>44701</v>
      </c>
      <c r="M288" s="116">
        <v>2304.15</v>
      </c>
      <c r="N288" s="116">
        <v>2321.1</v>
      </c>
      <c r="O288" s="116">
        <v>2232.9499999999998</v>
      </c>
      <c r="P288" s="116">
        <v>2259</v>
      </c>
      <c r="Q288" s="116">
        <v>2304.15</v>
      </c>
      <c r="R288">
        <v>9847</v>
      </c>
    </row>
    <row r="289" spans="1:18" x14ac:dyDescent="0.25">
      <c r="A289" s="170">
        <v>44704</v>
      </c>
      <c r="B289" s="116">
        <v>2425</v>
      </c>
      <c r="C289" s="116">
        <v>2360.9499999999998</v>
      </c>
      <c r="D289" s="116">
        <v>2331.9499999999998</v>
      </c>
      <c r="E289" s="116">
        <v>2350</v>
      </c>
      <c r="F289" s="116">
        <v>2360.9499999999998</v>
      </c>
      <c r="G289">
        <v>1869</v>
      </c>
      <c r="H289" s="116"/>
      <c r="I289" s="116"/>
      <c r="L289" s="170">
        <v>44704</v>
      </c>
      <c r="M289" s="116">
        <v>2371.5</v>
      </c>
      <c r="N289" s="116">
        <v>2444</v>
      </c>
      <c r="O289" s="116">
        <v>2310</v>
      </c>
      <c r="P289" s="116">
        <v>2310</v>
      </c>
      <c r="Q289" s="116">
        <v>2371.5</v>
      </c>
      <c r="R289">
        <v>53263</v>
      </c>
    </row>
    <row r="290" spans="1:18" x14ac:dyDescent="0.25">
      <c r="A290" s="170">
        <v>44705</v>
      </c>
      <c r="B290" s="116">
        <v>2391.4499999999998</v>
      </c>
      <c r="C290" s="116">
        <v>2360.1999999999998</v>
      </c>
      <c r="D290" s="116">
        <v>2344.15</v>
      </c>
      <c r="E290" s="116">
        <v>2365</v>
      </c>
      <c r="F290" s="116">
        <v>2360.1999999999998</v>
      </c>
      <c r="G290">
        <v>535</v>
      </c>
      <c r="H290" s="116"/>
      <c r="I290" s="116"/>
      <c r="L290" s="170">
        <v>44705</v>
      </c>
      <c r="M290" s="116">
        <v>2363.4499999999998</v>
      </c>
      <c r="N290" s="116">
        <v>2398</v>
      </c>
      <c r="O290" s="116">
        <v>2350</v>
      </c>
      <c r="P290" s="116">
        <v>2370</v>
      </c>
      <c r="Q290" s="116">
        <v>2363.4499999999998</v>
      </c>
      <c r="R290">
        <v>9191</v>
      </c>
    </row>
    <row r="291" spans="1:18" x14ac:dyDescent="0.25">
      <c r="A291" s="170">
        <v>44706</v>
      </c>
      <c r="B291" s="116">
        <v>2361.6999999999998</v>
      </c>
      <c r="C291" s="116">
        <v>2223</v>
      </c>
      <c r="D291" s="116">
        <v>2187.75</v>
      </c>
      <c r="E291" s="116">
        <v>2360.4</v>
      </c>
      <c r="F291" s="116">
        <v>2223</v>
      </c>
      <c r="G291">
        <v>737</v>
      </c>
      <c r="H291" s="116"/>
      <c r="I291" s="116"/>
      <c r="L291" s="170">
        <v>44706</v>
      </c>
      <c r="M291" s="116">
        <v>2212.9</v>
      </c>
      <c r="N291" s="116">
        <v>2372.4</v>
      </c>
      <c r="O291" s="116">
        <v>2192</v>
      </c>
      <c r="P291" s="116">
        <v>2363.4499999999998</v>
      </c>
      <c r="Q291" s="116">
        <v>2212.9</v>
      </c>
      <c r="R291">
        <v>27612</v>
      </c>
    </row>
    <row r="292" spans="1:18" x14ac:dyDescent="0.25">
      <c r="A292" s="170">
        <v>44707</v>
      </c>
      <c r="B292" s="116">
        <v>2235.4</v>
      </c>
      <c r="C292" s="116">
        <v>2193.9499999999998</v>
      </c>
      <c r="D292" s="116">
        <v>2140.1999999999998</v>
      </c>
      <c r="E292" s="116">
        <v>2231.85</v>
      </c>
      <c r="F292" s="116">
        <v>2193.9499999999998</v>
      </c>
      <c r="G292">
        <v>1200</v>
      </c>
      <c r="H292" s="116"/>
      <c r="I292" s="116"/>
      <c r="L292" s="170">
        <v>44707</v>
      </c>
      <c r="M292" s="116">
        <v>2197.65</v>
      </c>
      <c r="N292" s="116">
        <v>2249.25</v>
      </c>
      <c r="O292" s="116">
        <v>2141</v>
      </c>
      <c r="P292" s="116">
        <v>2216</v>
      </c>
      <c r="Q292" s="116">
        <v>2197.65</v>
      </c>
      <c r="R292">
        <v>14778</v>
      </c>
    </row>
    <row r="293" spans="1:18" x14ac:dyDescent="0.25">
      <c r="A293" s="170">
        <v>44708</v>
      </c>
      <c r="B293" s="116">
        <v>2267</v>
      </c>
      <c r="C293" s="116">
        <v>2226.15</v>
      </c>
      <c r="D293" s="116">
        <v>2174.5500000000002</v>
      </c>
      <c r="E293" s="116">
        <v>2236.9</v>
      </c>
      <c r="F293" s="116">
        <v>2226.15</v>
      </c>
      <c r="G293">
        <v>1832</v>
      </c>
      <c r="H293" s="116"/>
      <c r="I293" s="116"/>
      <c r="L293" s="170">
        <v>44708</v>
      </c>
      <c r="M293" s="116">
        <v>2231.6</v>
      </c>
      <c r="N293" s="116">
        <v>2280</v>
      </c>
      <c r="O293" s="116">
        <v>2171</v>
      </c>
      <c r="P293" s="116">
        <v>2240</v>
      </c>
      <c r="Q293" s="116">
        <v>2231.6</v>
      </c>
      <c r="R293">
        <v>23210</v>
      </c>
    </row>
    <row r="294" spans="1:18" x14ac:dyDescent="0.25">
      <c r="A294" s="170">
        <v>44711</v>
      </c>
      <c r="B294" s="116">
        <v>2324</v>
      </c>
      <c r="C294" s="116">
        <v>2299.5500000000002</v>
      </c>
      <c r="D294" s="116">
        <v>2264.4499999999998</v>
      </c>
      <c r="E294" s="116">
        <v>2266.9499999999998</v>
      </c>
      <c r="F294" s="116">
        <v>2299.5500000000002</v>
      </c>
      <c r="G294">
        <v>581</v>
      </c>
      <c r="H294" s="116"/>
      <c r="I294" s="116"/>
      <c r="L294" s="170">
        <v>44711</v>
      </c>
      <c r="M294" s="116">
        <v>2303.5500000000002</v>
      </c>
      <c r="N294" s="116">
        <v>2327.9</v>
      </c>
      <c r="O294" s="116">
        <v>2257.4</v>
      </c>
      <c r="P294" s="116">
        <v>2269</v>
      </c>
      <c r="Q294" s="116">
        <v>2303.5500000000002</v>
      </c>
      <c r="R294">
        <v>42839</v>
      </c>
    </row>
    <row r="295" spans="1:18" x14ac:dyDescent="0.25">
      <c r="A295" s="170">
        <v>44712</v>
      </c>
      <c r="B295" s="116">
        <v>2380</v>
      </c>
      <c r="C295" s="116">
        <v>2364.85</v>
      </c>
      <c r="D295" s="116">
        <v>2265.5</v>
      </c>
      <c r="E295" s="116">
        <v>2265.5500000000002</v>
      </c>
      <c r="F295" s="116">
        <v>2364.85</v>
      </c>
      <c r="G295">
        <v>589</v>
      </c>
      <c r="H295" s="116"/>
      <c r="I295" s="116"/>
      <c r="L295" s="170">
        <v>44712</v>
      </c>
      <c r="M295" s="116">
        <v>2367.9</v>
      </c>
      <c r="N295" s="116">
        <v>2394</v>
      </c>
      <c r="O295" s="116">
        <v>2251</v>
      </c>
      <c r="P295" s="116">
        <v>2300</v>
      </c>
      <c r="Q295" s="116">
        <v>2367.9</v>
      </c>
      <c r="R295">
        <v>31444</v>
      </c>
    </row>
    <row r="296" spans="1:18" x14ac:dyDescent="0.25">
      <c r="A296" s="170">
        <v>44713</v>
      </c>
      <c r="B296" s="116">
        <v>2473.4499999999998</v>
      </c>
      <c r="C296" s="116">
        <v>2377.25</v>
      </c>
      <c r="D296" s="116">
        <v>2340.1</v>
      </c>
      <c r="E296" s="116">
        <v>2340.1</v>
      </c>
      <c r="F296" s="116">
        <v>2377.25</v>
      </c>
      <c r="G296">
        <v>1339</v>
      </c>
      <c r="H296" s="116"/>
      <c r="I296" s="116"/>
      <c r="L296" s="170">
        <v>44713</v>
      </c>
      <c r="M296" s="116">
        <v>2374.9499999999998</v>
      </c>
      <c r="N296" s="116">
        <v>2477.1999999999998</v>
      </c>
      <c r="O296" s="116">
        <v>2342.1999999999998</v>
      </c>
      <c r="P296" s="116">
        <v>2343.5</v>
      </c>
      <c r="Q296" s="116">
        <v>2374.9499999999998</v>
      </c>
      <c r="R296">
        <v>44359</v>
      </c>
    </row>
    <row r="297" spans="1:18" x14ac:dyDescent="0.25">
      <c r="A297" s="170">
        <v>44714</v>
      </c>
      <c r="B297" s="116">
        <v>2406.4</v>
      </c>
      <c r="C297" s="116">
        <v>2359.35</v>
      </c>
      <c r="D297" s="116">
        <v>2334.6999999999998</v>
      </c>
      <c r="E297" s="116">
        <v>2353</v>
      </c>
      <c r="F297" s="116">
        <v>2359.35</v>
      </c>
      <c r="G297">
        <v>1385</v>
      </c>
      <c r="H297" s="116"/>
      <c r="I297" s="116"/>
      <c r="L297" s="170">
        <v>44714</v>
      </c>
      <c r="M297" s="116">
        <v>2360.8000000000002</v>
      </c>
      <c r="N297" s="116">
        <v>2390</v>
      </c>
      <c r="O297" s="116">
        <v>2337</v>
      </c>
      <c r="P297" s="116">
        <v>2390</v>
      </c>
      <c r="Q297" s="116">
        <v>2360.8000000000002</v>
      </c>
      <c r="R297">
        <v>26578</v>
      </c>
    </row>
    <row r="298" spans="1:18" x14ac:dyDescent="0.25">
      <c r="A298" s="170">
        <v>44715</v>
      </c>
      <c r="B298" s="116">
        <v>2383.5</v>
      </c>
      <c r="C298" s="116">
        <v>2359.0500000000002</v>
      </c>
      <c r="D298" s="116">
        <v>2329.0500000000002</v>
      </c>
      <c r="E298" s="116">
        <v>2367.75</v>
      </c>
      <c r="F298" s="116">
        <v>2359.0500000000002</v>
      </c>
      <c r="G298">
        <v>752</v>
      </c>
      <c r="H298" s="116"/>
      <c r="I298" s="116"/>
      <c r="L298" s="170">
        <v>44715</v>
      </c>
      <c r="M298" s="116">
        <v>2356.75</v>
      </c>
      <c r="N298" s="116">
        <v>2392.1999999999998</v>
      </c>
      <c r="O298" s="116">
        <v>2326.0500000000002</v>
      </c>
      <c r="P298" s="116">
        <v>2361</v>
      </c>
      <c r="Q298" s="116">
        <v>2356.75</v>
      </c>
      <c r="R298">
        <v>15437</v>
      </c>
    </row>
    <row r="299" spans="1:18" x14ac:dyDescent="0.25">
      <c r="A299" s="170">
        <v>44718</v>
      </c>
      <c r="B299" s="116">
        <v>2360</v>
      </c>
      <c r="C299" s="116">
        <v>2342.85</v>
      </c>
      <c r="D299" s="116">
        <v>2278.15</v>
      </c>
      <c r="E299" s="116">
        <v>2360</v>
      </c>
      <c r="F299" s="116">
        <v>2342.85</v>
      </c>
      <c r="G299">
        <v>1533</v>
      </c>
      <c r="H299" s="116"/>
      <c r="I299" s="116"/>
      <c r="L299" s="170">
        <v>44718</v>
      </c>
      <c r="M299" s="116">
        <v>2344.1</v>
      </c>
      <c r="N299" s="116">
        <v>2367.3000000000002</v>
      </c>
      <c r="O299" s="116">
        <v>2276</v>
      </c>
      <c r="P299" s="116">
        <v>2356</v>
      </c>
      <c r="Q299" s="116">
        <v>2344.1</v>
      </c>
      <c r="R299">
        <v>21402</v>
      </c>
    </row>
    <row r="300" spans="1:18" x14ac:dyDescent="0.25">
      <c r="A300" s="170">
        <v>44719</v>
      </c>
      <c r="B300" s="116">
        <v>2369.25</v>
      </c>
      <c r="C300" s="116">
        <v>2356.75</v>
      </c>
      <c r="D300" s="116">
        <v>2304.75</v>
      </c>
      <c r="E300" s="116">
        <v>2358.4499999999998</v>
      </c>
      <c r="F300" s="116">
        <v>2356.75</v>
      </c>
      <c r="G300">
        <v>504</v>
      </c>
      <c r="H300" s="116"/>
      <c r="I300" s="116"/>
      <c r="L300" s="170">
        <v>44719</v>
      </c>
      <c r="M300" s="116">
        <v>2353.65</v>
      </c>
      <c r="N300" s="116">
        <v>2376.5500000000002</v>
      </c>
      <c r="O300" s="116">
        <v>2302.6999999999998</v>
      </c>
      <c r="P300" s="116">
        <v>2344.1</v>
      </c>
      <c r="Q300" s="116">
        <v>2353.65</v>
      </c>
      <c r="R300">
        <v>5216</v>
      </c>
    </row>
    <row r="301" spans="1:18" x14ac:dyDescent="0.25">
      <c r="A301" s="170">
        <v>44720</v>
      </c>
      <c r="B301" s="116">
        <v>2454</v>
      </c>
      <c r="C301" s="116">
        <v>2376.85</v>
      </c>
      <c r="D301" s="116">
        <v>2325.3000000000002</v>
      </c>
      <c r="E301" s="116">
        <v>2374.6</v>
      </c>
      <c r="F301" s="116">
        <v>2376.85</v>
      </c>
      <c r="G301">
        <v>3253</v>
      </c>
      <c r="H301" s="116"/>
      <c r="I301" s="116"/>
      <c r="L301" s="170">
        <v>44720</v>
      </c>
      <c r="M301" s="116">
        <v>2368.0500000000002</v>
      </c>
      <c r="N301" s="116">
        <v>2455</v>
      </c>
      <c r="O301" s="116">
        <v>2321</v>
      </c>
      <c r="P301" s="116">
        <v>2370</v>
      </c>
      <c r="Q301" s="116">
        <v>2368.0500000000002</v>
      </c>
      <c r="R301">
        <v>31455</v>
      </c>
    </row>
    <row r="302" spans="1:18" x14ac:dyDescent="0.25">
      <c r="A302" s="170">
        <v>44721</v>
      </c>
      <c r="B302" s="116">
        <v>2385.5500000000002</v>
      </c>
      <c r="C302" s="116">
        <v>2365.35</v>
      </c>
      <c r="D302" s="116">
        <v>2332.15</v>
      </c>
      <c r="E302" s="116">
        <v>2364.4499999999998</v>
      </c>
      <c r="F302" s="116">
        <v>2365.35</v>
      </c>
      <c r="G302">
        <v>1119</v>
      </c>
      <c r="H302" s="116"/>
      <c r="I302" s="116"/>
      <c r="L302" s="170">
        <v>44721</v>
      </c>
      <c r="M302" s="116">
        <v>2366.3000000000002</v>
      </c>
      <c r="N302" s="116">
        <v>2398.5</v>
      </c>
      <c r="O302" s="116">
        <v>2330</v>
      </c>
      <c r="P302" s="116">
        <v>2369</v>
      </c>
      <c r="Q302" s="116">
        <v>2366.3000000000002</v>
      </c>
      <c r="R302">
        <v>12733</v>
      </c>
    </row>
    <row r="303" spans="1:18" x14ac:dyDescent="0.25">
      <c r="A303" s="170">
        <v>44722</v>
      </c>
      <c r="B303" s="116">
        <v>2374.5</v>
      </c>
      <c r="C303" s="116">
        <v>2350.9</v>
      </c>
      <c r="D303" s="116">
        <v>2310</v>
      </c>
      <c r="E303" s="116">
        <v>2310</v>
      </c>
      <c r="F303" s="116">
        <v>2350.9</v>
      </c>
      <c r="G303">
        <v>701</v>
      </c>
      <c r="H303" s="116"/>
      <c r="I303" s="116"/>
      <c r="L303" s="170">
        <v>44722</v>
      </c>
      <c r="M303" s="116">
        <v>2346.6</v>
      </c>
      <c r="N303" s="116">
        <v>2376.85</v>
      </c>
      <c r="O303" s="116">
        <v>2330.5</v>
      </c>
      <c r="P303" s="116">
        <v>2360</v>
      </c>
      <c r="Q303" s="116">
        <v>2346.6</v>
      </c>
      <c r="R303">
        <v>13725</v>
      </c>
    </row>
    <row r="304" spans="1:18" x14ac:dyDescent="0.25">
      <c r="A304" s="170">
        <v>44725</v>
      </c>
      <c r="B304" s="116">
        <v>2324.4499999999998</v>
      </c>
      <c r="C304" s="116">
        <v>2273.25</v>
      </c>
      <c r="D304" s="116">
        <v>2218.6999999999998</v>
      </c>
      <c r="E304" s="116">
        <v>2300</v>
      </c>
      <c r="F304" s="116">
        <v>2273.25</v>
      </c>
      <c r="G304">
        <v>2881</v>
      </c>
      <c r="H304" s="116"/>
      <c r="I304" s="116"/>
      <c r="L304" s="170">
        <v>44725</v>
      </c>
      <c r="M304" s="116">
        <v>2289.85</v>
      </c>
      <c r="N304" s="116">
        <v>2339</v>
      </c>
      <c r="O304" s="116">
        <v>2221.1999999999998</v>
      </c>
      <c r="P304" s="116">
        <v>2339</v>
      </c>
      <c r="Q304" s="116">
        <v>2289.85</v>
      </c>
      <c r="R304">
        <v>33690</v>
      </c>
    </row>
    <row r="305" spans="1:18" x14ac:dyDescent="0.25">
      <c r="A305" s="170">
        <v>44726</v>
      </c>
      <c r="B305" s="116">
        <v>2305</v>
      </c>
      <c r="C305" s="116">
        <v>2277.15</v>
      </c>
      <c r="D305" s="116">
        <v>2254.5500000000002</v>
      </c>
      <c r="E305" s="116">
        <v>2298.9499999999998</v>
      </c>
      <c r="F305" s="116">
        <v>2277.15</v>
      </c>
      <c r="G305">
        <v>1252</v>
      </c>
      <c r="H305" s="116"/>
      <c r="I305" s="116"/>
      <c r="L305" s="170">
        <v>44726</v>
      </c>
      <c r="M305" s="116">
        <v>2270.6999999999998</v>
      </c>
      <c r="N305" s="116">
        <v>2313.9499999999998</v>
      </c>
      <c r="O305" s="116">
        <v>2252.3000000000002</v>
      </c>
      <c r="P305" s="116">
        <v>2309.6999999999998</v>
      </c>
      <c r="Q305" s="116">
        <v>2270.6999999999998</v>
      </c>
      <c r="R305">
        <v>12768</v>
      </c>
    </row>
    <row r="306" spans="1:18" x14ac:dyDescent="0.25">
      <c r="A306" s="170">
        <v>44727</v>
      </c>
      <c r="B306" s="116">
        <v>2326.15</v>
      </c>
      <c r="C306" s="116">
        <v>2260.1999999999998</v>
      </c>
      <c r="D306" s="116">
        <v>2223.35</v>
      </c>
      <c r="E306" s="116">
        <v>2286.6</v>
      </c>
      <c r="F306" s="116">
        <v>2260.1999999999998</v>
      </c>
      <c r="G306">
        <v>2475</v>
      </c>
      <c r="H306" s="116"/>
      <c r="I306" s="116"/>
      <c r="L306" s="170">
        <v>44727</v>
      </c>
      <c r="M306" s="116">
        <v>2260.5500000000002</v>
      </c>
      <c r="N306" s="116">
        <v>2325</v>
      </c>
      <c r="O306" s="116">
        <v>2242.5</v>
      </c>
      <c r="P306" s="116">
        <v>2270.6999999999998</v>
      </c>
      <c r="Q306" s="116">
        <v>2260.5500000000002</v>
      </c>
      <c r="R306">
        <v>38816</v>
      </c>
    </row>
    <row r="307" spans="1:18" x14ac:dyDescent="0.25">
      <c r="A307" s="170">
        <v>44728</v>
      </c>
      <c r="B307" s="116">
        <v>2348.4499999999998</v>
      </c>
      <c r="C307" s="116">
        <v>2190.4</v>
      </c>
      <c r="D307" s="116">
        <v>2183.6999999999998</v>
      </c>
      <c r="E307" s="116">
        <v>2284.35</v>
      </c>
      <c r="F307" s="116">
        <v>2190.4</v>
      </c>
      <c r="G307">
        <v>1702</v>
      </c>
      <c r="H307" s="116"/>
      <c r="I307" s="116"/>
      <c r="L307" s="170">
        <v>44728</v>
      </c>
      <c r="M307" s="116">
        <v>2188.65</v>
      </c>
      <c r="N307" s="116">
        <v>2350</v>
      </c>
      <c r="O307" s="116">
        <v>2184</v>
      </c>
      <c r="P307" s="116">
        <v>2285</v>
      </c>
      <c r="Q307" s="116">
        <v>2188.65</v>
      </c>
      <c r="R307">
        <v>53556</v>
      </c>
    </row>
    <row r="308" spans="1:18" x14ac:dyDescent="0.25">
      <c r="A308" s="170">
        <v>44729</v>
      </c>
      <c r="B308" s="116">
        <v>2205.1999999999998</v>
      </c>
      <c r="C308" s="116">
        <v>2174.9499999999998</v>
      </c>
      <c r="D308" s="116">
        <v>2155</v>
      </c>
      <c r="E308" s="116">
        <v>2177.6</v>
      </c>
      <c r="F308" s="116">
        <v>2174.9499999999998</v>
      </c>
      <c r="G308">
        <v>785</v>
      </c>
      <c r="H308" s="116"/>
      <c r="I308" s="116"/>
      <c r="L308" s="170">
        <v>44729</v>
      </c>
      <c r="M308" s="116">
        <v>2179.15</v>
      </c>
      <c r="N308" s="116">
        <v>2209.5500000000002</v>
      </c>
      <c r="O308" s="116">
        <v>2155.9</v>
      </c>
      <c r="P308" s="116">
        <v>2189</v>
      </c>
      <c r="Q308" s="116">
        <v>2179.15</v>
      </c>
      <c r="R308">
        <v>17734</v>
      </c>
    </row>
    <row r="309" spans="1:18" x14ac:dyDescent="0.25">
      <c r="A309" s="170">
        <v>44732</v>
      </c>
      <c r="B309" s="116">
        <v>2201.25</v>
      </c>
      <c r="C309" s="116">
        <v>2091</v>
      </c>
      <c r="D309" s="116">
        <v>2024</v>
      </c>
      <c r="E309" s="116">
        <v>2189.8000000000002</v>
      </c>
      <c r="F309" s="116">
        <v>2091</v>
      </c>
      <c r="G309">
        <v>1445</v>
      </c>
      <c r="H309" s="116"/>
      <c r="I309" s="116"/>
      <c r="L309" s="170">
        <v>44732</v>
      </c>
      <c r="M309" s="116">
        <v>2093.6999999999998</v>
      </c>
      <c r="N309" s="116">
        <v>2214</v>
      </c>
      <c r="O309" s="116">
        <v>2026.6</v>
      </c>
      <c r="P309" s="116">
        <v>2214</v>
      </c>
      <c r="Q309" s="116">
        <v>2093.6999999999998</v>
      </c>
      <c r="R309">
        <v>35257</v>
      </c>
    </row>
    <row r="310" spans="1:18" x14ac:dyDescent="0.25">
      <c r="A310" s="170">
        <v>44733</v>
      </c>
      <c r="B310" s="116">
        <v>2168.1</v>
      </c>
      <c r="C310" s="116">
        <v>2136.9</v>
      </c>
      <c r="D310" s="116">
        <v>2040</v>
      </c>
      <c r="E310" s="116">
        <v>2040</v>
      </c>
      <c r="F310" s="116">
        <v>2136.9</v>
      </c>
      <c r="G310">
        <v>1743</v>
      </c>
      <c r="H310" s="116"/>
      <c r="I310" s="116"/>
      <c r="L310" s="170">
        <v>44733</v>
      </c>
      <c r="M310" s="116">
        <v>2135.4499999999998</v>
      </c>
      <c r="N310" s="116">
        <v>2182</v>
      </c>
      <c r="O310" s="116">
        <v>2099.9499999999998</v>
      </c>
      <c r="P310" s="116">
        <v>2099.9499999999998</v>
      </c>
      <c r="Q310" s="116">
        <v>2135.4499999999998</v>
      </c>
      <c r="R310">
        <v>277676</v>
      </c>
    </row>
    <row r="311" spans="1:18" x14ac:dyDescent="0.25">
      <c r="A311" s="170">
        <v>44734</v>
      </c>
      <c r="B311" s="116">
        <v>2155.1</v>
      </c>
      <c r="C311" s="116">
        <v>2123.0500000000002</v>
      </c>
      <c r="D311" s="116">
        <v>2096.8000000000002</v>
      </c>
      <c r="E311" s="116">
        <v>2108.6999999999998</v>
      </c>
      <c r="F311" s="116">
        <v>2123.0500000000002</v>
      </c>
      <c r="G311">
        <v>3234</v>
      </c>
      <c r="H311" s="116"/>
      <c r="I311" s="116"/>
      <c r="L311" s="170">
        <v>44734</v>
      </c>
      <c r="M311" s="116">
        <v>2121.15</v>
      </c>
      <c r="N311" s="116">
        <v>2158</v>
      </c>
      <c r="O311" s="116">
        <v>2094.65</v>
      </c>
      <c r="P311" s="116">
        <v>2139</v>
      </c>
      <c r="Q311" s="116">
        <v>2121.15</v>
      </c>
      <c r="R311">
        <v>20979</v>
      </c>
    </row>
    <row r="312" spans="1:18" x14ac:dyDescent="0.25">
      <c r="A312" s="170">
        <v>44735</v>
      </c>
      <c r="B312" s="116">
        <v>2159.5500000000002</v>
      </c>
      <c r="C312" s="116">
        <v>2138.5500000000002</v>
      </c>
      <c r="D312" s="116">
        <v>2119.1</v>
      </c>
      <c r="E312" s="116">
        <v>2142.5</v>
      </c>
      <c r="F312" s="116">
        <v>2138.5500000000002</v>
      </c>
      <c r="G312">
        <v>1010</v>
      </c>
      <c r="H312" s="116"/>
      <c r="I312" s="116"/>
      <c r="L312" s="170">
        <v>44735</v>
      </c>
      <c r="M312" s="116">
        <v>2150.1999999999998</v>
      </c>
      <c r="N312" s="116">
        <v>2163.4</v>
      </c>
      <c r="O312" s="116">
        <v>2110</v>
      </c>
      <c r="P312" s="116">
        <v>2110</v>
      </c>
      <c r="Q312" s="116">
        <v>2150.1999999999998</v>
      </c>
      <c r="R312">
        <v>11532</v>
      </c>
    </row>
    <row r="313" spans="1:18" x14ac:dyDescent="0.25">
      <c r="A313" s="170">
        <v>44736</v>
      </c>
      <c r="B313" s="116">
        <v>2230.9499999999998</v>
      </c>
      <c r="C313" s="116">
        <v>2199.75</v>
      </c>
      <c r="D313" s="116">
        <v>2167.8000000000002</v>
      </c>
      <c r="E313" s="116">
        <v>2167.8000000000002</v>
      </c>
      <c r="F313" s="116">
        <v>2199.75</v>
      </c>
      <c r="G313">
        <v>690</v>
      </c>
      <c r="H313" s="116"/>
      <c r="I313" s="116"/>
      <c r="L313" s="170">
        <v>44736</v>
      </c>
      <c r="M313" s="116">
        <v>2195.25</v>
      </c>
      <c r="N313" s="116">
        <v>2233.35</v>
      </c>
      <c r="O313" s="116">
        <v>2126.1</v>
      </c>
      <c r="P313" s="116">
        <v>2126.1</v>
      </c>
      <c r="Q313" s="116">
        <v>2195.25</v>
      </c>
      <c r="R313">
        <v>15744</v>
      </c>
    </row>
    <row r="314" spans="1:18" x14ac:dyDescent="0.25">
      <c r="A314" s="170">
        <v>44739</v>
      </c>
      <c r="B314" s="116">
        <v>2232.9499999999998</v>
      </c>
      <c r="C314" s="116">
        <v>2187.8000000000002</v>
      </c>
      <c r="D314" s="116">
        <v>2144.9</v>
      </c>
      <c r="E314" s="116">
        <v>2218.4499999999998</v>
      </c>
      <c r="F314" s="116">
        <v>2187.8000000000002</v>
      </c>
      <c r="G314">
        <v>2101</v>
      </c>
      <c r="H314" s="116"/>
      <c r="I314" s="116"/>
      <c r="L314" s="170">
        <v>44739</v>
      </c>
      <c r="M314" s="116">
        <v>2195.4499999999998</v>
      </c>
      <c r="N314" s="116">
        <v>2248</v>
      </c>
      <c r="O314" s="116">
        <v>2145.1</v>
      </c>
      <c r="P314" s="116">
        <v>2195.25</v>
      </c>
      <c r="Q314" s="116">
        <v>2195.4499999999998</v>
      </c>
      <c r="R314">
        <v>45255</v>
      </c>
    </row>
    <row r="315" spans="1:18" x14ac:dyDescent="0.25">
      <c r="A315" s="170">
        <v>44740</v>
      </c>
      <c r="B315" s="116">
        <v>2253.25</v>
      </c>
      <c r="C315" s="116">
        <v>2202.4499999999998</v>
      </c>
      <c r="D315" s="116">
        <v>2174</v>
      </c>
      <c r="E315" s="116">
        <v>2196.85</v>
      </c>
      <c r="F315" s="116">
        <v>2202.4499999999998</v>
      </c>
      <c r="G315">
        <v>854</v>
      </c>
      <c r="H315" s="116"/>
      <c r="I315" s="116"/>
      <c r="L315" s="170">
        <v>44740</v>
      </c>
      <c r="M315" s="116">
        <v>2212.1999999999998</v>
      </c>
      <c r="N315" s="116">
        <v>2250.3000000000002</v>
      </c>
      <c r="O315" s="116">
        <v>2165</v>
      </c>
      <c r="P315" s="116">
        <v>2208</v>
      </c>
      <c r="Q315" s="116">
        <v>2212.1999999999998</v>
      </c>
      <c r="R315">
        <v>60877</v>
      </c>
    </row>
    <row r="316" spans="1:18" x14ac:dyDescent="0.25">
      <c r="A316" s="170">
        <v>44741</v>
      </c>
      <c r="B316" s="116">
        <v>2285.65</v>
      </c>
      <c r="C316" s="116">
        <v>2265.8000000000002</v>
      </c>
      <c r="D316" s="116">
        <v>2186.0500000000002</v>
      </c>
      <c r="E316" s="116">
        <v>2202</v>
      </c>
      <c r="F316" s="116">
        <v>2265.8000000000002</v>
      </c>
      <c r="G316">
        <v>1511</v>
      </c>
      <c r="H316" s="116"/>
      <c r="I316" s="116"/>
      <c r="L316" s="170">
        <v>44741</v>
      </c>
      <c r="M316" s="116">
        <v>2271.1999999999998</v>
      </c>
      <c r="N316" s="116">
        <v>2287.6999999999998</v>
      </c>
      <c r="O316" s="116">
        <v>2182.25</v>
      </c>
      <c r="P316" s="116">
        <v>2215</v>
      </c>
      <c r="Q316" s="116">
        <v>2271.1999999999998</v>
      </c>
      <c r="R316">
        <v>34578</v>
      </c>
    </row>
    <row r="317" spans="1:18" x14ac:dyDescent="0.25">
      <c r="A317" s="170">
        <v>44742</v>
      </c>
      <c r="B317" s="116">
        <v>2298.5500000000002</v>
      </c>
      <c r="C317" s="116">
        <v>2268.6999999999998</v>
      </c>
      <c r="D317" s="116">
        <v>2220.1999999999998</v>
      </c>
      <c r="E317" s="116">
        <v>2270.9</v>
      </c>
      <c r="F317" s="116">
        <v>2268.6999999999998</v>
      </c>
      <c r="G317">
        <v>668</v>
      </c>
      <c r="H317" s="116"/>
      <c r="I317" s="116"/>
      <c r="L317" s="170">
        <v>44742</v>
      </c>
      <c r="M317" s="116">
        <v>2278.25</v>
      </c>
      <c r="N317" s="116">
        <v>2298</v>
      </c>
      <c r="O317" s="116">
        <v>2222</v>
      </c>
      <c r="P317" s="116">
        <v>2250</v>
      </c>
      <c r="Q317" s="116">
        <v>2278.25</v>
      </c>
      <c r="R317">
        <v>22588</v>
      </c>
    </row>
    <row r="318" spans="1:18" x14ac:dyDescent="0.25">
      <c r="A318" s="170">
        <v>44743</v>
      </c>
      <c r="B318" s="116">
        <v>2302.9499999999998</v>
      </c>
      <c r="C318" s="116">
        <v>2295.1</v>
      </c>
      <c r="D318" s="116">
        <v>2258.0500000000002</v>
      </c>
      <c r="E318" s="116">
        <v>2270</v>
      </c>
      <c r="F318" s="116">
        <v>2295.1</v>
      </c>
      <c r="G318">
        <v>891</v>
      </c>
      <c r="H318" s="116"/>
      <c r="I318" s="116"/>
      <c r="L318" s="170">
        <v>44743</v>
      </c>
      <c r="M318" s="116">
        <v>2297.15</v>
      </c>
      <c r="N318" s="116">
        <v>2307.35</v>
      </c>
      <c r="O318" s="116">
        <v>2250</v>
      </c>
      <c r="P318" s="116">
        <v>2250</v>
      </c>
      <c r="Q318" s="116">
        <v>2297.15</v>
      </c>
      <c r="R318">
        <v>14417</v>
      </c>
    </row>
    <row r="319" spans="1:18" x14ac:dyDescent="0.25">
      <c r="A319" s="170">
        <v>44746</v>
      </c>
      <c r="B319" s="116">
        <v>2327.6</v>
      </c>
      <c r="C319" s="116">
        <v>2295.85</v>
      </c>
      <c r="D319" s="116">
        <v>2271.1</v>
      </c>
      <c r="E319" s="116">
        <v>2306.6999999999998</v>
      </c>
      <c r="F319" s="116">
        <v>2295.85</v>
      </c>
      <c r="G319">
        <v>750</v>
      </c>
      <c r="H319" s="116"/>
      <c r="I319" s="116"/>
      <c r="L319" s="170">
        <v>44746</v>
      </c>
      <c r="M319" s="116">
        <v>2295.9</v>
      </c>
      <c r="N319" s="116">
        <v>2330</v>
      </c>
      <c r="O319" s="116">
        <v>2270.5500000000002</v>
      </c>
      <c r="P319" s="116">
        <v>2330</v>
      </c>
      <c r="Q319" s="116">
        <v>2295.9</v>
      </c>
      <c r="R319">
        <v>24497</v>
      </c>
    </row>
    <row r="320" spans="1:18" x14ac:dyDescent="0.25">
      <c r="A320" s="170">
        <v>44747</v>
      </c>
      <c r="B320" s="116">
        <v>2324.1</v>
      </c>
      <c r="C320" s="116">
        <v>2293</v>
      </c>
      <c r="D320" s="116">
        <v>2285</v>
      </c>
      <c r="E320" s="116">
        <v>2298.5</v>
      </c>
      <c r="F320" s="116">
        <v>2293</v>
      </c>
      <c r="G320">
        <v>775</v>
      </c>
      <c r="H320" s="116"/>
      <c r="I320" s="116"/>
      <c r="L320" s="170">
        <v>44747</v>
      </c>
      <c r="M320" s="116">
        <v>2286.85</v>
      </c>
      <c r="N320" s="116">
        <v>2328</v>
      </c>
      <c r="O320" s="116">
        <v>2280</v>
      </c>
      <c r="P320" s="116">
        <v>2319.9</v>
      </c>
      <c r="Q320" s="116">
        <v>2286.85</v>
      </c>
      <c r="R320">
        <v>76399</v>
      </c>
    </row>
    <row r="321" spans="1:18" x14ac:dyDescent="0.25">
      <c r="A321" s="170">
        <v>44748</v>
      </c>
      <c r="B321" s="116">
        <v>2425</v>
      </c>
      <c r="C321" s="116">
        <v>2371.9</v>
      </c>
      <c r="D321" s="116">
        <v>2266.65</v>
      </c>
      <c r="E321" s="116">
        <v>2283.0500000000002</v>
      </c>
      <c r="F321" s="116">
        <v>2371.9</v>
      </c>
      <c r="G321">
        <v>3867</v>
      </c>
      <c r="H321" s="116"/>
      <c r="I321" s="116"/>
      <c r="L321" s="170">
        <v>44748</v>
      </c>
      <c r="M321" s="116">
        <v>2372.8000000000002</v>
      </c>
      <c r="N321" s="116">
        <v>2425</v>
      </c>
      <c r="O321" s="116">
        <v>2253</v>
      </c>
      <c r="P321" s="116">
        <v>2253</v>
      </c>
      <c r="Q321" s="116">
        <v>2372.8000000000002</v>
      </c>
      <c r="R321">
        <v>110042</v>
      </c>
    </row>
    <row r="322" spans="1:18" x14ac:dyDescent="0.25">
      <c r="A322" s="170">
        <v>44749</v>
      </c>
      <c r="B322" s="116">
        <v>2442.25</v>
      </c>
      <c r="C322" s="116">
        <v>2378.75</v>
      </c>
      <c r="D322" s="116">
        <v>2302</v>
      </c>
      <c r="E322" s="116">
        <v>2302</v>
      </c>
      <c r="F322" s="116">
        <v>2378.75</v>
      </c>
      <c r="G322">
        <v>1694</v>
      </c>
      <c r="H322" s="116"/>
      <c r="I322" s="116"/>
      <c r="L322" s="170">
        <v>44749</v>
      </c>
      <c r="M322" s="116">
        <v>2375.85</v>
      </c>
      <c r="N322" s="116">
        <v>2444.6999999999998</v>
      </c>
      <c r="O322" s="116">
        <v>2362.25</v>
      </c>
      <c r="P322" s="116">
        <v>2375</v>
      </c>
      <c r="Q322" s="116">
        <v>2375.85</v>
      </c>
      <c r="R322">
        <v>97024</v>
      </c>
    </row>
    <row r="323" spans="1:18" x14ac:dyDescent="0.25">
      <c r="A323" s="170">
        <v>44750</v>
      </c>
      <c r="B323" s="116">
        <v>2575</v>
      </c>
      <c r="C323" s="116">
        <v>2480.8000000000002</v>
      </c>
      <c r="D323" s="116">
        <v>2398.25</v>
      </c>
      <c r="E323" s="116">
        <v>2438</v>
      </c>
      <c r="F323" s="116">
        <v>2480.8000000000002</v>
      </c>
      <c r="G323">
        <v>14456</v>
      </c>
      <c r="H323" s="116"/>
      <c r="I323" s="116"/>
      <c r="L323" s="170">
        <v>44750</v>
      </c>
      <c r="M323" s="116">
        <v>2476.4499999999998</v>
      </c>
      <c r="N323" s="116">
        <v>2575</v>
      </c>
      <c r="O323" s="116">
        <v>2399</v>
      </c>
      <c r="P323" s="116">
        <v>2411.5</v>
      </c>
      <c r="Q323" s="116">
        <v>2476.4499999999998</v>
      </c>
      <c r="R323">
        <v>258900</v>
      </c>
    </row>
    <row r="324" spans="1:18" x14ac:dyDescent="0.25">
      <c r="A324" s="170">
        <v>44753</v>
      </c>
      <c r="B324" s="116">
        <v>2528.8000000000002</v>
      </c>
      <c r="C324" s="116">
        <v>2470.4</v>
      </c>
      <c r="D324" s="116">
        <v>2460.1</v>
      </c>
      <c r="E324" s="116">
        <v>2470</v>
      </c>
      <c r="F324" s="116">
        <v>2470.4</v>
      </c>
      <c r="G324">
        <v>3513</v>
      </c>
      <c r="H324" s="116"/>
      <c r="I324" s="116"/>
      <c r="L324" s="170">
        <v>44753</v>
      </c>
      <c r="M324" s="116">
        <v>2471.15</v>
      </c>
      <c r="N324" s="116">
        <v>2545</v>
      </c>
      <c r="O324" s="116">
        <v>2452</v>
      </c>
      <c r="P324" s="116">
        <v>2500</v>
      </c>
      <c r="Q324" s="116">
        <v>2471.15</v>
      </c>
      <c r="R324">
        <v>77207</v>
      </c>
    </row>
    <row r="325" spans="1:18" x14ac:dyDescent="0.25">
      <c r="A325" s="170">
        <v>44754</v>
      </c>
      <c r="B325" s="116">
        <v>2490</v>
      </c>
      <c r="C325" s="116">
        <v>2438.75</v>
      </c>
      <c r="D325" s="116">
        <v>2420.3000000000002</v>
      </c>
      <c r="E325" s="116">
        <v>2470</v>
      </c>
      <c r="F325" s="116">
        <v>2438.75</v>
      </c>
      <c r="G325">
        <v>1906</v>
      </c>
      <c r="H325" s="116"/>
      <c r="I325" s="116"/>
      <c r="L325" s="170">
        <v>44754</v>
      </c>
      <c r="M325" s="116">
        <v>2434.15</v>
      </c>
      <c r="N325" s="116">
        <v>2494.9499999999998</v>
      </c>
      <c r="O325" s="116">
        <v>2420</v>
      </c>
      <c r="P325" s="116">
        <v>2474.9499999999998</v>
      </c>
      <c r="Q325" s="116">
        <v>2434.15</v>
      </c>
      <c r="R325">
        <v>21621</v>
      </c>
    </row>
    <row r="326" spans="1:18" x14ac:dyDescent="0.25">
      <c r="A326" s="170">
        <v>44755</v>
      </c>
      <c r="B326" s="116">
        <v>2476.9</v>
      </c>
      <c r="C326" s="116">
        <v>2428.65</v>
      </c>
      <c r="D326" s="116">
        <v>2409.1999999999998</v>
      </c>
      <c r="E326" s="116">
        <v>2447.3000000000002</v>
      </c>
      <c r="F326" s="116">
        <v>2428.65</v>
      </c>
      <c r="G326">
        <v>2965</v>
      </c>
      <c r="H326" s="116"/>
      <c r="I326" s="116"/>
      <c r="L326" s="170">
        <v>44755</v>
      </c>
      <c r="M326" s="116">
        <v>2441.65</v>
      </c>
      <c r="N326" s="116">
        <v>2479</v>
      </c>
      <c r="O326" s="116">
        <v>2413.5500000000002</v>
      </c>
      <c r="P326" s="116">
        <v>2430</v>
      </c>
      <c r="Q326" s="116">
        <v>2441.65</v>
      </c>
      <c r="R326">
        <v>19268</v>
      </c>
    </row>
    <row r="327" spans="1:18" x14ac:dyDescent="0.25">
      <c r="A327" s="170">
        <v>44756</v>
      </c>
      <c r="B327" s="116">
        <v>2472.1999999999998</v>
      </c>
      <c r="C327" s="116">
        <v>2449.9</v>
      </c>
      <c r="D327" s="116">
        <v>2418.1999999999998</v>
      </c>
      <c r="E327" s="116">
        <v>2459.8000000000002</v>
      </c>
      <c r="F327" s="116">
        <v>2449.9</v>
      </c>
      <c r="G327">
        <v>8241</v>
      </c>
      <c r="H327" s="116"/>
      <c r="I327" s="116"/>
      <c r="L327" s="170">
        <v>44756</v>
      </c>
      <c r="M327" s="116">
        <v>2445.75</v>
      </c>
      <c r="N327" s="116">
        <v>2488</v>
      </c>
      <c r="O327" s="116">
        <v>2416.75</v>
      </c>
      <c r="P327" s="116">
        <v>2488</v>
      </c>
      <c r="Q327" s="116">
        <v>2445.75</v>
      </c>
      <c r="R327">
        <v>20101</v>
      </c>
    </row>
    <row r="328" spans="1:18" x14ac:dyDescent="0.25">
      <c r="A328" s="170">
        <v>44757</v>
      </c>
      <c r="B328" s="116">
        <v>2464.4</v>
      </c>
      <c r="C328" s="116">
        <v>2450.1999999999998</v>
      </c>
      <c r="D328" s="116">
        <v>2383.8000000000002</v>
      </c>
      <c r="E328" s="116">
        <v>2460</v>
      </c>
      <c r="F328" s="116">
        <v>2450.1999999999998</v>
      </c>
      <c r="G328">
        <v>22553</v>
      </c>
      <c r="H328" s="116"/>
      <c r="I328" s="116"/>
      <c r="L328" s="170">
        <v>44757</v>
      </c>
      <c r="M328" s="116">
        <v>2451.15</v>
      </c>
      <c r="N328" s="116">
        <v>2475</v>
      </c>
      <c r="O328" s="116">
        <v>2385</v>
      </c>
      <c r="P328" s="116">
        <v>2460</v>
      </c>
      <c r="Q328" s="116">
        <v>2451.15</v>
      </c>
      <c r="R328">
        <v>42992</v>
      </c>
    </row>
    <row r="329" spans="1:18" x14ac:dyDescent="0.25">
      <c r="A329" s="170">
        <v>44760</v>
      </c>
      <c r="B329" s="116">
        <v>2607.25</v>
      </c>
      <c r="C329" s="116">
        <v>2595</v>
      </c>
      <c r="D329" s="116">
        <v>2471.0500000000002</v>
      </c>
      <c r="E329" s="116">
        <v>2471.1</v>
      </c>
      <c r="F329" s="116">
        <v>2595</v>
      </c>
      <c r="G329">
        <v>4072</v>
      </c>
      <c r="H329" s="116"/>
      <c r="I329" s="116"/>
      <c r="L329" s="170">
        <v>44760</v>
      </c>
      <c r="M329" s="116">
        <v>2595.6</v>
      </c>
      <c r="N329" s="116">
        <v>2610</v>
      </c>
      <c r="O329" s="116">
        <v>2469.15</v>
      </c>
      <c r="P329" s="116">
        <v>2470.8000000000002</v>
      </c>
      <c r="Q329" s="116">
        <v>2595.6</v>
      </c>
      <c r="R329">
        <v>90531</v>
      </c>
    </row>
    <row r="330" spans="1:18" x14ac:dyDescent="0.25">
      <c r="A330" s="170">
        <v>44761</v>
      </c>
      <c r="B330" s="116">
        <v>2602.5500000000002</v>
      </c>
      <c r="C330" s="116">
        <v>2561.65</v>
      </c>
      <c r="D330" s="116">
        <v>2538.85</v>
      </c>
      <c r="E330" s="116">
        <v>2592</v>
      </c>
      <c r="F330" s="116">
        <v>2561.65</v>
      </c>
      <c r="G330">
        <v>2392</v>
      </c>
      <c r="H330" s="116"/>
      <c r="I330" s="116"/>
      <c r="L330" s="170">
        <v>44761</v>
      </c>
      <c r="M330" s="116">
        <v>2564.0500000000002</v>
      </c>
      <c r="N330" s="116">
        <v>2602</v>
      </c>
      <c r="O330" s="116">
        <v>2537.0500000000002</v>
      </c>
      <c r="P330" s="116">
        <v>2595.6</v>
      </c>
      <c r="Q330" s="116">
        <v>2564.0500000000002</v>
      </c>
      <c r="R330">
        <v>42360</v>
      </c>
    </row>
    <row r="331" spans="1:18" x14ac:dyDescent="0.25">
      <c r="A331" s="170">
        <v>44762</v>
      </c>
      <c r="B331" s="116">
        <v>2618.1999999999998</v>
      </c>
      <c r="C331" s="116">
        <v>2589.1</v>
      </c>
      <c r="D331" s="116">
        <v>2564.5</v>
      </c>
      <c r="E331" s="116">
        <v>2583.5</v>
      </c>
      <c r="F331" s="116">
        <v>2589.1</v>
      </c>
      <c r="G331">
        <v>2049</v>
      </c>
      <c r="H331" s="116"/>
      <c r="I331" s="116"/>
      <c r="L331" s="170">
        <v>44762</v>
      </c>
      <c r="M331" s="116">
        <v>2587.9</v>
      </c>
      <c r="N331" s="116">
        <v>2619.1999999999998</v>
      </c>
      <c r="O331" s="116">
        <v>2563.6</v>
      </c>
      <c r="P331" s="116">
        <v>2570</v>
      </c>
      <c r="Q331" s="116">
        <v>2587.9</v>
      </c>
      <c r="R331">
        <v>100355</v>
      </c>
    </row>
    <row r="332" spans="1:18" x14ac:dyDescent="0.25">
      <c r="A332" s="170">
        <v>44763</v>
      </c>
      <c r="B332" s="116">
        <v>2663.85</v>
      </c>
      <c r="C332" s="116">
        <v>2639.8</v>
      </c>
      <c r="D332" s="116">
        <v>2552.0500000000002</v>
      </c>
      <c r="E332" s="116">
        <v>2584</v>
      </c>
      <c r="F332" s="116">
        <v>2639.8</v>
      </c>
      <c r="G332">
        <v>5455</v>
      </c>
      <c r="H332" s="116"/>
      <c r="I332" s="116"/>
      <c r="L332" s="170">
        <v>44763</v>
      </c>
      <c r="M332" s="116">
        <v>2625.35</v>
      </c>
      <c r="N332" s="116">
        <v>2659.95</v>
      </c>
      <c r="O332" s="116">
        <v>2552.4</v>
      </c>
      <c r="P332" s="116">
        <v>2609</v>
      </c>
      <c r="Q332" s="116">
        <v>2625.35</v>
      </c>
      <c r="R332">
        <v>28769</v>
      </c>
    </row>
    <row r="333" spans="1:18" x14ac:dyDescent="0.25">
      <c r="A333" s="170">
        <v>44764</v>
      </c>
      <c r="B333" s="116">
        <v>2656.05</v>
      </c>
      <c r="C333" s="116">
        <v>2615.6</v>
      </c>
      <c r="D333" s="116">
        <v>2575.75</v>
      </c>
      <c r="E333" s="116">
        <v>2643.25</v>
      </c>
      <c r="F333" s="116">
        <v>2615.6</v>
      </c>
      <c r="G333">
        <v>3456</v>
      </c>
      <c r="H333" s="116"/>
      <c r="I333" s="116"/>
      <c r="L333" s="170">
        <v>44764</v>
      </c>
      <c r="M333" s="116">
        <v>2611.65</v>
      </c>
      <c r="N333" s="116">
        <v>2661.65</v>
      </c>
      <c r="O333" s="116">
        <v>2581.9</v>
      </c>
      <c r="P333" s="116">
        <v>2626</v>
      </c>
      <c r="Q333" s="116">
        <v>2611.65</v>
      </c>
      <c r="R333">
        <v>23392</v>
      </c>
    </row>
    <row r="334" spans="1:18" x14ac:dyDescent="0.25">
      <c r="A334" s="170">
        <v>44767</v>
      </c>
      <c r="B334" s="116">
        <v>2666.85</v>
      </c>
      <c r="C334" s="116">
        <v>2643.75</v>
      </c>
      <c r="D334" s="116">
        <v>2590.5500000000002</v>
      </c>
      <c r="E334" s="116">
        <v>2666.85</v>
      </c>
      <c r="F334" s="116">
        <v>2643.75</v>
      </c>
      <c r="G334">
        <v>2820</v>
      </c>
      <c r="H334" s="116"/>
      <c r="I334" s="116"/>
      <c r="L334" s="170">
        <v>44767</v>
      </c>
      <c r="M334" s="116">
        <v>2642.5</v>
      </c>
      <c r="N334" s="116">
        <v>2665.55</v>
      </c>
      <c r="O334" s="116">
        <v>2590</v>
      </c>
      <c r="P334" s="116">
        <v>2617.9</v>
      </c>
      <c r="Q334" s="116">
        <v>2642.5</v>
      </c>
      <c r="R334">
        <v>34081</v>
      </c>
    </row>
    <row r="335" spans="1:18" x14ac:dyDescent="0.25">
      <c r="A335" s="170">
        <v>44768</v>
      </c>
      <c r="B335" s="116">
        <v>2776.65</v>
      </c>
      <c r="C335" s="116">
        <v>2658.65</v>
      </c>
      <c r="D335" s="116">
        <v>2625.15</v>
      </c>
      <c r="E335" s="116">
        <v>2745</v>
      </c>
      <c r="F335" s="116">
        <v>2658.65</v>
      </c>
      <c r="G335">
        <v>10295</v>
      </c>
      <c r="H335" s="116"/>
      <c r="I335" s="116"/>
      <c r="L335" s="170">
        <v>44768</v>
      </c>
      <c r="M335" s="116">
        <v>2666.8</v>
      </c>
      <c r="N335" s="116">
        <v>2774</v>
      </c>
      <c r="O335" s="116">
        <v>2622.25</v>
      </c>
      <c r="P335" s="116">
        <v>2745</v>
      </c>
      <c r="Q335" s="116">
        <v>2666.8</v>
      </c>
      <c r="R335">
        <v>112945</v>
      </c>
    </row>
    <row r="336" spans="1:18" x14ac:dyDescent="0.25">
      <c r="A336" s="170">
        <v>44769</v>
      </c>
      <c r="B336" s="116">
        <v>2845.8</v>
      </c>
      <c r="C336" s="116">
        <v>2698.45</v>
      </c>
      <c r="D336" s="116">
        <v>2615.1999999999998</v>
      </c>
      <c r="E336" s="116">
        <v>2615.1999999999998</v>
      </c>
      <c r="F336" s="116">
        <v>2698.45</v>
      </c>
      <c r="G336">
        <v>7147</v>
      </c>
      <c r="H336" s="116"/>
      <c r="I336" s="116"/>
      <c r="L336" s="170">
        <v>44769</v>
      </c>
      <c r="M336" s="116">
        <v>2698.4</v>
      </c>
      <c r="N336" s="116">
        <v>2814.9</v>
      </c>
      <c r="O336" s="116">
        <v>2615.5</v>
      </c>
      <c r="P336" s="116">
        <v>2666.8</v>
      </c>
      <c r="Q336" s="116">
        <v>2698.4</v>
      </c>
      <c r="R336">
        <v>120176</v>
      </c>
    </row>
    <row r="337" spans="1:18" x14ac:dyDescent="0.25">
      <c r="A337" s="170">
        <v>44770</v>
      </c>
      <c r="B337" s="116">
        <v>2751</v>
      </c>
      <c r="C337" s="116">
        <v>2740.6</v>
      </c>
      <c r="D337" s="116">
        <v>2674.95</v>
      </c>
      <c r="E337" s="116">
        <v>2727</v>
      </c>
      <c r="F337" s="116">
        <v>2740.6</v>
      </c>
      <c r="G337">
        <v>3909</v>
      </c>
      <c r="H337" s="116"/>
      <c r="I337" s="116"/>
      <c r="L337" s="170">
        <v>44770</v>
      </c>
      <c r="M337" s="116">
        <v>2742.25</v>
      </c>
      <c r="N337" s="116">
        <v>2755</v>
      </c>
      <c r="O337" s="116">
        <v>2672.45</v>
      </c>
      <c r="P337" s="116">
        <v>2727</v>
      </c>
      <c r="Q337" s="116">
        <v>2742.25</v>
      </c>
      <c r="R337">
        <v>30331</v>
      </c>
    </row>
    <row r="338" spans="1:18" x14ac:dyDescent="0.25">
      <c r="A338" s="170">
        <v>44771</v>
      </c>
      <c r="B338" s="116">
        <v>2851</v>
      </c>
      <c r="C338" s="116">
        <v>2800.65</v>
      </c>
      <c r="D338" s="116">
        <v>2730.2</v>
      </c>
      <c r="E338" s="116">
        <v>2734.35</v>
      </c>
      <c r="F338" s="116">
        <v>2800.65</v>
      </c>
      <c r="G338">
        <v>5575</v>
      </c>
      <c r="H338" s="116"/>
      <c r="I338" s="116"/>
      <c r="L338" s="170">
        <v>44771</v>
      </c>
      <c r="M338" s="116">
        <v>2797.65</v>
      </c>
      <c r="N338" s="116">
        <v>2853.9</v>
      </c>
      <c r="O338" s="116">
        <v>2730</v>
      </c>
      <c r="P338" s="116">
        <v>2750</v>
      </c>
      <c r="Q338" s="116">
        <v>2797.65</v>
      </c>
      <c r="R338">
        <v>53410</v>
      </c>
    </row>
    <row r="339" spans="1:18" x14ac:dyDescent="0.25">
      <c r="A339" s="170">
        <v>44774</v>
      </c>
      <c r="B339" s="116">
        <v>2899.4</v>
      </c>
      <c r="C339" s="116">
        <v>2820.65</v>
      </c>
      <c r="D339" s="116">
        <v>2785.7</v>
      </c>
      <c r="E339" s="116">
        <v>2899.4</v>
      </c>
      <c r="F339" s="116">
        <v>2820.65</v>
      </c>
      <c r="G339">
        <v>9218</v>
      </c>
      <c r="H339" s="116"/>
      <c r="I339" s="116"/>
      <c r="L339" s="170">
        <v>44774</v>
      </c>
      <c r="M339" s="116">
        <v>2819.4</v>
      </c>
      <c r="N339" s="116">
        <v>2894.9</v>
      </c>
      <c r="O339" s="116">
        <v>2784.9</v>
      </c>
      <c r="P339" s="116">
        <v>2894</v>
      </c>
      <c r="Q339" s="116">
        <v>2819.4</v>
      </c>
      <c r="R339">
        <v>86376</v>
      </c>
    </row>
    <row r="340" spans="1:18" x14ac:dyDescent="0.25">
      <c r="A340" s="170">
        <v>44775</v>
      </c>
      <c r="B340" s="116">
        <v>2869</v>
      </c>
      <c r="C340" s="116">
        <v>2831.05</v>
      </c>
      <c r="D340" s="116">
        <v>2770</v>
      </c>
      <c r="E340" s="116">
        <v>2770</v>
      </c>
      <c r="F340" s="116">
        <v>2831.05</v>
      </c>
      <c r="G340">
        <v>105242</v>
      </c>
      <c r="H340" s="116"/>
      <c r="I340" s="116"/>
      <c r="L340" s="170">
        <v>44775</v>
      </c>
      <c r="M340" s="116">
        <v>2831.6</v>
      </c>
      <c r="N340" s="116">
        <v>2870</v>
      </c>
      <c r="O340" s="116">
        <v>2791.3</v>
      </c>
      <c r="P340" s="116">
        <v>2810.5</v>
      </c>
      <c r="Q340" s="116">
        <v>2831.6</v>
      </c>
      <c r="R340">
        <v>104329</v>
      </c>
    </row>
    <row r="341" spans="1:18" x14ac:dyDescent="0.25">
      <c r="A341" s="170">
        <v>44776</v>
      </c>
      <c r="B341" s="116">
        <v>2869.9</v>
      </c>
      <c r="C341" s="116">
        <v>2848.15</v>
      </c>
      <c r="D341" s="116">
        <v>2764.85</v>
      </c>
      <c r="E341" s="116">
        <v>2815.55</v>
      </c>
      <c r="F341" s="116">
        <v>2848.15</v>
      </c>
      <c r="G341">
        <v>2781</v>
      </c>
      <c r="H341" s="116"/>
      <c r="I341" s="116"/>
      <c r="L341" s="170">
        <v>44776</v>
      </c>
      <c r="M341" s="116">
        <v>2851.45</v>
      </c>
      <c r="N341" s="116">
        <v>2870</v>
      </c>
      <c r="O341" s="116">
        <v>2765.55</v>
      </c>
      <c r="P341" s="116">
        <v>2805.65</v>
      </c>
      <c r="Q341" s="116">
        <v>2851.45</v>
      </c>
      <c r="R341">
        <v>40947</v>
      </c>
    </row>
    <row r="342" spans="1:18" x14ac:dyDescent="0.25">
      <c r="A342" s="170">
        <v>44777</v>
      </c>
      <c r="B342" s="116">
        <v>2865.45</v>
      </c>
      <c r="C342" s="116">
        <v>2772.7</v>
      </c>
      <c r="D342" s="116">
        <v>2670.25</v>
      </c>
      <c r="E342" s="116">
        <v>2863.95</v>
      </c>
      <c r="F342" s="116">
        <v>2772.7</v>
      </c>
      <c r="G342">
        <v>2650</v>
      </c>
      <c r="H342" s="116"/>
      <c r="I342" s="116"/>
      <c r="L342" s="170">
        <v>44777</v>
      </c>
      <c r="M342" s="116">
        <v>2762.1</v>
      </c>
      <c r="N342" s="116">
        <v>2870</v>
      </c>
      <c r="O342" s="116">
        <v>2662.45</v>
      </c>
      <c r="P342" s="116">
        <v>2870</v>
      </c>
      <c r="Q342" s="116">
        <v>2762.1</v>
      </c>
      <c r="R342">
        <v>65978</v>
      </c>
    </row>
    <row r="343" spans="1:18" x14ac:dyDescent="0.25">
      <c r="A343" s="170">
        <v>44778</v>
      </c>
      <c r="B343" s="116">
        <v>2791</v>
      </c>
      <c r="C343" s="116">
        <v>2663</v>
      </c>
      <c r="D343" s="116">
        <v>2614.75</v>
      </c>
      <c r="E343" s="116">
        <v>2791</v>
      </c>
      <c r="F343" s="116">
        <v>2663</v>
      </c>
      <c r="G343">
        <v>6095</v>
      </c>
      <c r="H343" s="116"/>
      <c r="I343" s="116"/>
      <c r="L343" s="170">
        <v>44778</v>
      </c>
      <c r="M343" s="116">
        <v>2663.25</v>
      </c>
      <c r="N343" s="116">
        <v>2800</v>
      </c>
      <c r="O343" s="116">
        <v>2626.05</v>
      </c>
      <c r="P343" s="116">
        <v>2800</v>
      </c>
      <c r="Q343" s="116">
        <v>2663.25</v>
      </c>
      <c r="R343">
        <v>34945</v>
      </c>
    </row>
    <row r="344" spans="1:18" x14ac:dyDescent="0.25">
      <c r="A344" s="170">
        <v>44781</v>
      </c>
      <c r="B344" s="116">
        <v>2693.05</v>
      </c>
      <c r="C344" s="116">
        <v>2651.45</v>
      </c>
      <c r="D344" s="116">
        <v>2603.75</v>
      </c>
      <c r="E344" s="116">
        <v>2676.95</v>
      </c>
      <c r="F344" s="116">
        <v>2651.45</v>
      </c>
      <c r="G344">
        <v>2732</v>
      </c>
      <c r="H344" s="116"/>
      <c r="I344" s="116"/>
      <c r="L344" s="170">
        <v>44781</v>
      </c>
      <c r="M344" s="116">
        <v>2651.7</v>
      </c>
      <c r="N344" s="116">
        <v>2698.35</v>
      </c>
      <c r="O344" s="116">
        <v>2602.8000000000002</v>
      </c>
      <c r="P344" s="116">
        <v>2667</v>
      </c>
      <c r="Q344" s="116">
        <v>2651.7</v>
      </c>
      <c r="R344">
        <v>40957</v>
      </c>
    </row>
    <row r="345" spans="1:18" x14ac:dyDescent="0.25">
      <c r="A345" s="170">
        <v>44783</v>
      </c>
      <c r="B345" s="116">
        <v>2723.75</v>
      </c>
      <c r="C345" s="116">
        <v>2679.4</v>
      </c>
      <c r="D345" s="116">
        <v>2625</v>
      </c>
      <c r="E345" s="116">
        <v>2682.95</v>
      </c>
      <c r="F345" s="116">
        <v>2679.4</v>
      </c>
      <c r="G345">
        <v>2157</v>
      </c>
      <c r="H345" s="116"/>
      <c r="I345" s="116"/>
      <c r="L345" s="170">
        <v>44783</v>
      </c>
      <c r="M345" s="116">
        <v>2689.2</v>
      </c>
      <c r="N345" s="116">
        <v>2728.7</v>
      </c>
      <c r="O345" s="116">
        <v>2624.55</v>
      </c>
      <c r="P345" s="116">
        <v>2676</v>
      </c>
      <c r="Q345" s="116">
        <v>2689.2</v>
      </c>
      <c r="R345">
        <v>28645</v>
      </c>
    </row>
    <row r="346" spans="1:18" x14ac:dyDescent="0.25">
      <c r="A346" s="170">
        <v>44784</v>
      </c>
      <c r="B346" s="116">
        <v>2725.75</v>
      </c>
      <c r="C346" s="116">
        <v>2658.5</v>
      </c>
      <c r="D346" s="116">
        <v>2641.1</v>
      </c>
      <c r="E346" s="116">
        <v>2715.4</v>
      </c>
      <c r="F346" s="116">
        <v>2658.5</v>
      </c>
      <c r="G346">
        <v>1518</v>
      </c>
      <c r="H346" s="116"/>
      <c r="I346" s="116"/>
      <c r="L346" s="170">
        <v>44784</v>
      </c>
      <c r="M346" s="116">
        <v>2663.35</v>
      </c>
      <c r="N346" s="116">
        <v>2730</v>
      </c>
      <c r="O346" s="116">
        <v>2639.9</v>
      </c>
      <c r="P346" s="116">
        <v>2730</v>
      </c>
      <c r="Q346" s="116">
        <v>2663.35</v>
      </c>
      <c r="R346">
        <v>20969</v>
      </c>
    </row>
    <row r="347" spans="1:18" x14ac:dyDescent="0.25">
      <c r="A347" s="170">
        <v>44785</v>
      </c>
      <c r="B347" s="116">
        <v>2743.85</v>
      </c>
      <c r="C347" s="116">
        <v>2727.85</v>
      </c>
      <c r="D347" s="116">
        <v>2675.25</v>
      </c>
      <c r="E347" s="116">
        <v>2683.95</v>
      </c>
      <c r="F347" s="116">
        <v>2727.85</v>
      </c>
      <c r="G347">
        <v>1879</v>
      </c>
      <c r="H347" s="116"/>
      <c r="I347" s="116"/>
      <c r="L347" s="170">
        <v>44785</v>
      </c>
      <c r="M347" s="116">
        <v>2720.65</v>
      </c>
      <c r="N347" s="116">
        <v>2749.7</v>
      </c>
      <c r="O347" s="116">
        <v>2664</v>
      </c>
      <c r="P347" s="116">
        <v>2664</v>
      </c>
      <c r="Q347" s="116">
        <v>2720.65</v>
      </c>
      <c r="R347">
        <v>19254</v>
      </c>
    </row>
    <row r="348" spans="1:18" x14ac:dyDescent="0.25">
      <c r="A348" s="170">
        <v>44789</v>
      </c>
      <c r="B348" s="116">
        <v>2770.8</v>
      </c>
      <c r="C348" s="116">
        <v>2689</v>
      </c>
      <c r="D348" s="116">
        <v>2675.45</v>
      </c>
      <c r="E348" s="116">
        <v>2758.1</v>
      </c>
      <c r="F348" s="116">
        <v>2689</v>
      </c>
      <c r="G348">
        <v>3471</v>
      </c>
      <c r="H348" s="116"/>
      <c r="I348" s="116"/>
      <c r="L348" s="170">
        <v>44789</v>
      </c>
      <c r="M348" s="116">
        <v>2694.2</v>
      </c>
      <c r="N348" s="116">
        <v>2771.2</v>
      </c>
      <c r="O348" s="116">
        <v>2675.2</v>
      </c>
      <c r="P348" s="116">
        <v>2722.65</v>
      </c>
      <c r="Q348" s="116">
        <v>2694.2</v>
      </c>
      <c r="R348">
        <v>33697</v>
      </c>
    </row>
    <row r="349" spans="1:18" x14ac:dyDescent="0.25">
      <c r="A349" s="170">
        <v>44790</v>
      </c>
      <c r="B349" s="116">
        <v>2721.05</v>
      </c>
      <c r="C349" s="116">
        <v>2709.3</v>
      </c>
      <c r="D349" s="116">
        <v>2664.75</v>
      </c>
      <c r="E349" s="116">
        <v>2675.05</v>
      </c>
      <c r="F349" s="116">
        <v>2709.3</v>
      </c>
      <c r="G349">
        <v>1604</v>
      </c>
      <c r="H349" s="116"/>
      <c r="I349" s="116"/>
      <c r="L349" s="170">
        <v>44790</v>
      </c>
      <c r="M349" s="116">
        <v>2710.35</v>
      </c>
      <c r="N349" s="116">
        <v>2725</v>
      </c>
      <c r="O349" s="116">
        <v>2663.9</v>
      </c>
      <c r="P349" s="116">
        <v>2700</v>
      </c>
      <c r="Q349" s="116">
        <v>2710.35</v>
      </c>
      <c r="R349">
        <v>33820</v>
      </c>
    </row>
    <row r="350" spans="1:18" x14ac:dyDescent="0.25">
      <c r="A350" s="170">
        <v>44791</v>
      </c>
      <c r="B350" s="116">
        <v>2851.5</v>
      </c>
      <c r="C350" s="116">
        <v>2786.35</v>
      </c>
      <c r="D350" s="116">
        <v>2741.45</v>
      </c>
      <c r="E350" s="116">
        <v>2761.65</v>
      </c>
      <c r="F350" s="116">
        <v>2786.35</v>
      </c>
      <c r="G350">
        <v>2670</v>
      </c>
      <c r="H350" s="116"/>
      <c r="I350" s="116"/>
      <c r="L350" s="170">
        <v>44791</v>
      </c>
      <c r="M350" s="116">
        <v>2785.25</v>
      </c>
      <c r="N350" s="116">
        <v>2855.6</v>
      </c>
      <c r="O350" s="116">
        <v>2740.25</v>
      </c>
      <c r="P350" s="116">
        <v>2749</v>
      </c>
      <c r="Q350" s="116">
        <v>2785.25</v>
      </c>
      <c r="R350">
        <v>59296</v>
      </c>
    </row>
    <row r="351" spans="1:18" x14ac:dyDescent="0.25">
      <c r="A351" s="170">
        <v>44792</v>
      </c>
      <c r="B351" s="116">
        <v>2818.6</v>
      </c>
      <c r="C351" s="116">
        <v>2717.15</v>
      </c>
      <c r="D351" s="116">
        <v>2710</v>
      </c>
      <c r="E351" s="116">
        <v>2786.35</v>
      </c>
      <c r="F351" s="116">
        <v>2717.15</v>
      </c>
      <c r="G351">
        <v>3762</v>
      </c>
      <c r="H351" s="116"/>
      <c r="I351" s="116"/>
      <c r="L351" s="170">
        <v>44792</v>
      </c>
      <c r="M351" s="116">
        <v>2717</v>
      </c>
      <c r="N351" s="116">
        <v>2820</v>
      </c>
      <c r="O351" s="116">
        <v>2709</v>
      </c>
      <c r="P351" s="116">
        <v>2810</v>
      </c>
      <c r="Q351" s="116">
        <v>2717</v>
      </c>
      <c r="R351">
        <v>21777</v>
      </c>
    </row>
    <row r="352" spans="1:18" x14ac:dyDescent="0.25">
      <c r="A352" s="170">
        <v>44795</v>
      </c>
      <c r="B352" s="116">
        <v>2740.05</v>
      </c>
      <c r="C352" s="116">
        <v>2696.4</v>
      </c>
      <c r="D352" s="116">
        <v>2651.9</v>
      </c>
      <c r="E352" s="116">
        <v>2651.9</v>
      </c>
      <c r="F352" s="116">
        <v>2696.4</v>
      </c>
      <c r="G352">
        <v>2257</v>
      </c>
      <c r="H352" s="116"/>
      <c r="I352" s="116"/>
      <c r="L352" s="170">
        <v>44795</v>
      </c>
      <c r="M352" s="116">
        <v>2702.15</v>
      </c>
      <c r="N352" s="116">
        <v>2740.35</v>
      </c>
      <c r="O352" s="116">
        <v>2675.35</v>
      </c>
      <c r="P352" s="116">
        <v>2723</v>
      </c>
      <c r="Q352" s="116">
        <v>2702.15</v>
      </c>
      <c r="R352">
        <v>12825</v>
      </c>
    </row>
    <row r="353" spans="1:18" x14ac:dyDescent="0.25">
      <c r="A353" s="170">
        <v>44796</v>
      </c>
      <c r="B353" s="116">
        <v>2775</v>
      </c>
      <c r="C353" s="116">
        <v>2644.45</v>
      </c>
      <c r="D353" s="116">
        <v>2608.9499999999998</v>
      </c>
      <c r="E353" s="116">
        <v>2651.9</v>
      </c>
      <c r="F353" s="116">
        <v>2644.45</v>
      </c>
      <c r="G353">
        <v>2947</v>
      </c>
      <c r="H353" s="116"/>
      <c r="I353" s="116"/>
      <c r="L353" s="170">
        <v>44796</v>
      </c>
      <c r="M353" s="116">
        <v>2645.9</v>
      </c>
      <c r="N353" s="116">
        <v>2774.1</v>
      </c>
      <c r="O353" s="116">
        <v>2607</v>
      </c>
      <c r="P353" s="116">
        <v>2677</v>
      </c>
      <c r="Q353" s="116">
        <v>2645.9</v>
      </c>
      <c r="R353">
        <v>85724</v>
      </c>
    </row>
    <row r="354" spans="1:18" x14ac:dyDescent="0.25">
      <c r="A354" s="170">
        <v>44797</v>
      </c>
      <c r="B354" s="116">
        <v>2672.95</v>
      </c>
      <c r="C354" s="116">
        <v>2633.85</v>
      </c>
      <c r="D354" s="116">
        <v>2611.1999999999998</v>
      </c>
      <c r="E354" s="116">
        <v>2666.5</v>
      </c>
      <c r="F354" s="116">
        <v>2633.85</v>
      </c>
      <c r="G354">
        <v>1259</v>
      </c>
      <c r="H354" s="116"/>
      <c r="I354" s="116"/>
      <c r="L354" s="170">
        <v>44797</v>
      </c>
      <c r="M354" s="116">
        <v>2639.35</v>
      </c>
      <c r="N354" s="116">
        <v>2673</v>
      </c>
      <c r="O354" s="116">
        <v>2616</v>
      </c>
      <c r="P354" s="116">
        <v>2650</v>
      </c>
      <c r="Q354" s="116">
        <v>2639.35</v>
      </c>
      <c r="R354">
        <v>19521</v>
      </c>
    </row>
    <row r="355" spans="1:18" x14ac:dyDescent="0.25">
      <c r="A355" s="170">
        <v>44798</v>
      </c>
      <c r="B355" s="116">
        <v>2659.8</v>
      </c>
      <c r="C355" s="116">
        <v>2625.25</v>
      </c>
      <c r="D355" s="116">
        <v>2603.9499999999998</v>
      </c>
      <c r="E355" s="116">
        <v>2648.05</v>
      </c>
      <c r="F355" s="116">
        <v>2625.25</v>
      </c>
      <c r="G355">
        <v>2046</v>
      </c>
      <c r="H355" s="116"/>
      <c r="I355" s="116"/>
      <c r="L355" s="170">
        <v>44798</v>
      </c>
      <c r="M355" s="116">
        <v>2615.85</v>
      </c>
      <c r="N355" s="116">
        <v>2660</v>
      </c>
      <c r="O355" s="116">
        <v>2601.1</v>
      </c>
      <c r="P355" s="116">
        <v>2655</v>
      </c>
      <c r="Q355" s="116">
        <v>2615.85</v>
      </c>
      <c r="R355">
        <v>30059</v>
      </c>
    </row>
    <row r="356" spans="1:18" x14ac:dyDescent="0.25">
      <c r="A356" s="170">
        <v>44799</v>
      </c>
      <c r="B356" s="116">
        <v>2656.45</v>
      </c>
      <c r="C356" s="116">
        <v>2595.0500000000002</v>
      </c>
      <c r="D356" s="116">
        <v>2584</v>
      </c>
      <c r="E356" s="116">
        <v>2635.7</v>
      </c>
      <c r="F356" s="116">
        <v>2595.0500000000002</v>
      </c>
      <c r="G356">
        <v>1997</v>
      </c>
      <c r="H356" s="116"/>
      <c r="I356" s="116"/>
      <c r="L356" s="170">
        <v>44799</v>
      </c>
      <c r="M356" s="116">
        <v>2596.35</v>
      </c>
      <c r="N356" s="116">
        <v>2659</v>
      </c>
      <c r="O356" s="116">
        <v>2585</v>
      </c>
      <c r="P356" s="116">
        <v>2659</v>
      </c>
      <c r="Q356" s="116">
        <v>2596.35</v>
      </c>
      <c r="R356">
        <v>28996</v>
      </c>
    </row>
    <row r="357" spans="1:18" x14ac:dyDescent="0.25">
      <c r="A357" s="170">
        <v>44802</v>
      </c>
      <c r="B357" s="116">
        <v>2657.45</v>
      </c>
      <c r="C357" s="116">
        <v>2636.6</v>
      </c>
      <c r="D357" s="116">
        <v>2464</v>
      </c>
      <c r="E357" s="116">
        <v>2584</v>
      </c>
      <c r="F357" s="116">
        <v>2636.6</v>
      </c>
      <c r="G357">
        <v>2198</v>
      </c>
      <c r="H357" s="116"/>
      <c r="I357" s="116"/>
      <c r="L357" s="170">
        <v>44802</v>
      </c>
      <c r="M357" s="116">
        <v>2635.05</v>
      </c>
      <c r="N357" s="116">
        <v>2660</v>
      </c>
      <c r="O357" s="116">
        <v>2502.3000000000002</v>
      </c>
      <c r="P357" s="116">
        <v>2575</v>
      </c>
      <c r="Q357" s="116">
        <v>2635.05</v>
      </c>
      <c r="R357">
        <v>24151</v>
      </c>
    </row>
    <row r="358" spans="1:18" x14ac:dyDescent="0.25">
      <c r="A358" s="170">
        <v>44803</v>
      </c>
      <c r="B358" s="116">
        <v>2693.65</v>
      </c>
      <c r="C358" s="116">
        <v>2612.5500000000002</v>
      </c>
      <c r="D358" s="116">
        <v>2585.25</v>
      </c>
      <c r="E358" s="116">
        <v>2654.3</v>
      </c>
      <c r="F358" s="116">
        <v>2612.5500000000002</v>
      </c>
      <c r="G358">
        <v>2419</v>
      </c>
      <c r="H358" s="116"/>
      <c r="I358" s="116"/>
      <c r="L358" s="170">
        <v>44803</v>
      </c>
      <c r="M358" s="116">
        <v>2606.6</v>
      </c>
      <c r="N358" s="116">
        <v>2679</v>
      </c>
      <c r="O358" s="116">
        <v>2593</v>
      </c>
      <c r="P358" s="116">
        <v>2679</v>
      </c>
      <c r="Q358" s="116">
        <v>2606.6</v>
      </c>
      <c r="R358">
        <v>25963</v>
      </c>
    </row>
    <row r="359" spans="1:18" x14ac:dyDescent="0.25">
      <c r="A359" s="170">
        <v>44805</v>
      </c>
      <c r="B359" s="116">
        <v>2656.45</v>
      </c>
      <c r="C359" s="116">
        <v>2635.05</v>
      </c>
      <c r="D359" s="116">
        <v>2608</v>
      </c>
      <c r="E359" s="116">
        <v>2620.4499999999998</v>
      </c>
      <c r="F359" s="116">
        <v>2635.05</v>
      </c>
      <c r="G359">
        <v>1875</v>
      </c>
      <c r="H359" s="116"/>
      <c r="I359" s="116"/>
      <c r="L359" s="170">
        <v>44805</v>
      </c>
      <c r="M359" s="116">
        <v>2641.2</v>
      </c>
      <c r="N359" s="116">
        <v>2660</v>
      </c>
      <c r="O359" s="116">
        <v>2585</v>
      </c>
      <c r="P359" s="116">
        <v>2600</v>
      </c>
      <c r="Q359" s="116">
        <v>2641.2</v>
      </c>
      <c r="R359">
        <v>21767</v>
      </c>
    </row>
    <row r="360" spans="1:18" x14ac:dyDescent="0.25">
      <c r="A360" s="170">
        <v>44806</v>
      </c>
      <c r="B360" s="116">
        <v>2695.1</v>
      </c>
      <c r="C360" s="116">
        <v>2642.2</v>
      </c>
      <c r="D360" s="116">
        <v>2580</v>
      </c>
      <c r="E360" s="116">
        <v>2580</v>
      </c>
      <c r="F360" s="116">
        <v>2642.2</v>
      </c>
      <c r="G360">
        <v>1230</v>
      </c>
      <c r="H360" s="116"/>
      <c r="I360" s="116"/>
      <c r="L360" s="170">
        <v>44806</v>
      </c>
      <c r="M360" s="116">
        <v>2644.5</v>
      </c>
      <c r="N360" s="116">
        <v>2697</v>
      </c>
      <c r="O360" s="116">
        <v>2632.6</v>
      </c>
      <c r="P360" s="116">
        <v>2648.55</v>
      </c>
      <c r="Q360" s="116">
        <v>2644.5</v>
      </c>
      <c r="R360">
        <v>115798</v>
      </c>
    </row>
    <row r="361" spans="1:18" x14ac:dyDescent="0.25">
      <c r="A361" s="170">
        <v>44809</v>
      </c>
      <c r="B361" s="116">
        <v>2660.85</v>
      </c>
      <c r="C361" s="116">
        <v>2641.4</v>
      </c>
      <c r="D361" s="116">
        <v>2620.25</v>
      </c>
      <c r="E361" s="116">
        <v>2642.2</v>
      </c>
      <c r="F361" s="116">
        <v>2641.4</v>
      </c>
      <c r="G361">
        <v>1134</v>
      </c>
      <c r="H361" s="116"/>
      <c r="I361" s="116"/>
      <c r="L361" s="170">
        <v>44809</v>
      </c>
      <c r="M361" s="116">
        <v>2644.55</v>
      </c>
      <c r="N361" s="116">
        <v>2660</v>
      </c>
      <c r="O361" s="116">
        <v>2620.9499999999998</v>
      </c>
      <c r="P361" s="116">
        <v>2659</v>
      </c>
      <c r="Q361" s="116">
        <v>2644.55</v>
      </c>
      <c r="R361">
        <v>37556</v>
      </c>
    </row>
    <row r="362" spans="1:18" x14ac:dyDescent="0.25">
      <c r="A362" s="170">
        <v>44810</v>
      </c>
      <c r="B362" s="116">
        <v>2693</v>
      </c>
      <c r="C362" s="116">
        <v>2661</v>
      </c>
      <c r="D362" s="116">
        <v>2626.7</v>
      </c>
      <c r="E362" s="116">
        <v>2641.5</v>
      </c>
      <c r="F362" s="116">
        <v>2661</v>
      </c>
      <c r="G362">
        <v>1077</v>
      </c>
      <c r="H362" s="116"/>
      <c r="I362" s="116"/>
      <c r="L362" s="170">
        <v>44810</v>
      </c>
      <c r="M362" s="116">
        <v>2671.45</v>
      </c>
      <c r="N362" s="116">
        <v>2695</v>
      </c>
      <c r="O362" s="116">
        <v>2625.05</v>
      </c>
      <c r="P362" s="116">
        <v>2655</v>
      </c>
      <c r="Q362" s="116">
        <v>2671.45</v>
      </c>
      <c r="R362">
        <v>49991</v>
      </c>
    </row>
    <row r="363" spans="1:18" x14ac:dyDescent="0.25">
      <c r="A363" s="170">
        <v>44811</v>
      </c>
      <c r="B363" s="116">
        <v>2671.45</v>
      </c>
      <c r="C363" s="116">
        <v>2645.1</v>
      </c>
      <c r="D363" s="116">
        <v>2625</v>
      </c>
      <c r="E363" s="116">
        <v>2667.65</v>
      </c>
      <c r="F363" s="116">
        <v>2645.1</v>
      </c>
      <c r="G363">
        <v>1229</v>
      </c>
      <c r="H363" s="116"/>
      <c r="I363" s="116"/>
      <c r="L363" s="170">
        <v>44811</v>
      </c>
      <c r="M363" s="116">
        <v>2639.25</v>
      </c>
      <c r="N363" s="116">
        <v>2675.05</v>
      </c>
      <c r="O363" s="116">
        <v>2625.25</v>
      </c>
      <c r="P363" s="116">
        <v>2665</v>
      </c>
      <c r="Q363" s="116">
        <v>2639.25</v>
      </c>
      <c r="R363">
        <v>39450</v>
      </c>
    </row>
    <row r="364" spans="1:18" x14ac:dyDescent="0.25">
      <c r="A364" s="170">
        <v>44812</v>
      </c>
      <c r="B364" s="116">
        <v>2838</v>
      </c>
      <c r="C364" s="116">
        <v>2805.9</v>
      </c>
      <c r="D364" s="116">
        <v>2637.5</v>
      </c>
      <c r="E364" s="116">
        <v>2645.15</v>
      </c>
      <c r="F364" s="116">
        <v>2805.9</v>
      </c>
      <c r="G364">
        <v>10100</v>
      </c>
      <c r="H364" s="116"/>
      <c r="I364" s="116"/>
      <c r="L364" s="170">
        <v>44812</v>
      </c>
      <c r="M364" s="116">
        <v>2778.05</v>
      </c>
      <c r="N364" s="116">
        <v>2840</v>
      </c>
      <c r="O364" s="116">
        <v>2638.15</v>
      </c>
      <c r="P364" s="116">
        <v>2657</v>
      </c>
      <c r="Q364" s="116">
        <v>2778.05</v>
      </c>
      <c r="R364">
        <v>113222</v>
      </c>
    </row>
    <row r="365" spans="1:18" x14ac:dyDescent="0.25">
      <c r="A365" s="170">
        <v>44813</v>
      </c>
      <c r="B365" s="116">
        <v>2847</v>
      </c>
      <c r="C365" s="116">
        <v>2784.8</v>
      </c>
      <c r="D365" s="116">
        <v>2730</v>
      </c>
      <c r="E365" s="116">
        <v>2809.95</v>
      </c>
      <c r="F365" s="116">
        <v>2784.8</v>
      </c>
      <c r="G365">
        <v>5988</v>
      </c>
      <c r="H365" s="116"/>
      <c r="I365" s="116"/>
      <c r="L365" s="170">
        <v>44813</v>
      </c>
      <c r="M365" s="116">
        <v>2787.4</v>
      </c>
      <c r="N365" s="116">
        <v>2848</v>
      </c>
      <c r="O365" s="116">
        <v>2757.3</v>
      </c>
      <c r="P365" s="116">
        <v>2787</v>
      </c>
      <c r="Q365" s="116">
        <v>2787.4</v>
      </c>
      <c r="R365">
        <v>84966</v>
      </c>
    </row>
    <row r="366" spans="1:18" x14ac:dyDescent="0.25">
      <c r="A366" s="170">
        <v>44816</v>
      </c>
      <c r="B366" s="116">
        <v>2849</v>
      </c>
      <c r="C366" s="116">
        <v>2789.55</v>
      </c>
      <c r="D366" s="116">
        <v>2770</v>
      </c>
      <c r="E366" s="116">
        <v>2800</v>
      </c>
      <c r="F366" s="116">
        <v>2789.55</v>
      </c>
      <c r="G366">
        <v>2653</v>
      </c>
      <c r="H366" s="116"/>
      <c r="I366" s="116"/>
      <c r="L366" s="170">
        <v>44816</v>
      </c>
      <c r="M366" s="116">
        <v>2787.55</v>
      </c>
      <c r="N366" s="116">
        <v>2850</v>
      </c>
      <c r="O366" s="116">
        <v>2769.35</v>
      </c>
      <c r="P366" s="116">
        <v>2828</v>
      </c>
      <c r="Q366" s="116">
        <v>2787.55</v>
      </c>
      <c r="R366">
        <v>38183</v>
      </c>
    </row>
    <row r="367" spans="1:18" x14ac:dyDescent="0.25">
      <c r="A367" s="170">
        <v>44817</v>
      </c>
      <c r="B367" s="116">
        <v>2879.55</v>
      </c>
      <c r="C367" s="116">
        <v>2765.55</v>
      </c>
      <c r="D367" s="116">
        <v>2704.05</v>
      </c>
      <c r="E367" s="116">
        <v>2704.05</v>
      </c>
      <c r="F367" s="116">
        <v>2765.55</v>
      </c>
      <c r="G367">
        <v>4394</v>
      </c>
      <c r="H367" s="116"/>
      <c r="I367" s="116"/>
      <c r="L367" s="170">
        <v>44817</v>
      </c>
      <c r="M367" s="116">
        <v>2767.45</v>
      </c>
      <c r="N367" s="116">
        <v>2878.8</v>
      </c>
      <c r="O367" s="116">
        <v>2748.65</v>
      </c>
      <c r="P367" s="116">
        <v>2787.55</v>
      </c>
      <c r="Q367" s="116">
        <v>2767.45</v>
      </c>
      <c r="R367">
        <v>72803</v>
      </c>
    </row>
    <row r="368" spans="1:18" x14ac:dyDescent="0.25">
      <c r="A368" s="170">
        <v>44818</v>
      </c>
      <c r="B368" s="116">
        <v>2803.65</v>
      </c>
      <c r="C368" s="116">
        <v>2764.9</v>
      </c>
      <c r="D368" s="116">
        <v>2701.05</v>
      </c>
      <c r="E368" s="116">
        <v>2701.05</v>
      </c>
      <c r="F368" s="116">
        <v>2764.9</v>
      </c>
      <c r="G368">
        <v>1973</v>
      </c>
      <c r="H368" s="116"/>
      <c r="I368" s="116"/>
      <c r="L368" s="170">
        <v>44818</v>
      </c>
      <c r="M368" s="116">
        <v>2768.4</v>
      </c>
      <c r="N368" s="116">
        <v>2801</v>
      </c>
      <c r="O368" s="116">
        <v>2736.8</v>
      </c>
      <c r="P368" s="116">
        <v>2760</v>
      </c>
      <c r="Q368" s="116">
        <v>2768.4</v>
      </c>
      <c r="R368">
        <v>26471</v>
      </c>
    </row>
    <row r="369" spans="1:18" x14ac:dyDescent="0.25">
      <c r="A369" s="170">
        <v>44819</v>
      </c>
      <c r="B369" s="116">
        <v>2843.85</v>
      </c>
      <c r="C369" s="116">
        <v>2811.55</v>
      </c>
      <c r="D369" s="116">
        <v>2780.8</v>
      </c>
      <c r="E369" s="116">
        <v>2784.4</v>
      </c>
      <c r="F369" s="116">
        <v>2811.55</v>
      </c>
      <c r="G369">
        <v>3546</v>
      </c>
      <c r="H369" s="116"/>
      <c r="I369" s="116"/>
      <c r="L369" s="170">
        <v>44819</v>
      </c>
      <c r="M369" s="116">
        <v>2810.2</v>
      </c>
      <c r="N369" s="116">
        <v>2845</v>
      </c>
      <c r="O369" s="116">
        <v>2770</v>
      </c>
      <c r="P369" s="116">
        <v>2786</v>
      </c>
      <c r="Q369" s="116">
        <v>2810.2</v>
      </c>
      <c r="R369">
        <v>44860</v>
      </c>
    </row>
    <row r="370" spans="1:18" x14ac:dyDescent="0.25">
      <c r="A370" s="170">
        <v>44820</v>
      </c>
      <c r="B370" s="116">
        <v>2831.25</v>
      </c>
      <c r="C370" s="116">
        <v>2767.45</v>
      </c>
      <c r="D370" s="116">
        <v>2750</v>
      </c>
      <c r="E370" s="116">
        <v>2807.75</v>
      </c>
      <c r="F370" s="116">
        <v>2767.45</v>
      </c>
      <c r="G370">
        <v>5170</v>
      </c>
      <c r="H370" s="116"/>
      <c r="I370" s="116"/>
      <c r="L370" s="170">
        <v>44820</v>
      </c>
      <c r="M370" s="116">
        <v>2768.4</v>
      </c>
      <c r="N370" s="116">
        <v>2835.1</v>
      </c>
      <c r="O370" s="116">
        <v>2750</v>
      </c>
      <c r="P370" s="116">
        <v>2819</v>
      </c>
      <c r="Q370" s="116">
        <v>2768.4</v>
      </c>
      <c r="R370">
        <v>36674</v>
      </c>
    </row>
    <row r="371" spans="1:18" x14ac:dyDescent="0.25">
      <c r="A371" s="170">
        <v>44823</v>
      </c>
      <c r="B371" s="116">
        <v>2877.95</v>
      </c>
      <c r="C371" s="116">
        <v>2808.15</v>
      </c>
      <c r="D371" s="116">
        <v>2760.4</v>
      </c>
      <c r="E371" s="116">
        <v>2760.4</v>
      </c>
      <c r="F371" s="116">
        <v>2808.15</v>
      </c>
      <c r="G371">
        <v>1990</v>
      </c>
      <c r="H371" s="116"/>
      <c r="I371" s="116"/>
      <c r="L371" s="170">
        <v>44823</v>
      </c>
      <c r="M371" s="116">
        <v>2806.95</v>
      </c>
      <c r="N371" s="116">
        <v>2875</v>
      </c>
      <c r="O371" s="116">
        <v>2756.3</v>
      </c>
      <c r="P371" s="116">
        <v>2770</v>
      </c>
      <c r="Q371" s="116">
        <v>2806.95</v>
      </c>
      <c r="R371">
        <v>48726</v>
      </c>
    </row>
    <row r="372" spans="1:18" x14ac:dyDescent="0.25">
      <c r="A372" s="170">
        <v>44824</v>
      </c>
      <c r="B372" s="116">
        <v>3005.1</v>
      </c>
      <c r="C372" s="116">
        <v>2854.45</v>
      </c>
      <c r="D372" s="116">
        <v>2810.65</v>
      </c>
      <c r="E372" s="116">
        <v>2835</v>
      </c>
      <c r="F372" s="116">
        <v>2854.45</v>
      </c>
      <c r="G372">
        <v>13642</v>
      </c>
      <c r="H372" s="116"/>
      <c r="I372" s="116"/>
      <c r="L372" s="170">
        <v>44824</v>
      </c>
      <c r="M372" s="116">
        <v>2854.2</v>
      </c>
      <c r="N372" s="116">
        <v>2994.85</v>
      </c>
      <c r="O372" s="116">
        <v>2815.55</v>
      </c>
      <c r="P372" s="116">
        <v>2820</v>
      </c>
      <c r="Q372" s="116">
        <v>2854.2</v>
      </c>
      <c r="R372">
        <v>176379</v>
      </c>
    </row>
    <row r="373" spans="1:18" x14ac:dyDescent="0.25">
      <c r="A373" s="170">
        <v>44825</v>
      </c>
      <c r="B373" s="116">
        <v>2898.4</v>
      </c>
      <c r="C373" s="116">
        <v>2827.4</v>
      </c>
      <c r="D373" s="116">
        <v>2783</v>
      </c>
      <c r="E373" s="116">
        <v>2853</v>
      </c>
      <c r="F373" s="116">
        <v>2827.4</v>
      </c>
      <c r="G373">
        <v>4732</v>
      </c>
      <c r="H373" s="116"/>
      <c r="I373" s="116"/>
      <c r="L373" s="170">
        <v>44825</v>
      </c>
      <c r="M373" s="116">
        <v>2816.95</v>
      </c>
      <c r="N373" s="116">
        <v>2898.75</v>
      </c>
      <c r="O373" s="116">
        <v>2800</v>
      </c>
      <c r="P373" s="116">
        <v>2853</v>
      </c>
      <c r="Q373" s="116">
        <v>2816.95</v>
      </c>
      <c r="R373">
        <v>32518</v>
      </c>
    </row>
    <row r="374" spans="1:18" x14ac:dyDescent="0.25">
      <c r="A374" s="170">
        <v>44826</v>
      </c>
      <c r="B374" s="116">
        <v>2885.3</v>
      </c>
      <c r="C374" s="116">
        <v>2814.2</v>
      </c>
      <c r="D374" s="116">
        <v>2769.25</v>
      </c>
      <c r="E374" s="116">
        <v>2783.2</v>
      </c>
      <c r="F374" s="116">
        <v>2814.2</v>
      </c>
      <c r="G374">
        <v>4173</v>
      </c>
      <c r="H374" s="116"/>
      <c r="I374" s="116"/>
      <c r="L374" s="170">
        <v>44826</v>
      </c>
      <c r="M374" s="116">
        <v>2816.45</v>
      </c>
      <c r="N374" s="116">
        <v>2884.7</v>
      </c>
      <c r="O374" s="116">
        <v>2777</v>
      </c>
      <c r="P374" s="116">
        <v>2809.5</v>
      </c>
      <c r="Q374" s="116">
        <v>2816.45</v>
      </c>
      <c r="R374">
        <v>33709</v>
      </c>
    </row>
    <row r="375" spans="1:18" x14ac:dyDescent="0.25">
      <c r="A375" s="170">
        <v>44827</v>
      </c>
      <c r="B375" s="116">
        <v>2831.2</v>
      </c>
      <c r="C375" s="116">
        <v>2699.5</v>
      </c>
      <c r="D375" s="116">
        <v>2671</v>
      </c>
      <c r="E375" s="116">
        <v>2800</v>
      </c>
      <c r="F375" s="116">
        <v>2699.5</v>
      </c>
      <c r="G375">
        <v>2347</v>
      </c>
      <c r="H375" s="116"/>
      <c r="I375" s="116"/>
      <c r="L375" s="170">
        <v>44827</v>
      </c>
      <c r="M375" s="116">
        <v>2701.85</v>
      </c>
      <c r="N375" s="116">
        <v>2839.9</v>
      </c>
      <c r="O375" s="116">
        <v>2670</v>
      </c>
      <c r="P375" s="116">
        <v>2839.9</v>
      </c>
      <c r="Q375" s="116">
        <v>2701.85</v>
      </c>
      <c r="R375">
        <v>45263</v>
      </c>
    </row>
    <row r="376" spans="1:18" x14ac:dyDescent="0.25">
      <c r="A376" s="170">
        <v>44830</v>
      </c>
      <c r="B376" s="116">
        <v>2752.45</v>
      </c>
      <c r="C376" s="116">
        <v>2732.75</v>
      </c>
      <c r="D376" s="116">
        <v>2611.0500000000002</v>
      </c>
      <c r="E376" s="116">
        <v>2611.0500000000002</v>
      </c>
      <c r="F376" s="116">
        <v>2732.75</v>
      </c>
      <c r="G376">
        <v>3161</v>
      </c>
      <c r="H376" s="116"/>
      <c r="I376" s="116"/>
      <c r="L376" s="170">
        <v>44830</v>
      </c>
      <c r="M376" s="116">
        <v>2732.3</v>
      </c>
      <c r="N376" s="116">
        <v>2752</v>
      </c>
      <c r="O376" s="116">
        <v>2630</v>
      </c>
      <c r="P376" s="116">
        <v>2701.85</v>
      </c>
      <c r="Q376" s="116">
        <v>2732.3</v>
      </c>
      <c r="R376">
        <v>40245</v>
      </c>
    </row>
    <row r="377" spans="1:18" x14ac:dyDescent="0.25">
      <c r="A377" s="170">
        <v>44831</v>
      </c>
      <c r="B377" s="116">
        <v>2775.9</v>
      </c>
      <c r="C377" s="116">
        <v>2725.4</v>
      </c>
      <c r="D377" s="116">
        <v>2705</v>
      </c>
      <c r="E377" s="116">
        <v>2775.9</v>
      </c>
      <c r="F377" s="116">
        <v>2725.4</v>
      </c>
      <c r="G377">
        <v>2796</v>
      </c>
      <c r="H377" s="116"/>
      <c r="I377" s="116"/>
      <c r="L377" s="170">
        <v>44831</v>
      </c>
      <c r="M377" s="116">
        <v>2728.05</v>
      </c>
      <c r="N377" s="116">
        <v>2800</v>
      </c>
      <c r="O377" s="116">
        <v>2706.6</v>
      </c>
      <c r="P377" s="116">
        <v>2789.9</v>
      </c>
      <c r="Q377" s="116">
        <v>2728.05</v>
      </c>
      <c r="R377">
        <v>19444</v>
      </c>
    </row>
    <row r="378" spans="1:18" x14ac:dyDescent="0.25">
      <c r="A378" s="170">
        <v>44832</v>
      </c>
      <c r="B378" s="116">
        <v>2745.75</v>
      </c>
      <c r="C378" s="116">
        <v>2699.3</v>
      </c>
      <c r="D378" s="116">
        <v>2662.1</v>
      </c>
      <c r="E378" s="116">
        <v>2723.2</v>
      </c>
      <c r="F378" s="116">
        <v>2699.3</v>
      </c>
      <c r="G378">
        <v>868</v>
      </c>
      <c r="H378" s="116"/>
      <c r="I378" s="116"/>
      <c r="L378" s="170">
        <v>44832</v>
      </c>
      <c r="M378" s="116">
        <v>2711.55</v>
      </c>
      <c r="N378" s="116">
        <v>2750</v>
      </c>
      <c r="O378" s="116">
        <v>2675.35</v>
      </c>
      <c r="P378" s="116">
        <v>2728.05</v>
      </c>
      <c r="Q378" s="116">
        <v>2711.55</v>
      </c>
      <c r="R378">
        <v>14798</v>
      </c>
    </row>
    <row r="379" spans="1:18" x14ac:dyDescent="0.25">
      <c r="A379" s="170">
        <v>44833</v>
      </c>
      <c r="B379" s="116">
        <v>2744.45</v>
      </c>
      <c r="C379" s="116">
        <v>2731.75</v>
      </c>
      <c r="D379" s="116">
        <v>2657.35</v>
      </c>
      <c r="E379" s="116">
        <v>2657.35</v>
      </c>
      <c r="F379" s="116">
        <v>2731.75</v>
      </c>
      <c r="G379">
        <v>1970</v>
      </c>
      <c r="H379" s="116"/>
      <c r="I379" s="116"/>
      <c r="L379" s="170">
        <v>44833</v>
      </c>
      <c r="M379" s="116">
        <v>2728.05</v>
      </c>
      <c r="N379" s="116">
        <v>2759.8</v>
      </c>
      <c r="O379" s="116">
        <v>2704.25</v>
      </c>
      <c r="P379" s="116">
        <v>2734</v>
      </c>
      <c r="Q379" s="116">
        <v>2728.05</v>
      </c>
      <c r="R379">
        <v>19124</v>
      </c>
    </row>
    <row r="380" spans="1:18" x14ac:dyDescent="0.25">
      <c r="A380" s="170">
        <v>44834</v>
      </c>
      <c r="B380" s="116">
        <v>2774.3</v>
      </c>
      <c r="C380" s="116">
        <v>2755.25</v>
      </c>
      <c r="D380" s="116">
        <v>2718.55</v>
      </c>
      <c r="E380" s="116">
        <v>2730.95</v>
      </c>
      <c r="F380" s="116">
        <v>2755.25</v>
      </c>
      <c r="G380">
        <v>1600</v>
      </c>
      <c r="H380" s="116"/>
      <c r="I380" s="116"/>
      <c r="L380" s="170">
        <v>44834</v>
      </c>
      <c r="M380" s="116">
        <v>2769.75</v>
      </c>
      <c r="N380" s="116">
        <v>2780</v>
      </c>
      <c r="O380" s="116">
        <v>2719.7</v>
      </c>
      <c r="P380" s="116">
        <v>2730.85</v>
      </c>
      <c r="Q380" s="116">
        <v>2769.75</v>
      </c>
      <c r="R380">
        <v>42899</v>
      </c>
    </row>
    <row r="381" spans="1:18" x14ac:dyDescent="0.25">
      <c r="A381" s="170">
        <v>44837</v>
      </c>
      <c r="B381" s="116">
        <v>2847.45</v>
      </c>
      <c r="C381" s="116">
        <v>2743.55</v>
      </c>
      <c r="D381" s="116">
        <v>2717.35</v>
      </c>
      <c r="E381" s="116">
        <v>2722.05</v>
      </c>
      <c r="F381" s="116">
        <v>2743.55</v>
      </c>
      <c r="G381">
        <v>3338</v>
      </c>
      <c r="H381" s="116"/>
      <c r="I381" s="116"/>
      <c r="L381" s="170">
        <v>44837</v>
      </c>
      <c r="M381" s="116">
        <v>2745.3</v>
      </c>
      <c r="N381" s="116">
        <v>2848.1</v>
      </c>
      <c r="O381" s="116">
        <v>2730</v>
      </c>
      <c r="P381" s="116">
        <v>2775</v>
      </c>
      <c r="Q381" s="116">
        <v>2745.3</v>
      </c>
      <c r="R381">
        <v>27511</v>
      </c>
    </row>
    <row r="382" spans="1:18" x14ac:dyDescent="0.25">
      <c r="A382" s="170">
        <v>44838</v>
      </c>
      <c r="B382" s="116">
        <v>2849.9</v>
      </c>
      <c r="C382" s="116">
        <v>2818.65</v>
      </c>
      <c r="D382" s="116">
        <v>2739.05</v>
      </c>
      <c r="E382" s="116">
        <v>2739.05</v>
      </c>
      <c r="F382" s="116">
        <v>2818.65</v>
      </c>
      <c r="G382">
        <v>1980</v>
      </c>
      <c r="H382" s="116"/>
      <c r="I382" s="116"/>
      <c r="L382" s="170">
        <v>44838</v>
      </c>
      <c r="M382" s="116">
        <v>2820.95</v>
      </c>
      <c r="N382" s="116">
        <v>2850</v>
      </c>
      <c r="O382" s="116">
        <v>2769.65</v>
      </c>
      <c r="P382" s="116">
        <v>2777.9</v>
      </c>
      <c r="Q382" s="116">
        <v>2820.95</v>
      </c>
      <c r="R382">
        <v>20225</v>
      </c>
    </row>
    <row r="383" spans="1:18" x14ac:dyDescent="0.25">
      <c r="A383" s="170">
        <v>44840</v>
      </c>
      <c r="B383" s="116">
        <v>2869.05</v>
      </c>
      <c r="C383" s="116">
        <v>2849.45</v>
      </c>
      <c r="D383" s="116">
        <v>2795.05</v>
      </c>
      <c r="E383" s="116">
        <v>2820</v>
      </c>
      <c r="F383" s="116">
        <v>2849.45</v>
      </c>
      <c r="G383">
        <v>1518</v>
      </c>
      <c r="H383" s="116"/>
      <c r="I383" s="116"/>
      <c r="L383" s="170">
        <v>44840</v>
      </c>
      <c r="M383" s="116">
        <v>2845.35</v>
      </c>
      <c r="N383" s="116">
        <v>2875</v>
      </c>
      <c r="O383" s="116">
        <v>2787.85</v>
      </c>
      <c r="P383" s="116">
        <v>2843.1</v>
      </c>
      <c r="Q383" s="116">
        <v>2845.35</v>
      </c>
      <c r="R383">
        <v>22638</v>
      </c>
    </row>
    <row r="384" spans="1:18" x14ac:dyDescent="0.25">
      <c r="A384" s="170">
        <v>44841</v>
      </c>
      <c r="B384" s="116">
        <v>2948.2</v>
      </c>
      <c r="C384" s="116">
        <v>2903.5</v>
      </c>
      <c r="D384" s="116">
        <v>2833.15</v>
      </c>
      <c r="E384" s="116">
        <v>2840.35</v>
      </c>
      <c r="F384" s="116">
        <v>2903.5</v>
      </c>
      <c r="G384">
        <v>4047</v>
      </c>
      <c r="H384" s="116"/>
      <c r="I384" s="116"/>
      <c r="L384" s="170">
        <v>44841</v>
      </c>
      <c r="M384" s="116">
        <v>2899.4</v>
      </c>
      <c r="N384" s="116">
        <v>2949</v>
      </c>
      <c r="O384" s="116">
        <v>2830.55</v>
      </c>
      <c r="P384" s="116">
        <v>2845.35</v>
      </c>
      <c r="Q384" s="116">
        <v>2899.4</v>
      </c>
      <c r="R384">
        <v>39500</v>
      </c>
    </row>
    <row r="385" spans="1:18" x14ac:dyDescent="0.25">
      <c r="A385" s="170">
        <v>44844</v>
      </c>
      <c r="B385" s="116">
        <v>2975</v>
      </c>
      <c r="C385" s="116">
        <v>2911.4</v>
      </c>
      <c r="D385" s="116">
        <v>2844.65</v>
      </c>
      <c r="E385" s="116">
        <v>2851.05</v>
      </c>
      <c r="F385" s="116">
        <v>2911.4</v>
      </c>
      <c r="G385">
        <v>4921</v>
      </c>
      <c r="H385" s="116"/>
      <c r="I385" s="116"/>
      <c r="L385" s="170">
        <v>44844</v>
      </c>
      <c r="M385" s="116">
        <v>2901.2</v>
      </c>
      <c r="N385" s="116">
        <v>2975.2</v>
      </c>
      <c r="O385" s="116">
        <v>2846.15</v>
      </c>
      <c r="P385" s="116">
        <v>2895</v>
      </c>
      <c r="Q385" s="116">
        <v>2901.2</v>
      </c>
      <c r="R385">
        <v>23747</v>
      </c>
    </row>
    <row r="386" spans="1:18" x14ac:dyDescent="0.25">
      <c r="A386" s="170">
        <v>44845</v>
      </c>
      <c r="B386" s="116">
        <v>2975</v>
      </c>
      <c r="C386" s="116">
        <v>2760.75</v>
      </c>
      <c r="D386" s="116">
        <v>2720.45</v>
      </c>
      <c r="E386" s="116">
        <v>2918.45</v>
      </c>
      <c r="F386" s="116">
        <v>2760.75</v>
      </c>
      <c r="G386">
        <v>4873</v>
      </c>
      <c r="H386" s="116"/>
      <c r="I386" s="116"/>
      <c r="L386" s="170">
        <v>44845</v>
      </c>
      <c r="M386" s="116">
        <v>2764.65</v>
      </c>
      <c r="N386" s="116">
        <v>2945</v>
      </c>
      <c r="O386" s="116">
        <v>2750</v>
      </c>
      <c r="P386" s="116">
        <v>2904.3</v>
      </c>
      <c r="Q386" s="116">
        <v>2764.65</v>
      </c>
      <c r="R386">
        <v>41130</v>
      </c>
    </row>
    <row r="387" spans="1:18" x14ac:dyDescent="0.25">
      <c r="A387" s="170">
        <v>44846</v>
      </c>
      <c r="B387" s="116">
        <v>2793.9</v>
      </c>
      <c r="C387" s="116">
        <v>2767.15</v>
      </c>
      <c r="D387" s="116">
        <v>2750.1</v>
      </c>
      <c r="E387" s="116">
        <v>2760</v>
      </c>
      <c r="F387" s="116">
        <v>2767.15</v>
      </c>
      <c r="G387">
        <v>2525</v>
      </c>
      <c r="H387" s="116"/>
      <c r="I387" s="116"/>
      <c r="L387" s="170">
        <v>44846</v>
      </c>
      <c r="M387" s="116">
        <v>2771</v>
      </c>
      <c r="N387" s="116">
        <v>2798.95</v>
      </c>
      <c r="O387" s="116">
        <v>2750</v>
      </c>
      <c r="P387" s="116">
        <v>2792.25</v>
      </c>
      <c r="Q387" s="116">
        <v>2771</v>
      </c>
      <c r="R387">
        <v>11522</v>
      </c>
    </row>
    <row r="388" spans="1:18" x14ac:dyDescent="0.25">
      <c r="A388" s="170">
        <v>44847</v>
      </c>
      <c r="B388" s="116">
        <v>2784.95</v>
      </c>
      <c r="C388" s="116">
        <v>2748.55</v>
      </c>
      <c r="D388" s="116">
        <v>2733.9</v>
      </c>
      <c r="E388" s="116">
        <v>2769.6</v>
      </c>
      <c r="F388" s="116">
        <v>2748.55</v>
      </c>
      <c r="G388">
        <v>1508</v>
      </c>
      <c r="H388" s="116"/>
      <c r="I388" s="116"/>
      <c r="L388" s="170">
        <v>44847</v>
      </c>
      <c r="M388" s="116">
        <v>2748.6</v>
      </c>
      <c r="N388" s="116">
        <v>2789</v>
      </c>
      <c r="O388" s="116">
        <v>2732.25</v>
      </c>
      <c r="P388" s="116">
        <v>2761.1</v>
      </c>
      <c r="Q388" s="116">
        <v>2748.6</v>
      </c>
      <c r="R388">
        <v>7791</v>
      </c>
    </row>
    <row r="389" spans="1:18" x14ac:dyDescent="0.25">
      <c r="A389" s="170">
        <v>44848</v>
      </c>
      <c r="B389" s="116">
        <v>2793.9</v>
      </c>
      <c r="C389" s="116">
        <v>2763.35</v>
      </c>
      <c r="D389" s="116">
        <v>2751.25</v>
      </c>
      <c r="E389" s="116">
        <v>2786.95</v>
      </c>
      <c r="F389" s="116">
        <v>2763.35</v>
      </c>
      <c r="G389">
        <v>749</v>
      </c>
      <c r="H389" s="116"/>
      <c r="I389" s="116"/>
      <c r="L389" s="170">
        <v>44848</v>
      </c>
      <c r="M389" s="116">
        <v>2770</v>
      </c>
      <c r="N389" s="116">
        <v>2810</v>
      </c>
      <c r="O389" s="116">
        <v>2750</v>
      </c>
      <c r="P389" s="116">
        <v>2799.8</v>
      </c>
      <c r="Q389" s="116">
        <v>2770</v>
      </c>
      <c r="R389">
        <v>10977</v>
      </c>
    </row>
    <row r="390" spans="1:18" x14ac:dyDescent="0.25">
      <c r="A390" s="170">
        <v>44851</v>
      </c>
      <c r="B390" s="116">
        <v>2951.15</v>
      </c>
      <c r="C390" s="116">
        <v>2808.55</v>
      </c>
      <c r="D390" s="116">
        <v>2769.25</v>
      </c>
      <c r="E390" s="116">
        <v>2771</v>
      </c>
      <c r="F390" s="116">
        <v>2808.55</v>
      </c>
      <c r="G390">
        <v>6475</v>
      </c>
      <c r="H390" s="116"/>
      <c r="I390" s="116"/>
      <c r="L390" s="170">
        <v>44851</v>
      </c>
      <c r="M390" s="116">
        <v>2813.4</v>
      </c>
      <c r="N390" s="116">
        <v>2953</v>
      </c>
      <c r="O390" s="116">
        <v>2744</v>
      </c>
      <c r="P390" s="116">
        <v>2744</v>
      </c>
      <c r="Q390" s="116">
        <v>2813.4</v>
      </c>
      <c r="R390">
        <v>143420</v>
      </c>
    </row>
    <row r="391" spans="1:18" x14ac:dyDescent="0.25">
      <c r="A391" s="170">
        <v>44852</v>
      </c>
      <c r="B391" s="116">
        <v>2898.45</v>
      </c>
      <c r="C391" s="116">
        <v>2780.3</v>
      </c>
      <c r="D391" s="116">
        <v>2770</v>
      </c>
      <c r="E391" s="116">
        <v>2898.45</v>
      </c>
      <c r="F391" s="116">
        <v>2780.3</v>
      </c>
      <c r="G391">
        <v>2571</v>
      </c>
      <c r="H391" s="116"/>
      <c r="I391" s="116"/>
      <c r="L391" s="170">
        <v>44852</v>
      </c>
      <c r="M391" s="116">
        <v>2779.85</v>
      </c>
      <c r="N391" s="116">
        <v>2865</v>
      </c>
      <c r="O391" s="116">
        <v>2760.7</v>
      </c>
      <c r="P391" s="116">
        <v>2858</v>
      </c>
      <c r="Q391" s="116">
        <v>2779.85</v>
      </c>
      <c r="R391">
        <v>40611</v>
      </c>
    </row>
    <row r="392" spans="1:18" x14ac:dyDescent="0.25">
      <c r="A392" s="170">
        <v>44853</v>
      </c>
      <c r="B392" s="116">
        <v>2950.05</v>
      </c>
      <c r="C392" s="116">
        <v>2934.8</v>
      </c>
      <c r="D392" s="116">
        <v>2764.65</v>
      </c>
      <c r="E392" s="116">
        <v>2849.7</v>
      </c>
      <c r="F392" s="116">
        <v>2934.8</v>
      </c>
      <c r="G392">
        <v>6313</v>
      </c>
      <c r="H392" s="116"/>
      <c r="I392" s="116"/>
      <c r="L392" s="170">
        <v>44853</v>
      </c>
      <c r="M392" s="116">
        <v>2935.7</v>
      </c>
      <c r="N392" s="116">
        <v>2954.8</v>
      </c>
      <c r="O392" s="116">
        <v>2767.55</v>
      </c>
      <c r="P392" s="116">
        <v>2819.95</v>
      </c>
      <c r="Q392" s="116">
        <v>2935.7</v>
      </c>
      <c r="R392">
        <v>99028</v>
      </c>
    </row>
    <row r="393" spans="1:18" x14ac:dyDescent="0.25">
      <c r="A393" s="170">
        <v>44854</v>
      </c>
      <c r="B393" s="116">
        <v>3067.15</v>
      </c>
      <c r="C393" s="116">
        <v>2957.8</v>
      </c>
      <c r="D393" s="116">
        <v>2946.95</v>
      </c>
      <c r="E393" s="116">
        <v>2989.95</v>
      </c>
      <c r="F393" s="116">
        <v>2957.8</v>
      </c>
      <c r="G393">
        <v>5210</v>
      </c>
      <c r="H393" s="116"/>
      <c r="I393" s="116"/>
      <c r="L393" s="170">
        <v>44854</v>
      </c>
      <c r="M393" s="116">
        <v>2959.6</v>
      </c>
      <c r="N393" s="116">
        <v>3068</v>
      </c>
      <c r="O393" s="116">
        <v>2945</v>
      </c>
      <c r="P393" s="116">
        <v>2980</v>
      </c>
      <c r="Q393" s="116">
        <v>2959.6</v>
      </c>
      <c r="R393">
        <v>115723</v>
      </c>
    </row>
    <row r="394" spans="1:18" x14ac:dyDescent="0.25">
      <c r="A394" s="170">
        <v>44855</v>
      </c>
      <c r="B394" s="116">
        <v>2988.7</v>
      </c>
      <c r="C394" s="116">
        <v>2890.15</v>
      </c>
      <c r="D394" s="116">
        <v>2865.05</v>
      </c>
      <c r="E394" s="116">
        <v>2988.7</v>
      </c>
      <c r="F394" s="116">
        <v>2890.15</v>
      </c>
      <c r="G394">
        <v>2451</v>
      </c>
      <c r="H394" s="116"/>
      <c r="I394" s="116"/>
      <c r="L394" s="170">
        <v>44855</v>
      </c>
      <c r="M394" s="116">
        <v>2881.9</v>
      </c>
      <c r="N394" s="116">
        <v>3000</v>
      </c>
      <c r="O394" s="116">
        <v>2861.1</v>
      </c>
      <c r="P394" s="116">
        <v>2993.6</v>
      </c>
      <c r="Q394" s="116">
        <v>2881.9</v>
      </c>
      <c r="R394">
        <v>47266</v>
      </c>
    </row>
    <row r="395" spans="1:18" x14ac:dyDescent="0.25">
      <c r="A395" s="170">
        <v>44858</v>
      </c>
      <c r="B395" s="116">
        <v>3060</v>
      </c>
      <c r="C395" s="116">
        <v>3033.35</v>
      </c>
      <c r="D395" s="116">
        <v>2900</v>
      </c>
      <c r="E395" s="116">
        <v>2900</v>
      </c>
      <c r="F395" s="116">
        <v>3033.35</v>
      </c>
      <c r="G395">
        <v>4607</v>
      </c>
      <c r="H395" s="116"/>
      <c r="I395" s="116"/>
      <c r="L395" s="170">
        <v>44858</v>
      </c>
      <c r="M395" s="116">
        <v>3031.5</v>
      </c>
      <c r="N395" s="116">
        <v>3064</v>
      </c>
      <c r="O395" s="116">
        <v>2925</v>
      </c>
      <c r="P395" s="116">
        <v>2925</v>
      </c>
      <c r="Q395" s="116">
        <v>3031.5</v>
      </c>
      <c r="R395">
        <v>35676</v>
      </c>
    </row>
    <row r="396" spans="1:18" x14ac:dyDescent="0.25">
      <c r="A396" s="170">
        <v>44859</v>
      </c>
      <c r="B396" s="116">
        <v>3049.25</v>
      </c>
      <c r="C396" s="116">
        <v>2963.6</v>
      </c>
      <c r="D396" s="116">
        <v>2942.9</v>
      </c>
      <c r="E396" s="116">
        <v>3049.25</v>
      </c>
      <c r="F396" s="116">
        <v>2963.6</v>
      </c>
      <c r="G396">
        <v>6094</v>
      </c>
      <c r="H396" s="116"/>
      <c r="I396" s="116"/>
      <c r="L396" s="170">
        <v>44859</v>
      </c>
      <c r="M396" s="116">
        <v>2964.6</v>
      </c>
      <c r="N396" s="116">
        <v>3045</v>
      </c>
      <c r="O396" s="116">
        <v>2942.65</v>
      </c>
      <c r="P396" s="116">
        <v>3030</v>
      </c>
      <c r="Q396" s="116">
        <v>2964.6</v>
      </c>
      <c r="R396">
        <v>94832</v>
      </c>
    </row>
    <row r="397" spans="1:18" x14ac:dyDescent="0.25">
      <c r="A397" s="170">
        <v>44861</v>
      </c>
      <c r="B397" s="116">
        <v>3008.35</v>
      </c>
      <c r="C397" s="116">
        <v>2984.1</v>
      </c>
      <c r="D397" s="116">
        <v>2955</v>
      </c>
      <c r="E397" s="116">
        <v>2999.9</v>
      </c>
      <c r="F397" s="116">
        <v>2984.1</v>
      </c>
      <c r="G397">
        <v>1508</v>
      </c>
      <c r="H397" s="116"/>
      <c r="I397" s="116"/>
      <c r="L397" s="170">
        <v>44861</v>
      </c>
      <c r="M397" s="116">
        <v>2984.85</v>
      </c>
      <c r="N397" s="116">
        <v>3008.75</v>
      </c>
      <c r="O397" s="116">
        <v>2950</v>
      </c>
      <c r="P397" s="116">
        <v>2979</v>
      </c>
      <c r="Q397" s="116">
        <v>2984.85</v>
      </c>
      <c r="R397">
        <v>36185</v>
      </c>
    </row>
    <row r="398" spans="1:18" x14ac:dyDescent="0.25">
      <c r="A398" s="170">
        <v>44862</v>
      </c>
      <c r="B398" s="116">
        <v>3127.4</v>
      </c>
      <c r="C398" s="116">
        <v>3091.95</v>
      </c>
      <c r="D398" s="116">
        <v>2994.65</v>
      </c>
      <c r="E398" s="116">
        <v>3051</v>
      </c>
      <c r="F398" s="116">
        <v>3091.95</v>
      </c>
      <c r="G398">
        <v>2248</v>
      </c>
      <c r="H398" s="116"/>
      <c r="I398" s="116"/>
      <c r="L398" s="170">
        <v>44862</v>
      </c>
      <c r="M398" s="116">
        <v>3099.1</v>
      </c>
      <c r="N398" s="116">
        <v>3127.25</v>
      </c>
      <c r="O398" s="116">
        <v>2982.05</v>
      </c>
      <c r="P398" s="116">
        <v>2990</v>
      </c>
      <c r="Q398" s="116">
        <v>3099.1</v>
      </c>
      <c r="R398">
        <v>71175</v>
      </c>
    </row>
    <row r="399" spans="1:18" x14ac:dyDescent="0.25">
      <c r="A399" s="170">
        <v>44865</v>
      </c>
      <c r="B399" s="116">
        <v>3194.2</v>
      </c>
      <c r="C399" s="116">
        <v>3147.75</v>
      </c>
      <c r="D399" s="116">
        <v>3105.15</v>
      </c>
      <c r="E399" s="116">
        <v>3139.45</v>
      </c>
      <c r="F399" s="116">
        <v>3147.75</v>
      </c>
      <c r="G399">
        <v>3034</v>
      </c>
      <c r="H399" s="116"/>
      <c r="I399" s="116"/>
      <c r="L399" s="170">
        <v>44865</v>
      </c>
      <c r="M399" s="116">
        <v>3142.55</v>
      </c>
      <c r="N399" s="116">
        <v>3199</v>
      </c>
      <c r="O399" s="116">
        <v>3100.75</v>
      </c>
      <c r="P399" s="116">
        <v>3125.05</v>
      </c>
      <c r="Q399" s="116">
        <v>3142.55</v>
      </c>
      <c r="R399">
        <v>82444</v>
      </c>
    </row>
    <row r="400" spans="1:18" x14ac:dyDescent="0.25">
      <c r="A400" s="170">
        <v>44866</v>
      </c>
      <c r="B400" s="116">
        <v>3218</v>
      </c>
      <c r="C400" s="116">
        <v>3082.7</v>
      </c>
      <c r="D400" s="116">
        <v>3051</v>
      </c>
      <c r="E400" s="116">
        <v>3174.2</v>
      </c>
      <c r="F400" s="116">
        <v>3082.7</v>
      </c>
      <c r="G400">
        <v>7280</v>
      </c>
      <c r="H400" s="116"/>
      <c r="I400" s="116"/>
      <c r="L400" s="170">
        <v>44866</v>
      </c>
      <c r="M400" s="116">
        <v>3088.25</v>
      </c>
      <c r="N400" s="116">
        <v>3222.2</v>
      </c>
      <c r="O400" s="116">
        <v>3051.1</v>
      </c>
      <c r="P400" s="116">
        <v>3140</v>
      </c>
      <c r="Q400" s="116">
        <v>3088.25</v>
      </c>
      <c r="R400">
        <v>48531</v>
      </c>
    </row>
    <row r="401" spans="1:18" x14ac:dyDescent="0.25">
      <c r="A401" s="170">
        <v>44867</v>
      </c>
      <c r="B401" s="116">
        <v>3185.95</v>
      </c>
      <c r="C401" s="116">
        <v>3147.55</v>
      </c>
      <c r="D401" s="116">
        <v>3116.3</v>
      </c>
      <c r="E401" s="116">
        <v>3134.25</v>
      </c>
      <c r="F401" s="116">
        <v>3147.55</v>
      </c>
      <c r="G401">
        <v>3452</v>
      </c>
      <c r="H401" s="116"/>
      <c r="I401" s="116"/>
      <c r="L401" s="170">
        <v>44867</v>
      </c>
      <c r="M401" s="116">
        <v>3145.9</v>
      </c>
      <c r="N401" s="116">
        <v>3188</v>
      </c>
      <c r="O401" s="116">
        <v>3100.7</v>
      </c>
      <c r="P401" s="116">
        <v>3112.95</v>
      </c>
      <c r="Q401" s="116">
        <v>3145.9</v>
      </c>
      <c r="R401">
        <v>67401</v>
      </c>
    </row>
    <row r="402" spans="1:18" x14ac:dyDescent="0.25">
      <c r="A402" s="170">
        <v>44868</v>
      </c>
      <c r="B402" s="116">
        <v>3171</v>
      </c>
      <c r="C402" s="116">
        <v>3138.15</v>
      </c>
      <c r="D402" s="116">
        <v>3111.35</v>
      </c>
      <c r="E402" s="116">
        <v>3111.35</v>
      </c>
      <c r="F402" s="116">
        <v>3138.15</v>
      </c>
      <c r="G402">
        <v>4377</v>
      </c>
      <c r="H402" s="116"/>
      <c r="I402" s="116"/>
      <c r="L402" s="170">
        <v>44868</v>
      </c>
      <c r="M402" s="116">
        <v>3140.35</v>
      </c>
      <c r="N402" s="116">
        <v>3168</v>
      </c>
      <c r="O402" s="116">
        <v>3120.05</v>
      </c>
      <c r="P402" s="116">
        <v>3145.9</v>
      </c>
      <c r="Q402" s="116">
        <v>3140.35</v>
      </c>
      <c r="R402">
        <v>39499</v>
      </c>
    </row>
    <row r="403" spans="1:18" x14ac:dyDescent="0.25">
      <c r="A403" s="170">
        <v>44869</v>
      </c>
      <c r="B403" s="116">
        <v>3246.15</v>
      </c>
      <c r="C403" s="116">
        <v>3202.4</v>
      </c>
      <c r="D403" s="116">
        <v>3176.45</v>
      </c>
      <c r="E403" s="116">
        <v>3197.45</v>
      </c>
      <c r="F403" s="116">
        <v>3202.4</v>
      </c>
      <c r="G403">
        <v>4337</v>
      </c>
      <c r="H403" s="116"/>
      <c r="I403" s="116"/>
      <c r="L403" s="170">
        <v>44869</v>
      </c>
      <c r="M403" s="116">
        <v>3195.45</v>
      </c>
      <c r="N403" s="116">
        <v>3249</v>
      </c>
      <c r="O403" s="116">
        <v>3160.8</v>
      </c>
      <c r="P403" s="116">
        <v>3164</v>
      </c>
      <c r="Q403" s="116">
        <v>3195.45</v>
      </c>
      <c r="R403">
        <v>54061</v>
      </c>
    </row>
    <row r="404" spans="1:18" x14ac:dyDescent="0.25">
      <c r="A404" s="170">
        <v>44872</v>
      </c>
      <c r="B404" s="116">
        <v>3280</v>
      </c>
      <c r="C404" s="116">
        <v>3239.95</v>
      </c>
      <c r="D404" s="116">
        <v>3205.15</v>
      </c>
      <c r="E404" s="116">
        <v>3210</v>
      </c>
      <c r="F404" s="116">
        <v>3239.95</v>
      </c>
      <c r="G404">
        <v>5154</v>
      </c>
      <c r="H404" s="116"/>
      <c r="I404" s="116"/>
      <c r="L404" s="170">
        <v>44872</v>
      </c>
      <c r="M404" s="116">
        <v>3240.45</v>
      </c>
      <c r="N404" s="116">
        <v>3280</v>
      </c>
      <c r="O404" s="116">
        <v>3204.05</v>
      </c>
      <c r="P404" s="116">
        <v>3219.85</v>
      </c>
      <c r="Q404" s="116">
        <v>3240.45</v>
      </c>
      <c r="R404">
        <v>60658</v>
      </c>
    </row>
    <row r="405" spans="1:18" x14ac:dyDescent="0.25">
      <c r="A405" s="170">
        <v>44874</v>
      </c>
      <c r="B405" s="116">
        <v>3380</v>
      </c>
      <c r="C405" s="116">
        <v>3332.35</v>
      </c>
      <c r="D405" s="116">
        <v>3271.35</v>
      </c>
      <c r="E405" s="116">
        <v>3299.95</v>
      </c>
      <c r="F405" s="116">
        <v>3332.35</v>
      </c>
      <c r="G405">
        <v>2776</v>
      </c>
      <c r="H405" s="116"/>
      <c r="I405" s="116"/>
      <c r="L405" s="170">
        <v>44874</v>
      </c>
      <c r="M405" s="116">
        <v>3332.8</v>
      </c>
      <c r="N405" s="116">
        <v>3379.45</v>
      </c>
      <c r="O405" s="116">
        <v>3262</v>
      </c>
      <c r="P405" s="116">
        <v>3264.95</v>
      </c>
      <c r="Q405" s="116">
        <v>3332.8</v>
      </c>
      <c r="R405">
        <v>72377</v>
      </c>
    </row>
    <row r="406" spans="1:18" x14ac:dyDescent="0.25">
      <c r="A406" s="170">
        <v>44875</v>
      </c>
      <c r="B406" s="116">
        <v>3446.25</v>
      </c>
      <c r="C406" s="116">
        <v>3374.9</v>
      </c>
      <c r="D406" s="116">
        <v>3296.9</v>
      </c>
      <c r="E406" s="116">
        <v>3336.15</v>
      </c>
      <c r="F406" s="116">
        <v>3374.9</v>
      </c>
      <c r="G406">
        <v>3540</v>
      </c>
      <c r="H406" s="116"/>
      <c r="I406" s="116"/>
      <c r="L406" s="170">
        <v>44875</v>
      </c>
      <c r="M406" s="116">
        <v>3375.9</v>
      </c>
      <c r="N406" s="116">
        <v>3442.95</v>
      </c>
      <c r="O406" s="116">
        <v>3298.5</v>
      </c>
      <c r="P406" s="116">
        <v>3328</v>
      </c>
      <c r="Q406" s="116">
        <v>3375.9</v>
      </c>
      <c r="R406">
        <v>74231</v>
      </c>
    </row>
    <row r="407" spans="1:18" x14ac:dyDescent="0.25">
      <c r="A407" s="170">
        <v>44876</v>
      </c>
      <c r="B407" s="116">
        <v>3462.95</v>
      </c>
      <c r="C407" s="116">
        <v>3392.2</v>
      </c>
      <c r="D407" s="116">
        <v>3331.1</v>
      </c>
      <c r="E407" s="116">
        <v>3452.1</v>
      </c>
      <c r="F407" s="116">
        <v>3392.2</v>
      </c>
      <c r="G407">
        <v>3405</v>
      </c>
      <c r="H407" s="116"/>
      <c r="I407" s="116"/>
      <c r="L407" s="170">
        <v>44876</v>
      </c>
      <c r="M407" s="116">
        <v>3396</v>
      </c>
      <c r="N407" s="116">
        <v>3466.8</v>
      </c>
      <c r="O407" s="116">
        <v>3345</v>
      </c>
      <c r="P407" s="116">
        <v>3420</v>
      </c>
      <c r="Q407" s="116">
        <v>3396</v>
      </c>
      <c r="R407">
        <v>88008</v>
      </c>
    </row>
    <row r="408" spans="1:18" x14ac:dyDescent="0.25">
      <c r="A408" s="170">
        <v>44879</v>
      </c>
      <c r="B408" s="116">
        <v>3408.05</v>
      </c>
      <c r="C408" s="116">
        <v>3282.35</v>
      </c>
      <c r="D408" s="116">
        <v>3249.3</v>
      </c>
      <c r="E408" s="116">
        <v>3384.85</v>
      </c>
      <c r="F408" s="116">
        <v>3282.35</v>
      </c>
      <c r="G408">
        <v>1800</v>
      </c>
      <c r="H408" s="116"/>
      <c r="I408" s="116"/>
      <c r="L408" s="170">
        <v>44879</v>
      </c>
      <c r="M408" s="116">
        <v>3280.8</v>
      </c>
      <c r="N408" s="116">
        <v>3410</v>
      </c>
      <c r="O408" s="116">
        <v>3250</v>
      </c>
      <c r="P408" s="116">
        <v>3370</v>
      </c>
      <c r="Q408" s="116">
        <v>3280.8</v>
      </c>
      <c r="R408">
        <v>37219</v>
      </c>
    </row>
    <row r="409" spans="1:18" x14ac:dyDescent="0.25">
      <c r="A409" s="170">
        <v>44880</v>
      </c>
      <c r="B409" s="116">
        <v>3315.05</v>
      </c>
      <c r="C409" s="116">
        <v>3154.15</v>
      </c>
      <c r="D409" s="116">
        <v>3037.6</v>
      </c>
      <c r="E409" s="116">
        <v>3275.05</v>
      </c>
      <c r="F409" s="116">
        <v>3154.15</v>
      </c>
      <c r="G409">
        <v>9434</v>
      </c>
      <c r="H409" s="116"/>
      <c r="I409" s="116"/>
      <c r="L409" s="170">
        <v>44880</v>
      </c>
      <c r="M409" s="116">
        <v>3163.25</v>
      </c>
      <c r="N409" s="116">
        <v>3318.65</v>
      </c>
      <c r="O409" s="116">
        <v>3075.85</v>
      </c>
      <c r="P409" s="116">
        <v>3280</v>
      </c>
      <c r="Q409" s="116">
        <v>3163.25</v>
      </c>
      <c r="R409">
        <v>52986</v>
      </c>
    </row>
    <row r="410" spans="1:18" x14ac:dyDescent="0.25">
      <c r="A410" s="170">
        <v>44881</v>
      </c>
      <c r="B410" s="116">
        <v>3208.65</v>
      </c>
      <c r="C410" s="116">
        <v>3090.25</v>
      </c>
      <c r="D410" s="116">
        <v>3061.85</v>
      </c>
      <c r="E410" s="116">
        <v>3102.05</v>
      </c>
      <c r="F410" s="116">
        <v>3090.25</v>
      </c>
      <c r="G410">
        <v>3173</v>
      </c>
      <c r="H410" s="116"/>
      <c r="I410" s="116"/>
      <c r="L410" s="170">
        <v>44881</v>
      </c>
      <c r="M410" s="116">
        <v>3097.35</v>
      </c>
      <c r="N410" s="116">
        <v>3209.2</v>
      </c>
      <c r="O410" s="116">
        <v>3065</v>
      </c>
      <c r="P410" s="116">
        <v>3180.1</v>
      </c>
      <c r="Q410" s="116">
        <v>3097.35</v>
      </c>
      <c r="R410">
        <v>50587</v>
      </c>
    </row>
    <row r="411" spans="1:18" x14ac:dyDescent="0.25">
      <c r="A411" s="170">
        <v>44882</v>
      </c>
      <c r="B411" s="116">
        <v>3198.95</v>
      </c>
      <c r="C411" s="116">
        <v>3176.85</v>
      </c>
      <c r="D411" s="116">
        <v>3119.7</v>
      </c>
      <c r="E411" s="116">
        <v>3198.95</v>
      </c>
      <c r="F411" s="116">
        <v>3176.85</v>
      </c>
      <c r="G411">
        <v>3231</v>
      </c>
      <c r="H411" s="116"/>
      <c r="I411" s="116"/>
      <c r="L411" s="170">
        <v>44882</v>
      </c>
      <c r="M411" s="116">
        <v>3177.45</v>
      </c>
      <c r="N411" s="116">
        <v>3191.75</v>
      </c>
      <c r="O411" s="116">
        <v>3111.4</v>
      </c>
      <c r="P411" s="116">
        <v>3111.5</v>
      </c>
      <c r="Q411" s="116">
        <v>3177.45</v>
      </c>
      <c r="R411">
        <v>39093</v>
      </c>
    </row>
    <row r="412" spans="1:18" x14ac:dyDescent="0.25">
      <c r="A412" s="170">
        <v>44883</v>
      </c>
      <c r="B412" s="116">
        <v>3235.3</v>
      </c>
      <c r="C412" s="116">
        <v>3111.7</v>
      </c>
      <c r="D412" s="116">
        <v>3072.45</v>
      </c>
      <c r="E412" s="116">
        <v>3197.9</v>
      </c>
      <c r="F412" s="116">
        <v>3111.7</v>
      </c>
      <c r="G412">
        <v>2824</v>
      </c>
      <c r="H412" s="116"/>
      <c r="I412" s="116"/>
      <c r="L412" s="170">
        <v>44883</v>
      </c>
      <c r="M412" s="116">
        <v>3136.05</v>
      </c>
      <c r="N412" s="116">
        <v>3241.3</v>
      </c>
      <c r="O412" s="116">
        <v>3072.3</v>
      </c>
      <c r="P412" s="116">
        <v>3198.05</v>
      </c>
      <c r="Q412" s="116">
        <v>3136.05</v>
      </c>
      <c r="R412">
        <v>29882</v>
      </c>
    </row>
    <row r="413" spans="1:18" x14ac:dyDescent="0.25">
      <c r="A413" s="170">
        <v>44886</v>
      </c>
      <c r="B413" s="116">
        <v>3207.45</v>
      </c>
      <c r="C413" s="116">
        <v>3175.8</v>
      </c>
      <c r="D413" s="116">
        <v>3141.85</v>
      </c>
      <c r="E413" s="116">
        <v>3146.6</v>
      </c>
      <c r="F413" s="116">
        <v>3175.8</v>
      </c>
      <c r="G413">
        <v>2299</v>
      </c>
      <c r="H413" s="116"/>
      <c r="I413" s="116"/>
      <c r="L413" s="170">
        <v>44886</v>
      </c>
      <c r="M413" s="116">
        <v>3177.15</v>
      </c>
      <c r="N413" s="116">
        <v>3209</v>
      </c>
      <c r="O413" s="116">
        <v>3140.05</v>
      </c>
      <c r="P413" s="116">
        <v>3148</v>
      </c>
      <c r="Q413" s="116">
        <v>3177.15</v>
      </c>
      <c r="R413">
        <v>36037</v>
      </c>
    </row>
    <row r="414" spans="1:18" x14ac:dyDescent="0.25">
      <c r="A414" s="170">
        <v>44887</v>
      </c>
      <c r="B414" s="116">
        <v>3197.2</v>
      </c>
      <c r="C414" s="116">
        <v>3062.3</v>
      </c>
      <c r="D414" s="116">
        <v>2996.8</v>
      </c>
      <c r="E414" s="116">
        <v>3177</v>
      </c>
      <c r="F414" s="116">
        <v>3062.3</v>
      </c>
      <c r="G414">
        <v>2683</v>
      </c>
      <c r="H414" s="116"/>
      <c r="I414" s="116"/>
      <c r="L414" s="170">
        <v>44887</v>
      </c>
      <c r="M414" s="116">
        <v>3060.85</v>
      </c>
      <c r="N414" s="116">
        <v>3198.3</v>
      </c>
      <c r="O414" s="116">
        <v>3026.85</v>
      </c>
      <c r="P414" s="116">
        <v>3193.9</v>
      </c>
      <c r="Q414" s="116">
        <v>3060.85</v>
      </c>
      <c r="R414">
        <v>37677</v>
      </c>
    </row>
    <row r="415" spans="1:18" x14ac:dyDescent="0.25">
      <c r="A415" s="170">
        <v>44888</v>
      </c>
      <c r="B415" s="116">
        <v>3151</v>
      </c>
      <c r="C415" s="116">
        <v>3104.05</v>
      </c>
      <c r="D415" s="116">
        <v>3074.05</v>
      </c>
      <c r="E415" s="116">
        <v>3100</v>
      </c>
      <c r="F415" s="116">
        <v>3104.05</v>
      </c>
      <c r="G415">
        <v>3761</v>
      </c>
      <c r="H415" s="116"/>
      <c r="I415" s="116"/>
      <c r="L415" s="170">
        <v>44888</v>
      </c>
      <c r="M415" s="116">
        <v>3102.05</v>
      </c>
      <c r="N415" s="116">
        <v>3153.7</v>
      </c>
      <c r="O415" s="116">
        <v>3076.4</v>
      </c>
      <c r="P415" s="116">
        <v>3083</v>
      </c>
      <c r="Q415" s="116">
        <v>3102.05</v>
      </c>
      <c r="R415">
        <v>33489</v>
      </c>
    </row>
    <row r="416" spans="1:18" x14ac:dyDescent="0.25">
      <c r="A416" s="170">
        <v>44889</v>
      </c>
      <c r="B416" s="116">
        <v>3139.85</v>
      </c>
      <c r="C416" s="116">
        <v>3122</v>
      </c>
      <c r="D416" s="116">
        <v>3088</v>
      </c>
      <c r="E416" s="116">
        <v>3139.85</v>
      </c>
      <c r="F416" s="116">
        <v>3122</v>
      </c>
      <c r="G416">
        <v>1657</v>
      </c>
      <c r="H416" s="116"/>
      <c r="I416" s="116"/>
      <c r="L416" s="170">
        <v>44889</v>
      </c>
      <c r="M416" s="116">
        <v>3123.1</v>
      </c>
      <c r="N416" s="116">
        <v>3144.85</v>
      </c>
      <c r="O416" s="116">
        <v>3085.05</v>
      </c>
      <c r="P416" s="116">
        <v>3130</v>
      </c>
      <c r="Q416" s="116">
        <v>3123.1</v>
      </c>
      <c r="R416">
        <v>17843</v>
      </c>
    </row>
    <row r="417" spans="1:18" x14ac:dyDescent="0.25">
      <c r="A417" s="170">
        <v>44890</v>
      </c>
      <c r="B417" s="116">
        <v>3139.75</v>
      </c>
      <c r="C417" s="116">
        <v>3026.95</v>
      </c>
      <c r="D417" s="116">
        <v>3007.55</v>
      </c>
      <c r="E417" s="116">
        <v>3138.4</v>
      </c>
      <c r="F417" s="116">
        <v>3026.95</v>
      </c>
      <c r="G417">
        <v>3474</v>
      </c>
      <c r="H417" s="116"/>
      <c r="I417" s="116"/>
      <c r="L417" s="170">
        <v>44890</v>
      </c>
      <c r="M417" s="116">
        <v>3031.8</v>
      </c>
      <c r="N417" s="116">
        <v>3146.7</v>
      </c>
      <c r="O417" s="116">
        <v>3002.4</v>
      </c>
      <c r="P417" s="116">
        <v>3146.7</v>
      </c>
      <c r="Q417" s="116">
        <v>3031.8</v>
      </c>
      <c r="R417">
        <v>55462</v>
      </c>
    </row>
    <row r="418" spans="1:18" x14ac:dyDescent="0.25">
      <c r="A418" s="170">
        <v>44893</v>
      </c>
      <c r="B418" s="116">
        <v>3088.6</v>
      </c>
      <c r="C418" s="116">
        <v>3033.5</v>
      </c>
      <c r="D418" s="116">
        <v>2991.65</v>
      </c>
      <c r="E418" s="116">
        <v>3027</v>
      </c>
      <c r="F418" s="116">
        <v>3033.5</v>
      </c>
      <c r="G418">
        <v>3784</v>
      </c>
      <c r="H418" s="116"/>
      <c r="I418" s="116"/>
      <c r="L418" s="170">
        <v>44893</v>
      </c>
      <c r="M418" s="116">
        <v>3029.6</v>
      </c>
      <c r="N418" s="116">
        <v>3090.4</v>
      </c>
      <c r="O418" s="116">
        <v>2992.75</v>
      </c>
      <c r="P418" s="116">
        <v>3035</v>
      </c>
      <c r="Q418" s="116">
        <v>3029.6</v>
      </c>
      <c r="R418">
        <v>58082</v>
      </c>
    </row>
    <row r="419" spans="1:18" x14ac:dyDescent="0.25">
      <c r="A419" s="170">
        <v>44894</v>
      </c>
      <c r="B419" s="116">
        <v>3113.9</v>
      </c>
      <c r="C419" s="116">
        <v>3064.55</v>
      </c>
      <c r="D419" s="116">
        <v>2976.5</v>
      </c>
      <c r="E419" s="116">
        <v>3029.35</v>
      </c>
      <c r="F419" s="116">
        <v>3064.55</v>
      </c>
      <c r="G419">
        <v>4466</v>
      </c>
      <c r="H419" s="116"/>
      <c r="I419" s="116"/>
      <c r="L419" s="170">
        <v>44894</v>
      </c>
      <c r="M419" s="116">
        <v>3058.6</v>
      </c>
      <c r="N419" s="116">
        <v>3113</v>
      </c>
      <c r="O419" s="116">
        <v>3012.25</v>
      </c>
      <c r="P419" s="116">
        <v>3022.8</v>
      </c>
      <c r="Q419" s="116">
        <v>3058.6</v>
      </c>
      <c r="R419">
        <v>43919</v>
      </c>
    </row>
    <row r="420" spans="1:18" x14ac:dyDescent="0.25">
      <c r="A420" s="170">
        <v>44895</v>
      </c>
      <c r="B420" s="116">
        <v>3084.35</v>
      </c>
      <c r="C420" s="116">
        <v>3043.45</v>
      </c>
      <c r="D420" s="116">
        <v>3013.05</v>
      </c>
      <c r="E420" s="116">
        <v>3064.6</v>
      </c>
      <c r="F420" s="116">
        <v>3043.45</v>
      </c>
      <c r="G420">
        <v>3009</v>
      </c>
      <c r="H420" s="116"/>
      <c r="I420" s="116"/>
      <c r="L420" s="170">
        <v>44895</v>
      </c>
      <c r="M420" s="116">
        <v>3043.3</v>
      </c>
      <c r="N420" s="116">
        <v>3085</v>
      </c>
      <c r="O420" s="116">
        <v>3012.35</v>
      </c>
      <c r="P420" s="116">
        <v>3059</v>
      </c>
      <c r="Q420" s="116">
        <v>3043.3</v>
      </c>
      <c r="R420">
        <v>98789</v>
      </c>
    </row>
    <row r="421" spans="1:18" x14ac:dyDescent="0.25">
      <c r="A421" s="170">
        <v>44896</v>
      </c>
      <c r="B421" s="116">
        <v>3199.9</v>
      </c>
      <c r="C421" s="116">
        <v>3173.95</v>
      </c>
      <c r="D421" s="116">
        <v>3038</v>
      </c>
      <c r="E421" s="116">
        <v>3038</v>
      </c>
      <c r="F421" s="116">
        <v>3173.95</v>
      </c>
      <c r="G421">
        <v>4376</v>
      </c>
      <c r="H421" s="116"/>
      <c r="I421" s="116"/>
      <c r="L421" s="170">
        <v>44896</v>
      </c>
      <c r="M421" s="116">
        <v>3173.9</v>
      </c>
      <c r="N421" s="116">
        <v>3200</v>
      </c>
      <c r="O421" s="116">
        <v>3032.3</v>
      </c>
      <c r="P421" s="116">
        <v>3047</v>
      </c>
      <c r="Q421" s="116">
        <v>3173.9</v>
      </c>
      <c r="R421">
        <v>56099</v>
      </c>
    </row>
    <row r="422" spans="1:18" x14ac:dyDescent="0.25">
      <c r="A422" s="170">
        <v>44897</v>
      </c>
      <c r="B422" s="116">
        <v>3234.95</v>
      </c>
      <c r="C422" s="116">
        <v>3182.35</v>
      </c>
      <c r="D422" s="116">
        <v>3115.05</v>
      </c>
      <c r="E422" s="116">
        <v>3169.95</v>
      </c>
      <c r="F422" s="116">
        <v>3182.35</v>
      </c>
      <c r="G422">
        <v>3097</v>
      </c>
      <c r="H422" s="116"/>
      <c r="I422" s="116"/>
      <c r="L422" s="170">
        <v>44897</v>
      </c>
      <c r="M422" s="116">
        <v>3182.15</v>
      </c>
      <c r="N422" s="116">
        <v>3235</v>
      </c>
      <c r="O422" s="116">
        <v>3155</v>
      </c>
      <c r="P422" s="116">
        <v>3160</v>
      </c>
      <c r="Q422" s="116">
        <v>3182.15</v>
      </c>
      <c r="R422">
        <v>24885</v>
      </c>
    </row>
    <row r="423" spans="1:18" x14ac:dyDescent="0.25">
      <c r="A423" s="170">
        <v>44900</v>
      </c>
      <c r="B423" s="116">
        <v>3338.4</v>
      </c>
      <c r="C423" s="116">
        <v>3266.55</v>
      </c>
      <c r="D423" s="116">
        <v>3184.4</v>
      </c>
      <c r="E423" s="116">
        <v>3193.7</v>
      </c>
      <c r="F423" s="116">
        <v>3266.55</v>
      </c>
      <c r="G423">
        <v>6209</v>
      </c>
      <c r="H423" s="116"/>
      <c r="I423" s="116"/>
      <c r="L423" s="170">
        <v>44900</v>
      </c>
      <c r="M423" s="116">
        <v>3265.3</v>
      </c>
      <c r="N423" s="116">
        <v>3339.9</v>
      </c>
      <c r="O423" s="116">
        <v>3182.15</v>
      </c>
      <c r="P423" s="116">
        <v>3203.15</v>
      </c>
      <c r="Q423" s="116">
        <v>3265.3</v>
      </c>
      <c r="R423">
        <v>47258</v>
      </c>
    </row>
    <row r="424" spans="1:18" x14ac:dyDescent="0.25">
      <c r="A424" s="170">
        <v>44901</v>
      </c>
      <c r="B424" s="116">
        <v>3298.55</v>
      </c>
      <c r="C424" s="116">
        <v>3274</v>
      </c>
      <c r="D424" s="116">
        <v>3189.4</v>
      </c>
      <c r="E424" s="116">
        <v>3250.05</v>
      </c>
      <c r="F424" s="116">
        <v>3274</v>
      </c>
      <c r="G424">
        <v>1166617</v>
      </c>
      <c r="H424" s="116"/>
      <c r="I424" s="116"/>
      <c r="L424" s="170">
        <v>44901</v>
      </c>
      <c r="M424" s="116">
        <v>3271.75</v>
      </c>
      <c r="N424" s="116">
        <v>3299</v>
      </c>
      <c r="O424" s="116">
        <v>3185.05</v>
      </c>
      <c r="P424" s="116">
        <v>3265.3</v>
      </c>
      <c r="Q424" s="116">
        <v>3271.75</v>
      </c>
      <c r="R424">
        <v>71492</v>
      </c>
    </row>
    <row r="425" spans="1:18" x14ac:dyDescent="0.25">
      <c r="A425" s="170">
        <v>44902</v>
      </c>
      <c r="B425" s="116">
        <v>3391.65</v>
      </c>
      <c r="C425" s="116">
        <v>3286.15</v>
      </c>
      <c r="D425" s="116">
        <v>3267.05</v>
      </c>
      <c r="E425" s="116">
        <v>3290.7</v>
      </c>
      <c r="F425" s="116">
        <v>3286.15</v>
      </c>
      <c r="G425">
        <v>6140</v>
      </c>
      <c r="H425" s="116"/>
      <c r="I425" s="116"/>
      <c r="L425" s="170">
        <v>44902</v>
      </c>
      <c r="M425" s="116">
        <v>3288</v>
      </c>
      <c r="N425" s="116">
        <v>3394</v>
      </c>
      <c r="O425" s="116">
        <v>3270</v>
      </c>
      <c r="P425" s="116">
        <v>3274.05</v>
      </c>
      <c r="Q425" s="116">
        <v>3288</v>
      </c>
      <c r="R425">
        <v>90437</v>
      </c>
    </row>
    <row r="426" spans="1:18" x14ac:dyDescent="0.25">
      <c r="A426" s="170">
        <v>44903</v>
      </c>
      <c r="B426" s="116">
        <v>3381.2</v>
      </c>
      <c r="C426" s="116">
        <v>3367</v>
      </c>
      <c r="D426" s="116">
        <v>3296.5</v>
      </c>
      <c r="E426" s="116">
        <v>3317.2</v>
      </c>
      <c r="F426" s="116">
        <v>3367</v>
      </c>
      <c r="G426">
        <v>1782</v>
      </c>
      <c r="H426" s="116"/>
      <c r="I426" s="116"/>
      <c r="L426" s="170">
        <v>44903</v>
      </c>
      <c r="M426" s="116">
        <v>3367.15</v>
      </c>
      <c r="N426" s="116">
        <v>3378</v>
      </c>
      <c r="O426" s="116">
        <v>3295.75</v>
      </c>
      <c r="P426" s="116">
        <v>3300</v>
      </c>
      <c r="Q426" s="116">
        <v>3367.15</v>
      </c>
      <c r="R426">
        <v>35823</v>
      </c>
    </row>
    <row r="427" spans="1:18" x14ac:dyDescent="0.25">
      <c r="A427" s="170">
        <v>44904</v>
      </c>
      <c r="B427" s="116">
        <v>3460.7</v>
      </c>
      <c r="C427" s="116">
        <v>3289.75</v>
      </c>
      <c r="D427" s="116">
        <v>3265.05</v>
      </c>
      <c r="E427" s="116">
        <v>3381.75</v>
      </c>
      <c r="F427" s="116">
        <v>3289.75</v>
      </c>
      <c r="G427">
        <v>3394</v>
      </c>
      <c r="H427" s="116"/>
      <c r="I427" s="116"/>
      <c r="L427" s="170">
        <v>44904</v>
      </c>
      <c r="M427" s="116">
        <v>3290.65</v>
      </c>
      <c r="N427" s="116">
        <v>3458.7</v>
      </c>
      <c r="O427" s="116">
        <v>3262.25</v>
      </c>
      <c r="P427" s="116">
        <v>3384</v>
      </c>
      <c r="Q427" s="116">
        <v>3290.65</v>
      </c>
      <c r="R427">
        <v>51076</v>
      </c>
    </row>
    <row r="428" spans="1:18" x14ac:dyDescent="0.25">
      <c r="A428" s="170">
        <v>44907</v>
      </c>
      <c r="B428" s="116">
        <v>3372.9</v>
      </c>
      <c r="C428" s="116">
        <v>3337.45</v>
      </c>
      <c r="D428" s="116">
        <v>3306</v>
      </c>
      <c r="E428" s="116">
        <v>3319.65</v>
      </c>
      <c r="F428" s="116">
        <v>3337.45</v>
      </c>
      <c r="G428">
        <v>3829</v>
      </c>
      <c r="H428" s="116"/>
      <c r="I428" s="116"/>
      <c r="L428" s="170">
        <v>44907</v>
      </c>
      <c r="M428" s="116">
        <v>3332.85</v>
      </c>
      <c r="N428" s="116">
        <v>3375</v>
      </c>
      <c r="O428" s="116">
        <v>3265</v>
      </c>
      <c r="P428" s="116">
        <v>3304</v>
      </c>
      <c r="Q428" s="116">
        <v>3332.85</v>
      </c>
      <c r="R428">
        <v>38983</v>
      </c>
    </row>
    <row r="429" spans="1:18" x14ac:dyDescent="0.25">
      <c r="A429" s="170">
        <v>44908</v>
      </c>
      <c r="B429" s="116">
        <v>3365</v>
      </c>
      <c r="C429" s="116">
        <v>3315</v>
      </c>
      <c r="D429" s="116">
        <v>3298.65</v>
      </c>
      <c r="E429" s="116">
        <v>3344.85</v>
      </c>
      <c r="F429" s="116">
        <v>3315</v>
      </c>
      <c r="G429">
        <v>2655</v>
      </c>
      <c r="H429" s="116"/>
      <c r="I429" s="116"/>
      <c r="L429" s="170">
        <v>44908</v>
      </c>
      <c r="M429" s="116">
        <v>3327.75</v>
      </c>
      <c r="N429" s="116">
        <v>3368.85</v>
      </c>
      <c r="O429" s="116">
        <v>3298.1</v>
      </c>
      <c r="P429" s="116">
        <v>3332.85</v>
      </c>
      <c r="Q429" s="116">
        <v>3327.75</v>
      </c>
      <c r="R429">
        <v>14256</v>
      </c>
    </row>
    <row r="430" spans="1:18" x14ac:dyDescent="0.25">
      <c r="A430" s="170">
        <v>44909</v>
      </c>
      <c r="B430" s="116">
        <v>3396.95</v>
      </c>
      <c r="C430" s="116">
        <v>3353.3</v>
      </c>
      <c r="D430" s="116">
        <v>3323.15</v>
      </c>
      <c r="E430" s="116">
        <v>3323.15</v>
      </c>
      <c r="F430" s="116">
        <v>3353.3</v>
      </c>
      <c r="G430">
        <v>1253</v>
      </c>
      <c r="H430" s="116"/>
      <c r="I430" s="116"/>
      <c r="L430" s="170">
        <v>44909</v>
      </c>
      <c r="M430" s="116">
        <v>3363.45</v>
      </c>
      <c r="N430" s="116">
        <v>3399</v>
      </c>
      <c r="O430" s="116">
        <v>3315.8</v>
      </c>
      <c r="P430" s="116">
        <v>3327</v>
      </c>
      <c r="Q430" s="116">
        <v>3363.45</v>
      </c>
      <c r="R430">
        <v>25519</v>
      </c>
    </row>
    <row r="431" spans="1:18" x14ac:dyDescent="0.25">
      <c r="A431" s="170">
        <v>44910</v>
      </c>
      <c r="B431" s="116">
        <v>3383.15</v>
      </c>
      <c r="C431" s="116">
        <v>3327</v>
      </c>
      <c r="D431" s="116">
        <v>3303.4</v>
      </c>
      <c r="E431" s="116">
        <v>3350.05</v>
      </c>
      <c r="F431" s="116">
        <v>3327</v>
      </c>
      <c r="G431">
        <v>571</v>
      </c>
      <c r="H431" s="116"/>
      <c r="I431" s="116"/>
      <c r="L431" s="170">
        <v>44910</v>
      </c>
      <c r="M431" s="116">
        <v>3328.8</v>
      </c>
      <c r="N431" s="116">
        <v>3387.1</v>
      </c>
      <c r="O431" s="116">
        <v>3310</v>
      </c>
      <c r="P431" s="116">
        <v>3365</v>
      </c>
      <c r="Q431" s="116">
        <v>3328.8</v>
      </c>
      <c r="R431">
        <v>13114</v>
      </c>
    </row>
    <row r="432" spans="1:18" x14ac:dyDescent="0.25">
      <c r="A432" s="170">
        <v>44911</v>
      </c>
      <c r="B432" s="116">
        <v>3356.1</v>
      </c>
      <c r="C432" s="116">
        <v>3266.8</v>
      </c>
      <c r="D432" s="116">
        <v>3257.65</v>
      </c>
      <c r="E432" s="116">
        <v>3329.95</v>
      </c>
      <c r="F432" s="116">
        <v>3266.8</v>
      </c>
      <c r="G432">
        <v>1470</v>
      </c>
      <c r="H432" s="116"/>
      <c r="I432" s="116"/>
      <c r="L432" s="170">
        <v>44911</v>
      </c>
      <c r="M432" s="116">
        <v>3273.75</v>
      </c>
      <c r="N432" s="116">
        <v>3360.15</v>
      </c>
      <c r="O432" s="116">
        <v>3255</v>
      </c>
      <c r="P432" s="116">
        <v>3353.9</v>
      </c>
      <c r="Q432" s="116">
        <v>3273.75</v>
      </c>
      <c r="R432">
        <v>22335</v>
      </c>
    </row>
    <row r="433" spans="1:18" x14ac:dyDescent="0.25">
      <c r="A433" s="170">
        <v>44914</v>
      </c>
      <c r="B433" s="116">
        <v>3289.95</v>
      </c>
      <c r="C433" s="116">
        <v>3225.5</v>
      </c>
      <c r="D433" s="116">
        <v>3142.15</v>
      </c>
      <c r="E433" s="116">
        <v>3277.9</v>
      </c>
      <c r="F433" s="116">
        <v>3225.5</v>
      </c>
      <c r="G433">
        <v>2159</v>
      </c>
      <c r="H433" s="116"/>
      <c r="I433" s="116"/>
      <c r="L433" s="170">
        <v>44914</v>
      </c>
      <c r="M433" s="116">
        <v>3233.3</v>
      </c>
      <c r="N433" s="116">
        <v>3299.95</v>
      </c>
      <c r="O433" s="116">
        <v>3140.05</v>
      </c>
      <c r="P433" s="116">
        <v>3273.75</v>
      </c>
      <c r="Q433" s="116">
        <v>3233.3</v>
      </c>
      <c r="R433">
        <v>34487</v>
      </c>
    </row>
    <row r="434" spans="1:18" x14ac:dyDescent="0.25">
      <c r="A434" s="170">
        <v>44915</v>
      </c>
      <c r="B434" s="116">
        <v>3390</v>
      </c>
      <c r="C434" s="116">
        <v>3378.55</v>
      </c>
      <c r="D434" s="116">
        <v>3214.65</v>
      </c>
      <c r="E434" s="116">
        <v>3214.7</v>
      </c>
      <c r="F434" s="116">
        <v>3378.55</v>
      </c>
      <c r="G434">
        <v>2004</v>
      </c>
      <c r="H434" s="116"/>
      <c r="I434" s="116"/>
      <c r="L434" s="170">
        <v>44915</v>
      </c>
      <c r="M434" s="116">
        <v>3367.7</v>
      </c>
      <c r="N434" s="116">
        <v>3398.8</v>
      </c>
      <c r="O434" s="116">
        <v>3200</v>
      </c>
      <c r="P434" s="116">
        <v>3200</v>
      </c>
      <c r="Q434" s="116">
        <v>3367.7</v>
      </c>
      <c r="R434">
        <v>23324</v>
      </c>
    </row>
    <row r="435" spans="1:18" x14ac:dyDescent="0.25">
      <c r="A435" s="170">
        <v>44916</v>
      </c>
      <c r="B435" s="116">
        <v>3447.8</v>
      </c>
      <c r="C435" s="116">
        <v>3249.75</v>
      </c>
      <c r="D435" s="116">
        <v>3188.4</v>
      </c>
      <c r="E435" s="116">
        <v>3387.9</v>
      </c>
      <c r="F435" s="116">
        <v>3249.75</v>
      </c>
      <c r="G435">
        <v>4485</v>
      </c>
      <c r="H435" s="116"/>
      <c r="I435" s="116"/>
      <c r="L435" s="170">
        <v>44916</v>
      </c>
      <c r="M435" s="116">
        <v>3244.6</v>
      </c>
      <c r="N435" s="116">
        <v>3449</v>
      </c>
      <c r="O435" s="116">
        <v>3179.95</v>
      </c>
      <c r="P435" s="116">
        <v>3370.7</v>
      </c>
      <c r="Q435" s="116">
        <v>3244.6</v>
      </c>
      <c r="R435">
        <v>75945</v>
      </c>
    </row>
    <row r="436" spans="1:18" x14ac:dyDescent="0.25">
      <c r="A436" s="170">
        <v>44917</v>
      </c>
      <c r="B436" s="116">
        <v>3380</v>
      </c>
      <c r="C436" s="116">
        <v>3315.85</v>
      </c>
      <c r="D436" s="116">
        <v>3190.75</v>
      </c>
      <c r="E436" s="116">
        <v>3200.55</v>
      </c>
      <c r="F436" s="116">
        <v>3315.85</v>
      </c>
      <c r="G436">
        <v>7218</v>
      </c>
      <c r="H436" s="116"/>
      <c r="I436" s="116"/>
      <c r="L436" s="170">
        <v>44917</v>
      </c>
      <c r="M436" s="116">
        <v>3314.75</v>
      </c>
      <c r="N436" s="116">
        <v>3380.75</v>
      </c>
      <c r="O436" s="116">
        <v>3192.05</v>
      </c>
      <c r="P436" s="116">
        <v>3249.9</v>
      </c>
      <c r="Q436" s="116">
        <v>3314.75</v>
      </c>
      <c r="R436">
        <v>56954</v>
      </c>
    </row>
    <row r="437" spans="1:18" x14ac:dyDescent="0.25">
      <c r="A437" s="170">
        <v>44918</v>
      </c>
      <c r="B437" s="116">
        <v>3290.05</v>
      </c>
      <c r="C437" s="116">
        <v>3174.9</v>
      </c>
      <c r="D437" s="116">
        <v>3071.95</v>
      </c>
      <c r="E437" s="116">
        <v>3270.05</v>
      </c>
      <c r="F437" s="116">
        <v>3174.9</v>
      </c>
      <c r="G437">
        <v>6589</v>
      </c>
      <c r="H437" s="116"/>
      <c r="I437" s="116"/>
      <c r="L437" s="170">
        <v>44918</v>
      </c>
      <c r="M437" s="116">
        <v>3159.95</v>
      </c>
      <c r="N437" s="116">
        <v>3299.95</v>
      </c>
      <c r="O437" s="116">
        <v>3071</v>
      </c>
      <c r="P437" s="116">
        <v>3299.95</v>
      </c>
      <c r="Q437" s="116">
        <v>3159.95</v>
      </c>
      <c r="R437">
        <v>59311</v>
      </c>
    </row>
    <row r="438" spans="1:18" x14ac:dyDescent="0.25">
      <c r="A438" s="170">
        <v>44921</v>
      </c>
      <c r="B438" s="116">
        <v>3239.55</v>
      </c>
      <c r="C438" s="116">
        <v>3183.9</v>
      </c>
      <c r="D438" s="116">
        <v>3133.6</v>
      </c>
      <c r="E438" s="116">
        <v>3152.05</v>
      </c>
      <c r="F438" s="116">
        <v>3183.9</v>
      </c>
      <c r="G438">
        <v>2986</v>
      </c>
      <c r="H438" s="116"/>
      <c r="I438" s="116"/>
      <c r="L438" s="170">
        <v>44921</v>
      </c>
      <c r="M438" s="116">
        <v>3185.65</v>
      </c>
      <c r="N438" s="116">
        <v>3239</v>
      </c>
      <c r="O438" s="116">
        <v>3125</v>
      </c>
      <c r="P438" s="116">
        <v>3200</v>
      </c>
      <c r="Q438" s="116">
        <v>3185.65</v>
      </c>
      <c r="R438">
        <v>29377</v>
      </c>
    </row>
    <row r="439" spans="1:18" x14ac:dyDescent="0.25">
      <c r="A439" s="170">
        <v>44922</v>
      </c>
      <c r="B439" s="116">
        <v>3297.95</v>
      </c>
      <c r="C439" s="116">
        <v>3270.05</v>
      </c>
      <c r="D439" s="116">
        <v>3193.25</v>
      </c>
      <c r="E439" s="116">
        <v>3297.95</v>
      </c>
      <c r="F439" s="116">
        <v>3270.05</v>
      </c>
      <c r="G439">
        <v>1117</v>
      </c>
      <c r="H439" s="116"/>
      <c r="I439" s="116"/>
      <c r="L439" s="170">
        <v>44922</v>
      </c>
      <c r="M439" s="116">
        <v>3271.65</v>
      </c>
      <c r="N439" s="116">
        <v>3285</v>
      </c>
      <c r="O439" s="116">
        <v>3191.4</v>
      </c>
      <c r="P439" s="116">
        <v>3267.95</v>
      </c>
      <c r="Q439" s="116">
        <v>3271.65</v>
      </c>
      <c r="R439">
        <v>28728</v>
      </c>
    </row>
    <row r="440" spans="1:18" x14ac:dyDescent="0.25">
      <c r="A440" s="170">
        <v>44923</v>
      </c>
      <c r="B440" s="116">
        <v>3306.95</v>
      </c>
      <c r="C440" s="116">
        <v>3292.2</v>
      </c>
      <c r="D440" s="116">
        <v>3238.35</v>
      </c>
      <c r="E440" s="116">
        <v>3269.85</v>
      </c>
      <c r="F440" s="116">
        <v>3292.2</v>
      </c>
      <c r="G440">
        <v>889</v>
      </c>
      <c r="H440" s="116"/>
      <c r="I440" s="116"/>
      <c r="L440" s="170">
        <v>44923</v>
      </c>
      <c r="M440" s="116">
        <v>3294.65</v>
      </c>
      <c r="N440" s="116">
        <v>3303.75</v>
      </c>
      <c r="O440" s="116">
        <v>3235.7</v>
      </c>
      <c r="P440" s="116">
        <v>3268</v>
      </c>
      <c r="Q440" s="116">
        <v>3294.65</v>
      </c>
      <c r="R440">
        <v>24813</v>
      </c>
    </row>
    <row r="441" spans="1:18" x14ac:dyDescent="0.25">
      <c r="A441" s="170">
        <v>44924</v>
      </c>
      <c r="B441" s="116">
        <v>3306.3</v>
      </c>
      <c r="C441" s="116">
        <v>3254.75</v>
      </c>
      <c r="D441" s="116">
        <v>3228.8</v>
      </c>
      <c r="E441" s="116">
        <v>3228.85</v>
      </c>
      <c r="F441" s="116">
        <v>3254.75</v>
      </c>
      <c r="G441">
        <v>500</v>
      </c>
      <c r="H441" s="116"/>
      <c r="I441" s="116"/>
      <c r="L441" s="170">
        <v>44924</v>
      </c>
      <c r="M441" s="116">
        <v>3258.8</v>
      </c>
      <c r="N441" s="116">
        <v>3313.5</v>
      </c>
      <c r="O441" s="116">
        <v>3233</v>
      </c>
      <c r="P441" s="116">
        <v>3290</v>
      </c>
      <c r="Q441" s="116">
        <v>3258.8</v>
      </c>
      <c r="R441">
        <v>12733</v>
      </c>
    </row>
    <row r="442" spans="1:18" x14ac:dyDescent="0.25">
      <c r="A442" s="170">
        <v>44925</v>
      </c>
      <c r="B442" s="116">
        <v>3709.95</v>
      </c>
      <c r="C442" s="116">
        <v>3506.85</v>
      </c>
      <c r="D442" s="116">
        <v>3349</v>
      </c>
      <c r="E442" s="116">
        <v>3383.95</v>
      </c>
      <c r="F442" s="116">
        <v>3506.85</v>
      </c>
      <c r="G442">
        <v>26069</v>
      </c>
      <c r="H442" s="116"/>
      <c r="I442" s="116"/>
      <c r="L442" s="170">
        <v>44925</v>
      </c>
      <c r="M442" s="116">
        <v>3493.55</v>
      </c>
      <c r="N442" s="116">
        <v>3710.95</v>
      </c>
      <c r="O442" s="116">
        <v>3333.3</v>
      </c>
      <c r="P442" s="116">
        <v>3349.95</v>
      </c>
      <c r="Q442" s="116">
        <v>3493.55</v>
      </c>
      <c r="R442">
        <v>693869</v>
      </c>
    </row>
    <row r="443" spans="1:18" x14ac:dyDescent="0.25">
      <c r="A443" s="170">
        <v>44928</v>
      </c>
      <c r="B443" s="116">
        <v>3650</v>
      </c>
      <c r="C443" s="116">
        <v>3611.75</v>
      </c>
      <c r="D443" s="116">
        <v>3500.15</v>
      </c>
      <c r="E443" s="116">
        <v>3500.15</v>
      </c>
      <c r="F443" s="116">
        <v>3611.75</v>
      </c>
      <c r="G443">
        <v>10244</v>
      </c>
      <c r="H443" s="116"/>
      <c r="I443" s="116"/>
      <c r="L443" s="170">
        <v>44928</v>
      </c>
      <c r="M443" s="116">
        <v>3626.4</v>
      </c>
      <c r="N443" s="116">
        <v>3647</v>
      </c>
      <c r="O443" s="116">
        <v>3500.6</v>
      </c>
      <c r="P443" s="116">
        <v>3508</v>
      </c>
      <c r="Q443" s="116">
        <v>3626.4</v>
      </c>
      <c r="R443">
        <v>127590</v>
      </c>
    </row>
    <row r="444" spans="1:18" x14ac:dyDescent="0.25">
      <c r="A444" s="170">
        <v>44929</v>
      </c>
      <c r="B444" s="116">
        <v>3628</v>
      </c>
      <c r="C444" s="116">
        <v>3579.85</v>
      </c>
      <c r="D444" s="116">
        <v>3525</v>
      </c>
      <c r="E444" s="116">
        <v>3628</v>
      </c>
      <c r="F444" s="116">
        <v>3579.85</v>
      </c>
      <c r="G444">
        <v>3586</v>
      </c>
      <c r="H444" s="116"/>
      <c r="I444" s="116"/>
      <c r="L444" s="170">
        <v>44929</v>
      </c>
      <c r="M444" s="116">
        <v>3574.4</v>
      </c>
      <c r="N444" s="116">
        <v>3617.35</v>
      </c>
      <c r="O444" s="116">
        <v>3523.25</v>
      </c>
      <c r="P444" s="116">
        <v>3600</v>
      </c>
      <c r="Q444" s="116">
        <v>3574.4</v>
      </c>
      <c r="R444">
        <v>64772</v>
      </c>
    </row>
    <row r="445" spans="1:18" x14ac:dyDescent="0.25">
      <c r="A445" s="170">
        <v>44930</v>
      </c>
      <c r="B445" s="116">
        <v>3569.85</v>
      </c>
      <c r="C445" s="116">
        <v>3544.65</v>
      </c>
      <c r="D445" s="116">
        <v>3515.35</v>
      </c>
      <c r="E445" s="116">
        <v>3550</v>
      </c>
      <c r="F445" s="116">
        <v>3544.65</v>
      </c>
      <c r="G445">
        <v>2731</v>
      </c>
      <c r="H445" s="116"/>
      <c r="I445" s="116"/>
      <c r="L445" s="170">
        <v>44930</v>
      </c>
      <c r="M445" s="116">
        <v>3541.5</v>
      </c>
      <c r="N445" s="116">
        <v>3584</v>
      </c>
      <c r="O445" s="116">
        <v>3516.75</v>
      </c>
      <c r="P445" s="116">
        <v>3584</v>
      </c>
      <c r="Q445" s="116">
        <v>3541.5</v>
      </c>
      <c r="R445">
        <v>32818</v>
      </c>
    </row>
    <row r="446" spans="1:18" x14ac:dyDescent="0.25">
      <c r="A446" s="170">
        <v>44931</v>
      </c>
      <c r="B446" s="116">
        <v>3608</v>
      </c>
      <c r="C446" s="116">
        <v>3495.75</v>
      </c>
      <c r="D446" s="116">
        <v>3472.2</v>
      </c>
      <c r="E446" s="116">
        <v>3488.05</v>
      </c>
      <c r="F446" s="116">
        <v>3495.75</v>
      </c>
      <c r="G446">
        <v>3897</v>
      </c>
      <c r="H446" s="116"/>
      <c r="I446" s="116"/>
      <c r="L446" s="170">
        <v>44931</v>
      </c>
      <c r="M446" s="116">
        <v>3497.4</v>
      </c>
      <c r="N446" s="116">
        <v>3610</v>
      </c>
      <c r="O446" s="116">
        <v>3472.55</v>
      </c>
      <c r="P446" s="116">
        <v>3545.05</v>
      </c>
      <c r="Q446" s="116">
        <v>3497.4</v>
      </c>
      <c r="R446">
        <v>55009</v>
      </c>
    </row>
    <row r="447" spans="1:18" x14ac:dyDescent="0.25">
      <c r="A447" s="170">
        <v>44932</v>
      </c>
      <c r="B447" s="116">
        <v>3592.25</v>
      </c>
      <c r="C447" s="116">
        <v>3504.75</v>
      </c>
      <c r="D447" s="116">
        <v>3488.1</v>
      </c>
      <c r="E447" s="116">
        <v>3517.5</v>
      </c>
      <c r="F447" s="116">
        <v>3504.75</v>
      </c>
      <c r="G447">
        <v>1245</v>
      </c>
      <c r="H447" s="116"/>
      <c r="I447" s="116"/>
      <c r="L447" s="170">
        <v>44932</v>
      </c>
      <c r="M447" s="116">
        <v>3508.6</v>
      </c>
      <c r="N447" s="116">
        <v>3597.7</v>
      </c>
      <c r="O447" s="116">
        <v>3483.1</v>
      </c>
      <c r="P447" s="116">
        <v>3502</v>
      </c>
      <c r="Q447" s="116">
        <v>3508.6</v>
      </c>
      <c r="R447">
        <v>37481</v>
      </c>
    </row>
    <row r="448" spans="1:18" x14ac:dyDescent="0.25">
      <c r="A448" s="170">
        <v>44935</v>
      </c>
      <c r="B448" s="116">
        <v>3701.5</v>
      </c>
      <c r="C448" s="116">
        <v>3596.45</v>
      </c>
      <c r="D448" s="116">
        <v>3510</v>
      </c>
      <c r="E448" s="116">
        <v>3510</v>
      </c>
      <c r="F448" s="116">
        <v>3596.45</v>
      </c>
      <c r="G448">
        <v>4299</v>
      </c>
      <c r="H448" s="116"/>
      <c r="I448" s="116"/>
      <c r="L448" s="170">
        <v>44935</v>
      </c>
      <c r="M448" s="116">
        <v>3596.95</v>
      </c>
      <c r="N448" s="116">
        <v>3707.8</v>
      </c>
      <c r="O448" s="116">
        <v>3540.4</v>
      </c>
      <c r="P448" s="116">
        <v>3569.9</v>
      </c>
      <c r="Q448" s="116">
        <v>3596.95</v>
      </c>
      <c r="R448">
        <v>119519</v>
      </c>
    </row>
    <row r="449" spans="1:18" x14ac:dyDescent="0.25">
      <c r="A449" s="170">
        <v>44936</v>
      </c>
      <c r="B449" s="116">
        <v>3660.4</v>
      </c>
      <c r="C449" s="116">
        <v>3593.9</v>
      </c>
      <c r="D449" s="116">
        <v>3567.9</v>
      </c>
      <c r="E449" s="116">
        <v>3660.4</v>
      </c>
      <c r="F449" s="116">
        <v>3593.9</v>
      </c>
      <c r="G449">
        <v>1046</v>
      </c>
      <c r="H449" s="116"/>
      <c r="I449" s="116"/>
      <c r="L449" s="170">
        <v>44936</v>
      </c>
      <c r="M449" s="116">
        <v>3584.8</v>
      </c>
      <c r="N449" s="116">
        <v>3643.15</v>
      </c>
      <c r="O449" s="116">
        <v>3562.5</v>
      </c>
      <c r="P449" s="116">
        <v>3638</v>
      </c>
      <c r="Q449" s="116">
        <v>3584.8</v>
      </c>
      <c r="R449">
        <v>43498</v>
      </c>
    </row>
    <row r="450" spans="1:18" x14ac:dyDescent="0.25">
      <c r="A450" s="170">
        <v>44937</v>
      </c>
      <c r="B450" s="116">
        <v>3600</v>
      </c>
      <c r="C450" s="116">
        <v>3535.7</v>
      </c>
      <c r="D450" s="116">
        <v>3493.45</v>
      </c>
      <c r="E450" s="116">
        <v>3599</v>
      </c>
      <c r="F450" s="116">
        <v>3535.7</v>
      </c>
      <c r="G450">
        <v>3246</v>
      </c>
      <c r="H450" s="116"/>
      <c r="I450" s="116"/>
      <c r="L450" s="170">
        <v>44937</v>
      </c>
      <c r="M450" s="116">
        <v>3529</v>
      </c>
      <c r="N450" s="116">
        <v>3611.7</v>
      </c>
      <c r="O450" s="116">
        <v>3493.55</v>
      </c>
      <c r="P450" s="116">
        <v>3584.85</v>
      </c>
      <c r="Q450" s="116">
        <v>3529</v>
      </c>
      <c r="R450">
        <v>27909</v>
      </c>
    </row>
    <row r="451" spans="1:18" x14ac:dyDescent="0.25">
      <c r="A451" s="170">
        <v>44938</v>
      </c>
      <c r="B451" s="116">
        <v>3590</v>
      </c>
      <c r="C451" s="116">
        <v>3461.8</v>
      </c>
      <c r="D451" s="116">
        <v>3424.45</v>
      </c>
      <c r="E451" s="116">
        <v>3590</v>
      </c>
      <c r="F451" s="116">
        <v>3461.8</v>
      </c>
      <c r="G451">
        <v>3225</v>
      </c>
      <c r="H451" s="116"/>
      <c r="I451" s="116"/>
      <c r="L451" s="170">
        <v>44938</v>
      </c>
      <c r="M451" s="116">
        <v>3463.3</v>
      </c>
      <c r="N451" s="116">
        <v>3564.95</v>
      </c>
      <c r="O451" s="116">
        <v>3444</v>
      </c>
      <c r="P451" s="116">
        <v>3548.8</v>
      </c>
      <c r="Q451" s="116">
        <v>3463.3</v>
      </c>
      <c r="R451">
        <v>31163</v>
      </c>
    </row>
    <row r="452" spans="1:18" x14ac:dyDescent="0.25">
      <c r="A452" s="170">
        <v>44939</v>
      </c>
      <c r="B452" s="116">
        <v>3518.7</v>
      </c>
      <c r="C452" s="116">
        <v>3437.85</v>
      </c>
      <c r="D452" s="116">
        <v>3411.8</v>
      </c>
      <c r="E452" s="116">
        <v>3478.05</v>
      </c>
      <c r="F452" s="116">
        <v>3437.85</v>
      </c>
      <c r="G452">
        <v>1264</v>
      </c>
      <c r="H452" s="116"/>
      <c r="I452" s="116"/>
      <c r="L452" s="170">
        <v>44939</v>
      </c>
      <c r="M452" s="116">
        <v>3440.6</v>
      </c>
      <c r="N452" s="116">
        <v>3518.8</v>
      </c>
      <c r="O452" s="116">
        <v>3411</v>
      </c>
      <c r="P452" s="116">
        <v>3463.3</v>
      </c>
      <c r="Q452" s="116">
        <v>3440.6</v>
      </c>
      <c r="R452">
        <v>29461</v>
      </c>
    </row>
    <row r="453" spans="1:18" x14ac:dyDescent="0.25">
      <c r="A453" s="170">
        <v>44942</v>
      </c>
      <c r="B453" s="116">
        <v>3583.2</v>
      </c>
      <c r="C453" s="116">
        <v>3530.8</v>
      </c>
      <c r="D453" s="116">
        <v>3454.7</v>
      </c>
      <c r="E453" s="116">
        <v>3464.65</v>
      </c>
      <c r="F453" s="116">
        <v>3530.8</v>
      </c>
      <c r="G453">
        <v>2231</v>
      </c>
      <c r="H453" s="116"/>
      <c r="I453" s="116"/>
      <c r="L453" s="170">
        <v>44942</v>
      </c>
      <c r="M453" s="116">
        <v>3533.25</v>
      </c>
      <c r="N453" s="116">
        <v>3585</v>
      </c>
      <c r="O453" s="116">
        <v>3445</v>
      </c>
      <c r="P453" s="116">
        <v>3445</v>
      </c>
      <c r="Q453" s="116">
        <v>3533.25</v>
      </c>
      <c r="R453">
        <v>51614</v>
      </c>
    </row>
    <row r="454" spans="1:18" x14ac:dyDescent="0.25">
      <c r="A454" s="170">
        <v>44943</v>
      </c>
      <c r="B454" s="116">
        <v>3546.15</v>
      </c>
      <c r="C454" s="116">
        <v>3515.95</v>
      </c>
      <c r="D454" s="116">
        <v>3478.05</v>
      </c>
      <c r="E454" s="116">
        <v>3478.05</v>
      </c>
      <c r="F454" s="116">
        <v>3515.95</v>
      </c>
      <c r="G454">
        <v>751</v>
      </c>
      <c r="H454" s="116"/>
      <c r="I454" s="116"/>
      <c r="L454" s="170">
        <v>44943</v>
      </c>
      <c r="M454" s="116">
        <v>3512.65</v>
      </c>
      <c r="N454" s="116">
        <v>3575</v>
      </c>
      <c r="O454" s="116">
        <v>3487.55</v>
      </c>
      <c r="P454" s="116">
        <v>3575</v>
      </c>
      <c r="Q454" s="116">
        <v>3512.65</v>
      </c>
      <c r="R454">
        <v>35516</v>
      </c>
    </row>
    <row r="455" spans="1:18" x14ac:dyDescent="0.25">
      <c r="A455" s="170">
        <v>44944</v>
      </c>
      <c r="B455" s="116">
        <v>3547.2</v>
      </c>
      <c r="C455" s="116">
        <v>3498.6</v>
      </c>
      <c r="D455" s="116">
        <v>3489.4</v>
      </c>
      <c r="E455" s="116">
        <v>3505.5</v>
      </c>
      <c r="F455" s="116">
        <v>3498.6</v>
      </c>
      <c r="G455">
        <v>1218</v>
      </c>
      <c r="H455" s="116"/>
      <c r="I455" s="116"/>
      <c r="L455" s="170">
        <v>44944</v>
      </c>
      <c r="M455" s="116">
        <v>3500.5</v>
      </c>
      <c r="N455" s="116">
        <v>3547.35</v>
      </c>
      <c r="O455" s="116">
        <v>3485.5</v>
      </c>
      <c r="P455" s="116">
        <v>3512.6</v>
      </c>
      <c r="Q455" s="116">
        <v>3500.5</v>
      </c>
      <c r="R455">
        <v>17134</v>
      </c>
    </row>
    <row r="456" spans="1:18" x14ac:dyDescent="0.25">
      <c r="A456" s="170">
        <v>44945</v>
      </c>
      <c r="B456" s="116">
        <v>3539.85</v>
      </c>
      <c r="C456" s="116">
        <v>3513.9</v>
      </c>
      <c r="D456" s="116">
        <v>3487.45</v>
      </c>
      <c r="E456" s="116">
        <v>3490.5</v>
      </c>
      <c r="F456" s="116">
        <v>3513.9</v>
      </c>
      <c r="G456">
        <v>894</v>
      </c>
      <c r="H456" s="116"/>
      <c r="I456" s="116"/>
      <c r="L456" s="170">
        <v>44945</v>
      </c>
      <c r="M456" s="116">
        <v>3520.55</v>
      </c>
      <c r="N456" s="116">
        <v>3540</v>
      </c>
      <c r="O456" s="116">
        <v>3488</v>
      </c>
      <c r="P456" s="116">
        <v>3500.45</v>
      </c>
      <c r="Q456" s="116">
        <v>3520.55</v>
      </c>
      <c r="R456">
        <v>16924</v>
      </c>
    </row>
    <row r="457" spans="1:18" x14ac:dyDescent="0.25">
      <c r="A457" s="170">
        <v>44946</v>
      </c>
      <c r="B457" s="116">
        <v>3537.25</v>
      </c>
      <c r="C457" s="116">
        <v>3479.75</v>
      </c>
      <c r="D457" s="116">
        <v>3463.45</v>
      </c>
      <c r="E457" s="116">
        <v>3534.5</v>
      </c>
      <c r="F457" s="116">
        <v>3479.75</v>
      </c>
      <c r="G457">
        <v>628</v>
      </c>
      <c r="H457" s="116"/>
      <c r="I457" s="116"/>
      <c r="L457" s="170">
        <v>44946</v>
      </c>
      <c r="M457" s="116">
        <v>3477.4</v>
      </c>
      <c r="N457" s="116">
        <v>3541.8</v>
      </c>
      <c r="O457" s="116">
        <v>3462</v>
      </c>
      <c r="P457" s="116">
        <v>3533</v>
      </c>
      <c r="Q457" s="116">
        <v>3477.4</v>
      </c>
      <c r="R457">
        <v>29150</v>
      </c>
    </row>
    <row r="458" spans="1:18" x14ac:dyDescent="0.25">
      <c r="A458" s="170">
        <v>44949</v>
      </c>
      <c r="B458" s="116">
        <v>3454.65</v>
      </c>
      <c r="C458" s="116">
        <v>3350.3</v>
      </c>
      <c r="D458" s="116">
        <v>3261.2</v>
      </c>
      <c r="E458" s="116">
        <v>3299</v>
      </c>
      <c r="F458" s="116">
        <v>3350.3</v>
      </c>
      <c r="G458">
        <v>10565</v>
      </c>
      <c r="H458" s="116"/>
      <c r="I458" s="116"/>
      <c r="L458" s="170">
        <v>44949</v>
      </c>
      <c r="M458" s="116">
        <v>3351.95</v>
      </c>
      <c r="N458" s="116">
        <v>3477.85</v>
      </c>
      <c r="O458" s="116">
        <v>3265</v>
      </c>
      <c r="P458" s="116">
        <v>3412</v>
      </c>
      <c r="Q458" s="116">
        <v>3351.95</v>
      </c>
      <c r="R458">
        <v>87189</v>
      </c>
    </row>
    <row r="459" spans="1:18" x14ac:dyDescent="0.25">
      <c r="A459" s="170">
        <v>44950</v>
      </c>
      <c r="B459" s="116">
        <v>3362</v>
      </c>
      <c r="C459" s="116">
        <v>3286.25</v>
      </c>
      <c r="D459" s="116">
        <v>3249.75</v>
      </c>
      <c r="E459" s="116">
        <v>3299.75</v>
      </c>
      <c r="F459" s="116">
        <v>3286.25</v>
      </c>
      <c r="G459">
        <v>3996</v>
      </c>
      <c r="H459" s="116"/>
      <c r="I459" s="116"/>
      <c r="L459" s="170">
        <v>44950</v>
      </c>
      <c r="M459" s="116">
        <v>3286.4</v>
      </c>
      <c r="N459" s="116">
        <v>3365.65</v>
      </c>
      <c r="O459" s="116">
        <v>3266.55</v>
      </c>
      <c r="P459" s="116">
        <v>3275</v>
      </c>
      <c r="Q459" s="116">
        <v>3286.4</v>
      </c>
      <c r="R459">
        <v>67785</v>
      </c>
    </row>
    <row r="460" spans="1:18" x14ac:dyDescent="0.25">
      <c r="A460" s="170">
        <v>44951</v>
      </c>
      <c r="B460" s="116">
        <v>3325.15</v>
      </c>
      <c r="C460" s="116">
        <v>3317.95</v>
      </c>
      <c r="D460" s="116">
        <v>3202.75</v>
      </c>
      <c r="E460" s="116">
        <v>3268.2</v>
      </c>
      <c r="F460" s="116">
        <v>3317.95</v>
      </c>
      <c r="G460">
        <v>2597</v>
      </c>
      <c r="H460" s="116"/>
      <c r="I460" s="116"/>
      <c r="L460" s="170">
        <v>44951</v>
      </c>
      <c r="M460" s="116">
        <v>3315.3</v>
      </c>
      <c r="N460" s="116">
        <v>3335</v>
      </c>
      <c r="O460" s="116">
        <v>3228.05</v>
      </c>
      <c r="P460" s="116">
        <v>3235</v>
      </c>
      <c r="Q460" s="116">
        <v>3315.3</v>
      </c>
      <c r="R460">
        <v>56869</v>
      </c>
    </row>
    <row r="461" spans="1:18" x14ac:dyDescent="0.25">
      <c r="A461" s="170">
        <v>44953</v>
      </c>
      <c r="B461" s="116">
        <v>3306.4</v>
      </c>
      <c r="C461" s="116">
        <v>3203.95</v>
      </c>
      <c r="D461" s="116">
        <v>3143.2</v>
      </c>
      <c r="E461" s="116">
        <v>3285</v>
      </c>
      <c r="F461" s="116">
        <v>3203.95</v>
      </c>
      <c r="G461">
        <v>8913</v>
      </c>
      <c r="H461" s="116"/>
      <c r="I461" s="116"/>
      <c r="L461" s="170">
        <v>44953</v>
      </c>
      <c r="M461" s="116">
        <v>3217.25</v>
      </c>
      <c r="N461" s="116">
        <v>3309.95</v>
      </c>
      <c r="O461" s="116">
        <v>3112.9</v>
      </c>
      <c r="P461" s="116">
        <v>3276.65</v>
      </c>
      <c r="Q461" s="116">
        <v>3217.25</v>
      </c>
      <c r="R461">
        <v>82048</v>
      </c>
    </row>
    <row r="462" spans="1:18" x14ac:dyDescent="0.25">
      <c r="A462" s="170">
        <v>44956</v>
      </c>
      <c r="B462" s="116">
        <v>3223.95</v>
      </c>
      <c r="C462" s="116">
        <v>3193.8</v>
      </c>
      <c r="D462" s="116">
        <v>3122.7</v>
      </c>
      <c r="E462" s="116">
        <v>3223.95</v>
      </c>
      <c r="F462" s="116">
        <v>3193.8</v>
      </c>
      <c r="G462">
        <v>3992</v>
      </c>
      <c r="H462" s="116"/>
      <c r="I462" s="116"/>
      <c r="L462" s="170">
        <v>44956</v>
      </c>
      <c r="M462" s="116">
        <v>3195.6</v>
      </c>
      <c r="N462" s="116">
        <v>3216.8</v>
      </c>
      <c r="O462" s="116">
        <v>3125.05</v>
      </c>
      <c r="P462" s="116">
        <v>3196.05</v>
      </c>
      <c r="Q462" s="116">
        <v>3195.6</v>
      </c>
      <c r="R462">
        <v>128354</v>
      </c>
    </row>
    <row r="463" spans="1:18" x14ac:dyDescent="0.25">
      <c r="A463" s="170">
        <v>44957</v>
      </c>
      <c r="B463" s="116">
        <v>3227.8</v>
      </c>
      <c r="C463" s="116">
        <v>3195.45</v>
      </c>
      <c r="D463" s="116">
        <v>3110</v>
      </c>
      <c r="E463" s="116">
        <v>3159.4</v>
      </c>
      <c r="F463" s="116">
        <v>3195.45</v>
      </c>
      <c r="G463">
        <v>2906</v>
      </c>
      <c r="H463" s="116"/>
      <c r="I463" s="116"/>
      <c r="L463" s="170">
        <v>44957</v>
      </c>
      <c r="M463" s="116">
        <v>3189.7</v>
      </c>
      <c r="N463" s="116">
        <v>3229</v>
      </c>
      <c r="O463" s="116">
        <v>3107.7</v>
      </c>
      <c r="P463" s="116">
        <v>3107.7</v>
      </c>
      <c r="Q463" s="116">
        <v>3189.7</v>
      </c>
      <c r="R463">
        <v>55433</v>
      </c>
    </row>
    <row r="464" spans="1:18" x14ac:dyDescent="0.25">
      <c r="A464" s="170">
        <v>44958</v>
      </c>
      <c r="B464" s="116">
        <v>3304.1</v>
      </c>
      <c r="C464" s="116">
        <v>3191.8</v>
      </c>
      <c r="D464" s="116">
        <v>3080.95</v>
      </c>
      <c r="E464" s="116">
        <v>3195.45</v>
      </c>
      <c r="F464" s="116">
        <v>3191.8</v>
      </c>
      <c r="G464">
        <v>5307</v>
      </c>
      <c r="H464" s="116"/>
      <c r="I464" s="116"/>
      <c r="L464" s="170">
        <v>44958</v>
      </c>
      <c r="M464" s="116">
        <v>3232.55</v>
      </c>
      <c r="N464" s="116">
        <v>3307.9</v>
      </c>
      <c r="O464" s="116">
        <v>3085.55</v>
      </c>
      <c r="P464" s="116">
        <v>3217.1</v>
      </c>
      <c r="Q464" s="116">
        <v>3232.55</v>
      </c>
      <c r="R464">
        <v>84245</v>
      </c>
    </row>
    <row r="465" spans="1:18" x14ac:dyDescent="0.25">
      <c r="A465" s="170">
        <v>44959</v>
      </c>
      <c r="B465" s="116">
        <v>3417.55</v>
      </c>
      <c r="C465" s="116">
        <v>3312.35</v>
      </c>
      <c r="D465" s="116">
        <v>3151.2</v>
      </c>
      <c r="E465" s="116">
        <v>3151.2</v>
      </c>
      <c r="F465" s="116">
        <v>3312.35</v>
      </c>
      <c r="G465">
        <v>2881</v>
      </c>
      <c r="H465" s="116"/>
      <c r="I465" s="116"/>
      <c r="L465" s="170">
        <v>44959</v>
      </c>
      <c r="M465" s="116">
        <v>3328.2</v>
      </c>
      <c r="N465" s="116">
        <v>3417.25</v>
      </c>
      <c r="O465" s="116">
        <v>3180</v>
      </c>
      <c r="P465" s="116">
        <v>3180</v>
      </c>
      <c r="Q465" s="116">
        <v>3328.2</v>
      </c>
      <c r="R465">
        <v>88513</v>
      </c>
    </row>
    <row r="466" spans="1:18" x14ac:dyDescent="0.25">
      <c r="A466" s="170">
        <v>44960</v>
      </c>
      <c r="B466" s="116">
        <v>3440.65</v>
      </c>
      <c r="C466" s="116">
        <v>3402.25</v>
      </c>
      <c r="D466" s="116">
        <v>3316.05</v>
      </c>
      <c r="E466" s="116">
        <v>3316.05</v>
      </c>
      <c r="F466" s="116">
        <v>3402.25</v>
      </c>
      <c r="G466">
        <v>3344</v>
      </c>
      <c r="H466" s="116"/>
      <c r="I466" s="116"/>
      <c r="L466" s="170">
        <v>44960</v>
      </c>
      <c r="M466" s="116">
        <v>3398.45</v>
      </c>
      <c r="N466" s="116">
        <v>3445</v>
      </c>
      <c r="O466" s="116">
        <v>3350.1</v>
      </c>
      <c r="P466" s="116">
        <v>3351.95</v>
      </c>
      <c r="Q466" s="116">
        <v>3398.45</v>
      </c>
      <c r="R466">
        <v>60559</v>
      </c>
    </row>
    <row r="467" spans="1:18" x14ac:dyDescent="0.25">
      <c r="A467" s="170">
        <v>44963</v>
      </c>
      <c r="B467" s="116">
        <v>3424.85</v>
      </c>
      <c r="C467" s="116">
        <v>3300</v>
      </c>
      <c r="D467" s="116">
        <v>3277.55</v>
      </c>
      <c r="E467" s="116">
        <v>3358.05</v>
      </c>
      <c r="F467" s="116">
        <v>3300</v>
      </c>
      <c r="G467">
        <v>3102</v>
      </c>
      <c r="H467" s="116"/>
      <c r="I467" s="116"/>
      <c r="L467" s="170">
        <v>44963</v>
      </c>
      <c r="M467" s="116">
        <v>3301.95</v>
      </c>
      <c r="N467" s="116">
        <v>3434</v>
      </c>
      <c r="O467" s="116">
        <v>3277.15</v>
      </c>
      <c r="P467" s="116">
        <v>3416</v>
      </c>
      <c r="Q467" s="116">
        <v>3301.95</v>
      </c>
      <c r="R467">
        <v>73671</v>
      </c>
    </row>
    <row r="468" spans="1:18" x14ac:dyDescent="0.25">
      <c r="A468" s="170">
        <v>44964</v>
      </c>
      <c r="B468" s="116">
        <v>3430</v>
      </c>
      <c r="C468" s="116">
        <v>3371.25</v>
      </c>
      <c r="D468" s="116">
        <v>3337.25</v>
      </c>
      <c r="E468" s="116">
        <v>3364.95</v>
      </c>
      <c r="F468" s="116">
        <v>3371.25</v>
      </c>
      <c r="G468">
        <v>2187</v>
      </c>
      <c r="H468" s="116"/>
      <c r="I468" s="116"/>
      <c r="L468" s="170">
        <v>44964</v>
      </c>
      <c r="M468" s="116">
        <v>3368.85</v>
      </c>
      <c r="N468" s="116">
        <v>3463.9</v>
      </c>
      <c r="O468" s="116">
        <v>3336.15</v>
      </c>
      <c r="P468" s="116">
        <v>3349.85</v>
      </c>
      <c r="Q468" s="116">
        <v>3368.85</v>
      </c>
      <c r="R468">
        <v>63240</v>
      </c>
    </row>
    <row r="469" spans="1:18" x14ac:dyDescent="0.25">
      <c r="A469" s="170">
        <v>44965</v>
      </c>
      <c r="B469" s="116">
        <v>3460.3</v>
      </c>
      <c r="C469" s="116">
        <v>3384.6</v>
      </c>
      <c r="D469" s="116">
        <v>3340.7</v>
      </c>
      <c r="E469" s="116">
        <v>3438.7</v>
      </c>
      <c r="F469" s="116">
        <v>3384.6</v>
      </c>
      <c r="G469">
        <v>3450</v>
      </c>
      <c r="H469" s="116"/>
      <c r="I469" s="116"/>
      <c r="L469" s="170">
        <v>44965</v>
      </c>
      <c r="M469" s="116">
        <v>3380.3</v>
      </c>
      <c r="N469" s="116">
        <v>3463</v>
      </c>
      <c r="O469" s="116">
        <v>3352.5</v>
      </c>
      <c r="P469" s="116">
        <v>3397.75</v>
      </c>
      <c r="Q469" s="116">
        <v>3380.3</v>
      </c>
      <c r="R469">
        <v>54294</v>
      </c>
    </row>
    <row r="470" spans="1:18" x14ac:dyDescent="0.25">
      <c r="A470" s="170">
        <v>44966</v>
      </c>
      <c r="B470" s="116">
        <v>3415.05</v>
      </c>
      <c r="C470" s="116">
        <v>3280.2</v>
      </c>
      <c r="D470" s="116">
        <v>3271.5</v>
      </c>
      <c r="E470" s="116">
        <v>3300.25</v>
      </c>
      <c r="F470" s="116">
        <v>3280.2</v>
      </c>
      <c r="G470">
        <v>2697</v>
      </c>
      <c r="H470" s="116"/>
      <c r="I470" s="116"/>
      <c r="L470" s="170">
        <v>44966</v>
      </c>
      <c r="M470" s="116">
        <v>3280.85</v>
      </c>
      <c r="N470" s="116">
        <v>3418.85</v>
      </c>
      <c r="O470" s="116">
        <v>3268.05</v>
      </c>
      <c r="P470" s="116">
        <v>3356.3</v>
      </c>
      <c r="Q470" s="116">
        <v>3280.85</v>
      </c>
      <c r="R470">
        <v>34816</v>
      </c>
    </row>
    <row r="471" spans="1:18" x14ac:dyDescent="0.25">
      <c r="A471" s="170">
        <v>44967</v>
      </c>
      <c r="B471" s="116">
        <v>3378.55</v>
      </c>
      <c r="C471" s="116">
        <v>3355.55</v>
      </c>
      <c r="D471" s="116">
        <v>3278.05</v>
      </c>
      <c r="E471" s="116">
        <v>3297.5</v>
      </c>
      <c r="F471" s="116">
        <v>3355.55</v>
      </c>
      <c r="G471">
        <v>1407</v>
      </c>
      <c r="H471" s="116"/>
      <c r="I471" s="116"/>
      <c r="L471" s="170">
        <v>44967</v>
      </c>
      <c r="M471" s="116">
        <v>3354.5</v>
      </c>
      <c r="N471" s="116">
        <v>3380</v>
      </c>
      <c r="O471" s="116">
        <v>3275</v>
      </c>
      <c r="P471" s="116">
        <v>3280.85</v>
      </c>
      <c r="Q471" s="116">
        <v>3354.5</v>
      </c>
      <c r="R471">
        <v>38677</v>
      </c>
    </row>
    <row r="472" spans="1:18" x14ac:dyDescent="0.25">
      <c r="A472" s="170">
        <v>44970</v>
      </c>
      <c r="B472" s="116">
        <v>3435</v>
      </c>
      <c r="C472" s="116">
        <v>3376.25</v>
      </c>
      <c r="D472" s="116">
        <v>3351.7</v>
      </c>
      <c r="E472" s="116">
        <v>3421.6</v>
      </c>
      <c r="F472" s="116">
        <v>3376.25</v>
      </c>
      <c r="G472">
        <v>1483</v>
      </c>
      <c r="H472" s="116"/>
      <c r="I472" s="116"/>
      <c r="L472" s="170">
        <v>44970</v>
      </c>
      <c r="M472" s="116">
        <v>3367.85</v>
      </c>
      <c r="N472" s="116">
        <v>3398.95</v>
      </c>
      <c r="O472" s="116">
        <v>3351.6</v>
      </c>
      <c r="P472" s="116">
        <v>3360</v>
      </c>
      <c r="Q472" s="116">
        <v>3367.85</v>
      </c>
      <c r="R472">
        <v>10190</v>
      </c>
    </row>
    <row r="473" spans="1:18" x14ac:dyDescent="0.25">
      <c r="A473" s="170">
        <v>44971</v>
      </c>
      <c r="B473" s="116">
        <v>3442.95</v>
      </c>
      <c r="C473" s="116">
        <v>3349.15</v>
      </c>
      <c r="D473" s="116">
        <v>3317.6</v>
      </c>
      <c r="E473" s="116">
        <v>3442.95</v>
      </c>
      <c r="F473" s="116">
        <v>3349.15</v>
      </c>
      <c r="G473">
        <v>2398</v>
      </c>
      <c r="H473" s="116"/>
      <c r="I473" s="116"/>
      <c r="L473" s="170">
        <v>44971</v>
      </c>
      <c r="M473" s="116">
        <v>3351.4</v>
      </c>
      <c r="N473" s="116">
        <v>3385.65</v>
      </c>
      <c r="O473" s="116">
        <v>3316</v>
      </c>
      <c r="P473" s="116">
        <v>3385.6</v>
      </c>
      <c r="Q473" s="116">
        <v>3351.4</v>
      </c>
      <c r="R473">
        <v>15053</v>
      </c>
    </row>
    <row r="474" spans="1:18" x14ac:dyDescent="0.25">
      <c r="A474" s="170">
        <v>44972</v>
      </c>
      <c r="B474" s="116">
        <v>3372.45</v>
      </c>
      <c r="C474" s="116">
        <v>3364.85</v>
      </c>
      <c r="D474" s="116">
        <v>3356.45</v>
      </c>
      <c r="E474" s="116">
        <v>3363.75</v>
      </c>
      <c r="F474" s="116">
        <v>3364.85</v>
      </c>
      <c r="G474">
        <v>296</v>
      </c>
      <c r="H474" s="116"/>
      <c r="I474" s="116"/>
      <c r="L474" s="170">
        <v>44972</v>
      </c>
      <c r="M474" s="116">
        <v>3367.55</v>
      </c>
      <c r="N474" s="116">
        <v>3371.95</v>
      </c>
      <c r="O474" s="116">
        <v>3340</v>
      </c>
      <c r="P474" s="116">
        <v>3340</v>
      </c>
      <c r="Q474" s="116">
        <v>3367.55</v>
      </c>
      <c r="R474">
        <v>9217</v>
      </c>
    </row>
    <row r="475" spans="1:18" x14ac:dyDescent="0.25">
      <c r="A475" s="170">
        <v>44973</v>
      </c>
      <c r="B475" s="116">
        <v>3564.6</v>
      </c>
      <c r="C475" s="116">
        <v>3548.6</v>
      </c>
      <c r="D475" s="116">
        <v>3402.2</v>
      </c>
      <c r="E475" s="116">
        <v>3403.65</v>
      </c>
      <c r="F475" s="116">
        <v>3548.6</v>
      </c>
      <c r="G475">
        <v>2501</v>
      </c>
      <c r="H475" s="116"/>
      <c r="I475" s="116"/>
      <c r="L475" s="170">
        <v>44973</v>
      </c>
      <c r="M475" s="116">
        <v>3546.6</v>
      </c>
      <c r="N475" s="116">
        <v>3574.7</v>
      </c>
      <c r="O475" s="116">
        <v>3386</v>
      </c>
      <c r="P475" s="116">
        <v>3386</v>
      </c>
      <c r="Q475" s="116">
        <v>3546.6</v>
      </c>
      <c r="R475">
        <v>42206</v>
      </c>
    </row>
    <row r="476" spans="1:18" x14ac:dyDescent="0.25">
      <c r="A476" s="170">
        <v>44974</v>
      </c>
      <c r="B476" s="116">
        <v>3570</v>
      </c>
      <c r="C476" s="116">
        <v>3516.35</v>
      </c>
      <c r="D476" s="116">
        <v>3500</v>
      </c>
      <c r="E476" s="116">
        <v>3570</v>
      </c>
      <c r="F476" s="116">
        <v>3516.35</v>
      </c>
      <c r="G476">
        <v>3034</v>
      </c>
      <c r="H476" s="116"/>
      <c r="I476" s="116"/>
      <c r="L476" s="170">
        <v>44974</v>
      </c>
      <c r="M476" s="116">
        <v>3516.65</v>
      </c>
      <c r="N476" s="116">
        <v>3574.95</v>
      </c>
      <c r="O476" s="116">
        <v>3492.7</v>
      </c>
      <c r="P476" s="116">
        <v>3546.6</v>
      </c>
      <c r="Q476" s="116">
        <v>3516.65</v>
      </c>
      <c r="R476">
        <v>18703</v>
      </c>
    </row>
    <row r="477" spans="1:18" x14ac:dyDescent="0.25">
      <c r="A477" s="170">
        <v>44977</v>
      </c>
      <c r="B477" s="116">
        <v>3589.95</v>
      </c>
      <c r="C477" s="116">
        <v>3564.7</v>
      </c>
      <c r="D477" s="116">
        <v>3508.45</v>
      </c>
      <c r="E477" s="116">
        <v>3589.95</v>
      </c>
      <c r="F477" s="116">
        <v>3564.7</v>
      </c>
      <c r="G477">
        <v>2681</v>
      </c>
      <c r="H477" s="116"/>
      <c r="I477" s="116"/>
      <c r="L477" s="170">
        <v>44977</v>
      </c>
      <c r="M477" s="116">
        <v>3550.2</v>
      </c>
      <c r="N477" s="116">
        <v>3588.95</v>
      </c>
      <c r="O477" s="116">
        <v>3508.35</v>
      </c>
      <c r="P477" s="116">
        <v>3517</v>
      </c>
      <c r="Q477" s="116">
        <v>3550.2</v>
      </c>
      <c r="R477">
        <v>28325</v>
      </c>
    </row>
    <row r="478" spans="1:18" x14ac:dyDescent="0.25">
      <c r="A478" s="170">
        <v>44978</v>
      </c>
      <c r="B478" s="116">
        <v>3611</v>
      </c>
      <c r="C478" s="116">
        <v>3559.2</v>
      </c>
      <c r="D478" s="116">
        <v>3526.65</v>
      </c>
      <c r="E478" s="116">
        <v>3526.65</v>
      </c>
      <c r="F478" s="116">
        <v>3559.2</v>
      </c>
      <c r="G478">
        <v>3640</v>
      </c>
      <c r="H478" s="116"/>
      <c r="I478" s="116"/>
      <c r="L478" s="170">
        <v>44978</v>
      </c>
      <c r="M478" s="116">
        <v>3560.9</v>
      </c>
      <c r="N478" s="116">
        <v>3613.9</v>
      </c>
      <c r="O478" s="116">
        <v>3525</v>
      </c>
      <c r="P478" s="116">
        <v>3550.2</v>
      </c>
      <c r="Q478" s="116">
        <v>3560.9</v>
      </c>
      <c r="R478">
        <v>40934</v>
      </c>
    </row>
    <row r="479" spans="1:18" x14ac:dyDescent="0.25">
      <c r="A479" s="170">
        <v>44979</v>
      </c>
      <c r="B479" s="116">
        <v>3563.75</v>
      </c>
      <c r="C479" s="116">
        <v>3370.85</v>
      </c>
      <c r="D479" s="116">
        <v>3333.25</v>
      </c>
      <c r="E479" s="116">
        <v>3455.05</v>
      </c>
      <c r="F479" s="116">
        <v>3370.85</v>
      </c>
      <c r="G479">
        <v>4162</v>
      </c>
      <c r="H479" s="116"/>
      <c r="I479" s="116"/>
      <c r="L479" s="170">
        <v>44979</v>
      </c>
      <c r="M479" s="116">
        <v>3371.5</v>
      </c>
      <c r="N479" s="116">
        <v>3565.6</v>
      </c>
      <c r="O479" s="116">
        <v>3332.55</v>
      </c>
      <c r="P479" s="116">
        <v>3535</v>
      </c>
      <c r="Q479" s="116">
        <v>3371.5</v>
      </c>
      <c r="R479">
        <v>68437</v>
      </c>
    </row>
    <row r="480" spans="1:18" x14ac:dyDescent="0.25">
      <c r="A480" s="170">
        <v>44980</v>
      </c>
      <c r="B480" s="116">
        <v>3461.7</v>
      </c>
      <c r="C480" s="116">
        <v>3451</v>
      </c>
      <c r="D480" s="116">
        <v>3384.95</v>
      </c>
      <c r="E480" s="116">
        <v>3417.15</v>
      </c>
      <c r="F480" s="116">
        <v>3451</v>
      </c>
      <c r="G480">
        <v>1435</v>
      </c>
      <c r="H480" s="116"/>
      <c r="I480" s="116"/>
      <c r="L480" s="170">
        <v>44980</v>
      </c>
      <c r="M480" s="116">
        <v>3449.85</v>
      </c>
      <c r="N480" s="116">
        <v>3470</v>
      </c>
      <c r="O480" s="116">
        <v>3371.5</v>
      </c>
      <c r="P480" s="116">
        <v>3371.5</v>
      </c>
      <c r="Q480" s="116">
        <v>3449.85</v>
      </c>
      <c r="R480">
        <v>44798</v>
      </c>
    </row>
    <row r="481" spans="1:18" x14ac:dyDescent="0.25">
      <c r="A481" s="170">
        <v>44981</v>
      </c>
      <c r="B481" s="116">
        <v>3478.7</v>
      </c>
      <c r="C481" s="116">
        <v>3384.5</v>
      </c>
      <c r="D481" s="116">
        <v>3358.8</v>
      </c>
      <c r="E481" s="116">
        <v>3469.6</v>
      </c>
      <c r="F481" s="116">
        <v>3384.5</v>
      </c>
      <c r="G481">
        <v>2437</v>
      </c>
      <c r="H481" s="116"/>
      <c r="I481" s="116"/>
      <c r="L481" s="170">
        <v>44981</v>
      </c>
      <c r="M481" s="116">
        <v>3389</v>
      </c>
      <c r="N481" s="116">
        <v>3472.15</v>
      </c>
      <c r="O481" s="116">
        <v>3354.85</v>
      </c>
      <c r="P481" s="116">
        <v>3472.15</v>
      </c>
      <c r="Q481" s="116">
        <v>3389</v>
      </c>
      <c r="R481">
        <v>31937</v>
      </c>
    </row>
    <row r="482" spans="1:18" x14ac:dyDescent="0.25">
      <c r="A482" s="170">
        <v>44984</v>
      </c>
      <c r="B482" s="116">
        <v>3413.65</v>
      </c>
      <c r="C482" s="116">
        <v>3306.8</v>
      </c>
      <c r="D482" s="116">
        <v>3271.3</v>
      </c>
      <c r="E482" s="116">
        <v>3360</v>
      </c>
      <c r="F482" s="116">
        <v>3306.8</v>
      </c>
      <c r="G482">
        <v>1244</v>
      </c>
      <c r="H482" s="116"/>
      <c r="I482" s="116"/>
      <c r="L482" s="170">
        <v>44984</v>
      </c>
      <c r="M482" s="116">
        <v>3305.1</v>
      </c>
      <c r="N482" s="116">
        <v>3417.65</v>
      </c>
      <c r="O482" s="116">
        <v>3269.9</v>
      </c>
      <c r="P482" s="116">
        <v>3393</v>
      </c>
      <c r="Q482" s="116">
        <v>3305.1</v>
      </c>
      <c r="R482">
        <v>104197</v>
      </c>
    </row>
    <row r="483" spans="1:18" x14ac:dyDescent="0.25">
      <c r="A483" s="170">
        <v>44985</v>
      </c>
      <c r="B483" s="116">
        <v>3357</v>
      </c>
      <c r="C483" s="116">
        <v>3323.1</v>
      </c>
      <c r="D483" s="116">
        <v>3287.65</v>
      </c>
      <c r="E483" s="116">
        <v>3327.25</v>
      </c>
      <c r="F483" s="116">
        <v>3323.1</v>
      </c>
      <c r="G483">
        <v>1409</v>
      </c>
      <c r="H483" s="116"/>
      <c r="I483" s="116"/>
      <c r="L483" s="170">
        <v>44985</v>
      </c>
      <c r="M483" s="116">
        <v>3324.5</v>
      </c>
      <c r="N483" s="116">
        <v>3359.95</v>
      </c>
      <c r="O483" s="116">
        <v>3285</v>
      </c>
      <c r="P483" s="116">
        <v>3305</v>
      </c>
      <c r="Q483" s="116">
        <v>3324.5</v>
      </c>
      <c r="R483">
        <v>36508</v>
      </c>
    </row>
    <row r="484" spans="1:18" x14ac:dyDescent="0.25">
      <c r="A484" s="170">
        <v>44986</v>
      </c>
      <c r="B484" s="116">
        <v>3379.65</v>
      </c>
      <c r="C484" s="116">
        <v>3304.85</v>
      </c>
      <c r="D484" s="116">
        <v>3252.75</v>
      </c>
      <c r="E484" s="116">
        <v>3252.75</v>
      </c>
      <c r="F484" s="116">
        <v>3304.85</v>
      </c>
      <c r="G484">
        <v>1265</v>
      </c>
      <c r="H484" s="116"/>
      <c r="I484" s="116"/>
      <c r="L484" s="170">
        <v>44986</v>
      </c>
      <c r="M484" s="116">
        <v>3300.8</v>
      </c>
      <c r="N484" s="116">
        <v>3386.6</v>
      </c>
      <c r="O484" s="116">
        <v>3257.9</v>
      </c>
      <c r="P484" s="116">
        <v>3342.9</v>
      </c>
      <c r="Q484" s="116">
        <v>3300.8</v>
      </c>
      <c r="R484">
        <v>91308</v>
      </c>
    </row>
    <row r="485" spans="1:18" x14ac:dyDescent="0.25">
      <c r="A485" s="170">
        <v>44987</v>
      </c>
      <c r="B485" s="116">
        <v>3323.3</v>
      </c>
      <c r="C485" s="116">
        <v>3291.4</v>
      </c>
      <c r="D485" s="116">
        <v>3250.45</v>
      </c>
      <c r="E485" s="116">
        <v>3250.45</v>
      </c>
      <c r="F485" s="116">
        <v>3291.4</v>
      </c>
      <c r="G485">
        <v>2305</v>
      </c>
      <c r="H485" s="116"/>
      <c r="I485" s="116"/>
      <c r="L485" s="170">
        <v>44987</v>
      </c>
      <c r="M485" s="116">
        <v>3292.05</v>
      </c>
      <c r="N485" s="116">
        <v>3327.55</v>
      </c>
      <c r="O485" s="116">
        <v>3262.6</v>
      </c>
      <c r="P485" s="116">
        <v>3317.4</v>
      </c>
      <c r="Q485" s="116">
        <v>3292.05</v>
      </c>
      <c r="R485">
        <v>52147</v>
      </c>
    </row>
    <row r="486" spans="1:18" x14ac:dyDescent="0.25">
      <c r="A486" s="170">
        <v>44988</v>
      </c>
      <c r="B486" s="116">
        <v>3385.7</v>
      </c>
      <c r="C486" s="116">
        <v>3332.75</v>
      </c>
      <c r="D486" s="116">
        <v>3310</v>
      </c>
      <c r="E486" s="116">
        <v>3338.6</v>
      </c>
      <c r="F486" s="116">
        <v>3332.75</v>
      </c>
      <c r="G486">
        <v>649</v>
      </c>
      <c r="H486" s="116"/>
      <c r="I486" s="116"/>
      <c r="L486" s="170">
        <v>44988</v>
      </c>
      <c r="M486" s="116">
        <v>3329.6</v>
      </c>
      <c r="N486" s="116">
        <v>3385.95</v>
      </c>
      <c r="O486" s="116">
        <v>3308</v>
      </c>
      <c r="P486" s="116">
        <v>3329.9</v>
      </c>
      <c r="Q486" s="116">
        <v>3329.6</v>
      </c>
      <c r="R486">
        <v>47131</v>
      </c>
    </row>
    <row r="487" spans="1:18" x14ac:dyDescent="0.25">
      <c r="A487" s="170">
        <v>44991</v>
      </c>
      <c r="B487" s="116">
        <v>3351.2</v>
      </c>
      <c r="C487" s="116">
        <v>3297.65</v>
      </c>
      <c r="D487" s="116">
        <v>3260.05</v>
      </c>
      <c r="E487" s="116">
        <v>3260.05</v>
      </c>
      <c r="F487" s="116">
        <v>3297.65</v>
      </c>
      <c r="G487">
        <v>2939</v>
      </c>
      <c r="H487" s="116"/>
      <c r="I487" s="116"/>
      <c r="L487" s="170">
        <v>44991</v>
      </c>
      <c r="M487" s="116">
        <v>3298.5</v>
      </c>
      <c r="N487" s="116">
        <v>3353.25</v>
      </c>
      <c r="O487" s="116">
        <v>3273</v>
      </c>
      <c r="P487" s="116">
        <v>3329</v>
      </c>
      <c r="Q487" s="116">
        <v>3298.5</v>
      </c>
      <c r="R487">
        <v>37761</v>
      </c>
    </row>
    <row r="488" spans="1:18" x14ac:dyDescent="0.25">
      <c r="A488" s="170">
        <v>44993</v>
      </c>
      <c r="B488" s="116">
        <v>3295</v>
      </c>
      <c r="C488" s="116">
        <v>3263.05</v>
      </c>
      <c r="D488" s="116">
        <v>3244.05</v>
      </c>
      <c r="E488" s="116">
        <v>3295</v>
      </c>
      <c r="F488" s="116">
        <v>3263.05</v>
      </c>
      <c r="G488">
        <v>733</v>
      </c>
      <c r="H488" s="116"/>
      <c r="I488" s="116"/>
      <c r="L488" s="170">
        <v>44993</v>
      </c>
      <c r="M488" s="116">
        <v>3261.5</v>
      </c>
      <c r="N488" s="116">
        <v>3301</v>
      </c>
      <c r="O488" s="116">
        <v>3248.85</v>
      </c>
      <c r="P488" s="116">
        <v>3301</v>
      </c>
      <c r="Q488" s="116">
        <v>3261.5</v>
      </c>
      <c r="R488">
        <v>35858</v>
      </c>
    </row>
    <row r="489" spans="1:18" x14ac:dyDescent="0.25">
      <c r="A489" s="170">
        <v>44994</v>
      </c>
      <c r="B489" s="116">
        <v>3322</v>
      </c>
      <c r="C489" s="116">
        <v>3301.05</v>
      </c>
      <c r="D489" s="116">
        <v>3275.9</v>
      </c>
      <c r="E489" s="116">
        <v>3276.4</v>
      </c>
      <c r="F489" s="116">
        <v>3301.05</v>
      </c>
      <c r="G489">
        <v>1047</v>
      </c>
      <c r="H489" s="116"/>
      <c r="I489" s="116"/>
      <c r="L489" s="170">
        <v>44994</v>
      </c>
      <c r="M489" s="116">
        <v>3302.15</v>
      </c>
      <c r="N489" s="116">
        <v>3332.85</v>
      </c>
      <c r="O489" s="116">
        <v>3269.95</v>
      </c>
      <c r="P489" s="116">
        <v>3270</v>
      </c>
      <c r="Q489" s="116">
        <v>3302.15</v>
      </c>
      <c r="R489">
        <v>26516</v>
      </c>
    </row>
    <row r="490" spans="1:18" x14ac:dyDescent="0.25">
      <c r="A490" s="170">
        <v>44995</v>
      </c>
      <c r="B490" s="116">
        <v>3275</v>
      </c>
      <c r="C490" s="116">
        <v>3156.8</v>
      </c>
      <c r="D490" s="116">
        <v>3114.65</v>
      </c>
      <c r="E490" s="116">
        <v>3250.25</v>
      </c>
      <c r="F490" s="116">
        <v>3156.8</v>
      </c>
      <c r="G490">
        <v>5865</v>
      </c>
      <c r="H490" s="116"/>
      <c r="I490" s="116"/>
      <c r="L490" s="170">
        <v>44995</v>
      </c>
      <c r="M490" s="116">
        <v>3159.2</v>
      </c>
      <c r="N490" s="116">
        <v>3298.9</v>
      </c>
      <c r="O490" s="116">
        <v>3115.55</v>
      </c>
      <c r="P490" s="116">
        <v>3251</v>
      </c>
      <c r="Q490" s="116">
        <v>3159.2</v>
      </c>
      <c r="R490">
        <v>122469</v>
      </c>
    </row>
    <row r="491" spans="1:18" x14ac:dyDescent="0.25">
      <c r="A491" s="170">
        <v>44998</v>
      </c>
      <c r="B491" s="116">
        <v>3178.45</v>
      </c>
      <c r="C491" s="116">
        <v>3075.85</v>
      </c>
      <c r="D491" s="116">
        <v>3021.25</v>
      </c>
      <c r="E491" s="116">
        <v>3103.05</v>
      </c>
      <c r="F491" s="116">
        <v>3075.85</v>
      </c>
      <c r="G491">
        <v>5316</v>
      </c>
      <c r="H491" s="116"/>
      <c r="I491" s="116"/>
      <c r="L491" s="170">
        <v>44998</v>
      </c>
      <c r="M491" s="116">
        <v>3075.85</v>
      </c>
      <c r="N491" s="116">
        <v>3188.9</v>
      </c>
      <c r="O491" s="116">
        <v>3021</v>
      </c>
      <c r="P491" s="116">
        <v>3159.2</v>
      </c>
      <c r="Q491" s="116">
        <v>3075.85</v>
      </c>
      <c r="R491">
        <v>111755</v>
      </c>
    </row>
    <row r="492" spans="1:18" x14ac:dyDescent="0.25">
      <c r="A492" s="170">
        <v>44999</v>
      </c>
      <c r="B492" s="116">
        <v>3085</v>
      </c>
      <c r="C492" s="116">
        <v>2985.55</v>
      </c>
      <c r="D492" s="116">
        <v>2973</v>
      </c>
      <c r="E492" s="116">
        <v>3085</v>
      </c>
      <c r="F492" s="116">
        <v>2985.55</v>
      </c>
      <c r="G492">
        <v>5404</v>
      </c>
      <c r="H492" s="116"/>
      <c r="I492" s="116"/>
      <c r="L492" s="170">
        <v>44999</v>
      </c>
      <c r="M492" s="116">
        <v>2984.25</v>
      </c>
      <c r="N492" s="116">
        <v>3080</v>
      </c>
      <c r="O492" s="116">
        <v>2973</v>
      </c>
      <c r="P492" s="116">
        <v>3065</v>
      </c>
      <c r="Q492" s="116">
        <v>2984.25</v>
      </c>
      <c r="R492">
        <v>94135</v>
      </c>
    </row>
    <row r="493" spans="1:18" x14ac:dyDescent="0.25">
      <c r="A493" s="170">
        <v>45000</v>
      </c>
      <c r="B493" s="116">
        <v>3084.9</v>
      </c>
      <c r="C493" s="116">
        <v>3026.2</v>
      </c>
      <c r="D493" s="116">
        <v>2962.85</v>
      </c>
      <c r="E493" s="116">
        <v>3084.9</v>
      </c>
      <c r="F493" s="116">
        <v>3026.2</v>
      </c>
      <c r="G493">
        <v>3146</v>
      </c>
      <c r="H493" s="116"/>
      <c r="I493" s="116"/>
      <c r="L493" s="170">
        <v>45000</v>
      </c>
      <c r="M493" s="116">
        <v>3028.4</v>
      </c>
      <c r="N493" s="116">
        <v>3050</v>
      </c>
      <c r="O493" s="116">
        <v>2963.25</v>
      </c>
      <c r="P493" s="116">
        <v>3028.4</v>
      </c>
      <c r="Q493" s="116">
        <v>3028.4</v>
      </c>
      <c r="R493">
        <v>50557</v>
      </c>
    </row>
    <row r="494" spans="1:18" x14ac:dyDescent="0.25">
      <c r="A494" s="170">
        <v>45001</v>
      </c>
      <c r="B494" s="116">
        <v>3030</v>
      </c>
      <c r="C494" s="116">
        <v>2995.55</v>
      </c>
      <c r="D494" s="116">
        <v>2889.6</v>
      </c>
      <c r="E494" s="116">
        <v>2889.6</v>
      </c>
      <c r="F494" s="116">
        <v>2995.55</v>
      </c>
      <c r="G494">
        <v>1771</v>
      </c>
      <c r="H494" s="116"/>
      <c r="I494" s="116"/>
      <c r="L494" s="170">
        <v>45001</v>
      </c>
      <c r="M494" s="116">
        <v>2995.8</v>
      </c>
      <c r="N494" s="116">
        <v>3039</v>
      </c>
      <c r="O494" s="116">
        <v>2968.35</v>
      </c>
      <c r="P494" s="116">
        <v>3029.95</v>
      </c>
      <c r="Q494" s="116">
        <v>2995.8</v>
      </c>
      <c r="R494">
        <v>73163</v>
      </c>
    </row>
    <row r="495" spans="1:18" x14ac:dyDescent="0.25">
      <c r="A495" s="170">
        <v>45002</v>
      </c>
      <c r="B495" s="116">
        <v>3018.95</v>
      </c>
      <c r="C495" s="116">
        <v>2922.7</v>
      </c>
      <c r="D495" s="116">
        <v>2874.35</v>
      </c>
      <c r="E495" s="116">
        <v>3000.05</v>
      </c>
      <c r="F495" s="116">
        <v>2922.7</v>
      </c>
      <c r="G495">
        <v>3715</v>
      </c>
      <c r="H495" s="116"/>
      <c r="I495" s="116"/>
      <c r="L495" s="170">
        <v>45002</v>
      </c>
      <c r="M495" s="116">
        <v>2904.55</v>
      </c>
      <c r="N495" s="116">
        <v>3037.9</v>
      </c>
      <c r="O495" s="116">
        <v>2873</v>
      </c>
      <c r="P495" s="116">
        <v>3037.9</v>
      </c>
      <c r="Q495" s="116">
        <v>2904.55</v>
      </c>
      <c r="R495">
        <v>181443</v>
      </c>
    </row>
    <row r="496" spans="1:18" x14ac:dyDescent="0.25">
      <c r="A496" s="170">
        <v>45005</v>
      </c>
      <c r="B496" s="116">
        <v>2893.05</v>
      </c>
      <c r="C496" s="116">
        <v>2828.75</v>
      </c>
      <c r="D496" s="116">
        <v>2699.4</v>
      </c>
      <c r="E496" s="116">
        <v>2893.05</v>
      </c>
      <c r="F496" s="116">
        <v>2828.75</v>
      </c>
      <c r="G496">
        <v>8568</v>
      </c>
      <c r="H496" s="116"/>
      <c r="I496" s="116"/>
      <c r="L496" s="170">
        <v>45005</v>
      </c>
      <c r="M496" s="116">
        <v>2810.3</v>
      </c>
      <c r="N496" s="116">
        <v>2915</v>
      </c>
      <c r="O496" s="116">
        <v>2735</v>
      </c>
      <c r="P496" s="116">
        <v>2915</v>
      </c>
      <c r="Q496" s="116">
        <v>2810.3</v>
      </c>
      <c r="R496">
        <v>152421</v>
      </c>
    </row>
    <row r="497" spans="1:18" x14ac:dyDescent="0.25">
      <c r="A497" s="170">
        <v>45006</v>
      </c>
      <c r="B497" s="116">
        <v>2973.95</v>
      </c>
      <c r="C497" s="116">
        <v>2874.9</v>
      </c>
      <c r="D497" s="116">
        <v>2856.2</v>
      </c>
      <c r="E497" s="116">
        <v>2866.1</v>
      </c>
      <c r="F497" s="116">
        <v>2874.9</v>
      </c>
      <c r="G497">
        <v>3972</v>
      </c>
      <c r="H497" s="116"/>
      <c r="I497" s="116"/>
      <c r="L497" s="170">
        <v>45006</v>
      </c>
      <c r="M497" s="116">
        <v>2879.95</v>
      </c>
      <c r="N497" s="116">
        <v>2975</v>
      </c>
      <c r="O497" s="116">
        <v>2852</v>
      </c>
      <c r="P497" s="116">
        <v>2864</v>
      </c>
      <c r="Q497" s="116">
        <v>2879.95</v>
      </c>
      <c r="R497">
        <v>58340</v>
      </c>
    </row>
    <row r="498" spans="1:18" x14ac:dyDescent="0.25">
      <c r="A498" s="170">
        <v>45007</v>
      </c>
      <c r="B498" s="116">
        <v>2924.95</v>
      </c>
      <c r="C498" s="116">
        <v>2818.5</v>
      </c>
      <c r="D498" s="116">
        <v>2808.6</v>
      </c>
      <c r="E498" s="116">
        <v>2924.95</v>
      </c>
      <c r="F498" s="116">
        <v>2818.5</v>
      </c>
      <c r="G498">
        <v>1191</v>
      </c>
      <c r="H498" s="116"/>
      <c r="I498" s="116"/>
      <c r="L498" s="170">
        <v>45007</v>
      </c>
      <c r="M498" s="116">
        <v>2819.75</v>
      </c>
      <c r="N498" s="116">
        <v>2902.7</v>
      </c>
      <c r="O498" s="116">
        <v>2806.4</v>
      </c>
      <c r="P498" s="116">
        <v>2902.7</v>
      </c>
      <c r="Q498" s="116">
        <v>2819.75</v>
      </c>
      <c r="R498">
        <v>26383</v>
      </c>
    </row>
    <row r="499" spans="1:18" x14ac:dyDescent="0.25">
      <c r="A499" s="170">
        <v>45008</v>
      </c>
      <c r="B499" s="116">
        <v>3028.35</v>
      </c>
      <c r="C499" s="116">
        <v>2982.1</v>
      </c>
      <c r="D499" s="116">
        <v>2797</v>
      </c>
      <c r="E499" s="116">
        <v>2819.8</v>
      </c>
      <c r="F499" s="116">
        <v>2982.1</v>
      </c>
      <c r="G499">
        <v>6057</v>
      </c>
      <c r="H499" s="116"/>
      <c r="I499" s="116"/>
      <c r="L499" s="170">
        <v>45008</v>
      </c>
      <c r="M499" s="116">
        <v>2970.4</v>
      </c>
      <c r="N499" s="116">
        <v>2995.05</v>
      </c>
      <c r="O499" s="116">
        <v>2795</v>
      </c>
      <c r="P499" s="116">
        <v>2823.85</v>
      </c>
      <c r="Q499" s="116">
        <v>2970.4</v>
      </c>
      <c r="R499">
        <v>80445</v>
      </c>
    </row>
    <row r="500" spans="1:18" x14ac:dyDescent="0.25">
      <c r="A500" s="170">
        <v>45009</v>
      </c>
      <c r="B500" s="116">
        <v>3067.5</v>
      </c>
      <c r="C500" s="116">
        <v>3035.95</v>
      </c>
      <c r="D500" s="116">
        <v>2923.05</v>
      </c>
      <c r="E500" s="116">
        <v>2923.05</v>
      </c>
      <c r="F500" s="116">
        <v>3035.95</v>
      </c>
      <c r="G500">
        <v>6417</v>
      </c>
      <c r="H500" s="116"/>
      <c r="I500" s="116"/>
      <c r="L500" s="170">
        <v>45009</v>
      </c>
      <c r="M500" s="116">
        <v>3018.3</v>
      </c>
      <c r="N500" s="116">
        <v>3049.3</v>
      </c>
      <c r="O500" s="116">
        <v>2940.05</v>
      </c>
      <c r="P500" s="116">
        <v>2955</v>
      </c>
      <c r="Q500" s="116">
        <v>3018.3</v>
      </c>
      <c r="R500">
        <v>85523</v>
      </c>
    </row>
    <row r="501" spans="1:18" x14ac:dyDescent="0.25">
      <c r="A501" s="170">
        <v>45012</v>
      </c>
      <c r="B501" s="116">
        <v>3051.65</v>
      </c>
      <c r="C501" s="116">
        <v>3007.9</v>
      </c>
      <c r="D501" s="116">
        <v>2980</v>
      </c>
      <c r="E501" s="116">
        <v>3044.7</v>
      </c>
      <c r="F501" s="116">
        <v>3007.9</v>
      </c>
      <c r="G501">
        <v>3617</v>
      </c>
      <c r="H501" s="116"/>
      <c r="I501" s="116"/>
      <c r="L501" s="170">
        <v>45012</v>
      </c>
      <c r="M501" s="116">
        <v>3011.35</v>
      </c>
      <c r="N501" s="116">
        <v>3053.95</v>
      </c>
      <c r="O501" s="116">
        <v>2981.35</v>
      </c>
      <c r="P501" s="116">
        <v>3018.3</v>
      </c>
      <c r="Q501" s="116">
        <v>3011.35</v>
      </c>
      <c r="R501">
        <v>33148</v>
      </c>
    </row>
    <row r="502" spans="1:18" x14ac:dyDescent="0.25">
      <c r="A502" s="170">
        <v>45013</v>
      </c>
      <c r="B502" s="116">
        <v>3023.4</v>
      </c>
      <c r="C502" s="116">
        <v>3013.95</v>
      </c>
      <c r="D502" s="116">
        <v>2984.15</v>
      </c>
      <c r="E502" s="116">
        <v>2989.75</v>
      </c>
      <c r="F502" s="116">
        <v>3013.95</v>
      </c>
      <c r="G502">
        <v>1012</v>
      </c>
      <c r="H502" s="116"/>
      <c r="I502" s="116"/>
      <c r="L502" s="170">
        <v>45013</v>
      </c>
      <c r="M502" s="116">
        <v>3010.3</v>
      </c>
      <c r="N502" s="116">
        <v>3021.7</v>
      </c>
      <c r="O502" s="116">
        <v>2985.05</v>
      </c>
      <c r="P502" s="116">
        <v>3000</v>
      </c>
      <c r="Q502" s="116">
        <v>3010.3</v>
      </c>
      <c r="R502">
        <v>46259</v>
      </c>
    </row>
    <row r="503" spans="1:18" x14ac:dyDescent="0.25">
      <c r="A503" s="170">
        <v>45014</v>
      </c>
      <c r="B503" s="116">
        <v>3170</v>
      </c>
      <c r="C503" s="116">
        <v>3115.25</v>
      </c>
      <c r="D503" s="116">
        <v>3000</v>
      </c>
      <c r="E503" s="116">
        <v>3000</v>
      </c>
      <c r="F503" s="116">
        <v>3115.25</v>
      </c>
      <c r="G503">
        <v>4870</v>
      </c>
      <c r="H503" s="116"/>
      <c r="I503" s="116"/>
      <c r="L503" s="170">
        <v>45014</v>
      </c>
      <c r="M503" s="116">
        <v>3105.65</v>
      </c>
      <c r="N503" s="116">
        <v>3179.9</v>
      </c>
      <c r="O503" s="116">
        <v>3020</v>
      </c>
      <c r="P503" s="116">
        <v>3020.05</v>
      </c>
      <c r="Q503" s="116">
        <v>3105.65</v>
      </c>
      <c r="R503">
        <v>73597</v>
      </c>
    </row>
    <row r="504" spans="1:18" x14ac:dyDescent="0.25">
      <c r="A504" s="170">
        <v>45016</v>
      </c>
      <c r="B504" s="116">
        <v>3280</v>
      </c>
      <c r="C504" s="116">
        <v>3246.25</v>
      </c>
      <c r="D504" s="116">
        <v>3051.05</v>
      </c>
      <c r="E504" s="116">
        <v>3051.05</v>
      </c>
      <c r="F504" s="116">
        <v>3246.25</v>
      </c>
      <c r="G504">
        <v>4404</v>
      </c>
      <c r="H504" s="116"/>
      <c r="I504" s="116"/>
      <c r="L504" s="170">
        <v>45016</v>
      </c>
      <c r="M504" s="116">
        <v>3255.3</v>
      </c>
      <c r="N504" s="116">
        <v>3287.95</v>
      </c>
      <c r="O504" s="116">
        <v>3105.9</v>
      </c>
      <c r="P504" s="116">
        <v>3158.45</v>
      </c>
      <c r="Q504" s="116">
        <v>3255.3</v>
      </c>
      <c r="R504">
        <v>50766</v>
      </c>
    </row>
    <row r="505" spans="1:18" x14ac:dyDescent="0.25">
      <c r="A505" s="170">
        <v>45019</v>
      </c>
      <c r="B505" s="116">
        <v>3255.5</v>
      </c>
      <c r="C505" s="116">
        <v>3146.55</v>
      </c>
      <c r="D505" s="116">
        <v>3112.15</v>
      </c>
      <c r="E505" s="116">
        <v>3246.3</v>
      </c>
      <c r="F505" s="116">
        <v>3146.55</v>
      </c>
      <c r="G505">
        <v>1430</v>
      </c>
      <c r="H505" s="116"/>
      <c r="I505" s="116"/>
      <c r="L505" s="170">
        <v>45019</v>
      </c>
      <c r="M505" s="116">
        <v>3141.15</v>
      </c>
      <c r="N505" s="116">
        <v>3255.3</v>
      </c>
      <c r="O505" s="116">
        <v>3110</v>
      </c>
      <c r="P505" s="116">
        <v>3255.3</v>
      </c>
      <c r="Q505" s="116">
        <v>3141.15</v>
      </c>
      <c r="R505">
        <v>29941</v>
      </c>
    </row>
    <row r="506" spans="1:18" x14ac:dyDescent="0.25">
      <c r="A506" s="170">
        <v>45021</v>
      </c>
      <c r="B506" s="116">
        <v>3146</v>
      </c>
      <c r="C506" s="116">
        <v>3124.35</v>
      </c>
      <c r="D506" s="116">
        <v>3087.85</v>
      </c>
      <c r="E506" s="116">
        <v>3144.95</v>
      </c>
      <c r="F506" s="116">
        <v>3124.35</v>
      </c>
      <c r="G506">
        <v>1669</v>
      </c>
      <c r="H506" s="116"/>
      <c r="I506" s="116"/>
      <c r="L506" s="170">
        <v>45021</v>
      </c>
      <c r="M506" s="116">
        <v>3123.15</v>
      </c>
      <c r="N506" s="116">
        <v>3144.55</v>
      </c>
      <c r="O506" s="116">
        <v>3086.45</v>
      </c>
      <c r="P506" s="116">
        <v>3141.05</v>
      </c>
      <c r="Q506" s="116">
        <v>3123.15</v>
      </c>
      <c r="R506">
        <v>17092</v>
      </c>
    </row>
    <row r="507" spans="1:18" x14ac:dyDescent="0.25">
      <c r="A507" s="170">
        <v>45022</v>
      </c>
      <c r="B507" s="116">
        <v>3135.8</v>
      </c>
      <c r="C507" s="116">
        <v>3065.6</v>
      </c>
      <c r="D507" s="116">
        <v>3055</v>
      </c>
      <c r="E507" s="116">
        <v>3100.05</v>
      </c>
      <c r="F507" s="116">
        <v>3065.6</v>
      </c>
      <c r="G507">
        <v>2370</v>
      </c>
      <c r="H507" s="116"/>
      <c r="I507" s="116"/>
      <c r="L507" s="170">
        <v>45022</v>
      </c>
      <c r="M507" s="116">
        <v>3065.25</v>
      </c>
      <c r="N507" s="116">
        <v>3144.25</v>
      </c>
      <c r="O507" s="116">
        <v>3054.05</v>
      </c>
      <c r="P507" s="116">
        <v>3123.15</v>
      </c>
      <c r="Q507" s="116">
        <v>3065.25</v>
      </c>
      <c r="R507">
        <v>37254</v>
      </c>
    </row>
    <row r="508" spans="1:18" x14ac:dyDescent="0.25">
      <c r="A508" s="170">
        <v>45026</v>
      </c>
      <c r="B508" s="116">
        <v>3095</v>
      </c>
      <c r="C508" s="116">
        <v>3016.35</v>
      </c>
      <c r="D508" s="116">
        <v>3001.05</v>
      </c>
      <c r="E508" s="116">
        <v>3079.5</v>
      </c>
      <c r="F508" s="116">
        <v>3016.35</v>
      </c>
      <c r="G508">
        <v>1981</v>
      </c>
      <c r="H508" s="116"/>
      <c r="I508" s="116"/>
      <c r="L508" s="170">
        <v>45026</v>
      </c>
      <c r="M508" s="116">
        <v>3014.75</v>
      </c>
      <c r="N508" s="116">
        <v>3094.75</v>
      </c>
      <c r="O508" s="116">
        <v>3000</v>
      </c>
      <c r="P508" s="116">
        <v>3078.45</v>
      </c>
      <c r="Q508" s="116">
        <v>3014.75</v>
      </c>
      <c r="R508">
        <v>42450</v>
      </c>
    </row>
    <row r="509" spans="1:18" x14ac:dyDescent="0.25">
      <c r="A509" s="170">
        <v>45027</v>
      </c>
      <c r="B509" s="116">
        <v>3081.95</v>
      </c>
      <c r="C509" s="116">
        <v>3068.75</v>
      </c>
      <c r="D509" s="116">
        <v>3020</v>
      </c>
      <c r="E509" s="116">
        <v>3020</v>
      </c>
      <c r="F509" s="116">
        <v>3068.75</v>
      </c>
      <c r="G509">
        <v>1298</v>
      </c>
      <c r="H509" s="116"/>
      <c r="I509" s="116"/>
      <c r="L509" s="170">
        <v>45027</v>
      </c>
      <c r="M509" s="116">
        <v>3068.3</v>
      </c>
      <c r="N509" s="116">
        <v>3083.9</v>
      </c>
      <c r="O509" s="116">
        <v>3022.05</v>
      </c>
      <c r="P509" s="116">
        <v>3027.95</v>
      </c>
      <c r="Q509" s="116">
        <v>3068.3</v>
      </c>
      <c r="R509">
        <v>24990</v>
      </c>
    </row>
    <row r="510" spans="1:18" x14ac:dyDescent="0.25">
      <c r="A510" s="170">
        <v>45028</v>
      </c>
      <c r="B510" s="116">
        <v>3152.95</v>
      </c>
      <c r="C510" s="116">
        <v>3088.6</v>
      </c>
      <c r="D510" s="116">
        <v>3065.05</v>
      </c>
      <c r="E510" s="116">
        <v>3065.05</v>
      </c>
      <c r="F510" s="116">
        <v>3088.6</v>
      </c>
      <c r="G510">
        <v>1316</v>
      </c>
      <c r="H510" s="116"/>
      <c r="I510" s="116"/>
      <c r="L510" s="170">
        <v>45028</v>
      </c>
      <c r="M510" s="116">
        <v>3087.25</v>
      </c>
      <c r="N510" s="116">
        <v>3155.6</v>
      </c>
      <c r="O510" s="116">
        <v>3076.15</v>
      </c>
      <c r="P510" s="116">
        <v>3089.95</v>
      </c>
      <c r="Q510" s="116">
        <v>3087.25</v>
      </c>
      <c r="R510">
        <v>16421</v>
      </c>
    </row>
    <row r="511" spans="1:18" x14ac:dyDescent="0.25">
      <c r="A511" s="170">
        <v>45029</v>
      </c>
      <c r="B511" s="116">
        <v>3137.95</v>
      </c>
      <c r="C511" s="116">
        <v>3097.6</v>
      </c>
      <c r="D511" s="116">
        <v>3083.65</v>
      </c>
      <c r="E511" s="116">
        <v>3092.05</v>
      </c>
      <c r="F511" s="116">
        <v>3097.6</v>
      </c>
      <c r="G511">
        <v>1144</v>
      </c>
      <c r="H511" s="116"/>
      <c r="I511" s="116"/>
      <c r="L511" s="170">
        <v>45029</v>
      </c>
      <c r="M511" s="116">
        <v>3097.1</v>
      </c>
      <c r="N511" s="116">
        <v>3140.6</v>
      </c>
      <c r="O511" s="116">
        <v>3082.45</v>
      </c>
      <c r="P511" s="116">
        <v>3095</v>
      </c>
      <c r="Q511" s="116">
        <v>3097.1</v>
      </c>
      <c r="R511">
        <v>14471</v>
      </c>
    </row>
    <row r="512" spans="1:18" x14ac:dyDescent="0.25">
      <c r="A512" s="170">
        <v>45033</v>
      </c>
      <c r="B512" s="116">
        <v>3124.1</v>
      </c>
      <c r="C512" s="116">
        <v>3083.05</v>
      </c>
      <c r="D512" s="116">
        <v>3051</v>
      </c>
      <c r="E512" s="116">
        <v>3100</v>
      </c>
      <c r="F512" s="116">
        <v>3083.05</v>
      </c>
      <c r="G512">
        <v>1220</v>
      </c>
      <c r="H512" s="116"/>
      <c r="I512" s="116"/>
      <c r="L512" s="170">
        <v>45033</v>
      </c>
      <c r="M512" s="116">
        <v>3084.15</v>
      </c>
      <c r="N512" s="116">
        <v>3124.75</v>
      </c>
      <c r="O512" s="116">
        <v>3050</v>
      </c>
      <c r="P512" s="116">
        <v>3097.1</v>
      </c>
      <c r="Q512" s="116">
        <v>3084.15</v>
      </c>
      <c r="R512">
        <v>12711</v>
      </c>
    </row>
    <row r="513" spans="1:18" x14ac:dyDescent="0.25">
      <c r="A513" s="170">
        <v>45034</v>
      </c>
      <c r="B513" s="116">
        <v>3113.95</v>
      </c>
      <c r="C513" s="116">
        <v>3088.45</v>
      </c>
      <c r="D513" s="116">
        <v>3050.05</v>
      </c>
      <c r="E513" s="116">
        <v>3050.05</v>
      </c>
      <c r="F513" s="116">
        <v>3088.45</v>
      </c>
      <c r="G513">
        <v>377</v>
      </c>
      <c r="H513" s="116"/>
      <c r="I513" s="116"/>
      <c r="L513" s="170">
        <v>45034</v>
      </c>
      <c r="M513" s="116">
        <v>3096.4</v>
      </c>
      <c r="N513" s="116">
        <v>3116.95</v>
      </c>
      <c r="O513" s="116">
        <v>3066.05</v>
      </c>
      <c r="P513" s="116">
        <v>3084.15</v>
      </c>
      <c r="Q513" s="116">
        <v>3096.4</v>
      </c>
      <c r="R513">
        <v>9699</v>
      </c>
    </row>
    <row r="514" spans="1:18" x14ac:dyDescent="0.25">
      <c r="A514" s="170">
        <v>45035</v>
      </c>
      <c r="B514" s="116">
        <v>3127.75</v>
      </c>
      <c r="C514" s="116">
        <v>3071.9</v>
      </c>
      <c r="D514" s="116">
        <v>3032.95</v>
      </c>
      <c r="E514" s="116">
        <v>3109.8</v>
      </c>
      <c r="F514" s="116">
        <v>3071.9</v>
      </c>
      <c r="G514">
        <v>1091</v>
      </c>
      <c r="H514" s="116"/>
      <c r="I514" s="116"/>
      <c r="L514" s="170">
        <v>45035</v>
      </c>
      <c r="M514" s="116">
        <v>3076.85</v>
      </c>
      <c r="N514" s="116">
        <v>3125.45</v>
      </c>
      <c r="O514" s="116">
        <v>3031</v>
      </c>
      <c r="P514" s="116">
        <v>3115</v>
      </c>
      <c r="Q514" s="116">
        <v>3076.85</v>
      </c>
      <c r="R514">
        <v>17035</v>
      </c>
    </row>
    <row r="515" spans="1:18" x14ac:dyDescent="0.25">
      <c r="A515" s="170">
        <v>45036</v>
      </c>
      <c r="B515" s="116">
        <v>3100.35</v>
      </c>
      <c r="C515" s="116">
        <v>3040.5</v>
      </c>
      <c r="D515" s="116">
        <v>3029</v>
      </c>
      <c r="E515" s="116">
        <v>3050.05</v>
      </c>
      <c r="F515" s="116">
        <v>3040.5</v>
      </c>
      <c r="G515">
        <v>706</v>
      </c>
      <c r="H515" s="116"/>
      <c r="I515" s="116"/>
      <c r="L515" s="170">
        <v>45036</v>
      </c>
      <c r="M515" s="116">
        <v>3042.9</v>
      </c>
      <c r="N515" s="116">
        <v>3111</v>
      </c>
      <c r="O515" s="116">
        <v>3021.55</v>
      </c>
      <c r="P515" s="116">
        <v>3096.9</v>
      </c>
      <c r="Q515" s="116">
        <v>3042.9</v>
      </c>
      <c r="R515">
        <v>14180</v>
      </c>
    </row>
    <row r="516" spans="1:18" x14ac:dyDescent="0.25">
      <c r="A516" s="170">
        <v>45037</v>
      </c>
      <c r="B516" s="116">
        <v>3084.95</v>
      </c>
      <c r="C516" s="116">
        <v>3061.25</v>
      </c>
      <c r="D516" s="116">
        <v>3016</v>
      </c>
      <c r="E516" s="116">
        <v>3029.2</v>
      </c>
      <c r="F516" s="116">
        <v>3061.25</v>
      </c>
      <c r="G516">
        <v>505</v>
      </c>
      <c r="H516" s="116"/>
      <c r="I516" s="116"/>
      <c r="L516" s="170">
        <v>45037</v>
      </c>
      <c r="M516" s="116">
        <v>3062.7</v>
      </c>
      <c r="N516" s="116">
        <v>3086</v>
      </c>
      <c r="O516" s="116">
        <v>3015.55</v>
      </c>
      <c r="P516" s="116">
        <v>3042.9</v>
      </c>
      <c r="Q516" s="116">
        <v>3062.7</v>
      </c>
      <c r="R516">
        <v>9187</v>
      </c>
    </row>
    <row r="517" spans="1:18" x14ac:dyDescent="0.25">
      <c r="A517" s="170">
        <v>45040</v>
      </c>
      <c r="B517" s="116">
        <v>3105</v>
      </c>
      <c r="C517" s="116">
        <v>3061.9</v>
      </c>
      <c r="D517" s="116">
        <v>3046.65</v>
      </c>
      <c r="E517" s="116">
        <v>3079.45</v>
      </c>
      <c r="F517" s="116">
        <v>3061.9</v>
      </c>
      <c r="G517">
        <v>425</v>
      </c>
      <c r="H517" s="116"/>
      <c r="I517" s="116"/>
      <c r="L517" s="170">
        <v>45040</v>
      </c>
      <c r="M517" s="116">
        <v>3076.85</v>
      </c>
      <c r="N517" s="116">
        <v>3104.95</v>
      </c>
      <c r="O517" s="116">
        <v>3048.4</v>
      </c>
      <c r="P517" s="116">
        <v>3072.15</v>
      </c>
      <c r="Q517" s="116">
        <v>3076.85</v>
      </c>
      <c r="R517">
        <v>33326</v>
      </c>
    </row>
    <row r="518" spans="1:18" x14ac:dyDescent="0.25">
      <c r="A518" s="170">
        <v>45041</v>
      </c>
      <c r="B518" s="116">
        <v>3100</v>
      </c>
      <c r="C518" s="116">
        <v>3086.6</v>
      </c>
      <c r="D518" s="116">
        <v>3044.7</v>
      </c>
      <c r="E518" s="116">
        <v>3044.7</v>
      </c>
      <c r="F518" s="116">
        <v>3086.6</v>
      </c>
      <c r="G518">
        <v>294</v>
      </c>
      <c r="H518" s="116"/>
      <c r="I518" s="116"/>
      <c r="L518" s="170">
        <v>45041</v>
      </c>
      <c r="M518" s="116">
        <v>3091.85</v>
      </c>
      <c r="N518" s="116">
        <v>3105.6</v>
      </c>
      <c r="O518" s="116">
        <v>3045.05</v>
      </c>
      <c r="P518" s="116">
        <v>3048.9</v>
      </c>
      <c r="Q518" s="116">
        <v>3091.85</v>
      </c>
      <c r="R518">
        <v>16114</v>
      </c>
    </row>
    <row r="519" spans="1:18" x14ac:dyDescent="0.25">
      <c r="A519" s="170">
        <v>45042</v>
      </c>
      <c r="B519" s="116">
        <v>3188.9</v>
      </c>
      <c r="C519" s="116">
        <v>3147.8</v>
      </c>
      <c r="D519" s="116">
        <v>3099</v>
      </c>
      <c r="E519" s="116">
        <v>3099.05</v>
      </c>
      <c r="F519" s="116">
        <v>3147.8</v>
      </c>
      <c r="G519">
        <v>703</v>
      </c>
      <c r="H519" s="116"/>
      <c r="I519" s="116"/>
      <c r="L519" s="170">
        <v>45042</v>
      </c>
      <c r="M519" s="116">
        <v>3151.15</v>
      </c>
      <c r="N519" s="116">
        <v>3180</v>
      </c>
      <c r="O519" s="116">
        <v>3085.05</v>
      </c>
      <c r="P519" s="116">
        <v>3092.15</v>
      </c>
      <c r="Q519" s="116">
        <v>3151.15</v>
      </c>
      <c r="R519">
        <v>18351</v>
      </c>
    </row>
    <row r="520" spans="1:18" x14ac:dyDescent="0.25">
      <c r="A520" s="170">
        <v>45043</v>
      </c>
      <c r="B520" s="116">
        <v>3184.55</v>
      </c>
      <c r="C520" s="116">
        <v>3137.3</v>
      </c>
      <c r="D520" s="116">
        <v>3112.45</v>
      </c>
      <c r="E520" s="116">
        <v>3161.8</v>
      </c>
      <c r="F520" s="116">
        <v>3137.3</v>
      </c>
      <c r="G520">
        <v>830</v>
      </c>
      <c r="H520" s="116"/>
      <c r="I520" s="116"/>
      <c r="L520" s="170">
        <v>45043</v>
      </c>
      <c r="M520" s="116">
        <v>3134.8</v>
      </c>
      <c r="N520" s="116">
        <v>3186.35</v>
      </c>
      <c r="O520" s="116">
        <v>3113.2</v>
      </c>
      <c r="P520" s="116">
        <v>3146.75</v>
      </c>
      <c r="Q520" s="116">
        <v>3134.8</v>
      </c>
      <c r="R520">
        <v>13235</v>
      </c>
    </row>
    <row r="521" spans="1:18" x14ac:dyDescent="0.25">
      <c r="A521" s="170">
        <v>45044</v>
      </c>
      <c r="B521" s="116">
        <v>3177.45</v>
      </c>
      <c r="C521" s="116">
        <v>3098.25</v>
      </c>
      <c r="D521" s="116">
        <v>3072.05</v>
      </c>
      <c r="E521" s="116">
        <v>3127.4</v>
      </c>
      <c r="F521" s="116">
        <v>3098.25</v>
      </c>
      <c r="G521">
        <v>2219</v>
      </c>
      <c r="H521" s="116"/>
      <c r="I521" s="116"/>
      <c r="L521" s="170">
        <v>45044</v>
      </c>
      <c r="M521" s="116">
        <v>3099.9</v>
      </c>
      <c r="N521" s="116">
        <v>3176.45</v>
      </c>
      <c r="O521" s="116">
        <v>3071</v>
      </c>
      <c r="P521" s="116">
        <v>3120</v>
      </c>
      <c r="Q521" s="116">
        <v>3099.9</v>
      </c>
      <c r="R521">
        <v>23011</v>
      </c>
    </row>
    <row r="522" spans="1:18" x14ac:dyDescent="0.25">
      <c r="A522" s="170">
        <v>45048</v>
      </c>
      <c r="B522" s="116">
        <v>3243.45</v>
      </c>
      <c r="C522" s="116">
        <v>3207.25</v>
      </c>
      <c r="D522" s="116">
        <v>3110.9</v>
      </c>
      <c r="E522" s="116">
        <v>3110.9</v>
      </c>
      <c r="F522" s="116">
        <v>3207.25</v>
      </c>
      <c r="G522">
        <v>1020</v>
      </c>
      <c r="H522" s="116"/>
      <c r="I522" s="116"/>
      <c r="L522" s="170">
        <v>45048</v>
      </c>
      <c r="M522" s="116">
        <v>3206.3</v>
      </c>
      <c r="N522" s="116">
        <v>3244</v>
      </c>
      <c r="O522" s="116">
        <v>3110.15</v>
      </c>
      <c r="P522" s="116">
        <v>3130.85</v>
      </c>
      <c r="Q522" s="116">
        <v>3206.3</v>
      </c>
      <c r="R522">
        <v>28918</v>
      </c>
    </row>
    <row r="523" spans="1:18" x14ac:dyDescent="0.25">
      <c r="A523" s="170">
        <v>45049</v>
      </c>
      <c r="B523" s="116">
        <v>3243.95</v>
      </c>
      <c r="C523" s="116">
        <v>3172.25</v>
      </c>
      <c r="D523" s="116">
        <v>3161.25</v>
      </c>
      <c r="E523" s="116">
        <v>3243.95</v>
      </c>
      <c r="F523" s="116">
        <v>3172.25</v>
      </c>
      <c r="G523">
        <v>1059</v>
      </c>
      <c r="H523" s="116"/>
      <c r="I523" s="116"/>
      <c r="L523" s="170">
        <v>45049</v>
      </c>
      <c r="M523" s="116">
        <v>3178.25</v>
      </c>
      <c r="N523" s="116">
        <v>3223.2</v>
      </c>
      <c r="O523" s="116">
        <v>3159.05</v>
      </c>
      <c r="P523" s="116">
        <v>3177.25</v>
      </c>
      <c r="Q523" s="116">
        <v>3178.25</v>
      </c>
      <c r="R523">
        <v>10899</v>
      </c>
    </row>
    <row r="524" spans="1:18" x14ac:dyDescent="0.25">
      <c r="A524" s="170">
        <v>45050</v>
      </c>
      <c r="B524" s="116">
        <v>3280</v>
      </c>
      <c r="C524" s="116">
        <v>3230.75</v>
      </c>
      <c r="D524" s="116">
        <v>3112.05</v>
      </c>
      <c r="E524" s="116">
        <v>3112.05</v>
      </c>
      <c r="F524" s="116">
        <v>3230.75</v>
      </c>
      <c r="G524">
        <v>808</v>
      </c>
      <c r="H524" s="116"/>
      <c r="I524" s="116"/>
      <c r="L524" s="170">
        <v>45050</v>
      </c>
      <c r="M524" s="116">
        <v>3227.05</v>
      </c>
      <c r="N524" s="116">
        <v>3283</v>
      </c>
      <c r="O524" s="116">
        <v>3132.15</v>
      </c>
      <c r="P524" s="116">
        <v>3178.25</v>
      </c>
      <c r="Q524" s="116">
        <v>3227.05</v>
      </c>
      <c r="R524">
        <v>16727</v>
      </c>
    </row>
    <row r="525" spans="1:18" x14ac:dyDescent="0.25">
      <c r="A525" s="170">
        <v>45051</v>
      </c>
      <c r="B525" s="116">
        <v>3344</v>
      </c>
      <c r="C525" s="116">
        <v>3277.05</v>
      </c>
      <c r="D525" s="116">
        <v>3240</v>
      </c>
      <c r="E525" s="116">
        <v>3240</v>
      </c>
      <c r="F525" s="116">
        <v>3277.05</v>
      </c>
      <c r="G525">
        <v>3750</v>
      </c>
      <c r="H525" s="116"/>
      <c r="I525" s="116"/>
      <c r="L525" s="170">
        <v>45051</v>
      </c>
      <c r="M525" s="116">
        <v>3279.9</v>
      </c>
      <c r="N525" s="116">
        <v>3344</v>
      </c>
      <c r="O525" s="116">
        <v>3227.1</v>
      </c>
      <c r="P525" s="116">
        <v>3249</v>
      </c>
      <c r="Q525" s="116">
        <v>3279.9</v>
      </c>
      <c r="R525">
        <v>35280</v>
      </c>
    </row>
    <row r="526" spans="1:18" x14ac:dyDescent="0.25">
      <c r="A526" s="170">
        <v>45054</v>
      </c>
      <c r="B526" s="116">
        <v>3408.7</v>
      </c>
      <c r="C526" s="116">
        <v>3171.95</v>
      </c>
      <c r="D526" s="116">
        <v>3120</v>
      </c>
      <c r="E526" s="116">
        <v>3270</v>
      </c>
      <c r="F526" s="116">
        <v>3171.95</v>
      </c>
      <c r="G526">
        <v>4144</v>
      </c>
      <c r="H526" s="116"/>
      <c r="I526" s="116"/>
      <c r="L526" s="170">
        <v>45054</v>
      </c>
      <c r="M526" s="116">
        <v>3165.75</v>
      </c>
      <c r="N526" s="116">
        <v>3407.95</v>
      </c>
      <c r="O526" s="116">
        <v>3115</v>
      </c>
      <c r="P526" s="116">
        <v>3333</v>
      </c>
      <c r="Q526" s="116">
        <v>3165.75</v>
      </c>
      <c r="R526">
        <v>132923</v>
      </c>
    </row>
    <row r="527" spans="1:18" x14ac:dyDescent="0.25">
      <c r="A527" s="170">
        <v>45055</v>
      </c>
      <c r="B527" s="116">
        <v>3347</v>
      </c>
      <c r="C527" s="116">
        <v>3311.45</v>
      </c>
      <c r="D527" s="116">
        <v>3199.35</v>
      </c>
      <c r="E527" s="116">
        <v>3210</v>
      </c>
      <c r="F527" s="116">
        <v>3311.45</v>
      </c>
      <c r="G527">
        <v>7253</v>
      </c>
      <c r="H527" s="116"/>
      <c r="I527" s="116"/>
      <c r="L527" s="170">
        <v>45055</v>
      </c>
      <c r="M527" s="116">
        <v>3314.25</v>
      </c>
      <c r="N527" s="116">
        <v>3348.4</v>
      </c>
      <c r="O527" s="116">
        <v>3205</v>
      </c>
      <c r="P527" s="116">
        <v>3231.95</v>
      </c>
      <c r="Q527" s="116">
        <v>3314.25</v>
      </c>
      <c r="R527">
        <v>71164</v>
      </c>
    </row>
    <row r="528" spans="1:18" x14ac:dyDescent="0.25">
      <c r="A528" s="170">
        <v>45056</v>
      </c>
      <c r="B528" s="116">
        <v>3395.05</v>
      </c>
      <c r="C528" s="116">
        <v>3388.35</v>
      </c>
      <c r="D528" s="116">
        <v>3319.7</v>
      </c>
      <c r="E528" s="116">
        <v>3380.55</v>
      </c>
      <c r="F528" s="116">
        <v>3388.35</v>
      </c>
      <c r="G528">
        <v>1758</v>
      </c>
      <c r="H528" s="116"/>
      <c r="I528" s="116"/>
      <c r="L528" s="170">
        <v>45056</v>
      </c>
      <c r="M528" s="116">
        <v>3386.2</v>
      </c>
      <c r="N528" s="116">
        <v>3396</v>
      </c>
      <c r="O528" s="116">
        <v>3314.25</v>
      </c>
      <c r="P528" s="116">
        <v>3314.25</v>
      </c>
      <c r="Q528" s="116">
        <v>3386.2</v>
      </c>
      <c r="R528">
        <v>41505</v>
      </c>
    </row>
    <row r="529" spans="1:18" x14ac:dyDescent="0.25">
      <c r="A529" s="170">
        <v>45057</v>
      </c>
      <c r="B529" s="116">
        <v>3486.55</v>
      </c>
      <c r="C529" s="116">
        <v>3401.4</v>
      </c>
      <c r="D529" s="116">
        <v>3311</v>
      </c>
      <c r="E529" s="116">
        <v>3389.55</v>
      </c>
      <c r="F529" s="116">
        <v>3401.4</v>
      </c>
      <c r="G529">
        <v>6079</v>
      </c>
      <c r="H529" s="116"/>
      <c r="I529" s="116"/>
      <c r="L529" s="170">
        <v>45057</v>
      </c>
      <c r="M529" s="116">
        <v>3400.15</v>
      </c>
      <c r="N529" s="116">
        <v>3488</v>
      </c>
      <c r="O529" s="116">
        <v>3364.8</v>
      </c>
      <c r="P529" s="116">
        <v>3386.2</v>
      </c>
      <c r="Q529" s="116">
        <v>3400.15</v>
      </c>
      <c r="R529">
        <v>33645</v>
      </c>
    </row>
    <row r="530" spans="1:18" x14ac:dyDescent="0.25">
      <c r="A530" s="170">
        <v>45058</v>
      </c>
      <c r="B530" s="116">
        <v>3474</v>
      </c>
      <c r="C530" s="116">
        <v>3456.45</v>
      </c>
      <c r="D530" s="116">
        <v>3352</v>
      </c>
      <c r="E530" s="116">
        <v>3404</v>
      </c>
      <c r="F530" s="116">
        <v>3456.45</v>
      </c>
      <c r="G530">
        <v>4134</v>
      </c>
      <c r="H530" s="116"/>
      <c r="I530" s="116"/>
      <c r="L530" s="170">
        <v>45058</v>
      </c>
      <c r="M530" s="116">
        <v>3458.55</v>
      </c>
      <c r="N530" s="116">
        <v>3476.2</v>
      </c>
      <c r="O530" s="116">
        <v>3351</v>
      </c>
      <c r="P530" s="116">
        <v>3399.45</v>
      </c>
      <c r="Q530" s="116">
        <v>3458.55</v>
      </c>
      <c r="R530">
        <v>34502</v>
      </c>
    </row>
    <row r="531" spans="1:18" x14ac:dyDescent="0.25">
      <c r="A531" s="170">
        <v>45061</v>
      </c>
      <c r="B531" s="116">
        <v>3541.4</v>
      </c>
      <c r="C531" s="116">
        <v>3485.95</v>
      </c>
      <c r="D531" s="116">
        <v>3420.05</v>
      </c>
      <c r="E531" s="116">
        <v>3420.05</v>
      </c>
      <c r="F531" s="116">
        <v>3485.95</v>
      </c>
      <c r="G531">
        <v>1371</v>
      </c>
      <c r="H531" s="116"/>
      <c r="I531" s="116"/>
      <c r="L531" s="170">
        <v>45061</v>
      </c>
      <c r="M531" s="116">
        <v>3492.1</v>
      </c>
      <c r="N531" s="116">
        <v>3543.65</v>
      </c>
      <c r="O531" s="116">
        <v>3451.7</v>
      </c>
      <c r="P531" s="116">
        <v>3458.55</v>
      </c>
      <c r="Q531" s="116">
        <v>3492.1</v>
      </c>
      <c r="R531">
        <v>103106</v>
      </c>
    </row>
    <row r="532" spans="1:18" x14ac:dyDescent="0.25">
      <c r="A532" s="170">
        <v>45062</v>
      </c>
      <c r="B532" s="116">
        <v>3554.95</v>
      </c>
      <c r="C532" s="116">
        <v>3492.15</v>
      </c>
      <c r="D532" s="116">
        <v>3465</v>
      </c>
      <c r="E532" s="116">
        <v>3554.95</v>
      </c>
      <c r="F532" s="116">
        <v>3492.15</v>
      </c>
      <c r="G532">
        <v>1082</v>
      </c>
      <c r="H532" s="116"/>
      <c r="I532" s="116"/>
      <c r="L532" s="170">
        <v>45062</v>
      </c>
      <c r="M532" s="116">
        <v>3485.35</v>
      </c>
      <c r="N532" s="116">
        <v>3538</v>
      </c>
      <c r="O532" s="116">
        <v>3464.95</v>
      </c>
      <c r="P532" s="116">
        <v>3530</v>
      </c>
      <c r="Q532" s="116">
        <v>3485.35</v>
      </c>
      <c r="R532">
        <v>98190</v>
      </c>
    </row>
    <row r="533" spans="1:18" x14ac:dyDescent="0.25">
      <c r="A533" s="170">
        <v>45063</v>
      </c>
      <c r="B533" s="116">
        <v>3530</v>
      </c>
      <c r="C533" s="116">
        <v>3438.35</v>
      </c>
      <c r="D533" s="116">
        <v>3430</v>
      </c>
      <c r="E533" s="116">
        <v>3430.1</v>
      </c>
      <c r="F533" s="116">
        <v>3438.35</v>
      </c>
      <c r="G533">
        <v>2042</v>
      </c>
      <c r="H533" s="116"/>
      <c r="I533" s="116"/>
      <c r="L533" s="170">
        <v>45063</v>
      </c>
      <c r="M533" s="116">
        <v>3444.2</v>
      </c>
      <c r="N533" s="116">
        <v>3530</v>
      </c>
      <c r="O533" s="116">
        <v>3431.15</v>
      </c>
      <c r="P533" s="116">
        <v>3475</v>
      </c>
      <c r="Q533" s="116">
        <v>3444.2</v>
      </c>
      <c r="R533">
        <v>12618</v>
      </c>
    </row>
    <row r="534" spans="1:18" x14ac:dyDescent="0.25">
      <c r="A534" s="170">
        <v>45064</v>
      </c>
      <c r="B534" s="116">
        <v>3643.95</v>
      </c>
      <c r="C534" s="116">
        <v>3570.35</v>
      </c>
      <c r="D534" s="116">
        <v>3462.65</v>
      </c>
      <c r="E534" s="116">
        <v>3462.7</v>
      </c>
      <c r="F534" s="116">
        <v>3570.35</v>
      </c>
      <c r="G534">
        <v>5906</v>
      </c>
      <c r="H534" s="116"/>
      <c r="I534" s="116"/>
      <c r="L534" s="170">
        <v>45064</v>
      </c>
      <c r="M534" s="116">
        <v>3569.9</v>
      </c>
      <c r="N534" s="116">
        <v>3646</v>
      </c>
      <c r="O534" s="116">
        <v>3445.15</v>
      </c>
      <c r="P534" s="116">
        <v>3445.15</v>
      </c>
      <c r="Q534" s="116">
        <v>3569.9</v>
      </c>
      <c r="R534">
        <v>123593</v>
      </c>
    </row>
    <row r="535" spans="1:18" x14ac:dyDescent="0.25">
      <c r="A535" s="170">
        <v>45065</v>
      </c>
      <c r="B535" s="116">
        <v>3631</v>
      </c>
      <c r="C535" s="116">
        <v>3502.85</v>
      </c>
      <c r="D535" s="116">
        <v>3476.55</v>
      </c>
      <c r="E535" s="116">
        <v>3631</v>
      </c>
      <c r="F535" s="116">
        <v>3502.85</v>
      </c>
      <c r="G535">
        <v>4152</v>
      </c>
      <c r="H535" s="116"/>
      <c r="I535" s="116"/>
      <c r="L535" s="170">
        <v>45065</v>
      </c>
      <c r="M535" s="116">
        <v>3501.85</v>
      </c>
      <c r="N535" s="116">
        <v>3589</v>
      </c>
      <c r="O535" s="116">
        <v>3480</v>
      </c>
      <c r="P535" s="116">
        <v>3577.85</v>
      </c>
      <c r="Q535" s="116">
        <v>3501.85</v>
      </c>
      <c r="R535">
        <v>22716</v>
      </c>
    </row>
    <row r="536" spans="1:18" x14ac:dyDescent="0.25">
      <c r="A536" s="170">
        <v>45068</v>
      </c>
      <c r="B536" s="116">
        <v>3536.35</v>
      </c>
      <c r="C536" s="116">
        <v>3491.3</v>
      </c>
      <c r="D536" s="116">
        <v>3464.1</v>
      </c>
      <c r="E536" s="116">
        <v>3500</v>
      </c>
      <c r="F536" s="116">
        <v>3491.3</v>
      </c>
      <c r="G536">
        <v>2068</v>
      </c>
      <c r="H536" s="116"/>
      <c r="I536" s="116"/>
      <c r="L536" s="170">
        <v>45068</v>
      </c>
      <c r="M536" s="116">
        <v>3498.9</v>
      </c>
      <c r="N536" s="116">
        <v>3536.75</v>
      </c>
      <c r="O536" s="116">
        <v>3460</v>
      </c>
      <c r="P536" s="116">
        <v>3501.85</v>
      </c>
      <c r="Q536" s="116">
        <v>3498.9</v>
      </c>
      <c r="R536">
        <v>17112</v>
      </c>
    </row>
    <row r="537" spans="1:18" x14ac:dyDescent="0.25">
      <c r="A537" s="170">
        <v>45069</v>
      </c>
      <c r="B537" s="116">
        <v>3516.3</v>
      </c>
      <c r="C537" s="116">
        <v>3357.25</v>
      </c>
      <c r="D537" s="116">
        <v>3340</v>
      </c>
      <c r="E537" s="116">
        <v>3502.9</v>
      </c>
      <c r="F537" s="116">
        <v>3357.25</v>
      </c>
      <c r="G537">
        <v>895</v>
      </c>
      <c r="H537" s="116"/>
      <c r="I537" s="116"/>
      <c r="L537" s="170">
        <v>45069</v>
      </c>
      <c r="M537" s="116">
        <v>3354.5</v>
      </c>
      <c r="N537" s="116">
        <v>3518.1</v>
      </c>
      <c r="O537" s="116">
        <v>3339</v>
      </c>
      <c r="P537" s="116">
        <v>3504</v>
      </c>
      <c r="Q537" s="116">
        <v>3354.5</v>
      </c>
      <c r="R537">
        <v>37427</v>
      </c>
    </row>
    <row r="538" spans="1:18" x14ac:dyDescent="0.25">
      <c r="A538" s="170">
        <v>45070</v>
      </c>
      <c r="B538" s="116">
        <v>3450.05</v>
      </c>
      <c r="C538" s="116">
        <v>3369.4</v>
      </c>
      <c r="D538" s="116">
        <v>3336</v>
      </c>
      <c r="E538" s="116">
        <v>3384.35</v>
      </c>
      <c r="F538" s="116">
        <v>3369.4</v>
      </c>
      <c r="G538">
        <v>2403</v>
      </c>
      <c r="H538" s="116"/>
      <c r="I538" s="116"/>
      <c r="L538" s="170">
        <v>45070</v>
      </c>
      <c r="M538" s="116">
        <v>3363</v>
      </c>
      <c r="N538" s="116">
        <v>3454</v>
      </c>
      <c r="O538" s="116">
        <v>3338</v>
      </c>
      <c r="P538" s="116">
        <v>3388.1</v>
      </c>
      <c r="Q538" s="116">
        <v>3363</v>
      </c>
      <c r="R538">
        <v>21317</v>
      </c>
    </row>
    <row r="539" spans="1:18" x14ac:dyDescent="0.25">
      <c r="A539" s="170">
        <v>45071</v>
      </c>
      <c r="B539" s="116">
        <v>3410</v>
      </c>
      <c r="C539" s="116">
        <v>3388.75</v>
      </c>
      <c r="D539" s="116">
        <v>3359.1</v>
      </c>
      <c r="E539" s="116">
        <v>3359.1</v>
      </c>
      <c r="F539" s="116">
        <v>3388.75</v>
      </c>
      <c r="G539">
        <v>2098</v>
      </c>
      <c r="H539" s="116"/>
      <c r="I539" s="116"/>
      <c r="L539" s="170">
        <v>45071</v>
      </c>
      <c r="M539" s="116">
        <v>3392.95</v>
      </c>
      <c r="N539" s="116">
        <v>3426.25</v>
      </c>
      <c r="O539" s="116">
        <v>3351.15</v>
      </c>
      <c r="P539" s="116">
        <v>3363</v>
      </c>
      <c r="Q539" s="116">
        <v>3392.95</v>
      </c>
      <c r="R539">
        <v>28597</v>
      </c>
    </row>
    <row r="540" spans="1:18" x14ac:dyDescent="0.25">
      <c r="A540" s="170">
        <v>45072</v>
      </c>
      <c r="B540" s="116">
        <v>3514.7</v>
      </c>
      <c r="C540" s="116">
        <v>3491.8</v>
      </c>
      <c r="D540" s="116">
        <v>3380</v>
      </c>
      <c r="E540" s="116">
        <v>3514.7</v>
      </c>
      <c r="F540" s="116">
        <v>3491.8</v>
      </c>
      <c r="G540">
        <v>1292</v>
      </c>
      <c r="H540" s="116"/>
      <c r="I540" s="116"/>
      <c r="L540" s="170">
        <v>45072</v>
      </c>
      <c r="M540" s="116">
        <v>3480.7</v>
      </c>
      <c r="N540" s="116">
        <v>3514.9</v>
      </c>
      <c r="O540" s="116">
        <v>3374.05</v>
      </c>
      <c r="P540" s="116">
        <v>3399.05</v>
      </c>
      <c r="Q540" s="116">
        <v>3480.7</v>
      </c>
      <c r="R540">
        <v>42228</v>
      </c>
    </row>
    <row r="541" spans="1:18" x14ac:dyDescent="0.25">
      <c r="A541" s="170">
        <v>45075</v>
      </c>
      <c r="B541" s="116">
        <v>3515</v>
      </c>
      <c r="C541" s="116">
        <v>3443.3</v>
      </c>
      <c r="D541" s="116">
        <v>3379.1</v>
      </c>
      <c r="E541" s="116">
        <v>3501.1</v>
      </c>
      <c r="F541" s="116">
        <v>3443.3</v>
      </c>
      <c r="G541">
        <v>2372</v>
      </c>
      <c r="H541" s="116"/>
      <c r="I541" s="116"/>
      <c r="L541" s="170">
        <v>45075</v>
      </c>
      <c r="M541" s="116">
        <v>3446.3</v>
      </c>
      <c r="N541" s="116">
        <v>3518</v>
      </c>
      <c r="O541" s="116">
        <v>3379.95</v>
      </c>
      <c r="P541" s="116">
        <v>3498.5</v>
      </c>
      <c r="Q541" s="116">
        <v>3446.3</v>
      </c>
      <c r="R541">
        <v>74101</v>
      </c>
    </row>
    <row r="542" spans="1:18" x14ac:dyDescent="0.25">
      <c r="A542" s="170">
        <v>45076</v>
      </c>
      <c r="B542" s="116">
        <v>3489.2</v>
      </c>
      <c r="C542" s="116">
        <v>3448.25</v>
      </c>
      <c r="D542" s="116">
        <v>3426.35</v>
      </c>
      <c r="E542" s="116">
        <v>3437.5</v>
      </c>
      <c r="F542" s="116">
        <v>3448.25</v>
      </c>
      <c r="G542">
        <v>657</v>
      </c>
      <c r="H542" s="116"/>
      <c r="I542" s="116"/>
      <c r="L542" s="170">
        <v>45076</v>
      </c>
      <c r="M542" s="116">
        <v>3449.9</v>
      </c>
      <c r="N542" s="116">
        <v>3494</v>
      </c>
      <c r="O542" s="116">
        <v>3421.75</v>
      </c>
      <c r="P542" s="116">
        <v>3422.25</v>
      </c>
      <c r="Q542" s="116">
        <v>3449.9</v>
      </c>
      <c r="R542">
        <v>13477</v>
      </c>
    </row>
    <row r="543" spans="1:18" x14ac:dyDescent="0.25">
      <c r="A543" s="170">
        <v>45077</v>
      </c>
      <c r="B543" s="116">
        <v>3830.95</v>
      </c>
      <c r="C543" s="116">
        <v>3767.7</v>
      </c>
      <c r="D543" s="116">
        <v>3431.8</v>
      </c>
      <c r="E543" s="116">
        <v>3455.45</v>
      </c>
      <c r="F543" s="116">
        <v>3767.7</v>
      </c>
      <c r="G543">
        <v>6089</v>
      </c>
      <c r="H543" s="116"/>
      <c r="I543" s="116"/>
      <c r="L543" s="170">
        <v>45077</v>
      </c>
      <c r="M543" s="116">
        <v>3728.2</v>
      </c>
      <c r="N543" s="116">
        <v>3824</v>
      </c>
      <c r="O543" s="116">
        <v>3431</v>
      </c>
      <c r="P543" s="116">
        <v>3450</v>
      </c>
      <c r="Q543" s="116">
        <v>3728.2</v>
      </c>
      <c r="R543">
        <v>144669</v>
      </c>
    </row>
    <row r="544" spans="1:18" x14ac:dyDescent="0.25">
      <c r="A544" s="170">
        <v>45078</v>
      </c>
      <c r="B544" s="116">
        <v>3848.5</v>
      </c>
      <c r="C544" s="116">
        <v>3694.65</v>
      </c>
      <c r="D544" s="116">
        <v>3668.5</v>
      </c>
      <c r="E544" s="116">
        <v>3783.1</v>
      </c>
      <c r="F544" s="116">
        <v>3694.65</v>
      </c>
      <c r="G544">
        <v>5837</v>
      </c>
      <c r="H544" s="116"/>
      <c r="I544" s="116"/>
      <c r="L544" s="170">
        <v>45078</v>
      </c>
      <c r="M544" s="116">
        <v>3694.15</v>
      </c>
      <c r="N544" s="116">
        <v>3849</v>
      </c>
      <c r="O544" s="116">
        <v>3666.3</v>
      </c>
      <c r="P544" s="116">
        <v>3765.45</v>
      </c>
      <c r="Q544" s="116">
        <v>3694.15</v>
      </c>
      <c r="R544">
        <v>110566</v>
      </c>
    </row>
    <row r="545" spans="1:18" x14ac:dyDescent="0.25">
      <c r="A545" s="170">
        <v>45079</v>
      </c>
      <c r="B545" s="116">
        <v>3857.95</v>
      </c>
      <c r="C545" s="116">
        <v>3822.9</v>
      </c>
      <c r="D545" s="116">
        <v>3722.65</v>
      </c>
      <c r="E545" s="116">
        <v>3722.65</v>
      </c>
      <c r="F545" s="116">
        <v>3822.9</v>
      </c>
      <c r="G545">
        <v>6621</v>
      </c>
      <c r="H545" s="116"/>
      <c r="I545" s="116"/>
      <c r="L545" s="170">
        <v>45079</v>
      </c>
      <c r="M545" s="116">
        <v>3819.45</v>
      </c>
      <c r="N545" s="116">
        <v>3865.55</v>
      </c>
      <c r="O545" s="116">
        <v>3716.9</v>
      </c>
      <c r="P545" s="116">
        <v>3750</v>
      </c>
      <c r="Q545" s="116">
        <v>3819.45</v>
      </c>
      <c r="R545">
        <v>61507</v>
      </c>
    </row>
    <row r="546" spans="1:18" x14ac:dyDescent="0.25">
      <c r="A546" s="170">
        <v>45082</v>
      </c>
      <c r="B546" s="116">
        <v>3899.3</v>
      </c>
      <c r="C546" s="116">
        <v>3888.4</v>
      </c>
      <c r="D546" s="116">
        <v>3823</v>
      </c>
      <c r="E546" s="116">
        <v>3853</v>
      </c>
      <c r="F546" s="116">
        <v>3888.4</v>
      </c>
      <c r="G546">
        <v>3093</v>
      </c>
      <c r="H546" s="116"/>
      <c r="I546" s="116"/>
      <c r="L546" s="170">
        <v>45082</v>
      </c>
      <c r="M546" s="116">
        <v>3879.75</v>
      </c>
      <c r="N546" s="116">
        <v>3899</v>
      </c>
      <c r="O546" s="116">
        <v>3824.4</v>
      </c>
      <c r="P546" s="116">
        <v>3865</v>
      </c>
      <c r="Q546" s="116">
        <v>3879.75</v>
      </c>
      <c r="R546">
        <v>105301</v>
      </c>
    </row>
    <row r="547" spans="1:18" x14ac:dyDescent="0.25">
      <c r="A547" s="170">
        <v>45083</v>
      </c>
      <c r="B547" s="116">
        <v>3967.95</v>
      </c>
      <c r="C547" s="116">
        <v>3932.1</v>
      </c>
      <c r="D547" s="116">
        <v>3899.7</v>
      </c>
      <c r="E547" s="116">
        <v>3899.95</v>
      </c>
      <c r="F547" s="116">
        <v>3932.1</v>
      </c>
      <c r="G547">
        <v>4356</v>
      </c>
      <c r="H547" s="116"/>
      <c r="I547" s="116"/>
      <c r="L547" s="170">
        <v>45083</v>
      </c>
      <c r="M547" s="116">
        <v>3933.4</v>
      </c>
      <c r="N547" s="116">
        <v>3969</v>
      </c>
      <c r="O547" s="116">
        <v>3892</v>
      </c>
      <c r="P547" s="116">
        <v>3892</v>
      </c>
      <c r="Q547" s="116">
        <v>3933.4</v>
      </c>
      <c r="R547">
        <v>119477</v>
      </c>
    </row>
    <row r="548" spans="1:18" x14ac:dyDescent="0.25">
      <c r="A548" s="170">
        <v>45084</v>
      </c>
      <c r="B548" s="116">
        <v>4005.85</v>
      </c>
      <c r="C548" s="116">
        <v>3963.85</v>
      </c>
      <c r="D548" s="116">
        <v>3837.4</v>
      </c>
      <c r="E548" s="116">
        <v>3905.05</v>
      </c>
      <c r="F548" s="116">
        <v>3963.85</v>
      </c>
      <c r="G548">
        <v>2993</v>
      </c>
      <c r="H548" s="116"/>
      <c r="I548" s="116"/>
      <c r="L548" s="170">
        <v>45084</v>
      </c>
      <c r="M548" s="116">
        <v>3960.15</v>
      </c>
      <c r="N548" s="116">
        <v>4005</v>
      </c>
      <c r="O548" s="116">
        <v>3835.35</v>
      </c>
      <c r="P548" s="116">
        <v>3922.05</v>
      </c>
      <c r="Q548" s="116">
        <v>3960.15</v>
      </c>
      <c r="R548">
        <v>46953</v>
      </c>
    </row>
    <row r="549" spans="1:18" x14ac:dyDescent="0.25">
      <c r="A549" s="170">
        <v>45085</v>
      </c>
      <c r="B549" s="116">
        <v>3963.3</v>
      </c>
      <c r="C549" s="116">
        <v>3913.65</v>
      </c>
      <c r="D549" s="116">
        <v>3872.3</v>
      </c>
      <c r="E549" s="116">
        <v>3954.45</v>
      </c>
      <c r="F549" s="116">
        <v>3913.65</v>
      </c>
      <c r="G549">
        <v>2350</v>
      </c>
      <c r="H549" s="116"/>
      <c r="I549" s="116"/>
      <c r="L549" s="170">
        <v>45085</v>
      </c>
      <c r="M549" s="116">
        <v>3909.95</v>
      </c>
      <c r="N549" s="116">
        <v>3965</v>
      </c>
      <c r="O549" s="116">
        <v>3875</v>
      </c>
      <c r="P549" s="116">
        <v>3945</v>
      </c>
      <c r="Q549" s="116">
        <v>3909.95</v>
      </c>
      <c r="R549">
        <v>56191</v>
      </c>
    </row>
    <row r="550" spans="1:18" x14ac:dyDescent="0.25">
      <c r="A550" s="170">
        <v>45086</v>
      </c>
      <c r="B550" s="116">
        <v>3924.7</v>
      </c>
      <c r="C550" s="116">
        <v>3874.05</v>
      </c>
      <c r="D550" s="116">
        <v>3862.3</v>
      </c>
      <c r="E550" s="116">
        <v>3924.6</v>
      </c>
      <c r="F550" s="116">
        <v>3874.05</v>
      </c>
      <c r="G550">
        <v>2050</v>
      </c>
      <c r="H550" s="116"/>
      <c r="I550" s="116"/>
      <c r="L550" s="170">
        <v>45086</v>
      </c>
      <c r="M550" s="116">
        <v>3875.55</v>
      </c>
      <c r="N550" s="116">
        <v>3937.75</v>
      </c>
      <c r="O550" s="116">
        <v>3865</v>
      </c>
      <c r="P550" s="116">
        <v>3918.7</v>
      </c>
      <c r="Q550" s="116">
        <v>3875.55</v>
      </c>
      <c r="R550">
        <v>16865</v>
      </c>
    </row>
    <row r="551" spans="1:18" x14ac:dyDescent="0.25">
      <c r="A551" s="170">
        <v>45089</v>
      </c>
      <c r="B551" s="116">
        <v>3978</v>
      </c>
      <c r="C551" s="116">
        <v>3952</v>
      </c>
      <c r="D551" s="116">
        <v>3866.2</v>
      </c>
      <c r="E551" s="116">
        <v>3878.1</v>
      </c>
      <c r="F551" s="116">
        <v>3952</v>
      </c>
      <c r="G551">
        <v>1252</v>
      </c>
      <c r="H551" s="116"/>
      <c r="I551" s="116"/>
      <c r="L551" s="170">
        <v>45089</v>
      </c>
      <c r="M551" s="116">
        <v>3948.85</v>
      </c>
      <c r="N551" s="116">
        <v>3978</v>
      </c>
      <c r="O551" s="116">
        <v>3860.05</v>
      </c>
      <c r="P551" s="116">
        <v>3876.8</v>
      </c>
      <c r="Q551" s="116">
        <v>3948.85</v>
      </c>
      <c r="R551">
        <v>19630</v>
      </c>
    </row>
    <row r="552" spans="1:18" x14ac:dyDescent="0.25">
      <c r="A552" s="170">
        <v>45090</v>
      </c>
      <c r="B552" s="116">
        <v>3957.25</v>
      </c>
      <c r="C552" s="116">
        <v>3894.05</v>
      </c>
      <c r="D552" s="116">
        <v>3865.05</v>
      </c>
      <c r="E552" s="116">
        <v>3900</v>
      </c>
      <c r="F552" s="116">
        <v>3894.05</v>
      </c>
      <c r="G552">
        <v>1969</v>
      </c>
      <c r="H552" s="116"/>
      <c r="I552" s="116"/>
      <c r="L552" s="170">
        <v>45090</v>
      </c>
      <c r="M552" s="116">
        <v>3886.8</v>
      </c>
      <c r="N552" s="116">
        <v>3966.95</v>
      </c>
      <c r="O552" s="116">
        <v>3864.2</v>
      </c>
      <c r="P552" s="116">
        <v>3966.95</v>
      </c>
      <c r="Q552" s="116">
        <v>3886.8</v>
      </c>
      <c r="R552">
        <v>17799</v>
      </c>
    </row>
    <row r="553" spans="1:18" x14ac:dyDescent="0.25">
      <c r="A553" s="170">
        <v>45091</v>
      </c>
      <c r="B553" s="116">
        <v>4095</v>
      </c>
      <c r="C553" s="116">
        <v>4053.3</v>
      </c>
      <c r="D553" s="116">
        <v>3893.55</v>
      </c>
      <c r="E553" s="116">
        <v>3894</v>
      </c>
      <c r="F553" s="116">
        <v>4053.3</v>
      </c>
      <c r="G553">
        <v>7038</v>
      </c>
      <c r="H553" s="116"/>
      <c r="I553" s="116"/>
      <c r="L553" s="170">
        <v>45091</v>
      </c>
      <c r="M553" s="116">
        <v>4053.45</v>
      </c>
      <c r="N553" s="116">
        <v>4089</v>
      </c>
      <c r="O553" s="116">
        <v>3892.55</v>
      </c>
      <c r="P553" s="116">
        <v>3905</v>
      </c>
      <c r="Q553" s="116">
        <v>4053.45</v>
      </c>
      <c r="R553">
        <v>71846</v>
      </c>
    </row>
    <row r="554" spans="1:18" x14ac:dyDescent="0.25">
      <c r="A554" s="170">
        <v>45092</v>
      </c>
      <c r="B554" s="116">
        <v>4114.1499999999996</v>
      </c>
      <c r="C554" s="116">
        <v>3986.95</v>
      </c>
      <c r="D554" s="116">
        <v>3960.05</v>
      </c>
      <c r="E554" s="116">
        <v>4061.05</v>
      </c>
      <c r="F554" s="116">
        <v>3986.95</v>
      </c>
      <c r="G554">
        <v>2179</v>
      </c>
      <c r="H554" s="116"/>
      <c r="I554" s="116"/>
      <c r="L554" s="170">
        <v>45092</v>
      </c>
      <c r="M554" s="116">
        <v>3979.15</v>
      </c>
      <c r="N554" s="116">
        <v>4120</v>
      </c>
      <c r="O554" s="116">
        <v>3950.05</v>
      </c>
      <c r="P554" s="116">
        <v>4079.95</v>
      </c>
      <c r="Q554" s="116">
        <v>3979.15</v>
      </c>
      <c r="R554">
        <v>27476</v>
      </c>
    </row>
    <row r="555" spans="1:18" x14ac:dyDescent="0.25">
      <c r="A555" s="170">
        <v>45093</v>
      </c>
      <c r="B555" s="116">
        <v>4055.95</v>
      </c>
      <c r="C555" s="116">
        <v>4034.45</v>
      </c>
      <c r="D555" s="116">
        <v>3920.55</v>
      </c>
      <c r="E555" s="116">
        <v>3990</v>
      </c>
      <c r="F555" s="116">
        <v>4034.45</v>
      </c>
      <c r="G555">
        <v>2650</v>
      </c>
      <c r="H555" s="116"/>
      <c r="I555" s="116"/>
      <c r="L555" s="170">
        <v>45093</v>
      </c>
      <c r="M555" s="116">
        <v>4034.05</v>
      </c>
      <c r="N555" s="116">
        <v>4065</v>
      </c>
      <c r="O555" s="116">
        <v>3916</v>
      </c>
      <c r="P555" s="116">
        <v>4005.75</v>
      </c>
      <c r="Q555" s="116">
        <v>4034.05</v>
      </c>
      <c r="R555">
        <v>30449</v>
      </c>
    </row>
    <row r="556" spans="1:18" x14ac:dyDescent="0.25">
      <c r="A556" s="170">
        <v>45096</v>
      </c>
      <c r="B556" s="116">
        <v>4139.1000000000004</v>
      </c>
      <c r="C556" s="116">
        <v>4036.4</v>
      </c>
      <c r="D556" s="116">
        <v>4016.6</v>
      </c>
      <c r="E556" s="116">
        <v>4055.05</v>
      </c>
      <c r="F556" s="116">
        <v>4036.4</v>
      </c>
      <c r="G556">
        <v>2404</v>
      </c>
      <c r="H556" s="116"/>
      <c r="I556" s="116"/>
      <c r="L556" s="170">
        <v>45096</v>
      </c>
      <c r="M556" s="116">
        <v>4041</v>
      </c>
      <c r="N556" s="116">
        <v>4139.95</v>
      </c>
      <c r="O556" s="116">
        <v>4004.2</v>
      </c>
      <c r="P556" s="116">
        <v>4079.95</v>
      </c>
      <c r="Q556" s="116">
        <v>4041</v>
      </c>
      <c r="R556">
        <v>35042</v>
      </c>
    </row>
    <row r="557" spans="1:18" x14ac:dyDescent="0.25">
      <c r="A557" s="170">
        <v>45097</v>
      </c>
      <c r="B557" s="116">
        <v>4097.1000000000004</v>
      </c>
      <c r="C557" s="116">
        <v>4080.7</v>
      </c>
      <c r="D557" s="116">
        <v>4029.6</v>
      </c>
      <c r="E557" s="116">
        <v>4037.4</v>
      </c>
      <c r="F557" s="116">
        <v>4080.7</v>
      </c>
      <c r="G557">
        <v>1080</v>
      </c>
      <c r="H557" s="116"/>
      <c r="I557" s="116"/>
      <c r="L557" s="170">
        <v>45097</v>
      </c>
      <c r="M557" s="116">
        <v>4079.7</v>
      </c>
      <c r="N557" s="116">
        <v>4097</v>
      </c>
      <c r="O557" s="116">
        <v>4030</v>
      </c>
      <c r="P557" s="116">
        <v>4042</v>
      </c>
      <c r="Q557" s="116">
        <v>4079.7</v>
      </c>
      <c r="R557">
        <v>51354</v>
      </c>
    </row>
    <row r="558" spans="1:18" x14ac:dyDescent="0.25">
      <c r="A558" s="170">
        <v>45098</v>
      </c>
      <c r="B558" s="116">
        <v>4101.8</v>
      </c>
      <c r="C558" s="116">
        <v>4000.1</v>
      </c>
      <c r="D558" s="116">
        <v>3972.35</v>
      </c>
      <c r="E558" s="116">
        <v>4077.4</v>
      </c>
      <c r="F558" s="116">
        <v>4000.1</v>
      </c>
      <c r="G558">
        <v>2927</v>
      </c>
      <c r="H558" s="116"/>
      <c r="I558" s="116"/>
      <c r="L558" s="170">
        <v>45098</v>
      </c>
      <c r="M558" s="116">
        <v>3998.75</v>
      </c>
      <c r="N558" s="116">
        <v>4109.7</v>
      </c>
      <c r="O558" s="116">
        <v>3970</v>
      </c>
      <c r="P558" s="116">
        <v>4105</v>
      </c>
      <c r="Q558" s="116">
        <v>3998.75</v>
      </c>
      <c r="R558">
        <v>39586</v>
      </c>
    </row>
    <row r="559" spans="1:18" x14ac:dyDescent="0.25">
      <c r="A559" s="170">
        <v>45099</v>
      </c>
      <c r="B559" s="116">
        <v>4117.3500000000004</v>
      </c>
      <c r="C559" s="116">
        <v>3998.5</v>
      </c>
      <c r="D559" s="116">
        <v>3982.5</v>
      </c>
      <c r="E559" s="116">
        <v>4101</v>
      </c>
      <c r="F559" s="116">
        <v>3998.5</v>
      </c>
      <c r="G559">
        <v>2945</v>
      </c>
      <c r="H559" s="116"/>
      <c r="I559" s="116"/>
      <c r="L559" s="170">
        <v>45099</v>
      </c>
      <c r="M559" s="116">
        <v>3993.15</v>
      </c>
      <c r="N559" s="116">
        <v>4130</v>
      </c>
      <c r="O559" s="116">
        <v>3972.5</v>
      </c>
      <c r="P559" s="116">
        <v>4100</v>
      </c>
      <c r="Q559" s="116">
        <v>3993.15</v>
      </c>
      <c r="R559">
        <v>35064</v>
      </c>
    </row>
    <row r="560" spans="1:18" x14ac:dyDescent="0.25">
      <c r="A560" s="170">
        <v>45100</v>
      </c>
      <c r="B560" s="116">
        <v>4107.95</v>
      </c>
      <c r="C560" s="116">
        <v>3961.6</v>
      </c>
      <c r="D560" s="116">
        <v>3933.2</v>
      </c>
      <c r="E560" s="116">
        <v>4107.95</v>
      </c>
      <c r="F560" s="116">
        <v>3961.6</v>
      </c>
      <c r="G560">
        <v>5399</v>
      </c>
      <c r="H560" s="116"/>
      <c r="I560" s="116"/>
      <c r="L560" s="170">
        <v>45100</v>
      </c>
      <c r="M560" s="116">
        <v>3958.45</v>
      </c>
      <c r="N560" s="116">
        <v>4099</v>
      </c>
      <c r="O560" s="116">
        <v>3932.5</v>
      </c>
      <c r="P560" s="116">
        <v>4099</v>
      </c>
      <c r="Q560" s="116">
        <v>3958.45</v>
      </c>
      <c r="R560">
        <v>55781</v>
      </c>
    </row>
    <row r="561" spans="1:18" x14ac:dyDescent="0.25">
      <c r="A561" s="170">
        <v>45103</v>
      </c>
      <c r="B561" s="116">
        <v>4037.55</v>
      </c>
      <c r="C561" s="116">
        <v>3954.85</v>
      </c>
      <c r="D561" s="116">
        <v>3926.55</v>
      </c>
      <c r="E561" s="116">
        <v>3970</v>
      </c>
      <c r="F561" s="116">
        <v>3954.85</v>
      </c>
      <c r="G561">
        <v>2114</v>
      </c>
      <c r="H561" s="116"/>
      <c r="I561" s="116"/>
      <c r="L561" s="170">
        <v>45103</v>
      </c>
      <c r="M561" s="116">
        <v>3959.85</v>
      </c>
      <c r="N561" s="116">
        <v>4040</v>
      </c>
      <c r="O561" s="116">
        <v>3940</v>
      </c>
      <c r="P561" s="116">
        <v>3987.95</v>
      </c>
      <c r="Q561" s="116">
        <v>3959.85</v>
      </c>
      <c r="R561">
        <v>13251</v>
      </c>
    </row>
    <row r="562" spans="1:18" x14ac:dyDescent="0.25">
      <c r="A562" s="170">
        <v>45104</v>
      </c>
      <c r="B562" s="116">
        <v>4101.3999999999996</v>
      </c>
      <c r="C562" s="116">
        <v>4098.7</v>
      </c>
      <c r="D562" s="116">
        <v>3987.8</v>
      </c>
      <c r="E562" s="116">
        <v>3987.8</v>
      </c>
      <c r="F562" s="116">
        <v>4098.7</v>
      </c>
      <c r="G562">
        <v>2042</v>
      </c>
      <c r="H562" s="116"/>
      <c r="I562" s="116"/>
      <c r="L562" s="170">
        <v>45104</v>
      </c>
      <c r="M562" s="116">
        <v>4091.05</v>
      </c>
      <c r="N562" s="116">
        <v>4100</v>
      </c>
      <c r="O562" s="116">
        <v>3959.85</v>
      </c>
      <c r="P562" s="116">
        <v>3997.25</v>
      </c>
      <c r="Q562" s="116">
        <v>4091.05</v>
      </c>
      <c r="R562">
        <v>37338</v>
      </c>
    </row>
    <row r="563" spans="1:18" x14ac:dyDescent="0.25">
      <c r="A563" s="170">
        <v>45105</v>
      </c>
      <c r="B563" s="116">
        <v>4091.15</v>
      </c>
      <c r="C563" s="116">
        <v>4044.25</v>
      </c>
      <c r="D563" s="116">
        <v>4035</v>
      </c>
      <c r="E563" s="116">
        <v>4067.45</v>
      </c>
      <c r="F563" s="116">
        <v>4044.25</v>
      </c>
      <c r="G563">
        <v>1786</v>
      </c>
      <c r="H563" s="116"/>
      <c r="I563" s="116"/>
      <c r="L563" s="170">
        <v>45105</v>
      </c>
      <c r="M563" s="116">
        <v>4048.15</v>
      </c>
      <c r="N563" s="116">
        <v>4100</v>
      </c>
      <c r="O563" s="116">
        <v>4035</v>
      </c>
      <c r="P563" s="116">
        <v>4054.05</v>
      </c>
      <c r="Q563" s="116">
        <v>4048.15</v>
      </c>
      <c r="R563">
        <v>15895</v>
      </c>
    </row>
    <row r="564" spans="1:18" x14ac:dyDescent="0.25">
      <c r="A564" s="170">
        <v>45107</v>
      </c>
      <c r="B564" s="116">
        <v>4075.15</v>
      </c>
      <c r="C564" s="116">
        <v>4028.95</v>
      </c>
      <c r="D564" s="116">
        <v>4011.85</v>
      </c>
      <c r="E564" s="116">
        <v>4050</v>
      </c>
      <c r="F564" s="116">
        <v>4028.95</v>
      </c>
      <c r="G564">
        <v>895</v>
      </c>
      <c r="H564" s="116"/>
      <c r="I564" s="116"/>
      <c r="L564" s="170">
        <v>45107</v>
      </c>
      <c r="M564" s="116">
        <v>4026.6</v>
      </c>
      <c r="N564" s="116">
        <v>4099</v>
      </c>
      <c r="O564" s="116">
        <v>4004.05</v>
      </c>
      <c r="P564" s="116">
        <v>4069.45</v>
      </c>
      <c r="Q564" s="116">
        <v>4026.6</v>
      </c>
      <c r="R564">
        <v>16519</v>
      </c>
    </row>
    <row r="565" spans="1:18" x14ac:dyDescent="0.25">
      <c r="A565" s="170">
        <v>45110</v>
      </c>
      <c r="B565" s="116">
        <v>4063.75</v>
      </c>
      <c r="C565" s="116">
        <v>3966.1</v>
      </c>
      <c r="D565" s="116">
        <v>3951.35</v>
      </c>
      <c r="E565" s="116">
        <v>4025.05</v>
      </c>
      <c r="F565" s="116">
        <v>3966.1</v>
      </c>
      <c r="G565">
        <v>2230</v>
      </c>
      <c r="H565" s="116"/>
      <c r="I565" s="116"/>
      <c r="L565" s="170">
        <v>45110</v>
      </c>
      <c r="M565" s="116">
        <v>3974.65</v>
      </c>
      <c r="N565" s="116">
        <v>4068.35</v>
      </c>
      <c r="O565" s="116">
        <v>3950</v>
      </c>
      <c r="P565" s="116">
        <v>4037.2</v>
      </c>
      <c r="Q565" s="116">
        <v>3974.65</v>
      </c>
      <c r="R565">
        <v>26012</v>
      </c>
    </row>
    <row r="566" spans="1:18" x14ac:dyDescent="0.25">
      <c r="A566" s="170">
        <v>45111</v>
      </c>
      <c r="B566" s="116">
        <v>4046.4</v>
      </c>
      <c r="C566" s="116">
        <v>4020.1</v>
      </c>
      <c r="D566" s="116">
        <v>3966</v>
      </c>
      <c r="E566" s="116">
        <v>4029.25</v>
      </c>
      <c r="F566" s="116">
        <v>4020.1</v>
      </c>
      <c r="G566">
        <v>1094</v>
      </c>
      <c r="H566" s="116"/>
      <c r="I566" s="116"/>
      <c r="L566" s="170">
        <v>45111</v>
      </c>
      <c r="M566" s="116">
        <v>4029</v>
      </c>
      <c r="N566" s="116">
        <v>4060</v>
      </c>
      <c r="O566" s="116">
        <v>3968</v>
      </c>
      <c r="P566" s="116">
        <v>3980.75</v>
      </c>
      <c r="Q566" s="116">
        <v>4029</v>
      </c>
      <c r="R566">
        <v>25859</v>
      </c>
    </row>
    <row r="567" spans="1:18" x14ac:dyDescent="0.25">
      <c r="A567" s="170">
        <v>45112</v>
      </c>
      <c r="B567" s="116">
        <v>4030</v>
      </c>
      <c r="C567" s="116">
        <v>3982.35</v>
      </c>
      <c r="D567" s="116">
        <v>3950.5</v>
      </c>
      <c r="E567" s="116">
        <v>4009</v>
      </c>
      <c r="F567" s="116">
        <v>3982.35</v>
      </c>
      <c r="G567">
        <v>845</v>
      </c>
      <c r="H567" s="116"/>
      <c r="I567" s="116"/>
      <c r="L567" s="170">
        <v>45112</v>
      </c>
      <c r="M567" s="116">
        <v>3972.15</v>
      </c>
      <c r="N567" s="116">
        <v>4035</v>
      </c>
      <c r="O567" s="116">
        <v>3950.05</v>
      </c>
      <c r="P567" s="116">
        <v>4029</v>
      </c>
      <c r="Q567" s="116">
        <v>3972.15</v>
      </c>
      <c r="R567">
        <v>26844</v>
      </c>
    </row>
    <row r="568" spans="1:18" x14ac:dyDescent="0.25">
      <c r="A568" s="170">
        <v>45113</v>
      </c>
      <c r="B568" s="116">
        <v>4048.95</v>
      </c>
      <c r="C568" s="116">
        <v>3971.3</v>
      </c>
      <c r="D568" s="116">
        <v>3918.45</v>
      </c>
      <c r="E568" s="116">
        <v>4048.95</v>
      </c>
      <c r="F568" s="116">
        <v>3971.3</v>
      </c>
      <c r="G568">
        <v>1445</v>
      </c>
      <c r="H568" s="116"/>
      <c r="I568" s="116"/>
      <c r="L568" s="170">
        <v>45113</v>
      </c>
      <c r="M568" s="116">
        <v>3966.6</v>
      </c>
      <c r="N568" s="116">
        <v>4032</v>
      </c>
      <c r="O568" s="116">
        <v>3915.25</v>
      </c>
      <c r="P568" s="116">
        <v>4004.9</v>
      </c>
      <c r="Q568" s="116">
        <v>3966.6</v>
      </c>
      <c r="R568">
        <v>32809</v>
      </c>
    </row>
    <row r="569" spans="1:18" x14ac:dyDescent="0.25">
      <c r="A569" s="170">
        <v>45114</v>
      </c>
      <c r="B569" s="116">
        <v>3985.8</v>
      </c>
      <c r="C569" s="116">
        <v>3948.95</v>
      </c>
      <c r="D569" s="116">
        <v>3935</v>
      </c>
      <c r="E569" s="116">
        <v>3935.05</v>
      </c>
      <c r="F569" s="116">
        <v>3948.95</v>
      </c>
      <c r="G569">
        <v>2096</v>
      </c>
      <c r="H569" s="116"/>
      <c r="I569" s="116"/>
      <c r="L569" s="170">
        <v>45114</v>
      </c>
      <c r="M569" s="116">
        <v>3949.65</v>
      </c>
      <c r="N569" s="116">
        <v>3989</v>
      </c>
      <c r="O569" s="116">
        <v>3932</v>
      </c>
      <c r="P569" s="116">
        <v>3989</v>
      </c>
      <c r="Q569" s="116">
        <v>3949.65</v>
      </c>
      <c r="R569">
        <v>9151</v>
      </c>
    </row>
    <row r="570" spans="1:18" x14ac:dyDescent="0.25">
      <c r="A570" s="170">
        <v>45117</v>
      </c>
      <c r="B570" s="116">
        <v>4025.05</v>
      </c>
      <c r="C570" s="116">
        <v>3974.45</v>
      </c>
      <c r="D570" s="116">
        <v>3927.85</v>
      </c>
      <c r="E570" s="116">
        <v>3949.95</v>
      </c>
      <c r="F570" s="116">
        <v>3974.45</v>
      </c>
      <c r="G570">
        <v>326</v>
      </c>
      <c r="H570" s="116"/>
      <c r="I570" s="116"/>
      <c r="L570" s="170">
        <v>45117</v>
      </c>
      <c r="M570" s="116">
        <v>3972.15</v>
      </c>
      <c r="N570" s="116">
        <v>4028</v>
      </c>
      <c r="O570" s="116">
        <v>3926</v>
      </c>
      <c r="P570" s="116">
        <v>3984.5</v>
      </c>
      <c r="Q570" s="116">
        <v>3972.15</v>
      </c>
      <c r="R570">
        <v>27640</v>
      </c>
    </row>
    <row r="571" spans="1:18" x14ac:dyDescent="0.25">
      <c r="A571" s="170">
        <v>45118</v>
      </c>
      <c r="B571" s="116">
        <v>4050</v>
      </c>
      <c r="C571" s="116">
        <v>4018.7</v>
      </c>
      <c r="D571" s="116">
        <v>3963.25</v>
      </c>
      <c r="E571" s="116">
        <v>4024.95</v>
      </c>
      <c r="F571" s="116">
        <v>4018.7</v>
      </c>
      <c r="G571">
        <v>2121</v>
      </c>
      <c r="H571" s="116"/>
      <c r="I571" s="116"/>
      <c r="L571" s="170">
        <v>45118</v>
      </c>
      <c r="M571" s="116">
        <v>4017.35</v>
      </c>
      <c r="N571" s="116">
        <v>4062</v>
      </c>
      <c r="O571" s="116">
        <v>3964.95</v>
      </c>
      <c r="P571" s="116">
        <v>4000</v>
      </c>
      <c r="Q571" s="116">
        <v>4017.35</v>
      </c>
      <c r="R571">
        <v>80147</v>
      </c>
    </row>
    <row r="572" spans="1:18" x14ac:dyDescent="0.25">
      <c r="A572" s="170">
        <v>45119</v>
      </c>
      <c r="B572" s="116">
        <v>4183.95</v>
      </c>
      <c r="C572" s="116">
        <v>4097.05</v>
      </c>
      <c r="D572" s="116">
        <v>4017.15</v>
      </c>
      <c r="E572" s="116">
        <v>4030</v>
      </c>
      <c r="F572" s="116">
        <v>4097.05</v>
      </c>
      <c r="G572">
        <v>4453</v>
      </c>
      <c r="H572" s="116"/>
      <c r="I572" s="116"/>
      <c r="L572" s="170">
        <v>45119</v>
      </c>
      <c r="M572" s="116">
        <v>4097.6499999999996</v>
      </c>
      <c r="N572" s="116">
        <v>4188</v>
      </c>
      <c r="O572" s="116">
        <v>4019.85</v>
      </c>
      <c r="P572" s="116">
        <v>4059</v>
      </c>
      <c r="Q572" s="116">
        <v>4097.6499999999996</v>
      </c>
      <c r="R572">
        <v>56021</v>
      </c>
    </row>
    <row r="573" spans="1:18" x14ac:dyDescent="0.25">
      <c r="A573" s="170">
        <v>45120</v>
      </c>
      <c r="B573" s="116">
        <v>4184.95</v>
      </c>
      <c r="C573" s="116">
        <v>4133.05</v>
      </c>
      <c r="D573" s="116">
        <v>4029.95</v>
      </c>
      <c r="E573" s="116">
        <v>4184.95</v>
      </c>
      <c r="F573" s="116">
        <v>4133.05</v>
      </c>
      <c r="G573">
        <v>2095</v>
      </c>
      <c r="H573" s="116"/>
      <c r="I573" s="116"/>
      <c r="L573" s="170">
        <v>45120</v>
      </c>
      <c r="M573" s="116">
        <v>4129.8500000000004</v>
      </c>
      <c r="N573" s="116">
        <v>4185</v>
      </c>
      <c r="O573" s="116">
        <v>4031.1</v>
      </c>
      <c r="P573" s="116">
        <v>4110</v>
      </c>
      <c r="Q573" s="116">
        <v>4129.8500000000004</v>
      </c>
      <c r="R573">
        <v>50838</v>
      </c>
    </row>
    <row r="574" spans="1:18" x14ac:dyDescent="0.25">
      <c r="A574" s="170">
        <v>45121</v>
      </c>
      <c r="B574" s="116">
        <v>4650</v>
      </c>
      <c r="C574" s="116">
        <v>4551.3</v>
      </c>
      <c r="D574" s="116">
        <v>4149.8999999999996</v>
      </c>
      <c r="E574" s="116">
        <v>4149.8999999999996</v>
      </c>
      <c r="F574" s="116">
        <v>4551.3</v>
      </c>
      <c r="G574">
        <v>16599</v>
      </c>
      <c r="H574" s="116"/>
      <c r="I574" s="116"/>
      <c r="L574" s="170">
        <v>45121</v>
      </c>
      <c r="M574" s="116">
        <v>4542.6000000000004</v>
      </c>
      <c r="N574" s="116">
        <v>4644.7</v>
      </c>
      <c r="O574" s="116">
        <v>4130.05</v>
      </c>
      <c r="P574" s="116">
        <v>4133.7</v>
      </c>
      <c r="Q574" s="116">
        <v>4542.6000000000004</v>
      </c>
      <c r="R574">
        <v>375604</v>
      </c>
    </row>
    <row r="575" spans="1:18" x14ac:dyDescent="0.25">
      <c r="A575" s="170">
        <v>45124</v>
      </c>
      <c r="B575" s="116">
        <v>4617</v>
      </c>
      <c r="C575" s="116">
        <v>4467.7</v>
      </c>
      <c r="D575" s="116">
        <v>4435.8999999999996</v>
      </c>
      <c r="E575" s="116">
        <v>4617</v>
      </c>
      <c r="F575" s="116">
        <v>4467.7</v>
      </c>
      <c r="G575">
        <v>7344</v>
      </c>
      <c r="H575" s="116"/>
      <c r="I575" s="116"/>
      <c r="L575" s="170">
        <v>45124</v>
      </c>
      <c r="M575" s="116">
        <v>4467.45</v>
      </c>
      <c r="N575" s="116">
        <v>4594.8999999999996</v>
      </c>
      <c r="O575" s="116">
        <v>4440</v>
      </c>
      <c r="P575" s="116">
        <v>4575</v>
      </c>
      <c r="Q575" s="116">
        <v>4467.45</v>
      </c>
      <c r="R575">
        <v>74463</v>
      </c>
    </row>
    <row r="576" spans="1:18" x14ac:dyDescent="0.25">
      <c r="A576" s="170">
        <v>45125</v>
      </c>
      <c r="B576" s="116">
        <v>4483.45</v>
      </c>
      <c r="C576" s="116">
        <v>4438.6000000000004</v>
      </c>
      <c r="D576" s="116">
        <v>4258</v>
      </c>
      <c r="E576" s="116">
        <v>4450.05</v>
      </c>
      <c r="F576" s="116">
        <v>4438.6000000000004</v>
      </c>
      <c r="G576">
        <v>7099</v>
      </c>
      <c r="H576" s="116"/>
      <c r="I576" s="116"/>
      <c r="L576" s="170">
        <v>45125</v>
      </c>
      <c r="M576" s="116">
        <v>4439.3</v>
      </c>
      <c r="N576" s="116">
        <v>4480</v>
      </c>
      <c r="O576" s="116">
        <v>4255.55</v>
      </c>
      <c r="P576" s="116">
        <v>4468.95</v>
      </c>
      <c r="Q576" s="116">
        <v>4439.3</v>
      </c>
      <c r="R576">
        <v>88802</v>
      </c>
    </row>
    <row r="577" spans="1:18" x14ac:dyDescent="0.25">
      <c r="A577" s="170">
        <v>45126</v>
      </c>
      <c r="B577" s="116">
        <v>4688.95</v>
      </c>
      <c r="C577" s="116">
        <v>4638.1000000000004</v>
      </c>
      <c r="D577" s="116">
        <v>4400.05</v>
      </c>
      <c r="E577" s="116">
        <v>4400.05</v>
      </c>
      <c r="F577" s="116">
        <v>4638.1000000000004</v>
      </c>
      <c r="G577">
        <v>5522</v>
      </c>
      <c r="H577" s="116"/>
      <c r="I577" s="116"/>
      <c r="L577" s="170">
        <v>45126</v>
      </c>
      <c r="M577" s="116">
        <v>4637.45</v>
      </c>
      <c r="N577" s="116">
        <v>4690</v>
      </c>
      <c r="O577" s="116">
        <v>4410.05</v>
      </c>
      <c r="P577" s="116">
        <v>4444.8</v>
      </c>
      <c r="Q577" s="116">
        <v>4637.45</v>
      </c>
      <c r="R577">
        <v>108218</v>
      </c>
    </row>
    <row r="578" spans="1:18" x14ac:dyDescent="0.25">
      <c r="A578" s="170">
        <v>45127</v>
      </c>
      <c r="B578" s="116">
        <v>4638</v>
      </c>
      <c r="C578" s="116">
        <v>4583.3</v>
      </c>
      <c r="D578" s="116">
        <v>4546.75</v>
      </c>
      <c r="E578" s="116">
        <v>4638</v>
      </c>
      <c r="F578" s="116">
        <v>4583.3</v>
      </c>
      <c r="G578">
        <v>4051</v>
      </c>
      <c r="H578" s="116"/>
      <c r="I578" s="116"/>
      <c r="L578" s="170">
        <v>45127</v>
      </c>
      <c r="M578" s="116">
        <v>4581.6000000000004</v>
      </c>
      <c r="N578" s="116">
        <v>4649.45</v>
      </c>
      <c r="O578" s="116">
        <v>4550</v>
      </c>
      <c r="P578" s="116">
        <v>4639.95</v>
      </c>
      <c r="Q578" s="116">
        <v>4581.6000000000004</v>
      </c>
      <c r="R578">
        <v>36781</v>
      </c>
    </row>
    <row r="579" spans="1:18" x14ac:dyDescent="0.25">
      <c r="A579" s="170">
        <v>45128</v>
      </c>
      <c r="B579" s="116">
        <v>4642.7</v>
      </c>
      <c r="C579" s="116">
        <v>4512.95</v>
      </c>
      <c r="D579" s="116">
        <v>4482.55</v>
      </c>
      <c r="E579" s="116">
        <v>4546.05</v>
      </c>
      <c r="F579" s="116">
        <v>4512.95</v>
      </c>
      <c r="G579">
        <v>2521</v>
      </c>
      <c r="H579" s="116"/>
      <c r="I579" s="116"/>
      <c r="L579" s="170">
        <v>45128</v>
      </c>
      <c r="M579" s="116">
        <v>4539.1499999999996</v>
      </c>
      <c r="N579" s="116">
        <v>4647</v>
      </c>
      <c r="O579" s="116">
        <v>4500</v>
      </c>
      <c r="P579" s="116">
        <v>4578.8</v>
      </c>
      <c r="Q579" s="116">
        <v>4539.1499999999996</v>
      </c>
      <c r="R579">
        <v>32077</v>
      </c>
    </row>
    <row r="580" spans="1:18" x14ac:dyDescent="0.25">
      <c r="A580" s="170">
        <v>45131</v>
      </c>
      <c r="B580" s="116">
        <v>4947.2</v>
      </c>
      <c r="C580" s="116">
        <v>4747.8</v>
      </c>
      <c r="D580" s="116">
        <v>4521.1000000000004</v>
      </c>
      <c r="E580" s="116">
        <v>4530.05</v>
      </c>
      <c r="F580" s="116">
        <v>4747.8</v>
      </c>
      <c r="G580">
        <v>7139</v>
      </c>
      <c r="H580" s="116"/>
      <c r="I580" s="116"/>
      <c r="L580" s="170">
        <v>45131</v>
      </c>
      <c r="M580" s="116">
        <v>4756</v>
      </c>
      <c r="N580" s="116">
        <v>4963</v>
      </c>
      <c r="O580" s="116">
        <v>4521.55</v>
      </c>
      <c r="P580" s="116">
        <v>4583.1000000000004</v>
      </c>
      <c r="Q580" s="116">
        <v>4756</v>
      </c>
      <c r="R580">
        <v>183878</v>
      </c>
    </row>
    <row r="581" spans="1:18" x14ac:dyDescent="0.25">
      <c r="A581" s="170">
        <v>45132</v>
      </c>
      <c r="B581" s="116">
        <v>4929</v>
      </c>
      <c r="C581" s="116">
        <v>4622.3999999999996</v>
      </c>
      <c r="D581" s="116">
        <v>4551</v>
      </c>
      <c r="E581" s="116">
        <v>4821.05</v>
      </c>
      <c r="F581" s="116">
        <v>4622.3999999999996</v>
      </c>
      <c r="G581">
        <v>21822</v>
      </c>
      <c r="H581" s="116"/>
      <c r="I581" s="116"/>
      <c r="L581" s="170">
        <v>45132</v>
      </c>
      <c r="M581" s="116">
        <v>4617.05</v>
      </c>
      <c r="N581" s="116">
        <v>4936</v>
      </c>
      <c r="O581" s="116">
        <v>4575</v>
      </c>
      <c r="P581" s="116">
        <v>4815</v>
      </c>
      <c r="Q581" s="116">
        <v>4617.05</v>
      </c>
      <c r="R581">
        <v>152695</v>
      </c>
    </row>
    <row r="582" spans="1:18" x14ac:dyDescent="0.25">
      <c r="A582" s="170">
        <v>45133</v>
      </c>
      <c r="B582" s="116">
        <v>4739.55</v>
      </c>
      <c r="C582" s="116">
        <v>4644.95</v>
      </c>
      <c r="D582" s="116">
        <v>4600</v>
      </c>
      <c r="E582" s="116">
        <v>4674.95</v>
      </c>
      <c r="F582" s="116">
        <v>4644.95</v>
      </c>
      <c r="G582">
        <v>4124</v>
      </c>
      <c r="H582" s="116"/>
      <c r="I582" s="116"/>
      <c r="L582" s="170">
        <v>45133</v>
      </c>
      <c r="M582" s="116">
        <v>4647.8</v>
      </c>
      <c r="N582" s="116">
        <v>4735.8999999999996</v>
      </c>
      <c r="O582" s="116">
        <v>4596.3</v>
      </c>
      <c r="P582" s="116">
        <v>4638.8</v>
      </c>
      <c r="Q582" s="116">
        <v>4647.8</v>
      </c>
      <c r="R582">
        <v>52414</v>
      </c>
    </row>
    <row r="583" spans="1:18" x14ac:dyDescent="0.25">
      <c r="A583" s="170">
        <v>45134</v>
      </c>
      <c r="B583" s="116">
        <v>4777.05</v>
      </c>
      <c r="C583" s="116">
        <v>4750.1000000000004</v>
      </c>
      <c r="D583" s="116">
        <v>4670.75</v>
      </c>
      <c r="E583" s="116">
        <v>4749.95</v>
      </c>
      <c r="F583" s="116">
        <v>4750.1000000000004</v>
      </c>
      <c r="G583">
        <v>1771</v>
      </c>
      <c r="H583" s="116"/>
      <c r="I583" s="116"/>
      <c r="L583" s="170">
        <v>45134</v>
      </c>
      <c r="M583" s="116">
        <v>4746.6000000000004</v>
      </c>
      <c r="N583" s="116">
        <v>4776.6499999999996</v>
      </c>
      <c r="O583" s="116">
        <v>4650</v>
      </c>
      <c r="P583" s="116">
        <v>4684.55</v>
      </c>
      <c r="Q583" s="116">
        <v>4746.6000000000004</v>
      </c>
      <c r="R583">
        <v>46332</v>
      </c>
    </row>
    <row r="584" spans="1:18" x14ac:dyDescent="0.25">
      <c r="A584" s="170">
        <v>45135</v>
      </c>
      <c r="B584" s="116">
        <v>4768.1499999999996</v>
      </c>
      <c r="C584" s="116">
        <v>4673.6499999999996</v>
      </c>
      <c r="D584" s="116">
        <v>4648.7</v>
      </c>
      <c r="E584" s="116">
        <v>4750.05</v>
      </c>
      <c r="F584" s="116">
        <v>4673.6499999999996</v>
      </c>
      <c r="G584">
        <v>2677</v>
      </c>
      <c r="H584" s="116"/>
      <c r="I584" s="116"/>
      <c r="L584" s="170">
        <v>45135</v>
      </c>
      <c r="M584" s="116">
        <v>4671</v>
      </c>
      <c r="N584" s="116">
        <v>4770.3999999999996</v>
      </c>
      <c r="O584" s="116">
        <v>4650</v>
      </c>
      <c r="P584" s="116">
        <v>4730</v>
      </c>
      <c r="Q584" s="116">
        <v>4671</v>
      </c>
      <c r="R584">
        <v>23443</v>
      </c>
    </row>
    <row r="585" spans="1:18" x14ac:dyDescent="0.25">
      <c r="A585" s="170">
        <v>45138</v>
      </c>
      <c r="B585" s="116">
        <v>4749.95</v>
      </c>
      <c r="C585" s="116">
        <v>4658.45</v>
      </c>
      <c r="D585" s="116">
        <v>4635.5</v>
      </c>
      <c r="E585" s="116">
        <v>4749.95</v>
      </c>
      <c r="F585" s="116">
        <v>4658.45</v>
      </c>
      <c r="G585">
        <v>2184</v>
      </c>
      <c r="H585" s="116"/>
      <c r="I585" s="116"/>
      <c r="L585" s="170">
        <v>45138</v>
      </c>
      <c r="M585" s="116">
        <v>4655.3</v>
      </c>
      <c r="N585" s="116">
        <v>4728</v>
      </c>
      <c r="O585" s="116">
        <v>4631.3500000000004</v>
      </c>
      <c r="P585" s="116">
        <v>4722.2</v>
      </c>
      <c r="Q585" s="116">
        <v>4655.3</v>
      </c>
      <c r="R585">
        <v>30991</v>
      </c>
    </row>
    <row r="586" spans="1:18" x14ac:dyDescent="0.25">
      <c r="A586" s="170">
        <v>45139</v>
      </c>
      <c r="B586" s="116">
        <v>4724.05</v>
      </c>
      <c r="C586" s="116">
        <v>4647.2</v>
      </c>
      <c r="D586" s="116">
        <v>4623.3999999999996</v>
      </c>
      <c r="E586" s="116">
        <v>4660.05</v>
      </c>
      <c r="F586" s="116">
        <v>4647.2</v>
      </c>
      <c r="G586">
        <v>1671</v>
      </c>
      <c r="H586" s="116"/>
      <c r="I586" s="116"/>
      <c r="L586" s="170">
        <v>45139</v>
      </c>
      <c r="M586" s="116">
        <v>4646.6000000000004</v>
      </c>
      <c r="N586" s="116">
        <v>4725.5</v>
      </c>
      <c r="O586" s="116">
        <v>4631.3999999999996</v>
      </c>
      <c r="P586" s="116">
        <v>4692.8</v>
      </c>
      <c r="Q586" s="116">
        <v>4646.6000000000004</v>
      </c>
      <c r="R586">
        <v>15668</v>
      </c>
    </row>
    <row r="587" spans="1:18" x14ac:dyDescent="0.25">
      <c r="A587" s="170">
        <v>45140</v>
      </c>
      <c r="B587" s="116">
        <v>4798</v>
      </c>
      <c r="C587" s="116">
        <v>4625.75</v>
      </c>
      <c r="D587" s="116">
        <v>4555.3999999999996</v>
      </c>
      <c r="E587" s="116">
        <v>4600.6499999999996</v>
      </c>
      <c r="F587" s="116">
        <v>4625.75</v>
      </c>
      <c r="G587">
        <v>2944</v>
      </c>
      <c r="H587" s="116"/>
      <c r="I587" s="116"/>
      <c r="L587" s="170">
        <v>45140</v>
      </c>
      <c r="M587" s="116">
        <v>4618.3500000000004</v>
      </c>
      <c r="N587" s="116">
        <v>4808.95</v>
      </c>
      <c r="O587" s="116">
        <v>4550</v>
      </c>
      <c r="P587" s="116">
        <v>4674.55</v>
      </c>
      <c r="Q587" s="116">
        <v>4618.3500000000004</v>
      </c>
      <c r="R587">
        <v>45101</v>
      </c>
    </row>
    <row r="588" spans="1:18" x14ac:dyDescent="0.25">
      <c r="A588" s="170">
        <v>45141</v>
      </c>
      <c r="B588" s="116">
        <v>4650</v>
      </c>
      <c r="C588" s="116">
        <v>4560.5</v>
      </c>
      <c r="D588" s="116">
        <v>4522.3500000000004</v>
      </c>
      <c r="E588" s="116">
        <v>4640.8999999999996</v>
      </c>
      <c r="F588" s="116">
        <v>4560.5</v>
      </c>
      <c r="G588">
        <v>2381</v>
      </c>
      <c r="H588" s="116"/>
      <c r="I588" s="116"/>
      <c r="L588" s="170">
        <v>45141</v>
      </c>
      <c r="M588" s="116">
        <v>4558.6000000000004</v>
      </c>
      <c r="N588" s="116">
        <v>4659</v>
      </c>
      <c r="O588" s="116">
        <v>4529.95</v>
      </c>
      <c r="P588" s="116">
        <v>4627.6000000000004</v>
      </c>
      <c r="Q588" s="116">
        <v>4558.6000000000004</v>
      </c>
      <c r="R588">
        <v>19339</v>
      </c>
    </row>
    <row r="589" spans="1:18" x14ac:dyDescent="0.25">
      <c r="A589" s="170">
        <v>45142</v>
      </c>
      <c r="B589" s="116">
        <v>4650</v>
      </c>
      <c r="C589" s="116">
        <v>4637.95</v>
      </c>
      <c r="D589" s="116">
        <v>4588.55</v>
      </c>
      <c r="E589" s="116">
        <v>4650</v>
      </c>
      <c r="F589" s="116">
        <v>4637.95</v>
      </c>
      <c r="G589">
        <v>1800</v>
      </c>
      <c r="H589" s="116"/>
      <c r="I589" s="116"/>
      <c r="L589" s="170">
        <v>45142</v>
      </c>
      <c r="M589" s="116">
        <v>4637.5</v>
      </c>
      <c r="N589" s="116">
        <v>4649</v>
      </c>
      <c r="O589" s="116">
        <v>4568</v>
      </c>
      <c r="P589" s="116">
        <v>4593.75</v>
      </c>
      <c r="Q589" s="116">
        <v>4637.5</v>
      </c>
      <c r="R589">
        <v>15205</v>
      </c>
    </row>
    <row r="590" spans="1:18" x14ac:dyDescent="0.25">
      <c r="A590" s="170">
        <v>45145</v>
      </c>
      <c r="B590" s="116">
        <v>4737.2</v>
      </c>
      <c r="C590" s="116">
        <v>4665.1499999999996</v>
      </c>
      <c r="D590" s="116">
        <v>4570</v>
      </c>
      <c r="E590" s="116">
        <v>4650.05</v>
      </c>
      <c r="F590" s="116">
        <v>4665.1499999999996</v>
      </c>
      <c r="G590">
        <v>2796</v>
      </c>
      <c r="H590" s="116"/>
      <c r="I590" s="116"/>
      <c r="L590" s="170">
        <v>45145</v>
      </c>
      <c r="M590" s="116">
        <v>4664.3999999999996</v>
      </c>
      <c r="N590" s="116">
        <v>4740</v>
      </c>
      <c r="O590" s="116">
        <v>4605.1499999999996</v>
      </c>
      <c r="P590" s="116">
        <v>4684.8999999999996</v>
      </c>
      <c r="Q590" s="116">
        <v>4664.3999999999996</v>
      </c>
      <c r="R590">
        <v>20190</v>
      </c>
    </row>
    <row r="591" spans="1:18" x14ac:dyDescent="0.25">
      <c r="A591" s="170">
        <v>45146</v>
      </c>
      <c r="B591" s="116">
        <v>4773.95</v>
      </c>
      <c r="C591" s="116">
        <v>4741.6499999999996</v>
      </c>
      <c r="D591" s="116">
        <v>4583.5</v>
      </c>
      <c r="E591" s="116">
        <v>4719.95</v>
      </c>
      <c r="F591" s="116">
        <v>4741.6499999999996</v>
      </c>
      <c r="G591">
        <v>3012</v>
      </c>
      <c r="H591" s="116"/>
      <c r="I591" s="116"/>
      <c r="L591" s="170">
        <v>45146</v>
      </c>
      <c r="M591" s="116">
        <v>4748</v>
      </c>
      <c r="N591" s="116">
        <v>4775.55</v>
      </c>
      <c r="O591" s="116">
        <v>4685.95</v>
      </c>
      <c r="P591" s="116">
        <v>4696</v>
      </c>
      <c r="Q591" s="116">
        <v>4748</v>
      </c>
      <c r="R591">
        <v>27177</v>
      </c>
    </row>
    <row r="592" spans="1:18" x14ac:dyDescent="0.25">
      <c r="A592" s="170">
        <v>45147</v>
      </c>
      <c r="B592" s="116">
        <v>4800.5</v>
      </c>
      <c r="C592" s="116">
        <v>4732.75</v>
      </c>
      <c r="D592" s="116">
        <v>4723.75</v>
      </c>
      <c r="E592" s="116">
        <v>4769.95</v>
      </c>
      <c r="F592" s="116">
        <v>4732.75</v>
      </c>
      <c r="G592">
        <v>188</v>
      </c>
      <c r="H592" s="116"/>
      <c r="I592" s="116"/>
      <c r="L592" s="170">
        <v>45147</v>
      </c>
      <c r="M592" s="116">
        <v>4732.6499999999996</v>
      </c>
      <c r="N592" s="116">
        <v>4775</v>
      </c>
      <c r="O592" s="116">
        <v>4720</v>
      </c>
      <c r="P592" s="116">
        <v>4748</v>
      </c>
      <c r="Q592" s="116">
        <v>4732.6499999999996</v>
      </c>
      <c r="R592">
        <v>10158</v>
      </c>
    </row>
    <row r="593" spans="1:18" x14ac:dyDescent="0.25">
      <c r="A593" s="170">
        <v>45148</v>
      </c>
      <c r="B593" s="116">
        <v>4811</v>
      </c>
      <c r="C593" s="116">
        <v>4787.7</v>
      </c>
      <c r="D593" s="116">
        <v>4769.5</v>
      </c>
      <c r="E593" s="116">
        <v>4780.95</v>
      </c>
      <c r="F593" s="116">
        <v>4787.7</v>
      </c>
      <c r="G593">
        <v>2751</v>
      </c>
      <c r="H593" s="116"/>
      <c r="I593" s="116"/>
      <c r="L593" s="170">
        <v>45148</v>
      </c>
      <c r="M593" s="116">
        <v>4793.3</v>
      </c>
      <c r="N593" s="116">
        <v>4817.3999999999996</v>
      </c>
      <c r="O593" s="116">
        <v>4730</v>
      </c>
      <c r="P593" s="116">
        <v>4732.6499999999996</v>
      </c>
      <c r="Q593" s="116">
        <v>4793.3</v>
      </c>
      <c r="R593">
        <v>60780</v>
      </c>
    </row>
    <row r="594" spans="1:18" x14ac:dyDescent="0.25">
      <c r="A594" s="170">
        <v>45149</v>
      </c>
      <c r="B594" s="116">
        <v>4800</v>
      </c>
      <c r="C594" s="116">
        <v>4753.7</v>
      </c>
      <c r="D594" s="116">
        <v>4662.8999999999996</v>
      </c>
      <c r="E594" s="116">
        <v>4792.8999999999996</v>
      </c>
      <c r="F594" s="116">
        <v>4753.7</v>
      </c>
      <c r="G594">
        <v>498</v>
      </c>
      <c r="H594" s="116"/>
      <c r="I594" s="116"/>
      <c r="L594" s="170">
        <v>45149</v>
      </c>
      <c r="M594" s="116">
        <v>4755.45</v>
      </c>
      <c r="N594" s="116">
        <v>4814.3999999999996</v>
      </c>
      <c r="O594" s="116">
        <v>4659.3</v>
      </c>
      <c r="P594" s="116">
        <v>4793.3999999999996</v>
      </c>
      <c r="Q594" s="116">
        <v>4755.45</v>
      </c>
      <c r="R594">
        <v>30871</v>
      </c>
    </row>
    <row r="595" spans="1:18" x14ac:dyDescent="0.25">
      <c r="A595" s="170">
        <v>45152</v>
      </c>
      <c r="B595" s="116">
        <v>4845.5</v>
      </c>
      <c r="C595" s="116">
        <v>4784.8999999999996</v>
      </c>
      <c r="D595" s="116">
        <v>4722.3500000000004</v>
      </c>
      <c r="E595" s="116">
        <v>4763</v>
      </c>
      <c r="F595" s="116">
        <v>4784.8999999999996</v>
      </c>
      <c r="G595">
        <v>819</v>
      </c>
      <c r="H595" s="116"/>
      <c r="I595" s="116"/>
      <c r="L595" s="170">
        <v>45152</v>
      </c>
      <c r="M595" s="116">
        <v>4790.8</v>
      </c>
      <c r="N595" s="116">
        <v>4847.7</v>
      </c>
      <c r="O595" s="116">
        <v>4710</v>
      </c>
      <c r="P595" s="116">
        <v>4755.45</v>
      </c>
      <c r="Q595" s="116">
        <v>4790.8</v>
      </c>
      <c r="R595">
        <v>71922</v>
      </c>
    </row>
    <row r="596" spans="1:18" x14ac:dyDescent="0.25">
      <c r="A596" s="170">
        <v>45154</v>
      </c>
      <c r="B596" s="116">
        <v>4915.3999999999996</v>
      </c>
      <c r="C596" s="116">
        <v>4880.8999999999996</v>
      </c>
      <c r="D596" s="116">
        <v>4789.55</v>
      </c>
      <c r="E596" s="116">
        <v>4789.55</v>
      </c>
      <c r="F596" s="116">
        <v>4880.8999999999996</v>
      </c>
      <c r="G596">
        <v>1085</v>
      </c>
      <c r="H596" s="116"/>
      <c r="I596" s="116"/>
      <c r="L596" s="170">
        <v>45154</v>
      </c>
      <c r="M596" s="116">
        <v>4887.75</v>
      </c>
      <c r="N596" s="116">
        <v>4916</v>
      </c>
      <c r="O596" s="116">
        <v>4775.7</v>
      </c>
      <c r="P596" s="116">
        <v>4790.8</v>
      </c>
      <c r="Q596" s="116">
        <v>4887.75</v>
      </c>
      <c r="R596">
        <v>29270</v>
      </c>
    </row>
    <row r="597" spans="1:18" x14ac:dyDescent="0.25">
      <c r="A597" s="170">
        <v>45155</v>
      </c>
      <c r="B597" s="116">
        <v>4989.6000000000004</v>
      </c>
      <c r="C597" s="116">
        <v>4898.2</v>
      </c>
      <c r="D597" s="116">
        <v>4880.05</v>
      </c>
      <c r="E597" s="116">
        <v>4880.05</v>
      </c>
      <c r="F597" s="116">
        <v>4898.2</v>
      </c>
      <c r="G597">
        <v>879</v>
      </c>
      <c r="H597" s="116"/>
      <c r="I597" s="116"/>
      <c r="L597" s="170">
        <v>45155</v>
      </c>
      <c r="M597" s="116">
        <v>4899.3500000000004</v>
      </c>
      <c r="N597" s="116">
        <v>4994.7</v>
      </c>
      <c r="O597" s="116">
        <v>4888.05</v>
      </c>
      <c r="P597" s="116">
        <v>4947.7</v>
      </c>
      <c r="Q597" s="116">
        <v>4899.3500000000004</v>
      </c>
      <c r="R597">
        <v>36888</v>
      </c>
    </row>
    <row r="598" spans="1:18" x14ac:dyDescent="0.25">
      <c r="A598" s="170">
        <v>45156</v>
      </c>
      <c r="B598" s="116">
        <v>4963.1000000000004</v>
      </c>
      <c r="C598" s="116">
        <v>4811.05</v>
      </c>
      <c r="D598" s="116">
        <v>4775.55</v>
      </c>
      <c r="E598" s="116">
        <v>4850.1000000000004</v>
      </c>
      <c r="F598" s="116">
        <v>4811.05</v>
      </c>
      <c r="G598">
        <v>866</v>
      </c>
      <c r="H598" s="116"/>
      <c r="I598" s="116"/>
      <c r="L598" s="170">
        <v>45156</v>
      </c>
      <c r="M598" s="116">
        <v>4805.7</v>
      </c>
      <c r="N598" s="116">
        <v>4979.95</v>
      </c>
      <c r="O598" s="116">
        <v>4772.2</v>
      </c>
      <c r="P598" s="116">
        <v>4915</v>
      </c>
      <c r="Q598" s="116">
        <v>4805.7</v>
      </c>
      <c r="R598">
        <v>41659</v>
      </c>
    </row>
    <row r="599" spans="1:18" x14ac:dyDescent="0.25">
      <c r="A599" s="170">
        <v>45159</v>
      </c>
      <c r="B599" s="116">
        <v>4829.6499999999996</v>
      </c>
      <c r="C599" s="116">
        <v>4741.1000000000004</v>
      </c>
      <c r="D599" s="116">
        <v>4720</v>
      </c>
      <c r="E599" s="116">
        <v>4765.05</v>
      </c>
      <c r="F599" s="116">
        <v>4741.1000000000004</v>
      </c>
      <c r="G599">
        <v>2090</v>
      </c>
      <c r="H599" s="116"/>
      <c r="I599" s="116"/>
      <c r="L599" s="170">
        <v>45159</v>
      </c>
      <c r="M599" s="116">
        <v>4740.3500000000004</v>
      </c>
      <c r="N599" s="116">
        <v>4824.6000000000004</v>
      </c>
      <c r="O599" s="116">
        <v>4715.1499999999996</v>
      </c>
      <c r="P599" s="116">
        <v>4805</v>
      </c>
      <c r="Q599" s="116">
        <v>4740.3500000000004</v>
      </c>
      <c r="R599">
        <v>16889</v>
      </c>
    </row>
    <row r="600" spans="1:18" x14ac:dyDescent="0.25">
      <c r="A600" s="170">
        <v>45160</v>
      </c>
      <c r="B600" s="116">
        <v>4872</v>
      </c>
      <c r="C600" s="116">
        <v>4840.25</v>
      </c>
      <c r="D600" s="116">
        <v>4741.1000000000004</v>
      </c>
      <c r="E600" s="116">
        <v>4741.1000000000004</v>
      </c>
      <c r="F600" s="116">
        <v>4840.25</v>
      </c>
      <c r="G600">
        <v>1113</v>
      </c>
      <c r="H600" s="116"/>
      <c r="I600" s="116"/>
      <c r="L600" s="170">
        <v>45160</v>
      </c>
      <c r="M600" s="116">
        <v>4844.8999999999996</v>
      </c>
      <c r="N600" s="116">
        <v>4888</v>
      </c>
      <c r="O600" s="116">
        <v>4740.3500000000004</v>
      </c>
      <c r="P600" s="116">
        <v>4740.3500000000004</v>
      </c>
      <c r="Q600" s="116">
        <v>4844.8999999999996</v>
      </c>
      <c r="R600">
        <v>23049</v>
      </c>
    </row>
    <row r="601" spans="1:18" x14ac:dyDescent="0.25">
      <c r="A601" s="170">
        <v>45161</v>
      </c>
      <c r="B601" s="116">
        <v>4977</v>
      </c>
      <c r="C601" s="116">
        <v>4913.1499999999996</v>
      </c>
      <c r="D601" s="116">
        <v>4875.3500000000004</v>
      </c>
      <c r="E601" s="116">
        <v>4892.05</v>
      </c>
      <c r="F601" s="116">
        <v>4913.1499999999996</v>
      </c>
      <c r="G601">
        <v>717</v>
      </c>
      <c r="H601" s="116"/>
      <c r="I601" s="116"/>
      <c r="L601" s="170">
        <v>45161</v>
      </c>
      <c r="M601" s="116">
        <v>4920.1499999999996</v>
      </c>
      <c r="N601" s="116">
        <v>4982.45</v>
      </c>
      <c r="O601" s="116">
        <v>4870.1499999999996</v>
      </c>
      <c r="P601" s="116">
        <v>4900.3500000000004</v>
      </c>
      <c r="Q601" s="116">
        <v>4920.1499999999996</v>
      </c>
      <c r="R601">
        <v>41643</v>
      </c>
    </row>
    <row r="602" spans="1:18" x14ac:dyDescent="0.25">
      <c r="A602" s="170">
        <v>45162</v>
      </c>
      <c r="B602" s="116">
        <v>5020.25</v>
      </c>
      <c r="C602" s="116">
        <v>4949.3500000000004</v>
      </c>
      <c r="D602" s="116">
        <v>4938.1499999999996</v>
      </c>
      <c r="E602" s="116">
        <v>4999.95</v>
      </c>
      <c r="F602" s="116">
        <v>4949.3500000000004</v>
      </c>
      <c r="G602">
        <v>437</v>
      </c>
      <c r="H602" s="116"/>
      <c r="I602" s="116"/>
      <c r="L602" s="170">
        <v>45162</v>
      </c>
      <c r="M602" s="116">
        <v>4951.1499999999996</v>
      </c>
      <c r="N602" s="116">
        <v>5025.5</v>
      </c>
      <c r="O602" s="116">
        <v>4925.25</v>
      </c>
      <c r="P602" s="116">
        <v>4963.95</v>
      </c>
      <c r="Q602" s="116">
        <v>4951.1499999999996</v>
      </c>
      <c r="R602">
        <v>27453</v>
      </c>
    </row>
    <row r="603" spans="1:18" x14ac:dyDescent="0.25">
      <c r="A603" s="170">
        <v>45163</v>
      </c>
      <c r="B603" s="116">
        <v>4979.6499999999996</v>
      </c>
      <c r="C603" s="116">
        <v>4887.1499999999996</v>
      </c>
      <c r="D603" s="116">
        <v>4840.05</v>
      </c>
      <c r="E603" s="116">
        <v>4975.75</v>
      </c>
      <c r="F603" s="116">
        <v>4887.1499999999996</v>
      </c>
      <c r="G603">
        <v>299</v>
      </c>
      <c r="H603" s="116"/>
      <c r="I603" s="116"/>
      <c r="L603" s="170">
        <v>45163</v>
      </c>
      <c r="M603" s="116">
        <v>4890.8500000000004</v>
      </c>
      <c r="N603" s="116">
        <v>4985.1000000000004</v>
      </c>
      <c r="O603" s="116">
        <v>4831.95</v>
      </c>
      <c r="P603" s="116">
        <v>4951.1499999999996</v>
      </c>
      <c r="Q603" s="116">
        <v>4890.8500000000004</v>
      </c>
      <c r="R603">
        <v>15706</v>
      </c>
    </row>
    <row r="604" spans="1:18" x14ac:dyDescent="0.25">
      <c r="A604" s="170">
        <v>45166</v>
      </c>
      <c r="B604" s="116">
        <v>4887</v>
      </c>
      <c r="C604" s="116">
        <v>4839.45</v>
      </c>
      <c r="D604" s="116">
        <v>4820</v>
      </c>
      <c r="E604" s="116">
        <v>4887</v>
      </c>
      <c r="F604" s="116">
        <v>4839.45</v>
      </c>
      <c r="G604">
        <v>288</v>
      </c>
      <c r="H604" s="116"/>
      <c r="I604" s="116"/>
      <c r="L604" s="170">
        <v>45166</v>
      </c>
      <c r="M604" s="116">
        <v>4839.3999999999996</v>
      </c>
      <c r="N604" s="116">
        <v>4941.45</v>
      </c>
      <c r="O604" s="116">
        <v>4818</v>
      </c>
      <c r="P604" s="116">
        <v>4940</v>
      </c>
      <c r="Q604" s="116">
        <v>4839.3999999999996</v>
      </c>
      <c r="R604">
        <v>23352</v>
      </c>
    </row>
    <row r="605" spans="1:18" x14ac:dyDescent="0.25">
      <c r="A605" s="170">
        <v>45167</v>
      </c>
      <c r="B605" s="116">
        <v>4886.2</v>
      </c>
      <c r="C605" s="116">
        <v>4846.25</v>
      </c>
      <c r="D605" s="116">
        <v>4831</v>
      </c>
      <c r="E605" s="116">
        <v>4852.55</v>
      </c>
      <c r="F605" s="116">
        <v>4846.25</v>
      </c>
      <c r="G605">
        <v>801</v>
      </c>
      <c r="H605" s="116"/>
      <c r="I605" s="116"/>
      <c r="L605" s="170">
        <v>45167</v>
      </c>
      <c r="M605" s="116">
        <v>4844.2</v>
      </c>
      <c r="N605" s="116">
        <v>4886.5</v>
      </c>
      <c r="O605" s="116">
        <v>4821.5</v>
      </c>
      <c r="P605" s="116">
        <v>4884.95</v>
      </c>
      <c r="Q605" s="116">
        <v>4844.2</v>
      </c>
      <c r="R605">
        <v>15821</v>
      </c>
    </row>
    <row r="606" spans="1:18" x14ac:dyDescent="0.25">
      <c r="A606" s="170">
        <v>45168</v>
      </c>
      <c r="B606" s="116">
        <v>4889.8500000000004</v>
      </c>
      <c r="C606" s="116">
        <v>4842.1000000000004</v>
      </c>
      <c r="D606" s="116">
        <v>4790.95</v>
      </c>
      <c r="E606" s="116">
        <v>4856.8500000000004</v>
      </c>
      <c r="F606" s="116">
        <v>4842.1000000000004</v>
      </c>
      <c r="G606">
        <v>1093</v>
      </c>
      <c r="H606" s="116"/>
      <c r="I606" s="116"/>
      <c r="L606" s="170">
        <v>45168</v>
      </c>
      <c r="M606" s="116">
        <v>4848.95</v>
      </c>
      <c r="N606" s="116">
        <v>4891.3500000000004</v>
      </c>
      <c r="O606" s="116">
        <v>4792.5</v>
      </c>
      <c r="P606" s="116">
        <v>4851</v>
      </c>
      <c r="Q606" s="116">
        <v>4848.95</v>
      </c>
      <c r="R606">
        <v>100698</v>
      </c>
    </row>
    <row r="607" spans="1:18" x14ac:dyDescent="0.25">
      <c r="A607" s="170">
        <v>45169</v>
      </c>
      <c r="B607" s="116">
        <v>5000</v>
      </c>
      <c r="C607" s="116">
        <v>4977.55</v>
      </c>
      <c r="D607" s="116">
        <v>4837.05</v>
      </c>
      <c r="E607" s="116">
        <v>4837.05</v>
      </c>
      <c r="F607" s="116">
        <v>4977.55</v>
      </c>
      <c r="G607">
        <v>767</v>
      </c>
      <c r="H607" s="116"/>
      <c r="I607" s="116"/>
      <c r="L607" s="170">
        <v>45169</v>
      </c>
      <c r="M607" s="116">
        <v>4918.1000000000004</v>
      </c>
      <c r="N607" s="116">
        <v>5012.6000000000004</v>
      </c>
      <c r="O607" s="116">
        <v>4850.1499999999996</v>
      </c>
      <c r="P607" s="116">
        <v>4868.7</v>
      </c>
      <c r="Q607" s="116">
        <v>4918.1000000000004</v>
      </c>
      <c r="R607">
        <v>96356</v>
      </c>
    </row>
    <row r="608" spans="1:18" x14ac:dyDescent="0.25">
      <c r="A608" s="170">
        <v>45170</v>
      </c>
      <c r="B608" s="116">
        <v>4974.1499999999996</v>
      </c>
      <c r="C608" s="116">
        <v>4899.45</v>
      </c>
      <c r="D608" s="116">
        <v>4880</v>
      </c>
      <c r="E608" s="116">
        <v>4964.6000000000004</v>
      </c>
      <c r="F608" s="116">
        <v>4899.45</v>
      </c>
      <c r="G608">
        <v>1294</v>
      </c>
      <c r="H608" s="116"/>
      <c r="I608" s="116"/>
      <c r="L608" s="170">
        <v>45170</v>
      </c>
      <c r="M608" s="116">
        <v>4895.25</v>
      </c>
      <c r="N608" s="116">
        <v>4994.8999999999996</v>
      </c>
      <c r="O608" s="116">
        <v>4877.5</v>
      </c>
      <c r="P608" s="116">
        <v>4938</v>
      </c>
      <c r="Q608" s="116">
        <v>4895.25</v>
      </c>
      <c r="R608">
        <v>12429</v>
      </c>
    </row>
    <row r="609" spans="1:18" x14ac:dyDescent="0.25">
      <c r="A609" s="170">
        <v>45173</v>
      </c>
      <c r="B609" s="116">
        <v>4927.8500000000004</v>
      </c>
      <c r="C609" s="116">
        <v>4853.75</v>
      </c>
      <c r="D609" s="116">
        <v>4835.1000000000004</v>
      </c>
      <c r="E609" s="116">
        <v>4895.1499999999996</v>
      </c>
      <c r="F609" s="116">
        <v>4853.75</v>
      </c>
      <c r="G609">
        <v>2009</v>
      </c>
      <c r="H609" s="116"/>
      <c r="I609" s="116"/>
      <c r="L609" s="170">
        <v>45173</v>
      </c>
      <c r="M609" s="116">
        <v>4853.6000000000004</v>
      </c>
      <c r="N609" s="116">
        <v>4944</v>
      </c>
      <c r="O609" s="116">
        <v>4835</v>
      </c>
      <c r="P609" s="116">
        <v>4907.2</v>
      </c>
      <c r="Q609" s="116">
        <v>4853.6000000000004</v>
      </c>
      <c r="R609">
        <v>17517</v>
      </c>
    </row>
    <row r="610" spans="1:18" x14ac:dyDescent="0.25">
      <c r="A610" s="170">
        <v>45174</v>
      </c>
      <c r="B610" s="116">
        <v>4928.55</v>
      </c>
      <c r="C610" s="116">
        <v>4884.7</v>
      </c>
      <c r="D610" s="116">
        <v>4819.05</v>
      </c>
      <c r="E610" s="116">
        <v>4858.3500000000004</v>
      </c>
      <c r="F610" s="116">
        <v>4884.7</v>
      </c>
      <c r="G610">
        <v>1759</v>
      </c>
      <c r="H610" s="116"/>
      <c r="I610" s="116"/>
      <c r="L610" s="170">
        <v>45174</v>
      </c>
      <c r="M610" s="116">
        <v>4891.3</v>
      </c>
      <c r="N610" s="116">
        <v>4927.95</v>
      </c>
      <c r="O610" s="116">
        <v>4800</v>
      </c>
      <c r="P610" s="116">
        <v>4873.05</v>
      </c>
      <c r="Q610" s="116">
        <v>4891.3</v>
      </c>
      <c r="R610">
        <v>17391</v>
      </c>
    </row>
    <row r="611" spans="1:18" x14ac:dyDescent="0.25">
      <c r="A611" s="170">
        <v>45175</v>
      </c>
      <c r="B611" s="116">
        <v>4966.05</v>
      </c>
      <c r="C611" s="116">
        <v>4900.55</v>
      </c>
      <c r="D611" s="116">
        <v>4879.25</v>
      </c>
      <c r="E611" s="116">
        <v>4886.75</v>
      </c>
      <c r="F611" s="116">
        <v>4900.55</v>
      </c>
      <c r="G611">
        <v>401</v>
      </c>
      <c r="H611" s="116"/>
      <c r="I611" s="116"/>
      <c r="L611" s="170">
        <v>45175</v>
      </c>
      <c r="M611" s="116">
        <v>4899.1499999999996</v>
      </c>
      <c r="N611" s="116">
        <v>4974.8999999999996</v>
      </c>
      <c r="O611" s="116">
        <v>4875</v>
      </c>
      <c r="P611" s="116">
        <v>4928.95</v>
      </c>
      <c r="Q611" s="116">
        <v>4899.1499999999996</v>
      </c>
      <c r="R611">
        <v>14865</v>
      </c>
    </row>
    <row r="612" spans="1:18" x14ac:dyDescent="0.25">
      <c r="A612" s="170">
        <v>45176</v>
      </c>
      <c r="B612" s="116">
        <v>4976.3500000000004</v>
      </c>
      <c r="C612" s="116">
        <v>4847.8999999999996</v>
      </c>
      <c r="D612" s="116">
        <v>4816.3999999999996</v>
      </c>
      <c r="E612" s="116">
        <v>4915.3999999999996</v>
      </c>
      <c r="F612" s="116">
        <v>4847.8999999999996</v>
      </c>
      <c r="G612">
        <v>1723</v>
      </c>
      <c r="H612" s="116"/>
      <c r="I612" s="116"/>
      <c r="L612" s="170">
        <v>45176</v>
      </c>
      <c r="M612" s="116">
        <v>4847</v>
      </c>
      <c r="N612" s="116">
        <v>4984.7</v>
      </c>
      <c r="O612" s="116">
        <v>4831</v>
      </c>
      <c r="P612" s="116">
        <v>4899.1499999999996</v>
      </c>
      <c r="Q612" s="116">
        <v>4847</v>
      </c>
      <c r="R612">
        <v>26722</v>
      </c>
    </row>
    <row r="613" spans="1:18" x14ac:dyDescent="0.25">
      <c r="A613" s="170">
        <v>45177</v>
      </c>
      <c r="B613" s="116">
        <v>4976.8500000000004</v>
      </c>
      <c r="C613" s="116">
        <v>4814.45</v>
      </c>
      <c r="D613" s="116">
        <v>4776.75</v>
      </c>
      <c r="E613" s="116">
        <v>4976.8500000000004</v>
      </c>
      <c r="F613" s="116">
        <v>4814.45</v>
      </c>
      <c r="G613">
        <v>1805</v>
      </c>
      <c r="H613" s="116"/>
      <c r="I613" s="116"/>
      <c r="L613" s="170">
        <v>45177</v>
      </c>
      <c r="M613" s="116">
        <v>4817.75</v>
      </c>
      <c r="N613" s="116">
        <v>4920</v>
      </c>
      <c r="O613" s="116">
        <v>4775.05</v>
      </c>
      <c r="P613" s="116">
        <v>4851.55</v>
      </c>
      <c r="Q613" s="116">
        <v>4817.75</v>
      </c>
      <c r="R613">
        <v>23400</v>
      </c>
    </row>
    <row r="614" spans="1:18" x14ac:dyDescent="0.25">
      <c r="A614" s="170">
        <v>45180</v>
      </c>
      <c r="B614" s="116">
        <v>5045</v>
      </c>
      <c r="C614" s="116">
        <v>4946.2</v>
      </c>
      <c r="D614" s="116">
        <v>4842.75</v>
      </c>
      <c r="E614" s="116">
        <v>4842.75</v>
      </c>
      <c r="F614" s="116">
        <v>4946.2</v>
      </c>
      <c r="G614">
        <v>3052</v>
      </c>
      <c r="H614" s="116"/>
      <c r="I614" s="116"/>
      <c r="L614" s="170">
        <v>45180</v>
      </c>
      <c r="M614" s="116">
        <v>4930.3500000000004</v>
      </c>
      <c r="N614" s="116">
        <v>5065.95</v>
      </c>
      <c r="O614" s="116">
        <v>4817.75</v>
      </c>
      <c r="P614" s="116">
        <v>4817.75</v>
      </c>
      <c r="Q614" s="116">
        <v>4930.3500000000004</v>
      </c>
      <c r="R614">
        <v>56331</v>
      </c>
    </row>
    <row r="615" spans="1:18" x14ac:dyDescent="0.25">
      <c r="A615" s="170">
        <v>45181</v>
      </c>
      <c r="B615" s="116">
        <v>5021.8</v>
      </c>
      <c r="C615" s="116">
        <v>4683.25</v>
      </c>
      <c r="D615" s="116">
        <v>4621.95</v>
      </c>
      <c r="E615" s="116">
        <v>4993.8500000000004</v>
      </c>
      <c r="F615" s="116">
        <v>4683.25</v>
      </c>
      <c r="G615">
        <v>6308</v>
      </c>
      <c r="H615" s="116"/>
      <c r="I615" s="116"/>
      <c r="L615" s="170">
        <v>45181</v>
      </c>
      <c r="M615" s="116">
        <v>4680.3</v>
      </c>
      <c r="N615" s="116">
        <v>5033.95</v>
      </c>
      <c r="O615" s="116">
        <v>4622.25</v>
      </c>
      <c r="P615" s="116">
        <v>4958</v>
      </c>
      <c r="Q615" s="116">
        <v>4680.3</v>
      </c>
      <c r="R615">
        <v>49423</v>
      </c>
    </row>
    <row r="616" spans="1:18" x14ac:dyDescent="0.25">
      <c r="A616" s="170">
        <v>45182</v>
      </c>
      <c r="B616" s="116">
        <v>4820</v>
      </c>
      <c r="C616" s="116">
        <v>4598.3500000000004</v>
      </c>
      <c r="D616" s="116">
        <v>4522.3</v>
      </c>
      <c r="E616" s="116">
        <v>4693</v>
      </c>
      <c r="F616" s="116">
        <v>4598.3500000000004</v>
      </c>
      <c r="G616">
        <v>4475</v>
      </c>
      <c r="H616" s="116"/>
      <c r="I616" s="116"/>
      <c r="L616" s="170">
        <v>45182</v>
      </c>
      <c r="M616" s="116">
        <v>4592.2</v>
      </c>
      <c r="N616" s="116">
        <v>4824</v>
      </c>
      <c r="O616" s="116">
        <v>4522.25</v>
      </c>
      <c r="P616" s="116">
        <v>4716.8500000000004</v>
      </c>
      <c r="Q616" s="116">
        <v>4592.2</v>
      </c>
      <c r="R616">
        <v>52391</v>
      </c>
    </row>
    <row r="617" spans="1:18" x14ac:dyDescent="0.25">
      <c r="A617" s="170">
        <v>45183</v>
      </c>
      <c r="B617" s="116">
        <v>4850</v>
      </c>
      <c r="C617" s="116">
        <v>4805.75</v>
      </c>
      <c r="D617" s="116">
        <v>4600.05</v>
      </c>
      <c r="E617" s="116">
        <v>4600.05</v>
      </c>
      <c r="F617" s="116">
        <v>4805.75</v>
      </c>
      <c r="G617">
        <v>3633</v>
      </c>
      <c r="H617" s="116"/>
      <c r="I617" s="116"/>
      <c r="L617" s="170">
        <v>45183</v>
      </c>
      <c r="M617" s="116">
        <v>4802.8500000000004</v>
      </c>
      <c r="N617" s="116">
        <v>4859</v>
      </c>
      <c r="O617" s="116">
        <v>4620</v>
      </c>
      <c r="P617" s="116">
        <v>4629.8999999999996</v>
      </c>
      <c r="Q617" s="116">
        <v>4802.8500000000004</v>
      </c>
      <c r="R617">
        <v>56865</v>
      </c>
    </row>
    <row r="618" spans="1:18" x14ac:dyDescent="0.25">
      <c r="A618" s="170">
        <v>45184</v>
      </c>
      <c r="B618" s="116">
        <v>4875.6000000000004</v>
      </c>
      <c r="C618" s="116">
        <v>4817.6499999999996</v>
      </c>
      <c r="D618" s="116">
        <v>4695.75</v>
      </c>
      <c r="E618" s="116">
        <v>4829.95</v>
      </c>
      <c r="F618" s="116">
        <v>4817.6499999999996</v>
      </c>
      <c r="G618">
        <v>2531</v>
      </c>
      <c r="H618" s="116"/>
      <c r="I618" s="116"/>
      <c r="L618" s="170">
        <v>45184</v>
      </c>
      <c r="M618" s="116">
        <v>4812.05</v>
      </c>
      <c r="N618" s="116">
        <v>4874.8999999999996</v>
      </c>
      <c r="O618" s="116">
        <v>4689.05</v>
      </c>
      <c r="P618" s="116">
        <v>4839</v>
      </c>
      <c r="Q618" s="116">
        <v>4812.05</v>
      </c>
      <c r="R618">
        <v>70999</v>
      </c>
    </row>
    <row r="619" spans="1:18" x14ac:dyDescent="0.25">
      <c r="A619" s="170">
        <v>45187</v>
      </c>
      <c r="B619" s="116">
        <v>4834.3999999999996</v>
      </c>
      <c r="C619" s="116">
        <v>4777.95</v>
      </c>
      <c r="D619" s="116">
        <v>4753.3500000000004</v>
      </c>
      <c r="E619" s="116">
        <v>4817</v>
      </c>
      <c r="F619" s="116">
        <v>4777.95</v>
      </c>
      <c r="G619">
        <v>1288</v>
      </c>
      <c r="H619" s="116"/>
      <c r="I619" s="116"/>
      <c r="L619" s="170">
        <v>45187</v>
      </c>
      <c r="M619" s="116">
        <v>4779.5</v>
      </c>
      <c r="N619" s="116">
        <v>4838.7</v>
      </c>
      <c r="O619" s="116">
        <v>4755</v>
      </c>
      <c r="P619" s="116">
        <v>4800.1000000000004</v>
      </c>
      <c r="Q619" s="116">
        <v>4779.5</v>
      </c>
      <c r="R619">
        <v>19052</v>
      </c>
    </row>
    <row r="620" spans="1:18" x14ac:dyDescent="0.25">
      <c r="A620" s="170">
        <v>45189</v>
      </c>
      <c r="B620" s="116">
        <v>4984.95</v>
      </c>
      <c r="C620" s="116">
        <v>4825.1000000000004</v>
      </c>
      <c r="D620" s="116">
        <v>4734.3999999999996</v>
      </c>
      <c r="E620" s="116">
        <v>4802.5</v>
      </c>
      <c r="F620" s="116">
        <v>4825.1000000000004</v>
      </c>
      <c r="G620">
        <v>1259</v>
      </c>
      <c r="H620" s="116"/>
      <c r="I620" s="116"/>
      <c r="L620" s="170">
        <v>45189</v>
      </c>
      <c r="M620" s="116">
        <v>4822.8999999999996</v>
      </c>
      <c r="N620" s="116">
        <v>4990</v>
      </c>
      <c r="O620" s="116">
        <v>4724.1000000000004</v>
      </c>
      <c r="P620" s="116">
        <v>4789.1499999999996</v>
      </c>
      <c r="Q620" s="116">
        <v>4822.8999999999996</v>
      </c>
      <c r="R620">
        <v>58388</v>
      </c>
    </row>
    <row r="621" spans="1:18" x14ac:dyDescent="0.25">
      <c r="A621" s="170">
        <v>45190</v>
      </c>
      <c r="B621" s="116">
        <v>4797</v>
      </c>
      <c r="C621" s="116">
        <v>4715.55</v>
      </c>
      <c r="D621" s="116">
        <v>4701.1499999999996</v>
      </c>
      <c r="E621" s="116">
        <v>4794.95</v>
      </c>
      <c r="F621" s="116">
        <v>4715.55</v>
      </c>
      <c r="G621">
        <v>1389</v>
      </c>
      <c r="H621" s="116"/>
      <c r="I621" s="116"/>
      <c r="L621" s="170">
        <v>45190</v>
      </c>
      <c r="M621" s="116">
        <v>4716.75</v>
      </c>
      <c r="N621" s="116">
        <v>4818.3</v>
      </c>
      <c r="O621" s="116">
        <v>4700</v>
      </c>
      <c r="P621" s="116">
        <v>4782.6000000000004</v>
      </c>
      <c r="Q621" s="116">
        <v>4716.75</v>
      </c>
      <c r="R621">
        <v>22889</v>
      </c>
    </row>
    <row r="622" spans="1:18" x14ac:dyDescent="0.25">
      <c r="A622" s="170">
        <v>45191</v>
      </c>
      <c r="B622" s="116">
        <v>4777</v>
      </c>
      <c r="C622" s="116">
        <v>4768.25</v>
      </c>
      <c r="D622" s="116">
        <v>4570.6000000000004</v>
      </c>
      <c r="E622" s="116">
        <v>4649.3999999999996</v>
      </c>
      <c r="F622" s="116">
        <v>4768.25</v>
      </c>
      <c r="G622">
        <v>1830</v>
      </c>
      <c r="H622" s="116"/>
      <c r="I622" s="116"/>
      <c r="L622" s="170">
        <v>45191</v>
      </c>
      <c r="M622" s="116">
        <v>4764.3500000000004</v>
      </c>
      <c r="N622" s="116">
        <v>4779.7</v>
      </c>
      <c r="O622" s="116">
        <v>4545.5</v>
      </c>
      <c r="P622" s="116">
        <v>4716</v>
      </c>
      <c r="Q622" s="116">
        <v>4764.3500000000004</v>
      </c>
      <c r="R622">
        <v>45134</v>
      </c>
    </row>
    <row r="623" spans="1:18" x14ac:dyDescent="0.25">
      <c r="A623" s="170">
        <v>45194</v>
      </c>
      <c r="B623" s="116">
        <v>4782</v>
      </c>
      <c r="C623" s="116">
        <v>4670.6000000000004</v>
      </c>
      <c r="D623" s="116">
        <v>4660</v>
      </c>
      <c r="E623" s="116">
        <v>4781.95</v>
      </c>
      <c r="F623" s="116">
        <v>4670.6000000000004</v>
      </c>
      <c r="G623">
        <v>1527</v>
      </c>
      <c r="H623" s="116"/>
      <c r="I623" s="116"/>
      <c r="L623" s="170">
        <v>45194</v>
      </c>
      <c r="M623" s="116">
        <v>4673.25</v>
      </c>
      <c r="N623" s="116">
        <v>4799.5</v>
      </c>
      <c r="O623" s="116">
        <v>4656.1000000000004</v>
      </c>
      <c r="P623" s="116">
        <v>4764.3999999999996</v>
      </c>
      <c r="Q623" s="116">
        <v>4673.25</v>
      </c>
      <c r="R623">
        <v>13947</v>
      </c>
    </row>
    <row r="624" spans="1:18" x14ac:dyDescent="0.25">
      <c r="A624" s="170">
        <v>45195</v>
      </c>
      <c r="B624" s="116">
        <v>4819.2</v>
      </c>
      <c r="C624" s="116">
        <v>4678.75</v>
      </c>
      <c r="D624" s="116">
        <v>4651.6499999999996</v>
      </c>
      <c r="E624" s="116">
        <v>4819.2</v>
      </c>
      <c r="F624" s="116">
        <v>4678.75</v>
      </c>
      <c r="G624">
        <v>396</v>
      </c>
      <c r="H624" s="116"/>
      <c r="I624" s="116"/>
      <c r="L624" s="170">
        <v>45195</v>
      </c>
      <c r="M624" s="116">
        <v>4676.1000000000004</v>
      </c>
      <c r="N624" s="116">
        <v>4780</v>
      </c>
      <c r="O624" s="116">
        <v>4650</v>
      </c>
      <c r="P624" s="116">
        <v>4700</v>
      </c>
      <c r="Q624" s="116">
        <v>4676.1000000000004</v>
      </c>
      <c r="R624">
        <v>45642</v>
      </c>
    </row>
    <row r="625" spans="1:18" x14ac:dyDescent="0.25">
      <c r="A625" s="170">
        <v>45196</v>
      </c>
      <c r="B625" s="116">
        <v>4724.45</v>
      </c>
      <c r="C625" s="116">
        <v>4676.05</v>
      </c>
      <c r="D625" s="116">
        <v>4650.05</v>
      </c>
      <c r="E625" s="116">
        <v>4650.05</v>
      </c>
      <c r="F625" s="116">
        <v>4676.05</v>
      </c>
      <c r="G625">
        <v>1438</v>
      </c>
      <c r="H625" s="116"/>
      <c r="I625" s="116"/>
      <c r="L625" s="170">
        <v>45196</v>
      </c>
      <c r="M625" s="116">
        <v>4680.75</v>
      </c>
      <c r="N625" s="116">
        <v>4725</v>
      </c>
      <c r="O625" s="116">
        <v>4655</v>
      </c>
      <c r="P625" s="116">
        <v>4725</v>
      </c>
      <c r="Q625" s="116">
        <v>4680.75</v>
      </c>
      <c r="R625">
        <v>13474</v>
      </c>
    </row>
    <row r="626" spans="1:18" x14ac:dyDescent="0.25">
      <c r="A626" s="170">
        <v>45197</v>
      </c>
      <c r="B626" s="116">
        <v>4789.5</v>
      </c>
      <c r="C626" s="116">
        <v>4722.5</v>
      </c>
      <c r="D626" s="116">
        <v>4681.05</v>
      </c>
      <c r="E626" s="116">
        <v>4701.6499999999996</v>
      </c>
      <c r="F626" s="116">
        <v>4722.5</v>
      </c>
      <c r="G626">
        <v>862</v>
      </c>
      <c r="H626" s="116"/>
      <c r="I626" s="116"/>
      <c r="L626" s="170">
        <v>45197</v>
      </c>
      <c r="M626" s="116">
        <v>4718.5</v>
      </c>
      <c r="N626" s="116">
        <v>4788.8500000000004</v>
      </c>
      <c r="O626" s="116">
        <v>4675</v>
      </c>
      <c r="P626" s="116">
        <v>4740</v>
      </c>
      <c r="Q626" s="116">
        <v>4718.5</v>
      </c>
      <c r="R626">
        <v>19624</v>
      </c>
    </row>
    <row r="627" spans="1:18" x14ac:dyDescent="0.25">
      <c r="A627" s="170">
        <v>45198</v>
      </c>
      <c r="B627" s="116">
        <v>4820.3500000000004</v>
      </c>
      <c r="C627" s="116">
        <v>4621.95</v>
      </c>
      <c r="D627" s="116">
        <v>4574.25</v>
      </c>
      <c r="E627" s="116">
        <v>4753.1499999999996</v>
      </c>
      <c r="F627" s="116">
        <v>4621.95</v>
      </c>
      <c r="G627">
        <v>2224</v>
      </c>
      <c r="H627" s="116"/>
      <c r="I627" s="116"/>
      <c r="L627" s="170">
        <v>45198</v>
      </c>
      <c r="M627" s="116">
        <v>4635.45</v>
      </c>
      <c r="N627" s="116">
        <v>4821</v>
      </c>
      <c r="O627" s="116">
        <v>4612.1000000000004</v>
      </c>
      <c r="P627" s="116">
        <v>4742</v>
      </c>
      <c r="Q627" s="116">
        <v>4635.45</v>
      </c>
      <c r="R627">
        <v>60370</v>
      </c>
    </row>
    <row r="628" spans="1:18" x14ac:dyDescent="0.25">
      <c r="A628" s="170">
        <v>45202</v>
      </c>
      <c r="B628" s="116">
        <v>4776.8</v>
      </c>
      <c r="C628" s="116">
        <v>4652.8</v>
      </c>
      <c r="D628" s="116">
        <v>4633.75</v>
      </c>
      <c r="E628" s="116">
        <v>4637</v>
      </c>
      <c r="F628" s="116">
        <v>4652.8</v>
      </c>
      <c r="G628">
        <v>1871</v>
      </c>
      <c r="H628" s="116"/>
      <c r="I628" s="116"/>
      <c r="L628" s="170">
        <v>45202</v>
      </c>
      <c r="M628" s="116">
        <v>4649.25</v>
      </c>
      <c r="N628" s="116">
        <v>4780</v>
      </c>
      <c r="O628" s="116">
        <v>4610.05</v>
      </c>
      <c r="P628" s="116">
        <v>4624.75</v>
      </c>
      <c r="Q628" s="116">
        <v>4649.25</v>
      </c>
      <c r="R628">
        <v>38163</v>
      </c>
    </row>
    <row r="629" spans="1:18" x14ac:dyDescent="0.25">
      <c r="A629" s="170">
        <v>45203</v>
      </c>
      <c r="B629" s="116">
        <v>4699.95</v>
      </c>
      <c r="C629" s="116">
        <v>4610</v>
      </c>
      <c r="D629" s="116">
        <v>4572.75</v>
      </c>
      <c r="E629" s="116">
        <v>4699.95</v>
      </c>
      <c r="F629" s="116">
        <v>4610</v>
      </c>
      <c r="G629">
        <v>1790</v>
      </c>
      <c r="H629" s="116"/>
      <c r="I629" s="116"/>
      <c r="L629" s="170">
        <v>45203</v>
      </c>
      <c r="M629" s="116">
        <v>4614.25</v>
      </c>
      <c r="N629" s="116">
        <v>4709.95</v>
      </c>
      <c r="O629" s="116">
        <v>4575</v>
      </c>
      <c r="P629" s="116">
        <v>4654</v>
      </c>
      <c r="Q629" s="116">
        <v>4614.25</v>
      </c>
      <c r="R629">
        <v>22881</v>
      </c>
    </row>
    <row r="630" spans="1:18" x14ac:dyDescent="0.25">
      <c r="A630" s="170">
        <v>45204</v>
      </c>
      <c r="B630" s="116">
        <v>4799.8999999999996</v>
      </c>
      <c r="C630" s="116">
        <v>4656.25</v>
      </c>
      <c r="D630" s="116">
        <v>4579.8500000000004</v>
      </c>
      <c r="E630" s="116">
        <v>4799.8999999999996</v>
      </c>
      <c r="F630" s="116">
        <v>4656.25</v>
      </c>
      <c r="G630">
        <v>846</v>
      </c>
      <c r="H630" s="116"/>
      <c r="I630" s="116"/>
      <c r="L630" s="170">
        <v>45204</v>
      </c>
      <c r="M630" s="116">
        <v>4662.1499999999996</v>
      </c>
      <c r="N630" s="116">
        <v>4699.95</v>
      </c>
      <c r="O630" s="116">
        <v>4580</v>
      </c>
      <c r="P630" s="116">
        <v>4623.05</v>
      </c>
      <c r="Q630" s="116">
        <v>4662.1499999999996</v>
      </c>
      <c r="R630">
        <v>38518</v>
      </c>
    </row>
    <row r="631" spans="1:18" x14ac:dyDescent="0.25">
      <c r="A631" s="170">
        <v>45205</v>
      </c>
      <c r="B631" s="116">
        <v>4678</v>
      </c>
      <c r="C631" s="116">
        <v>4619.05</v>
      </c>
      <c r="D631" s="116">
        <v>4600.05</v>
      </c>
      <c r="E631" s="116">
        <v>4600.05</v>
      </c>
      <c r="F631" s="116">
        <v>4619.05</v>
      </c>
      <c r="G631">
        <v>438</v>
      </c>
      <c r="H631" s="116"/>
      <c r="I631" s="116"/>
      <c r="L631" s="170">
        <v>45205</v>
      </c>
      <c r="M631" s="116">
        <v>4623</v>
      </c>
      <c r="N631" s="116">
        <v>4692.1499999999996</v>
      </c>
      <c r="O631" s="116">
        <v>4606.3500000000004</v>
      </c>
      <c r="P631" s="116">
        <v>4670.8</v>
      </c>
      <c r="Q631" s="116">
        <v>4623</v>
      </c>
      <c r="R631">
        <v>20010</v>
      </c>
    </row>
    <row r="632" spans="1:18" x14ac:dyDescent="0.25">
      <c r="A632" s="170">
        <v>45208</v>
      </c>
      <c r="B632" s="116">
        <v>4600.05</v>
      </c>
      <c r="C632" s="116">
        <v>4498.3</v>
      </c>
      <c r="D632" s="116">
        <v>4432.45</v>
      </c>
      <c r="E632" s="116">
        <v>4600</v>
      </c>
      <c r="F632" s="116">
        <v>4498.3</v>
      </c>
      <c r="G632">
        <v>1352</v>
      </c>
      <c r="H632" s="116"/>
      <c r="I632" s="116"/>
      <c r="L632" s="170">
        <v>45208</v>
      </c>
      <c r="M632" s="116">
        <v>4511.8999999999996</v>
      </c>
      <c r="N632" s="116">
        <v>4650</v>
      </c>
      <c r="O632" s="116">
        <v>4425.6000000000004</v>
      </c>
      <c r="P632" s="116">
        <v>4623</v>
      </c>
      <c r="Q632" s="116">
        <v>4511.8999999999996</v>
      </c>
      <c r="R632">
        <v>34352</v>
      </c>
    </row>
    <row r="633" spans="1:18" x14ac:dyDescent="0.25">
      <c r="A633" s="170">
        <v>45209</v>
      </c>
      <c r="B633" s="116">
        <v>4560</v>
      </c>
      <c r="C633" s="116">
        <v>4521.6000000000004</v>
      </c>
      <c r="D633" s="116">
        <v>4450.05</v>
      </c>
      <c r="E633" s="116">
        <v>4450.05</v>
      </c>
      <c r="F633" s="116">
        <v>4521.6000000000004</v>
      </c>
      <c r="G633">
        <v>612</v>
      </c>
      <c r="H633" s="116"/>
      <c r="I633" s="116"/>
      <c r="L633" s="170">
        <v>45209</v>
      </c>
      <c r="M633" s="116">
        <v>4518.8</v>
      </c>
      <c r="N633" s="116">
        <v>4566.8500000000004</v>
      </c>
      <c r="O633" s="116">
        <v>4494.1000000000004</v>
      </c>
      <c r="P633" s="116">
        <v>4510</v>
      </c>
      <c r="Q633" s="116">
        <v>4518.8</v>
      </c>
      <c r="R633">
        <v>24908</v>
      </c>
    </row>
    <row r="634" spans="1:18" x14ac:dyDescent="0.25">
      <c r="A634" s="170">
        <v>45210</v>
      </c>
      <c r="B634" s="116">
        <v>4600.8500000000004</v>
      </c>
      <c r="C634" s="116">
        <v>4508.6499999999996</v>
      </c>
      <c r="D634" s="116">
        <v>4490.05</v>
      </c>
      <c r="E634" s="116">
        <v>4559.95</v>
      </c>
      <c r="F634" s="116">
        <v>4508.6499999999996</v>
      </c>
      <c r="G634">
        <v>1212</v>
      </c>
      <c r="H634" s="116"/>
      <c r="I634" s="116"/>
      <c r="L634" s="170">
        <v>45210</v>
      </c>
      <c r="M634" s="116">
        <v>4505.3</v>
      </c>
      <c r="N634" s="116">
        <v>4612</v>
      </c>
      <c r="O634" s="116">
        <v>4485</v>
      </c>
      <c r="P634" s="116">
        <v>4528.5</v>
      </c>
      <c r="Q634" s="116">
        <v>4505.3</v>
      </c>
      <c r="R634">
        <v>25011</v>
      </c>
    </row>
    <row r="635" spans="1:18" x14ac:dyDescent="0.25">
      <c r="A635" s="170">
        <v>45211</v>
      </c>
      <c r="B635" s="116">
        <v>4620.55</v>
      </c>
      <c r="C635" s="116">
        <v>4587.95</v>
      </c>
      <c r="D635" s="116">
        <v>4526.3</v>
      </c>
      <c r="E635" s="116">
        <v>4555.1499999999996</v>
      </c>
      <c r="F635" s="116">
        <v>4587.95</v>
      </c>
      <c r="G635">
        <v>1650</v>
      </c>
      <c r="H635" s="116"/>
      <c r="I635" s="116"/>
      <c r="L635" s="170">
        <v>45211</v>
      </c>
      <c r="M635" s="116">
        <v>4586.45</v>
      </c>
      <c r="N635" s="116">
        <v>4621</v>
      </c>
      <c r="O635" s="116">
        <v>4520.6499999999996</v>
      </c>
      <c r="P635" s="116">
        <v>4520.6499999999996</v>
      </c>
      <c r="Q635" s="116">
        <v>4586.45</v>
      </c>
      <c r="R635">
        <v>24432</v>
      </c>
    </row>
    <row r="636" spans="1:18" x14ac:dyDescent="0.25">
      <c r="A636" s="170">
        <v>45212</v>
      </c>
      <c r="B636" s="116">
        <v>4598.95</v>
      </c>
      <c r="C636" s="116">
        <v>4513.8</v>
      </c>
      <c r="D636" s="116">
        <v>4498.25</v>
      </c>
      <c r="E636" s="116">
        <v>4582.7</v>
      </c>
      <c r="F636" s="116">
        <v>4513.8</v>
      </c>
      <c r="G636">
        <v>957</v>
      </c>
      <c r="H636" s="116"/>
      <c r="I636" s="116"/>
      <c r="L636" s="170">
        <v>45212</v>
      </c>
      <c r="M636" s="116">
        <v>4511</v>
      </c>
      <c r="N636" s="116">
        <v>4597.75</v>
      </c>
      <c r="O636" s="116">
        <v>4501.1499999999996</v>
      </c>
      <c r="P636" s="116">
        <v>4560</v>
      </c>
      <c r="Q636" s="116">
        <v>4511</v>
      </c>
      <c r="R636">
        <v>20536</v>
      </c>
    </row>
    <row r="637" spans="1:18" x14ac:dyDescent="0.25">
      <c r="A637" s="170">
        <v>45215</v>
      </c>
      <c r="B637" s="116">
        <v>4555.45</v>
      </c>
      <c r="C637" s="116">
        <v>4490</v>
      </c>
      <c r="D637" s="116">
        <v>4458.8</v>
      </c>
      <c r="E637" s="116">
        <v>4520.8</v>
      </c>
      <c r="F637" s="116">
        <v>4490</v>
      </c>
      <c r="G637">
        <v>1285</v>
      </c>
      <c r="H637" s="116"/>
      <c r="I637" s="116"/>
      <c r="L637" s="170">
        <v>45215</v>
      </c>
      <c r="M637" s="116">
        <v>4483.5</v>
      </c>
      <c r="N637" s="116">
        <v>4563.8999999999996</v>
      </c>
      <c r="O637" s="116">
        <v>4462.55</v>
      </c>
      <c r="P637" s="116">
        <v>4521.6499999999996</v>
      </c>
      <c r="Q637" s="116">
        <v>4483.5</v>
      </c>
      <c r="R637">
        <v>44205</v>
      </c>
    </row>
    <row r="638" spans="1:18" x14ac:dyDescent="0.25">
      <c r="A638" s="170">
        <v>45216</v>
      </c>
      <c r="B638" s="116">
        <v>4592.3</v>
      </c>
      <c r="C638" s="116">
        <v>4571.25</v>
      </c>
      <c r="D638" s="116">
        <v>4494.45</v>
      </c>
      <c r="E638" s="116">
        <v>4549.95</v>
      </c>
      <c r="F638" s="116">
        <v>4571.25</v>
      </c>
      <c r="G638">
        <v>1239</v>
      </c>
      <c r="H638" s="116"/>
      <c r="I638" s="116"/>
      <c r="L638" s="170">
        <v>45216</v>
      </c>
      <c r="M638" s="116">
        <v>4577.2</v>
      </c>
      <c r="N638" s="116">
        <v>4594.8999999999996</v>
      </c>
      <c r="O638" s="116">
        <v>4494.45</v>
      </c>
      <c r="P638" s="116">
        <v>4494.45</v>
      </c>
      <c r="Q638" s="116">
        <v>4577.2</v>
      </c>
      <c r="R638">
        <v>15823</v>
      </c>
    </row>
    <row r="639" spans="1:18" x14ac:dyDescent="0.25">
      <c r="A639" s="170">
        <v>45217</v>
      </c>
      <c r="B639" s="116">
        <v>4636.1499999999996</v>
      </c>
      <c r="C639" s="116">
        <v>4509.1499999999996</v>
      </c>
      <c r="D639" s="116">
        <v>4480</v>
      </c>
      <c r="E639" s="116">
        <v>4636.1499999999996</v>
      </c>
      <c r="F639" s="116">
        <v>4509.1499999999996</v>
      </c>
      <c r="G639">
        <v>951</v>
      </c>
      <c r="H639" s="116"/>
      <c r="I639" s="116"/>
      <c r="L639" s="170">
        <v>45217</v>
      </c>
      <c r="M639" s="116">
        <v>4506.3999999999996</v>
      </c>
      <c r="N639" s="116">
        <v>4593</v>
      </c>
      <c r="O639" s="116">
        <v>4475</v>
      </c>
      <c r="P639" s="116">
        <v>4580</v>
      </c>
      <c r="Q639" s="116">
        <v>4506.3999999999996</v>
      </c>
      <c r="R639">
        <v>24751</v>
      </c>
    </row>
    <row r="640" spans="1:18" x14ac:dyDescent="0.25">
      <c r="A640" s="170">
        <v>45218</v>
      </c>
      <c r="B640" s="116">
        <v>4589.75</v>
      </c>
      <c r="C640" s="116">
        <v>4531.8</v>
      </c>
      <c r="D640" s="116">
        <v>4450.05</v>
      </c>
      <c r="E640" s="116">
        <v>4450.05</v>
      </c>
      <c r="F640" s="116">
        <v>4531.8</v>
      </c>
      <c r="G640">
        <v>1842</v>
      </c>
      <c r="H640" s="116"/>
      <c r="I640" s="116"/>
      <c r="L640" s="170">
        <v>45218</v>
      </c>
      <c r="M640" s="116">
        <v>4520.45</v>
      </c>
      <c r="N640" s="116">
        <v>4597.7</v>
      </c>
      <c r="O640" s="116">
        <v>4460</v>
      </c>
      <c r="P640" s="116">
        <v>4506.3999999999996</v>
      </c>
      <c r="Q640" s="116">
        <v>4520.45</v>
      </c>
      <c r="R640">
        <v>91466</v>
      </c>
    </row>
    <row r="641" spans="1:18" x14ac:dyDescent="0.25">
      <c r="A641" s="170">
        <v>45219</v>
      </c>
      <c r="B641" s="116">
        <v>4588.95</v>
      </c>
      <c r="C641" s="116">
        <v>4547.6499999999996</v>
      </c>
      <c r="D641" s="116">
        <v>4502</v>
      </c>
      <c r="E641" s="116">
        <v>4588.95</v>
      </c>
      <c r="F641" s="116">
        <v>4547.6499999999996</v>
      </c>
      <c r="G641">
        <v>922</v>
      </c>
      <c r="H641" s="116"/>
      <c r="I641" s="116"/>
      <c r="L641" s="170">
        <v>45219</v>
      </c>
      <c r="M641" s="116">
        <v>4555.75</v>
      </c>
      <c r="N641" s="116">
        <v>4580</v>
      </c>
      <c r="O641" s="116">
        <v>4500.6499999999996</v>
      </c>
      <c r="P641" s="116">
        <v>4540</v>
      </c>
      <c r="Q641" s="116">
        <v>4555.75</v>
      </c>
      <c r="R641">
        <v>18328</v>
      </c>
    </row>
    <row r="642" spans="1:18" x14ac:dyDescent="0.25">
      <c r="A642" s="170">
        <v>45222</v>
      </c>
      <c r="B642" s="116">
        <v>4594.95</v>
      </c>
      <c r="C642" s="116">
        <v>4511.3500000000004</v>
      </c>
      <c r="D642" s="116">
        <v>4454.6499999999996</v>
      </c>
      <c r="E642" s="116">
        <v>4497</v>
      </c>
      <c r="F642" s="116">
        <v>4511.3500000000004</v>
      </c>
      <c r="G642">
        <v>801</v>
      </c>
      <c r="H642" s="116"/>
      <c r="I642" s="116"/>
      <c r="L642" s="170">
        <v>45222</v>
      </c>
      <c r="M642" s="116">
        <v>4513.8</v>
      </c>
      <c r="N642" s="116">
        <v>4593.75</v>
      </c>
      <c r="O642" s="116">
        <v>4450</v>
      </c>
      <c r="P642" s="116">
        <v>4555</v>
      </c>
      <c r="Q642" s="116">
        <v>4513.8</v>
      </c>
      <c r="R642">
        <v>35206</v>
      </c>
    </row>
    <row r="643" spans="1:18" x14ac:dyDescent="0.25">
      <c r="A643" s="170">
        <v>45224</v>
      </c>
      <c r="B643" s="116">
        <v>4588.3500000000004</v>
      </c>
      <c r="C643" s="116">
        <v>4497.95</v>
      </c>
      <c r="D643" s="116">
        <v>4449.05</v>
      </c>
      <c r="E643" s="116">
        <v>4588.3500000000004</v>
      </c>
      <c r="F643" s="116">
        <v>4497.95</v>
      </c>
      <c r="G643">
        <v>788</v>
      </c>
      <c r="H643" s="116"/>
      <c r="I643" s="116"/>
      <c r="L643" s="170">
        <v>45224</v>
      </c>
      <c r="M643" s="116">
        <v>4492.3999999999996</v>
      </c>
      <c r="N643" s="116">
        <v>4558</v>
      </c>
      <c r="O643" s="116">
        <v>4435</v>
      </c>
      <c r="P643" s="116">
        <v>4550</v>
      </c>
      <c r="Q643" s="116">
        <v>4492.3999999999996</v>
      </c>
      <c r="R643">
        <v>27611</v>
      </c>
    </row>
    <row r="644" spans="1:18" x14ac:dyDescent="0.25">
      <c r="A644" s="170">
        <v>45225</v>
      </c>
      <c r="B644" s="116">
        <v>4525</v>
      </c>
      <c r="C644" s="116">
        <v>4402</v>
      </c>
      <c r="D644" s="116">
        <v>4210.55</v>
      </c>
      <c r="E644" s="116">
        <v>4525</v>
      </c>
      <c r="F644" s="116">
        <v>4402</v>
      </c>
      <c r="G644">
        <v>3468</v>
      </c>
      <c r="H644" s="116"/>
      <c r="I644" s="116"/>
      <c r="L644" s="170">
        <v>45225</v>
      </c>
      <c r="M644" s="116">
        <v>4400.95</v>
      </c>
      <c r="N644" s="116">
        <v>4492.3999999999996</v>
      </c>
      <c r="O644" s="116">
        <v>4214.3500000000004</v>
      </c>
      <c r="P644" s="116">
        <v>4455</v>
      </c>
      <c r="Q644" s="116">
        <v>4400.95</v>
      </c>
      <c r="R644">
        <v>55955</v>
      </c>
    </row>
    <row r="645" spans="1:18" x14ac:dyDescent="0.25">
      <c r="A645" s="170">
        <v>45226</v>
      </c>
      <c r="B645" s="116">
        <v>4686.45</v>
      </c>
      <c r="C645" s="116">
        <v>4652.8500000000004</v>
      </c>
      <c r="D645" s="116">
        <v>4397.8</v>
      </c>
      <c r="E645" s="116">
        <v>4400</v>
      </c>
      <c r="F645" s="116">
        <v>4652.8500000000004</v>
      </c>
      <c r="G645">
        <v>4273</v>
      </c>
      <c r="H645" s="116"/>
      <c r="I645" s="116"/>
      <c r="L645" s="170">
        <v>45226</v>
      </c>
      <c r="M645" s="116">
        <v>4656.5</v>
      </c>
      <c r="N645" s="116">
        <v>4686</v>
      </c>
      <c r="O645" s="116">
        <v>4395</v>
      </c>
      <c r="P645" s="116">
        <v>4402.25</v>
      </c>
      <c r="Q645" s="116">
        <v>4656.5</v>
      </c>
      <c r="R645">
        <v>42191</v>
      </c>
    </row>
    <row r="646" spans="1:18" x14ac:dyDescent="0.25">
      <c r="A646" s="170">
        <v>45229</v>
      </c>
      <c r="B646" s="116">
        <v>5032.3</v>
      </c>
      <c r="C646" s="116">
        <v>4807.5</v>
      </c>
      <c r="D646" s="116">
        <v>4591.75</v>
      </c>
      <c r="E646" s="116">
        <v>4701.3500000000004</v>
      </c>
      <c r="F646" s="116">
        <v>4807.5</v>
      </c>
      <c r="G646">
        <v>6429</v>
      </c>
      <c r="H646" s="116"/>
      <c r="I646" s="116"/>
      <c r="L646" s="170">
        <v>45229</v>
      </c>
      <c r="M646" s="116">
        <v>4791.55</v>
      </c>
      <c r="N646" s="116">
        <v>5037.75</v>
      </c>
      <c r="O646" s="116">
        <v>4594.3500000000004</v>
      </c>
      <c r="P646" s="116">
        <v>4749.6499999999996</v>
      </c>
      <c r="Q646" s="116">
        <v>4791.55</v>
      </c>
      <c r="R646">
        <v>229942</v>
      </c>
    </row>
    <row r="647" spans="1:18" x14ac:dyDescent="0.25">
      <c r="A647" s="170">
        <v>45230</v>
      </c>
      <c r="B647" s="116">
        <v>4985.75</v>
      </c>
      <c r="C647" s="116">
        <v>4872.75</v>
      </c>
      <c r="D647" s="116">
        <v>4826</v>
      </c>
      <c r="E647" s="116">
        <v>4899.95</v>
      </c>
      <c r="F647" s="116">
        <v>4872.75</v>
      </c>
      <c r="G647">
        <v>4460</v>
      </c>
      <c r="H647" s="116"/>
      <c r="I647" s="116"/>
      <c r="L647" s="170">
        <v>45230</v>
      </c>
      <c r="M647" s="116">
        <v>4868.8</v>
      </c>
      <c r="N647" s="116">
        <v>4986</v>
      </c>
      <c r="O647" s="116">
        <v>4825</v>
      </c>
      <c r="P647" s="116">
        <v>4890</v>
      </c>
      <c r="Q647" s="116">
        <v>4868.8</v>
      </c>
      <c r="R647">
        <v>72899</v>
      </c>
    </row>
    <row r="648" spans="1:18" x14ac:dyDescent="0.25">
      <c r="A648" s="170">
        <v>45231</v>
      </c>
      <c r="B648" s="116">
        <v>4949.95</v>
      </c>
      <c r="C648" s="116">
        <v>4769.75</v>
      </c>
      <c r="D648" s="116">
        <v>4755</v>
      </c>
      <c r="E648" s="116">
        <v>4949.95</v>
      </c>
      <c r="F648" s="116">
        <v>4769.75</v>
      </c>
      <c r="G648">
        <v>2400</v>
      </c>
      <c r="H648" s="116"/>
      <c r="I648" s="116"/>
      <c r="L648" s="170">
        <v>45231</v>
      </c>
      <c r="M648" s="116">
        <v>4764.8</v>
      </c>
      <c r="N648" s="116">
        <v>4938.3999999999996</v>
      </c>
      <c r="O648" s="116">
        <v>4750</v>
      </c>
      <c r="P648" s="116">
        <v>4868.8</v>
      </c>
      <c r="Q648" s="116">
        <v>4764.8</v>
      </c>
      <c r="R648">
        <v>66346</v>
      </c>
    </row>
    <row r="649" spans="1:18" x14ac:dyDescent="0.25">
      <c r="A649" s="170">
        <v>45232</v>
      </c>
      <c r="B649" s="116">
        <v>4861</v>
      </c>
      <c r="C649" s="116">
        <v>4814.1000000000004</v>
      </c>
      <c r="D649" s="116">
        <v>4739.75</v>
      </c>
      <c r="E649" s="116">
        <v>4804.6000000000004</v>
      </c>
      <c r="F649" s="116">
        <v>4814.1000000000004</v>
      </c>
      <c r="G649">
        <v>2145</v>
      </c>
      <c r="H649" s="116"/>
      <c r="I649" s="116"/>
      <c r="L649" s="170">
        <v>45232</v>
      </c>
      <c r="M649" s="116">
        <v>4816</v>
      </c>
      <c r="N649" s="116">
        <v>4864.55</v>
      </c>
      <c r="O649" s="116">
        <v>4741</v>
      </c>
      <c r="P649" s="116">
        <v>4818</v>
      </c>
      <c r="Q649" s="116">
        <v>4816</v>
      </c>
      <c r="R649">
        <v>43434</v>
      </c>
    </row>
    <row r="650" spans="1:18" x14ac:dyDescent="0.25">
      <c r="A650" s="170">
        <v>45233</v>
      </c>
      <c r="B650" s="116">
        <v>4925</v>
      </c>
      <c r="C650" s="116">
        <v>4900.55</v>
      </c>
      <c r="D650" s="116">
        <v>4845.8</v>
      </c>
      <c r="E650" s="116">
        <v>4898.95</v>
      </c>
      <c r="F650" s="116">
        <v>4900.55</v>
      </c>
      <c r="G650">
        <v>632</v>
      </c>
      <c r="H650" s="116"/>
      <c r="I650" s="116"/>
      <c r="L650" s="170">
        <v>45233</v>
      </c>
      <c r="M650" s="116">
        <v>4907.1499999999996</v>
      </c>
      <c r="N650" s="116">
        <v>4935.8500000000004</v>
      </c>
      <c r="O650" s="116">
        <v>4830.3500000000004</v>
      </c>
      <c r="P650" s="116">
        <v>4899.8999999999996</v>
      </c>
      <c r="Q650" s="116">
        <v>4907.1499999999996</v>
      </c>
      <c r="R650">
        <v>16666</v>
      </c>
    </row>
    <row r="651" spans="1:18" x14ac:dyDescent="0.25">
      <c r="A651" s="170">
        <v>45236</v>
      </c>
      <c r="B651" s="116">
        <v>5000</v>
      </c>
      <c r="C651" s="116">
        <v>4900.8999999999996</v>
      </c>
      <c r="D651" s="116">
        <v>4876.05</v>
      </c>
      <c r="E651" s="116">
        <v>4986.95</v>
      </c>
      <c r="F651" s="116">
        <v>4900.8999999999996</v>
      </c>
      <c r="G651">
        <v>550</v>
      </c>
      <c r="H651" s="116"/>
      <c r="I651" s="116"/>
      <c r="L651" s="170">
        <v>45236</v>
      </c>
      <c r="M651" s="116">
        <v>4904.7</v>
      </c>
      <c r="N651" s="116">
        <v>5003.8</v>
      </c>
      <c r="O651" s="116">
        <v>4877.55</v>
      </c>
      <c r="P651" s="116">
        <v>4928.6499999999996</v>
      </c>
      <c r="Q651" s="116">
        <v>4904.7</v>
      </c>
      <c r="R651">
        <v>34342</v>
      </c>
    </row>
    <row r="652" spans="1:18" x14ac:dyDescent="0.25">
      <c r="A652" s="170">
        <v>45237</v>
      </c>
      <c r="B652" s="116">
        <v>4953.25</v>
      </c>
      <c r="C652" s="116">
        <v>4884.3</v>
      </c>
      <c r="D652" s="116">
        <v>4864.1000000000004</v>
      </c>
      <c r="E652" s="116">
        <v>4900.05</v>
      </c>
      <c r="F652" s="116">
        <v>4884.3</v>
      </c>
      <c r="G652">
        <v>397</v>
      </c>
      <c r="H652" s="116"/>
      <c r="I652" s="116"/>
      <c r="L652" s="170">
        <v>45237</v>
      </c>
      <c r="M652" s="116">
        <v>4890.5</v>
      </c>
      <c r="N652" s="116">
        <v>4960</v>
      </c>
      <c r="O652" s="116">
        <v>4860</v>
      </c>
      <c r="P652" s="116">
        <v>4949.8999999999996</v>
      </c>
      <c r="Q652" s="116">
        <v>4890.5</v>
      </c>
      <c r="R652">
        <v>16514</v>
      </c>
    </row>
    <row r="653" spans="1:18" x14ac:dyDescent="0.25">
      <c r="A653" s="170">
        <v>45238</v>
      </c>
      <c r="B653" s="116">
        <v>4945.75</v>
      </c>
      <c r="C653" s="116">
        <v>4888.55</v>
      </c>
      <c r="D653" s="116">
        <v>4843.1499999999996</v>
      </c>
      <c r="E653" s="116">
        <v>4870.05</v>
      </c>
      <c r="F653" s="116">
        <v>4888.55</v>
      </c>
      <c r="G653">
        <v>400</v>
      </c>
      <c r="H653" s="116"/>
      <c r="I653" s="116"/>
      <c r="L653" s="170">
        <v>45238</v>
      </c>
      <c r="M653" s="116">
        <v>4880.2</v>
      </c>
      <c r="N653" s="116">
        <v>4960</v>
      </c>
      <c r="O653" s="116">
        <v>4829.1499999999996</v>
      </c>
      <c r="P653" s="116">
        <v>4909</v>
      </c>
      <c r="Q653" s="116">
        <v>4880.2</v>
      </c>
      <c r="R653">
        <v>21458</v>
      </c>
    </row>
    <row r="654" spans="1:18" x14ac:dyDescent="0.25">
      <c r="A654" s="170">
        <v>45239</v>
      </c>
      <c r="B654" s="116">
        <v>4955.95</v>
      </c>
      <c r="C654" s="116">
        <v>4902.1499999999996</v>
      </c>
      <c r="D654" s="116">
        <v>4853</v>
      </c>
      <c r="E654" s="116">
        <v>4955.95</v>
      </c>
      <c r="F654" s="116">
        <v>4902.1499999999996</v>
      </c>
      <c r="G654">
        <v>1099</v>
      </c>
      <c r="H654" s="116"/>
      <c r="I654" s="116"/>
      <c r="L654" s="170">
        <v>45239</v>
      </c>
      <c r="M654" s="116">
        <v>4909.1000000000004</v>
      </c>
      <c r="N654" s="116">
        <v>4943</v>
      </c>
      <c r="O654" s="116">
        <v>4857.55</v>
      </c>
      <c r="P654" s="116">
        <v>4899.25</v>
      </c>
      <c r="Q654" s="116">
        <v>4909.1000000000004</v>
      </c>
      <c r="R654">
        <v>18543</v>
      </c>
    </row>
    <row r="655" spans="1:18" x14ac:dyDescent="0.25">
      <c r="A655" s="170">
        <v>45240</v>
      </c>
      <c r="B655" s="116">
        <v>4955.3</v>
      </c>
      <c r="C655" s="116">
        <v>4887.6000000000004</v>
      </c>
      <c r="D655" s="116">
        <v>4876.8500000000004</v>
      </c>
      <c r="E655" s="116">
        <v>4900</v>
      </c>
      <c r="F655" s="116">
        <v>4887.6000000000004</v>
      </c>
      <c r="G655">
        <v>353</v>
      </c>
      <c r="H655" s="116"/>
      <c r="I655" s="116"/>
      <c r="L655" s="170">
        <v>45240</v>
      </c>
      <c r="M655" s="116">
        <v>4888.05</v>
      </c>
      <c r="N655" s="116">
        <v>4956</v>
      </c>
      <c r="O655" s="116">
        <v>4876</v>
      </c>
      <c r="P655" s="116">
        <v>4909.05</v>
      </c>
      <c r="Q655" s="116">
        <v>4888.05</v>
      </c>
      <c r="R655">
        <v>11571</v>
      </c>
    </row>
    <row r="656" spans="1:18" x14ac:dyDescent="0.25">
      <c r="A656" s="170">
        <v>45242</v>
      </c>
      <c r="B656" s="116">
        <v>5199.95</v>
      </c>
      <c r="C656" s="116">
        <v>4926.1499999999996</v>
      </c>
      <c r="D656" s="116">
        <v>4900</v>
      </c>
      <c r="E656" s="116">
        <v>5199.95</v>
      </c>
      <c r="F656" s="116">
        <v>4926.1499999999996</v>
      </c>
      <c r="G656">
        <v>526</v>
      </c>
      <c r="H656" s="116"/>
      <c r="I656" s="116"/>
      <c r="L656" s="170">
        <v>45242</v>
      </c>
      <c r="M656" s="116">
        <v>4935.8</v>
      </c>
      <c r="N656" s="116">
        <v>4980</v>
      </c>
      <c r="O656" s="116">
        <v>4913.3999999999996</v>
      </c>
      <c r="P656" s="116">
        <v>4918.05</v>
      </c>
      <c r="Q656" s="116">
        <v>4935.8</v>
      </c>
      <c r="R656">
        <v>4549</v>
      </c>
    </row>
    <row r="657" spans="1:18" x14ac:dyDescent="0.25">
      <c r="A657" s="170">
        <v>45243</v>
      </c>
      <c r="B657" s="116">
        <v>4915.2</v>
      </c>
      <c r="C657" s="116">
        <v>4798.5</v>
      </c>
      <c r="D657" s="116">
        <v>4776.6000000000004</v>
      </c>
      <c r="E657" s="116">
        <v>4901.05</v>
      </c>
      <c r="F657" s="116">
        <v>4798.5</v>
      </c>
      <c r="G657">
        <v>746</v>
      </c>
      <c r="H657" s="116"/>
      <c r="I657" s="116"/>
      <c r="L657" s="170">
        <v>45243</v>
      </c>
      <c r="M657" s="116">
        <v>4798.05</v>
      </c>
      <c r="N657" s="116">
        <v>4925</v>
      </c>
      <c r="O657" s="116">
        <v>4780</v>
      </c>
      <c r="P657" s="116">
        <v>4925</v>
      </c>
      <c r="Q657" s="116">
        <v>4798.05</v>
      </c>
      <c r="R657">
        <v>26598</v>
      </c>
    </row>
    <row r="658" spans="1:18" x14ac:dyDescent="0.25">
      <c r="A658" s="170">
        <v>45245</v>
      </c>
      <c r="B658" s="116">
        <v>4894.45</v>
      </c>
      <c r="C658" s="116">
        <v>4804.3500000000004</v>
      </c>
      <c r="D658" s="116">
        <v>4764.5</v>
      </c>
      <c r="E658" s="116">
        <v>4894.45</v>
      </c>
      <c r="F658" s="116">
        <v>4804.3500000000004</v>
      </c>
      <c r="G658">
        <v>1898</v>
      </c>
      <c r="H658" s="116"/>
      <c r="I658" s="116"/>
      <c r="L658" s="170">
        <v>45245</v>
      </c>
      <c r="M658" s="116">
        <v>4805.75</v>
      </c>
      <c r="N658" s="116">
        <v>4887.8999999999996</v>
      </c>
      <c r="O658" s="116">
        <v>4787.3500000000004</v>
      </c>
      <c r="P658" s="116">
        <v>4835</v>
      </c>
      <c r="Q658" s="116">
        <v>4805.75</v>
      </c>
      <c r="R658">
        <v>35088</v>
      </c>
    </row>
    <row r="659" spans="1:18" x14ac:dyDescent="0.25">
      <c r="A659" s="170">
        <v>45246</v>
      </c>
      <c r="B659" s="116">
        <v>5188</v>
      </c>
      <c r="C659" s="116">
        <v>5111.75</v>
      </c>
      <c r="D659" s="116">
        <v>4850.8500000000004</v>
      </c>
      <c r="E659" s="116">
        <v>4852.45</v>
      </c>
      <c r="F659" s="116">
        <v>5111.75</v>
      </c>
      <c r="G659">
        <v>3163</v>
      </c>
      <c r="H659" s="116"/>
      <c r="I659" s="116"/>
      <c r="L659" s="170">
        <v>45246</v>
      </c>
      <c r="M659" s="116">
        <v>5107</v>
      </c>
      <c r="N659" s="116">
        <v>5193</v>
      </c>
      <c r="O659" s="116">
        <v>4826</v>
      </c>
      <c r="P659" s="116">
        <v>4826</v>
      </c>
      <c r="Q659" s="116">
        <v>5107</v>
      </c>
      <c r="R659">
        <v>162913</v>
      </c>
    </row>
    <row r="660" spans="1:18" x14ac:dyDescent="0.25">
      <c r="A660" s="170">
        <v>45247</v>
      </c>
      <c r="B660" s="116">
        <v>5260</v>
      </c>
      <c r="C660" s="116">
        <v>5194.55</v>
      </c>
      <c r="D660" s="116">
        <v>5070.05</v>
      </c>
      <c r="E660" s="116">
        <v>5159</v>
      </c>
      <c r="F660" s="116">
        <v>5194.55</v>
      </c>
      <c r="G660">
        <v>4288</v>
      </c>
      <c r="H660" s="116"/>
      <c r="I660" s="116"/>
      <c r="L660" s="170">
        <v>45247</v>
      </c>
      <c r="M660" s="116">
        <v>5190.8999999999996</v>
      </c>
      <c r="N660" s="116">
        <v>5260</v>
      </c>
      <c r="O660" s="116">
        <v>5070</v>
      </c>
      <c r="P660" s="116">
        <v>5140</v>
      </c>
      <c r="Q660" s="116">
        <v>5190.8999999999996</v>
      </c>
      <c r="R660">
        <v>64485</v>
      </c>
    </row>
    <row r="661" spans="1:18" x14ac:dyDescent="0.25">
      <c r="A661" s="170">
        <v>45250</v>
      </c>
      <c r="B661" s="116">
        <v>5413</v>
      </c>
      <c r="C661" s="116">
        <v>5232.45</v>
      </c>
      <c r="D661" s="116">
        <v>5118.05</v>
      </c>
      <c r="E661" s="116">
        <v>5185</v>
      </c>
      <c r="F661" s="116">
        <v>5232.45</v>
      </c>
      <c r="G661">
        <v>4489</v>
      </c>
      <c r="H661" s="116"/>
      <c r="I661" s="116"/>
      <c r="L661" s="170">
        <v>45250</v>
      </c>
      <c r="M661" s="116">
        <v>5244.55</v>
      </c>
      <c r="N661" s="116">
        <v>5419</v>
      </c>
      <c r="O661" s="116">
        <v>5123.75</v>
      </c>
      <c r="P661" s="116">
        <v>5190.8500000000004</v>
      </c>
      <c r="Q661" s="116">
        <v>5244.55</v>
      </c>
      <c r="R661">
        <v>72602</v>
      </c>
    </row>
    <row r="662" spans="1:18" x14ac:dyDescent="0.25">
      <c r="A662" s="170">
        <v>45251</v>
      </c>
      <c r="B662" s="116">
        <v>5221.8</v>
      </c>
      <c r="C662" s="116">
        <v>5115.3999999999996</v>
      </c>
      <c r="D662" s="116">
        <v>5108.3999999999996</v>
      </c>
      <c r="E662" s="116">
        <v>5206.05</v>
      </c>
      <c r="F662" s="116">
        <v>5115.3999999999996</v>
      </c>
      <c r="G662">
        <v>823</v>
      </c>
      <c r="H662" s="116"/>
      <c r="I662" s="116"/>
      <c r="L662" s="170">
        <v>45251</v>
      </c>
      <c r="M662" s="116">
        <v>5116.7</v>
      </c>
      <c r="N662" s="116">
        <v>5267.95</v>
      </c>
      <c r="O662" s="116">
        <v>5105</v>
      </c>
      <c r="P662" s="116">
        <v>5253</v>
      </c>
      <c r="Q662" s="116">
        <v>5116.7</v>
      </c>
      <c r="R662">
        <v>25592</v>
      </c>
    </row>
    <row r="663" spans="1:18" x14ac:dyDescent="0.25">
      <c r="A663" s="170">
        <v>45252</v>
      </c>
      <c r="B663" s="116">
        <v>5335.15</v>
      </c>
      <c r="C663" s="116">
        <v>5191.2</v>
      </c>
      <c r="D663" s="116">
        <v>5148</v>
      </c>
      <c r="E663" s="116">
        <v>5214.8999999999996</v>
      </c>
      <c r="F663" s="116">
        <v>5191.2</v>
      </c>
      <c r="G663">
        <v>1625</v>
      </c>
      <c r="H663" s="116"/>
      <c r="I663" s="116"/>
      <c r="L663" s="170">
        <v>45252</v>
      </c>
      <c r="M663" s="116">
        <v>5187.8</v>
      </c>
      <c r="N663" s="116">
        <v>5339.7</v>
      </c>
      <c r="O663" s="116">
        <v>5135</v>
      </c>
      <c r="P663" s="116">
        <v>5148.8999999999996</v>
      </c>
      <c r="Q663" s="116">
        <v>5187.8</v>
      </c>
      <c r="R663">
        <v>64128</v>
      </c>
    </row>
    <row r="664" spans="1:18" x14ac:dyDescent="0.25">
      <c r="A664" s="170">
        <v>45253</v>
      </c>
      <c r="B664" s="116">
        <v>5295.05</v>
      </c>
      <c r="C664" s="116">
        <v>5182.25</v>
      </c>
      <c r="D664" s="116">
        <v>5171.45</v>
      </c>
      <c r="E664" s="116">
        <v>5295.05</v>
      </c>
      <c r="F664" s="116">
        <v>5182.25</v>
      </c>
      <c r="G664">
        <v>914</v>
      </c>
      <c r="H664" s="116"/>
      <c r="I664" s="116"/>
      <c r="L664" s="170">
        <v>45253</v>
      </c>
      <c r="M664" s="116">
        <v>5186.7</v>
      </c>
      <c r="N664" s="116">
        <v>5255</v>
      </c>
      <c r="O664" s="116">
        <v>5171.05</v>
      </c>
      <c r="P664" s="116">
        <v>5201.8</v>
      </c>
      <c r="Q664" s="116">
        <v>5186.7</v>
      </c>
      <c r="R664">
        <v>14354</v>
      </c>
    </row>
    <row r="665" spans="1:18" x14ac:dyDescent="0.25">
      <c r="A665" s="170">
        <v>45254</v>
      </c>
      <c r="B665" s="116">
        <v>5243.95</v>
      </c>
      <c r="C665" s="116">
        <v>5125.2</v>
      </c>
      <c r="D665" s="116">
        <v>5097.45</v>
      </c>
      <c r="E665" s="116">
        <v>5243.95</v>
      </c>
      <c r="F665" s="116">
        <v>5125.2</v>
      </c>
      <c r="G665">
        <v>649</v>
      </c>
      <c r="H665" s="116"/>
      <c r="I665" s="116"/>
      <c r="L665" s="170">
        <v>45254</v>
      </c>
      <c r="M665" s="116">
        <v>5123.2</v>
      </c>
      <c r="N665" s="116">
        <v>5230</v>
      </c>
      <c r="O665" s="116">
        <v>5099</v>
      </c>
      <c r="P665" s="116">
        <v>5194.1499999999996</v>
      </c>
      <c r="Q665" s="116">
        <v>5123.2</v>
      </c>
      <c r="R665">
        <v>25547</v>
      </c>
    </row>
    <row r="666" spans="1:18" x14ac:dyDescent="0.25">
      <c r="A666" s="170">
        <v>45258</v>
      </c>
      <c r="B666" s="116">
        <v>5189</v>
      </c>
      <c r="C666" s="116">
        <v>4998.45</v>
      </c>
      <c r="D666" s="116">
        <v>4980.75</v>
      </c>
      <c r="E666" s="116">
        <v>5189</v>
      </c>
      <c r="F666" s="116">
        <v>4998.45</v>
      </c>
      <c r="G666">
        <v>2789</v>
      </c>
      <c r="H666" s="116"/>
      <c r="I666" s="116"/>
      <c r="L666" s="170">
        <v>45258</v>
      </c>
      <c r="M666" s="116">
        <v>4998.05</v>
      </c>
      <c r="N666" s="116">
        <v>5189.8</v>
      </c>
      <c r="O666" s="116">
        <v>4980.05</v>
      </c>
      <c r="P666" s="116">
        <v>5180</v>
      </c>
      <c r="Q666" s="116">
        <v>4998.05</v>
      </c>
      <c r="R666">
        <v>38160</v>
      </c>
    </row>
    <row r="667" spans="1:18" x14ac:dyDescent="0.25">
      <c r="A667" s="170">
        <v>45259</v>
      </c>
      <c r="B667" s="116">
        <v>5100</v>
      </c>
      <c r="C667" s="116">
        <v>4925.95</v>
      </c>
      <c r="D667" s="116">
        <v>4913.5</v>
      </c>
      <c r="E667" s="116">
        <v>5005.05</v>
      </c>
      <c r="F667" s="116">
        <v>4925.95</v>
      </c>
      <c r="G667">
        <v>2620</v>
      </c>
      <c r="H667" s="116"/>
      <c r="I667" s="116"/>
      <c r="L667" s="170">
        <v>45259</v>
      </c>
      <c r="M667" s="116">
        <v>4923.75</v>
      </c>
      <c r="N667" s="116">
        <v>5064</v>
      </c>
      <c r="O667" s="116">
        <v>4911.3</v>
      </c>
      <c r="P667" s="116">
        <v>5040</v>
      </c>
      <c r="Q667" s="116">
        <v>4923.75</v>
      </c>
      <c r="R667">
        <v>27004</v>
      </c>
    </row>
    <row r="668" spans="1:18" x14ac:dyDescent="0.25">
      <c r="A668" s="170">
        <v>45260</v>
      </c>
      <c r="B668" s="116">
        <v>5090</v>
      </c>
      <c r="C668" s="116">
        <v>5050.8999999999996</v>
      </c>
      <c r="D668" s="116">
        <v>4950.5</v>
      </c>
      <c r="E668" s="116">
        <v>4985.05</v>
      </c>
      <c r="F668" s="116">
        <v>5050.8999999999996</v>
      </c>
      <c r="G668">
        <v>3604</v>
      </c>
      <c r="H668" s="116"/>
      <c r="I668" s="116"/>
      <c r="L668" s="170">
        <v>45260</v>
      </c>
      <c r="M668" s="116">
        <v>5049.75</v>
      </c>
      <c r="N668" s="116">
        <v>5098</v>
      </c>
      <c r="O668" s="116">
        <v>4910</v>
      </c>
      <c r="P668" s="116">
        <v>5000</v>
      </c>
      <c r="Q668" s="116">
        <v>5049.75</v>
      </c>
      <c r="R668">
        <v>46983</v>
      </c>
    </row>
    <row r="669" spans="1:18" x14ac:dyDescent="0.25">
      <c r="A669" s="170">
        <v>45261</v>
      </c>
      <c r="B669" s="116">
        <v>5121.45</v>
      </c>
      <c r="C669" s="116">
        <v>5098.1000000000004</v>
      </c>
      <c r="D669" s="116">
        <v>5073.95</v>
      </c>
      <c r="E669" s="116">
        <v>5094.95</v>
      </c>
      <c r="F669" s="116">
        <v>5098.1000000000004</v>
      </c>
      <c r="G669">
        <v>1850</v>
      </c>
      <c r="H669" s="116"/>
      <c r="I669" s="116"/>
      <c r="L669" s="170">
        <v>45261</v>
      </c>
      <c r="M669" s="116">
        <v>5100.75</v>
      </c>
      <c r="N669" s="116">
        <v>5123.1000000000004</v>
      </c>
      <c r="O669" s="116">
        <v>5055</v>
      </c>
      <c r="P669" s="116">
        <v>5085.5</v>
      </c>
      <c r="Q669" s="116">
        <v>5100.75</v>
      </c>
      <c r="R669">
        <v>24510</v>
      </c>
    </row>
    <row r="670" spans="1:18" x14ac:dyDescent="0.25">
      <c r="A670" s="170">
        <v>45264</v>
      </c>
      <c r="B670" s="116">
        <v>5210</v>
      </c>
      <c r="C670" s="116">
        <v>5117.3</v>
      </c>
      <c r="D670" s="116">
        <v>5102.7</v>
      </c>
      <c r="E670" s="116">
        <v>5130.05</v>
      </c>
      <c r="F670" s="116">
        <v>5117.3</v>
      </c>
      <c r="G670">
        <v>930</v>
      </c>
      <c r="H670" s="116"/>
      <c r="I670" s="116"/>
      <c r="L670" s="170">
        <v>45264</v>
      </c>
      <c r="M670" s="116">
        <v>5116.6499999999996</v>
      </c>
      <c r="N670" s="116">
        <v>5216.1499999999996</v>
      </c>
      <c r="O670" s="116">
        <v>5101.25</v>
      </c>
      <c r="P670" s="116">
        <v>5169</v>
      </c>
      <c r="Q670" s="116">
        <v>5116.6499999999996</v>
      </c>
      <c r="R670">
        <v>24921</v>
      </c>
    </row>
    <row r="671" spans="1:18" x14ac:dyDescent="0.25">
      <c r="A671" s="170">
        <v>45265</v>
      </c>
      <c r="B671" s="116">
        <v>5171.3</v>
      </c>
      <c r="C671" s="116">
        <v>5081.2</v>
      </c>
      <c r="D671" s="116">
        <v>5029.25</v>
      </c>
      <c r="E671" s="116">
        <v>5120.05</v>
      </c>
      <c r="F671" s="116">
        <v>5081.2</v>
      </c>
      <c r="G671">
        <v>2043</v>
      </c>
      <c r="H671" s="116"/>
      <c r="I671" s="116"/>
      <c r="L671" s="170">
        <v>45265</v>
      </c>
      <c r="M671" s="116">
        <v>5086.05</v>
      </c>
      <c r="N671" s="116">
        <v>5171.3999999999996</v>
      </c>
      <c r="O671" s="116">
        <v>5034.5</v>
      </c>
      <c r="P671" s="116">
        <v>5139.95</v>
      </c>
      <c r="Q671" s="116">
        <v>5086.05</v>
      </c>
      <c r="R671">
        <v>33922</v>
      </c>
    </row>
    <row r="672" spans="1:18" x14ac:dyDescent="0.25">
      <c r="A672" s="170">
        <v>45266</v>
      </c>
      <c r="B672" s="116">
        <v>5193</v>
      </c>
      <c r="C672" s="116">
        <v>5138</v>
      </c>
      <c r="D672" s="116">
        <v>5018.1000000000004</v>
      </c>
      <c r="E672" s="116">
        <v>5080.05</v>
      </c>
      <c r="F672" s="116">
        <v>5138</v>
      </c>
      <c r="G672">
        <v>4799</v>
      </c>
      <c r="H672" s="116"/>
      <c r="I672" s="116"/>
      <c r="L672" s="170">
        <v>45266</v>
      </c>
      <c r="M672" s="116">
        <v>5143.25</v>
      </c>
      <c r="N672" s="116">
        <v>5199.1000000000004</v>
      </c>
      <c r="O672" s="116">
        <v>5016.2</v>
      </c>
      <c r="P672" s="116">
        <v>5110</v>
      </c>
      <c r="Q672" s="116">
        <v>5143.25</v>
      </c>
      <c r="R672">
        <v>39020</v>
      </c>
    </row>
    <row r="673" spans="1:18" x14ac:dyDescent="0.25">
      <c r="A673" s="170">
        <v>45267</v>
      </c>
      <c r="B673" s="116">
        <v>5184.95</v>
      </c>
      <c r="C673" s="116">
        <v>5163.75</v>
      </c>
      <c r="D673" s="116">
        <v>5117.3</v>
      </c>
      <c r="E673" s="116">
        <v>5143</v>
      </c>
      <c r="F673" s="116">
        <v>5163.75</v>
      </c>
      <c r="G673">
        <v>1054</v>
      </c>
      <c r="H673" s="116"/>
      <c r="I673" s="116"/>
      <c r="L673" s="170">
        <v>45267</v>
      </c>
      <c r="M673" s="116">
        <v>5159</v>
      </c>
      <c r="N673" s="116">
        <v>5193</v>
      </c>
      <c r="O673" s="116">
        <v>5109.05</v>
      </c>
      <c r="P673" s="116">
        <v>5143.25</v>
      </c>
      <c r="Q673" s="116">
        <v>5159</v>
      </c>
      <c r="R673">
        <v>23972</v>
      </c>
    </row>
    <row r="674" spans="1:18" x14ac:dyDescent="0.25">
      <c r="A674" s="170">
        <v>45268</v>
      </c>
      <c r="B674" s="116">
        <v>5238.7</v>
      </c>
      <c r="C674" s="116">
        <v>5175.75</v>
      </c>
      <c r="D674" s="116">
        <v>5082.6000000000004</v>
      </c>
      <c r="E674" s="116">
        <v>5120.1000000000004</v>
      </c>
      <c r="F674" s="116">
        <v>5175.75</v>
      </c>
      <c r="G674">
        <v>1927</v>
      </c>
      <c r="H674" s="116"/>
      <c r="I674" s="116"/>
      <c r="L674" s="170">
        <v>45268</v>
      </c>
      <c r="M674" s="116">
        <v>5172.55</v>
      </c>
      <c r="N674" s="116">
        <v>5241.8500000000004</v>
      </c>
      <c r="O674" s="116">
        <v>5080</v>
      </c>
      <c r="P674" s="116">
        <v>5186.8999999999996</v>
      </c>
      <c r="Q674" s="116">
        <v>5172.55</v>
      </c>
      <c r="R674">
        <v>18842</v>
      </c>
    </row>
    <row r="675" spans="1:18" x14ac:dyDescent="0.25">
      <c r="A675" s="170">
        <v>45271</v>
      </c>
      <c r="B675" s="116">
        <v>5219.8500000000004</v>
      </c>
      <c r="C675" s="116">
        <v>5178.75</v>
      </c>
      <c r="D675" s="116">
        <v>5154.3</v>
      </c>
      <c r="E675" s="116">
        <v>5206.8500000000004</v>
      </c>
      <c r="F675" s="116">
        <v>5178.75</v>
      </c>
      <c r="G675">
        <v>1421</v>
      </c>
      <c r="H675" s="116"/>
      <c r="I675" s="116"/>
      <c r="L675" s="170">
        <v>45271</v>
      </c>
      <c r="M675" s="116">
        <v>5181.7</v>
      </c>
      <c r="N675" s="116">
        <v>5232.5</v>
      </c>
      <c r="O675" s="116">
        <v>5155</v>
      </c>
      <c r="P675" s="116">
        <v>5229.95</v>
      </c>
      <c r="Q675" s="116">
        <v>5181.7</v>
      </c>
      <c r="R675">
        <v>11172</v>
      </c>
    </row>
    <row r="676" spans="1:18" x14ac:dyDescent="0.25">
      <c r="A676" s="170">
        <v>45272</v>
      </c>
      <c r="B676" s="116">
        <v>5209.95</v>
      </c>
      <c r="C676" s="116">
        <v>5129.1499999999996</v>
      </c>
      <c r="D676" s="116">
        <v>5072.1499999999996</v>
      </c>
      <c r="E676" s="116">
        <v>5209.95</v>
      </c>
      <c r="F676" s="116">
        <v>5129.1499999999996</v>
      </c>
      <c r="G676">
        <v>1261</v>
      </c>
      <c r="H676" s="116"/>
      <c r="I676" s="116"/>
      <c r="L676" s="170">
        <v>45272</v>
      </c>
      <c r="M676" s="116">
        <v>5109.1000000000004</v>
      </c>
      <c r="N676" s="116">
        <v>5200</v>
      </c>
      <c r="O676" s="116">
        <v>5063.1000000000004</v>
      </c>
      <c r="P676" s="116">
        <v>5181.7</v>
      </c>
      <c r="Q676" s="116">
        <v>5109.1000000000004</v>
      </c>
      <c r="R676">
        <v>15595</v>
      </c>
    </row>
    <row r="677" spans="1:18" x14ac:dyDescent="0.25">
      <c r="A677" s="170">
        <v>45273</v>
      </c>
      <c r="B677" s="116">
        <v>5130.1000000000004</v>
      </c>
      <c r="C677" s="116">
        <v>5028.25</v>
      </c>
      <c r="D677" s="116">
        <v>5000</v>
      </c>
      <c r="E677" s="116">
        <v>5129.1499999999996</v>
      </c>
      <c r="F677" s="116">
        <v>5028.25</v>
      </c>
      <c r="G677">
        <v>2286</v>
      </c>
      <c r="H677" s="116"/>
      <c r="I677" s="116"/>
      <c r="L677" s="170">
        <v>45273</v>
      </c>
      <c r="M677" s="116">
        <v>5027.7</v>
      </c>
      <c r="N677" s="116">
        <v>5144</v>
      </c>
      <c r="O677" s="116">
        <v>4998.5</v>
      </c>
      <c r="P677" s="116">
        <v>5140</v>
      </c>
      <c r="Q677" s="116">
        <v>5027.7</v>
      </c>
      <c r="R677">
        <v>23622</v>
      </c>
    </row>
    <row r="678" spans="1:18" x14ac:dyDescent="0.25">
      <c r="A678" s="170">
        <v>45274</v>
      </c>
      <c r="B678" s="116">
        <v>5321</v>
      </c>
      <c r="C678" s="116">
        <v>5303.45</v>
      </c>
      <c r="D678" s="116">
        <v>5039</v>
      </c>
      <c r="E678" s="116">
        <v>5055.1499999999996</v>
      </c>
      <c r="F678" s="116">
        <v>5303.45</v>
      </c>
      <c r="G678">
        <v>4264</v>
      </c>
      <c r="H678" s="116"/>
      <c r="I678" s="116"/>
      <c r="L678" s="170">
        <v>45274</v>
      </c>
      <c r="M678" s="116">
        <v>5307.2</v>
      </c>
      <c r="N678" s="116">
        <v>5334</v>
      </c>
      <c r="O678" s="116">
        <v>5035.05</v>
      </c>
      <c r="P678" s="116">
        <v>5050</v>
      </c>
      <c r="Q678" s="116">
        <v>5307.2</v>
      </c>
      <c r="R678">
        <v>61528</v>
      </c>
    </row>
    <row r="679" spans="1:18" x14ac:dyDescent="0.25">
      <c r="A679" s="170">
        <v>45275</v>
      </c>
      <c r="B679" s="116">
        <v>5345.85</v>
      </c>
      <c r="C679" s="116">
        <v>5326.85</v>
      </c>
      <c r="D679" s="116">
        <v>5222</v>
      </c>
      <c r="E679" s="116">
        <v>5303.45</v>
      </c>
      <c r="F679" s="116">
        <v>5326.85</v>
      </c>
      <c r="G679">
        <v>1462</v>
      </c>
      <c r="H679" s="116"/>
      <c r="I679" s="116"/>
      <c r="L679" s="170">
        <v>45275</v>
      </c>
      <c r="M679" s="116">
        <v>5324.1</v>
      </c>
      <c r="N679" s="116">
        <v>5343.4</v>
      </c>
      <c r="O679" s="116">
        <v>5213.2</v>
      </c>
      <c r="P679" s="116">
        <v>5333</v>
      </c>
      <c r="Q679" s="116">
        <v>5324.1</v>
      </c>
      <c r="R679">
        <v>32012</v>
      </c>
    </row>
    <row r="680" spans="1:18" x14ac:dyDescent="0.25">
      <c r="A680" s="170">
        <v>45278</v>
      </c>
      <c r="B680" s="116">
        <v>5449.95</v>
      </c>
      <c r="C680" s="116">
        <v>5294.7</v>
      </c>
      <c r="D680" s="116">
        <v>5251.35</v>
      </c>
      <c r="E680" s="116">
        <v>5325.4</v>
      </c>
      <c r="F680" s="116">
        <v>5294.7</v>
      </c>
      <c r="G680">
        <v>3618</v>
      </c>
      <c r="H680" s="116"/>
      <c r="I680" s="116"/>
      <c r="L680" s="170">
        <v>45278</v>
      </c>
      <c r="M680" s="116">
        <v>5297.9</v>
      </c>
      <c r="N680" s="116">
        <v>5459.95</v>
      </c>
      <c r="O680" s="116">
        <v>5274.6</v>
      </c>
      <c r="P680" s="116">
        <v>5324.1</v>
      </c>
      <c r="Q680" s="116">
        <v>5297.9</v>
      </c>
      <c r="R680">
        <v>32503</v>
      </c>
    </row>
    <row r="681" spans="1:18" x14ac:dyDescent="0.25">
      <c r="A681" s="170">
        <v>45279</v>
      </c>
      <c r="B681" s="116">
        <v>5294.7</v>
      </c>
      <c r="C681" s="116">
        <v>5270.8</v>
      </c>
      <c r="D681" s="116">
        <v>5239.3</v>
      </c>
      <c r="E681" s="116">
        <v>5294.7</v>
      </c>
      <c r="F681" s="116">
        <v>5270.8</v>
      </c>
      <c r="G681">
        <v>431</v>
      </c>
      <c r="H681" s="116"/>
      <c r="I681" s="116"/>
      <c r="L681" s="170">
        <v>45279</v>
      </c>
      <c r="M681" s="116">
        <v>5262.9</v>
      </c>
      <c r="N681" s="116">
        <v>5348</v>
      </c>
      <c r="O681" s="116">
        <v>5236</v>
      </c>
      <c r="P681" s="116">
        <v>5305</v>
      </c>
      <c r="Q681" s="116">
        <v>5262.9</v>
      </c>
      <c r="R681">
        <v>11924</v>
      </c>
    </row>
    <row r="682" spans="1:18" x14ac:dyDescent="0.25">
      <c r="A682" s="170">
        <v>45280</v>
      </c>
      <c r="B682" s="116">
        <v>5304.95</v>
      </c>
      <c r="C682" s="116">
        <v>5205.45</v>
      </c>
      <c r="D682" s="116">
        <v>5122.6499999999996</v>
      </c>
      <c r="E682" s="116">
        <v>5122.6499999999996</v>
      </c>
      <c r="F682" s="116">
        <v>5205.45</v>
      </c>
      <c r="G682">
        <v>2913</v>
      </c>
      <c r="H682" s="116"/>
      <c r="I682" s="116"/>
      <c r="L682" s="170">
        <v>45280</v>
      </c>
      <c r="M682" s="116">
        <v>5207.8</v>
      </c>
      <c r="N682" s="116">
        <v>5299.95</v>
      </c>
      <c r="O682" s="116">
        <v>5118.05</v>
      </c>
      <c r="P682" s="116">
        <v>5275</v>
      </c>
      <c r="Q682" s="116">
        <v>5207.8</v>
      </c>
      <c r="R682">
        <v>36087</v>
      </c>
    </row>
    <row r="683" spans="1:18" x14ac:dyDescent="0.25">
      <c r="A683" s="170">
        <v>45281</v>
      </c>
      <c r="B683" s="116">
        <v>5428.05</v>
      </c>
      <c r="C683" s="116">
        <v>5398.1</v>
      </c>
      <c r="D683" s="116">
        <v>5083.7</v>
      </c>
      <c r="E683" s="116">
        <v>5174.8999999999996</v>
      </c>
      <c r="F683" s="116">
        <v>5398.1</v>
      </c>
      <c r="G683">
        <v>1961</v>
      </c>
      <c r="H683" s="116"/>
      <c r="I683" s="116"/>
      <c r="L683" s="170">
        <v>45281</v>
      </c>
      <c r="M683" s="116">
        <v>5396.85</v>
      </c>
      <c r="N683" s="116">
        <v>5440</v>
      </c>
      <c r="O683" s="116">
        <v>5076.3500000000004</v>
      </c>
      <c r="P683" s="116">
        <v>5176</v>
      </c>
      <c r="Q683" s="116">
        <v>5396.85</v>
      </c>
      <c r="R683">
        <v>74933</v>
      </c>
    </row>
    <row r="684" spans="1:18" x14ac:dyDescent="0.25">
      <c r="A684" s="170">
        <v>45282</v>
      </c>
      <c r="B684" s="116">
        <v>5510</v>
      </c>
      <c r="C684" s="116">
        <v>5423</v>
      </c>
      <c r="D684" s="116">
        <v>5367</v>
      </c>
      <c r="E684" s="116">
        <v>5444.5</v>
      </c>
      <c r="F684" s="116">
        <v>5423</v>
      </c>
      <c r="G684">
        <v>2430</v>
      </c>
      <c r="H684" s="116"/>
      <c r="I684" s="116"/>
      <c r="L684" s="170">
        <v>45282</v>
      </c>
      <c r="M684" s="116">
        <v>5429.15</v>
      </c>
      <c r="N684" s="116">
        <v>5513.65</v>
      </c>
      <c r="O684" s="116">
        <v>5364.1</v>
      </c>
      <c r="P684" s="116">
        <v>5447.95</v>
      </c>
      <c r="Q684" s="116">
        <v>5429.15</v>
      </c>
      <c r="R684">
        <v>27398</v>
      </c>
    </row>
    <row r="685" spans="1:18" x14ac:dyDescent="0.25">
      <c r="A685" s="170">
        <v>45286</v>
      </c>
      <c r="B685" s="116">
        <v>5442.15</v>
      </c>
      <c r="C685" s="116">
        <v>5381.05</v>
      </c>
      <c r="D685" s="116">
        <v>5349.55</v>
      </c>
      <c r="E685" s="116">
        <v>5403.85</v>
      </c>
      <c r="F685" s="116">
        <v>5381.05</v>
      </c>
      <c r="G685">
        <v>761</v>
      </c>
      <c r="H685" s="116"/>
      <c r="I685" s="116"/>
      <c r="L685" s="170">
        <v>45286</v>
      </c>
      <c r="M685" s="116">
        <v>5379.9</v>
      </c>
      <c r="N685" s="116">
        <v>5444.85</v>
      </c>
      <c r="O685" s="116">
        <v>5350.15</v>
      </c>
      <c r="P685" s="116">
        <v>5429.1</v>
      </c>
      <c r="Q685" s="116">
        <v>5379.9</v>
      </c>
      <c r="R685">
        <v>57801</v>
      </c>
    </row>
    <row r="686" spans="1:18" x14ac:dyDescent="0.25">
      <c r="A686" s="170">
        <v>45287</v>
      </c>
      <c r="B686" s="116">
        <v>5416.2</v>
      </c>
      <c r="C686" s="116">
        <v>5321</v>
      </c>
      <c r="D686" s="116">
        <v>5301.8</v>
      </c>
      <c r="E686" s="116">
        <v>5416.2</v>
      </c>
      <c r="F686" s="116">
        <v>5321</v>
      </c>
      <c r="G686">
        <v>1753</v>
      </c>
      <c r="H686" s="116"/>
      <c r="I686" s="116"/>
      <c r="L686" s="170">
        <v>45287</v>
      </c>
      <c r="M686" s="116">
        <v>5318</v>
      </c>
      <c r="N686" s="116">
        <v>5432</v>
      </c>
      <c r="O686" s="116">
        <v>5300</v>
      </c>
      <c r="P686" s="116">
        <v>5410</v>
      </c>
      <c r="Q686" s="116">
        <v>5318</v>
      </c>
      <c r="R686">
        <v>32330</v>
      </c>
    </row>
    <row r="687" spans="1:18" x14ac:dyDescent="0.25">
      <c r="A687" s="170">
        <v>45288</v>
      </c>
      <c r="B687" s="116">
        <v>5387.45</v>
      </c>
      <c r="C687" s="116">
        <v>5330.4</v>
      </c>
      <c r="D687" s="116">
        <v>5311.9</v>
      </c>
      <c r="E687" s="116">
        <v>5362.65</v>
      </c>
      <c r="F687" s="116">
        <v>5330.4</v>
      </c>
      <c r="G687">
        <v>1124</v>
      </c>
      <c r="H687" s="116"/>
      <c r="I687" s="116"/>
      <c r="L687" s="170">
        <v>45288</v>
      </c>
      <c r="M687" s="116">
        <v>5330.15</v>
      </c>
      <c r="N687" s="116">
        <v>5387.9</v>
      </c>
      <c r="O687" s="116">
        <v>5311.95</v>
      </c>
      <c r="P687" s="116">
        <v>5359.65</v>
      </c>
      <c r="Q687" s="116">
        <v>5330.15</v>
      </c>
      <c r="R687">
        <v>9604</v>
      </c>
    </row>
    <row r="688" spans="1:18" x14ac:dyDescent="0.25">
      <c r="A688" s="170">
        <v>45289</v>
      </c>
      <c r="B688" s="116">
        <v>5412.2</v>
      </c>
      <c r="C688" s="116">
        <v>5398.4</v>
      </c>
      <c r="D688" s="116">
        <v>5278.65</v>
      </c>
      <c r="E688" s="116">
        <v>5280.05</v>
      </c>
      <c r="F688" s="116">
        <v>5398.4</v>
      </c>
      <c r="G688">
        <v>1514</v>
      </c>
      <c r="H688" s="116"/>
      <c r="I688" s="116"/>
      <c r="L688" s="170">
        <v>45289</v>
      </c>
      <c r="M688" s="116">
        <v>5406.25</v>
      </c>
      <c r="N688" s="116">
        <v>5420</v>
      </c>
      <c r="O688" s="116">
        <v>5253.2</v>
      </c>
      <c r="P688" s="116">
        <v>5310</v>
      </c>
      <c r="Q688" s="116">
        <v>5406.25</v>
      </c>
      <c r="R688">
        <v>11949</v>
      </c>
    </row>
    <row r="689" spans="1:18" x14ac:dyDescent="0.25">
      <c r="A689" s="170">
        <v>45292</v>
      </c>
      <c r="B689" s="116">
        <v>5438.3</v>
      </c>
      <c r="C689" s="116">
        <v>5329.65</v>
      </c>
      <c r="D689" s="116">
        <v>5310</v>
      </c>
      <c r="E689" s="116">
        <v>5438.3</v>
      </c>
      <c r="F689" s="116">
        <v>5329.65</v>
      </c>
      <c r="G689">
        <v>672</v>
      </c>
      <c r="H689" s="116"/>
      <c r="I689" s="116"/>
      <c r="L689" s="170">
        <v>45292</v>
      </c>
      <c r="M689" s="116">
        <v>5339.35</v>
      </c>
      <c r="N689" s="116">
        <v>5441.45</v>
      </c>
      <c r="O689" s="116">
        <v>5305</v>
      </c>
      <c r="P689" s="116">
        <v>5406.25</v>
      </c>
      <c r="Q689" s="116">
        <v>5339.35</v>
      </c>
      <c r="R689">
        <v>13491</v>
      </c>
    </row>
    <row r="690" spans="1:18" x14ac:dyDescent="0.25">
      <c r="A690" s="170">
        <v>45293</v>
      </c>
      <c r="B690" s="116">
        <v>5346.25</v>
      </c>
      <c r="C690" s="116">
        <v>5234.2</v>
      </c>
      <c r="D690" s="116">
        <v>5210.45</v>
      </c>
      <c r="E690" s="116">
        <v>5340.15</v>
      </c>
      <c r="F690" s="116">
        <v>5234.2</v>
      </c>
      <c r="G690">
        <v>1254</v>
      </c>
      <c r="H690" s="116"/>
      <c r="I690" s="116"/>
      <c r="L690" s="170">
        <v>45293</v>
      </c>
      <c r="M690" s="116">
        <v>5234.55</v>
      </c>
      <c r="N690" s="116">
        <v>5366.05</v>
      </c>
      <c r="O690" s="116">
        <v>5202.2</v>
      </c>
      <c r="P690" s="116">
        <v>5366.05</v>
      </c>
      <c r="Q690" s="116">
        <v>5234.55</v>
      </c>
      <c r="R690">
        <v>20890</v>
      </c>
    </row>
    <row r="691" spans="1:18" x14ac:dyDescent="0.25">
      <c r="A691" s="170">
        <v>45294</v>
      </c>
      <c r="B691" s="116">
        <v>5299.95</v>
      </c>
      <c r="C691" s="116">
        <v>5150.6000000000004</v>
      </c>
      <c r="D691" s="116">
        <v>5127</v>
      </c>
      <c r="E691" s="116">
        <v>5299.95</v>
      </c>
      <c r="F691" s="116">
        <v>5150.6000000000004</v>
      </c>
      <c r="G691">
        <v>939</v>
      </c>
      <c r="H691" s="116"/>
      <c r="I691" s="116"/>
      <c r="L691" s="170">
        <v>45294</v>
      </c>
      <c r="M691" s="116">
        <v>5143.25</v>
      </c>
      <c r="N691" s="116">
        <v>5273.55</v>
      </c>
      <c r="O691" s="116">
        <v>5121</v>
      </c>
      <c r="P691" s="116">
        <v>5258.1</v>
      </c>
      <c r="Q691" s="116">
        <v>5143.25</v>
      </c>
      <c r="R691">
        <v>29737</v>
      </c>
    </row>
    <row r="692" spans="1:18" x14ac:dyDescent="0.25">
      <c r="A692" s="170">
        <v>45295</v>
      </c>
      <c r="B692" s="116">
        <v>5252.7</v>
      </c>
      <c r="C692" s="116">
        <v>5059.5</v>
      </c>
      <c r="D692" s="116">
        <v>5038</v>
      </c>
      <c r="E692" s="116">
        <v>5252.7</v>
      </c>
      <c r="F692" s="116">
        <v>5059.5</v>
      </c>
      <c r="G692">
        <v>2725</v>
      </c>
      <c r="H692" s="116"/>
      <c r="I692" s="116"/>
      <c r="L692" s="170">
        <v>45295</v>
      </c>
      <c r="M692" s="116">
        <v>5060.2</v>
      </c>
      <c r="N692" s="116">
        <v>5169.95</v>
      </c>
      <c r="O692" s="116">
        <v>5035.1000000000004</v>
      </c>
      <c r="P692" s="116">
        <v>5169.95</v>
      </c>
      <c r="Q692" s="116">
        <v>5060.2</v>
      </c>
      <c r="R692">
        <v>35282</v>
      </c>
    </row>
    <row r="693" spans="1:18" x14ac:dyDescent="0.25">
      <c r="A693" s="170">
        <v>45296</v>
      </c>
      <c r="B693" s="116">
        <v>5206.1499999999996</v>
      </c>
      <c r="C693" s="116">
        <v>5004.75</v>
      </c>
      <c r="D693" s="116">
        <v>4975.5</v>
      </c>
      <c r="E693" s="116">
        <v>5206.1499999999996</v>
      </c>
      <c r="F693" s="116">
        <v>5004.75</v>
      </c>
      <c r="G693">
        <v>1489</v>
      </c>
      <c r="H693" s="116"/>
      <c r="I693" s="116"/>
      <c r="L693" s="170">
        <v>45296</v>
      </c>
      <c r="M693" s="116">
        <v>4998.8</v>
      </c>
      <c r="N693" s="116">
        <v>5119.95</v>
      </c>
      <c r="O693" s="116">
        <v>4973.55</v>
      </c>
      <c r="P693" s="116">
        <v>5119.95</v>
      </c>
      <c r="Q693" s="116">
        <v>4998.8</v>
      </c>
      <c r="R693">
        <v>43847</v>
      </c>
    </row>
    <row r="694" spans="1:18" x14ac:dyDescent="0.25">
      <c r="A694" s="170">
        <v>45299</v>
      </c>
      <c r="B694" s="116">
        <v>5022.3999999999996</v>
      </c>
      <c r="C694" s="116">
        <v>4906.3999999999996</v>
      </c>
      <c r="D694" s="116">
        <v>4892.6000000000004</v>
      </c>
      <c r="E694" s="116">
        <v>5022.3999999999996</v>
      </c>
      <c r="F694" s="116">
        <v>4906.3999999999996</v>
      </c>
      <c r="G694">
        <v>3531</v>
      </c>
      <c r="H694" s="116"/>
      <c r="I694" s="116"/>
      <c r="L694" s="170">
        <v>45299</v>
      </c>
      <c r="M694" s="116">
        <v>4904.8500000000004</v>
      </c>
      <c r="N694" s="116">
        <v>5027.25</v>
      </c>
      <c r="O694" s="116">
        <v>4890</v>
      </c>
      <c r="P694" s="116">
        <v>5020</v>
      </c>
      <c r="Q694" s="116">
        <v>4904.8500000000004</v>
      </c>
      <c r="R694">
        <v>38918</v>
      </c>
    </row>
    <row r="695" spans="1:18" x14ac:dyDescent="0.25">
      <c r="A695" s="170">
        <v>45300</v>
      </c>
      <c r="B695" s="116">
        <v>4951.8999999999996</v>
      </c>
      <c r="C695" s="116">
        <v>4843.8999999999996</v>
      </c>
      <c r="D695" s="116">
        <v>4830</v>
      </c>
      <c r="E695" s="116">
        <v>4951.8500000000004</v>
      </c>
      <c r="F695" s="116">
        <v>4843.8999999999996</v>
      </c>
      <c r="G695">
        <v>3164</v>
      </c>
      <c r="H695" s="116"/>
      <c r="I695" s="116"/>
      <c r="L695" s="170">
        <v>45300</v>
      </c>
      <c r="M695" s="116">
        <v>4842.7</v>
      </c>
      <c r="N695" s="116">
        <v>4948</v>
      </c>
      <c r="O695" s="116">
        <v>4824.05</v>
      </c>
      <c r="P695" s="116">
        <v>4940.3</v>
      </c>
      <c r="Q695" s="116">
        <v>4842.7</v>
      </c>
      <c r="R695">
        <v>38341</v>
      </c>
    </row>
    <row r="696" spans="1:18" x14ac:dyDescent="0.25">
      <c r="A696" s="170">
        <v>45301</v>
      </c>
      <c r="B696" s="116">
        <v>4860.8999999999996</v>
      </c>
      <c r="C696" s="116">
        <v>4793.3</v>
      </c>
      <c r="D696" s="116">
        <v>4765.45</v>
      </c>
      <c r="E696" s="116">
        <v>4826.3999999999996</v>
      </c>
      <c r="F696" s="116">
        <v>4793.3</v>
      </c>
      <c r="G696">
        <v>2581</v>
      </c>
      <c r="H696" s="116"/>
      <c r="I696" s="116"/>
      <c r="L696" s="170">
        <v>45301</v>
      </c>
      <c r="M696" s="116">
        <v>4793</v>
      </c>
      <c r="N696" s="116">
        <v>4866.8999999999996</v>
      </c>
      <c r="O696" s="116">
        <v>4763.55</v>
      </c>
      <c r="P696" s="116">
        <v>4866.8999999999996</v>
      </c>
      <c r="Q696" s="116">
        <v>4793</v>
      </c>
      <c r="R696">
        <v>37795</v>
      </c>
    </row>
    <row r="697" spans="1:18" x14ac:dyDescent="0.25">
      <c r="A697" s="170">
        <v>45302</v>
      </c>
      <c r="B697" s="116">
        <v>4994.6000000000004</v>
      </c>
      <c r="C697" s="116">
        <v>4984.45</v>
      </c>
      <c r="D697" s="116">
        <v>4868</v>
      </c>
      <c r="E697" s="116">
        <v>4868</v>
      </c>
      <c r="F697" s="116">
        <v>4984.45</v>
      </c>
      <c r="G697">
        <v>4085</v>
      </c>
      <c r="H697" s="116"/>
      <c r="I697" s="116"/>
      <c r="L697" s="170">
        <v>45302</v>
      </c>
      <c r="M697" s="116">
        <v>4986.3</v>
      </c>
      <c r="N697" s="116">
        <v>4994.95</v>
      </c>
      <c r="O697" s="116">
        <v>4869.3</v>
      </c>
      <c r="P697" s="116">
        <v>4870</v>
      </c>
      <c r="Q697" s="116">
        <v>4986.3</v>
      </c>
      <c r="R697">
        <v>40979</v>
      </c>
    </row>
    <row r="698" spans="1:18" x14ac:dyDescent="0.25">
      <c r="A698" s="170">
        <v>45303</v>
      </c>
      <c r="B698" s="116">
        <v>5045.75</v>
      </c>
      <c r="C698" s="116">
        <v>4967.8999999999996</v>
      </c>
      <c r="D698" s="116">
        <v>4939</v>
      </c>
      <c r="E698" s="116">
        <v>5040.05</v>
      </c>
      <c r="F698" s="116">
        <v>4967.8999999999996</v>
      </c>
      <c r="G698">
        <v>1473</v>
      </c>
      <c r="H698" s="116"/>
      <c r="I698" s="116"/>
      <c r="L698" s="170">
        <v>45303</v>
      </c>
      <c r="M698" s="116">
        <v>4970</v>
      </c>
      <c r="N698" s="116">
        <v>5048</v>
      </c>
      <c r="O698" s="116">
        <v>4939.45</v>
      </c>
      <c r="P698" s="116">
        <v>5035</v>
      </c>
      <c r="Q698" s="116">
        <v>4970</v>
      </c>
      <c r="R698">
        <v>20565</v>
      </c>
    </row>
    <row r="699" spans="1:18" x14ac:dyDescent="0.25">
      <c r="A699" s="170">
        <v>45306</v>
      </c>
      <c r="B699" s="116">
        <v>5053.8500000000004</v>
      </c>
      <c r="C699" s="116">
        <v>4996.8500000000004</v>
      </c>
      <c r="D699" s="116">
        <v>4950.1499999999996</v>
      </c>
      <c r="E699" s="116">
        <v>4950.1499999999996</v>
      </c>
      <c r="F699" s="116">
        <v>4996.8500000000004</v>
      </c>
      <c r="G699">
        <v>1194</v>
      </c>
      <c r="H699" s="116"/>
      <c r="I699" s="116"/>
      <c r="L699" s="170">
        <v>45306</v>
      </c>
      <c r="M699" s="116">
        <v>5000.3</v>
      </c>
      <c r="N699" s="116">
        <v>5056.25</v>
      </c>
      <c r="O699" s="116">
        <v>4951.45</v>
      </c>
      <c r="P699" s="116">
        <v>4989.8</v>
      </c>
      <c r="Q699" s="116">
        <v>5000.3</v>
      </c>
      <c r="R699">
        <v>20688</v>
      </c>
    </row>
    <row r="700" spans="1:18" x14ac:dyDescent="0.25">
      <c r="A700" s="170">
        <v>45307</v>
      </c>
      <c r="B700" s="116">
        <v>5102.75</v>
      </c>
      <c r="C700" s="116">
        <v>5016.3500000000004</v>
      </c>
      <c r="D700" s="116">
        <v>4964.95</v>
      </c>
      <c r="E700" s="116">
        <v>4970</v>
      </c>
      <c r="F700" s="116">
        <v>5016.3500000000004</v>
      </c>
      <c r="G700">
        <v>1219</v>
      </c>
      <c r="H700" s="116"/>
      <c r="I700" s="116"/>
      <c r="L700" s="170">
        <v>45307</v>
      </c>
      <c r="M700" s="116">
        <v>5016.3999999999996</v>
      </c>
      <c r="N700" s="116">
        <v>5100</v>
      </c>
      <c r="O700" s="116">
        <v>4962.25</v>
      </c>
      <c r="P700" s="116">
        <v>5000.3</v>
      </c>
      <c r="Q700" s="116">
        <v>5016.3999999999996</v>
      </c>
      <c r="R700">
        <v>23847</v>
      </c>
    </row>
    <row r="701" spans="1:18" x14ac:dyDescent="0.25">
      <c r="A701" s="170">
        <v>45308</v>
      </c>
      <c r="B701" s="116">
        <v>5019.8999999999996</v>
      </c>
      <c r="C701" s="116">
        <v>4824.25</v>
      </c>
      <c r="D701" s="116">
        <v>4792.2</v>
      </c>
      <c r="E701" s="116">
        <v>5019.8999999999996</v>
      </c>
      <c r="F701" s="116">
        <v>4824.25</v>
      </c>
      <c r="G701">
        <v>1658</v>
      </c>
      <c r="H701" s="116"/>
      <c r="I701" s="116"/>
      <c r="L701" s="170">
        <v>45308</v>
      </c>
      <c r="M701" s="116">
        <v>4822.7</v>
      </c>
      <c r="N701" s="116">
        <v>5029.8</v>
      </c>
      <c r="O701" s="116">
        <v>4790</v>
      </c>
      <c r="P701" s="116">
        <v>4970.05</v>
      </c>
      <c r="Q701" s="116">
        <v>4822.7</v>
      </c>
      <c r="R701">
        <v>39544</v>
      </c>
    </row>
    <row r="702" spans="1:18" x14ac:dyDescent="0.25">
      <c r="A702" s="170">
        <v>45309</v>
      </c>
      <c r="B702" s="116">
        <v>4882.45</v>
      </c>
      <c r="C702" s="116">
        <v>4694</v>
      </c>
      <c r="D702" s="116">
        <v>4651.8500000000004</v>
      </c>
      <c r="E702" s="116">
        <v>4825.1499999999996</v>
      </c>
      <c r="F702" s="116">
        <v>4694</v>
      </c>
      <c r="G702">
        <v>5390</v>
      </c>
      <c r="H702" s="116"/>
      <c r="I702" s="116"/>
      <c r="L702" s="170">
        <v>45309</v>
      </c>
      <c r="M702" s="116">
        <v>4698.55</v>
      </c>
      <c r="N702" s="116">
        <v>4886</v>
      </c>
      <c r="O702" s="116">
        <v>4655.05</v>
      </c>
      <c r="P702" s="116">
        <v>4846.75</v>
      </c>
      <c r="Q702" s="116">
        <v>4698.55</v>
      </c>
      <c r="R702">
        <v>47651</v>
      </c>
    </row>
    <row r="703" spans="1:18" x14ac:dyDescent="0.25">
      <c r="A703" s="170">
        <v>45310</v>
      </c>
      <c r="B703" s="116">
        <v>4800</v>
      </c>
      <c r="C703" s="116">
        <v>4665.7</v>
      </c>
      <c r="D703" s="116">
        <v>4641</v>
      </c>
      <c r="E703" s="116">
        <v>4707.3999999999996</v>
      </c>
      <c r="F703" s="116">
        <v>4665.7</v>
      </c>
      <c r="G703">
        <v>2302</v>
      </c>
      <c r="H703" s="116"/>
      <c r="I703" s="116"/>
      <c r="L703" s="170">
        <v>45310</v>
      </c>
      <c r="M703" s="116">
        <v>4666.55</v>
      </c>
      <c r="N703" s="116">
        <v>4794</v>
      </c>
      <c r="O703" s="116">
        <v>4648.5</v>
      </c>
      <c r="P703" s="116">
        <v>4738.6000000000004</v>
      </c>
      <c r="Q703" s="116">
        <v>4666.55</v>
      </c>
      <c r="R703">
        <v>35910</v>
      </c>
    </row>
    <row r="704" spans="1:18" x14ac:dyDescent="0.25">
      <c r="A704" s="170">
        <v>45311</v>
      </c>
      <c r="B704" s="116">
        <v>4839.5</v>
      </c>
      <c r="C704" s="116">
        <v>4799.8</v>
      </c>
      <c r="D704" s="116">
        <v>4641</v>
      </c>
      <c r="E704" s="116">
        <v>4650</v>
      </c>
      <c r="F704" s="116">
        <v>4799.8</v>
      </c>
      <c r="G704">
        <v>1132</v>
      </c>
      <c r="H704" s="116"/>
      <c r="I704" s="116"/>
      <c r="L704" s="170">
        <v>45311</v>
      </c>
      <c r="M704" s="116">
        <v>4801.6499999999996</v>
      </c>
      <c r="N704" s="116">
        <v>4839</v>
      </c>
      <c r="O704" s="116">
        <v>4610.2</v>
      </c>
      <c r="P704" s="116">
        <v>4610.2</v>
      </c>
      <c r="Q704" s="116">
        <v>4801.6499999999996</v>
      </c>
      <c r="R704">
        <v>21847</v>
      </c>
    </row>
    <row r="705" spans="1:18" x14ac:dyDescent="0.25">
      <c r="A705" s="170">
        <v>45314</v>
      </c>
      <c r="B705" s="116">
        <v>4833.1499999999996</v>
      </c>
      <c r="C705" s="116">
        <v>4689.55</v>
      </c>
      <c r="D705" s="116">
        <v>4655.25</v>
      </c>
      <c r="E705" s="116">
        <v>4790</v>
      </c>
      <c r="F705" s="116">
        <v>4689.55</v>
      </c>
      <c r="G705">
        <v>2099</v>
      </c>
      <c r="H705" s="116"/>
      <c r="I705" s="116"/>
      <c r="L705" s="170">
        <v>45314</v>
      </c>
      <c r="M705" s="116">
        <v>4684.75</v>
      </c>
      <c r="N705" s="116">
        <v>4836</v>
      </c>
      <c r="O705" s="116">
        <v>4652.25</v>
      </c>
      <c r="P705" s="116">
        <v>4813.45</v>
      </c>
      <c r="Q705" s="116">
        <v>4684.75</v>
      </c>
      <c r="R705">
        <v>38419</v>
      </c>
    </row>
    <row r="706" spans="1:18" x14ac:dyDescent="0.25">
      <c r="A706" s="170">
        <v>45315</v>
      </c>
      <c r="B706" s="116">
        <v>4793.3500000000004</v>
      </c>
      <c r="C706" s="116">
        <v>4780.8</v>
      </c>
      <c r="D706" s="116">
        <v>4673.3999999999996</v>
      </c>
      <c r="E706" s="116">
        <v>4789</v>
      </c>
      <c r="F706" s="116">
        <v>4780.8</v>
      </c>
      <c r="G706">
        <v>2893</v>
      </c>
      <c r="H706" s="116"/>
      <c r="I706" s="116"/>
      <c r="L706" s="170">
        <v>45315</v>
      </c>
      <c r="M706" s="116">
        <v>4778.3999999999996</v>
      </c>
      <c r="N706" s="116">
        <v>4800.5</v>
      </c>
      <c r="O706" s="116">
        <v>4674.55</v>
      </c>
      <c r="P706" s="116">
        <v>4799.8</v>
      </c>
      <c r="Q706" s="116">
        <v>4778.3999999999996</v>
      </c>
      <c r="R706">
        <v>24881</v>
      </c>
    </row>
    <row r="707" spans="1:18" x14ac:dyDescent="0.25">
      <c r="A707" s="170">
        <v>45316</v>
      </c>
      <c r="B707" s="116">
        <v>4817.3500000000004</v>
      </c>
      <c r="C707" s="116">
        <v>4746.2</v>
      </c>
      <c r="D707" s="116">
        <v>4664.3999999999996</v>
      </c>
      <c r="E707" s="116">
        <v>4817.3500000000004</v>
      </c>
      <c r="F707" s="116">
        <v>4746.2</v>
      </c>
      <c r="G707">
        <v>2373</v>
      </c>
      <c r="H707" s="116"/>
      <c r="I707" s="116"/>
      <c r="L707" s="170">
        <v>45316</v>
      </c>
      <c r="M707" s="116">
        <v>4749</v>
      </c>
      <c r="N707" s="116">
        <v>4800</v>
      </c>
      <c r="O707" s="116">
        <v>4663.25</v>
      </c>
      <c r="P707" s="116">
        <v>4800</v>
      </c>
      <c r="Q707" s="116">
        <v>4749</v>
      </c>
      <c r="R707">
        <v>29326</v>
      </c>
    </row>
    <row r="708" spans="1:18" x14ac:dyDescent="0.25">
      <c r="A708" s="170">
        <v>45320</v>
      </c>
      <c r="B708" s="116">
        <v>4863.6000000000004</v>
      </c>
      <c r="C708" s="116">
        <v>4673.8500000000004</v>
      </c>
      <c r="D708" s="116">
        <v>4643.2</v>
      </c>
      <c r="E708" s="116">
        <v>4750</v>
      </c>
      <c r="F708" s="116">
        <v>4673.8500000000004</v>
      </c>
      <c r="G708">
        <v>2014</v>
      </c>
      <c r="H708" s="116"/>
      <c r="I708" s="116"/>
      <c r="L708" s="170">
        <v>45320</v>
      </c>
      <c r="M708" s="116">
        <v>4673.5</v>
      </c>
      <c r="N708" s="116">
        <v>4870</v>
      </c>
      <c r="O708" s="116">
        <v>4640</v>
      </c>
      <c r="P708" s="116">
        <v>4749</v>
      </c>
      <c r="Q708" s="116">
        <v>4673.5</v>
      </c>
      <c r="R708">
        <v>133615</v>
      </c>
    </row>
    <row r="709" spans="1:18" x14ac:dyDescent="0.25">
      <c r="A709" s="170">
        <v>45321</v>
      </c>
      <c r="B709" s="116">
        <v>4739.8500000000004</v>
      </c>
      <c r="C709" s="116">
        <v>4518.8500000000004</v>
      </c>
      <c r="D709" s="116">
        <v>4502.05</v>
      </c>
      <c r="E709" s="116">
        <v>4739.8500000000004</v>
      </c>
      <c r="F709" s="116">
        <v>4518.8500000000004</v>
      </c>
      <c r="G709">
        <v>6550</v>
      </c>
      <c r="H709" s="116"/>
      <c r="I709" s="116"/>
      <c r="L709" s="170">
        <v>45321</v>
      </c>
      <c r="M709" s="116">
        <v>4515.05</v>
      </c>
      <c r="N709" s="116">
        <v>4731</v>
      </c>
      <c r="O709" s="116">
        <v>4500</v>
      </c>
      <c r="P709" s="116">
        <v>4697</v>
      </c>
      <c r="Q709" s="116">
        <v>4515.05</v>
      </c>
      <c r="R709">
        <v>98465</v>
      </c>
    </row>
    <row r="710" spans="1:18" x14ac:dyDescent="0.25">
      <c r="A710" s="170">
        <v>45322</v>
      </c>
      <c r="B710" s="116">
        <v>4554.95</v>
      </c>
      <c r="C710" s="116">
        <v>4374.55</v>
      </c>
      <c r="D710" s="116">
        <v>4340</v>
      </c>
      <c r="E710" s="116">
        <v>4529.3500000000004</v>
      </c>
      <c r="F710" s="116">
        <v>4374.55</v>
      </c>
      <c r="G710">
        <v>8717</v>
      </c>
      <c r="H710" s="116"/>
      <c r="I710" s="116"/>
      <c r="L710" s="170">
        <v>45322</v>
      </c>
      <c r="M710" s="116">
        <v>4376.3</v>
      </c>
      <c r="N710" s="116">
        <v>4548</v>
      </c>
      <c r="O710" s="116">
        <v>4341.05</v>
      </c>
      <c r="P710" s="116">
        <v>4548</v>
      </c>
      <c r="Q710" s="116">
        <v>4376.3</v>
      </c>
      <c r="R710">
        <v>180506</v>
      </c>
    </row>
    <row r="711" spans="1:18" x14ac:dyDescent="0.25">
      <c r="A711" s="170">
        <v>45323</v>
      </c>
      <c r="B711" s="116">
        <v>4541.55</v>
      </c>
      <c r="C711" s="116">
        <v>4329</v>
      </c>
      <c r="D711" s="116">
        <v>4300</v>
      </c>
      <c r="E711" s="116">
        <v>4378</v>
      </c>
      <c r="F711" s="116">
        <v>4329</v>
      </c>
      <c r="G711">
        <v>4490</v>
      </c>
      <c r="H711" s="116"/>
      <c r="I711" s="116"/>
      <c r="L711" s="170">
        <v>45323</v>
      </c>
      <c r="M711" s="116">
        <v>4324.75</v>
      </c>
      <c r="N711" s="116">
        <v>4581</v>
      </c>
      <c r="O711" s="116">
        <v>4292.2</v>
      </c>
      <c r="P711" s="116">
        <v>4377</v>
      </c>
      <c r="Q711" s="116">
        <v>4324.75</v>
      </c>
      <c r="R711">
        <v>120972</v>
      </c>
    </row>
    <row r="712" spans="1:18" x14ac:dyDescent="0.25">
      <c r="A712" s="170">
        <v>45324</v>
      </c>
      <c r="B712" s="116">
        <v>4389.75</v>
      </c>
      <c r="C712" s="116">
        <v>4256.3500000000004</v>
      </c>
      <c r="D712" s="116">
        <v>4240</v>
      </c>
      <c r="E712" s="116">
        <v>4329.3500000000004</v>
      </c>
      <c r="F712" s="116">
        <v>4256.3500000000004</v>
      </c>
      <c r="G712">
        <v>5602</v>
      </c>
      <c r="H712" s="116"/>
      <c r="I712" s="116"/>
      <c r="L712" s="170">
        <v>45324</v>
      </c>
      <c r="M712" s="116">
        <v>4253.1000000000004</v>
      </c>
      <c r="N712" s="116">
        <v>4390.8</v>
      </c>
      <c r="O712" s="116">
        <v>4235</v>
      </c>
      <c r="P712" s="116">
        <v>4359.95</v>
      </c>
      <c r="Q712" s="116">
        <v>4253.1000000000004</v>
      </c>
      <c r="R712">
        <v>83177</v>
      </c>
    </row>
    <row r="713" spans="1:18" x14ac:dyDescent="0.25">
      <c r="A713" s="170">
        <v>45327</v>
      </c>
      <c r="B713" s="116">
        <v>4311.3999999999996</v>
      </c>
      <c r="C713" s="116">
        <v>4185.25</v>
      </c>
      <c r="D713" s="116">
        <v>4165</v>
      </c>
      <c r="E713" s="116">
        <v>4250</v>
      </c>
      <c r="F713" s="116">
        <v>4185.25</v>
      </c>
      <c r="G713">
        <v>5349</v>
      </c>
      <c r="H713" s="116"/>
      <c r="I713" s="116"/>
      <c r="L713" s="170">
        <v>45327</v>
      </c>
      <c r="M713" s="116">
        <v>4175.1000000000004</v>
      </c>
      <c r="N713" s="116">
        <v>4314.75</v>
      </c>
      <c r="O713" s="116">
        <v>4103.5</v>
      </c>
      <c r="P713" s="116">
        <v>4254</v>
      </c>
      <c r="Q713" s="116">
        <v>4175.1000000000004</v>
      </c>
      <c r="R713">
        <v>51763</v>
      </c>
    </row>
    <row r="714" spans="1:18" x14ac:dyDescent="0.25">
      <c r="A714" s="170">
        <v>45328</v>
      </c>
      <c r="B714" s="116">
        <v>4239.5</v>
      </c>
      <c r="C714" s="116">
        <v>4130.7</v>
      </c>
      <c r="D714" s="116">
        <v>4109</v>
      </c>
      <c r="E714" s="116">
        <v>4185.25</v>
      </c>
      <c r="F714" s="116">
        <v>4130.7</v>
      </c>
      <c r="G714">
        <v>4370</v>
      </c>
      <c r="H714" s="116"/>
      <c r="I714" s="116"/>
      <c r="L714" s="170">
        <v>45328</v>
      </c>
      <c r="M714" s="116">
        <v>4130.75</v>
      </c>
      <c r="N714" s="116">
        <v>4238.25</v>
      </c>
      <c r="O714" s="116">
        <v>4111</v>
      </c>
      <c r="P714" s="116">
        <v>4188.6499999999996</v>
      </c>
      <c r="Q714" s="116">
        <v>4130.75</v>
      </c>
      <c r="R714">
        <v>64172</v>
      </c>
    </row>
    <row r="715" spans="1:18" x14ac:dyDescent="0.25">
      <c r="A715" s="170">
        <v>45329</v>
      </c>
      <c r="B715" s="116">
        <v>4297.3</v>
      </c>
      <c r="C715" s="116">
        <v>4186.3500000000004</v>
      </c>
      <c r="D715" s="116">
        <v>4150</v>
      </c>
      <c r="E715" s="116">
        <v>4229.75</v>
      </c>
      <c r="F715" s="116">
        <v>4186.3500000000004</v>
      </c>
      <c r="G715">
        <v>2461</v>
      </c>
      <c r="H715" s="116"/>
      <c r="I715" s="116"/>
      <c r="L715" s="170">
        <v>45329</v>
      </c>
      <c r="M715" s="116">
        <v>4182.75</v>
      </c>
      <c r="N715" s="116">
        <v>4296.6499999999996</v>
      </c>
      <c r="O715" s="116">
        <v>4141.05</v>
      </c>
      <c r="P715" s="116">
        <v>4189.8999999999996</v>
      </c>
      <c r="Q715" s="116">
        <v>4182.75</v>
      </c>
      <c r="R715">
        <v>65576</v>
      </c>
    </row>
    <row r="716" spans="1:18" x14ac:dyDescent="0.25">
      <c r="A716" s="170">
        <v>45330</v>
      </c>
      <c r="B716" s="116">
        <v>4200</v>
      </c>
      <c r="C716" s="116">
        <v>4068.9</v>
      </c>
      <c r="D716" s="116">
        <v>4045.05</v>
      </c>
      <c r="E716" s="116">
        <v>4200</v>
      </c>
      <c r="F716" s="116">
        <v>4068.9</v>
      </c>
      <c r="G716">
        <v>5761</v>
      </c>
      <c r="H716" s="116"/>
      <c r="I716" s="116"/>
      <c r="L716" s="170">
        <v>45330</v>
      </c>
      <c r="M716" s="116">
        <v>4066.7</v>
      </c>
      <c r="N716" s="116">
        <v>4199.1499999999996</v>
      </c>
      <c r="O716" s="116">
        <v>4042</v>
      </c>
      <c r="P716" s="116">
        <v>4185.45</v>
      </c>
      <c r="Q716" s="116">
        <v>4066.7</v>
      </c>
      <c r="R716">
        <v>78725</v>
      </c>
    </row>
    <row r="717" spans="1:18" x14ac:dyDescent="0.25">
      <c r="A717" s="170">
        <v>45331</v>
      </c>
      <c r="B717" s="116">
        <v>4173</v>
      </c>
      <c r="C717" s="116">
        <v>4161.75</v>
      </c>
      <c r="D717" s="116">
        <v>4030.35</v>
      </c>
      <c r="E717" s="116">
        <v>4070</v>
      </c>
      <c r="F717" s="116">
        <v>4161.75</v>
      </c>
      <c r="G717">
        <v>5087</v>
      </c>
      <c r="H717" s="116"/>
      <c r="I717" s="116"/>
      <c r="L717" s="170">
        <v>45331</v>
      </c>
      <c r="M717" s="116">
        <v>4157.05</v>
      </c>
      <c r="N717" s="116">
        <v>4189.7</v>
      </c>
      <c r="O717" s="116">
        <v>4028.05</v>
      </c>
      <c r="P717" s="116">
        <v>4067</v>
      </c>
      <c r="Q717" s="116">
        <v>4157.05</v>
      </c>
      <c r="R717">
        <v>26710</v>
      </c>
    </row>
    <row r="718" spans="1:18" x14ac:dyDescent="0.25">
      <c r="A718" s="170">
        <v>45334</v>
      </c>
      <c r="B718" s="116">
        <v>4248.7</v>
      </c>
      <c r="C718" s="116">
        <v>4114</v>
      </c>
      <c r="D718" s="116">
        <v>4105.05</v>
      </c>
      <c r="E718" s="116">
        <v>4180</v>
      </c>
      <c r="F718" s="116">
        <v>4114</v>
      </c>
      <c r="G718">
        <v>4344</v>
      </c>
      <c r="H718" s="116"/>
      <c r="I718" s="116"/>
      <c r="L718" s="170">
        <v>45334</v>
      </c>
      <c r="M718" s="116">
        <v>4121</v>
      </c>
      <c r="N718" s="116">
        <v>4250.6499999999996</v>
      </c>
      <c r="O718" s="116">
        <v>4102.7</v>
      </c>
      <c r="P718" s="116">
        <v>4180</v>
      </c>
      <c r="Q718" s="116">
        <v>4121</v>
      </c>
      <c r="R718">
        <v>45539</v>
      </c>
    </row>
    <row r="719" spans="1:18" x14ac:dyDescent="0.25">
      <c r="A719" s="170">
        <v>45335</v>
      </c>
      <c r="B719" s="116">
        <v>4225.8999999999996</v>
      </c>
      <c r="C719" s="116">
        <v>4195.2</v>
      </c>
      <c r="D719" s="116">
        <v>4075</v>
      </c>
      <c r="E719" s="116">
        <v>4126.95</v>
      </c>
      <c r="F719" s="116">
        <v>4195.2</v>
      </c>
      <c r="G719">
        <v>1287</v>
      </c>
      <c r="H719" s="116"/>
      <c r="I719" s="116"/>
      <c r="L719" s="170">
        <v>45335</v>
      </c>
      <c r="M719" s="116">
        <v>4190.8500000000004</v>
      </c>
      <c r="N719" s="116">
        <v>4223.3999999999996</v>
      </c>
      <c r="O719" s="116">
        <v>4068</v>
      </c>
      <c r="P719" s="116">
        <v>4141.6000000000004</v>
      </c>
      <c r="Q719" s="116">
        <v>4190.8500000000004</v>
      </c>
      <c r="R719">
        <v>46227</v>
      </c>
    </row>
    <row r="720" spans="1:18" x14ac:dyDescent="0.25">
      <c r="A720" s="170">
        <v>45336</v>
      </c>
      <c r="B720" s="116">
        <v>4242</v>
      </c>
      <c r="C720" s="116">
        <v>4229.5</v>
      </c>
      <c r="D720" s="116">
        <v>4120</v>
      </c>
      <c r="E720" s="116">
        <v>4125.55</v>
      </c>
      <c r="F720" s="116">
        <v>4229.5</v>
      </c>
      <c r="G720">
        <v>2811</v>
      </c>
      <c r="H720" s="116"/>
      <c r="I720" s="116"/>
      <c r="L720" s="170">
        <v>45336</v>
      </c>
      <c r="M720" s="116">
        <v>4234.1499999999996</v>
      </c>
      <c r="N720" s="116">
        <v>4245</v>
      </c>
      <c r="O720" s="116">
        <v>4105.3999999999996</v>
      </c>
      <c r="P720" s="116">
        <v>4190.8500000000004</v>
      </c>
      <c r="Q720" s="116">
        <v>4234.1499999999996</v>
      </c>
      <c r="R720">
        <v>21389</v>
      </c>
    </row>
    <row r="721" spans="1:18" x14ac:dyDescent="0.25">
      <c r="A721" s="170">
        <v>45337</v>
      </c>
      <c r="B721" s="116">
        <v>4309.75</v>
      </c>
      <c r="C721" s="116">
        <v>4275.3999999999996</v>
      </c>
      <c r="D721" s="116">
        <v>4242</v>
      </c>
      <c r="E721" s="116">
        <v>4250</v>
      </c>
      <c r="F721" s="116">
        <v>4275.3999999999996</v>
      </c>
      <c r="G721">
        <v>1042</v>
      </c>
      <c r="H721" s="116"/>
      <c r="I721" s="116"/>
      <c r="L721" s="170">
        <v>45337</v>
      </c>
      <c r="M721" s="116">
        <v>4270.1000000000004</v>
      </c>
      <c r="N721" s="116">
        <v>4311.95</v>
      </c>
      <c r="O721" s="116">
        <v>4235</v>
      </c>
      <c r="P721" s="116">
        <v>4254</v>
      </c>
      <c r="Q721" s="116">
        <v>4270.1000000000004</v>
      </c>
      <c r="R721">
        <v>23965</v>
      </c>
    </row>
    <row r="722" spans="1:18" x14ac:dyDescent="0.25">
      <c r="A722" s="170">
        <v>45338</v>
      </c>
      <c r="B722" s="116">
        <v>4352.45</v>
      </c>
      <c r="C722" s="116">
        <v>4331.3</v>
      </c>
      <c r="D722" s="116">
        <v>4249.8</v>
      </c>
      <c r="E722" s="116">
        <v>4274.95</v>
      </c>
      <c r="F722" s="116">
        <v>4331.3</v>
      </c>
      <c r="G722">
        <v>3070</v>
      </c>
      <c r="H722" s="116"/>
      <c r="I722" s="116"/>
      <c r="L722" s="170">
        <v>45338</v>
      </c>
      <c r="M722" s="116">
        <v>4313.7</v>
      </c>
      <c r="N722" s="116">
        <v>4388.8</v>
      </c>
      <c r="O722" s="116">
        <v>4242.55</v>
      </c>
      <c r="P722" s="116">
        <v>4270</v>
      </c>
      <c r="Q722" s="116">
        <v>4313.7</v>
      </c>
      <c r="R722">
        <v>91594</v>
      </c>
    </row>
    <row r="723" spans="1:18" x14ac:dyDescent="0.25">
      <c r="A723" s="170">
        <v>45341</v>
      </c>
      <c r="B723" s="116">
        <v>4375</v>
      </c>
      <c r="C723" s="116">
        <v>4328.7</v>
      </c>
      <c r="D723" s="116">
        <v>4309.8500000000004</v>
      </c>
      <c r="E723" s="116">
        <v>4344.6499999999996</v>
      </c>
      <c r="F723" s="116">
        <v>4328.7</v>
      </c>
      <c r="G723">
        <v>2308</v>
      </c>
      <c r="H723" s="116"/>
      <c r="I723" s="116"/>
      <c r="L723" s="170">
        <v>45341</v>
      </c>
      <c r="M723" s="116">
        <v>4331.8500000000004</v>
      </c>
      <c r="N723" s="116">
        <v>4377</v>
      </c>
      <c r="O723" s="116">
        <v>4308</v>
      </c>
      <c r="P723" s="116">
        <v>4349.8999999999996</v>
      </c>
      <c r="Q723" s="116">
        <v>4331.8500000000004</v>
      </c>
      <c r="R723">
        <v>19509</v>
      </c>
    </row>
    <row r="724" spans="1:18" x14ac:dyDescent="0.25">
      <c r="A724" s="170">
        <v>45342</v>
      </c>
      <c r="B724" s="116">
        <v>4494.05</v>
      </c>
      <c r="C724" s="116">
        <v>4452</v>
      </c>
      <c r="D724" s="116">
        <v>4330</v>
      </c>
      <c r="E724" s="116">
        <v>4349.8999999999996</v>
      </c>
      <c r="F724" s="116">
        <v>4452</v>
      </c>
      <c r="G724">
        <v>2063</v>
      </c>
      <c r="H724" s="116"/>
      <c r="I724" s="116"/>
      <c r="L724" s="170">
        <v>45342</v>
      </c>
      <c r="M724" s="116">
        <v>4453.25</v>
      </c>
      <c r="N724" s="116">
        <v>4493.8999999999996</v>
      </c>
      <c r="O724" s="116">
        <v>4326.25</v>
      </c>
      <c r="P724" s="116">
        <v>4344.8999999999996</v>
      </c>
      <c r="Q724" s="116">
        <v>4453.25</v>
      </c>
      <c r="R724">
        <v>65268</v>
      </c>
    </row>
    <row r="725" spans="1:18" x14ac:dyDescent="0.25">
      <c r="A725" s="170">
        <v>45343</v>
      </c>
      <c r="B725" s="116">
        <v>4530.5</v>
      </c>
      <c r="C725" s="116">
        <v>4411.3999999999996</v>
      </c>
      <c r="D725" s="116">
        <v>4400</v>
      </c>
      <c r="E725" s="116">
        <v>4530.5</v>
      </c>
      <c r="F725" s="116">
        <v>4411.3999999999996</v>
      </c>
      <c r="G725">
        <v>1454</v>
      </c>
      <c r="H725" s="116"/>
      <c r="I725" s="116"/>
      <c r="L725" s="170">
        <v>45343</v>
      </c>
      <c r="M725" s="116">
        <v>4407.8999999999996</v>
      </c>
      <c r="N725" s="116">
        <v>4525</v>
      </c>
      <c r="O725" s="116">
        <v>4390</v>
      </c>
      <c r="P725" s="116">
        <v>4525</v>
      </c>
      <c r="Q725" s="116">
        <v>4407.8999999999996</v>
      </c>
      <c r="R725">
        <v>24298</v>
      </c>
    </row>
    <row r="726" spans="1:18" x14ac:dyDescent="0.25">
      <c r="A726" s="170">
        <v>45344</v>
      </c>
      <c r="B726" s="116">
        <v>4411.3999999999996</v>
      </c>
      <c r="C726" s="116">
        <v>4343.45</v>
      </c>
      <c r="D726" s="116">
        <v>4315.95</v>
      </c>
      <c r="E726" s="116">
        <v>4411</v>
      </c>
      <c r="F726" s="116">
        <v>4343.45</v>
      </c>
      <c r="G726">
        <v>1585</v>
      </c>
      <c r="H726" s="116"/>
      <c r="I726" s="116"/>
      <c r="L726" s="170">
        <v>45344</v>
      </c>
      <c r="M726" s="116">
        <v>4350.25</v>
      </c>
      <c r="N726" s="116">
        <v>4450.8500000000004</v>
      </c>
      <c r="O726" s="116">
        <v>4340</v>
      </c>
      <c r="P726" s="116">
        <v>4447.8999999999996</v>
      </c>
      <c r="Q726" s="116">
        <v>4350.25</v>
      </c>
      <c r="R726">
        <v>16944</v>
      </c>
    </row>
    <row r="727" spans="1:18" x14ac:dyDescent="0.25">
      <c r="A727" s="170">
        <v>45345</v>
      </c>
      <c r="B727" s="116">
        <v>4430.3500000000004</v>
      </c>
      <c r="C727" s="116">
        <v>4345.5</v>
      </c>
      <c r="D727" s="116">
        <v>4302.3</v>
      </c>
      <c r="E727" s="116">
        <v>4430.3500000000004</v>
      </c>
      <c r="F727" s="116">
        <v>4345.5</v>
      </c>
      <c r="G727">
        <v>441</v>
      </c>
      <c r="H727" s="116"/>
      <c r="I727" s="116"/>
      <c r="L727" s="170">
        <v>45345</v>
      </c>
      <c r="M727" s="116">
        <v>4347.95</v>
      </c>
      <c r="N727" s="116">
        <v>4367.45</v>
      </c>
      <c r="O727" s="116">
        <v>4300.25</v>
      </c>
      <c r="P727" s="116">
        <v>4340</v>
      </c>
      <c r="Q727" s="116">
        <v>4347.95</v>
      </c>
      <c r="R727">
        <v>13906</v>
      </c>
    </row>
    <row r="728" spans="1:18" x14ac:dyDescent="0.25">
      <c r="A728" s="170">
        <v>45348</v>
      </c>
      <c r="B728" s="116">
        <v>4390.75</v>
      </c>
      <c r="C728" s="116">
        <v>4317.25</v>
      </c>
      <c r="D728" s="116">
        <v>4287</v>
      </c>
      <c r="E728" s="116">
        <v>4379.6499999999996</v>
      </c>
      <c r="F728" s="116">
        <v>4317.25</v>
      </c>
      <c r="G728">
        <v>1565</v>
      </c>
      <c r="H728" s="116"/>
      <c r="I728" s="116"/>
      <c r="L728" s="170">
        <v>45348</v>
      </c>
      <c r="M728" s="116">
        <v>4333.5</v>
      </c>
      <c r="N728" s="116">
        <v>4398</v>
      </c>
      <c r="O728" s="116">
        <v>4294</v>
      </c>
      <c r="P728" s="116">
        <v>4331</v>
      </c>
      <c r="Q728" s="116">
        <v>4333.5</v>
      </c>
      <c r="R728">
        <v>16525</v>
      </c>
    </row>
    <row r="729" spans="1:18" x14ac:dyDescent="0.25">
      <c r="A729" s="170">
        <v>45349</v>
      </c>
      <c r="B729" s="116">
        <v>4372</v>
      </c>
      <c r="C729" s="116">
        <v>4261</v>
      </c>
      <c r="D729" s="116">
        <v>4257</v>
      </c>
      <c r="E729" s="116">
        <v>4333.2</v>
      </c>
      <c r="F729" s="116">
        <v>4261</v>
      </c>
      <c r="G729">
        <v>616</v>
      </c>
      <c r="H729" s="116"/>
      <c r="I729" s="116"/>
      <c r="L729" s="170">
        <v>45349</v>
      </c>
      <c r="M729" s="116">
        <v>4264</v>
      </c>
      <c r="N729" s="116">
        <v>4385</v>
      </c>
      <c r="O729" s="116">
        <v>4252</v>
      </c>
      <c r="P729" s="116">
        <v>4350</v>
      </c>
      <c r="Q729" s="116">
        <v>4264</v>
      </c>
      <c r="R729">
        <v>44229</v>
      </c>
    </row>
    <row r="730" spans="1:18" x14ac:dyDescent="0.25">
      <c r="A730" s="170">
        <v>45350</v>
      </c>
      <c r="B730" s="116">
        <v>4294.3500000000004</v>
      </c>
      <c r="C730" s="116">
        <v>4252.8999999999996</v>
      </c>
      <c r="D730" s="116">
        <v>4200.05</v>
      </c>
      <c r="E730" s="116">
        <v>4200.05</v>
      </c>
      <c r="F730" s="116">
        <v>4252.8999999999996</v>
      </c>
      <c r="G730">
        <v>978</v>
      </c>
      <c r="H730" s="116"/>
      <c r="I730" s="116"/>
      <c r="L730" s="170">
        <v>45350</v>
      </c>
      <c r="M730" s="116">
        <v>4253.5</v>
      </c>
      <c r="N730" s="116">
        <v>4324.95</v>
      </c>
      <c r="O730" s="116">
        <v>4225.05</v>
      </c>
      <c r="P730" s="116">
        <v>4257</v>
      </c>
      <c r="Q730" s="116">
        <v>4253.5</v>
      </c>
      <c r="R730">
        <v>17313</v>
      </c>
    </row>
    <row r="731" spans="1:18" x14ac:dyDescent="0.25">
      <c r="A731" s="170">
        <v>45351</v>
      </c>
      <c r="B731" s="116">
        <v>4261.3999999999996</v>
      </c>
      <c r="C731" s="116">
        <v>4205.1000000000004</v>
      </c>
      <c r="D731" s="116">
        <v>4171</v>
      </c>
      <c r="E731" s="116">
        <v>4246.2</v>
      </c>
      <c r="F731" s="116">
        <v>4205.1000000000004</v>
      </c>
      <c r="G731">
        <v>877</v>
      </c>
      <c r="H731" s="116"/>
      <c r="I731" s="116"/>
      <c r="L731" s="170">
        <v>45351</v>
      </c>
      <c r="M731" s="116">
        <v>4188.8500000000004</v>
      </c>
      <c r="N731" s="116">
        <v>4275</v>
      </c>
      <c r="O731" s="116">
        <v>4160</v>
      </c>
      <c r="P731" s="116">
        <v>4260</v>
      </c>
      <c r="Q731" s="116">
        <v>4188.8500000000004</v>
      </c>
      <c r="R731">
        <v>25274</v>
      </c>
    </row>
    <row r="732" spans="1:18" x14ac:dyDescent="0.25">
      <c r="A732" s="170">
        <v>45352</v>
      </c>
      <c r="B732" s="116">
        <v>4325</v>
      </c>
      <c r="C732" s="116">
        <v>4280.7</v>
      </c>
      <c r="D732" s="116">
        <v>4236.5</v>
      </c>
      <c r="E732" s="116">
        <v>4236.55</v>
      </c>
      <c r="F732" s="116">
        <v>4280.7</v>
      </c>
      <c r="G732">
        <v>1802</v>
      </c>
      <c r="H732" s="116"/>
      <c r="I732" s="116"/>
      <c r="L732" s="170">
        <v>45352</v>
      </c>
      <c r="M732" s="116">
        <v>4290.05</v>
      </c>
      <c r="N732" s="116">
        <v>4324</v>
      </c>
      <c r="O732" s="116">
        <v>4230.1000000000004</v>
      </c>
      <c r="P732" s="116">
        <v>4274.95</v>
      </c>
      <c r="Q732" s="116">
        <v>4290.05</v>
      </c>
      <c r="R732">
        <v>25481</v>
      </c>
    </row>
    <row r="733" spans="1:18" x14ac:dyDescent="0.25">
      <c r="A733" s="170">
        <v>45353</v>
      </c>
      <c r="B733" s="116">
        <v>4394.7</v>
      </c>
      <c r="C733" s="116">
        <v>4285.95</v>
      </c>
      <c r="D733" s="116">
        <v>4204</v>
      </c>
      <c r="E733" s="116">
        <v>4280.75</v>
      </c>
      <c r="F733" s="116">
        <v>4285.95</v>
      </c>
      <c r="G733">
        <v>77</v>
      </c>
      <c r="H733" s="116"/>
      <c r="I733" s="116"/>
      <c r="L733" s="170">
        <v>45353</v>
      </c>
      <c r="M733" s="116">
        <v>4288.2</v>
      </c>
      <c r="N733" s="116">
        <v>4315</v>
      </c>
      <c r="O733" s="116">
        <v>4252</v>
      </c>
      <c r="P733" s="116">
        <v>4315</v>
      </c>
      <c r="Q733" s="116">
        <v>4288.2</v>
      </c>
      <c r="R733">
        <v>1938</v>
      </c>
    </row>
    <row r="734" spans="1:18" x14ac:dyDescent="0.25">
      <c r="A734" s="170">
        <v>45355</v>
      </c>
      <c r="B734" s="116">
        <v>4327.6499999999996</v>
      </c>
      <c r="C734" s="116">
        <v>4245.6000000000004</v>
      </c>
      <c r="D734" s="116">
        <v>4204.1000000000004</v>
      </c>
      <c r="E734" s="116">
        <v>4327.6499999999996</v>
      </c>
      <c r="F734" s="116">
        <v>4245.6000000000004</v>
      </c>
      <c r="G734">
        <v>678</v>
      </c>
      <c r="H734" s="116"/>
      <c r="I734" s="116"/>
      <c r="L734" s="170">
        <v>45355</v>
      </c>
      <c r="M734" s="116">
        <v>4239.25</v>
      </c>
      <c r="N734" s="116">
        <v>4319.95</v>
      </c>
      <c r="O734" s="116">
        <v>4204</v>
      </c>
      <c r="P734" s="116">
        <v>4305.3</v>
      </c>
      <c r="Q734" s="116">
        <v>4239.25</v>
      </c>
      <c r="R734">
        <v>17140</v>
      </c>
    </row>
    <row r="735" spans="1:18" x14ac:dyDescent="0.25">
      <c r="A735" s="170">
        <v>45356</v>
      </c>
      <c r="B735" s="116">
        <v>4239.45</v>
      </c>
      <c r="C735" s="116">
        <v>4131.1499999999996</v>
      </c>
      <c r="D735" s="116">
        <v>4093.05</v>
      </c>
      <c r="E735" s="116">
        <v>4239.45</v>
      </c>
      <c r="F735" s="116">
        <v>4131.1499999999996</v>
      </c>
      <c r="G735">
        <v>4325</v>
      </c>
      <c r="H735" s="116"/>
      <c r="I735" s="116"/>
      <c r="L735" s="170">
        <v>45356</v>
      </c>
      <c r="M735" s="116">
        <v>4128.55</v>
      </c>
      <c r="N735" s="116">
        <v>4239.8</v>
      </c>
      <c r="O735" s="116">
        <v>4090.05</v>
      </c>
      <c r="P735" s="116">
        <v>4199.2</v>
      </c>
      <c r="Q735" s="116">
        <v>4128.55</v>
      </c>
      <c r="R735">
        <v>57340</v>
      </c>
    </row>
    <row r="736" spans="1:18" x14ac:dyDescent="0.25">
      <c r="A736" s="170">
        <v>45357</v>
      </c>
      <c r="B736" s="116">
        <v>4254.8500000000004</v>
      </c>
      <c r="C736" s="116">
        <v>4148.2</v>
      </c>
      <c r="D736" s="116">
        <v>4058.8</v>
      </c>
      <c r="E736" s="116">
        <v>4254.8500000000004</v>
      </c>
      <c r="F736" s="116">
        <v>4148.2</v>
      </c>
      <c r="G736">
        <v>2916</v>
      </c>
      <c r="H736" s="116"/>
      <c r="I736" s="116"/>
      <c r="L736" s="170">
        <v>45357</v>
      </c>
      <c r="M736" s="116">
        <v>4165.95</v>
      </c>
      <c r="N736" s="116">
        <v>4200</v>
      </c>
      <c r="O736" s="116">
        <v>4056.1</v>
      </c>
      <c r="P736" s="116">
        <v>4151</v>
      </c>
      <c r="Q736" s="116">
        <v>4165.95</v>
      </c>
      <c r="R736">
        <v>44331</v>
      </c>
    </row>
    <row r="737" spans="1:18" x14ac:dyDescent="0.25">
      <c r="A737" s="170">
        <v>45358</v>
      </c>
      <c r="B737" s="116">
        <v>4148.2</v>
      </c>
      <c r="C737" s="116">
        <v>4130.95</v>
      </c>
      <c r="D737" s="116">
        <v>4083.55</v>
      </c>
      <c r="E737" s="116">
        <v>4148.2</v>
      </c>
      <c r="F737" s="116">
        <v>4130.95</v>
      </c>
      <c r="G737">
        <v>703</v>
      </c>
      <c r="H737" s="116"/>
      <c r="I737" s="116"/>
      <c r="L737" s="170">
        <v>45358</v>
      </c>
      <c r="M737" s="116">
        <v>4131.05</v>
      </c>
      <c r="N737" s="116">
        <v>4150.95</v>
      </c>
      <c r="O737" s="116">
        <v>4085</v>
      </c>
      <c r="P737" s="116">
        <v>4110</v>
      </c>
      <c r="Q737" s="116">
        <v>4131.05</v>
      </c>
      <c r="R737">
        <v>30808</v>
      </c>
    </row>
    <row r="738" spans="1:18" x14ac:dyDescent="0.25">
      <c r="A738" s="170">
        <v>45362</v>
      </c>
      <c r="B738" s="116">
        <v>4194.6499999999996</v>
      </c>
      <c r="C738" s="116">
        <v>4028.85</v>
      </c>
      <c r="D738" s="116">
        <v>4020.6</v>
      </c>
      <c r="E738" s="116">
        <v>4194.6499999999996</v>
      </c>
      <c r="F738" s="116">
        <v>4028.85</v>
      </c>
      <c r="G738">
        <v>1006</v>
      </c>
      <c r="H738" s="116"/>
      <c r="I738" s="116"/>
      <c r="L738" s="170">
        <v>45362</v>
      </c>
      <c r="M738" s="116">
        <v>4029.45</v>
      </c>
      <c r="N738" s="116">
        <v>4168.3999999999996</v>
      </c>
      <c r="O738" s="116">
        <v>4020</v>
      </c>
      <c r="P738" s="116">
        <v>4131.1000000000004</v>
      </c>
      <c r="Q738" s="116">
        <v>4029.45</v>
      </c>
      <c r="R738">
        <v>32207</v>
      </c>
    </row>
    <row r="739" spans="1:18" x14ac:dyDescent="0.25">
      <c r="A739" s="170">
        <v>45363</v>
      </c>
      <c r="B739" s="116">
        <v>4112.8500000000004</v>
      </c>
      <c r="C739" s="116">
        <v>4007.95</v>
      </c>
      <c r="D739" s="116">
        <v>3999.1</v>
      </c>
      <c r="E739" s="116">
        <v>4109.1499999999996</v>
      </c>
      <c r="F739" s="116">
        <v>4007.95</v>
      </c>
      <c r="G739">
        <v>1927</v>
      </c>
      <c r="H739" s="116"/>
      <c r="I739" s="116"/>
      <c r="L739" s="170">
        <v>45363</v>
      </c>
      <c r="M739" s="116">
        <v>4002.6</v>
      </c>
      <c r="N739" s="116">
        <v>4115.95</v>
      </c>
      <c r="O739" s="116">
        <v>3986</v>
      </c>
      <c r="P739" s="116">
        <v>4065.05</v>
      </c>
      <c r="Q739" s="116">
        <v>4002.6</v>
      </c>
      <c r="R739">
        <v>31161</v>
      </c>
    </row>
    <row r="740" spans="1:18" x14ac:dyDescent="0.25">
      <c r="A740" s="170">
        <v>45364</v>
      </c>
      <c r="B740" s="116">
        <v>4030.2</v>
      </c>
      <c r="C740" s="116">
        <v>3841.15</v>
      </c>
      <c r="D740" s="116">
        <v>3791</v>
      </c>
      <c r="E740" s="116">
        <v>4030.2</v>
      </c>
      <c r="F740" s="116">
        <v>3841.15</v>
      </c>
      <c r="G740">
        <v>6779</v>
      </c>
      <c r="H740" s="116"/>
      <c r="I740" s="116"/>
      <c r="L740" s="170">
        <v>45364</v>
      </c>
      <c r="M740" s="116">
        <v>3851.4</v>
      </c>
      <c r="N740" s="116">
        <v>4030.45</v>
      </c>
      <c r="O740" s="116">
        <v>3793.65</v>
      </c>
      <c r="P740" s="116">
        <v>4029.95</v>
      </c>
      <c r="Q740" s="116">
        <v>3851.4</v>
      </c>
      <c r="R740">
        <v>96254</v>
      </c>
    </row>
    <row r="741" spans="1:18" x14ac:dyDescent="0.25">
      <c r="A741" s="170">
        <v>45365</v>
      </c>
      <c r="B741" s="116">
        <v>3973</v>
      </c>
      <c r="C741" s="116">
        <v>3924.35</v>
      </c>
      <c r="D741" s="116">
        <v>3800.05</v>
      </c>
      <c r="E741" s="116">
        <v>3918</v>
      </c>
      <c r="F741" s="116">
        <v>3924.35</v>
      </c>
      <c r="G741">
        <v>1752</v>
      </c>
      <c r="H741" s="116"/>
      <c r="I741" s="116"/>
      <c r="L741" s="170">
        <v>45365</v>
      </c>
      <c r="M741" s="116">
        <v>3924.55</v>
      </c>
      <c r="N741" s="116">
        <v>3980</v>
      </c>
      <c r="O741" s="116">
        <v>3801</v>
      </c>
      <c r="P741" s="116">
        <v>3825</v>
      </c>
      <c r="Q741" s="116">
        <v>3924.55</v>
      </c>
      <c r="R741">
        <v>46578</v>
      </c>
    </row>
    <row r="742" spans="1:18" x14ac:dyDescent="0.25">
      <c r="A742" s="170">
        <v>45366</v>
      </c>
      <c r="B742" s="116">
        <v>4050</v>
      </c>
      <c r="C742" s="116">
        <v>4032.6</v>
      </c>
      <c r="D742" s="116">
        <v>3906</v>
      </c>
      <c r="E742" s="116">
        <v>4049.95</v>
      </c>
      <c r="F742" s="116">
        <v>4032.6</v>
      </c>
      <c r="G742">
        <v>2018</v>
      </c>
      <c r="H742" s="116"/>
      <c r="I742" s="116"/>
      <c r="L742" s="170">
        <v>45366</v>
      </c>
      <c r="M742" s="116">
        <v>4033.1</v>
      </c>
      <c r="N742" s="116">
        <v>4050</v>
      </c>
      <c r="O742" s="116">
        <v>3897.15</v>
      </c>
      <c r="P742" s="116">
        <v>3954</v>
      </c>
      <c r="Q742" s="116">
        <v>4033.1</v>
      </c>
      <c r="R742">
        <v>30039</v>
      </c>
    </row>
    <row r="743" spans="1:18" x14ac:dyDescent="0.25">
      <c r="A743" s="170">
        <v>45369</v>
      </c>
      <c r="B743" s="116">
        <v>4099.6499999999996</v>
      </c>
      <c r="C743" s="116">
        <v>3913.9</v>
      </c>
      <c r="D743" s="116">
        <v>3874.7</v>
      </c>
      <c r="E743" s="116">
        <v>4099.6499999999996</v>
      </c>
      <c r="F743" s="116">
        <v>3913.9</v>
      </c>
      <c r="G743">
        <v>971</v>
      </c>
      <c r="H743" s="116"/>
      <c r="I743" s="116"/>
      <c r="L743" s="170">
        <v>45369</v>
      </c>
      <c r="M743" s="116">
        <v>3912.3</v>
      </c>
      <c r="N743" s="116">
        <v>4033.9</v>
      </c>
      <c r="O743" s="116">
        <v>3875</v>
      </c>
      <c r="P743" s="116">
        <v>4033.1</v>
      </c>
      <c r="Q743" s="116">
        <v>3912.3</v>
      </c>
      <c r="R743">
        <v>33359</v>
      </c>
    </row>
    <row r="744" spans="1:18" x14ac:dyDescent="0.25">
      <c r="A744" s="170">
        <v>45370</v>
      </c>
      <c r="B744" s="116">
        <v>3988.45</v>
      </c>
      <c r="C744" s="116">
        <v>3840.45</v>
      </c>
      <c r="D744" s="116">
        <v>3825</v>
      </c>
      <c r="E744" s="116">
        <v>3988.45</v>
      </c>
      <c r="F744" s="116">
        <v>3840.45</v>
      </c>
      <c r="G744">
        <v>2472</v>
      </c>
      <c r="H744" s="116"/>
      <c r="I744" s="116"/>
      <c r="L744" s="170">
        <v>45370</v>
      </c>
      <c r="M744" s="116">
        <v>3837.1</v>
      </c>
      <c r="N744" s="116">
        <v>3949</v>
      </c>
      <c r="O744" s="116">
        <v>3813.25</v>
      </c>
      <c r="P744" s="116">
        <v>3944</v>
      </c>
      <c r="Q744" s="116">
        <v>3837.1</v>
      </c>
      <c r="R744">
        <v>28229</v>
      </c>
    </row>
    <row r="745" spans="1:18" x14ac:dyDescent="0.25">
      <c r="A745" s="170">
        <v>45371</v>
      </c>
      <c r="B745" s="116">
        <v>3861.4</v>
      </c>
      <c r="C745" s="116">
        <v>3843.45</v>
      </c>
      <c r="D745" s="116">
        <v>3782.05</v>
      </c>
      <c r="E745" s="116">
        <v>3840</v>
      </c>
      <c r="F745" s="116">
        <v>3843.45</v>
      </c>
      <c r="G745">
        <v>3368</v>
      </c>
      <c r="H745" s="116"/>
      <c r="I745" s="116"/>
      <c r="L745" s="170">
        <v>45371</v>
      </c>
      <c r="M745" s="116">
        <v>3844.25</v>
      </c>
      <c r="N745" s="116">
        <v>3865.3</v>
      </c>
      <c r="O745" s="116">
        <v>3782.05</v>
      </c>
      <c r="P745" s="116">
        <v>3830</v>
      </c>
      <c r="Q745" s="116">
        <v>3844.25</v>
      </c>
      <c r="R745">
        <v>73471</v>
      </c>
    </row>
    <row r="746" spans="1:18" x14ac:dyDescent="0.25">
      <c r="A746" s="170">
        <v>45372</v>
      </c>
      <c r="B746" s="116">
        <v>4030</v>
      </c>
      <c r="C746" s="116">
        <v>3972.35</v>
      </c>
      <c r="D746" s="116">
        <v>3851.9</v>
      </c>
      <c r="E746" s="116">
        <v>3884.45</v>
      </c>
      <c r="F746" s="116">
        <v>3972.35</v>
      </c>
      <c r="G746">
        <v>2221</v>
      </c>
      <c r="H746" s="116"/>
      <c r="I746" s="116"/>
      <c r="L746" s="170">
        <v>45372</v>
      </c>
      <c r="M746" s="116">
        <v>3972.35</v>
      </c>
      <c r="N746" s="116">
        <v>4034.05</v>
      </c>
      <c r="O746" s="116">
        <v>3850</v>
      </c>
      <c r="P746" s="116">
        <v>3863.45</v>
      </c>
      <c r="Q746" s="116">
        <v>3972.35</v>
      </c>
      <c r="R746">
        <v>79963</v>
      </c>
    </row>
    <row r="747" spans="1:18" x14ac:dyDescent="0.25">
      <c r="A747" s="170">
        <v>45373</v>
      </c>
      <c r="B747" s="116">
        <v>4155</v>
      </c>
      <c r="C747" s="116">
        <v>4148.95</v>
      </c>
      <c r="D747" s="116">
        <v>3962.9</v>
      </c>
      <c r="E747" s="116">
        <v>4049.95</v>
      </c>
      <c r="F747" s="116">
        <v>4148.95</v>
      </c>
      <c r="G747">
        <v>4720</v>
      </c>
      <c r="H747" s="116"/>
      <c r="I747" s="116"/>
      <c r="L747" s="170">
        <v>45373</v>
      </c>
      <c r="M747" s="116">
        <v>4149.55</v>
      </c>
      <c r="N747" s="116">
        <v>4160</v>
      </c>
      <c r="O747" s="116">
        <v>3964.8</v>
      </c>
      <c r="P747" s="116">
        <v>3988.95</v>
      </c>
      <c r="Q747" s="116">
        <v>4149.55</v>
      </c>
      <c r="R747">
        <v>64305</v>
      </c>
    </row>
    <row r="748" spans="1:18" x14ac:dyDescent="0.25">
      <c r="A748" s="170">
        <v>45377</v>
      </c>
      <c r="B748" s="116">
        <v>4215.7</v>
      </c>
      <c r="C748" s="116">
        <v>4178.1499999999996</v>
      </c>
      <c r="D748" s="116">
        <v>4092</v>
      </c>
      <c r="E748" s="116">
        <v>4148.95</v>
      </c>
      <c r="F748" s="116">
        <v>4178.1499999999996</v>
      </c>
      <c r="G748">
        <v>2288</v>
      </c>
      <c r="H748" s="116"/>
      <c r="I748" s="116"/>
      <c r="L748" s="170">
        <v>45377</v>
      </c>
      <c r="M748" s="116">
        <v>4172.05</v>
      </c>
      <c r="N748" s="116">
        <v>4212.95</v>
      </c>
      <c r="O748" s="116">
        <v>4088</v>
      </c>
      <c r="P748" s="116">
        <v>4199.95</v>
      </c>
      <c r="Q748" s="116">
        <v>4172.05</v>
      </c>
      <c r="R748">
        <v>44943</v>
      </c>
    </row>
    <row r="749" spans="1:18" x14ac:dyDescent="0.25">
      <c r="A749" s="170">
        <v>45378</v>
      </c>
      <c r="B749" s="116">
        <v>4369.95</v>
      </c>
      <c r="C749" s="116">
        <v>4328.1499999999996</v>
      </c>
      <c r="D749" s="116">
        <v>4138.3</v>
      </c>
      <c r="E749" s="116">
        <v>4165.05</v>
      </c>
      <c r="F749" s="116">
        <v>4328.1499999999996</v>
      </c>
      <c r="G749">
        <v>6114</v>
      </c>
      <c r="H749" s="116"/>
      <c r="I749" s="116"/>
      <c r="L749" s="170">
        <v>45378</v>
      </c>
      <c r="M749" s="116">
        <v>4332.5</v>
      </c>
      <c r="N749" s="116">
        <v>4370</v>
      </c>
      <c r="O749" s="116">
        <v>4141</v>
      </c>
      <c r="P749" s="116">
        <v>4176.55</v>
      </c>
      <c r="Q749" s="116">
        <v>4332.5</v>
      </c>
      <c r="R749">
        <v>52734</v>
      </c>
    </row>
    <row r="750" spans="1:18" x14ac:dyDescent="0.25">
      <c r="A750" s="170">
        <v>45379</v>
      </c>
      <c r="B750" s="116">
        <v>4446.75</v>
      </c>
      <c r="C750" s="116">
        <v>4321.75</v>
      </c>
      <c r="D750" s="116">
        <v>4297.8</v>
      </c>
      <c r="E750" s="116">
        <v>4414.75</v>
      </c>
      <c r="F750" s="116">
        <v>4321.75</v>
      </c>
      <c r="G750">
        <v>2125</v>
      </c>
      <c r="H750" s="116"/>
      <c r="I750" s="116"/>
      <c r="L750" s="170">
        <v>45379</v>
      </c>
      <c r="M750" s="116">
        <v>4314.8999999999996</v>
      </c>
      <c r="N750" s="116">
        <v>4447</v>
      </c>
      <c r="O750" s="116">
        <v>4283</v>
      </c>
      <c r="P750" s="116">
        <v>4381</v>
      </c>
      <c r="Q750" s="116">
        <v>4314.8999999999996</v>
      </c>
      <c r="R750">
        <v>41032</v>
      </c>
    </row>
    <row r="751" spans="1:18" x14ac:dyDescent="0.25">
      <c r="A751" s="170">
        <v>45383</v>
      </c>
      <c r="B751" s="116">
        <v>4425</v>
      </c>
      <c r="C751" s="116">
        <v>4367.5</v>
      </c>
      <c r="D751" s="116">
        <v>4325</v>
      </c>
      <c r="E751" s="116">
        <v>4344.3500000000004</v>
      </c>
      <c r="F751" s="116">
        <v>4367.5</v>
      </c>
      <c r="G751">
        <v>3021</v>
      </c>
      <c r="H751" s="116"/>
      <c r="I751" s="116"/>
      <c r="L751" s="170">
        <v>45383</v>
      </c>
      <c r="M751" s="116">
        <v>4364.6000000000004</v>
      </c>
      <c r="N751" s="116">
        <v>4425</v>
      </c>
      <c r="O751" s="116">
        <v>4319</v>
      </c>
      <c r="P751" s="116">
        <v>4379.55</v>
      </c>
      <c r="Q751" s="116">
        <v>4364.6000000000004</v>
      </c>
      <c r="R751">
        <v>18335</v>
      </c>
    </row>
    <row r="752" spans="1:18" x14ac:dyDescent="0.25">
      <c r="A752" s="170">
        <v>45384</v>
      </c>
      <c r="B752" s="116">
        <v>4396.2</v>
      </c>
      <c r="C752" s="116">
        <v>4351.25</v>
      </c>
      <c r="D752" s="116">
        <v>4280.2</v>
      </c>
      <c r="E752" s="116">
        <v>4380</v>
      </c>
      <c r="F752" s="116">
        <v>4351.25</v>
      </c>
      <c r="G752">
        <v>2431</v>
      </c>
      <c r="H752" s="116"/>
      <c r="I752" s="116"/>
      <c r="L752" s="170">
        <v>45384</v>
      </c>
      <c r="M752" s="116">
        <v>4350.6000000000004</v>
      </c>
      <c r="N752" s="116">
        <v>4397.75</v>
      </c>
      <c r="O752" s="116">
        <v>4307.55</v>
      </c>
      <c r="P752" s="116">
        <v>4373.75</v>
      </c>
      <c r="Q752" s="116">
        <v>4350.6000000000004</v>
      </c>
      <c r="R752">
        <v>38858</v>
      </c>
    </row>
    <row r="753" spans="1:18" x14ac:dyDescent="0.25">
      <c r="A753" s="170">
        <v>45385</v>
      </c>
      <c r="B753" s="116">
        <v>4475</v>
      </c>
      <c r="C753" s="116">
        <v>4414.3500000000004</v>
      </c>
      <c r="D753" s="116">
        <v>4300.3</v>
      </c>
      <c r="E753" s="116">
        <v>4300.3</v>
      </c>
      <c r="F753" s="116">
        <v>4414.3500000000004</v>
      </c>
      <c r="G753">
        <v>4079</v>
      </c>
      <c r="H753" s="116"/>
      <c r="I753" s="116"/>
      <c r="L753" s="170">
        <v>45385</v>
      </c>
      <c r="M753" s="116">
        <v>4414.05</v>
      </c>
      <c r="N753" s="116">
        <v>4474.7</v>
      </c>
      <c r="O753" s="116">
        <v>4337.25</v>
      </c>
      <c r="P753" s="116">
        <v>4350.6000000000004</v>
      </c>
      <c r="Q753" s="116">
        <v>4414.05</v>
      </c>
      <c r="R753">
        <v>24619</v>
      </c>
    </row>
    <row r="754" spans="1:18" x14ac:dyDescent="0.25">
      <c r="A754" s="170">
        <v>45386</v>
      </c>
      <c r="B754" s="116">
        <v>4565.6499999999996</v>
      </c>
      <c r="C754" s="116">
        <v>4484.6000000000004</v>
      </c>
      <c r="D754" s="116">
        <v>4450</v>
      </c>
      <c r="E754" s="116">
        <v>4467</v>
      </c>
      <c r="F754" s="116">
        <v>4484.6000000000004</v>
      </c>
      <c r="G754">
        <v>4239</v>
      </c>
      <c r="H754" s="116"/>
      <c r="I754" s="116"/>
      <c r="L754" s="170">
        <v>45386</v>
      </c>
      <c r="M754" s="116">
        <v>4485.5</v>
      </c>
      <c r="N754" s="116">
        <v>4565</v>
      </c>
      <c r="O754" s="116">
        <v>4450</v>
      </c>
      <c r="P754" s="116">
        <v>4488</v>
      </c>
      <c r="Q754" s="116">
        <v>4485.5</v>
      </c>
      <c r="R754">
        <v>35677</v>
      </c>
    </row>
    <row r="755" spans="1:18" x14ac:dyDescent="0.25">
      <c r="A755" s="170">
        <v>45387</v>
      </c>
      <c r="B755" s="116">
        <v>4521.3999999999996</v>
      </c>
      <c r="C755" s="116">
        <v>4382.2</v>
      </c>
      <c r="D755" s="116">
        <v>4355.05</v>
      </c>
      <c r="E755" s="116">
        <v>4461.75</v>
      </c>
      <c r="F755" s="116">
        <v>4382.2</v>
      </c>
      <c r="G755">
        <v>907</v>
      </c>
      <c r="H755" s="116"/>
      <c r="I755" s="116"/>
      <c r="L755" s="170">
        <v>45387</v>
      </c>
      <c r="M755" s="116">
        <v>4378.45</v>
      </c>
      <c r="N755" s="116">
        <v>4533.1499999999996</v>
      </c>
      <c r="O755" s="116">
        <v>4355</v>
      </c>
      <c r="P755" s="116">
        <v>4479</v>
      </c>
      <c r="Q755" s="116">
        <v>4378.45</v>
      </c>
      <c r="R755">
        <v>39898</v>
      </c>
    </row>
    <row r="756" spans="1:18" x14ac:dyDescent="0.25">
      <c r="A756" s="170">
        <v>45390</v>
      </c>
      <c r="B756" s="116">
        <v>4521.05</v>
      </c>
      <c r="C756" s="116">
        <v>4465.45</v>
      </c>
      <c r="D756" s="116">
        <v>4406.1000000000004</v>
      </c>
      <c r="E756" s="116">
        <v>4415.3999999999996</v>
      </c>
      <c r="F756" s="116">
        <v>4465.45</v>
      </c>
      <c r="G756">
        <v>2806</v>
      </c>
      <c r="H756" s="116"/>
      <c r="I756" s="116"/>
      <c r="L756" s="170">
        <v>45390</v>
      </c>
      <c r="M756" s="116">
        <v>4470.55</v>
      </c>
      <c r="N756" s="116">
        <v>4524</v>
      </c>
      <c r="O756" s="116">
        <v>4390.05</v>
      </c>
      <c r="P756" s="116">
        <v>4390.05</v>
      </c>
      <c r="Q756" s="116">
        <v>4470.55</v>
      </c>
      <c r="R756">
        <v>22431</v>
      </c>
    </row>
    <row r="757" spans="1:18" x14ac:dyDescent="0.25">
      <c r="A757" s="170">
        <v>45391</v>
      </c>
      <c r="B757" s="116">
        <v>4579.95</v>
      </c>
      <c r="C757" s="116">
        <v>4373.1499999999996</v>
      </c>
      <c r="D757" s="116">
        <v>4346</v>
      </c>
      <c r="E757" s="116">
        <v>4579.95</v>
      </c>
      <c r="F757" s="116">
        <v>4373.1499999999996</v>
      </c>
      <c r="G757">
        <v>1669</v>
      </c>
      <c r="H757" s="116"/>
      <c r="I757" s="116"/>
      <c r="L757" s="170">
        <v>45391</v>
      </c>
      <c r="M757" s="116">
        <v>4368.95</v>
      </c>
      <c r="N757" s="116">
        <v>4498</v>
      </c>
      <c r="O757" s="116">
        <v>4343.75</v>
      </c>
      <c r="P757" s="116">
        <v>4485</v>
      </c>
      <c r="Q757" s="116">
        <v>4368.95</v>
      </c>
      <c r="R757">
        <v>51179</v>
      </c>
    </row>
    <row r="758" spans="1:18" x14ac:dyDescent="0.25">
      <c r="A758" s="170">
        <v>45392</v>
      </c>
      <c r="B758" s="116">
        <v>4467.55</v>
      </c>
      <c r="C758" s="116">
        <v>4414.45</v>
      </c>
      <c r="D758" s="116">
        <v>4373.6499999999996</v>
      </c>
      <c r="E758" s="116">
        <v>4449.1499999999996</v>
      </c>
      <c r="F758" s="116">
        <v>4414.45</v>
      </c>
      <c r="G758">
        <v>2125</v>
      </c>
      <c r="H758" s="116"/>
      <c r="I758" s="116"/>
      <c r="L758" s="170">
        <v>45392</v>
      </c>
      <c r="M758" s="116">
        <v>4415.3999999999996</v>
      </c>
      <c r="N758" s="116">
        <v>4467.8999999999996</v>
      </c>
      <c r="O758" s="116">
        <v>4372.55</v>
      </c>
      <c r="P758" s="116">
        <v>4380</v>
      </c>
      <c r="Q758" s="116">
        <v>4415.3999999999996</v>
      </c>
      <c r="R758">
        <v>27201</v>
      </c>
    </row>
    <row r="759" spans="1:18" x14ac:dyDescent="0.25">
      <c r="A759" s="170">
        <v>45394</v>
      </c>
      <c r="B759" s="116">
        <v>4539.2</v>
      </c>
      <c r="C759" s="116">
        <v>4459.95</v>
      </c>
      <c r="D759" s="116">
        <v>4444</v>
      </c>
      <c r="E759" s="116">
        <v>4450</v>
      </c>
      <c r="F759" s="116">
        <v>4459.95</v>
      </c>
      <c r="G759">
        <v>1256</v>
      </c>
      <c r="H759" s="116"/>
      <c r="I759" s="116"/>
      <c r="L759" s="170">
        <v>45394</v>
      </c>
      <c r="M759" s="116">
        <v>4461.1499999999996</v>
      </c>
      <c r="N759" s="116">
        <v>4540</v>
      </c>
      <c r="O759" s="116">
        <v>4444.1499999999996</v>
      </c>
      <c r="P759" s="116">
        <v>4444.1499999999996</v>
      </c>
      <c r="Q759" s="116">
        <v>4461.1499999999996</v>
      </c>
      <c r="R759">
        <v>36882</v>
      </c>
    </row>
    <row r="760" spans="1:18" x14ac:dyDescent="0.25">
      <c r="A760" s="170">
        <v>45397</v>
      </c>
      <c r="B760" s="116">
        <v>4535.95</v>
      </c>
      <c r="C760" s="116">
        <v>4323.8999999999996</v>
      </c>
      <c r="D760" s="116">
        <v>4303.1499999999996</v>
      </c>
      <c r="E760" s="116">
        <v>4415.5</v>
      </c>
      <c r="F760" s="116">
        <v>4323.8999999999996</v>
      </c>
      <c r="G760">
        <v>2708</v>
      </c>
      <c r="H760" s="116"/>
      <c r="I760" s="116"/>
      <c r="L760" s="170">
        <v>45397</v>
      </c>
      <c r="M760" s="116">
        <v>4323.45</v>
      </c>
      <c r="N760" s="116">
        <v>4534.6000000000004</v>
      </c>
      <c r="O760" s="116">
        <v>4294.05</v>
      </c>
      <c r="P760" s="116">
        <v>4383.25</v>
      </c>
      <c r="Q760" s="116">
        <v>4323.45</v>
      </c>
      <c r="R760">
        <v>55529</v>
      </c>
    </row>
    <row r="761" spans="1:18" x14ac:dyDescent="0.25">
      <c r="A761" s="170">
        <v>45398</v>
      </c>
      <c r="B761" s="116">
        <v>4399.75</v>
      </c>
      <c r="C761" s="116">
        <v>4291.55</v>
      </c>
      <c r="D761" s="116">
        <v>4250.05</v>
      </c>
      <c r="E761" s="116">
        <v>4250.05</v>
      </c>
      <c r="F761" s="116">
        <v>4291.55</v>
      </c>
      <c r="G761">
        <v>2295</v>
      </c>
      <c r="H761" s="116"/>
      <c r="I761" s="116"/>
      <c r="L761" s="170">
        <v>45398</v>
      </c>
      <c r="M761" s="116">
        <v>4279.5</v>
      </c>
      <c r="N761" s="116">
        <v>4404.95</v>
      </c>
      <c r="O761" s="116">
        <v>4267</v>
      </c>
      <c r="P761" s="116">
        <v>4374.8</v>
      </c>
      <c r="Q761" s="116">
        <v>4279.5</v>
      </c>
      <c r="R761">
        <v>25467</v>
      </c>
    </row>
    <row r="762" spans="1:18" x14ac:dyDescent="0.25">
      <c r="A762" s="170">
        <v>45400</v>
      </c>
      <c r="B762" s="116">
        <v>4419.95</v>
      </c>
      <c r="C762" s="116">
        <v>4343.3500000000004</v>
      </c>
      <c r="D762" s="116">
        <v>4307.3999999999996</v>
      </c>
      <c r="E762" s="116">
        <v>4419.95</v>
      </c>
      <c r="F762" s="116">
        <v>4343.3500000000004</v>
      </c>
      <c r="G762">
        <v>2892</v>
      </c>
      <c r="H762" s="116"/>
      <c r="I762" s="116"/>
      <c r="L762" s="170">
        <v>45400</v>
      </c>
      <c r="M762" s="116">
        <v>4347.3</v>
      </c>
      <c r="N762" s="116">
        <v>4397.95</v>
      </c>
      <c r="O762" s="116">
        <v>4279.5</v>
      </c>
      <c r="P762" s="116">
        <v>4350</v>
      </c>
      <c r="Q762" s="116">
        <v>4347.3</v>
      </c>
      <c r="R762">
        <v>18612</v>
      </c>
    </row>
    <row r="763" spans="1:18" x14ac:dyDescent="0.25">
      <c r="A763" s="170">
        <v>45401</v>
      </c>
      <c r="B763" s="116">
        <v>4343.8</v>
      </c>
      <c r="C763" s="116">
        <v>4315</v>
      </c>
      <c r="D763" s="116">
        <v>4268.7</v>
      </c>
      <c r="E763" s="116">
        <v>4300.45</v>
      </c>
      <c r="F763" s="116">
        <v>4315</v>
      </c>
      <c r="G763">
        <v>1120</v>
      </c>
      <c r="H763" s="116"/>
      <c r="I763" s="116"/>
      <c r="L763" s="170">
        <v>45401</v>
      </c>
      <c r="M763" s="116">
        <v>4314.6499999999996</v>
      </c>
      <c r="N763" s="116">
        <v>4349</v>
      </c>
      <c r="O763" s="116">
        <v>4260</v>
      </c>
      <c r="P763" s="116">
        <v>4315.95</v>
      </c>
      <c r="Q763" s="116">
        <v>4314.6499999999996</v>
      </c>
      <c r="R763">
        <v>21647</v>
      </c>
    </row>
    <row r="764" spans="1:18" x14ac:dyDescent="0.25">
      <c r="A764" s="170">
        <v>45404</v>
      </c>
      <c r="B764" s="116">
        <v>4444.5</v>
      </c>
      <c r="C764" s="116">
        <v>4266.25</v>
      </c>
      <c r="D764" s="116">
        <v>4251</v>
      </c>
      <c r="E764" s="116">
        <v>4444.5</v>
      </c>
      <c r="F764" s="116">
        <v>4266.25</v>
      </c>
      <c r="G764">
        <v>2512</v>
      </c>
      <c r="H764" s="116"/>
      <c r="I764" s="116"/>
      <c r="L764" s="170">
        <v>45404</v>
      </c>
      <c r="M764" s="116">
        <v>4263</v>
      </c>
      <c r="N764" s="116">
        <v>4375</v>
      </c>
      <c r="O764" s="116">
        <v>4250</v>
      </c>
      <c r="P764" s="116">
        <v>4375</v>
      </c>
      <c r="Q764" s="116">
        <v>4263</v>
      </c>
      <c r="R764">
        <v>28359</v>
      </c>
    </row>
    <row r="765" spans="1:18" x14ac:dyDescent="0.25">
      <c r="A765" s="170">
        <v>45405</v>
      </c>
      <c r="B765" s="116">
        <v>4375.8500000000004</v>
      </c>
      <c r="C765" s="116">
        <v>4304.5</v>
      </c>
      <c r="D765" s="116">
        <v>4266.6499999999996</v>
      </c>
      <c r="E765" s="116">
        <v>4266.6499999999996</v>
      </c>
      <c r="F765" s="116">
        <v>4304.5</v>
      </c>
      <c r="G765">
        <v>2537</v>
      </c>
      <c r="H765" s="116"/>
      <c r="I765" s="116"/>
      <c r="L765" s="170">
        <v>45405</v>
      </c>
      <c r="M765" s="116">
        <v>4302.8999999999996</v>
      </c>
      <c r="N765" s="116">
        <v>4383.95</v>
      </c>
      <c r="O765" s="116">
        <v>4272.8</v>
      </c>
      <c r="P765" s="116">
        <v>4305.6000000000004</v>
      </c>
      <c r="Q765" s="116">
        <v>4302.8999999999996</v>
      </c>
      <c r="R765">
        <v>22355</v>
      </c>
    </row>
    <row r="766" spans="1:18" x14ac:dyDescent="0.25">
      <c r="A766" s="170">
        <v>45406</v>
      </c>
      <c r="B766" s="116">
        <v>4648.6499999999996</v>
      </c>
      <c r="C766" s="116">
        <v>4602.8</v>
      </c>
      <c r="D766" s="116">
        <v>4344.2</v>
      </c>
      <c r="E766" s="116">
        <v>4397.25</v>
      </c>
      <c r="F766" s="116">
        <v>4602.8</v>
      </c>
      <c r="G766">
        <v>11376</v>
      </c>
      <c r="H766" s="116"/>
      <c r="I766" s="116"/>
      <c r="L766" s="170">
        <v>45406</v>
      </c>
      <c r="M766" s="116">
        <v>4604.8500000000004</v>
      </c>
      <c r="N766" s="116">
        <v>4648.95</v>
      </c>
      <c r="O766" s="116">
        <v>4328</v>
      </c>
      <c r="P766" s="116">
        <v>4350</v>
      </c>
      <c r="Q766" s="116">
        <v>4604.8500000000004</v>
      </c>
      <c r="R766">
        <v>138438</v>
      </c>
    </row>
    <row r="767" spans="1:18" x14ac:dyDescent="0.25">
      <c r="A767" s="170">
        <v>45407</v>
      </c>
      <c r="B767" s="116">
        <v>4758.45</v>
      </c>
      <c r="C767" s="116">
        <v>4587.3</v>
      </c>
      <c r="D767" s="116">
        <v>4559.5</v>
      </c>
      <c r="E767" s="116">
        <v>4701.6499999999996</v>
      </c>
      <c r="F767" s="116">
        <v>4587.3</v>
      </c>
      <c r="G767">
        <v>4083</v>
      </c>
      <c r="H767" s="116"/>
      <c r="I767" s="116"/>
      <c r="L767" s="170">
        <v>45407</v>
      </c>
      <c r="M767" s="116">
        <v>4591.75</v>
      </c>
      <c r="N767" s="116">
        <v>4754.7</v>
      </c>
      <c r="O767" s="116">
        <v>4570</v>
      </c>
      <c r="P767" s="116">
        <v>4660.3</v>
      </c>
      <c r="Q767" s="116">
        <v>4591.75</v>
      </c>
      <c r="R767">
        <v>103322</v>
      </c>
    </row>
    <row r="768" spans="1:18" x14ac:dyDescent="0.25">
      <c r="A768" s="170">
        <v>45408</v>
      </c>
      <c r="B768" s="116">
        <v>4715.5</v>
      </c>
      <c r="C768" s="116">
        <v>4686.8999999999996</v>
      </c>
      <c r="D768" s="116">
        <v>4623.95</v>
      </c>
      <c r="E768" s="116">
        <v>4642.3</v>
      </c>
      <c r="F768" s="116">
        <v>4686.8999999999996</v>
      </c>
      <c r="G768">
        <v>1789</v>
      </c>
      <c r="H768" s="116"/>
      <c r="I768" s="116"/>
      <c r="L768" s="170">
        <v>45408</v>
      </c>
      <c r="M768" s="116">
        <v>4684.6000000000004</v>
      </c>
      <c r="N768" s="116">
        <v>4720.25</v>
      </c>
      <c r="O768" s="116">
        <v>4621.75</v>
      </c>
      <c r="P768" s="116">
        <v>4678.7</v>
      </c>
      <c r="Q768" s="116">
        <v>4684.6000000000004</v>
      </c>
      <c r="R768">
        <v>47775</v>
      </c>
    </row>
    <row r="769" spans="1:18" x14ac:dyDescent="0.25">
      <c r="A769" s="170">
        <v>45411</v>
      </c>
      <c r="B769" s="116">
        <v>4506.45</v>
      </c>
      <c r="C769" s="116">
        <v>4420.3</v>
      </c>
      <c r="D769" s="116">
        <v>4374.5</v>
      </c>
      <c r="E769" s="116">
        <v>4506.45</v>
      </c>
      <c r="F769" s="116">
        <v>4420.3</v>
      </c>
      <c r="G769">
        <v>16168</v>
      </c>
      <c r="H769" s="116"/>
      <c r="I769" s="116"/>
      <c r="L769" s="170">
        <v>45411</v>
      </c>
      <c r="M769" s="116">
        <v>4423.5</v>
      </c>
      <c r="N769" s="116">
        <v>4505</v>
      </c>
      <c r="O769" s="116">
        <v>4368.1000000000004</v>
      </c>
      <c r="P769" s="116">
        <v>4484.6000000000004</v>
      </c>
      <c r="Q769" s="116">
        <v>4423.5</v>
      </c>
      <c r="R769">
        <v>157942</v>
      </c>
    </row>
    <row r="770" spans="1:18" x14ac:dyDescent="0.25">
      <c r="A770" s="170">
        <v>45412</v>
      </c>
      <c r="B770" s="116">
        <v>4463.8999999999996</v>
      </c>
      <c r="C770" s="116">
        <v>4422.3500000000004</v>
      </c>
      <c r="D770" s="116">
        <v>4360</v>
      </c>
      <c r="E770" s="116">
        <v>4423</v>
      </c>
      <c r="F770" s="116">
        <v>4422.3500000000004</v>
      </c>
      <c r="G770">
        <v>1744</v>
      </c>
      <c r="H770" s="116"/>
      <c r="I770" s="116"/>
      <c r="L770" s="170">
        <v>45412</v>
      </c>
      <c r="M770" s="116">
        <v>4426.3999999999996</v>
      </c>
      <c r="N770" s="116">
        <v>4465.3999999999996</v>
      </c>
      <c r="O770" s="116">
        <v>4360.1000000000004</v>
      </c>
      <c r="P770" s="116">
        <v>4418.25</v>
      </c>
      <c r="Q770" s="116">
        <v>4426.3999999999996</v>
      </c>
      <c r="R770">
        <v>47056</v>
      </c>
    </row>
    <row r="771" spans="1:18" x14ac:dyDescent="0.25">
      <c r="A771" s="170">
        <v>45414</v>
      </c>
      <c r="B771" s="116">
        <v>4472.25</v>
      </c>
      <c r="C771" s="116">
        <v>4438.5</v>
      </c>
      <c r="D771" s="116">
        <v>4415.7</v>
      </c>
      <c r="E771" s="116">
        <v>4472.25</v>
      </c>
      <c r="F771" s="116">
        <v>4438.5</v>
      </c>
      <c r="G771">
        <v>833</v>
      </c>
      <c r="H771" s="116"/>
      <c r="I771" s="116"/>
      <c r="L771" s="170">
        <v>45414</v>
      </c>
      <c r="M771" s="116">
        <v>4435.55</v>
      </c>
      <c r="N771" s="116">
        <v>4475</v>
      </c>
      <c r="O771" s="116">
        <v>4401.05</v>
      </c>
      <c r="P771" s="116">
        <v>4460</v>
      </c>
      <c r="Q771" s="116">
        <v>4435.55</v>
      </c>
      <c r="R771">
        <v>21629</v>
      </c>
    </row>
    <row r="772" spans="1:18" x14ac:dyDescent="0.25">
      <c r="A772" s="170">
        <v>45415</v>
      </c>
      <c r="B772" s="116">
        <v>4468</v>
      </c>
      <c r="C772" s="116">
        <v>4391.3999999999996</v>
      </c>
      <c r="D772" s="116">
        <v>4340</v>
      </c>
      <c r="E772" s="116">
        <v>4460.05</v>
      </c>
      <c r="F772" s="116">
        <v>4391.3999999999996</v>
      </c>
      <c r="G772">
        <v>3318</v>
      </c>
      <c r="H772" s="116"/>
      <c r="I772" s="116"/>
      <c r="L772" s="170">
        <v>45415</v>
      </c>
      <c r="M772" s="116">
        <v>4389.25</v>
      </c>
      <c r="N772" s="116">
        <v>4470</v>
      </c>
      <c r="O772" s="116">
        <v>4334.8</v>
      </c>
      <c r="P772" s="116">
        <v>4470</v>
      </c>
      <c r="Q772" s="116">
        <v>4389.25</v>
      </c>
      <c r="R772">
        <v>43645</v>
      </c>
    </row>
    <row r="773" spans="1:18" x14ac:dyDescent="0.25">
      <c r="A773" s="170">
        <v>45418</v>
      </c>
      <c r="B773" s="116">
        <v>4428</v>
      </c>
      <c r="C773" s="116">
        <v>4326.3</v>
      </c>
      <c r="D773" s="116">
        <v>4300</v>
      </c>
      <c r="E773" s="116">
        <v>4389.05</v>
      </c>
      <c r="F773" s="116">
        <v>4326.3</v>
      </c>
      <c r="G773">
        <v>3081</v>
      </c>
      <c r="H773" s="116"/>
      <c r="I773" s="116"/>
      <c r="L773" s="170">
        <v>45418</v>
      </c>
      <c r="M773" s="116">
        <v>4329.25</v>
      </c>
      <c r="N773" s="116">
        <v>4430</v>
      </c>
      <c r="O773" s="116">
        <v>4300</v>
      </c>
      <c r="P773" s="116">
        <v>4425</v>
      </c>
      <c r="Q773" s="116">
        <v>4329.25</v>
      </c>
      <c r="R773">
        <v>47657</v>
      </c>
    </row>
    <row r="774" spans="1:18" x14ac:dyDescent="0.25">
      <c r="A774" s="170">
        <v>45419</v>
      </c>
      <c r="B774" s="116">
        <v>4386.05</v>
      </c>
      <c r="C774" s="116">
        <v>4297.25</v>
      </c>
      <c r="D774" s="116">
        <v>4289.95</v>
      </c>
      <c r="E774" s="116">
        <v>4334.55</v>
      </c>
      <c r="F774" s="116">
        <v>4297.25</v>
      </c>
      <c r="G774">
        <v>1397</v>
      </c>
      <c r="H774" s="116"/>
      <c r="I774" s="116"/>
      <c r="L774" s="170">
        <v>45419</v>
      </c>
      <c r="M774" s="116">
        <v>4303.8500000000004</v>
      </c>
      <c r="N774" s="116">
        <v>4391.95</v>
      </c>
      <c r="O774" s="116">
        <v>4290</v>
      </c>
      <c r="P774" s="116">
        <v>4334.95</v>
      </c>
      <c r="Q774" s="116">
        <v>4303.8500000000004</v>
      </c>
      <c r="R774">
        <v>33082</v>
      </c>
    </row>
    <row r="775" spans="1:18" x14ac:dyDescent="0.25">
      <c r="A775" s="170">
        <v>45420</v>
      </c>
      <c r="B775" s="116">
        <v>4366.8999999999996</v>
      </c>
      <c r="C775" s="116">
        <v>4303.6000000000004</v>
      </c>
      <c r="D775" s="116">
        <v>4276.7</v>
      </c>
      <c r="E775" s="116">
        <v>4302.05</v>
      </c>
      <c r="F775" s="116">
        <v>4303.6000000000004</v>
      </c>
      <c r="G775">
        <v>961</v>
      </c>
      <c r="H775" s="116"/>
      <c r="I775" s="116"/>
      <c r="L775" s="170">
        <v>45420</v>
      </c>
      <c r="M775" s="116">
        <v>4307.5</v>
      </c>
      <c r="N775" s="116">
        <v>4380</v>
      </c>
      <c r="O775" s="116">
        <v>4261.3999999999996</v>
      </c>
      <c r="P775" s="116">
        <v>4300</v>
      </c>
      <c r="Q775" s="116">
        <v>4307.5</v>
      </c>
      <c r="R775">
        <v>20151</v>
      </c>
    </row>
    <row r="776" spans="1:18" x14ac:dyDescent="0.25">
      <c r="A776" s="170">
        <v>45421</v>
      </c>
      <c r="B776" s="116">
        <v>4383.8999999999996</v>
      </c>
      <c r="C776" s="116">
        <v>4299.7</v>
      </c>
      <c r="D776" s="116">
        <v>4290.75</v>
      </c>
      <c r="E776" s="116">
        <v>4322.3999999999996</v>
      </c>
      <c r="F776" s="116">
        <v>4299.7</v>
      </c>
      <c r="G776">
        <v>897</v>
      </c>
      <c r="H776" s="116"/>
      <c r="I776" s="116"/>
      <c r="L776" s="170">
        <v>45421</v>
      </c>
      <c r="M776" s="116">
        <v>4302.1499999999996</v>
      </c>
      <c r="N776" s="116">
        <v>4379.75</v>
      </c>
      <c r="O776" s="116">
        <v>4290</v>
      </c>
      <c r="P776" s="116">
        <v>4325</v>
      </c>
      <c r="Q776" s="116">
        <v>4302.1499999999996</v>
      </c>
      <c r="R776">
        <v>16877</v>
      </c>
    </row>
    <row r="777" spans="1:18" x14ac:dyDescent="0.25">
      <c r="A777" s="170">
        <v>45422</v>
      </c>
      <c r="B777" s="116">
        <v>4340.05</v>
      </c>
      <c r="C777" s="116">
        <v>4305.5</v>
      </c>
      <c r="D777" s="116">
        <v>4285</v>
      </c>
      <c r="E777" s="116">
        <v>4320.6000000000004</v>
      </c>
      <c r="F777" s="116">
        <v>4305.5</v>
      </c>
      <c r="G777">
        <v>536</v>
      </c>
      <c r="H777" s="116"/>
      <c r="I777" s="116"/>
      <c r="L777" s="170">
        <v>45422</v>
      </c>
      <c r="M777" s="116">
        <v>4300.8500000000004</v>
      </c>
      <c r="N777" s="116">
        <v>4340</v>
      </c>
      <c r="O777" s="116">
        <v>4281.2</v>
      </c>
      <c r="P777" s="116">
        <v>4320</v>
      </c>
      <c r="Q777" s="116">
        <v>4300.8500000000004</v>
      </c>
      <c r="R777">
        <v>29079</v>
      </c>
    </row>
    <row r="778" spans="1:18" x14ac:dyDescent="0.25">
      <c r="A778" s="170">
        <v>45425</v>
      </c>
      <c r="B778" s="116">
        <v>4355.55</v>
      </c>
      <c r="C778" s="116">
        <v>4321.6499999999996</v>
      </c>
      <c r="D778" s="116">
        <v>4251.6499999999996</v>
      </c>
      <c r="E778" s="116">
        <v>4281.7</v>
      </c>
      <c r="F778" s="116">
        <v>4321.6499999999996</v>
      </c>
      <c r="G778">
        <v>2456</v>
      </c>
      <c r="H778" s="116"/>
      <c r="I778" s="116"/>
      <c r="L778" s="170">
        <v>45425</v>
      </c>
      <c r="M778" s="116">
        <v>4325.3999999999996</v>
      </c>
      <c r="N778" s="116">
        <v>4365</v>
      </c>
      <c r="O778" s="116">
        <v>4272.1000000000004</v>
      </c>
      <c r="P778" s="116">
        <v>4300.95</v>
      </c>
      <c r="Q778" s="116">
        <v>4325.3999999999996</v>
      </c>
      <c r="R778">
        <v>16905</v>
      </c>
    </row>
    <row r="779" spans="1:18" x14ac:dyDescent="0.25">
      <c r="A779" s="170">
        <v>45426</v>
      </c>
      <c r="B779" s="116">
        <v>4415</v>
      </c>
      <c r="C779" s="116">
        <v>4332.8999999999996</v>
      </c>
      <c r="D779" s="116">
        <v>4311.8</v>
      </c>
      <c r="E779" s="116">
        <v>4344.05</v>
      </c>
      <c r="F779" s="116">
        <v>4332.8999999999996</v>
      </c>
      <c r="G779">
        <v>1066</v>
      </c>
      <c r="H779" s="116"/>
      <c r="I779" s="116"/>
      <c r="L779" s="170">
        <v>45426</v>
      </c>
      <c r="M779" s="116">
        <v>4343.75</v>
      </c>
      <c r="N779" s="116">
        <v>4430.7</v>
      </c>
      <c r="O779" s="116">
        <v>4317</v>
      </c>
      <c r="P779" s="116">
        <v>4370</v>
      </c>
      <c r="Q779" s="116">
        <v>4343.75</v>
      </c>
      <c r="R779">
        <v>21713</v>
      </c>
    </row>
    <row r="780" spans="1:18" x14ac:dyDescent="0.25">
      <c r="A780" s="170">
        <v>45427</v>
      </c>
      <c r="B780" s="116">
        <v>4465.8999999999996</v>
      </c>
      <c r="C780" s="116">
        <v>4368.05</v>
      </c>
      <c r="D780" s="116">
        <v>4340</v>
      </c>
      <c r="E780" s="116">
        <v>4365.55</v>
      </c>
      <c r="F780" s="116">
        <v>4368.05</v>
      </c>
      <c r="G780">
        <v>941</v>
      </c>
      <c r="H780" s="116"/>
      <c r="I780" s="116"/>
      <c r="L780" s="170">
        <v>45427</v>
      </c>
      <c r="M780" s="116">
        <v>4372.2</v>
      </c>
      <c r="N780" s="116">
        <v>4473</v>
      </c>
      <c r="O780" s="116">
        <v>4339.5</v>
      </c>
      <c r="P780" s="116">
        <v>4350.45</v>
      </c>
      <c r="Q780" s="116">
        <v>4372.2</v>
      </c>
      <c r="R780">
        <v>27113</v>
      </c>
    </row>
    <row r="781" spans="1:18" x14ac:dyDescent="0.25">
      <c r="A781" s="170">
        <v>45428</v>
      </c>
      <c r="B781" s="116">
        <v>4425</v>
      </c>
      <c r="C781" s="116">
        <v>4405</v>
      </c>
      <c r="D781" s="116">
        <v>4352.3999999999996</v>
      </c>
      <c r="E781" s="116">
        <v>4400</v>
      </c>
      <c r="F781" s="116">
        <v>4405</v>
      </c>
      <c r="G781">
        <v>530</v>
      </c>
      <c r="H781" s="116"/>
      <c r="I781" s="116"/>
      <c r="L781" s="170">
        <v>45428</v>
      </c>
      <c r="M781" s="116">
        <v>4404.3500000000004</v>
      </c>
      <c r="N781" s="116">
        <v>4430</v>
      </c>
      <c r="O781" s="116">
        <v>4346</v>
      </c>
      <c r="P781" s="116">
        <v>4399</v>
      </c>
      <c r="Q781" s="116">
        <v>4404.3500000000004</v>
      </c>
      <c r="R781">
        <v>15905</v>
      </c>
    </row>
    <row r="782" spans="1:18" x14ac:dyDescent="0.25">
      <c r="A782" s="170">
        <v>45429</v>
      </c>
      <c r="B782" s="116">
        <v>4446</v>
      </c>
      <c r="C782" s="116">
        <v>4439.1000000000004</v>
      </c>
      <c r="D782" s="116">
        <v>4380</v>
      </c>
      <c r="E782" s="116">
        <v>4400.2</v>
      </c>
      <c r="F782" s="116">
        <v>4439.1000000000004</v>
      </c>
      <c r="G782">
        <v>1677</v>
      </c>
      <c r="H782" s="116"/>
      <c r="I782" s="116"/>
      <c r="L782" s="170">
        <v>45429</v>
      </c>
      <c r="M782" s="116">
        <v>4437.2</v>
      </c>
      <c r="N782" s="116">
        <v>4451</v>
      </c>
      <c r="O782" s="116">
        <v>4378</v>
      </c>
      <c r="P782" s="116">
        <v>4410</v>
      </c>
      <c r="Q782" s="116">
        <v>4437.2</v>
      </c>
      <c r="R782">
        <v>23135</v>
      </c>
    </row>
    <row r="783" spans="1:18" x14ac:dyDescent="0.25">
      <c r="A783" s="170">
        <v>45430</v>
      </c>
      <c r="B783" s="116">
        <v>4526</v>
      </c>
      <c r="C783" s="116">
        <v>4447.7</v>
      </c>
      <c r="D783" s="116">
        <v>4429.8500000000004</v>
      </c>
      <c r="E783" s="116">
        <v>4431</v>
      </c>
      <c r="F783" s="116">
        <v>4447.7</v>
      </c>
      <c r="G783">
        <v>488</v>
      </c>
      <c r="H783" s="116"/>
      <c r="I783" s="116"/>
      <c r="L783" s="170">
        <v>45430</v>
      </c>
      <c r="M783" s="116">
        <v>4446.8999999999996</v>
      </c>
      <c r="N783" s="116">
        <v>4477</v>
      </c>
      <c r="O783" s="116">
        <v>4433.3999999999996</v>
      </c>
      <c r="P783" s="116">
        <v>4437.2</v>
      </c>
      <c r="Q783" s="116">
        <v>4446.8999999999996</v>
      </c>
      <c r="R783">
        <v>3697</v>
      </c>
    </row>
    <row r="784" spans="1:18" x14ac:dyDescent="0.25">
      <c r="A784" s="170">
        <v>45433</v>
      </c>
      <c r="B784" s="116">
        <v>4488.95</v>
      </c>
      <c r="C784" s="116">
        <v>4379.45</v>
      </c>
      <c r="D784" s="116">
        <v>4325.3500000000004</v>
      </c>
      <c r="E784" s="116">
        <v>4325.3500000000004</v>
      </c>
      <c r="F784" s="116">
        <v>4379.45</v>
      </c>
      <c r="G784">
        <v>2275</v>
      </c>
      <c r="H784" s="116"/>
      <c r="I784" s="116"/>
      <c r="L784" s="170">
        <v>45433</v>
      </c>
      <c r="M784" s="116">
        <v>4384.25</v>
      </c>
      <c r="N784" s="116">
        <v>4487.3999999999996</v>
      </c>
      <c r="O784" s="116">
        <v>4370</v>
      </c>
      <c r="P784" s="116">
        <v>4447</v>
      </c>
      <c r="Q784" s="116">
        <v>4384.25</v>
      </c>
      <c r="R784">
        <v>31234</v>
      </c>
    </row>
    <row r="785" spans="1:18" x14ac:dyDescent="0.25">
      <c r="A785" s="170">
        <v>45434</v>
      </c>
      <c r="B785" s="116">
        <v>4467.05</v>
      </c>
      <c r="C785" s="116">
        <v>4306.25</v>
      </c>
      <c r="D785" s="116">
        <v>4295.6499999999996</v>
      </c>
      <c r="E785" s="116">
        <v>4467.05</v>
      </c>
      <c r="F785" s="116">
        <v>4306.25</v>
      </c>
      <c r="G785">
        <v>919</v>
      </c>
      <c r="H785" s="116"/>
      <c r="I785" s="116"/>
      <c r="L785" s="170">
        <v>45434</v>
      </c>
      <c r="M785" s="116">
        <v>4305.2</v>
      </c>
      <c r="N785" s="116">
        <v>4432.05</v>
      </c>
      <c r="O785" s="116">
        <v>4294.05</v>
      </c>
      <c r="P785" s="116">
        <v>4384.25</v>
      </c>
      <c r="Q785" s="116">
        <v>4305.2</v>
      </c>
      <c r="R785">
        <v>111365</v>
      </c>
    </row>
    <row r="786" spans="1:18" x14ac:dyDescent="0.25">
      <c r="A786" s="170">
        <v>45435</v>
      </c>
      <c r="B786" s="116">
        <v>4384.95</v>
      </c>
      <c r="C786" s="116">
        <v>4296.1000000000004</v>
      </c>
      <c r="D786" s="116">
        <v>4292.3</v>
      </c>
      <c r="E786" s="116">
        <v>4384.95</v>
      </c>
      <c r="F786" s="116">
        <v>4296.1000000000004</v>
      </c>
      <c r="G786">
        <v>1468</v>
      </c>
      <c r="H786" s="116"/>
      <c r="I786" s="116"/>
      <c r="L786" s="170">
        <v>45435</v>
      </c>
      <c r="M786" s="116">
        <v>4296.3</v>
      </c>
      <c r="N786" s="116">
        <v>4354.95</v>
      </c>
      <c r="O786" s="116">
        <v>4289</v>
      </c>
      <c r="P786" s="116">
        <v>4330</v>
      </c>
      <c r="Q786" s="116">
        <v>4296.3</v>
      </c>
      <c r="R786">
        <v>79521</v>
      </c>
    </row>
    <row r="787" spans="1:18" x14ac:dyDescent="0.25">
      <c r="A787" s="170">
        <v>45436</v>
      </c>
      <c r="B787" s="116">
        <v>4470</v>
      </c>
      <c r="C787" s="116">
        <v>4433.05</v>
      </c>
      <c r="D787" s="116">
        <v>4292.55</v>
      </c>
      <c r="E787" s="116">
        <v>4296.1000000000004</v>
      </c>
      <c r="F787" s="116">
        <v>4433.05</v>
      </c>
      <c r="G787">
        <v>3033</v>
      </c>
      <c r="H787" s="116"/>
      <c r="I787" s="116"/>
      <c r="L787" s="170">
        <v>45436</v>
      </c>
      <c r="M787" s="116">
        <v>4429.1499999999996</v>
      </c>
      <c r="N787" s="116">
        <v>4464</v>
      </c>
      <c r="O787" s="116">
        <v>4285</v>
      </c>
      <c r="P787" s="116">
        <v>4297</v>
      </c>
      <c r="Q787" s="116">
        <v>4429.1499999999996</v>
      </c>
      <c r="R787">
        <v>59355</v>
      </c>
    </row>
    <row r="788" spans="1:18" x14ac:dyDescent="0.25">
      <c r="A788" s="170">
        <v>45439</v>
      </c>
      <c r="B788" s="116">
        <v>4451.2</v>
      </c>
      <c r="C788" s="116">
        <v>4362</v>
      </c>
      <c r="D788" s="116">
        <v>4330</v>
      </c>
      <c r="E788" s="116">
        <v>4451.2</v>
      </c>
      <c r="F788" s="116">
        <v>4362</v>
      </c>
      <c r="G788">
        <v>2073</v>
      </c>
      <c r="H788" s="116"/>
      <c r="I788" s="116"/>
      <c r="L788" s="170">
        <v>45439</v>
      </c>
      <c r="M788" s="116">
        <v>4365.45</v>
      </c>
      <c r="N788" s="116">
        <v>4454.95</v>
      </c>
      <c r="O788" s="116">
        <v>4330</v>
      </c>
      <c r="P788" s="116">
        <v>4450</v>
      </c>
      <c r="Q788" s="116">
        <v>4365.45</v>
      </c>
      <c r="R788">
        <v>28600</v>
      </c>
    </row>
    <row r="789" spans="1:18" x14ac:dyDescent="0.25">
      <c r="A789" s="170">
        <v>45440</v>
      </c>
      <c r="B789" s="116">
        <v>4450</v>
      </c>
      <c r="C789" s="116">
        <v>4256.6499999999996</v>
      </c>
      <c r="D789" s="116">
        <v>4230</v>
      </c>
      <c r="E789" s="116">
        <v>4450</v>
      </c>
      <c r="F789" s="116">
        <v>4256.6499999999996</v>
      </c>
      <c r="G789">
        <v>1189</v>
      </c>
      <c r="H789" s="116"/>
      <c r="I789" s="116"/>
      <c r="L789" s="170">
        <v>45440</v>
      </c>
      <c r="M789" s="116">
        <v>4256.3500000000004</v>
      </c>
      <c r="N789" s="116">
        <v>4400</v>
      </c>
      <c r="O789" s="116">
        <v>4223.95</v>
      </c>
      <c r="P789" s="116">
        <v>4342</v>
      </c>
      <c r="Q789" s="116">
        <v>4256.3500000000004</v>
      </c>
      <c r="R789">
        <v>48239</v>
      </c>
    </row>
    <row r="790" spans="1:18" x14ac:dyDescent="0.25">
      <c r="A790" s="170">
        <v>45441</v>
      </c>
      <c r="B790" s="116">
        <v>4309.95</v>
      </c>
      <c r="C790" s="116">
        <v>4185.8999999999996</v>
      </c>
      <c r="D790" s="116">
        <v>4159.6499999999996</v>
      </c>
      <c r="E790" s="116">
        <v>4309.95</v>
      </c>
      <c r="F790" s="116">
        <v>4185.8999999999996</v>
      </c>
      <c r="G790">
        <v>2182</v>
      </c>
      <c r="H790" s="116"/>
      <c r="I790" s="116"/>
      <c r="L790" s="170">
        <v>45441</v>
      </c>
      <c r="M790" s="116">
        <v>4190.3500000000004</v>
      </c>
      <c r="N790" s="116">
        <v>4256.3500000000004</v>
      </c>
      <c r="O790" s="116">
        <v>4165</v>
      </c>
      <c r="P790" s="116">
        <v>4256.3500000000004</v>
      </c>
      <c r="Q790" s="116">
        <v>4190.3500000000004</v>
      </c>
      <c r="R790">
        <v>49365</v>
      </c>
    </row>
    <row r="791" spans="1:18" x14ac:dyDescent="0.25">
      <c r="A791" s="170">
        <v>45442</v>
      </c>
      <c r="B791" s="116">
        <v>4230</v>
      </c>
      <c r="C791" s="116">
        <v>4187</v>
      </c>
      <c r="D791" s="116">
        <v>4112.55</v>
      </c>
      <c r="E791" s="116">
        <v>4175</v>
      </c>
      <c r="F791" s="116">
        <v>4187</v>
      </c>
      <c r="G791">
        <v>786</v>
      </c>
      <c r="H791" s="116"/>
      <c r="I791" s="116"/>
      <c r="L791" s="170">
        <v>45442</v>
      </c>
      <c r="M791" s="116">
        <v>4196.6499999999996</v>
      </c>
      <c r="N791" s="116">
        <v>4240.1000000000004</v>
      </c>
      <c r="O791" s="116">
        <v>4111</v>
      </c>
      <c r="P791" s="116">
        <v>4220</v>
      </c>
      <c r="Q791" s="116">
        <v>4196.6499999999996</v>
      </c>
      <c r="R791">
        <v>24074</v>
      </c>
    </row>
    <row r="792" spans="1:18" x14ac:dyDescent="0.25">
      <c r="A792" s="170">
        <v>45443</v>
      </c>
      <c r="B792" s="116">
        <v>4255</v>
      </c>
      <c r="C792" s="116">
        <v>4236.8999999999996</v>
      </c>
      <c r="D792" s="116">
        <v>4115</v>
      </c>
      <c r="E792" s="116">
        <v>4115</v>
      </c>
      <c r="F792" s="116">
        <v>4236.8999999999996</v>
      </c>
      <c r="G792">
        <v>1013</v>
      </c>
      <c r="H792" s="116"/>
      <c r="I792" s="116"/>
      <c r="L792" s="170">
        <v>45443</v>
      </c>
      <c r="M792" s="116">
        <v>4231.1000000000004</v>
      </c>
      <c r="N792" s="116">
        <v>4259</v>
      </c>
      <c r="O792" s="116">
        <v>4127</v>
      </c>
      <c r="P792" s="116">
        <v>4212</v>
      </c>
      <c r="Q792" s="116">
        <v>4231.1000000000004</v>
      </c>
      <c r="R792">
        <v>27892</v>
      </c>
    </row>
    <row r="793" spans="1:18" x14ac:dyDescent="0.25">
      <c r="A793" s="170">
        <v>45446</v>
      </c>
      <c r="B793" s="116">
        <v>4305.3</v>
      </c>
      <c r="C793" s="116">
        <v>4281.7</v>
      </c>
      <c r="D793" s="116">
        <v>4200</v>
      </c>
      <c r="E793" s="116">
        <v>4260.05</v>
      </c>
      <c r="F793" s="116">
        <v>4281.7</v>
      </c>
      <c r="G793">
        <v>3712</v>
      </c>
      <c r="H793" s="116"/>
      <c r="I793" s="116"/>
      <c r="L793" s="170">
        <v>45446</v>
      </c>
      <c r="M793" s="116">
        <v>4281.45</v>
      </c>
      <c r="N793" s="116">
        <v>4320</v>
      </c>
      <c r="O793" s="116">
        <v>4202.05</v>
      </c>
      <c r="P793" s="116">
        <v>4284.95</v>
      </c>
      <c r="Q793" s="116">
        <v>4281.45</v>
      </c>
      <c r="R793">
        <v>34207</v>
      </c>
    </row>
    <row r="794" spans="1:18" x14ac:dyDescent="0.25">
      <c r="A794" s="170">
        <v>45447</v>
      </c>
      <c r="B794" s="116">
        <v>4333.6499999999996</v>
      </c>
      <c r="C794" s="116">
        <v>4151.6499999999996</v>
      </c>
      <c r="D794" s="116">
        <v>4100.6499999999996</v>
      </c>
      <c r="E794" s="116">
        <v>4234</v>
      </c>
      <c r="F794" s="116">
        <v>4151.6499999999996</v>
      </c>
      <c r="G794">
        <v>6124</v>
      </c>
      <c r="H794" s="116"/>
      <c r="I794" s="116"/>
      <c r="L794" s="170">
        <v>45447</v>
      </c>
      <c r="M794" s="116">
        <v>4158.1499999999996</v>
      </c>
      <c r="N794" s="116">
        <v>4300</v>
      </c>
      <c r="O794" s="116">
        <v>4100</v>
      </c>
      <c r="P794" s="116">
        <v>4300</v>
      </c>
      <c r="Q794" s="116">
        <v>4158.1499999999996</v>
      </c>
      <c r="R794">
        <v>125334</v>
      </c>
    </row>
    <row r="795" spans="1:18" x14ac:dyDescent="0.25">
      <c r="A795" s="170">
        <v>45448</v>
      </c>
      <c r="B795" s="116">
        <v>4221.1000000000004</v>
      </c>
      <c r="C795" s="116">
        <v>4177.2</v>
      </c>
      <c r="D795" s="116">
        <v>4095</v>
      </c>
      <c r="E795" s="116">
        <v>4177.55</v>
      </c>
      <c r="F795" s="116">
        <v>4177.2</v>
      </c>
      <c r="G795">
        <v>1849</v>
      </c>
      <c r="H795" s="116"/>
      <c r="I795" s="116"/>
      <c r="L795" s="170">
        <v>45448</v>
      </c>
      <c r="M795" s="116">
        <v>4189.55</v>
      </c>
      <c r="N795" s="116">
        <v>4233.3999999999996</v>
      </c>
      <c r="O795" s="116">
        <v>4080.2</v>
      </c>
      <c r="P795" s="116">
        <v>4158.1499999999996</v>
      </c>
      <c r="Q795" s="116">
        <v>4189.55</v>
      </c>
      <c r="R795">
        <v>123823</v>
      </c>
    </row>
    <row r="796" spans="1:18" x14ac:dyDescent="0.25">
      <c r="A796" s="170">
        <v>45449</v>
      </c>
      <c r="B796" s="116">
        <v>4324.05</v>
      </c>
      <c r="C796" s="116">
        <v>4299.3500000000004</v>
      </c>
      <c r="D796" s="116">
        <v>4200</v>
      </c>
      <c r="E796" s="116">
        <v>4229.95</v>
      </c>
      <c r="F796" s="116">
        <v>4299.3500000000004</v>
      </c>
      <c r="G796">
        <v>1270</v>
      </c>
      <c r="H796" s="116"/>
      <c r="I796" s="116"/>
      <c r="L796" s="170">
        <v>45449</v>
      </c>
      <c r="M796" s="116">
        <v>4299.2</v>
      </c>
      <c r="N796" s="116">
        <v>4328</v>
      </c>
      <c r="O796" s="116">
        <v>4192</v>
      </c>
      <c r="P796" s="116">
        <v>4192</v>
      </c>
      <c r="Q796" s="116">
        <v>4299.2</v>
      </c>
      <c r="R796">
        <v>52353</v>
      </c>
    </row>
    <row r="797" spans="1:18" x14ac:dyDescent="0.25">
      <c r="A797" s="170">
        <v>45450</v>
      </c>
      <c r="B797" s="116">
        <v>4392.45</v>
      </c>
      <c r="C797" s="116">
        <v>4372.3999999999996</v>
      </c>
      <c r="D797" s="116">
        <v>4283.95</v>
      </c>
      <c r="E797" s="116">
        <v>4297.3</v>
      </c>
      <c r="F797" s="116">
        <v>4372.3999999999996</v>
      </c>
      <c r="G797">
        <v>2614</v>
      </c>
      <c r="H797" s="116"/>
      <c r="I797" s="116"/>
      <c r="L797" s="170">
        <v>45450</v>
      </c>
      <c r="M797" s="116">
        <v>4371.45</v>
      </c>
      <c r="N797" s="116">
        <v>4390</v>
      </c>
      <c r="O797" s="116">
        <v>4282</v>
      </c>
      <c r="P797" s="116">
        <v>4330.2</v>
      </c>
      <c r="Q797" s="116">
        <v>4371.45</v>
      </c>
      <c r="R797">
        <v>29727</v>
      </c>
    </row>
    <row r="798" spans="1:18" x14ac:dyDescent="0.25">
      <c r="A798" s="170">
        <v>45453</v>
      </c>
      <c r="B798" s="116">
        <v>4455</v>
      </c>
      <c r="C798" s="116">
        <v>4437.25</v>
      </c>
      <c r="D798" s="116">
        <v>4373.6000000000004</v>
      </c>
      <c r="E798" s="116">
        <v>4448.6000000000004</v>
      </c>
      <c r="F798" s="116">
        <v>4437.25</v>
      </c>
      <c r="G798">
        <v>3018</v>
      </c>
      <c r="H798" s="116"/>
      <c r="I798" s="116"/>
      <c r="L798" s="170">
        <v>45453</v>
      </c>
      <c r="M798" s="116">
        <v>4439.3999999999996</v>
      </c>
      <c r="N798" s="116">
        <v>4460</v>
      </c>
      <c r="O798" s="116">
        <v>4370.05</v>
      </c>
      <c r="P798" s="116">
        <v>4410</v>
      </c>
      <c r="Q798" s="116">
        <v>4439.3999999999996</v>
      </c>
      <c r="R798">
        <v>30237</v>
      </c>
    </row>
    <row r="799" spans="1:18" x14ac:dyDescent="0.25">
      <c r="A799" s="170">
        <v>45454</v>
      </c>
      <c r="B799" s="116">
        <v>4476.3</v>
      </c>
      <c r="C799" s="116">
        <v>4408.25</v>
      </c>
      <c r="D799" s="116">
        <v>4390</v>
      </c>
      <c r="E799" s="116">
        <v>4445</v>
      </c>
      <c r="F799" s="116">
        <v>4408.25</v>
      </c>
      <c r="G799">
        <v>1184</v>
      </c>
      <c r="H799" s="116"/>
      <c r="I799" s="116"/>
      <c r="L799" s="170">
        <v>45454</v>
      </c>
      <c r="M799" s="116">
        <v>4418</v>
      </c>
      <c r="N799" s="116">
        <v>4476.3</v>
      </c>
      <c r="O799" s="116">
        <v>4382</v>
      </c>
      <c r="P799" s="116">
        <v>4453.2</v>
      </c>
      <c r="Q799" s="116">
        <v>4418</v>
      </c>
      <c r="R799">
        <v>33152</v>
      </c>
    </row>
    <row r="800" spans="1:18" x14ac:dyDescent="0.25">
      <c r="A800" s="170">
        <v>45455</v>
      </c>
      <c r="B800" s="116">
        <v>4411.5</v>
      </c>
      <c r="C800" s="116">
        <v>4393.05</v>
      </c>
      <c r="D800" s="116">
        <v>4358.1499999999996</v>
      </c>
      <c r="E800" s="116">
        <v>4397.5</v>
      </c>
      <c r="F800" s="116">
        <v>4393.05</v>
      </c>
      <c r="G800">
        <v>955</v>
      </c>
      <c r="H800" s="116"/>
      <c r="I800" s="116"/>
      <c r="L800" s="170">
        <v>45455</v>
      </c>
      <c r="M800" s="116">
        <v>4393.8</v>
      </c>
      <c r="N800" s="116">
        <v>4440</v>
      </c>
      <c r="O800" s="116">
        <v>4342.1000000000004</v>
      </c>
      <c r="P800" s="116">
        <v>4415</v>
      </c>
      <c r="Q800" s="116">
        <v>4393.8</v>
      </c>
      <c r="R800">
        <v>35596</v>
      </c>
    </row>
    <row r="801" spans="1:18" x14ac:dyDescent="0.25">
      <c r="A801" s="170">
        <v>45456</v>
      </c>
      <c r="B801" s="116">
        <v>4449.95</v>
      </c>
      <c r="C801" s="116">
        <v>4414.2</v>
      </c>
      <c r="D801" s="116">
        <v>4398.3999999999996</v>
      </c>
      <c r="E801" s="116">
        <v>4449.95</v>
      </c>
      <c r="F801" s="116">
        <v>4414.2</v>
      </c>
      <c r="G801">
        <v>1173</v>
      </c>
      <c r="H801" s="116"/>
      <c r="I801" s="116"/>
      <c r="L801" s="170">
        <v>45456</v>
      </c>
      <c r="M801" s="116">
        <v>4417.6000000000004</v>
      </c>
      <c r="N801" s="116">
        <v>4450</v>
      </c>
      <c r="O801" s="116">
        <v>4400</v>
      </c>
      <c r="P801" s="116">
        <v>4400</v>
      </c>
      <c r="Q801" s="116">
        <v>4417.6000000000004</v>
      </c>
      <c r="R801">
        <v>22261</v>
      </c>
    </row>
    <row r="802" spans="1:18" x14ac:dyDescent="0.25">
      <c r="A802" s="170">
        <v>45457</v>
      </c>
      <c r="B802" s="116">
        <v>4756</v>
      </c>
      <c r="C802" s="116">
        <v>4707.3999999999996</v>
      </c>
      <c r="D802" s="116">
        <v>4418.2</v>
      </c>
      <c r="E802" s="116">
        <v>4418.2</v>
      </c>
      <c r="F802" s="116">
        <v>4707.3999999999996</v>
      </c>
      <c r="G802">
        <v>6036</v>
      </c>
      <c r="H802" s="116"/>
      <c r="I802" s="116"/>
      <c r="L802" s="170">
        <v>45457</v>
      </c>
      <c r="M802" s="116">
        <v>4713.1000000000004</v>
      </c>
      <c r="N802" s="116">
        <v>4755.3999999999996</v>
      </c>
      <c r="O802" s="116">
        <v>4399</v>
      </c>
      <c r="P802" s="116">
        <v>4399</v>
      </c>
      <c r="Q802" s="116">
        <v>4713.1000000000004</v>
      </c>
      <c r="R802">
        <v>384889</v>
      </c>
    </row>
    <row r="803" spans="1:18" x14ac:dyDescent="0.25">
      <c r="A803" s="170">
        <v>45461</v>
      </c>
      <c r="B803" s="116">
        <v>4848</v>
      </c>
      <c r="C803" s="116">
        <v>4776.3500000000004</v>
      </c>
      <c r="D803" s="116">
        <v>4668</v>
      </c>
      <c r="E803" s="116">
        <v>4848</v>
      </c>
      <c r="F803" s="116">
        <v>4776.3500000000004</v>
      </c>
      <c r="G803">
        <v>6491</v>
      </c>
      <c r="H803" s="116"/>
      <c r="I803" s="116"/>
      <c r="L803" s="170">
        <v>45461</v>
      </c>
      <c r="M803" s="116">
        <v>4768.3</v>
      </c>
      <c r="N803" s="116">
        <v>4812.2</v>
      </c>
      <c r="O803" s="116">
        <v>4659.6000000000004</v>
      </c>
      <c r="P803" s="116">
        <v>4800</v>
      </c>
      <c r="Q803" s="116">
        <v>4768.3</v>
      </c>
      <c r="R803">
        <v>116996</v>
      </c>
    </row>
    <row r="804" spans="1:18" x14ac:dyDescent="0.25">
      <c r="A804" s="170">
        <v>45462</v>
      </c>
      <c r="B804" s="116">
        <v>4980</v>
      </c>
      <c r="C804" s="116">
        <v>4885.7</v>
      </c>
      <c r="D804" s="116">
        <v>4768.45</v>
      </c>
      <c r="E804" s="116">
        <v>4812</v>
      </c>
      <c r="F804" s="116">
        <v>4885.7</v>
      </c>
      <c r="G804">
        <v>24940</v>
      </c>
      <c r="H804" s="116"/>
      <c r="I804" s="116"/>
      <c r="L804" s="170">
        <v>45462</v>
      </c>
      <c r="M804" s="116">
        <v>4890.5</v>
      </c>
      <c r="N804" s="116">
        <v>4984</v>
      </c>
      <c r="O804" s="116">
        <v>4770.75</v>
      </c>
      <c r="P804" s="116">
        <v>4840</v>
      </c>
      <c r="Q804" s="116">
        <v>4890.5</v>
      </c>
      <c r="R804">
        <v>218616</v>
      </c>
    </row>
    <row r="805" spans="1:18" x14ac:dyDescent="0.25">
      <c r="A805" s="170">
        <v>45463</v>
      </c>
      <c r="B805" s="116">
        <v>4949.05</v>
      </c>
      <c r="C805" s="116">
        <v>4854.8999999999996</v>
      </c>
      <c r="D805" s="116">
        <v>4814.1000000000004</v>
      </c>
      <c r="E805" s="116">
        <v>4910</v>
      </c>
      <c r="F805" s="116">
        <v>4854.8999999999996</v>
      </c>
      <c r="G805">
        <v>3346</v>
      </c>
      <c r="H805" s="116"/>
      <c r="I805" s="116"/>
      <c r="L805" s="170">
        <v>45463</v>
      </c>
      <c r="M805" s="116">
        <v>4845.55</v>
      </c>
      <c r="N805" s="116">
        <v>4950</v>
      </c>
      <c r="O805" s="116">
        <v>4800</v>
      </c>
      <c r="P805" s="116">
        <v>4939.95</v>
      </c>
      <c r="Q805" s="116">
        <v>4845.55</v>
      </c>
      <c r="R805">
        <v>98578</v>
      </c>
    </row>
    <row r="806" spans="1:18" x14ac:dyDescent="0.25">
      <c r="A806" s="170">
        <v>45464</v>
      </c>
      <c r="B806" s="116">
        <v>5000</v>
      </c>
      <c r="C806" s="116">
        <v>4841.55</v>
      </c>
      <c r="D806" s="116">
        <v>4830.8999999999996</v>
      </c>
      <c r="E806" s="116">
        <v>4897.95</v>
      </c>
      <c r="F806" s="116">
        <v>4841.55</v>
      </c>
      <c r="G806">
        <v>5431</v>
      </c>
      <c r="H806" s="116"/>
      <c r="I806" s="116"/>
      <c r="L806" s="170">
        <v>45464</v>
      </c>
      <c r="M806" s="116">
        <v>4844.6000000000004</v>
      </c>
      <c r="N806" s="116">
        <v>5004</v>
      </c>
      <c r="O806" s="116">
        <v>4825.55</v>
      </c>
      <c r="P806" s="116">
        <v>4850.1000000000004</v>
      </c>
      <c r="Q806" s="116">
        <v>4844.6000000000004</v>
      </c>
      <c r="R806">
        <v>96663</v>
      </c>
    </row>
    <row r="807" spans="1:18" x14ac:dyDescent="0.25">
      <c r="A807" s="170">
        <v>45467</v>
      </c>
      <c r="B807" s="116">
        <v>4947.5</v>
      </c>
      <c r="C807" s="116">
        <v>4835</v>
      </c>
      <c r="D807" s="116">
        <v>4815.8</v>
      </c>
      <c r="E807" s="116">
        <v>4938.3999999999996</v>
      </c>
      <c r="F807" s="116">
        <v>4835</v>
      </c>
      <c r="G807">
        <v>1509</v>
      </c>
      <c r="H807" s="116"/>
      <c r="I807" s="116"/>
      <c r="L807" s="170">
        <v>45467</v>
      </c>
      <c r="M807" s="116">
        <v>4830.75</v>
      </c>
      <c r="N807" s="116">
        <v>4950</v>
      </c>
      <c r="O807" s="116">
        <v>4804.3999999999996</v>
      </c>
      <c r="P807" s="116">
        <v>4841.6000000000004</v>
      </c>
      <c r="Q807" s="116">
        <v>4830.75</v>
      </c>
      <c r="R807">
        <v>45731</v>
      </c>
    </row>
    <row r="808" spans="1:18" x14ac:dyDescent="0.25">
      <c r="A808" s="170">
        <v>45468</v>
      </c>
      <c r="B808" s="116">
        <v>5685.8</v>
      </c>
      <c r="C808" s="116">
        <v>5481.75</v>
      </c>
      <c r="D808" s="116">
        <v>4842.05</v>
      </c>
      <c r="E808" s="116">
        <v>4842.05</v>
      </c>
      <c r="F808" s="116">
        <v>5481.75</v>
      </c>
      <c r="G808">
        <v>103403</v>
      </c>
      <c r="H808" s="116"/>
      <c r="I808" s="116"/>
      <c r="L808" s="170">
        <v>45468</v>
      </c>
      <c r="M808" s="116">
        <v>5463.8</v>
      </c>
      <c r="N808" s="116">
        <v>5690</v>
      </c>
      <c r="O808" s="116">
        <v>4859</v>
      </c>
      <c r="P808" s="116">
        <v>4949</v>
      </c>
      <c r="Q808" s="116">
        <v>5463.8</v>
      </c>
      <c r="R808">
        <v>1803473</v>
      </c>
    </row>
    <row r="809" spans="1:18" x14ac:dyDescent="0.25">
      <c r="A809" s="170">
        <v>45469</v>
      </c>
      <c r="B809" s="116">
        <v>5600</v>
      </c>
      <c r="C809" s="116">
        <v>5483.75</v>
      </c>
      <c r="D809" s="116">
        <v>5185.05</v>
      </c>
      <c r="E809" s="116">
        <v>5350</v>
      </c>
      <c r="F809" s="116">
        <v>5483.75</v>
      </c>
      <c r="G809">
        <v>28989</v>
      </c>
      <c r="H809" s="116"/>
      <c r="I809" s="116"/>
      <c r="L809" s="170">
        <v>45469</v>
      </c>
      <c r="M809" s="116">
        <v>5485.8</v>
      </c>
      <c r="N809" s="116">
        <v>5607.4</v>
      </c>
      <c r="O809" s="116">
        <v>5181.6499999999996</v>
      </c>
      <c r="P809" s="116">
        <v>5344.9</v>
      </c>
      <c r="Q809" s="116">
        <v>5485.8</v>
      </c>
      <c r="R809">
        <v>450904</v>
      </c>
    </row>
    <row r="810" spans="1:18" x14ac:dyDescent="0.25">
      <c r="A810" s="170">
        <v>45470</v>
      </c>
      <c r="B810" s="116">
        <v>5486.8</v>
      </c>
      <c r="C810" s="116">
        <v>5458.9</v>
      </c>
      <c r="D810" s="116">
        <v>5390.85</v>
      </c>
      <c r="E810" s="116">
        <v>5485</v>
      </c>
      <c r="F810" s="116">
        <v>5458.9</v>
      </c>
      <c r="G810">
        <v>5562</v>
      </c>
      <c r="H810" s="116"/>
      <c r="I810" s="116"/>
      <c r="L810" s="170">
        <v>45470</v>
      </c>
      <c r="M810" s="116">
        <v>5458.55</v>
      </c>
      <c r="N810" s="116">
        <v>5485</v>
      </c>
      <c r="O810" s="116">
        <v>5386.55</v>
      </c>
      <c r="P810" s="116">
        <v>5484.2</v>
      </c>
      <c r="Q810" s="116">
        <v>5458.55</v>
      </c>
      <c r="R810">
        <v>268559</v>
      </c>
    </row>
    <row r="811" spans="1:18" x14ac:dyDescent="0.25">
      <c r="A811" s="170">
        <v>45471</v>
      </c>
      <c r="B811" s="116">
        <v>5661.05</v>
      </c>
      <c r="C811" s="116">
        <v>5542.65</v>
      </c>
      <c r="D811" s="116">
        <v>5373.35</v>
      </c>
      <c r="E811" s="116">
        <v>5377.55</v>
      </c>
      <c r="F811" s="116">
        <v>5542.65</v>
      </c>
      <c r="G811">
        <v>8327</v>
      </c>
      <c r="H811" s="116"/>
      <c r="I811" s="116"/>
      <c r="L811" s="170">
        <v>45471</v>
      </c>
      <c r="M811" s="116">
        <v>5541.55</v>
      </c>
      <c r="N811" s="116">
        <v>5667.75</v>
      </c>
      <c r="O811" s="116">
        <v>5358.95</v>
      </c>
      <c r="P811" s="116">
        <v>5358.95</v>
      </c>
      <c r="Q811" s="116">
        <v>5541.55</v>
      </c>
      <c r="R811">
        <v>190965</v>
      </c>
    </row>
    <row r="812" spans="1:18" x14ac:dyDescent="0.25">
      <c r="A812" s="170">
        <v>45474</v>
      </c>
      <c r="B812" s="116">
        <v>5621</v>
      </c>
      <c r="C812" s="116">
        <v>5574.65</v>
      </c>
      <c r="D812" s="116">
        <v>5496.1</v>
      </c>
      <c r="E812" s="116">
        <v>5542.6</v>
      </c>
      <c r="F812" s="116">
        <v>5574.65</v>
      </c>
      <c r="G812">
        <v>6953</v>
      </c>
      <c r="H812" s="116"/>
      <c r="I812" s="116"/>
      <c r="L812" s="170">
        <v>45474</v>
      </c>
      <c r="M812" s="116">
        <v>5576</v>
      </c>
      <c r="N812" s="116">
        <v>5627.95</v>
      </c>
      <c r="O812" s="116">
        <v>5500</v>
      </c>
      <c r="P812" s="116">
        <v>5604.95</v>
      </c>
      <c r="Q812" s="116">
        <v>5576</v>
      </c>
      <c r="R812">
        <v>71915</v>
      </c>
    </row>
    <row r="813" spans="1:18" x14ac:dyDescent="0.25">
      <c r="A813" s="170">
        <v>45475</v>
      </c>
      <c r="B813" s="116">
        <v>5789.65</v>
      </c>
      <c r="C813" s="116">
        <v>5691.4</v>
      </c>
      <c r="D813" s="116">
        <v>5511.95</v>
      </c>
      <c r="E813" s="116">
        <v>5575</v>
      </c>
      <c r="F813" s="116">
        <v>5691.4</v>
      </c>
      <c r="G813">
        <v>5366</v>
      </c>
      <c r="H813" s="116"/>
      <c r="I813" s="116"/>
      <c r="L813" s="170">
        <v>45475</v>
      </c>
      <c r="M813" s="116">
        <v>5695.3</v>
      </c>
      <c r="N813" s="116">
        <v>5791.2</v>
      </c>
      <c r="O813" s="116">
        <v>5515</v>
      </c>
      <c r="P813" s="116">
        <v>5576</v>
      </c>
      <c r="Q813" s="116">
        <v>5695.3</v>
      </c>
      <c r="R813">
        <v>178597</v>
      </c>
    </row>
    <row r="814" spans="1:18" x14ac:dyDescent="0.25">
      <c r="A814" s="170">
        <v>45476</v>
      </c>
      <c r="B814" s="116">
        <v>5825.55</v>
      </c>
      <c r="C814" s="116">
        <v>5764.1</v>
      </c>
      <c r="D814" s="116">
        <v>5690</v>
      </c>
      <c r="E814" s="116">
        <v>5714.9</v>
      </c>
      <c r="F814" s="116">
        <v>5764.1</v>
      </c>
      <c r="G814">
        <v>3342</v>
      </c>
      <c r="H814" s="116"/>
      <c r="I814" s="116"/>
      <c r="L814" s="170">
        <v>45476</v>
      </c>
      <c r="M814" s="116">
        <v>5764.45</v>
      </c>
      <c r="N814" s="116">
        <v>5840</v>
      </c>
      <c r="O814" s="116">
        <v>5685</v>
      </c>
      <c r="P814" s="116">
        <v>5767.7</v>
      </c>
      <c r="Q814" s="116">
        <v>5764.45</v>
      </c>
      <c r="R814">
        <v>100401</v>
      </c>
    </row>
    <row r="815" spans="1:18" x14ac:dyDescent="0.25">
      <c r="A815" s="170">
        <v>45477</v>
      </c>
      <c r="B815" s="116">
        <v>5794.75</v>
      </c>
      <c r="C815" s="116">
        <v>5704.15</v>
      </c>
      <c r="D815" s="116">
        <v>5643.15</v>
      </c>
      <c r="E815" s="116">
        <v>5770.1</v>
      </c>
      <c r="F815" s="116">
        <v>5704.15</v>
      </c>
      <c r="G815">
        <v>2301</v>
      </c>
      <c r="H815" s="116"/>
      <c r="I815" s="116"/>
      <c r="L815" s="170">
        <v>45477</v>
      </c>
      <c r="M815" s="116">
        <v>5700.85</v>
      </c>
      <c r="N815" s="116">
        <v>5799</v>
      </c>
      <c r="O815" s="116">
        <v>5634.9</v>
      </c>
      <c r="P815" s="116">
        <v>5799</v>
      </c>
      <c r="Q815" s="116">
        <v>5700.85</v>
      </c>
      <c r="R815">
        <v>60543</v>
      </c>
    </row>
    <row r="816" spans="1:18" x14ac:dyDescent="0.25">
      <c r="A816" s="170">
        <v>45478</v>
      </c>
      <c r="B816" s="116">
        <v>5784.75</v>
      </c>
      <c r="C816" s="116">
        <v>5672.05</v>
      </c>
      <c r="D816" s="116">
        <v>5633.85</v>
      </c>
      <c r="E816" s="116">
        <v>5784.75</v>
      </c>
      <c r="F816" s="116">
        <v>5672.05</v>
      </c>
      <c r="G816">
        <v>3116</v>
      </c>
      <c r="H816" s="116"/>
      <c r="I816" s="116"/>
      <c r="L816" s="170">
        <v>45478</v>
      </c>
      <c r="M816" s="116">
        <v>5681.6</v>
      </c>
      <c r="N816" s="116">
        <v>5765.7</v>
      </c>
      <c r="O816" s="116">
        <v>5635</v>
      </c>
      <c r="P816" s="116">
        <v>5690</v>
      </c>
      <c r="Q816" s="116">
        <v>5681.6</v>
      </c>
      <c r="R816">
        <v>31373</v>
      </c>
    </row>
    <row r="817" spans="1:18" x14ac:dyDescent="0.25">
      <c r="A817" s="170">
        <v>45481</v>
      </c>
      <c r="B817" s="116">
        <v>5718.3</v>
      </c>
      <c r="C817" s="116">
        <v>5521.2</v>
      </c>
      <c r="D817" s="116">
        <v>5501.45</v>
      </c>
      <c r="E817" s="116">
        <v>5672.1</v>
      </c>
      <c r="F817" s="116">
        <v>5521.2</v>
      </c>
      <c r="G817">
        <v>2426</v>
      </c>
      <c r="H817" s="116"/>
      <c r="I817" s="116"/>
      <c r="L817" s="170">
        <v>45481</v>
      </c>
      <c r="M817" s="116">
        <v>5528.75</v>
      </c>
      <c r="N817" s="116">
        <v>5730.9</v>
      </c>
      <c r="O817" s="116">
        <v>5501.75</v>
      </c>
      <c r="P817" s="116">
        <v>5681.6</v>
      </c>
      <c r="Q817" s="116">
        <v>5528.75</v>
      </c>
      <c r="R817">
        <v>35879</v>
      </c>
    </row>
    <row r="818" spans="1:18" x14ac:dyDescent="0.25">
      <c r="A818" s="170">
        <v>45482</v>
      </c>
      <c r="B818" s="116">
        <v>5543.65</v>
      </c>
      <c r="C818" s="116">
        <v>5426.55</v>
      </c>
      <c r="D818" s="116">
        <v>5359.1</v>
      </c>
      <c r="E818" s="116">
        <v>5500.05</v>
      </c>
      <c r="F818" s="116">
        <v>5426.55</v>
      </c>
      <c r="G818">
        <v>2196</v>
      </c>
      <c r="H818" s="116"/>
      <c r="I818" s="116"/>
      <c r="L818" s="170">
        <v>45482</v>
      </c>
      <c r="M818" s="116">
        <v>5428.1</v>
      </c>
      <c r="N818" s="116">
        <v>5534.9</v>
      </c>
      <c r="O818" s="116">
        <v>5350</v>
      </c>
      <c r="P818" s="116">
        <v>5526</v>
      </c>
      <c r="Q818" s="116">
        <v>5428.1</v>
      </c>
      <c r="R818">
        <v>52409</v>
      </c>
    </row>
    <row r="819" spans="1:18" x14ac:dyDescent="0.25">
      <c r="A819" s="170">
        <v>45483</v>
      </c>
      <c r="B819" s="116">
        <v>5442.75</v>
      </c>
      <c r="C819" s="116">
        <v>5298.55</v>
      </c>
      <c r="D819" s="116">
        <v>5211</v>
      </c>
      <c r="E819" s="116">
        <v>5442.7</v>
      </c>
      <c r="F819" s="116">
        <v>5298.55</v>
      </c>
      <c r="G819">
        <v>2579</v>
      </c>
      <c r="H819" s="116"/>
      <c r="I819" s="116"/>
      <c r="L819" s="170">
        <v>45483</v>
      </c>
      <c r="M819" s="116">
        <v>5294.6</v>
      </c>
      <c r="N819" s="116">
        <v>5428.1</v>
      </c>
      <c r="O819" s="116">
        <v>5202</v>
      </c>
      <c r="P819" s="116">
        <v>5428</v>
      </c>
      <c r="Q819" s="116">
        <v>5294.6</v>
      </c>
      <c r="R819">
        <v>41381</v>
      </c>
    </row>
    <row r="820" spans="1:18" x14ac:dyDescent="0.25">
      <c r="A820" s="170">
        <v>45484</v>
      </c>
      <c r="B820" s="116">
        <v>5477</v>
      </c>
      <c r="C820" s="116">
        <v>5361.65</v>
      </c>
      <c r="D820" s="116">
        <v>5254.55</v>
      </c>
      <c r="E820" s="116">
        <v>5290</v>
      </c>
      <c r="F820" s="116">
        <v>5361.65</v>
      </c>
      <c r="G820">
        <v>4398</v>
      </c>
      <c r="H820" s="116"/>
      <c r="I820" s="116"/>
      <c r="L820" s="170">
        <v>45484</v>
      </c>
      <c r="M820" s="116">
        <v>5368.45</v>
      </c>
      <c r="N820" s="116">
        <v>5487.45</v>
      </c>
      <c r="O820" s="116">
        <v>5250.7</v>
      </c>
      <c r="P820" s="116">
        <v>5294.6</v>
      </c>
      <c r="Q820" s="116">
        <v>5368.45</v>
      </c>
      <c r="R820">
        <v>78004</v>
      </c>
    </row>
    <row r="821" spans="1:18" x14ac:dyDescent="0.25">
      <c r="A821" s="170">
        <v>45485</v>
      </c>
      <c r="B821" s="116">
        <v>5399</v>
      </c>
      <c r="C821" s="116">
        <v>5240.3</v>
      </c>
      <c r="D821" s="116">
        <v>5201</v>
      </c>
      <c r="E821" s="116">
        <v>5399</v>
      </c>
      <c r="F821" s="116">
        <v>5240.3</v>
      </c>
      <c r="G821">
        <v>2102</v>
      </c>
      <c r="H821" s="116"/>
      <c r="I821" s="116"/>
      <c r="L821" s="170">
        <v>45485</v>
      </c>
      <c r="M821" s="116">
        <v>5251.4</v>
      </c>
      <c r="N821" s="116">
        <v>5379.35</v>
      </c>
      <c r="O821" s="116">
        <v>5200</v>
      </c>
      <c r="P821" s="116">
        <v>5350</v>
      </c>
      <c r="Q821" s="116">
        <v>5251.4</v>
      </c>
      <c r="R821">
        <v>39210</v>
      </c>
    </row>
    <row r="822" spans="1:18" x14ac:dyDescent="0.25">
      <c r="A822" s="170">
        <v>45488</v>
      </c>
      <c r="B822" s="116">
        <v>5307</v>
      </c>
      <c r="C822" s="116">
        <v>5249.45</v>
      </c>
      <c r="D822" s="116">
        <v>5151.2</v>
      </c>
      <c r="E822" s="116">
        <v>5256</v>
      </c>
      <c r="F822" s="116">
        <v>5249.45</v>
      </c>
      <c r="G822">
        <v>2460</v>
      </c>
      <c r="H822" s="116"/>
      <c r="I822" s="116"/>
      <c r="L822" s="170">
        <v>45488</v>
      </c>
      <c r="M822" s="116">
        <v>5255.55</v>
      </c>
      <c r="N822" s="116">
        <v>5323.95</v>
      </c>
      <c r="O822" s="116">
        <v>5150</v>
      </c>
      <c r="P822" s="116">
        <v>5275.95</v>
      </c>
      <c r="Q822" s="116">
        <v>5255.55</v>
      </c>
      <c r="R822">
        <v>50102</v>
      </c>
    </row>
    <row r="823" spans="1:18" x14ac:dyDescent="0.25">
      <c r="A823" s="170">
        <v>45489</v>
      </c>
      <c r="B823" s="116">
        <v>5371.75</v>
      </c>
      <c r="C823" s="116">
        <v>5338.4</v>
      </c>
      <c r="D823" s="116">
        <v>5246.2</v>
      </c>
      <c r="E823" s="116">
        <v>5264</v>
      </c>
      <c r="F823" s="116">
        <v>5338.4</v>
      </c>
      <c r="G823">
        <v>1073</v>
      </c>
      <c r="H823" s="116"/>
      <c r="I823" s="116"/>
      <c r="L823" s="170">
        <v>45489</v>
      </c>
      <c r="M823" s="116">
        <v>5340.8</v>
      </c>
      <c r="N823" s="116">
        <v>5372.55</v>
      </c>
      <c r="O823" s="116">
        <v>5242.3500000000004</v>
      </c>
      <c r="P823" s="116">
        <v>5289</v>
      </c>
      <c r="Q823" s="116">
        <v>5340.8</v>
      </c>
      <c r="R823">
        <v>35145</v>
      </c>
    </row>
    <row r="824" spans="1:18" x14ac:dyDescent="0.25">
      <c r="A824" s="170">
        <v>45491</v>
      </c>
      <c r="B824" s="116">
        <v>5399.95</v>
      </c>
      <c r="C824" s="116">
        <v>5203.7</v>
      </c>
      <c r="D824" s="116">
        <v>5184</v>
      </c>
      <c r="E824" s="116">
        <v>5399.95</v>
      </c>
      <c r="F824" s="116">
        <v>5203.7</v>
      </c>
      <c r="G824">
        <v>1072</v>
      </c>
      <c r="H824" s="116"/>
      <c r="I824" s="116"/>
      <c r="L824" s="170">
        <v>45491</v>
      </c>
      <c r="M824" s="116">
        <v>5201.45</v>
      </c>
      <c r="N824" s="116">
        <v>5372</v>
      </c>
      <c r="O824" s="116">
        <v>5178.75</v>
      </c>
      <c r="P824" s="116">
        <v>5370</v>
      </c>
      <c r="Q824" s="116">
        <v>5201.45</v>
      </c>
      <c r="R824">
        <v>28048</v>
      </c>
    </row>
    <row r="825" spans="1:18" x14ac:dyDescent="0.25">
      <c r="A825" s="170">
        <v>45492</v>
      </c>
      <c r="B825" s="116">
        <v>5254.5</v>
      </c>
      <c r="C825" s="116">
        <v>5103.3999999999996</v>
      </c>
      <c r="D825" s="116">
        <v>5072.3999999999996</v>
      </c>
      <c r="E825" s="116">
        <v>5210</v>
      </c>
      <c r="F825" s="116">
        <v>5103.3999999999996</v>
      </c>
      <c r="G825">
        <v>4440</v>
      </c>
      <c r="H825" s="116"/>
      <c r="I825" s="116"/>
      <c r="L825" s="170">
        <v>45492</v>
      </c>
      <c r="M825" s="116">
        <v>5102.75</v>
      </c>
      <c r="N825" s="116">
        <v>5249</v>
      </c>
      <c r="O825" s="116">
        <v>5070.3500000000004</v>
      </c>
      <c r="P825" s="116">
        <v>5230</v>
      </c>
      <c r="Q825" s="116">
        <v>5102.75</v>
      </c>
      <c r="R825">
        <v>25957</v>
      </c>
    </row>
    <row r="826" spans="1:18" x14ac:dyDescent="0.25">
      <c r="A826" s="170">
        <v>45495</v>
      </c>
      <c r="B826" s="116">
        <v>5328.5</v>
      </c>
      <c r="C826" s="116">
        <v>5274.45</v>
      </c>
      <c r="D826" s="116">
        <v>4850.1000000000004</v>
      </c>
      <c r="E826" s="116">
        <v>4850.1000000000004</v>
      </c>
      <c r="F826" s="116">
        <v>5274.45</v>
      </c>
      <c r="G826">
        <v>3427</v>
      </c>
      <c r="H826" s="116"/>
      <c r="I826" s="116"/>
      <c r="L826" s="170">
        <v>45495</v>
      </c>
      <c r="M826" s="116">
        <v>5274.35</v>
      </c>
      <c r="N826" s="116">
        <v>5324</v>
      </c>
      <c r="O826" s="116">
        <v>5010</v>
      </c>
      <c r="P826" s="116">
        <v>5010</v>
      </c>
      <c r="Q826" s="116">
        <v>5274.35</v>
      </c>
      <c r="R826">
        <v>34301</v>
      </c>
    </row>
    <row r="827" spans="1:18" x14ac:dyDescent="0.25">
      <c r="A827" s="170">
        <v>45496</v>
      </c>
      <c r="B827" s="116">
        <v>5371</v>
      </c>
      <c r="C827" s="116">
        <v>5231.5</v>
      </c>
      <c r="D827" s="116">
        <v>5004.05</v>
      </c>
      <c r="E827" s="116">
        <v>5371</v>
      </c>
      <c r="F827" s="116">
        <v>5231.5</v>
      </c>
      <c r="G827">
        <v>4281</v>
      </c>
      <c r="H827" s="116"/>
      <c r="I827" s="116"/>
      <c r="L827" s="170">
        <v>45496</v>
      </c>
      <c r="M827" s="116">
        <v>5238.6499999999996</v>
      </c>
      <c r="N827" s="116">
        <v>5317.95</v>
      </c>
      <c r="O827" s="116">
        <v>5006.5</v>
      </c>
      <c r="P827" s="116">
        <v>5275</v>
      </c>
      <c r="Q827" s="116">
        <v>5238.6499999999996</v>
      </c>
      <c r="R827">
        <v>33037</v>
      </c>
    </row>
    <row r="828" spans="1:18" x14ac:dyDescent="0.25">
      <c r="A828" s="170">
        <v>45497</v>
      </c>
      <c r="B828" s="116">
        <v>5346.2</v>
      </c>
      <c r="C828" s="116">
        <v>5317.2</v>
      </c>
      <c r="D828" s="116">
        <v>5211.6499999999996</v>
      </c>
      <c r="E828" s="116">
        <v>5264.7</v>
      </c>
      <c r="F828" s="116">
        <v>5317.2</v>
      </c>
      <c r="G828">
        <v>1428</v>
      </c>
      <c r="H828" s="116"/>
      <c r="I828" s="116"/>
      <c r="L828" s="170">
        <v>45497</v>
      </c>
      <c r="M828" s="116">
        <v>5313.25</v>
      </c>
      <c r="N828" s="116">
        <v>5355</v>
      </c>
      <c r="O828" s="116">
        <v>5210</v>
      </c>
      <c r="P828" s="116">
        <v>5284</v>
      </c>
      <c r="Q828" s="116">
        <v>5313.25</v>
      </c>
      <c r="R828">
        <v>29510</v>
      </c>
    </row>
    <row r="829" spans="1:18" x14ac:dyDescent="0.25">
      <c r="A829" s="170">
        <v>45498</v>
      </c>
      <c r="B829" s="116">
        <v>5243.55</v>
      </c>
      <c r="C829" s="116">
        <v>5204.8</v>
      </c>
      <c r="D829" s="116">
        <v>4994.05</v>
      </c>
      <c r="E829" s="116">
        <v>5155.6499999999996</v>
      </c>
      <c r="F829" s="116">
        <v>5204.8</v>
      </c>
      <c r="G829">
        <v>4611</v>
      </c>
      <c r="H829" s="116"/>
      <c r="I829" s="116"/>
      <c r="L829" s="170">
        <v>45498</v>
      </c>
      <c r="M829" s="116">
        <v>5207.55</v>
      </c>
      <c r="N829" s="116">
        <v>5250.45</v>
      </c>
      <c r="O829" s="116">
        <v>4997.95</v>
      </c>
      <c r="P829" s="116">
        <v>5100</v>
      </c>
      <c r="Q829" s="116">
        <v>5207.55</v>
      </c>
      <c r="R829">
        <v>100853</v>
      </c>
    </row>
    <row r="830" spans="1:18" x14ac:dyDescent="0.25">
      <c r="A830" s="170">
        <v>45499</v>
      </c>
      <c r="B830" s="116">
        <v>5340</v>
      </c>
      <c r="C830" s="116">
        <v>5325.5</v>
      </c>
      <c r="D830" s="116">
        <v>5194.45</v>
      </c>
      <c r="E830" s="116">
        <v>5250</v>
      </c>
      <c r="F830" s="116">
        <v>5325.5</v>
      </c>
      <c r="G830">
        <v>1418</v>
      </c>
      <c r="H830" s="116"/>
      <c r="I830" s="116"/>
      <c r="L830" s="170">
        <v>45499</v>
      </c>
      <c r="M830" s="116">
        <v>5323.85</v>
      </c>
      <c r="N830" s="116">
        <v>5340</v>
      </c>
      <c r="O830" s="116">
        <v>5170</v>
      </c>
      <c r="P830" s="116">
        <v>5190</v>
      </c>
      <c r="Q830" s="116">
        <v>5323.85</v>
      </c>
      <c r="R830">
        <v>55794</v>
      </c>
    </row>
    <row r="831" spans="1:18" x14ac:dyDescent="0.25">
      <c r="A831" s="170">
        <v>45502</v>
      </c>
      <c r="B831" s="116">
        <v>5400</v>
      </c>
      <c r="C831" s="116">
        <v>5353.15</v>
      </c>
      <c r="D831" s="116">
        <v>5285.75</v>
      </c>
      <c r="E831" s="116">
        <v>5325</v>
      </c>
      <c r="F831" s="116">
        <v>5353.15</v>
      </c>
      <c r="G831">
        <v>2101</v>
      </c>
      <c r="H831" s="116"/>
      <c r="I831" s="116"/>
      <c r="L831" s="170">
        <v>45502</v>
      </c>
      <c r="M831" s="116">
        <v>5352.25</v>
      </c>
      <c r="N831" s="116">
        <v>5410</v>
      </c>
      <c r="O831" s="116">
        <v>5292.1</v>
      </c>
      <c r="P831" s="116">
        <v>5325</v>
      </c>
      <c r="Q831" s="116">
        <v>5352.25</v>
      </c>
      <c r="R831">
        <v>19850</v>
      </c>
    </row>
    <row r="832" spans="1:18" x14ac:dyDescent="0.25">
      <c r="A832" s="170">
        <v>45503</v>
      </c>
      <c r="B832" s="116">
        <v>5536.05</v>
      </c>
      <c r="C832" s="116">
        <v>5494.75</v>
      </c>
      <c r="D832" s="116">
        <v>5325.4</v>
      </c>
      <c r="E832" s="116">
        <v>5383</v>
      </c>
      <c r="F832" s="116">
        <v>5494.75</v>
      </c>
      <c r="G832">
        <v>3092</v>
      </c>
      <c r="H832" s="116"/>
      <c r="I832" s="116"/>
      <c r="L832" s="170">
        <v>45503</v>
      </c>
      <c r="M832" s="116">
        <v>5499.65</v>
      </c>
      <c r="N832" s="116">
        <v>5530.5</v>
      </c>
      <c r="O832" s="116">
        <v>5326.1</v>
      </c>
      <c r="P832" s="116">
        <v>5399</v>
      </c>
      <c r="Q832" s="116">
        <v>5499.65</v>
      </c>
      <c r="R832">
        <v>36178</v>
      </c>
    </row>
    <row r="833" spans="1:18" x14ac:dyDescent="0.25">
      <c r="A833" s="170">
        <v>45504</v>
      </c>
      <c r="B833" s="116">
        <v>5681.2</v>
      </c>
      <c r="C833" s="116">
        <v>5635</v>
      </c>
      <c r="D833" s="116">
        <v>5510</v>
      </c>
      <c r="E833" s="116">
        <v>5541.85</v>
      </c>
      <c r="F833" s="116">
        <v>5635</v>
      </c>
      <c r="G833">
        <v>2795</v>
      </c>
      <c r="H833" s="116"/>
      <c r="I833" s="116"/>
      <c r="L833" s="170">
        <v>45504</v>
      </c>
      <c r="M833" s="116">
        <v>5589.5</v>
      </c>
      <c r="N833" s="116">
        <v>5686</v>
      </c>
      <c r="O833" s="116">
        <v>5460</v>
      </c>
      <c r="P833" s="116">
        <v>5500</v>
      </c>
      <c r="Q833" s="116">
        <v>5589.5</v>
      </c>
      <c r="R833">
        <v>87367</v>
      </c>
    </row>
    <row r="834" spans="1:18" x14ac:dyDescent="0.25">
      <c r="A834" s="170">
        <v>45505</v>
      </c>
      <c r="B834" s="116">
        <v>5611.85</v>
      </c>
      <c r="C834" s="116">
        <v>5542.25</v>
      </c>
      <c r="D834" s="116">
        <v>5473</v>
      </c>
      <c r="E834" s="116">
        <v>5605.7</v>
      </c>
      <c r="F834" s="116">
        <v>5542.25</v>
      </c>
      <c r="G834">
        <v>2927</v>
      </c>
      <c r="H834" s="116"/>
      <c r="I834" s="116"/>
      <c r="L834" s="170">
        <v>45505</v>
      </c>
      <c r="M834" s="116">
        <v>5544.3</v>
      </c>
      <c r="N834" s="116">
        <v>5637.9</v>
      </c>
      <c r="O834" s="116">
        <v>5469.35</v>
      </c>
      <c r="P834" s="116">
        <v>5594.95</v>
      </c>
      <c r="Q834" s="116">
        <v>5544.3</v>
      </c>
      <c r="R834">
        <v>36143</v>
      </c>
    </row>
    <row r="835" spans="1:18" x14ac:dyDescent="0.25">
      <c r="A835" s="170">
        <v>45506</v>
      </c>
      <c r="B835" s="116">
        <v>5508</v>
      </c>
      <c r="C835" s="116">
        <v>5354</v>
      </c>
      <c r="D835" s="116">
        <v>5322.5</v>
      </c>
      <c r="E835" s="116">
        <v>5508</v>
      </c>
      <c r="F835" s="116">
        <v>5354</v>
      </c>
      <c r="G835">
        <v>809</v>
      </c>
      <c r="H835" s="116"/>
      <c r="I835" s="116"/>
      <c r="L835" s="170">
        <v>45506</v>
      </c>
      <c r="M835" s="116">
        <v>5348.6</v>
      </c>
      <c r="N835" s="116">
        <v>5487.95</v>
      </c>
      <c r="O835" s="116">
        <v>5321.3</v>
      </c>
      <c r="P835" s="116">
        <v>5480</v>
      </c>
      <c r="Q835" s="116">
        <v>5348.6</v>
      </c>
      <c r="R835">
        <v>49440</v>
      </c>
    </row>
    <row r="836" spans="1:18" x14ac:dyDescent="0.25">
      <c r="A836" s="170">
        <v>45509</v>
      </c>
      <c r="B836" s="116">
        <v>5297</v>
      </c>
      <c r="C836" s="116">
        <v>5184.25</v>
      </c>
      <c r="D836" s="116">
        <v>5083.6000000000004</v>
      </c>
      <c r="E836" s="116">
        <v>5200.05</v>
      </c>
      <c r="F836" s="116">
        <v>5184.25</v>
      </c>
      <c r="G836">
        <v>3871</v>
      </c>
      <c r="H836" s="116"/>
      <c r="I836" s="116"/>
      <c r="L836" s="170">
        <v>45509</v>
      </c>
      <c r="M836" s="116">
        <v>5183</v>
      </c>
      <c r="N836" s="116">
        <v>5299</v>
      </c>
      <c r="O836" s="116">
        <v>5091.05</v>
      </c>
      <c r="P836" s="116">
        <v>5286</v>
      </c>
      <c r="Q836" s="116">
        <v>5183</v>
      </c>
      <c r="R836">
        <v>35398</v>
      </c>
    </row>
    <row r="837" spans="1:18" x14ac:dyDescent="0.25">
      <c r="A837" s="170">
        <v>45510</v>
      </c>
      <c r="B837" s="116">
        <v>5342.7</v>
      </c>
      <c r="C837" s="116">
        <v>5176.75</v>
      </c>
      <c r="D837" s="116">
        <v>5132.05</v>
      </c>
      <c r="E837" s="116">
        <v>5200</v>
      </c>
      <c r="F837" s="116">
        <v>5176.75</v>
      </c>
      <c r="G837">
        <v>2552</v>
      </c>
      <c r="H837" s="116"/>
      <c r="I837" s="116"/>
      <c r="L837" s="170">
        <v>45510</v>
      </c>
      <c r="M837" s="116">
        <v>5178.1000000000004</v>
      </c>
      <c r="N837" s="116">
        <v>5346.85</v>
      </c>
      <c r="O837" s="116">
        <v>5126.6000000000004</v>
      </c>
      <c r="P837" s="116">
        <v>5200</v>
      </c>
      <c r="Q837" s="116">
        <v>5178.1000000000004</v>
      </c>
      <c r="R837">
        <v>80590</v>
      </c>
    </row>
    <row r="838" spans="1:18" x14ac:dyDescent="0.25">
      <c r="A838" s="170">
        <v>45511</v>
      </c>
      <c r="B838" s="116">
        <v>5296.85</v>
      </c>
      <c r="C838" s="116">
        <v>5196.6499999999996</v>
      </c>
      <c r="D838" s="116">
        <v>5183.95</v>
      </c>
      <c r="E838" s="116">
        <v>5198.8</v>
      </c>
      <c r="F838" s="116">
        <v>5196.6499999999996</v>
      </c>
      <c r="G838">
        <v>1017</v>
      </c>
      <c r="H838" s="116"/>
      <c r="I838" s="116"/>
      <c r="L838" s="170">
        <v>45511</v>
      </c>
      <c r="M838" s="116">
        <v>5199.8</v>
      </c>
      <c r="N838" s="116">
        <v>5289.85</v>
      </c>
      <c r="O838" s="116">
        <v>5180</v>
      </c>
      <c r="P838" s="116">
        <v>5267.05</v>
      </c>
      <c r="Q838" s="116">
        <v>5199.8</v>
      </c>
      <c r="R838">
        <v>19860</v>
      </c>
    </row>
    <row r="839" spans="1:18" x14ac:dyDescent="0.25">
      <c r="A839" s="170">
        <v>45512</v>
      </c>
      <c r="B839" s="116">
        <v>5329.6</v>
      </c>
      <c r="C839" s="116">
        <v>5284.45</v>
      </c>
      <c r="D839" s="116">
        <v>5193.75</v>
      </c>
      <c r="E839" s="116">
        <v>5193.75</v>
      </c>
      <c r="F839" s="116">
        <v>5284.45</v>
      </c>
      <c r="G839">
        <v>1190</v>
      </c>
      <c r="H839" s="116"/>
      <c r="I839" s="116"/>
      <c r="L839" s="170">
        <v>45512</v>
      </c>
      <c r="M839" s="116">
        <v>5274</v>
      </c>
      <c r="N839" s="116">
        <v>5335</v>
      </c>
      <c r="O839" s="116">
        <v>5199.8</v>
      </c>
      <c r="P839" s="116">
        <v>5251.6</v>
      </c>
      <c r="Q839" s="116">
        <v>5274</v>
      </c>
      <c r="R839">
        <v>49446</v>
      </c>
    </row>
    <row r="840" spans="1:18" x14ac:dyDescent="0.25">
      <c r="A840" s="170">
        <v>45513</v>
      </c>
      <c r="B840" s="116">
        <v>5363.5</v>
      </c>
      <c r="C840" s="116">
        <v>5268.6</v>
      </c>
      <c r="D840" s="116">
        <v>5246.9</v>
      </c>
      <c r="E840" s="116">
        <v>5295</v>
      </c>
      <c r="F840" s="116">
        <v>5268.6</v>
      </c>
      <c r="G840">
        <v>1308</v>
      </c>
      <c r="H840" s="116"/>
      <c r="I840" s="116"/>
      <c r="L840" s="170">
        <v>45513</v>
      </c>
      <c r="M840" s="116">
        <v>5270.25</v>
      </c>
      <c r="N840" s="116">
        <v>5366.4</v>
      </c>
      <c r="O840" s="116">
        <v>5240</v>
      </c>
      <c r="P840" s="116">
        <v>5275</v>
      </c>
      <c r="Q840" s="116">
        <v>5270.25</v>
      </c>
      <c r="R840">
        <v>27837</v>
      </c>
    </row>
    <row r="841" spans="1:18" x14ac:dyDescent="0.25">
      <c r="A841" s="170">
        <v>45516</v>
      </c>
      <c r="B841" s="116">
        <v>5440.25</v>
      </c>
      <c r="C841" s="116">
        <v>5364.15</v>
      </c>
      <c r="D841" s="116">
        <v>5163.25</v>
      </c>
      <c r="E841" s="116">
        <v>5163.25</v>
      </c>
      <c r="F841" s="116">
        <v>5364.15</v>
      </c>
      <c r="G841">
        <v>1037</v>
      </c>
      <c r="H841" s="116"/>
      <c r="I841" s="116"/>
      <c r="L841" s="170">
        <v>45516</v>
      </c>
      <c r="M841" s="116">
        <v>5369.05</v>
      </c>
      <c r="N841" s="116">
        <v>5445</v>
      </c>
      <c r="O841" s="116">
        <v>5200</v>
      </c>
      <c r="P841" s="116">
        <v>5240</v>
      </c>
      <c r="Q841" s="116">
        <v>5369.05</v>
      </c>
      <c r="R841">
        <v>102577</v>
      </c>
    </row>
    <row r="842" spans="1:18" x14ac:dyDescent="0.25">
      <c r="A842" s="170">
        <v>45517</v>
      </c>
      <c r="B842" s="116">
        <v>5502.15</v>
      </c>
      <c r="C842" s="116">
        <v>5382.25</v>
      </c>
      <c r="D842" s="116">
        <v>5331</v>
      </c>
      <c r="E842" s="116">
        <v>5468.45</v>
      </c>
      <c r="F842" s="116">
        <v>5382.25</v>
      </c>
      <c r="G842">
        <v>1517</v>
      </c>
      <c r="H842" s="116"/>
      <c r="I842" s="116"/>
      <c r="L842" s="170">
        <v>45517</v>
      </c>
      <c r="M842" s="116">
        <v>5365.6</v>
      </c>
      <c r="N842" s="116">
        <v>5519.95</v>
      </c>
      <c r="O842" s="116">
        <v>5333.5</v>
      </c>
      <c r="P842" s="116">
        <v>5440</v>
      </c>
      <c r="Q842" s="116">
        <v>5365.6</v>
      </c>
      <c r="R842">
        <v>22921</v>
      </c>
    </row>
    <row r="843" spans="1:18" x14ac:dyDescent="0.25">
      <c r="A843" s="170">
        <v>45518</v>
      </c>
      <c r="B843" s="116">
        <v>5416.35</v>
      </c>
      <c r="C843" s="116">
        <v>5356.65</v>
      </c>
      <c r="D843" s="116">
        <v>5252.05</v>
      </c>
      <c r="E843" s="116">
        <v>5382</v>
      </c>
      <c r="F843" s="116">
        <v>5356.65</v>
      </c>
      <c r="G843">
        <v>1186</v>
      </c>
      <c r="H843" s="116"/>
      <c r="I843" s="116"/>
      <c r="L843" s="170">
        <v>45518</v>
      </c>
      <c r="M843" s="116">
        <v>5352.15</v>
      </c>
      <c r="N843" s="116">
        <v>5417.95</v>
      </c>
      <c r="O843" s="116">
        <v>5256.1</v>
      </c>
      <c r="P843" s="116">
        <v>5372.55</v>
      </c>
      <c r="Q843" s="116">
        <v>5352.15</v>
      </c>
      <c r="R843">
        <v>20423</v>
      </c>
    </row>
    <row r="844" spans="1:18" x14ac:dyDescent="0.25">
      <c r="A844" s="170">
        <v>45520</v>
      </c>
      <c r="B844" s="116">
        <v>5516</v>
      </c>
      <c r="C844" s="116">
        <v>5434.1</v>
      </c>
      <c r="D844" s="116">
        <v>5288.6</v>
      </c>
      <c r="E844" s="116">
        <v>5356.65</v>
      </c>
      <c r="F844" s="116">
        <v>5434.1</v>
      </c>
      <c r="G844">
        <v>2188</v>
      </c>
      <c r="H844" s="116"/>
      <c r="I844" s="116"/>
      <c r="L844" s="170">
        <v>45520</v>
      </c>
      <c r="M844" s="116">
        <v>5430.65</v>
      </c>
      <c r="N844" s="116">
        <v>5524.4</v>
      </c>
      <c r="O844" s="116">
        <v>5291.45</v>
      </c>
      <c r="P844" s="116">
        <v>5395</v>
      </c>
      <c r="Q844" s="116">
        <v>5430.65</v>
      </c>
      <c r="R844">
        <v>75395</v>
      </c>
    </row>
    <row r="845" spans="1:18" x14ac:dyDescent="0.25">
      <c r="A845" s="170">
        <v>45523</v>
      </c>
      <c r="B845" s="116">
        <v>5484.75</v>
      </c>
      <c r="C845" s="116">
        <v>5423.9</v>
      </c>
      <c r="D845" s="116">
        <v>5355</v>
      </c>
      <c r="E845" s="116">
        <v>5355</v>
      </c>
      <c r="F845" s="116">
        <v>5423.9</v>
      </c>
      <c r="G845">
        <v>917</v>
      </c>
      <c r="H845" s="116"/>
      <c r="I845" s="116"/>
      <c r="L845" s="170">
        <v>45523</v>
      </c>
      <c r="M845" s="116">
        <v>5425.15</v>
      </c>
      <c r="N845" s="116">
        <v>5488.6</v>
      </c>
      <c r="O845" s="116">
        <v>5400</v>
      </c>
      <c r="P845" s="116">
        <v>5470</v>
      </c>
      <c r="Q845" s="116">
        <v>5425.15</v>
      </c>
      <c r="R845">
        <v>9698</v>
      </c>
    </row>
    <row r="846" spans="1:18" x14ac:dyDescent="0.25">
      <c r="A846" s="170">
        <v>45524</v>
      </c>
      <c r="B846" s="116">
        <v>5613</v>
      </c>
      <c r="C846" s="116">
        <v>5565.85</v>
      </c>
      <c r="D846" s="116">
        <v>5455.5</v>
      </c>
      <c r="E846" s="116">
        <v>5489.45</v>
      </c>
      <c r="F846" s="116">
        <v>5565.85</v>
      </c>
      <c r="G846">
        <v>1479</v>
      </c>
      <c r="H846" s="116"/>
      <c r="I846" s="116"/>
      <c r="L846" s="170">
        <v>45524</v>
      </c>
      <c r="M846" s="116">
        <v>5563.95</v>
      </c>
      <c r="N846" s="116">
        <v>5614.5</v>
      </c>
      <c r="O846" s="116">
        <v>5360</v>
      </c>
      <c r="P846" s="116">
        <v>5479.95</v>
      </c>
      <c r="Q846" s="116">
        <v>5563.95</v>
      </c>
      <c r="R846">
        <v>50126</v>
      </c>
    </row>
    <row r="847" spans="1:18" x14ac:dyDescent="0.25">
      <c r="A847" s="170">
        <v>45525</v>
      </c>
      <c r="B847" s="116">
        <v>5698.95</v>
      </c>
      <c r="C847" s="116">
        <v>5572.9</v>
      </c>
      <c r="D847" s="116">
        <v>5481.35</v>
      </c>
      <c r="E847" s="116">
        <v>5481.35</v>
      </c>
      <c r="F847" s="116">
        <v>5572.9</v>
      </c>
      <c r="G847">
        <v>2126</v>
      </c>
      <c r="H847" s="116"/>
      <c r="I847" s="116"/>
      <c r="L847" s="170">
        <v>45525</v>
      </c>
      <c r="M847" s="116">
        <v>5576.65</v>
      </c>
      <c r="N847" s="116">
        <v>5699.9</v>
      </c>
      <c r="O847" s="116">
        <v>5520.35</v>
      </c>
      <c r="P847" s="116">
        <v>5604.05</v>
      </c>
      <c r="Q847" s="116">
        <v>5576.65</v>
      </c>
      <c r="R847">
        <v>38361</v>
      </c>
    </row>
    <row r="848" spans="1:18" x14ac:dyDescent="0.25">
      <c r="A848" s="170">
        <v>45526</v>
      </c>
      <c r="B848" s="116">
        <v>5689.6</v>
      </c>
      <c r="C848" s="116">
        <v>5580.45</v>
      </c>
      <c r="D848" s="116">
        <v>5526.25</v>
      </c>
      <c r="E848" s="116">
        <v>5578</v>
      </c>
      <c r="F848" s="116">
        <v>5580.45</v>
      </c>
      <c r="G848">
        <v>1067</v>
      </c>
      <c r="H848" s="116"/>
      <c r="I848" s="116"/>
      <c r="L848" s="170">
        <v>45526</v>
      </c>
      <c r="M848" s="116">
        <v>5576.9</v>
      </c>
      <c r="N848" s="116">
        <v>5679.7</v>
      </c>
      <c r="O848" s="116">
        <v>5507.15</v>
      </c>
      <c r="P848" s="116">
        <v>5577</v>
      </c>
      <c r="Q848" s="116">
        <v>5576.9</v>
      </c>
      <c r="R848">
        <v>24767</v>
      </c>
    </row>
    <row r="849" spans="1:18" x14ac:dyDescent="0.25">
      <c r="A849" s="170">
        <v>45527</v>
      </c>
      <c r="B849" s="116">
        <v>6024.65</v>
      </c>
      <c r="C849" s="116">
        <v>5900.75</v>
      </c>
      <c r="D849" s="116">
        <v>5584.9</v>
      </c>
      <c r="E849" s="116">
        <v>5590.55</v>
      </c>
      <c r="F849" s="116">
        <v>5900.75</v>
      </c>
      <c r="G849">
        <v>5498</v>
      </c>
      <c r="H849" s="116"/>
      <c r="I849" s="116"/>
      <c r="L849" s="170">
        <v>45527</v>
      </c>
      <c r="M849" s="116">
        <v>5891.55</v>
      </c>
      <c r="N849" s="116">
        <v>6030</v>
      </c>
      <c r="O849" s="116">
        <v>5568.65</v>
      </c>
      <c r="P849" s="116">
        <v>5585</v>
      </c>
      <c r="Q849" s="116">
        <v>5891.55</v>
      </c>
      <c r="R849">
        <v>110433</v>
      </c>
    </row>
    <row r="850" spans="1:18" x14ac:dyDescent="0.25">
      <c r="A850" s="170">
        <v>45530</v>
      </c>
      <c r="B850" s="116">
        <v>6671.25</v>
      </c>
      <c r="C850" s="116">
        <v>6258.05</v>
      </c>
      <c r="D850" s="116">
        <v>6057</v>
      </c>
      <c r="E850" s="116">
        <v>6057</v>
      </c>
      <c r="F850" s="116">
        <v>6258.05</v>
      </c>
      <c r="G850">
        <v>30874</v>
      </c>
      <c r="H850" s="116"/>
      <c r="I850" s="116"/>
      <c r="L850" s="170">
        <v>45530</v>
      </c>
      <c r="M850" s="116">
        <v>6263.75</v>
      </c>
      <c r="N850" s="116">
        <v>6679.65</v>
      </c>
      <c r="O850" s="116">
        <v>6015</v>
      </c>
      <c r="P850" s="116">
        <v>6109.95</v>
      </c>
      <c r="Q850" s="116">
        <v>6263.75</v>
      </c>
      <c r="R850">
        <v>770596</v>
      </c>
    </row>
    <row r="851" spans="1:18" x14ac:dyDescent="0.25">
      <c r="A851" s="170">
        <v>45531</v>
      </c>
      <c r="B851" s="116">
        <v>6355.4</v>
      </c>
      <c r="C851" s="116">
        <v>6237.9</v>
      </c>
      <c r="D851" s="116">
        <v>6174.65</v>
      </c>
      <c r="E851" s="116">
        <v>6268.95</v>
      </c>
      <c r="F851" s="116">
        <v>6237.9</v>
      </c>
      <c r="G851">
        <v>2699</v>
      </c>
      <c r="H851" s="116"/>
      <c r="I851" s="116"/>
      <c r="L851" s="170">
        <v>45531</v>
      </c>
      <c r="M851" s="116">
        <v>6241.65</v>
      </c>
      <c r="N851" s="116">
        <v>6356.45</v>
      </c>
      <c r="O851" s="116">
        <v>6175</v>
      </c>
      <c r="P851" s="116">
        <v>6245.05</v>
      </c>
      <c r="Q851" s="116">
        <v>6241.65</v>
      </c>
      <c r="R851">
        <v>68734</v>
      </c>
    </row>
    <row r="852" spans="1:18" x14ac:dyDescent="0.25">
      <c r="A852" s="170">
        <v>45532</v>
      </c>
      <c r="B852" s="116">
        <v>6275.4</v>
      </c>
      <c r="C852" s="116">
        <v>6144.4</v>
      </c>
      <c r="D852" s="116">
        <v>6048</v>
      </c>
      <c r="E852" s="116">
        <v>6200</v>
      </c>
      <c r="F852" s="116">
        <v>6144.4</v>
      </c>
      <c r="G852">
        <v>1811</v>
      </c>
      <c r="H852" s="116"/>
      <c r="I852" s="116"/>
      <c r="L852" s="170">
        <v>45532</v>
      </c>
      <c r="M852" s="116">
        <v>6155.95</v>
      </c>
      <c r="N852" s="116">
        <v>6291.7</v>
      </c>
      <c r="O852" s="116">
        <v>6044.5</v>
      </c>
      <c r="P852" s="116">
        <v>6148.05</v>
      </c>
      <c r="Q852" s="116">
        <v>6155.95</v>
      </c>
      <c r="R852">
        <v>68246</v>
      </c>
    </row>
    <row r="853" spans="1:18" x14ac:dyDescent="0.25">
      <c r="A853" s="170">
        <v>45533</v>
      </c>
      <c r="B853" s="116">
        <v>6135.25</v>
      </c>
      <c r="C853" s="116">
        <v>6031.3</v>
      </c>
      <c r="D853" s="116">
        <v>5966.45</v>
      </c>
      <c r="E853" s="116">
        <v>6109</v>
      </c>
      <c r="F853" s="116">
        <v>6031.3</v>
      </c>
      <c r="G853">
        <v>1059</v>
      </c>
      <c r="H853" s="116"/>
      <c r="I853" s="116"/>
      <c r="L853" s="170">
        <v>45533</v>
      </c>
      <c r="M853" s="116">
        <v>6042.4</v>
      </c>
      <c r="N853" s="116">
        <v>6150.15</v>
      </c>
      <c r="O853" s="116">
        <v>5958.6</v>
      </c>
      <c r="P853" s="116">
        <v>6065.05</v>
      </c>
      <c r="Q853" s="116">
        <v>6042.4</v>
      </c>
      <c r="R853">
        <v>41955</v>
      </c>
    </row>
    <row r="854" spans="1:18" x14ac:dyDescent="0.25">
      <c r="A854" s="170">
        <v>45534</v>
      </c>
      <c r="B854" s="116">
        <v>6136</v>
      </c>
      <c r="C854" s="116">
        <v>6037.65</v>
      </c>
      <c r="D854" s="116">
        <v>5941.15</v>
      </c>
      <c r="E854" s="116">
        <v>5941.15</v>
      </c>
      <c r="F854" s="116">
        <v>6037.65</v>
      </c>
      <c r="G854">
        <v>798</v>
      </c>
      <c r="H854" s="116"/>
      <c r="I854" s="116"/>
      <c r="L854" s="170">
        <v>45534</v>
      </c>
      <c r="M854" s="116">
        <v>6038.9</v>
      </c>
      <c r="N854" s="116">
        <v>6161.6</v>
      </c>
      <c r="O854" s="116">
        <v>5972.95</v>
      </c>
      <c r="P854" s="116">
        <v>6045</v>
      </c>
      <c r="Q854" s="116">
        <v>6038.9</v>
      </c>
      <c r="R854">
        <v>55646</v>
      </c>
    </row>
    <row r="855" spans="1:18" x14ac:dyDescent="0.25">
      <c r="A855" s="170">
        <v>45537</v>
      </c>
      <c r="B855" s="116">
        <v>6136</v>
      </c>
      <c r="C855" s="116">
        <v>5866.25</v>
      </c>
      <c r="D855" s="116">
        <v>5838.1</v>
      </c>
      <c r="E855" s="116">
        <v>6136</v>
      </c>
      <c r="F855" s="116">
        <v>5866.25</v>
      </c>
      <c r="G855">
        <v>1055</v>
      </c>
      <c r="H855" s="116"/>
      <c r="I855" s="116"/>
      <c r="L855" s="170">
        <v>45537</v>
      </c>
      <c r="M855" s="116">
        <v>5875.35</v>
      </c>
      <c r="N855" s="116">
        <v>6152.9</v>
      </c>
      <c r="O855" s="116">
        <v>5833</v>
      </c>
      <c r="P855" s="116">
        <v>6124.35</v>
      </c>
      <c r="Q855" s="116">
        <v>5875.35</v>
      </c>
      <c r="R855">
        <v>39500</v>
      </c>
    </row>
    <row r="856" spans="1:18" x14ac:dyDescent="0.25">
      <c r="A856" s="170">
        <v>45538</v>
      </c>
      <c r="B856" s="116">
        <v>5932.6</v>
      </c>
      <c r="C856" s="116">
        <v>5861.75</v>
      </c>
      <c r="D856" s="116">
        <v>5817.2</v>
      </c>
      <c r="E856" s="116">
        <v>5869.65</v>
      </c>
      <c r="F856" s="116">
        <v>5861.75</v>
      </c>
      <c r="G856">
        <v>769</v>
      </c>
      <c r="H856" s="116"/>
      <c r="I856" s="116"/>
      <c r="L856" s="170">
        <v>45538</v>
      </c>
      <c r="M856" s="116">
        <v>5834.8</v>
      </c>
      <c r="N856" s="116">
        <v>5937.8</v>
      </c>
      <c r="O856" s="116">
        <v>5802.5</v>
      </c>
      <c r="P856" s="116">
        <v>5850</v>
      </c>
      <c r="Q856" s="116">
        <v>5834.8</v>
      </c>
      <c r="R856">
        <v>29679</v>
      </c>
    </row>
    <row r="857" spans="1:18" x14ac:dyDescent="0.25">
      <c r="A857" s="170">
        <v>45539</v>
      </c>
      <c r="B857" s="116">
        <v>6090.75</v>
      </c>
      <c r="C857" s="116">
        <v>6016.9</v>
      </c>
      <c r="D857" s="116">
        <v>5838.9</v>
      </c>
      <c r="E857" s="116">
        <v>5850</v>
      </c>
      <c r="F857" s="116">
        <v>6016.9</v>
      </c>
      <c r="G857">
        <v>2457</v>
      </c>
      <c r="H857" s="116"/>
      <c r="I857" s="116"/>
      <c r="L857" s="170">
        <v>45539</v>
      </c>
      <c r="M857" s="116">
        <v>6019.55</v>
      </c>
      <c r="N857" s="116">
        <v>6095.3</v>
      </c>
      <c r="O857" s="116">
        <v>5785</v>
      </c>
      <c r="P857" s="116">
        <v>5840</v>
      </c>
      <c r="Q857" s="116">
        <v>6019.55</v>
      </c>
      <c r="R857">
        <v>78194</v>
      </c>
    </row>
    <row r="858" spans="1:18" x14ac:dyDescent="0.25">
      <c r="A858" s="170">
        <v>45540</v>
      </c>
      <c r="B858" s="116">
        <v>6420</v>
      </c>
      <c r="C858" s="116">
        <v>6362.3</v>
      </c>
      <c r="D858" s="116">
        <v>6102.85</v>
      </c>
      <c r="E858" s="116">
        <v>6110</v>
      </c>
      <c r="F858" s="116">
        <v>6362.3</v>
      </c>
      <c r="G858">
        <v>5160</v>
      </c>
      <c r="H858" s="116"/>
      <c r="I858" s="116"/>
      <c r="L858" s="170">
        <v>45540</v>
      </c>
      <c r="M858" s="116">
        <v>6362.45</v>
      </c>
      <c r="N858" s="116">
        <v>6442</v>
      </c>
      <c r="O858" s="116">
        <v>6083.75</v>
      </c>
      <c r="P858" s="116">
        <v>6083.8</v>
      </c>
      <c r="Q858" s="116">
        <v>6362.45</v>
      </c>
      <c r="R858">
        <v>297838</v>
      </c>
    </row>
    <row r="859" spans="1:18" x14ac:dyDescent="0.25">
      <c r="A859" s="170">
        <v>45541</v>
      </c>
      <c r="B859" s="116">
        <v>6565</v>
      </c>
      <c r="C859" s="116">
        <v>6275.1</v>
      </c>
      <c r="D859" s="116">
        <v>6216.55</v>
      </c>
      <c r="E859" s="116">
        <v>6300</v>
      </c>
      <c r="F859" s="116">
        <v>6275.1</v>
      </c>
      <c r="G859">
        <v>2757</v>
      </c>
      <c r="H859" s="116"/>
      <c r="I859" s="116"/>
      <c r="L859" s="170">
        <v>45541</v>
      </c>
      <c r="M859" s="116">
        <v>6251</v>
      </c>
      <c r="N859" s="116">
        <v>6567.55</v>
      </c>
      <c r="O859" s="116">
        <v>6211.6</v>
      </c>
      <c r="P859" s="116">
        <v>6354.7</v>
      </c>
      <c r="Q859" s="116">
        <v>6251</v>
      </c>
      <c r="R859">
        <v>138924</v>
      </c>
    </row>
    <row r="860" spans="1:18" x14ac:dyDescent="0.25">
      <c r="A860" s="170">
        <v>45544</v>
      </c>
      <c r="B860" s="116">
        <v>6280.6</v>
      </c>
      <c r="C860" s="116">
        <v>6030.6</v>
      </c>
      <c r="D860" s="116">
        <v>5985.55</v>
      </c>
      <c r="E860" s="116">
        <v>6255.05</v>
      </c>
      <c r="F860" s="116">
        <v>6030.6</v>
      </c>
      <c r="G860">
        <v>2814</v>
      </c>
      <c r="H860" s="116"/>
      <c r="I860" s="116"/>
      <c r="L860" s="170">
        <v>45544</v>
      </c>
      <c r="M860" s="116">
        <v>6034.65</v>
      </c>
      <c r="N860" s="116">
        <v>6299.7</v>
      </c>
      <c r="O860" s="116">
        <v>5981.4</v>
      </c>
      <c r="P860" s="116">
        <v>6299.7</v>
      </c>
      <c r="Q860" s="116">
        <v>6034.65</v>
      </c>
      <c r="R860">
        <v>42814</v>
      </c>
    </row>
    <row r="861" spans="1:18" x14ac:dyDescent="0.25">
      <c r="A861" s="170">
        <v>45545</v>
      </c>
      <c r="B861" s="116">
        <v>6304.3</v>
      </c>
      <c r="C861" s="116">
        <v>5932.55</v>
      </c>
      <c r="D861" s="116">
        <v>5910</v>
      </c>
      <c r="E861" s="116">
        <v>6304.3</v>
      </c>
      <c r="F861" s="116">
        <v>5932.55</v>
      </c>
      <c r="G861">
        <v>2062</v>
      </c>
      <c r="H861" s="116"/>
      <c r="I861" s="116"/>
      <c r="L861" s="170">
        <v>45545</v>
      </c>
      <c r="M861" s="116">
        <v>5932.5</v>
      </c>
      <c r="N861" s="116">
        <v>6153.5</v>
      </c>
      <c r="O861" s="116">
        <v>5901.5</v>
      </c>
      <c r="P861" s="116">
        <v>6051.9</v>
      </c>
      <c r="Q861" s="116">
        <v>5932.5</v>
      </c>
      <c r="R861">
        <v>52599</v>
      </c>
    </row>
    <row r="862" spans="1:18" x14ac:dyDescent="0.25">
      <c r="A862" s="170">
        <v>45546</v>
      </c>
      <c r="B862" s="116">
        <v>5992.55</v>
      </c>
      <c r="C862" s="116">
        <v>5949.95</v>
      </c>
      <c r="D862" s="116">
        <v>5888.05</v>
      </c>
      <c r="E862" s="116">
        <v>5888.05</v>
      </c>
      <c r="F862" s="116">
        <v>5949.95</v>
      </c>
      <c r="G862">
        <v>1751</v>
      </c>
      <c r="H862" s="116"/>
      <c r="I862" s="116"/>
      <c r="L862" s="170">
        <v>45546</v>
      </c>
      <c r="M862" s="116">
        <v>5954.4</v>
      </c>
      <c r="N862" s="116">
        <v>6031.95</v>
      </c>
      <c r="O862" s="116">
        <v>5924.05</v>
      </c>
      <c r="P862" s="116">
        <v>5971.95</v>
      </c>
      <c r="Q862" s="116">
        <v>5954.4</v>
      </c>
      <c r="R862">
        <v>89182</v>
      </c>
    </row>
    <row r="863" spans="1:18" x14ac:dyDescent="0.25">
      <c r="A863" s="170">
        <v>45547</v>
      </c>
      <c r="B863" s="116">
        <v>6149.05</v>
      </c>
      <c r="C863" s="116">
        <v>6101.5</v>
      </c>
      <c r="D863" s="116">
        <v>5985</v>
      </c>
      <c r="E863" s="116">
        <v>6000.05</v>
      </c>
      <c r="F863" s="116">
        <v>6101.5</v>
      </c>
      <c r="G863">
        <v>1735</v>
      </c>
      <c r="H863" s="116"/>
      <c r="I863" s="116"/>
      <c r="L863" s="170">
        <v>45547</v>
      </c>
      <c r="M863" s="116">
        <v>6112.45</v>
      </c>
      <c r="N863" s="116">
        <v>6149.95</v>
      </c>
      <c r="O863" s="116">
        <v>5980</v>
      </c>
      <c r="P863" s="116">
        <v>6043.7</v>
      </c>
      <c r="Q863" s="116">
        <v>6112.45</v>
      </c>
      <c r="R863">
        <v>40221</v>
      </c>
    </row>
    <row r="864" spans="1:18" x14ac:dyDescent="0.25">
      <c r="A864" s="170">
        <v>45548</v>
      </c>
      <c r="B864" s="116">
        <v>6414.9</v>
      </c>
      <c r="C864" s="116">
        <v>6327.1</v>
      </c>
      <c r="D864" s="116">
        <v>6095.65</v>
      </c>
      <c r="E864" s="116">
        <v>6138.05</v>
      </c>
      <c r="F864" s="116">
        <v>6327.1</v>
      </c>
      <c r="G864">
        <v>984</v>
      </c>
      <c r="H864" s="116"/>
      <c r="I864" s="116"/>
      <c r="L864" s="170">
        <v>45548</v>
      </c>
      <c r="M864" s="116">
        <v>6332</v>
      </c>
      <c r="N864" s="116">
        <v>6423.9</v>
      </c>
      <c r="O864" s="116">
        <v>6090</v>
      </c>
      <c r="P864" s="116">
        <v>6178.3</v>
      </c>
      <c r="Q864" s="116">
        <v>6332</v>
      </c>
      <c r="R864">
        <v>50149</v>
      </c>
    </row>
    <row r="865" spans="1:18" x14ac:dyDescent="0.25">
      <c r="A865" s="170">
        <v>45551</v>
      </c>
      <c r="B865" s="116">
        <v>6449</v>
      </c>
      <c r="C865" s="116">
        <v>6404.2</v>
      </c>
      <c r="D865" s="116">
        <v>6243.7</v>
      </c>
      <c r="E865" s="116">
        <v>6311</v>
      </c>
      <c r="F865" s="116">
        <v>6404.2</v>
      </c>
      <c r="G865">
        <v>1075</v>
      </c>
      <c r="H865" s="116"/>
      <c r="I865" s="116"/>
      <c r="L865" s="170">
        <v>45551</v>
      </c>
      <c r="M865" s="116">
        <v>6409.9</v>
      </c>
      <c r="N865" s="116">
        <v>6450</v>
      </c>
      <c r="O865" s="116">
        <v>6235</v>
      </c>
      <c r="P865" s="116">
        <v>6345</v>
      </c>
      <c r="Q865" s="116">
        <v>6409.9</v>
      </c>
      <c r="R865">
        <v>38723</v>
      </c>
    </row>
    <row r="866" spans="1:18" x14ac:dyDescent="0.25">
      <c r="A866" s="170">
        <v>45552</v>
      </c>
      <c r="B866" s="116">
        <v>6676.7</v>
      </c>
      <c r="C866" s="116">
        <v>6386.95</v>
      </c>
      <c r="D866" s="116">
        <v>6234.8</v>
      </c>
      <c r="E866" s="116">
        <v>6414.1</v>
      </c>
      <c r="F866" s="116">
        <v>6386.95</v>
      </c>
      <c r="G866">
        <v>2335</v>
      </c>
      <c r="H866" s="116"/>
      <c r="I866" s="116"/>
      <c r="L866" s="170">
        <v>45552</v>
      </c>
      <c r="M866" s="116">
        <v>6402.9</v>
      </c>
      <c r="N866" s="116">
        <v>6677.85</v>
      </c>
      <c r="O866" s="116">
        <v>6229.05</v>
      </c>
      <c r="P866" s="116">
        <v>6441.45</v>
      </c>
      <c r="Q866" s="116">
        <v>6402.9</v>
      </c>
      <c r="R866">
        <v>78080</v>
      </c>
    </row>
    <row r="867" spans="1:18" x14ac:dyDescent="0.25">
      <c r="A867" s="170">
        <v>45553</v>
      </c>
      <c r="B867" s="116">
        <v>6648.4</v>
      </c>
      <c r="C867" s="116">
        <v>6378.2</v>
      </c>
      <c r="D867" s="116">
        <v>6285.8</v>
      </c>
      <c r="E867" s="116">
        <v>6648.4</v>
      </c>
      <c r="F867" s="116">
        <v>6378.2</v>
      </c>
      <c r="G867">
        <v>1080</v>
      </c>
      <c r="H867" s="116"/>
      <c r="I867" s="116"/>
      <c r="L867" s="170">
        <v>45553</v>
      </c>
      <c r="M867" s="116">
        <v>6399.5</v>
      </c>
      <c r="N867" s="116">
        <v>6500</v>
      </c>
      <c r="O867" s="116">
        <v>6280.8</v>
      </c>
      <c r="P867" s="116">
        <v>6486.35</v>
      </c>
      <c r="Q867" s="116">
        <v>6399.5</v>
      </c>
      <c r="R867">
        <v>30076</v>
      </c>
    </row>
    <row r="868" spans="1:18" x14ac:dyDescent="0.25">
      <c r="A868" s="170">
        <v>45554</v>
      </c>
      <c r="B868" s="116">
        <v>6427</v>
      </c>
      <c r="C868" s="116">
        <v>6130.7</v>
      </c>
      <c r="D868" s="116">
        <v>6106</v>
      </c>
      <c r="E868" s="116">
        <v>6400</v>
      </c>
      <c r="F868" s="116">
        <v>6130.7</v>
      </c>
      <c r="G868">
        <v>1280</v>
      </c>
      <c r="H868" s="116"/>
      <c r="I868" s="116"/>
      <c r="L868" s="170">
        <v>45554</v>
      </c>
      <c r="M868" s="116">
        <v>6138</v>
      </c>
      <c r="N868" s="116">
        <v>6445</v>
      </c>
      <c r="O868" s="116">
        <v>6103</v>
      </c>
      <c r="P868" s="116">
        <v>6407.4</v>
      </c>
      <c r="Q868" s="116">
        <v>6138</v>
      </c>
      <c r="R868">
        <v>42474</v>
      </c>
    </row>
    <row r="869" spans="1:18" x14ac:dyDescent="0.25">
      <c r="A869" s="170">
        <v>45555</v>
      </c>
      <c r="B869" s="116">
        <v>6500.6</v>
      </c>
      <c r="C869" s="116">
        <v>6384.95</v>
      </c>
      <c r="D869" s="116">
        <v>6146</v>
      </c>
      <c r="E869" s="116">
        <v>6253.35</v>
      </c>
      <c r="F869" s="116">
        <v>6384.95</v>
      </c>
      <c r="G869">
        <v>2264</v>
      </c>
      <c r="H869" s="116"/>
      <c r="I869" s="116"/>
      <c r="L869" s="170">
        <v>45555</v>
      </c>
      <c r="M869" s="116">
        <v>6377.95</v>
      </c>
      <c r="N869" s="116">
        <v>6515</v>
      </c>
      <c r="O869" s="116">
        <v>6145</v>
      </c>
      <c r="P869" s="116">
        <v>6149.95</v>
      </c>
      <c r="Q869" s="116">
        <v>6377.95</v>
      </c>
      <c r="R869">
        <v>119012</v>
      </c>
    </row>
    <row r="870" spans="1:18" x14ac:dyDescent="0.25">
      <c r="A870" s="170">
        <v>45558</v>
      </c>
      <c r="B870" s="116">
        <v>6512.25</v>
      </c>
      <c r="C870" s="116">
        <v>6473.7</v>
      </c>
      <c r="D870" s="116">
        <v>6291.1</v>
      </c>
      <c r="E870" s="116">
        <v>6355.05</v>
      </c>
      <c r="F870" s="116">
        <v>6473.7</v>
      </c>
      <c r="G870">
        <v>1960</v>
      </c>
      <c r="H870" s="116"/>
      <c r="I870" s="116"/>
      <c r="L870" s="170">
        <v>45558</v>
      </c>
      <c r="M870" s="116">
        <v>6480.65</v>
      </c>
      <c r="N870" s="116">
        <v>6515</v>
      </c>
      <c r="O870" s="116">
        <v>6282.25</v>
      </c>
      <c r="P870" s="116">
        <v>6400</v>
      </c>
      <c r="Q870" s="116">
        <v>6480.65</v>
      </c>
      <c r="R870">
        <v>37525</v>
      </c>
    </row>
    <row r="871" spans="1:18" x14ac:dyDescent="0.25">
      <c r="A871" s="170">
        <v>45559</v>
      </c>
      <c r="B871" s="116">
        <v>6598.8</v>
      </c>
      <c r="C871" s="116">
        <v>6502</v>
      </c>
      <c r="D871" s="116">
        <v>6421.95</v>
      </c>
      <c r="E871" s="116">
        <v>6523.45</v>
      </c>
      <c r="F871" s="116">
        <v>6502</v>
      </c>
      <c r="G871">
        <v>1229</v>
      </c>
      <c r="H871" s="116"/>
      <c r="I871" s="116"/>
      <c r="L871" s="170">
        <v>45559</v>
      </c>
      <c r="M871" s="116">
        <v>6503.3</v>
      </c>
      <c r="N871" s="116">
        <v>6627.1</v>
      </c>
      <c r="O871" s="116">
        <v>6415.6</v>
      </c>
      <c r="P871" s="116">
        <v>6480.65</v>
      </c>
      <c r="Q871" s="116">
        <v>6503.3</v>
      </c>
      <c r="R871">
        <v>45093</v>
      </c>
    </row>
    <row r="872" spans="1:18" x14ac:dyDescent="0.25">
      <c r="A872" s="170">
        <v>45560</v>
      </c>
      <c r="B872" s="116">
        <v>7107.15</v>
      </c>
      <c r="C872" s="116">
        <v>6608.95</v>
      </c>
      <c r="D872" s="116">
        <v>6315.9</v>
      </c>
      <c r="E872" s="116">
        <v>6372</v>
      </c>
      <c r="F872" s="116">
        <v>6608.95</v>
      </c>
      <c r="G872">
        <v>14587</v>
      </c>
      <c r="H872" s="116"/>
      <c r="I872" s="116"/>
      <c r="L872" s="170">
        <v>45560</v>
      </c>
      <c r="M872" s="116">
        <v>6604.55</v>
      </c>
      <c r="N872" s="116">
        <v>7121.25</v>
      </c>
      <c r="O872" s="116">
        <v>6312.25</v>
      </c>
      <c r="P872" s="116">
        <v>6544.3</v>
      </c>
      <c r="Q872" s="116">
        <v>6604.55</v>
      </c>
      <c r="R872">
        <v>705129</v>
      </c>
    </row>
    <row r="873" spans="1:18" x14ac:dyDescent="0.25">
      <c r="A873" s="170">
        <v>45561</v>
      </c>
      <c r="B873" s="116">
        <v>6830</v>
      </c>
      <c r="C873" s="116">
        <v>6570.95</v>
      </c>
      <c r="D873" s="116">
        <v>6543.1</v>
      </c>
      <c r="E873" s="116">
        <v>6799.85</v>
      </c>
      <c r="F873" s="116">
        <v>6570.95</v>
      </c>
      <c r="G873">
        <v>8205</v>
      </c>
      <c r="H873" s="116"/>
      <c r="I873" s="116"/>
      <c r="L873" s="170">
        <v>45561</v>
      </c>
      <c r="M873" s="116">
        <v>6587.9</v>
      </c>
      <c r="N873" s="116">
        <v>6830.45</v>
      </c>
      <c r="O873" s="116">
        <v>6550</v>
      </c>
      <c r="P873" s="116">
        <v>6600.1</v>
      </c>
      <c r="Q873" s="116">
        <v>6587.9</v>
      </c>
      <c r="R873">
        <v>123920</v>
      </c>
    </row>
    <row r="874" spans="1:18" x14ac:dyDescent="0.25">
      <c r="A874" s="170">
        <v>45562</v>
      </c>
      <c r="B874" s="116">
        <v>6668.6</v>
      </c>
      <c r="C874" s="116">
        <v>6404.75</v>
      </c>
      <c r="D874" s="116">
        <v>6355.8</v>
      </c>
      <c r="E874" s="116">
        <v>6589.95</v>
      </c>
      <c r="F874" s="116">
        <v>6404.75</v>
      </c>
      <c r="G874">
        <v>1287</v>
      </c>
      <c r="H874" s="116"/>
      <c r="I874" s="116"/>
      <c r="L874" s="170">
        <v>45562</v>
      </c>
      <c r="M874" s="116">
        <v>6396.5</v>
      </c>
      <c r="N874" s="116">
        <v>6678.55</v>
      </c>
      <c r="O874" s="116">
        <v>6352.8</v>
      </c>
      <c r="P874" s="116">
        <v>6551.15</v>
      </c>
      <c r="Q874" s="116">
        <v>6396.5</v>
      </c>
      <c r="R874">
        <v>43624</v>
      </c>
    </row>
    <row r="875" spans="1:18" x14ac:dyDescent="0.25">
      <c r="A875" s="170">
        <v>45565</v>
      </c>
      <c r="B875" s="116">
        <v>6533.05</v>
      </c>
      <c r="C875" s="116">
        <v>6471</v>
      </c>
      <c r="D875" s="116">
        <v>6313.85</v>
      </c>
      <c r="E875" s="116">
        <v>6410</v>
      </c>
      <c r="F875" s="116">
        <v>6471</v>
      </c>
      <c r="G875">
        <v>2278</v>
      </c>
      <c r="H875" s="116"/>
      <c r="I875" s="116"/>
      <c r="L875" s="170">
        <v>45565</v>
      </c>
      <c r="M875" s="116">
        <v>6474.6</v>
      </c>
      <c r="N875" s="116">
        <v>6529</v>
      </c>
      <c r="O875" s="116">
        <v>6313</v>
      </c>
      <c r="P875" s="116">
        <v>6396.5</v>
      </c>
      <c r="Q875" s="116">
        <v>6474.6</v>
      </c>
      <c r="R875">
        <v>46919</v>
      </c>
    </row>
    <row r="876" spans="1:18" x14ac:dyDescent="0.25">
      <c r="A876" s="170">
        <v>45566</v>
      </c>
      <c r="B876" s="116">
        <v>6649.95</v>
      </c>
      <c r="C876" s="116">
        <v>6512.05</v>
      </c>
      <c r="D876" s="116">
        <v>6416.75</v>
      </c>
      <c r="E876" s="116">
        <v>6649.95</v>
      </c>
      <c r="F876" s="116">
        <v>6512.05</v>
      </c>
      <c r="G876">
        <v>1341</v>
      </c>
      <c r="H876" s="116"/>
      <c r="I876" s="116"/>
      <c r="L876" s="170">
        <v>45566</v>
      </c>
      <c r="M876" s="116">
        <v>6513.95</v>
      </c>
      <c r="N876" s="116">
        <v>6618.95</v>
      </c>
      <c r="O876" s="116">
        <v>6403.5</v>
      </c>
      <c r="P876" s="116">
        <v>6473.25</v>
      </c>
      <c r="Q876" s="116">
        <v>6513.95</v>
      </c>
      <c r="R876">
        <v>39436</v>
      </c>
    </row>
    <row r="877" spans="1:18" x14ac:dyDescent="0.25">
      <c r="A877" s="170">
        <v>45568</v>
      </c>
      <c r="B877" s="116">
        <v>6605.9</v>
      </c>
      <c r="C877" s="116">
        <v>6339.4</v>
      </c>
      <c r="D877" s="116">
        <v>6256.05</v>
      </c>
      <c r="E877" s="116">
        <v>6400</v>
      </c>
      <c r="F877" s="116">
        <v>6339.4</v>
      </c>
      <c r="G877">
        <v>1045</v>
      </c>
      <c r="H877" s="116"/>
      <c r="I877" s="116"/>
      <c r="L877" s="170">
        <v>45568</v>
      </c>
      <c r="M877" s="116">
        <v>6327.85</v>
      </c>
      <c r="N877" s="116">
        <v>6610</v>
      </c>
      <c r="O877" s="116">
        <v>6255.05</v>
      </c>
      <c r="P877" s="116">
        <v>6400</v>
      </c>
      <c r="Q877" s="116">
        <v>6327.85</v>
      </c>
      <c r="R877">
        <v>43617</v>
      </c>
    </row>
    <row r="878" spans="1:18" x14ac:dyDescent="0.25">
      <c r="A878" s="170">
        <v>45569</v>
      </c>
      <c r="B878" s="116">
        <v>6500</v>
      </c>
      <c r="C878" s="116">
        <v>6428.3</v>
      </c>
      <c r="D878" s="116">
        <v>6131.2</v>
      </c>
      <c r="E878" s="116">
        <v>6342</v>
      </c>
      <c r="F878" s="116">
        <v>6428.3</v>
      </c>
      <c r="G878">
        <v>4248</v>
      </c>
      <c r="H878" s="116"/>
      <c r="I878" s="116"/>
      <c r="L878" s="170">
        <v>45569</v>
      </c>
      <c r="M878" s="116">
        <v>6417.1</v>
      </c>
      <c r="N878" s="116">
        <v>6510</v>
      </c>
      <c r="O878" s="116">
        <v>6132.2</v>
      </c>
      <c r="P878" s="116">
        <v>6310</v>
      </c>
      <c r="Q878" s="116">
        <v>6417.1</v>
      </c>
      <c r="R878">
        <v>43606</v>
      </c>
    </row>
    <row r="879" spans="1:18" x14ac:dyDescent="0.25">
      <c r="A879" s="170">
        <v>45572</v>
      </c>
      <c r="B879" s="116">
        <v>6545.45</v>
      </c>
      <c r="C879" s="116">
        <v>6064.9</v>
      </c>
      <c r="D879" s="116">
        <v>6028.05</v>
      </c>
      <c r="E879" s="116">
        <v>6545.45</v>
      </c>
      <c r="F879" s="116">
        <v>6064.9</v>
      </c>
      <c r="G879">
        <v>3285</v>
      </c>
      <c r="H879" s="116"/>
      <c r="I879" s="116"/>
      <c r="L879" s="170">
        <v>45572</v>
      </c>
      <c r="M879" s="116">
        <v>6060.7</v>
      </c>
      <c r="N879" s="116">
        <v>6435.05</v>
      </c>
      <c r="O879" s="116">
        <v>6012.95</v>
      </c>
      <c r="P879" s="116">
        <v>6390</v>
      </c>
      <c r="Q879" s="116">
        <v>6060.7</v>
      </c>
      <c r="R879">
        <v>41949</v>
      </c>
    </row>
    <row r="880" spans="1:18" x14ac:dyDescent="0.25">
      <c r="A880" s="170">
        <v>45573</v>
      </c>
      <c r="B880" s="116">
        <v>6261.7</v>
      </c>
      <c r="C880" s="116">
        <v>6206.3</v>
      </c>
      <c r="D880" s="116">
        <v>5976.05</v>
      </c>
      <c r="E880" s="116">
        <v>6030.05</v>
      </c>
      <c r="F880" s="116">
        <v>6206.3</v>
      </c>
      <c r="G880">
        <v>2641</v>
      </c>
      <c r="H880" s="116"/>
      <c r="I880" s="116"/>
      <c r="L880" s="170">
        <v>45573</v>
      </c>
      <c r="M880" s="116">
        <v>6199.65</v>
      </c>
      <c r="N880" s="116">
        <v>6260.9</v>
      </c>
      <c r="O880" s="116">
        <v>5932.2</v>
      </c>
      <c r="P880" s="116">
        <v>6045</v>
      </c>
      <c r="Q880" s="116">
        <v>6199.65</v>
      </c>
      <c r="R880">
        <v>28512</v>
      </c>
    </row>
    <row r="881" spans="1:18" x14ac:dyDescent="0.25">
      <c r="A881" s="170">
        <v>45574</v>
      </c>
      <c r="B881" s="116">
        <v>6368.8</v>
      </c>
      <c r="C881" s="116">
        <v>6219.4</v>
      </c>
      <c r="D881" s="116">
        <v>6173.25</v>
      </c>
      <c r="E881" s="116">
        <v>6349.95</v>
      </c>
      <c r="F881" s="116">
        <v>6219.4</v>
      </c>
      <c r="G881">
        <v>1701</v>
      </c>
      <c r="H881" s="116"/>
      <c r="I881" s="116"/>
      <c r="L881" s="170">
        <v>45574</v>
      </c>
      <c r="M881" s="116">
        <v>6216.25</v>
      </c>
      <c r="N881" s="116">
        <v>6374.25</v>
      </c>
      <c r="O881" s="116">
        <v>6170.05</v>
      </c>
      <c r="P881" s="116">
        <v>6275</v>
      </c>
      <c r="Q881" s="116">
        <v>6216.25</v>
      </c>
      <c r="R881">
        <v>26852</v>
      </c>
    </row>
    <row r="882" spans="1:18" x14ac:dyDescent="0.25">
      <c r="A882" s="170">
        <v>45575</v>
      </c>
      <c r="B882" s="116">
        <v>6343.8</v>
      </c>
      <c r="C882" s="116">
        <v>6244.8</v>
      </c>
      <c r="D882" s="116">
        <v>6176.95</v>
      </c>
      <c r="E882" s="116">
        <v>6343.8</v>
      </c>
      <c r="F882" s="116">
        <v>6244.8</v>
      </c>
      <c r="G882">
        <v>1671</v>
      </c>
      <c r="H882" s="116"/>
      <c r="I882" s="116"/>
      <c r="L882" s="170">
        <v>45575</v>
      </c>
      <c r="M882" s="116">
        <v>6221.7</v>
      </c>
      <c r="N882" s="116">
        <v>6329</v>
      </c>
      <c r="O882" s="116">
        <v>6176.1</v>
      </c>
      <c r="P882" s="116">
        <v>6309</v>
      </c>
      <c r="Q882" s="116">
        <v>6221.7</v>
      </c>
      <c r="R882">
        <v>18326</v>
      </c>
    </row>
    <row r="883" spans="1:18" x14ac:dyDescent="0.25">
      <c r="A883" s="170">
        <v>45576</v>
      </c>
      <c r="B883" s="116">
        <v>6256</v>
      </c>
      <c r="C883" s="116">
        <v>6230.95</v>
      </c>
      <c r="D883" s="116">
        <v>6173.75</v>
      </c>
      <c r="E883" s="116">
        <v>6210.05</v>
      </c>
      <c r="F883" s="116">
        <v>6230.95</v>
      </c>
      <c r="G883">
        <v>1038</v>
      </c>
      <c r="H883" s="116"/>
      <c r="I883" s="116"/>
      <c r="L883" s="170">
        <v>45576</v>
      </c>
      <c r="M883" s="116">
        <v>6228.1</v>
      </c>
      <c r="N883" s="116">
        <v>6265</v>
      </c>
      <c r="O883" s="116">
        <v>6167</v>
      </c>
      <c r="P883" s="116">
        <v>6220</v>
      </c>
      <c r="Q883" s="116">
        <v>6228.1</v>
      </c>
      <c r="R883">
        <v>14940</v>
      </c>
    </row>
    <row r="884" spans="1:18" x14ac:dyDescent="0.25">
      <c r="A884" s="170">
        <v>45579</v>
      </c>
      <c r="B884" s="116">
        <v>6354.95</v>
      </c>
      <c r="C884" s="116">
        <v>6296.05</v>
      </c>
      <c r="D884" s="116">
        <v>6217.55</v>
      </c>
      <c r="E884" s="116">
        <v>6251.1</v>
      </c>
      <c r="F884" s="116">
        <v>6296.05</v>
      </c>
      <c r="G884">
        <v>958</v>
      </c>
      <c r="H884" s="116"/>
      <c r="I884" s="116"/>
      <c r="L884" s="170">
        <v>45579</v>
      </c>
      <c r="M884" s="116">
        <v>6282.35</v>
      </c>
      <c r="N884" s="116">
        <v>6355</v>
      </c>
      <c r="O884" s="116">
        <v>6200</v>
      </c>
      <c r="P884" s="116">
        <v>6221.5</v>
      </c>
      <c r="Q884" s="116">
        <v>6282.35</v>
      </c>
      <c r="R884">
        <v>11290</v>
      </c>
    </row>
    <row r="885" spans="1:18" x14ac:dyDescent="0.25">
      <c r="A885" s="170">
        <v>45580</v>
      </c>
      <c r="B885" s="116">
        <v>6315</v>
      </c>
      <c r="C885" s="116">
        <v>6180.2</v>
      </c>
      <c r="D885" s="116">
        <v>6157.45</v>
      </c>
      <c r="E885" s="116">
        <v>6288.2</v>
      </c>
      <c r="F885" s="116">
        <v>6180.2</v>
      </c>
      <c r="G885">
        <v>686</v>
      </c>
      <c r="H885" s="116"/>
      <c r="I885" s="116"/>
      <c r="L885" s="170">
        <v>45580</v>
      </c>
      <c r="M885" s="116">
        <v>6173</v>
      </c>
      <c r="N885" s="116">
        <v>6318.9</v>
      </c>
      <c r="O885" s="116">
        <v>6161</v>
      </c>
      <c r="P885" s="116">
        <v>6282.35</v>
      </c>
      <c r="Q885" s="116">
        <v>6173</v>
      </c>
      <c r="R885">
        <v>29221</v>
      </c>
    </row>
    <row r="886" spans="1:18" x14ac:dyDescent="0.25">
      <c r="A886" s="170">
        <v>45581</v>
      </c>
      <c r="B886" s="116">
        <v>6274.95</v>
      </c>
      <c r="C886" s="116">
        <v>6138.15</v>
      </c>
      <c r="D886" s="116">
        <v>6066.9</v>
      </c>
      <c r="E886" s="116">
        <v>6274.95</v>
      </c>
      <c r="F886" s="116">
        <v>6138.15</v>
      </c>
      <c r="G886">
        <v>818</v>
      </c>
      <c r="H886" s="116"/>
      <c r="I886" s="116"/>
      <c r="L886" s="170">
        <v>45581</v>
      </c>
      <c r="M886" s="116">
        <v>6133.2</v>
      </c>
      <c r="N886" s="116">
        <v>6257.3</v>
      </c>
      <c r="O886" s="116">
        <v>6070.85</v>
      </c>
      <c r="P886" s="116">
        <v>6161</v>
      </c>
      <c r="Q886" s="116">
        <v>6133.2</v>
      </c>
      <c r="R886">
        <v>20405</v>
      </c>
    </row>
    <row r="887" spans="1:18" x14ac:dyDescent="0.25">
      <c r="A887" s="170">
        <v>45582</v>
      </c>
      <c r="B887" s="116">
        <v>6179</v>
      </c>
      <c r="C887" s="116">
        <v>6105.7</v>
      </c>
      <c r="D887" s="116">
        <v>6030</v>
      </c>
      <c r="E887" s="116">
        <v>6100.05</v>
      </c>
      <c r="F887" s="116">
        <v>6105.7</v>
      </c>
      <c r="G887">
        <v>1434</v>
      </c>
      <c r="H887" s="116"/>
      <c r="I887" s="116"/>
      <c r="L887" s="170">
        <v>45582</v>
      </c>
      <c r="M887" s="116">
        <v>6104.7</v>
      </c>
      <c r="N887" s="116">
        <v>6191.45</v>
      </c>
      <c r="O887" s="116">
        <v>6025.15</v>
      </c>
      <c r="P887" s="116">
        <v>6133.2</v>
      </c>
      <c r="Q887" s="116">
        <v>6104.7</v>
      </c>
      <c r="R887">
        <v>14328</v>
      </c>
    </row>
    <row r="888" spans="1:18" x14ac:dyDescent="0.25">
      <c r="A888" s="170">
        <v>45583</v>
      </c>
      <c r="B888" s="116">
        <v>6194.65</v>
      </c>
      <c r="C888" s="116">
        <v>5992.8</v>
      </c>
      <c r="D888" s="116">
        <v>5984.75</v>
      </c>
      <c r="E888" s="116">
        <v>6194.65</v>
      </c>
      <c r="F888" s="116">
        <v>5992.8</v>
      </c>
      <c r="G888">
        <v>1224</v>
      </c>
      <c r="H888" s="116"/>
      <c r="I888" s="116"/>
      <c r="L888" s="170">
        <v>45583</v>
      </c>
      <c r="M888" s="116">
        <v>5995.05</v>
      </c>
      <c r="N888" s="116">
        <v>6124.9</v>
      </c>
      <c r="O888" s="116">
        <v>5976.2</v>
      </c>
      <c r="P888" s="116">
        <v>6090.75</v>
      </c>
      <c r="Q888" s="116">
        <v>5995.05</v>
      </c>
      <c r="R888">
        <v>36512</v>
      </c>
    </row>
    <row r="889" spans="1:18" x14ac:dyDescent="0.25">
      <c r="A889" s="170">
        <v>45586</v>
      </c>
      <c r="B889" s="116">
        <v>6179.8</v>
      </c>
      <c r="C889" s="116">
        <v>5892.45</v>
      </c>
      <c r="D889" s="116">
        <v>5872.85</v>
      </c>
      <c r="E889" s="116">
        <v>6179.8</v>
      </c>
      <c r="F889" s="116">
        <v>5892.45</v>
      </c>
      <c r="G889">
        <v>647</v>
      </c>
      <c r="H889" s="116"/>
      <c r="I889" s="116"/>
      <c r="L889" s="170">
        <v>45586</v>
      </c>
      <c r="M889" s="116">
        <v>5900.75</v>
      </c>
      <c r="N889" s="116">
        <v>6055</v>
      </c>
      <c r="O889" s="116">
        <v>5863</v>
      </c>
      <c r="P889" s="116">
        <v>6038.25</v>
      </c>
      <c r="Q889" s="116">
        <v>5900.75</v>
      </c>
      <c r="R889">
        <v>60495</v>
      </c>
    </row>
    <row r="890" spans="1:18" x14ac:dyDescent="0.25">
      <c r="A890" s="170">
        <v>45587</v>
      </c>
      <c r="B890" s="116">
        <v>6130.6</v>
      </c>
      <c r="C890" s="116">
        <v>5506.15</v>
      </c>
      <c r="D890" s="116">
        <v>5460.5</v>
      </c>
      <c r="E890" s="116">
        <v>6130.6</v>
      </c>
      <c r="F890" s="116">
        <v>5506.15</v>
      </c>
      <c r="G890">
        <v>1539</v>
      </c>
      <c r="H890" s="116"/>
      <c r="I890" s="116"/>
      <c r="L890" s="170">
        <v>45587</v>
      </c>
      <c r="M890" s="116">
        <v>5494.35</v>
      </c>
      <c r="N890" s="116">
        <v>5939</v>
      </c>
      <c r="O890" s="116">
        <v>5451.5</v>
      </c>
      <c r="P890" s="116">
        <v>5900</v>
      </c>
      <c r="Q890" s="116">
        <v>5494.35</v>
      </c>
      <c r="R890">
        <v>46571</v>
      </c>
    </row>
    <row r="891" spans="1:18" x14ac:dyDescent="0.25">
      <c r="A891" s="170">
        <v>45588</v>
      </c>
      <c r="B891" s="116">
        <v>5681.7</v>
      </c>
      <c r="C891" s="116">
        <v>5602.4</v>
      </c>
      <c r="D891" s="116">
        <v>5288.8</v>
      </c>
      <c r="E891" s="116">
        <v>5550</v>
      </c>
      <c r="F891" s="116">
        <v>5602.4</v>
      </c>
      <c r="G891">
        <v>10035</v>
      </c>
      <c r="H891" s="116"/>
      <c r="I891" s="116"/>
      <c r="L891" s="170">
        <v>45588</v>
      </c>
      <c r="M891" s="116">
        <v>5595.8</v>
      </c>
      <c r="N891" s="116">
        <v>5675.2</v>
      </c>
      <c r="O891" s="116">
        <v>5293.35</v>
      </c>
      <c r="P891" s="116">
        <v>5571.7</v>
      </c>
      <c r="Q891" s="116">
        <v>5595.8</v>
      </c>
      <c r="R891">
        <v>127784</v>
      </c>
    </row>
    <row r="892" spans="1:18" x14ac:dyDescent="0.25">
      <c r="A892" s="170">
        <v>45589</v>
      </c>
      <c r="B892" s="116">
        <v>5556.65</v>
      </c>
      <c r="C892" s="116">
        <v>5305.8</v>
      </c>
      <c r="D892" s="116">
        <v>5264.9</v>
      </c>
      <c r="E892" s="116">
        <v>5520</v>
      </c>
      <c r="F892" s="116">
        <v>5305.8</v>
      </c>
      <c r="G892">
        <v>5414</v>
      </c>
      <c r="H892" s="116"/>
      <c r="I892" s="116"/>
      <c r="L892" s="170">
        <v>45589</v>
      </c>
      <c r="M892" s="116">
        <v>5304.8</v>
      </c>
      <c r="N892" s="116">
        <v>5569.95</v>
      </c>
      <c r="O892" s="116">
        <v>5260.15</v>
      </c>
      <c r="P892" s="116">
        <v>5534</v>
      </c>
      <c r="Q892" s="116">
        <v>5304.8</v>
      </c>
      <c r="R892">
        <v>79971</v>
      </c>
    </row>
    <row r="893" spans="1:18" x14ac:dyDescent="0.25">
      <c r="A893" s="170">
        <v>45590</v>
      </c>
      <c r="B893" s="116">
        <v>5354.25</v>
      </c>
      <c r="C893" s="116">
        <v>5234.6499999999996</v>
      </c>
      <c r="D893" s="116">
        <v>5155.8</v>
      </c>
      <c r="E893" s="116">
        <v>5328</v>
      </c>
      <c r="F893" s="116">
        <v>5234.6499999999996</v>
      </c>
      <c r="G893">
        <v>3478</v>
      </c>
      <c r="H893" s="116"/>
      <c r="I893" s="116"/>
      <c r="L893" s="170">
        <v>45590</v>
      </c>
      <c r="M893" s="116">
        <v>5231</v>
      </c>
      <c r="N893" s="116">
        <v>5365.65</v>
      </c>
      <c r="O893" s="116">
        <v>5150.1000000000004</v>
      </c>
      <c r="P893" s="116">
        <v>5319.45</v>
      </c>
      <c r="Q893" s="116">
        <v>5231</v>
      </c>
      <c r="R893">
        <v>46989</v>
      </c>
    </row>
    <row r="894" spans="1:18" x14ac:dyDescent="0.25">
      <c r="A894" s="170">
        <v>45593</v>
      </c>
      <c r="B894" s="116">
        <v>5175.8500000000004</v>
      </c>
      <c r="C894" s="116">
        <v>4959.25</v>
      </c>
      <c r="D894" s="116">
        <v>4940</v>
      </c>
      <c r="E894" s="116">
        <v>5100</v>
      </c>
      <c r="F894" s="116">
        <v>4959.25</v>
      </c>
      <c r="G894">
        <v>6679</v>
      </c>
      <c r="H894" s="116"/>
      <c r="I894" s="116"/>
      <c r="L894" s="170">
        <v>45593</v>
      </c>
      <c r="M894" s="116">
        <v>4959.3999999999996</v>
      </c>
      <c r="N894" s="116">
        <v>5176.95</v>
      </c>
      <c r="O894" s="116">
        <v>4940.5</v>
      </c>
      <c r="P894" s="116">
        <v>5060.05</v>
      </c>
      <c r="Q894" s="116">
        <v>4959.3999999999996</v>
      </c>
      <c r="R894">
        <v>55330</v>
      </c>
    </row>
    <row r="895" spans="1:18" x14ac:dyDescent="0.25">
      <c r="A895" s="170">
        <v>45594</v>
      </c>
      <c r="B895" s="116">
        <v>5003.6499999999996</v>
      </c>
      <c r="C895" s="116">
        <v>4944.25</v>
      </c>
      <c r="D895" s="116">
        <v>4839.8</v>
      </c>
      <c r="E895" s="116">
        <v>4960.6000000000004</v>
      </c>
      <c r="F895" s="116">
        <v>4944.25</v>
      </c>
      <c r="G895">
        <v>1495</v>
      </c>
      <c r="H895" s="116"/>
      <c r="I895" s="116"/>
      <c r="L895" s="170">
        <v>45594</v>
      </c>
      <c r="M895" s="116">
        <v>4949.3</v>
      </c>
      <c r="N895" s="116">
        <v>5005.5</v>
      </c>
      <c r="O895" s="116">
        <v>4833</v>
      </c>
      <c r="P895" s="116">
        <v>4959.3999999999996</v>
      </c>
      <c r="Q895" s="116">
        <v>4949.3</v>
      </c>
      <c r="R895">
        <v>44632</v>
      </c>
    </row>
    <row r="896" spans="1:18" x14ac:dyDescent="0.25">
      <c r="A896" s="170">
        <v>45595</v>
      </c>
      <c r="B896" s="116">
        <v>5093.55</v>
      </c>
      <c r="C896" s="116">
        <v>5037.6499999999996</v>
      </c>
      <c r="D896" s="116">
        <v>4944.25</v>
      </c>
      <c r="E896" s="116">
        <v>4944.25</v>
      </c>
      <c r="F896" s="116">
        <v>5037.6499999999996</v>
      </c>
      <c r="G896">
        <v>2405</v>
      </c>
      <c r="H896" s="116"/>
      <c r="I896" s="116"/>
      <c r="L896" s="170">
        <v>45595</v>
      </c>
      <c r="M896" s="116">
        <v>5042.2</v>
      </c>
      <c r="N896" s="116">
        <v>5141.8999999999996</v>
      </c>
      <c r="O896" s="116">
        <v>4944</v>
      </c>
      <c r="P896" s="116">
        <v>4949.8999999999996</v>
      </c>
      <c r="Q896" s="116">
        <v>5042.2</v>
      </c>
      <c r="R896">
        <v>52298</v>
      </c>
    </row>
    <row r="897" spans="1:18" x14ac:dyDescent="0.25">
      <c r="A897" s="170">
        <v>45596</v>
      </c>
      <c r="B897" s="116">
        <v>5112.1000000000004</v>
      </c>
      <c r="C897" s="116">
        <v>5101.7</v>
      </c>
      <c r="D897" s="116">
        <v>5016.3</v>
      </c>
      <c r="E897" s="116">
        <v>5052.95</v>
      </c>
      <c r="F897" s="116">
        <v>5101.7</v>
      </c>
      <c r="G897">
        <v>713</v>
      </c>
      <c r="H897" s="116"/>
      <c r="I897" s="116"/>
      <c r="L897" s="170">
        <v>45596</v>
      </c>
      <c r="M897" s="116">
        <v>5099.1499999999996</v>
      </c>
      <c r="N897" s="116">
        <v>5117.45</v>
      </c>
      <c r="O897" s="116">
        <v>5005.2</v>
      </c>
      <c r="P897" s="116">
        <v>5077.3500000000004</v>
      </c>
      <c r="Q897" s="116">
        <v>5099.1499999999996</v>
      </c>
      <c r="R897">
        <v>31908</v>
      </c>
    </row>
    <row r="898" spans="1:18" x14ac:dyDescent="0.25">
      <c r="A898" s="170">
        <v>45597</v>
      </c>
      <c r="B898" s="116">
        <v>5223.75</v>
      </c>
      <c r="C898" s="116">
        <v>5202.8</v>
      </c>
      <c r="D898" s="116">
        <v>5122</v>
      </c>
      <c r="E898" s="116">
        <v>5200</v>
      </c>
      <c r="F898" s="116">
        <v>5202.8</v>
      </c>
      <c r="G898">
        <v>909</v>
      </c>
      <c r="H898" s="116"/>
      <c r="I898" s="116"/>
      <c r="L898" s="170">
        <v>45597</v>
      </c>
      <c r="M898" s="116">
        <v>5203</v>
      </c>
      <c r="N898" s="116">
        <v>5225.3500000000004</v>
      </c>
      <c r="O898" s="116">
        <v>5100</v>
      </c>
      <c r="P898" s="116">
        <v>5164.05</v>
      </c>
      <c r="Q898" s="116">
        <v>5203</v>
      </c>
      <c r="R898">
        <v>4699</v>
      </c>
    </row>
    <row r="899" spans="1:18" x14ac:dyDescent="0.25">
      <c r="A899" s="170">
        <v>45600</v>
      </c>
      <c r="B899" s="116">
        <v>5249</v>
      </c>
      <c r="C899" s="116">
        <v>5007.3999999999996</v>
      </c>
      <c r="D899" s="116">
        <v>4944.05</v>
      </c>
      <c r="E899" s="116">
        <v>5248.15</v>
      </c>
      <c r="F899" s="116">
        <v>5007.3999999999996</v>
      </c>
      <c r="G899">
        <v>1473</v>
      </c>
      <c r="H899" s="116"/>
      <c r="I899" s="116"/>
      <c r="L899" s="170">
        <v>45600</v>
      </c>
      <c r="M899" s="116">
        <v>4997.6000000000004</v>
      </c>
      <c r="N899" s="116">
        <v>5279</v>
      </c>
      <c r="O899" s="116">
        <v>4935.05</v>
      </c>
      <c r="P899" s="116">
        <v>5223</v>
      </c>
      <c r="Q899" s="116">
        <v>4997.6000000000004</v>
      </c>
      <c r="R899">
        <v>47611</v>
      </c>
    </row>
    <row r="900" spans="1:18" x14ac:dyDescent="0.25">
      <c r="A900" s="170">
        <v>45601</v>
      </c>
      <c r="B900" s="116">
        <v>5052.8500000000004</v>
      </c>
      <c r="C900" s="116">
        <v>5006.3</v>
      </c>
      <c r="D900" s="116">
        <v>4932.05</v>
      </c>
      <c r="E900" s="116">
        <v>4932.05</v>
      </c>
      <c r="F900" s="116">
        <v>5006.3</v>
      </c>
      <c r="G900">
        <v>2065</v>
      </c>
      <c r="H900" s="116"/>
      <c r="I900" s="116"/>
      <c r="L900" s="170">
        <v>45601</v>
      </c>
      <c r="M900" s="116">
        <v>5005.8</v>
      </c>
      <c r="N900" s="116">
        <v>5048</v>
      </c>
      <c r="O900" s="116">
        <v>4930.25</v>
      </c>
      <c r="P900" s="116">
        <v>5000.05</v>
      </c>
      <c r="Q900" s="116">
        <v>5005.8</v>
      </c>
      <c r="R900">
        <v>17638</v>
      </c>
    </row>
    <row r="901" spans="1:18" x14ac:dyDescent="0.25">
      <c r="A901" s="170">
        <v>45602</v>
      </c>
      <c r="B901" s="116">
        <v>5094.25</v>
      </c>
      <c r="C901" s="116">
        <v>5035.3999999999996</v>
      </c>
      <c r="D901" s="116">
        <v>5024.95</v>
      </c>
      <c r="E901" s="116">
        <v>5024.95</v>
      </c>
      <c r="F901" s="116">
        <v>5035.3999999999996</v>
      </c>
      <c r="G901">
        <v>1541</v>
      </c>
      <c r="H901" s="116"/>
      <c r="I901" s="116"/>
      <c r="L901" s="170">
        <v>45602</v>
      </c>
      <c r="M901" s="116">
        <v>5032.1000000000004</v>
      </c>
      <c r="N901" s="116">
        <v>5119</v>
      </c>
      <c r="O901" s="116">
        <v>5008</v>
      </c>
      <c r="P901" s="116">
        <v>5008</v>
      </c>
      <c r="Q901" s="116">
        <v>5032.1000000000004</v>
      </c>
      <c r="R901">
        <v>20009</v>
      </c>
    </row>
    <row r="902" spans="1:18" x14ac:dyDescent="0.25">
      <c r="A902" s="170">
        <v>45603</v>
      </c>
      <c r="B902" s="116">
        <v>5233</v>
      </c>
      <c r="C902" s="116">
        <v>5022.3500000000004</v>
      </c>
      <c r="D902" s="116">
        <v>4995.5</v>
      </c>
      <c r="E902" s="116">
        <v>5124.95</v>
      </c>
      <c r="F902" s="116">
        <v>5022.3500000000004</v>
      </c>
      <c r="G902">
        <v>2262</v>
      </c>
      <c r="H902" s="116"/>
      <c r="I902" s="116"/>
      <c r="L902" s="170">
        <v>45603</v>
      </c>
      <c r="M902" s="116">
        <v>5018.3</v>
      </c>
      <c r="N902" s="116">
        <v>5230</v>
      </c>
      <c r="O902" s="116">
        <v>5001</v>
      </c>
      <c r="P902" s="116">
        <v>5081.3500000000004</v>
      </c>
      <c r="Q902" s="116">
        <v>5018.3</v>
      </c>
      <c r="R902">
        <v>37913</v>
      </c>
    </row>
    <row r="903" spans="1:18" x14ac:dyDescent="0.25">
      <c r="A903" s="170">
        <v>45604</v>
      </c>
      <c r="B903" s="116">
        <v>5048.1000000000004</v>
      </c>
      <c r="C903" s="116">
        <v>5001.55</v>
      </c>
      <c r="D903" s="116">
        <v>4950</v>
      </c>
      <c r="E903" s="116">
        <v>5027</v>
      </c>
      <c r="F903" s="116">
        <v>5001.55</v>
      </c>
      <c r="G903">
        <v>1983</v>
      </c>
      <c r="H903" s="116"/>
      <c r="I903" s="116"/>
      <c r="L903" s="170">
        <v>45604</v>
      </c>
      <c r="M903" s="116">
        <v>4997.45</v>
      </c>
      <c r="N903" s="116">
        <v>5057.8500000000004</v>
      </c>
      <c r="O903" s="116">
        <v>4945.05</v>
      </c>
      <c r="P903" s="116">
        <v>5019</v>
      </c>
      <c r="Q903" s="116">
        <v>4997.45</v>
      </c>
      <c r="R903">
        <v>48828</v>
      </c>
    </row>
    <row r="904" spans="1:18" x14ac:dyDescent="0.25">
      <c r="A904" s="170">
        <v>45607</v>
      </c>
      <c r="B904" s="116">
        <v>5000</v>
      </c>
      <c r="C904" s="116">
        <v>4955.3500000000004</v>
      </c>
      <c r="D904" s="116">
        <v>4911.8500000000004</v>
      </c>
      <c r="E904" s="116">
        <v>4954.55</v>
      </c>
      <c r="F904" s="116">
        <v>4955.3500000000004</v>
      </c>
      <c r="G904">
        <v>2446</v>
      </c>
      <c r="H904" s="116"/>
      <c r="I904" s="116"/>
      <c r="L904" s="170">
        <v>45607</v>
      </c>
      <c r="M904" s="116">
        <v>4968.3500000000004</v>
      </c>
      <c r="N904" s="116">
        <v>5006.8</v>
      </c>
      <c r="O904" s="116">
        <v>4910</v>
      </c>
      <c r="P904" s="116">
        <v>4997.45</v>
      </c>
      <c r="Q904" s="116">
        <v>4968.3500000000004</v>
      </c>
      <c r="R904">
        <v>19718</v>
      </c>
    </row>
    <row r="905" spans="1:18" x14ac:dyDescent="0.25">
      <c r="A905" s="170">
        <v>45608</v>
      </c>
      <c r="B905" s="116">
        <v>5065.25</v>
      </c>
      <c r="C905" s="116">
        <v>4986.8</v>
      </c>
      <c r="D905" s="116">
        <v>4940</v>
      </c>
      <c r="E905" s="116">
        <v>4940</v>
      </c>
      <c r="F905" s="116">
        <v>4986.8</v>
      </c>
      <c r="G905">
        <v>871</v>
      </c>
      <c r="H905" s="116"/>
      <c r="I905" s="116"/>
      <c r="L905" s="170">
        <v>45608</v>
      </c>
      <c r="M905" s="116">
        <v>4988.1499999999996</v>
      </c>
      <c r="N905" s="116">
        <v>5064</v>
      </c>
      <c r="O905" s="116">
        <v>4965</v>
      </c>
      <c r="P905" s="116">
        <v>5006.8500000000004</v>
      </c>
      <c r="Q905" s="116">
        <v>4988.1499999999996</v>
      </c>
      <c r="R905">
        <v>9468</v>
      </c>
    </row>
    <row r="906" spans="1:18" x14ac:dyDescent="0.25">
      <c r="A906" s="170">
        <v>45609</v>
      </c>
      <c r="B906" s="116">
        <v>4970</v>
      </c>
      <c r="C906" s="116">
        <v>4667.1499999999996</v>
      </c>
      <c r="D906" s="116">
        <v>4650.05</v>
      </c>
      <c r="E906" s="116">
        <v>4970</v>
      </c>
      <c r="F906" s="116">
        <v>4667.1499999999996</v>
      </c>
      <c r="G906">
        <v>1555</v>
      </c>
      <c r="H906" s="116"/>
      <c r="I906" s="116"/>
      <c r="L906" s="170">
        <v>45609</v>
      </c>
      <c r="M906" s="116">
        <v>4670.5</v>
      </c>
      <c r="N906" s="116">
        <v>4975.05</v>
      </c>
      <c r="O906" s="116">
        <v>4654</v>
      </c>
      <c r="P906" s="116">
        <v>4960</v>
      </c>
      <c r="Q906" s="116">
        <v>4670.5</v>
      </c>
      <c r="R906">
        <v>42940</v>
      </c>
    </row>
    <row r="907" spans="1:18" x14ac:dyDescent="0.25">
      <c r="A907" s="170">
        <v>45610</v>
      </c>
      <c r="B907" s="116">
        <v>4816.2</v>
      </c>
      <c r="C907" s="116">
        <v>4687.8999999999996</v>
      </c>
      <c r="D907" s="116">
        <v>4668.8999999999996</v>
      </c>
      <c r="E907" s="116">
        <v>4773.8</v>
      </c>
      <c r="F907" s="116">
        <v>4687.8999999999996</v>
      </c>
      <c r="G907">
        <v>1247</v>
      </c>
      <c r="H907" s="116"/>
      <c r="I907" s="116"/>
      <c r="L907" s="170">
        <v>45610</v>
      </c>
      <c r="M907" s="116">
        <v>4690.6499999999996</v>
      </c>
      <c r="N907" s="116">
        <v>4820.1000000000004</v>
      </c>
      <c r="O907" s="116">
        <v>4651.5</v>
      </c>
      <c r="P907" s="116">
        <v>4750</v>
      </c>
      <c r="Q907" s="116">
        <v>4690.6499999999996</v>
      </c>
      <c r="R907">
        <v>28030</v>
      </c>
    </row>
    <row r="908" spans="1:18" x14ac:dyDescent="0.25">
      <c r="A908" s="170">
        <v>45614</v>
      </c>
      <c r="B908" s="116">
        <v>4761.6000000000004</v>
      </c>
      <c r="C908" s="116">
        <v>4656.75</v>
      </c>
      <c r="D908" s="116">
        <v>4610.8999999999996</v>
      </c>
      <c r="E908" s="116">
        <v>4761.6000000000004</v>
      </c>
      <c r="F908" s="116">
        <v>4656.75</v>
      </c>
      <c r="G908">
        <v>1468</v>
      </c>
      <c r="H908" s="116"/>
      <c r="I908" s="116"/>
      <c r="L908" s="170">
        <v>45614</v>
      </c>
      <c r="M908" s="116">
        <v>4659.8500000000004</v>
      </c>
      <c r="N908" s="116">
        <v>4780</v>
      </c>
      <c r="O908" s="116">
        <v>4602.3999999999996</v>
      </c>
      <c r="P908" s="116">
        <v>4751.1499999999996</v>
      </c>
      <c r="Q908" s="116">
        <v>4659.8500000000004</v>
      </c>
      <c r="R908">
        <v>21339</v>
      </c>
    </row>
    <row r="909" spans="1:18" x14ac:dyDescent="0.25">
      <c r="A909" s="170">
        <v>45615</v>
      </c>
      <c r="B909" s="116">
        <v>5057</v>
      </c>
      <c r="C909" s="116">
        <v>5009.8500000000004</v>
      </c>
      <c r="D909" s="116">
        <v>4659.3999999999996</v>
      </c>
      <c r="E909" s="116">
        <v>4825.8500000000004</v>
      </c>
      <c r="F909" s="116">
        <v>5009.8500000000004</v>
      </c>
      <c r="G909">
        <v>3894</v>
      </c>
      <c r="H909" s="116"/>
      <c r="I909" s="116"/>
      <c r="L909" s="170">
        <v>45615</v>
      </c>
      <c r="M909" s="116">
        <v>5009.25</v>
      </c>
      <c r="N909" s="116">
        <v>5072.45</v>
      </c>
      <c r="O909" s="116">
        <v>4620</v>
      </c>
      <c r="P909" s="116">
        <v>4620</v>
      </c>
      <c r="Q909" s="116">
        <v>5009.25</v>
      </c>
      <c r="R909">
        <v>131886</v>
      </c>
    </row>
    <row r="910" spans="1:18" x14ac:dyDescent="0.25">
      <c r="A910" s="170">
        <v>45617</v>
      </c>
      <c r="B910" s="116">
        <v>5006.75</v>
      </c>
      <c r="C910" s="116">
        <v>4963.6000000000004</v>
      </c>
      <c r="D910" s="116">
        <v>4800</v>
      </c>
      <c r="E910" s="116">
        <v>4999.95</v>
      </c>
      <c r="F910" s="116">
        <v>4963.6000000000004</v>
      </c>
      <c r="G910">
        <v>3521</v>
      </c>
      <c r="H910" s="116"/>
      <c r="I910" s="116"/>
      <c r="L910" s="170">
        <v>45617</v>
      </c>
      <c r="M910" s="116">
        <v>4962.2</v>
      </c>
      <c r="N910" s="116">
        <v>5004</v>
      </c>
      <c r="O910" s="116">
        <v>4789.6000000000004</v>
      </c>
      <c r="P910" s="116">
        <v>4934.1000000000004</v>
      </c>
      <c r="Q910" s="116">
        <v>4962.2</v>
      </c>
      <c r="R910">
        <v>78137</v>
      </c>
    </row>
    <row r="911" spans="1:18" x14ac:dyDescent="0.25">
      <c r="A911" s="170">
        <v>45618</v>
      </c>
      <c r="B911" s="116">
        <v>5232.55</v>
      </c>
      <c r="C911" s="116">
        <v>5204</v>
      </c>
      <c r="D911" s="116">
        <v>4900</v>
      </c>
      <c r="E911" s="116">
        <v>4922.5</v>
      </c>
      <c r="F911" s="116">
        <v>5204</v>
      </c>
      <c r="G911">
        <v>2469</v>
      </c>
      <c r="H911" s="116"/>
      <c r="I911" s="116"/>
      <c r="L911" s="170">
        <v>45618</v>
      </c>
      <c r="M911" s="116">
        <v>5210.6000000000004</v>
      </c>
      <c r="N911" s="116">
        <v>5239.95</v>
      </c>
      <c r="O911" s="116">
        <v>4894.3500000000004</v>
      </c>
      <c r="P911" s="116">
        <v>4958.3999999999996</v>
      </c>
      <c r="Q911" s="116">
        <v>5210.6000000000004</v>
      </c>
      <c r="R911">
        <v>45422</v>
      </c>
    </row>
    <row r="912" spans="1:18" x14ac:dyDescent="0.25">
      <c r="A912" s="170">
        <v>45621</v>
      </c>
      <c r="B912" s="116">
        <v>5394.5</v>
      </c>
      <c r="C912" s="116">
        <v>5217.6000000000004</v>
      </c>
      <c r="D912" s="116">
        <v>5146.25</v>
      </c>
      <c r="E912" s="116">
        <v>5211</v>
      </c>
      <c r="F912" s="116">
        <v>5217.6000000000004</v>
      </c>
      <c r="G912">
        <v>854</v>
      </c>
      <c r="H912" s="116"/>
      <c r="I912" s="116"/>
      <c r="L912" s="170">
        <v>45621</v>
      </c>
      <c r="M912" s="116">
        <v>5215.75</v>
      </c>
      <c r="N912" s="116">
        <v>5398.2</v>
      </c>
      <c r="O912" s="116">
        <v>5140</v>
      </c>
      <c r="P912" s="116">
        <v>5290</v>
      </c>
      <c r="Q912" s="116">
        <v>5215.75</v>
      </c>
      <c r="R912">
        <v>56328</v>
      </c>
    </row>
    <row r="913" spans="1:18" x14ac:dyDescent="0.25">
      <c r="A913" s="170">
        <v>45622</v>
      </c>
      <c r="B913" s="116">
        <v>5239.6499999999996</v>
      </c>
      <c r="C913" s="116">
        <v>5107.6499999999996</v>
      </c>
      <c r="D913" s="116">
        <v>5001.05</v>
      </c>
      <c r="E913" s="116">
        <v>5001.05</v>
      </c>
      <c r="F913" s="116">
        <v>5107.6499999999996</v>
      </c>
      <c r="G913">
        <v>1791</v>
      </c>
      <c r="H913" s="116"/>
      <c r="I913" s="116"/>
      <c r="L913" s="170">
        <v>45622</v>
      </c>
      <c r="M913" s="116">
        <v>5094.8999999999996</v>
      </c>
      <c r="N913" s="116">
        <v>5230</v>
      </c>
      <c r="O913" s="116">
        <v>5055.3</v>
      </c>
      <c r="P913" s="116">
        <v>5206.3500000000004</v>
      </c>
      <c r="Q913" s="116">
        <v>5094.8999999999996</v>
      </c>
      <c r="R913">
        <v>63482</v>
      </c>
    </row>
    <row r="914" spans="1:18" x14ac:dyDescent="0.25">
      <c r="A914" s="170">
        <v>45623</v>
      </c>
      <c r="B914" s="116">
        <v>5149.3</v>
      </c>
      <c r="C914" s="116">
        <v>4998.3500000000004</v>
      </c>
      <c r="D914" s="116">
        <v>4966.8999999999996</v>
      </c>
      <c r="E914" s="116">
        <v>5149.3</v>
      </c>
      <c r="F914" s="116">
        <v>4998.3500000000004</v>
      </c>
      <c r="G914">
        <v>1371</v>
      </c>
      <c r="H914" s="116"/>
      <c r="I914" s="116"/>
      <c r="L914" s="170">
        <v>45623</v>
      </c>
      <c r="M914" s="116">
        <v>4990.6000000000004</v>
      </c>
      <c r="N914" s="116">
        <v>5092</v>
      </c>
      <c r="O914" s="116">
        <v>4961.5</v>
      </c>
      <c r="P914" s="116">
        <v>5073.5</v>
      </c>
      <c r="Q914" s="116">
        <v>4990.6000000000004</v>
      </c>
      <c r="R914">
        <v>19472</v>
      </c>
    </row>
    <row r="915" spans="1:18" x14ac:dyDescent="0.25">
      <c r="A915" s="170">
        <v>45624</v>
      </c>
      <c r="B915" s="116">
        <v>5097.8</v>
      </c>
      <c r="C915" s="116">
        <v>4987.3500000000004</v>
      </c>
      <c r="D915" s="116">
        <v>4947.75</v>
      </c>
      <c r="E915" s="116">
        <v>5097.8</v>
      </c>
      <c r="F915" s="116">
        <v>4987.3500000000004</v>
      </c>
      <c r="G915">
        <v>1426</v>
      </c>
      <c r="H915" s="116"/>
      <c r="I915" s="116"/>
      <c r="L915" s="170">
        <v>45624</v>
      </c>
      <c r="M915" s="116">
        <v>4999.3999999999996</v>
      </c>
      <c r="N915" s="116">
        <v>5084.7</v>
      </c>
      <c r="O915" s="116">
        <v>4952.6000000000004</v>
      </c>
      <c r="P915" s="116">
        <v>5005.25</v>
      </c>
      <c r="Q915" s="116">
        <v>4999.3999999999996</v>
      </c>
      <c r="R915">
        <v>21126</v>
      </c>
    </row>
    <row r="916" spans="1:18" x14ac:dyDescent="0.25">
      <c r="A916" s="170">
        <v>45625</v>
      </c>
      <c r="B916" s="116">
        <v>5110.8</v>
      </c>
      <c r="C916" s="116">
        <v>5090.55</v>
      </c>
      <c r="D916" s="116">
        <v>4960</v>
      </c>
      <c r="E916" s="116">
        <v>5097.95</v>
      </c>
      <c r="F916" s="116">
        <v>5090.55</v>
      </c>
      <c r="G916">
        <v>939</v>
      </c>
      <c r="H916" s="116"/>
      <c r="I916" s="116"/>
      <c r="L916" s="170">
        <v>45625</v>
      </c>
      <c r="M916" s="116">
        <v>5099.3</v>
      </c>
      <c r="N916" s="116">
        <v>5125.5</v>
      </c>
      <c r="O916" s="116">
        <v>4955.1499999999996</v>
      </c>
      <c r="P916" s="116">
        <v>5069</v>
      </c>
      <c r="Q916" s="116">
        <v>5099.3</v>
      </c>
      <c r="R916">
        <v>35203</v>
      </c>
    </row>
    <row r="917" spans="1:18" x14ac:dyDescent="0.25">
      <c r="A917" s="170">
        <v>45628</v>
      </c>
      <c r="B917" s="116">
        <v>5300</v>
      </c>
      <c r="C917" s="116">
        <v>5013.45</v>
      </c>
      <c r="D917" s="116">
        <v>4994.1000000000004</v>
      </c>
      <c r="E917" s="116">
        <v>5300</v>
      </c>
      <c r="F917" s="116">
        <v>5013.45</v>
      </c>
      <c r="G917">
        <v>480</v>
      </c>
      <c r="H917" s="116"/>
      <c r="I917" s="116"/>
      <c r="L917" s="170">
        <v>45628</v>
      </c>
      <c r="M917" s="116">
        <v>5024.05</v>
      </c>
      <c r="N917" s="116">
        <v>5125.25</v>
      </c>
      <c r="O917" s="116">
        <v>4981.5</v>
      </c>
      <c r="P917" s="116">
        <v>5107.75</v>
      </c>
      <c r="Q917" s="116">
        <v>5024.05</v>
      </c>
      <c r="R917">
        <v>11189</v>
      </c>
    </row>
    <row r="918" spans="1:18" x14ac:dyDescent="0.25">
      <c r="A918" s="170">
        <v>45629</v>
      </c>
      <c r="B918" s="116">
        <v>5108.6000000000004</v>
      </c>
      <c r="C918" s="116">
        <v>4947.7</v>
      </c>
      <c r="D918" s="116">
        <v>4905</v>
      </c>
      <c r="E918" s="116">
        <v>5108.6000000000004</v>
      </c>
      <c r="F918" s="116">
        <v>4947.7</v>
      </c>
      <c r="G918">
        <v>1491</v>
      </c>
      <c r="H918" s="116"/>
      <c r="I918" s="116"/>
      <c r="L918" s="170">
        <v>45629</v>
      </c>
      <c r="M918" s="116">
        <v>4947.1000000000004</v>
      </c>
      <c r="N918" s="116">
        <v>5046.7</v>
      </c>
      <c r="O918" s="116">
        <v>4876</v>
      </c>
      <c r="P918" s="116">
        <v>5024.8999999999996</v>
      </c>
      <c r="Q918" s="116">
        <v>4947.1000000000004</v>
      </c>
      <c r="R918">
        <v>47597</v>
      </c>
    </row>
    <row r="919" spans="1:18" x14ac:dyDescent="0.25">
      <c r="A919" s="170">
        <v>45630</v>
      </c>
      <c r="B919" s="116">
        <v>5046.1499999999996</v>
      </c>
      <c r="C919" s="116">
        <v>4992.5</v>
      </c>
      <c r="D919" s="116">
        <v>4933.8999999999996</v>
      </c>
      <c r="E919" s="116">
        <v>5034.95</v>
      </c>
      <c r="F919" s="116">
        <v>4992.5</v>
      </c>
      <c r="G919">
        <v>1338</v>
      </c>
      <c r="H919" s="116"/>
      <c r="I919" s="116"/>
      <c r="L919" s="170">
        <v>45630</v>
      </c>
      <c r="M919" s="116">
        <v>4969.75</v>
      </c>
      <c r="N919" s="116">
        <v>5043.8999999999996</v>
      </c>
      <c r="O919" s="116">
        <v>4920</v>
      </c>
      <c r="P919" s="116">
        <v>4951</v>
      </c>
      <c r="Q919" s="116">
        <v>4969.75</v>
      </c>
      <c r="R919">
        <v>29252</v>
      </c>
    </row>
    <row r="920" spans="1:18" x14ac:dyDescent="0.25">
      <c r="A920" s="170">
        <v>45631</v>
      </c>
      <c r="B920" s="116">
        <v>4985.5</v>
      </c>
      <c r="C920" s="116">
        <v>4934.75</v>
      </c>
      <c r="D920" s="116">
        <v>4920.7</v>
      </c>
      <c r="E920" s="116">
        <v>4982</v>
      </c>
      <c r="F920" s="116">
        <v>4934.75</v>
      </c>
      <c r="G920">
        <v>1324</v>
      </c>
      <c r="H920" s="116"/>
      <c r="I920" s="116"/>
      <c r="L920" s="170">
        <v>45631</v>
      </c>
      <c r="M920" s="116">
        <v>4939.8500000000004</v>
      </c>
      <c r="N920" s="116">
        <v>4998.8500000000004</v>
      </c>
      <c r="O920" s="116">
        <v>4920.7</v>
      </c>
      <c r="P920" s="116">
        <v>4973</v>
      </c>
      <c r="Q920" s="116">
        <v>4939.8500000000004</v>
      </c>
      <c r="R920">
        <v>21576</v>
      </c>
    </row>
    <row r="921" spans="1:18" x14ac:dyDescent="0.25">
      <c r="A921" s="170">
        <v>45632</v>
      </c>
      <c r="B921" s="116">
        <v>4977.1000000000004</v>
      </c>
      <c r="C921" s="116">
        <v>4942</v>
      </c>
      <c r="D921" s="116">
        <v>4932.95</v>
      </c>
      <c r="E921" s="116">
        <v>4939.3</v>
      </c>
      <c r="F921" s="116">
        <v>4942</v>
      </c>
      <c r="G921">
        <v>736</v>
      </c>
      <c r="H921" s="116"/>
      <c r="I921" s="116"/>
      <c r="L921" s="170">
        <v>45632</v>
      </c>
      <c r="M921" s="116">
        <v>4941.6000000000004</v>
      </c>
      <c r="N921" s="116">
        <v>4987.5</v>
      </c>
      <c r="O921" s="116">
        <v>4935</v>
      </c>
      <c r="P921" s="116">
        <v>4972.6000000000004</v>
      </c>
      <c r="Q921" s="116">
        <v>4941.6000000000004</v>
      </c>
      <c r="R921">
        <v>15086</v>
      </c>
    </row>
    <row r="922" spans="1:18" x14ac:dyDescent="0.25">
      <c r="A922" s="170">
        <v>45635</v>
      </c>
      <c r="B922" s="116">
        <v>4974.8500000000004</v>
      </c>
      <c r="C922" s="116">
        <v>4897.2</v>
      </c>
      <c r="D922" s="116">
        <v>4848</v>
      </c>
      <c r="E922" s="116">
        <v>4941</v>
      </c>
      <c r="F922" s="116">
        <v>4897.2</v>
      </c>
      <c r="G922">
        <v>1929</v>
      </c>
      <c r="H922" s="116"/>
      <c r="I922" s="116"/>
      <c r="L922" s="170">
        <v>45635</v>
      </c>
      <c r="M922" s="116">
        <v>4899.3</v>
      </c>
      <c r="N922" s="116">
        <v>4978.5</v>
      </c>
      <c r="O922" s="116">
        <v>4842</v>
      </c>
      <c r="P922" s="116">
        <v>4951.25</v>
      </c>
      <c r="Q922" s="116">
        <v>4899.3</v>
      </c>
      <c r="R922">
        <v>40845</v>
      </c>
    </row>
    <row r="923" spans="1:18" x14ac:dyDescent="0.25">
      <c r="A923" s="170">
        <v>45636</v>
      </c>
      <c r="B923" s="116">
        <v>5104.1000000000004</v>
      </c>
      <c r="C923" s="116">
        <v>5087.05</v>
      </c>
      <c r="D923" s="116">
        <v>4897.25</v>
      </c>
      <c r="E923" s="116">
        <v>4897.25</v>
      </c>
      <c r="F923" s="116">
        <v>5087.05</v>
      </c>
      <c r="G923">
        <v>1436</v>
      </c>
      <c r="H923" s="116"/>
      <c r="I923" s="116"/>
      <c r="L923" s="170">
        <v>45636</v>
      </c>
      <c r="M923" s="116">
        <v>5088</v>
      </c>
      <c r="N923" s="116">
        <v>5112.6499999999996</v>
      </c>
      <c r="O923" s="116">
        <v>4910.25</v>
      </c>
      <c r="P923" s="116">
        <v>4924.45</v>
      </c>
      <c r="Q923" s="116">
        <v>5088</v>
      </c>
      <c r="R923">
        <v>105154</v>
      </c>
    </row>
    <row r="924" spans="1:18" x14ac:dyDescent="0.25">
      <c r="A924" s="170">
        <v>45637</v>
      </c>
      <c r="B924" s="116">
        <v>5089</v>
      </c>
      <c r="C924" s="116">
        <v>4985</v>
      </c>
      <c r="D924" s="116">
        <v>4971</v>
      </c>
      <c r="E924" s="116">
        <v>5088.05</v>
      </c>
      <c r="F924" s="116">
        <v>4985</v>
      </c>
      <c r="G924">
        <v>780</v>
      </c>
      <c r="H924" s="116"/>
      <c r="I924" s="116"/>
      <c r="L924" s="170">
        <v>45637</v>
      </c>
      <c r="M924" s="116">
        <v>4988.45</v>
      </c>
      <c r="N924" s="116">
        <v>5100</v>
      </c>
      <c r="O924" s="116">
        <v>4956.3999999999996</v>
      </c>
      <c r="P924" s="116">
        <v>5100</v>
      </c>
      <c r="Q924" s="116">
        <v>4988.45</v>
      </c>
      <c r="R924">
        <v>36435</v>
      </c>
    </row>
    <row r="925" spans="1:18" x14ac:dyDescent="0.25">
      <c r="A925" s="170">
        <v>45638</v>
      </c>
      <c r="B925" s="116">
        <v>5058.8999999999996</v>
      </c>
      <c r="C925" s="116">
        <v>4972.3</v>
      </c>
      <c r="D925" s="116">
        <v>4902</v>
      </c>
      <c r="E925" s="116">
        <v>4999</v>
      </c>
      <c r="F925" s="116">
        <v>4972.3</v>
      </c>
      <c r="G925">
        <v>830</v>
      </c>
      <c r="H925" s="116"/>
      <c r="I925" s="116"/>
      <c r="L925" s="170">
        <v>45638</v>
      </c>
      <c r="M925" s="116">
        <v>5002.6000000000004</v>
      </c>
      <c r="N925" s="116">
        <v>5063</v>
      </c>
      <c r="O925" s="116">
        <v>4869.3999999999996</v>
      </c>
      <c r="P925" s="116">
        <v>5009.05</v>
      </c>
      <c r="Q925" s="116">
        <v>5002.6000000000004</v>
      </c>
      <c r="R925">
        <v>65429</v>
      </c>
    </row>
    <row r="926" spans="1:18" x14ac:dyDescent="0.25">
      <c r="A926" s="170">
        <v>45639</v>
      </c>
      <c r="B926" s="116">
        <v>5152.3</v>
      </c>
      <c r="C926" s="116">
        <v>5098.8500000000004</v>
      </c>
      <c r="D926" s="116">
        <v>5006</v>
      </c>
      <c r="E926" s="116">
        <v>5015.8500000000004</v>
      </c>
      <c r="F926" s="116">
        <v>5098.8500000000004</v>
      </c>
      <c r="G926">
        <v>2343</v>
      </c>
      <c r="H926" s="116"/>
      <c r="I926" s="116"/>
      <c r="L926" s="170">
        <v>45639</v>
      </c>
      <c r="M926" s="116">
        <v>5095.3</v>
      </c>
      <c r="N926" s="116">
        <v>5155.1000000000004</v>
      </c>
      <c r="O926" s="116">
        <v>4970</v>
      </c>
      <c r="P926" s="116">
        <v>4976.8999999999996</v>
      </c>
      <c r="Q926" s="116">
        <v>5095.3</v>
      </c>
      <c r="R926">
        <v>104231</v>
      </c>
    </row>
    <row r="927" spans="1:18" x14ac:dyDescent="0.25">
      <c r="A927" s="170">
        <v>45642</v>
      </c>
      <c r="B927" s="116">
        <v>5137.95</v>
      </c>
      <c r="C927" s="116">
        <v>5027.55</v>
      </c>
      <c r="D927" s="116">
        <v>5010</v>
      </c>
      <c r="E927" s="116">
        <v>5104</v>
      </c>
      <c r="F927" s="116">
        <v>5027.55</v>
      </c>
      <c r="G927">
        <v>1039</v>
      </c>
      <c r="H927" s="116"/>
      <c r="I927" s="116"/>
      <c r="L927" s="170">
        <v>45642</v>
      </c>
      <c r="M927" s="116">
        <v>5030.8</v>
      </c>
      <c r="N927" s="116">
        <v>5141.1499999999996</v>
      </c>
      <c r="O927" s="116">
        <v>5005.6499999999996</v>
      </c>
      <c r="P927" s="116">
        <v>5099.8999999999996</v>
      </c>
      <c r="Q927" s="116">
        <v>5030.8</v>
      </c>
      <c r="R927">
        <v>13610</v>
      </c>
    </row>
    <row r="928" spans="1:18" x14ac:dyDescent="0.25">
      <c r="A928" s="170">
        <v>45643</v>
      </c>
      <c r="B928" s="116">
        <v>5392.7</v>
      </c>
      <c r="C928" s="116">
        <v>5107.25</v>
      </c>
      <c r="D928" s="116">
        <v>5027.55</v>
      </c>
      <c r="E928" s="116">
        <v>5059</v>
      </c>
      <c r="F928" s="116">
        <v>5107.25</v>
      </c>
      <c r="G928">
        <v>5866</v>
      </c>
      <c r="H928" s="116"/>
      <c r="I928" s="116"/>
      <c r="L928" s="170">
        <v>45643</v>
      </c>
      <c r="M928" s="116">
        <v>5097.8500000000004</v>
      </c>
      <c r="N928" s="116">
        <v>5390</v>
      </c>
      <c r="O928" s="116">
        <v>4996</v>
      </c>
      <c r="P928" s="116">
        <v>5060</v>
      </c>
      <c r="Q928" s="116">
        <v>5097.8500000000004</v>
      </c>
      <c r="R928">
        <v>241446</v>
      </c>
    </row>
    <row r="929" spans="1:18" x14ac:dyDescent="0.25">
      <c r="A929" s="170">
        <v>45644</v>
      </c>
      <c r="B929" s="116">
        <v>5899.65</v>
      </c>
      <c r="C929" s="116">
        <v>5665.6</v>
      </c>
      <c r="D929" s="116">
        <v>5094.45</v>
      </c>
      <c r="E929" s="116">
        <v>5134.8999999999996</v>
      </c>
      <c r="F929" s="116">
        <v>5665.6</v>
      </c>
      <c r="G929">
        <v>17535</v>
      </c>
      <c r="H929" s="116"/>
      <c r="I929" s="116"/>
      <c r="L929" s="170">
        <v>45644</v>
      </c>
      <c r="M929" s="116">
        <v>5663.7</v>
      </c>
      <c r="N929" s="116">
        <v>5894.7</v>
      </c>
      <c r="O929" s="116">
        <v>5064.55</v>
      </c>
      <c r="P929" s="116">
        <v>5084.05</v>
      </c>
      <c r="Q929" s="116">
        <v>5663.7</v>
      </c>
      <c r="R929">
        <v>365039</v>
      </c>
    </row>
    <row r="930" spans="1:18" x14ac:dyDescent="0.25">
      <c r="A930" s="170">
        <v>45645</v>
      </c>
      <c r="B930" s="116">
        <v>5666</v>
      </c>
      <c r="C930" s="116">
        <v>5364.5</v>
      </c>
      <c r="D930" s="116">
        <v>5310.05</v>
      </c>
      <c r="E930" s="116">
        <v>5625.6</v>
      </c>
      <c r="F930" s="116">
        <v>5364.5</v>
      </c>
      <c r="G930">
        <v>7066</v>
      </c>
      <c r="H930" s="116"/>
      <c r="I930" s="116"/>
      <c r="L930" s="170">
        <v>45645</v>
      </c>
      <c r="M930" s="116">
        <v>5365.35</v>
      </c>
      <c r="N930" s="116">
        <v>5662</v>
      </c>
      <c r="O930" s="116">
        <v>5313.15</v>
      </c>
      <c r="P930" s="116">
        <v>5662</v>
      </c>
      <c r="Q930" s="116">
        <v>5365.35</v>
      </c>
      <c r="R930">
        <v>234611</v>
      </c>
    </row>
    <row r="931" spans="1:18" x14ac:dyDescent="0.25">
      <c r="A931" s="170">
        <v>45646</v>
      </c>
      <c r="B931" s="116">
        <v>5388</v>
      </c>
      <c r="C931" s="116">
        <v>5194.3999999999996</v>
      </c>
      <c r="D931" s="116">
        <v>5115.7</v>
      </c>
      <c r="E931" s="116">
        <v>5364.85</v>
      </c>
      <c r="F931" s="116">
        <v>5194.3999999999996</v>
      </c>
      <c r="G931">
        <v>4148</v>
      </c>
      <c r="H931" s="116"/>
      <c r="I931" s="116"/>
      <c r="L931" s="170">
        <v>45646</v>
      </c>
      <c r="M931" s="116">
        <v>5193.25</v>
      </c>
      <c r="N931" s="116">
        <v>5401.05</v>
      </c>
      <c r="O931" s="116">
        <v>5113.3500000000004</v>
      </c>
      <c r="P931" s="116">
        <v>5387.55</v>
      </c>
      <c r="Q931" s="116">
        <v>5193.25</v>
      </c>
      <c r="R931">
        <v>91716</v>
      </c>
    </row>
    <row r="932" spans="1:18" x14ac:dyDescent="0.25">
      <c r="A932" s="170">
        <v>45649</v>
      </c>
      <c r="B932" s="116">
        <v>5278.2</v>
      </c>
      <c r="C932" s="116">
        <v>5220.75</v>
      </c>
      <c r="D932" s="116">
        <v>5195.2</v>
      </c>
      <c r="E932" s="116">
        <v>5195.2</v>
      </c>
      <c r="F932" s="116">
        <v>5220.75</v>
      </c>
      <c r="G932">
        <v>1778</v>
      </c>
      <c r="H932" s="116"/>
      <c r="I932" s="116"/>
      <c r="L932" s="170">
        <v>45649</v>
      </c>
      <c r="M932" s="116">
        <v>5213.45</v>
      </c>
      <c r="N932" s="116">
        <v>5273.95</v>
      </c>
      <c r="O932" s="116">
        <v>5200</v>
      </c>
      <c r="P932" s="116">
        <v>5250.05</v>
      </c>
      <c r="Q932" s="116">
        <v>5213.45</v>
      </c>
      <c r="R932">
        <v>33464</v>
      </c>
    </row>
    <row r="933" spans="1:18" x14ac:dyDescent="0.25">
      <c r="A933" s="170">
        <v>45650</v>
      </c>
      <c r="B933" s="116">
        <v>5245.95</v>
      </c>
      <c r="C933" s="116">
        <v>5220.6000000000004</v>
      </c>
      <c r="D933" s="116">
        <v>5155.75</v>
      </c>
      <c r="E933" s="116">
        <v>5200.05</v>
      </c>
      <c r="F933" s="116">
        <v>5220.6000000000004</v>
      </c>
      <c r="G933">
        <v>1276</v>
      </c>
      <c r="H933" s="116"/>
      <c r="I933" s="116"/>
      <c r="L933" s="170">
        <v>45650</v>
      </c>
      <c r="M933" s="116">
        <v>5208.2</v>
      </c>
      <c r="N933" s="116">
        <v>5257.65</v>
      </c>
      <c r="O933" s="116">
        <v>5160</v>
      </c>
      <c r="P933" s="116">
        <v>5234.8500000000004</v>
      </c>
      <c r="Q933" s="116">
        <v>5208.2</v>
      </c>
      <c r="R933">
        <v>16984</v>
      </c>
    </row>
    <row r="934" spans="1:18" x14ac:dyDescent="0.25">
      <c r="A934" s="170">
        <v>45652</v>
      </c>
      <c r="B934" s="116">
        <v>5399</v>
      </c>
      <c r="C934" s="116">
        <v>5364.8</v>
      </c>
      <c r="D934" s="116">
        <v>5193.8500000000004</v>
      </c>
      <c r="E934" s="116">
        <v>5205.05</v>
      </c>
      <c r="F934" s="116">
        <v>5364.8</v>
      </c>
      <c r="G934">
        <v>3723</v>
      </c>
      <c r="H934" s="116"/>
      <c r="I934" s="116"/>
      <c r="L934" s="170">
        <v>45652</v>
      </c>
      <c r="M934" s="116">
        <v>5365.9</v>
      </c>
      <c r="N934" s="116">
        <v>5389.25</v>
      </c>
      <c r="O934" s="116">
        <v>5192.5</v>
      </c>
      <c r="P934" s="116">
        <v>5210</v>
      </c>
      <c r="Q934" s="116">
        <v>5365.9</v>
      </c>
      <c r="R934">
        <v>50649</v>
      </c>
    </row>
    <row r="935" spans="1:18" x14ac:dyDescent="0.25">
      <c r="A935" s="170">
        <v>45653</v>
      </c>
      <c r="B935" s="116">
        <v>5462.1</v>
      </c>
      <c r="C935" s="116">
        <v>5396.25</v>
      </c>
      <c r="D935" s="116">
        <v>5344</v>
      </c>
      <c r="E935" s="116">
        <v>5399</v>
      </c>
      <c r="F935" s="116">
        <v>5396.25</v>
      </c>
      <c r="G935">
        <v>929</v>
      </c>
      <c r="H935" s="116"/>
      <c r="I935" s="116"/>
      <c r="L935" s="170">
        <v>45653</v>
      </c>
      <c r="M935" s="116">
        <v>5415.95</v>
      </c>
      <c r="N935" s="116">
        <v>5473.15</v>
      </c>
      <c r="O935" s="116">
        <v>5350</v>
      </c>
      <c r="P935" s="116">
        <v>5400</v>
      </c>
      <c r="Q935" s="116">
        <v>5415.95</v>
      </c>
      <c r="R935">
        <v>47179</v>
      </c>
    </row>
    <row r="936" spans="1:18" x14ac:dyDescent="0.25">
      <c r="A936" s="170">
        <v>45656</v>
      </c>
      <c r="B936" s="116">
        <v>5541.75</v>
      </c>
      <c r="C936" s="116">
        <v>5365.65</v>
      </c>
      <c r="D936" s="116">
        <v>5270</v>
      </c>
      <c r="E936" s="116">
        <v>5415.35</v>
      </c>
      <c r="F936" s="116">
        <v>5365.65</v>
      </c>
      <c r="G936">
        <v>3058</v>
      </c>
      <c r="H936" s="116"/>
      <c r="I936" s="116"/>
      <c r="L936" s="170">
        <v>45656</v>
      </c>
      <c r="M936" s="116">
        <v>5357.25</v>
      </c>
      <c r="N936" s="116">
        <v>5540.2</v>
      </c>
      <c r="O936" s="116">
        <v>5262</v>
      </c>
      <c r="P936" s="116">
        <v>5409.9</v>
      </c>
      <c r="Q936" s="116">
        <v>5357.25</v>
      </c>
      <c r="R936">
        <v>67743</v>
      </c>
    </row>
    <row r="937" spans="1:18" x14ac:dyDescent="0.25">
      <c r="A937" s="170">
        <v>45657</v>
      </c>
      <c r="B937" s="116">
        <v>5464.15</v>
      </c>
      <c r="C937" s="116">
        <v>5376.15</v>
      </c>
      <c r="D937" s="116">
        <v>5248.8</v>
      </c>
      <c r="E937" s="116">
        <v>5464.15</v>
      </c>
      <c r="F937" s="116">
        <v>5376.15</v>
      </c>
      <c r="G937">
        <v>2005</v>
      </c>
      <c r="H937" s="116"/>
      <c r="I937" s="116"/>
      <c r="L937" s="170">
        <v>45657</v>
      </c>
      <c r="M937" s="116">
        <v>5385.1</v>
      </c>
      <c r="N937" s="116">
        <v>5418.9</v>
      </c>
      <c r="O937" s="116">
        <v>5243</v>
      </c>
      <c r="P937" s="116">
        <v>5303.7</v>
      </c>
      <c r="Q937" s="116">
        <v>5385.1</v>
      </c>
      <c r="R937">
        <v>23429</v>
      </c>
    </row>
    <row r="938" spans="1:18" x14ac:dyDescent="0.25">
      <c r="A938" s="170">
        <v>45658</v>
      </c>
      <c r="B938" s="116">
        <v>5495</v>
      </c>
      <c r="C938" s="116">
        <v>5323.3</v>
      </c>
      <c r="D938" s="116">
        <v>5297</v>
      </c>
      <c r="E938" s="116">
        <v>5495</v>
      </c>
      <c r="F938" s="116">
        <v>5323.3</v>
      </c>
      <c r="G938">
        <v>1300</v>
      </c>
      <c r="H938" s="116"/>
      <c r="I938" s="116"/>
      <c r="L938" s="170">
        <v>45658</v>
      </c>
      <c r="M938" s="116">
        <v>5324.2</v>
      </c>
      <c r="N938" s="116">
        <v>5429</v>
      </c>
      <c r="O938" s="116">
        <v>5301.5</v>
      </c>
      <c r="P938" s="116">
        <v>5429</v>
      </c>
      <c r="Q938" s="116">
        <v>5324.2</v>
      </c>
      <c r="R938">
        <v>11261</v>
      </c>
    </row>
    <row r="939" spans="1:18" x14ac:dyDescent="0.25">
      <c r="A939" s="170">
        <v>45659</v>
      </c>
      <c r="B939" s="116">
        <v>5479.95</v>
      </c>
      <c r="C939" s="116">
        <v>5336.25</v>
      </c>
      <c r="D939" s="116">
        <v>5293.6</v>
      </c>
      <c r="E939" s="116">
        <v>5479.95</v>
      </c>
      <c r="F939" s="116">
        <v>5336.25</v>
      </c>
      <c r="G939">
        <v>519</v>
      </c>
      <c r="H939" s="116"/>
      <c r="I939" s="116"/>
      <c r="L939" s="170">
        <v>45659</v>
      </c>
      <c r="M939" s="116">
        <v>5336.85</v>
      </c>
      <c r="N939" s="116">
        <v>5375</v>
      </c>
      <c r="O939" s="116">
        <v>5282.05</v>
      </c>
      <c r="P939" s="116">
        <v>5324.2</v>
      </c>
      <c r="Q939" s="116">
        <v>5336.85</v>
      </c>
      <c r="R939">
        <v>16370</v>
      </c>
    </row>
    <row r="940" spans="1:18" x14ac:dyDescent="0.25">
      <c r="A940" s="170">
        <v>45660</v>
      </c>
      <c r="B940" s="116">
        <v>5368.5</v>
      </c>
      <c r="C940" s="116">
        <v>5323.9</v>
      </c>
      <c r="D940" s="116">
        <v>5312</v>
      </c>
      <c r="E940" s="116">
        <v>5368.5</v>
      </c>
      <c r="F940" s="116">
        <v>5323.9</v>
      </c>
      <c r="G940">
        <v>287</v>
      </c>
      <c r="H940" s="116"/>
      <c r="I940" s="116"/>
      <c r="L940" s="170">
        <v>45660</v>
      </c>
      <c r="M940" s="116">
        <v>5327.6</v>
      </c>
      <c r="N940" s="116">
        <v>5400</v>
      </c>
      <c r="O940" s="116">
        <v>5301.95</v>
      </c>
      <c r="P940" s="116">
        <v>5348.5</v>
      </c>
      <c r="Q940" s="116">
        <v>5327.6</v>
      </c>
      <c r="R940">
        <v>10410</v>
      </c>
    </row>
    <row r="941" spans="1:18" x14ac:dyDescent="0.25">
      <c r="A941" s="170">
        <v>45663</v>
      </c>
      <c r="B941" s="116">
        <v>5391.7</v>
      </c>
      <c r="C941" s="116">
        <v>5242.95</v>
      </c>
      <c r="D941" s="116">
        <v>5195.2</v>
      </c>
      <c r="E941" s="116">
        <v>5301.05</v>
      </c>
      <c r="F941" s="116">
        <v>5242.95</v>
      </c>
      <c r="G941">
        <v>1089</v>
      </c>
      <c r="H941" s="116"/>
      <c r="I941" s="116"/>
      <c r="L941" s="170">
        <v>45663</v>
      </c>
      <c r="M941" s="116">
        <v>5227.8999999999996</v>
      </c>
      <c r="N941" s="116">
        <v>5417.95</v>
      </c>
      <c r="O941" s="116">
        <v>5200</v>
      </c>
      <c r="P941" s="116">
        <v>5250</v>
      </c>
      <c r="Q941" s="116">
        <v>5227.8999999999996</v>
      </c>
      <c r="R941">
        <v>38628</v>
      </c>
    </row>
    <row r="942" spans="1:18" x14ac:dyDescent="0.25">
      <c r="A942" s="170">
        <v>45664</v>
      </c>
      <c r="B942" s="116">
        <v>5321.25</v>
      </c>
      <c r="C942" s="116">
        <v>5254.4</v>
      </c>
      <c r="D942" s="116">
        <v>5221.1000000000004</v>
      </c>
      <c r="E942" s="116">
        <v>5242.9</v>
      </c>
      <c r="F942" s="116">
        <v>5254.4</v>
      </c>
      <c r="G942">
        <v>1197</v>
      </c>
      <c r="H942" s="116"/>
      <c r="I942" s="116"/>
      <c r="L942" s="170">
        <v>45664</v>
      </c>
      <c r="M942" s="116">
        <v>5254.15</v>
      </c>
      <c r="N942" s="116">
        <v>5325.2</v>
      </c>
      <c r="O942" s="116">
        <v>5220</v>
      </c>
      <c r="P942" s="116">
        <v>5220</v>
      </c>
      <c r="Q942" s="116">
        <v>5254.15</v>
      </c>
      <c r="R942">
        <v>12549</v>
      </c>
    </row>
    <row r="943" spans="1:18" x14ac:dyDescent="0.25">
      <c r="A943" s="170">
        <v>45665</v>
      </c>
      <c r="B943" s="116">
        <v>5375</v>
      </c>
      <c r="C943" s="116">
        <v>5207.6499999999996</v>
      </c>
      <c r="D943" s="116">
        <v>5195.05</v>
      </c>
      <c r="E943" s="116">
        <v>5201.05</v>
      </c>
      <c r="F943" s="116">
        <v>5207.6499999999996</v>
      </c>
      <c r="G943">
        <v>2081</v>
      </c>
      <c r="H943" s="116"/>
      <c r="I943" s="116"/>
      <c r="L943" s="170">
        <v>45665</v>
      </c>
      <c r="M943" s="116">
        <v>5202.8500000000004</v>
      </c>
      <c r="N943" s="116">
        <v>5378</v>
      </c>
      <c r="O943" s="116">
        <v>5200</v>
      </c>
      <c r="P943" s="116">
        <v>5270</v>
      </c>
      <c r="Q943" s="116">
        <v>5202.8500000000004</v>
      </c>
      <c r="R943">
        <v>64904</v>
      </c>
    </row>
    <row r="944" spans="1:18" x14ac:dyDescent="0.25">
      <c r="A944" s="170">
        <v>45666</v>
      </c>
      <c r="B944" s="116">
        <v>5298.95</v>
      </c>
      <c r="C944" s="116">
        <v>5189.6000000000004</v>
      </c>
      <c r="D944" s="116">
        <v>5168.2</v>
      </c>
      <c r="E944" s="116">
        <v>5298.95</v>
      </c>
      <c r="F944" s="116">
        <v>5189.6000000000004</v>
      </c>
      <c r="G944">
        <v>1363</v>
      </c>
      <c r="H944" s="116"/>
      <c r="I944" s="116"/>
      <c r="L944" s="170">
        <v>45666</v>
      </c>
      <c r="M944" s="116">
        <v>5197.25</v>
      </c>
      <c r="N944" s="116">
        <v>5272.45</v>
      </c>
      <c r="O944" s="116">
        <v>5157</v>
      </c>
      <c r="P944" s="116">
        <v>5254.9</v>
      </c>
      <c r="Q944" s="116">
        <v>5197.25</v>
      </c>
      <c r="R944">
        <v>13492</v>
      </c>
    </row>
    <row r="945" spans="1:18" x14ac:dyDescent="0.25">
      <c r="A945" s="170">
        <v>45667</v>
      </c>
      <c r="B945" s="116">
        <v>5277.8</v>
      </c>
      <c r="C945" s="116">
        <v>5202.1000000000004</v>
      </c>
      <c r="D945" s="116">
        <v>5151.3500000000004</v>
      </c>
      <c r="E945" s="116">
        <v>5277.8</v>
      </c>
      <c r="F945" s="116">
        <v>5202.1000000000004</v>
      </c>
      <c r="G945">
        <v>1557</v>
      </c>
      <c r="H945" s="116"/>
      <c r="I945" s="116"/>
      <c r="L945" s="170">
        <v>45667</v>
      </c>
      <c r="M945" s="116">
        <v>5200.1499999999996</v>
      </c>
      <c r="N945" s="116">
        <v>5247.7</v>
      </c>
      <c r="O945" s="116">
        <v>5155.3999999999996</v>
      </c>
      <c r="P945" s="116">
        <v>5197.25</v>
      </c>
      <c r="Q945" s="116">
        <v>5200.1499999999996</v>
      </c>
      <c r="R945">
        <v>62113</v>
      </c>
    </row>
    <row r="946" spans="1:18" x14ac:dyDescent="0.25">
      <c r="A946" s="170">
        <v>45670</v>
      </c>
      <c r="B946" s="116">
        <v>5162.05</v>
      </c>
      <c r="C946" s="116">
        <v>4970.45</v>
      </c>
      <c r="D946" s="116">
        <v>4941.25</v>
      </c>
      <c r="E946" s="116">
        <v>5150</v>
      </c>
      <c r="F946" s="116">
        <v>4970.45</v>
      </c>
      <c r="G946">
        <v>3546</v>
      </c>
      <c r="H946" s="116"/>
      <c r="I946" s="116"/>
      <c r="L946" s="170">
        <v>45670</v>
      </c>
      <c r="M946" s="116">
        <v>4974.75</v>
      </c>
      <c r="N946" s="116">
        <v>5165.8999999999996</v>
      </c>
      <c r="O946" s="116">
        <v>4944</v>
      </c>
      <c r="P946" s="116">
        <v>5121.8999999999996</v>
      </c>
      <c r="Q946" s="116">
        <v>4974.75</v>
      </c>
      <c r="R946">
        <v>42756</v>
      </c>
    </row>
    <row r="947" spans="1:18" x14ac:dyDescent="0.25">
      <c r="A947" s="170">
        <v>45671</v>
      </c>
      <c r="B947" s="116">
        <v>5113.3500000000004</v>
      </c>
      <c r="C947" s="116">
        <v>4964.25</v>
      </c>
      <c r="D947" s="116">
        <v>4921.6499999999996</v>
      </c>
      <c r="E947" s="116">
        <v>4974.75</v>
      </c>
      <c r="F947" s="116">
        <v>4964.25</v>
      </c>
      <c r="G947">
        <v>2181</v>
      </c>
      <c r="H947" s="116"/>
      <c r="I947" s="116"/>
      <c r="L947" s="170">
        <v>45671</v>
      </c>
      <c r="M947" s="116">
        <v>4975.1499999999996</v>
      </c>
      <c r="N947" s="116">
        <v>5072.7</v>
      </c>
      <c r="O947" s="116">
        <v>4926.6499999999996</v>
      </c>
      <c r="P947" s="116">
        <v>4989</v>
      </c>
      <c r="Q947" s="116">
        <v>4975.1499999999996</v>
      </c>
      <c r="R947">
        <v>25714</v>
      </c>
    </row>
    <row r="948" spans="1:18" x14ac:dyDescent="0.25">
      <c r="A948" s="170">
        <v>45672</v>
      </c>
      <c r="B948" s="116">
        <v>4996.2</v>
      </c>
      <c r="C948" s="116">
        <v>4816</v>
      </c>
      <c r="D948" s="116">
        <v>4779.8500000000004</v>
      </c>
      <c r="E948" s="116">
        <v>4996.2</v>
      </c>
      <c r="F948" s="116">
        <v>4816</v>
      </c>
      <c r="G948">
        <v>2061</v>
      </c>
      <c r="H948" s="116"/>
      <c r="I948" s="116"/>
      <c r="L948" s="170">
        <v>45672</v>
      </c>
      <c r="M948" s="116">
        <v>4817.45</v>
      </c>
      <c r="N948" s="116">
        <v>4989.7</v>
      </c>
      <c r="O948" s="116">
        <v>4782.1000000000004</v>
      </c>
      <c r="P948" s="116">
        <v>4975.1499999999996</v>
      </c>
      <c r="Q948" s="116">
        <v>4817.45</v>
      </c>
      <c r="R948">
        <v>45145</v>
      </c>
    </row>
    <row r="949" spans="1:18" x14ac:dyDescent="0.25">
      <c r="A949" s="170">
        <v>45673</v>
      </c>
      <c r="B949" s="116">
        <v>4947.05</v>
      </c>
      <c r="C949" s="116">
        <v>4848.1000000000004</v>
      </c>
      <c r="D949" s="116">
        <v>4831.6499999999996</v>
      </c>
      <c r="E949" s="116">
        <v>4889.95</v>
      </c>
      <c r="F949" s="116">
        <v>4848.1000000000004</v>
      </c>
      <c r="G949">
        <v>623</v>
      </c>
      <c r="H949" s="116"/>
      <c r="I949" s="116"/>
      <c r="L949" s="170">
        <v>45673</v>
      </c>
      <c r="M949" s="116">
        <v>4850.95</v>
      </c>
      <c r="N949" s="116">
        <v>4951.1499999999996</v>
      </c>
      <c r="O949" s="116">
        <v>4824</v>
      </c>
      <c r="P949" s="116">
        <v>4852</v>
      </c>
      <c r="Q949" s="116">
        <v>4850.95</v>
      </c>
      <c r="R949">
        <v>41852</v>
      </c>
    </row>
    <row r="950" spans="1:18" x14ac:dyDescent="0.25">
      <c r="A950" s="170">
        <v>45674</v>
      </c>
      <c r="B950" s="116">
        <v>4861.45</v>
      </c>
      <c r="C950" s="116">
        <v>4739.6499999999996</v>
      </c>
      <c r="D950" s="116">
        <v>4717</v>
      </c>
      <c r="E950" s="116">
        <v>4820.3999999999996</v>
      </c>
      <c r="F950" s="116">
        <v>4739.6499999999996</v>
      </c>
      <c r="G950">
        <v>797</v>
      </c>
      <c r="H950" s="116"/>
      <c r="I950" s="116"/>
      <c r="L950" s="170">
        <v>45674</v>
      </c>
      <c r="M950" s="116">
        <v>4733.25</v>
      </c>
      <c r="N950" s="116">
        <v>4880</v>
      </c>
      <c r="O950" s="116">
        <v>4715</v>
      </c>
      <c r="P950" s="116">
        <v>4857</v>
      </c>
      <c r="Q950" s="116">
        <v>4733.25</v>
      </c>
      <c r="R950">
        <v>17063</v>
      </c>
    </row>
    <row r="951" spans="1:18" x14ac:dyDescent="0.25">
      <c r="A951" s="170">
        <v>45677</v>
      </c>
      <c r="B951" s="116">
        <v>4747.3</v>
      </c>
      <c r="C951" s="116">
        <v>4717.45</v>
      </c>
      <c r="D951" s="116">
        <v>4632.25</v>
      </c>
      <c r="E951" s="116">
        <v>4747.3</v>
      </c>
      <c r="F951" s="116">
        <v>4717.45</v>
      </c>
      <c r="G951">
        <v>1178</v>
      </c>
      <c r="H951" s="116"/>
      <c r="I951" s="116"/>
      <c r="L951" s="170">
        <v>45677</v>
      </c>
      <c r="M951" s="116">
        <v>4696.3500000000004</v>
      </c>
      <c r="N951" s="116">
        <v>4798</v>
      </c>
      <c r="O951" s="116">
        <v>4635</v>
      </c>
      <c r="P951" s="116">
        <v>4790</v>
      </c>
      <c r="Q951" s="116">
        <v>4696.3500000000004</v>
      </c>
      <c r="R951">
        <v>32051</v>
      </c>
    </row>
    <row r="952" spans="1:18" x14ac:dyDescent="0.25">
      <c r="A952" s="170">
        <v>45678</v>
      </c>
      <c r="B952" s="116">
        <v>4770</v>
      </c>
      <c r="C952" s="116">
        <v>4614</v>
      </c>
      <c r="D952" s="116">
        <v>4599</v>
      </c>
      <c r="E952" s="116">
        <v>4725</v>
      </c>
      <c r="F952" s="116">
        <v>4614</v>
      </c>
      <c r="G952">
        <v>2522</v>
      </c>
      <c r="H952" s="116"/>
      <c r="I952" s="116"/>
      <c r="L952" s="170">
        <v>45678</v>
      </c>
      <c r="M952" s="116">
        <v>4632.55</v>
      </c>
      <c r="N952" s="116">
        <v>4779.5</v>
      </c>
      <c r="O952" s="116">
        <v>4589.95</v>
      </c>
      <c r="P952" s="116">
        <v>4709.8</v>
      </c>
      <c r="Q952" s="116">
        <v>4632.55</v>
      </c>
      <c r="R952">
        <v>14519</v>
      </c>
    </row>
    <row r="953" spans="1:18" x14ac:dyDescent="0.25">
      <c r="A953" s="170">
        <v>45679</v>
      </c>
      <c r="B953" s="116">
        <v>4611.1000000000004</v>
      </c>
      <c r="C953" s="116">
        <v>4564.8500000000004</v>
      </c>
      <c r="D953" s="116">
        <v>4499</v>
      </c>
      <c r="E953" s="116">
        <v>4601.05</v>
      </c>
      <c r="F953" s="116">
        <v>4564.8500000000004</v>
      </c>
      <c r="G953">
        <v>1130</v>
      </c>
      <c r="H953" s="116"/>
      <c r="I953" s="116"/>
      <c r="L953" s="170">
        <v>45679</v>
      </c>
      <c r="M953" s="116">
        <v>4565.7</v>
      </c>
      <c r="N953" s="116">
        <v>4632</v>
      </c>
      <c r="O953" s="116">
        <v>4492.8500000000004</v>
      </c>
      <c r="P953" s="116">
        <v>4611</v>
      </c>
      <c r="Q953" s="116">
        <v>4565.7</v>
      </c>
      <c r="R953">
        <v>22081</v>
      </c>
    </row>
    <row r="954" spans="1:18" x14ac:dyDescent="0.25">
      <c r="A954" s="170">
        <v>45680</v>
      </c>
      <c r="B954" s="116">
        <v>4680.25</v>
      </c>
      <c r="C954" s="116">
        <v>4610.8</v>
      </c>
      <c r="D954" s="116">
        <v>4507.7</v>
      </c>
      <c r="E954" s="116">
        <v>4546.05</v>
      </c>
      <c r="F954" s="116">
        <v>4610.8</v>
      </c>
      <c r="G954">
        <v>568</v>
      </c>
      <c r="H954" s="116"/>
      <c r="I954" s="116"/>
      <c r="L954" s="170">
        <v>45680</v>
      </c>
      <c r="M954" s="116">
        <v>4620.7</v>
      </c>
      <c r="N954" s="116">
        <v>4689.7</v>
      </c>
      <c r="O954" s="116">
        <v>4502</v>
      </c>
      <c r="P954" s="116">
        <v>4566.3999999999996</v>
      </c>
      <c r="Q954" s="116">
        <v>4620.7</v>
      </c>
      <c r="R954">
        <v>19707</v>
      </c>
    </row>
    <row r="955" spans="1:18" x14ac:dyDescent="0.25">
      <c r="A955" s="170">
        <v>45681</v>
      </c>
      <c r="B955" s="116">
        <v>4641.75</v>
      </c>
      <c r="C955" s="116">
        <v>4557.3500000000004</v>
      </c>
      <c r="D955" s="116">
        <v>4525</v>
      </c>
      <c r="E955" s="116">
        <v>4620.7</v>
      </c>
      <c r="F955" s="116">
        <v>4557.3500000000004</v>
      </c>
      <c r="G955">
        <v>353</v>
      </c>
      <c r="H955" s="116"/>
      <c r="I955" s="116"/>
      <c r="L955" s="170">
        <v>45681</v>
      </c>
      <c r="M955" s="116">
        <v>4595.8999999999996</v>
      </c>
      <c r="N955" s="116">
        <v>4649</v>
      </c>
      <c r="O955" s="116">
        <v>4516.6499999999996</v>
      </c>
      <c r="P955" s="116">
        <v>4646</v>
      </c>
      <c r="Q955" s="116">
        <v>4595.8999999999996</v>
      </c>
      <c r="R955">
        <v>32203</v>
      </c>
    </row>
    <row r="956" spans="1:18" x14ac:dyDescent="0.25">
      <c r="A956" s="170">
        <v>45684</v>
      </c>
      <c r="B956" s="116">
        <v>4594.8500000000004</v>
      </c>
      <c r="C956" s="116">
        <v>4577.7</v>
      </c>
      <c r="D956" s="116">
        <v>4499.95</v>
      </c>
      <c r="E956" s="116">
        <v>4539.6000000000004</v>
      </c>
      <c r="F956" s="116">
        <v>4577.7</v>
      </c>
      <c r="G956">
        <v>521</v>
      </c>
      <c r="H956" s="116"/>
      <c r="I956" s="116"/>
      <c r="L956" s="170">
        <v>45684</v>
      </c>
      <c r="M956" s="116">
        <v>4578.75</v>
      </c>
      <c r="N956" s="116">
        <v>4590</v>
      </c>
      <c r="O956" s="116">
        <v>4500</v>
      </c>
      <c r="P956" s="116">
        <v>4580</v>
      </c>
      <c r="Q956" s="116">
        <v>4578.75</v>
      </c>
      <c r="R956">
        <v>23648</v>
      </c>
    </row>
    <row r="957" spans="1:18" x14ac:dyDescent="0.25">
      <c r="A957" s="170">
        <v>45685</v>
      </c>
      <c r="B957" s="116">
        <v>4610</v>
      </c>
      <c r="C957" s="116">
        <v>4414.1000000000004</v>
      </c>
      <c r="D957" s="116">
        <v>4390</v>
      </c>
      <c r="E957" s="116">
        <v>4610</v>
      </c>
      <c r="F957" s="116">
        <v>4414.1000000000004</v>
      </c>
      <c r="G957">
        <v>758</v>
      </c>
      <c r="H957" s="116"/>
      <c r="I957" s="116"/>
      <c r="L957" s="170">
        <v>45685</v>
      </c>
      <c r="M957" s="116">
        <v>4411.25</v>
      </c>
      <c r="N957" s="116">
        <v>4576</v>
      </c>
      <c r="O957" s="116">
        <v>4385.55</v>
      </c>
      <c r="P957" s="116">
        <v>4565.05</v>
      </c>
      <c r="Q957" s="116">
        <v>4411.25</v>
      </c>
      <c r="R957">
        <v>51932</v>
      </c>
    </row>
    <row r="958" spans="1:18" x14ac:dyDescent="0.25">
      <c r="A958" s="170">
        <v>45686</v>
      </c>
      <c r="B958" s="116">
        <v>4454.95</v>
      </c>
      <c r="C958" s="116">
        <v>4305.8999999999996</v>
      </c>
      <c r="D958" s="116">
        <v>4151.05</v>
      </c>
      <c r="E958" s="116">
        <v>4425.3999999999996</v>
      </c>
      <c r="F958" s="116">
        <v>4305.8999999999996</v>
      </c>
      <c r="G958">
        <v>5285</v>
      </c>
      <c r="H958" s="116"/>
      <c r="I958" s="116"/>
      <c r="L958" s="170">
        <v>45686</v>
      </c>
      <c r="M958" s="116">
        <v>4304.8</v>
      </c>
      <c r="N958" s="116">
        <v>4465.1000000000004</v>
      </c>
      <c r="O958" s="116">
        <v>4151.1000000000004</v>
      </c>
      <c r="P958" s="116">
        <v>4429.5</v>
      </c>
      <c r="Q958" s="116">
        <v>4304.8</v>
      </c>
      <c r="R958">
        <v>102279</v>
      </c>
    </row>
    <row r="959" spans="1:18" x14ac:dyDescent="0.25">
      <c r="A959" s="170">
        <v>45687</v>
      </c>
      <c r="B959" s="116">
        <v>4279.95</v>
      </c>
      <c r="C959" s="116">
        <v>4056.65</v>
      </c>
      <c r="D959" s="116">
        <v>4033.7</v>
      </c>
      <c r="E959" s="116">
        <v>4279.95</v>
      </c>
      <c r="F959" s="116">
        <v>4056.65</v>
      </c>
      <c r="G959">
        <v>4952</v>
      </c>
      <c r="H959" s="116"/>
      <c r="I959" s="116"/>
      <c r="L959" s="170">
        <v>45687</v>
      </c>
      <c r="M959" s="116">
        <v>4061.85</v>
      </c>
      <c r="N959" s="116">
        <v>4274.95</v>
      </c>
      <c r="O959" s="116">
        <v>4035.95</v>
      </c>
      <c r="P959" s="116">
        <v>4250</v>
      </c>
      <c r="Q959" s="116">
        <v>4061.85</v>
      </c>
      <c r="R959">
        <v>290414</v>
      </c>
    </row>
    <row r="960" spans="1:18" x14ac:dyDescent="0.25">
      <c r="A960" s="170">
        <v>45688</v>
      </c>
      <c r="B960" s="116">
        <v>4221.6499999999996</v>
      </c>
      <c r="C960" s="116">
        <v>4183.55</v>
      </c>
      <c r="D960" s="116">
        <v>4095</v>
      </c>
      <c r="E960" s="116">
        <v>4099</v>
      </c>
      <c r="F960" s="116">
        <v>4183.55</v>
      </c>
      <c r="G960">
        <v>1087</v>
      </c>
      <c r="H960" s="116"/>
      <c r="I960" s="116"/>
      <c r="L960" s="170">
        <v>45688</v>
      </c>
      <c r="M960" s="116">
        <v>4177.2</v>
      </c>
      <c r="N960" s="116">
        <v>4227.95</v>
      </c>
      <c r="O960" s="116">
        <v>4088.75</v>
      </c>
      <c r="P960" s="116">
        <v>4088.75</v>
      </c>
      <c r="Q960" s="116">
        <v>4177.2</v>
      </c>
      <c r="R960">
        <v>418448</v>
      </c>
    </row>
    <row r="961" spans="1:18" x14ac:dyDescent="0.25">
      <c r="A961" s="170">
        <v>45689</v>
      </c>
      <c r="B961" s="116">
        <v>4354</v>
      </c>
      <c r="C961" s="116">
        <v>4305.45</v>
      </c>
      <c r="D961" s="116">
        <v>4230.25</v>
      </c>
      <c r="E961" s="116">
        <v>4287.3999999999996</v>
      </c>
      <c r="F961" s="116">
        <v>4305.45</v>
      </c>
      <c r="G961">
        <v>1881</v>
      </c>
      <c r="H961" s="116"/>
      <c r="I961" s="116"/>
      <c r="L961" s="170">
        <v>45689</v>
      </c>
      <c r="M961" s="116">
        <v>4306.7</v>
      </c>
      <c r="N961" s="116">
        <v>4369.95</v>
      </c>
      <c r="O961" s="116">
        <v>4184.05</v>
      </c>
      <c r="P961" s="116">
        <v>4184.05</v>
      </c>
      <c r="Q961" s="116">
        <v>4306.7</v>
      </c>
      <c r="R961">
        <v>34545</v>
      </c>
    </row>
    <row r="962" spans="1:18" x14ac:dyDescent="0.25">
      <c r="A962" s="170">
        <v>45691</v>
      </c>
      <c r="B962" s="116">
        <v>4297</v>
      </c>
      <c r="C962" s="116">
        <v>4241.95</v>
      </c>
      <c r="D962" s="116">
        <v>4176.3500000000004</v>
      </c>
      <c r="E962" s="116">
        <v>4297</v>
      </c>
      <c r="F962" s="116">
        <v>4241.95</v>
      </c>
      <c r="G962">
        <v>1238</v>
      </c>
      <c r="H962" s="116"/>
      <c r="I962" s="116"/>
      <c r="L962" s="170">
        <v>45691</v>
      </c>
      <c r="M962" s="116">
        <v>4232.8500000000004</v>
      </c>
      <c r="N962" s="116">
        <v>4282</v>
      </c>
      <c r="O962" s="116">
        <v>4165.1499999999996</v>
      </c>
      <c r="P962" s="116">
        <v>4275</v>
      </c>
      <c r="Q962" s="116">
        <v>4232.8500000000004</v>
      </c>
      <c r="R962">
        <v>76336</v>
      </c>
    </row>
    <row r="963" spans="1:18" x14ac:dyDescent="0.25">
      <c r="A963" s="170">
        <v>45692</v>
      </c>
      <c r="B963" s="116">
        <v>4451.7</v>
      </c>
      <c r="C963" s="116">
        <v>4385.1499999999996</v>
      </c>
      <c r="D963" s="116">
        <v>4230</v>
      </c>
      <c r="E963" s="116">
        <v>4230</v>
      </c>
      <c r="F963" s="116">
        <v>4385.1499999999996</v>
      </c>
      <c r="G963">
        <v>1764</v>
      </c>
      <c r="H963" s="116"/>
      <c r="I963" s="116"/>
      <c r="L963" s="170">
        <v>45692</v>
      </c>
      <c r="M963" s="116">
        <v>4386.55</v>
      </c>
      <c r="N963" s="116">
        <v>4457.05</v>
      </c>
      <c r="O963" s="116">
        <v>4234</v>
      </c>
      <c r="P963" s="116">
        <v>4234</v>
      </c>
      <c r="Q963" s="116">
        <v>4386.55</v>
      </c>
      <c r="R963">
        <v>73035</v>
      </c>
    </row>
    <row r="964" spans="1:18" x14ac:dyDescent="0.25">
      <c r="A964" s="170">
        <v>45693</v>
      </c>
      <c r="B964" s="116">
        <v>4735.75</v>
      </c>
      <c r="C964" s="116">
        <v>4326.45</v>
      </c>
      <c r="D964" s="116">
        <v>4315</v>
      </c>
      <c r="E964" s="116">
        <v>4735.75</v>
      </c>
      <c r="F964" s="116">
        <v>4326.45</v>
      </c>
      <c r="G964">
        <v>1292</v>
      </c>
      <c r="H964" s="116"/>
      <c r="I964" s="116"/>
      <c r="L964" s="170">
        <v>45693</v>
      </c>
      <c r="M964" s="116">
        <v>4331.3500000000004</v>
      </c>
      <c r="N964" s="116">
        <v>4472.2</v>
      </c>
      <c r="O964" s="116">
        <v>4310</v>
      </c>
      <c r="P964" s="116">
        <v>4451</v>
      </c>
      <c r="Q964" s="116">
        <v>4331.3500000000004</v>
      </c>
      <c r="R964">
        <v>40274</v>
      </c>
    </row>
    <row r="965" spans="1:18" x14ac:dyDescent="0.25">
      <c r="A965" s="170">
        <v>45694</v>
      </c>
      <c r="B965" s="116">
        <v>4283.8</v>
      </c>
      <c r="C965" s="116">
        <v>4145.2</v>
      </c>
      <c r="D965" s="116">
        <v>4110</v>
      </c>
      <c r="E965" s="116">
        <v>4276.45</v>
      </c>
      <c r="F965" s="116">
        <v>4145.2</v>
      </c>
      <c r="G965">
        <v>1661</v>
      </c>
      <c r="H965" s="116"/>
      <c r="I965" s="116"/>
      <c r="L965" s="170">
        <v>45694</v>
      </c>
      <c r="M965" s="116">
        <v>4145.8999999999996</v>
      </c>
      <c r="N965" s="116">
        <v>4356.05</v>
      </c>
      <c r="O965" s="116">
        <v>4108.1000000000004</v>
      </c>
      <c r="P965" s="116">
        <v>4338.3</v>
      </c>
      <c r="Q965" s="116">
        <v>4145.8999999999996</v>
      </c>
      <c r="R965">
        <v>79236</v>
      </c>
    </row>
    <row r="966" spans="1:18" x14ac:dyDescent="0.25">
      <c r="A966" s="170">
        <v>45695</v>
      </c>
      <c r="B966" s="116">
        <v>4228.8500000000004</v>
      </c>
      <c r="C966" s="116">
        <v>4092.15</v>
      </c>
      <c r="D966" s="116">
        <v>4050</v>
      </c>
      <c r="E966" s="116">
        <v>4228.8500000000004</v>
      </c>
      <c r="F966" s="116">
        <v>4092.15</v>
      </c>
      <c r="G966">
        <v>880</v>
      </c>
      <c r="H966" s="116"/>
      <c r="I966" s="116"/>
      <c r="L966" s="170">
        <v>45695</v>
      </c>
      <c r="M966" s="116">
        <v>4090.05</v>
      </c>
      <c r="N966" s="116">
        <v>4148.75</v>
      </c>
      <c r="O966" s="116">
        <v>4050</v>
      </c>
      <c r="P966" s="116">
        <v>4144.05</v>
      </c>
      <c r="Q966" s="116">
        <v>4090.05</v>
      </c>
      <c r="R966">
        <v>54344</v>
      </c>
    </row>
    <row r="967" spans="1:18" x14ac:dyDescent="0.25">
      <c r="A967" s="170">
        <v>45698</v>
      </c>
      <c r="B967" s="116">
        <v>4124.95</v>
      </c>
      <c r="C967" s="116">
        <v>4068.35</v>
      </c>
      <c r="D967" s="116">
        <v>4025</v>
      </c>
      <c r="E967" s="116">
        <v>4124.95</v>
      </c>
      <c r="F967" s="116">
        <v>4068.35</v>
      </c>
      <c r="G967">
        <v>1776</v>
      </c>
      <c r="H967" s="116"/>
      <c r="I967" s="116"/>
      <c r="L967" s="170">
        <v>45698</v>
      </c>
      <c r="M967" s="116">
        <v>4078.25</v>
      </c>
      <c r="N967" s="116">
        <v>4136</v>
      </c>
      <c r="O967" s="116">
        <v>4024.5</v>
      </c>
      <c r="P967" s="116">
        <v>4088.1</v>
      </c>
      <c r="Q967" s="116">
        <v>4078.25</v>
      </c>
      <c r="R967">
        <v>155149</v>
      </c>
    </row>
    <row r="968" spans="1:18" x14ac:dyDescent="0.25">
      <c r="A968" s="170">
        <v>45699</v>
      </c>
      <c r="B968" s="116">
        <v>4111.05</v>
      </c>
      <c r="C968" s="116">
        <v>4012</v>
      </c>
      <c r="D968" s="116">
        <v>3995</v>
      </c>
      <c r="E968" s="116">
        <v>4089.05</v>
      </c>
      <c r="F968" s="116">
        <v>4012</v>
      </c>
      <c r="G968">
        <v>707</v>
      </c>
      <c r="H968" s="116"/>
      <c r="I968" s="116"/>
      <c r="L968" s="170">
        <v>45699</v>
      </c>
      <c r="M968" s="116">
        <v>4011.55</v>
      </c>
      <c r="N968" s="116">
        <v>4118.05</v>
      </c>
      <c r="O968" s="116">
        <v>3992.05</v>
      </c>
      <c r="P968" s="116">
        <v>4099.95</v>
      </c>
      <c r="Q968" s="116">
        <v>4011.55</v>
      </c>
      <c r="R968">
        <v>23150</v>
      </c>
    </row>
    <row r="969" spans="1:18" x14ac:dyDescent="0.25">
      <c r="A969" s="170">
        <v>45700</v>
      </c>
      <c r="B969" s="116">
        <v>4036.85</v>
      </c>
      <c r="C969" s="116">
        <v>4006.3</v>
      </c>
      <c r="D969" s="116">
        <v>3908.95</v>
      </c>
      <c r="E969" s="116">
        <v>4011.55</v>
      </c>
      <c r="F969" s="116">
        <v>4006.3</v>
      </c>
      <c r="G969">
        <v>1790</v>
      </c>
      <c r="H969" s="116"/>
      <c r="I969" s="116"/>
      <c r="L969" s="170">
        <v>45700</v>
      </c>
      <c r="M969" s="116">
        <v>4006.15</v>
      </c>
      <c r="N969" s="116">
        <v>4037.25</v>
      </c>
      <c r="O969" s="116">
        <v>3901</v>
      </c>
      <c r="P969" s="116">
        <v>4000</v>
      </c>
      <c r="Q969" s="116">
        <v>4006.15</v>
      </c>
      <c r="R969">
        <v>26776</v>
      </c>
    </row>
    <row r="970" spans="1:18" x14ac:dyDescent="0.25">
      <c r="A970" s="170">
        <v>45701</v>
      </c>
      <c r="B970" s="116">
        <v>4085.95</v>
      </c>
      <c r="C970" s="116">
        <v>3990.3</v>
      </c>
      <c r="D970" s="116">
        <v>3963.5</v>
      </c>
      <c r="E970" s="116">
        <v>4085.95</v>
      </c>
      <c r="F970" s="116">
        <v>3990.3</v>
      </c>
      <c r="G970">
        <v>2018</v>
      </c>
      <c r="H970" s="116"/>
      <c r="I970" s="116"/>
      <c r="L970" s="170">
        <v>45701</v>
      </c>
      <c r="M970" s="116">
        <v>4013.1</v>
      </c>
      <c r="N970" s="116">
        <v>4050.2</v>
      </c>
      <c r="O970" s="116">
        <v>3972.25</v>
      </c>
      <c r="P970" s="116">
        <v>4005</v>
      </c>
      <c r="Q970" s="116">
        <v>4013.1</v>
      </c>
      <c r="R970">
        <v>19380</v>
      </c>
    </row>
    <row r="971" spans="1:18" x14ac:dyDescent="0.25">
      <c r="A971" s="170">
        <v>45702</v>
      </c>
      <c r="B971" s="116">
        <v>4118.95</v>
      </c>
      <c r="C971" s="116">
        <v>3928.6</v>
      </c>
      <c r="D971" s="116">
        <v>3860.1</v>
      </c>
      <c r="E971" s="116">
        <v>4118.95</v>
      </c>
      <c r="F971" s="116">
        <v>3928.6</v>
      </c>
      <c r="G971">
        <v>2862</v>
      </c>
      <c r="H971" s="116"/>
      <c r="I971" s="116"/>
      <c r="L971" s="170">
        <v>45702</v>
      </c>
      <c r="M971" s="116">
        <v>3933.05</v>
      </c>
      <c r="N971" s="116">
        <v>4024.55</v>
      </c>
      <c r="O971" s="116">
        <v>3864</v>
      </c>
      <c r="P971" s="116">
        <v>4015.15</v>
      </c>
      <c r="Q971" s="116">
        <v>3933.05</v>
      </c>
      <c r="R971">
        <v>24433</v>
      </c>
    </row>
    <row r="972" spans="1:18" x14ac:dyDescent="0.25">
      <c r="A972" s="170">
        <v>45705</v>
      </c>
      <c r="B972" s="116">
        <v>4041.35</v>
      </c>
      <c r="C972" s="116">
        <v>4025.55</v>
      </c>
      <c r="D972" s="116">
        <v>3870.05</v>
      </c>
      <c r="E972" s="116">
        <v>3870.05</v>
      </c>
      <c r="F972" s="116">
        <v>4025.55</v>
      </c>
      <c r="G972">
        <v>1075</v>
      </c>
      <c r="H972" s="116"/>
      <c r="I972" s="116"/>
      <c r="L972" s="170">
        <v>45705</v>
      </c>
      <c r="M972" s="116">
        <v>4020.8</v>
      </c>
      <c r="N972" s="116">
        <v>4060</v>
      </c>
      <c r="O972" s="116">
        <v>3891.4</v>
      </c>
      <c r="P972" s="116">
        <v>3933.05</v>
      </c>
      <c r="Q972" s="116">
        <v>4020.8</v>
      </c>
      <c r="R972">
        <v>23325</v>
      </c>
    </row>
    <row r="973" spans="1:18" x14ac:dyDescent="0.25">
      <c r="A973" s="170">
        <v>45706</v>
      </c>
      <c r="B973" s="116">
        <v>4080</v>
      </c>
      <c r="C973" s="116">
        <v>3975.2</v>
      </c>
      <c r="D973" s="116">
        <v>3892.55</v>
      </c>
      <c r="E973" s="116">
        <v>4080</v>
      </c>
      <c r="F973" s="116">
        <v>3975.2</v>
      </c>
      <c r="G973">
        <v>1695</v>
      </c>
      <c r="H973" s="116"/>
      <c r="I973" s="116"/>
      <c r="L973" s="170">
        <v>45706</v>
      </c>
      <c r="M973" s="116">
        <v>3978.25</v>
      </c>
      <c r="N973" s="116">
        <v>4040.75</v>
      </c>
      <c r="O973" s="116">
        <v>3884.15</v>
      </c>
      <c r="P973" s="116">
        <v>4025</v>
      </c>
      <c r="Q973" s="116">
        <v>3978.25</v>
      </c>
      <c r="R973">
        <v>18924</v>
      </c>
    </row>
    <row r="974" spans="1:18" x14ac:dyDescent="0.25">
      <c r="A974" s="170">
        <v>45707</v>
      </c>
      <c r="B974" s="116">
        <v>4106.6499999999996</v>
      </c>
      <c r="C974" s="116">
        <v>4093.25</v>
      </c>
      <c r="D974" s="116">
        <v>3887.05</v>
      </c>
      <c r="E974" s="116">
        <v>3887.05</v>
      </c>
      <c r="F974" s="116">
        <v>4093.25</v>
      </c>
      <c r="G974">
        <v>618</v>
      </c>
      <c r="H974" s="116"/>
      <c r="I974" s="116"/>
      <c r="L974" s="170">
        <v>45707</v>
      </c>
      <c r="M974" s="116">
        <v>4097.1499999999996</v>
      </c>
      <c r="N974" s="116">
        <v>4120.95</v>
      </c>
      <c r="O974" s="116">
        <v>3918.6</v>
      </c>
      <c r="P974" s="116">
        <v>3918.6</v>
      </c>
      <c r="Q974" s="116">
        <v>4097.1499999999996</v>
      </c>
      <c r="R974">
        <v>36019</v>
      </c>
    </row>
    <row r="975" spans="1:18" x14ac:dyDescent="0.25">
      <c r="A975" s="170">
        <v>45708</v>
      </c>
      <c r="B975" s="116">
        <v>4342.95</v>
      </c>
      <c r="C975" s="116">
        <v>4033.55</v>
      </c>
      <c r="D975" s="116">
        <v>4004.1</v>
      </c>
      <c r="E975" s="116">
        <v>4342.95</v>
      </c>
      <c r="F975" s="116">
        <v>4033.55</v>
      </c>
      <c r="G975">
        <v>789</v>
      </c>
      <c r="H975" s="116"/>
      <c r="I975" s="116"/>
      <c r="L975" s="170">
        <v>45708</v>
      </c>
      <c r="M975" s="116">
        <v>4026.45</v>
      </c>
      <c r="N975" s="116">
        <v>4134.8999999999996</v>
      </c>
      <c r="O975" s="116">
        <v>4005</v>
      </c>
      <c r="P975" s="116">
        <v>4095.05</v>
      </c>
      <c r="Q975" s="116">
        <v>4026.45</v>
      </c>
      <c r="R975">
        <v>21197</v>
      </c>
    </row>
    <row r="976" spans="1:18" x14ac:dyDescent="0.25">
      <c r="A976" s="170">
        <v>45709</v>
      </c>
      <c r="B976" s="116">
        <v>4139.8500000000004</v>
      </c>
      <c r="C976" s="116">
        <v>4027.85</v>
      </c>
      <c r="D976" s="116">
        <v>4004.95</v>
      </c>
      <c r="E976" s="116">
        <v>4107</v>
      </c>
      <c r="F976" s="116">
        <v>4027.85</v>
      </c>
      <c r="G976">
        <v>1170</v>
      </c>
      <c r="H976" s="116"/>
      <c r="I976" s="116"/>
      <c r="L976" s="170">
        <v>45709</v>
      </c>
      <c r="M976" s="116">
        <v>4061.55</v>
      </c>
      <c r="N976" s="116">
        <v>4141.3999999999996</v>
      </c>
      <c r="O976" s="116">
        <v>3999.95</v>
      </c>
      <c r="P976" s="116">
        <v>4026.45</v>
      </c>
      <c r="Q976" s="116">
        <v>4061.55</v>
      </c>
      <c r="R976">
        <v>62010</v>
      </c>
    </row>
    <row r="977" spans="1:18" x14ac:dyDescent="0.25">
      <c r="A977" s="170">
        <v>45712</v>
      </c>
      <c r="B977" s="116">
        <v>4087.75</v>
      </c>
      <c r="C977" s="116">
        <v>4075.5</v>
      </c>
      <c r="D977" s="116">
        <v>3959.3</v>
      </c>
      <c r="E977" s="116">
        <v>4000</v>
      </c>
      <c r="F977" s="116">
        <v>4075.5</v>
      </c>
      <c r="G977">
        <v>696</v>
      </c>
      <c r="H977" s="116"/>
      <c r="I977" s="116"/>
      <c r="L977" s="170">
        <v>45712</v>
      </c>
      <c r="M977" s="116">
        <v>4048.7</v>
      </c>
      <c r="N977" s="116">
        <v>4090</v>
      </c>
      <c r="O977" s="116">
        <v>3950.2</v>
      </c>
      <c r="P977" s="116">
        <v>3998</v>
      </c>
      <c r="Q977" s="116">
        <v>4048.7</v>
      </c>
      <c r="R977">
        <v>32867</v>
      </c>
    </row>
    <row r="978" spans="1:18" x14ac:dyDescent="0.25">
      <c r="A978" s="170">
        <v>45713</v>
      </c>
      <c r="B978" s="116">
        <v>4095</v>
      </c>
      <c r="C978" s="116">
        <v>4074.05</v>
      </c>
      <c r="D978" s="116">
        <v>4027.95</v>
      </c>
      <c r="E978" s="116">
        <v>4041.05</v>
      </c>
      <c r="F978" s="116">
        <v>4074.05</v>
      </c>
      <c r="G978">
        <v>657</v>
      </c>
      <c r="H978" s="116"/>
      <c r="I978" s="116"/>
      <c r="L978" s="170">
        <v>45713</v>
      </c>
      <c r="M978" s="116">
        <v>4078.8</v>
      </c>
      <c r="N978" s="116">
        <v>4098.1000000000004</v>
      </c>
      <c r="O978" s="116">
        <v>4005.7</v>
      </c>
      <c r="P978" s="116">
        <v>4005.7</v>
      </c>
      <c r="Q978" s="116">
        <v>4078.8</v>
      </c>
      <c r="R978">
        <v>19040</v>
      </c>
    </row>
    <row r="979" spans="1:18" x14ac:dyDescent="0.25">
      <c r="A979" s="170">
        <v>45715</v>
      </c>
      <c r="B979" s="116">
        <v>4698.95</v>
      </c>
      <c r="C979" s="116">
        <v>4181.25</v>
      </c>
      <c r="D979" s="116">
        <v>4090</v>
      </c>
      <c r="E979" s="116">
        <v>4698.95</v>
      </c>
      <c r="F979" s="116">
        <v>4181.25</v>
      </c>
      <c r="G979">
        <v>1174</v>
      </c>
      <c r="H979" s="116"/>
      <c r="I979" s="116"/>
      <c r="L979" s="170">
        <v>45715</v>
      </c>
      <c r="M979" s="116">
        <v>4181.05</v>
      </c>
      <c r="N979" s="116">
        <v>4228.8999999999996</v>
      </c>
      <c r="O979" s="116">
        <v>4078</v>
      </c>
      <c r="P979" s="116">
        <v>4078</v>
      </c>
      <c r="Q979" s="116">
        <v>4181.05</v>
      </c>
      <c r="R979">
        <v>137295</v>
      </c>
    </row>
    <row r="980" spans="1:18" x14ac:dyDescent="0.25">
      <c r="A980" s="170">
        <v>45716</v>
      </c>
      <c r="B980" s="116">
        <v>4705.6499999999996</v>
      </c>
      <c r="C980" s="116">
        <v>4471.6499999999996</v>
      </c>
      <c r="D980" s="116">
        <v>4133</v>
      </c>
      <c r="E980" s="116">
        <v>4185.3</v>
      </c>
      <c r="F980" s="116">
        <v>4471.6499999999996</v>
      </c>
      <c r="G980">
        <v>12196</v>
      </c>
      <c r="H980" s="116"/>
      <c r="I980" s="116"/>
      <c r="L980" s="170">
        <v>45716</v>
      </c>
      <c r="M980" s="116">
        <v>4501.8500000000004</v>
      </c>
      <c r="N980" s="116">
        <v>4710</v>
      </c>
      <c r="O980" s="116">
        <v>4127.55</v>
      </c>
      <c r="P980" s="116">
        <v>4181</v>
      </c>
      <c r="Q980" s="116">
        <v>4501.8500000000004</v>
      </c>
      <c r="R980">
        <v>350279</v>
      </c>
    </row>
    <row r="981" spans="1:18" x14ac:dyDescent="0.25">
      <c r="A981" s="170">
        <v>45719</v>
      </c>
      <c r="B981" s="116">
        <v>4580.05</v>
      </c>
      <c r="C981" s="116">
        <v>4477.45</v>
      </c>
      <c r="D981" s="116">
        <v>4267.8999999999996</v>
      </c>
      <c r="E981" s="116">
        <v>4406.8500000000004</v>
      </c>
      <c r="F981" s="116">
        <v>4477.45</v>
      </c>
      <c r="G981">
        <v>5459</v>
      </c>
      <c r="H981" s="116"/>
      <c r="I981" s="116"/>
      <c r="L981" s="170">
        <v>45719</v>
      </c>
      <c r="M981" s="116">
        <v>4486.8500000000004</v>
      </c>
      <c r="N981" s="116">
        <v>4589</v>
      </c>
      <c r="O981" s="116">
        <v>4273.55</v>
      </c>
      <c r="P981" s="116">
        <v>4381.2</v>
      </c>
      <c r="Q981" s="116">
        <v>4486.8500000000004</v>
      </c>
      <c r="R981">
        <v>108786</v>
      </c>
    </row>
    <row r="982" spans="1:18" x14ac:dyDescent="0.25">
      <c r="A982" s="170">
        <v>45720</v>
      </c>
      <c r="B982" s="116">
        <v>4591.95</v>
      </c>
      <c r="C982" s="116">
        <v>4538.3500000000004</v>
      </c>
      <c r="D982" s="116">
        <v>4442.8999999999996</v>
      </c>
      <c r="E982" s="116">
        <v>4576.6000000000004</v>
      </c>
      <c r="F982" s="116">
        <v>4538.3500000000004</v>
      </c>
      <c r="G982">
        <v>1081</v>
      </c>
      <c r="H982" s="116"/>
      <c r="I982" s="116"/>
      <c r="L982" s="170">
        <v>45720</v>
      </c>
      <c r="M982" s="116">
        <v>4531.1000000000004</v>
      </c>
      <c r="N982" s="116">
        <v>4598.8500000000004</v>
      </c>
      <c r="O982" s="116">
        <v>4424.3500000000004</v>
      </c>
      <c r="P982" s="116">
        <v>4449.3500000000004</v>
      </c>
      <c r="Q982" s="116">
        <v>4531.1000000000004</v>
      </c>
      <c r="R982">
        <v>76679</v>
      </c>
    </row>
    <row r="983" spans="1:18" x14ac:dyDescent="0.25">
      <c r="A983" s="170">
        <v>45721</v>
      </c>
      <c r="B983" s="116">
        <v>5232.05</v>
      </c>
      <c r="C983" s="116">
        <v>5112.3999999999996</v>
      </c>
      <c r="D983" s="116">
        <v>4428.05</v>
      </c>
      <c r="E983" s="116">
        <v>4455.05</v>
      </c>
      <c r="F983" s="116">
        <v>5112.3999999999996</v>
      </c>
      <c r="G983">
        <v>8738</v>
      </c>
      <c r="H983" s="116"/>
      <c r="I983" s="116"/>
      <c r="L983" s="170">
        <v>45721</v>
      </c>
      <c r="M983" s="116">
        <v>5103.45</v>
      </c>
      <c r="N983" s="116">
        <v>5247.95</v>
      </c>
      <c r="O983" s="116">
        <v>4415.25</v>
      </c>
      <c r="P983" s="116">
        <v>4549.8500000000004</v>
      </c>
      <c r="Q983" s="116">
        <v>5103.45</v>
      </c>
      <c r="R983">
        <v>277929</v>
      </c>
    </row>
    <row r="984" spans="1:18" x14ac:dyDescent="0.25">
      <c r="A984" s="170">
        <v>45722</v>
      </c>
      <c r="B984" s="116">
        <v>5166.3999999999996</v>
      </c>
      <c r="C984" s="116">
        <v>4951</v>
      </c>
      <c r="D984" s="116">
        <v>4831</v>
      </c>
      <c r="E984" s="116">
        <v>5039.95</v>
      </c>
      <c r="F984" s="116">
        <v>4951</v>
      </c>
      <c r="G984">
        <v>8253</v>
      </c>
      <c r="H984" s="116"/>
      <c r="I984" s="116"/>
      <c r="L984" s="170">
        <v>45722</v>
      </c>
      <c r="M984" s="116">
        <v>4954.2</v>
      </c>
      <c r="N984" s="116">
        <v>5199</v>
      </c>
      <c r="O984" s="116">
        <v>4822.8</v>
      </c>
      <c r="P984" s="116">
        <v>4990</v>
      </c>
      <c r="Q984" s="116">
        <v>4954.2</v>
      </c>
      <c r="R984">
        <v>245819</v>
      </c>
    </row>
    <row r="985" spans="1:18" x14ac:dyDescent="0.25">
      <c r="A985" s="170">
        <v>45723</v>
      </c>
      <c r="B985" s="116">
        <v>5035.2</v>
      </c>
      <c r="C985" s="116">
        <v>4999.1499999999996</v>
      </c>
      <c r="D985" s="116">
        <v>4901.8500000000004</v>
      </c>
      <c r="E985" s="116">
        <v>4930.95</v>
      </c>
      <c r="F985" s="116">
        <v>4999.1499999999996</v>
      </c>
      <c r="G985">
        <v>3313</v>
      </c>
      <c r="H985" s="116"/>
      <c r="I985" s="116"/>
      <c r="L985" s="170">
        <v>45723</v>
      </c>
      <c r="M985" s="116">
        <v>5000.6499999999996</v>
      </c>
      <c r="N985" s="116">
        <v>5049.8999999999996</v>
      </c>
      <c r="O985" s="116">
        <v>4900</v>
      </c>
      <c r="P985" s="116">
        <v>4900</v>
      </c>
      <c r="Q985" s="116">
        <v>5000.6499999999996</v>
      </c>
      <c r="R985">
        <v>44454</v>
      </c>
    </row>
    <row r="986" spans="1:18" x14ac:dyDescent="0.25">
      <c r="A986" s="170">
        <v>45726</v>
      </c>
      <c r="B986" s="116">
        <v>5200</v>
      </c>
      <c r="C986" s="116">
        <v>5008.1499999999996</v>
      </c>
      <c r="D986" s="116">
        <v>4900.6499999999996</v>
      </c>
      <c r="E986" s="116">
        <v>4900.6499999999996</v>
      </c>
      <c r="F986" s="116">
        <v>5008.1499999999996</v>
      </c>
      <c r="G986">
        <v>1469</v>
      </c>
      <c r="H986" s="116"/>
      <c r="I986" s="116"/>
      <c r="L986" s="170">
        <v>45726</v>
      </c>
      <c r="M986" s="116">
        <v>4999.55</v>
      </c>
      <c r="N986" s="116">
        <v>5197</v>
      </c>
      <c r="O986" s="116">
        <v>4958.75</v>
      </c>
      <c r="P986" s="116">
        <v>4999.1499999999996</v>
      </c>
      <c r="Q986" s="116">
        <v>4999.55</v>
      </c>
      <c r="R986">
        <v>34138</v>
      </c>
    </row>
    <row r="987" spans="1:18" x14ac:dyDescent="0.25">
      <c r="A987" s="170">
        <v>45727</v>
      </c>
      <c r="B987" s="116">
        <v>5000.2</v>
      </c>
      <c r="C987" s="116">
        <v>4898.3</v>
      </c>
      <c r="D987" s="116">
        <v>4773.6499999999996</v>
      </c>
      <c r="E987" s="116">
        <v>4941.8999999999996</v>
      </c>
      <c r="F987" s="116">
        <v>4898.3</v>
      </c>
      <c r="G987">
        <v>1049</v>
      </c>
      <c r="H987" s="116"/>
      <c r="I987" s="116"/>
      <c r="L987" s="170">
        <v>45727</v>
      </c>
      <c r="M987" s="116">
        <v>4900.8500000000004</v>
      </c>
      <c r="N987" s="116">
        <v>5040</v>
      </c>
      <c r="O987" s="116">
        <v>4750</v>
      </c>
      <c r="P987" s="116">
        <v>4960</v>
      </c>
      <c r="Q987" s="116">
        <v>4900.8500000000004</v>
      </c>
      <c r="R987">
        <v>25543</v>
      </c>
    </row>
    <row r="988" spans="1:18" x14ac:dyDescent="0.25">
      <c r="A988" s="170">
        <v>45728</v>
      </c>
      <c r="B988" s="116">
        <v>4925</v>
      </c>
      <c r="C988" s="116">
        <v>4862.55</v>
      </c>
      <c r="D988" s="116">
        <v>4800.8500000000004</v>
      </c>
      <c r="E988" s="116">
        <v>4891.2</v>
      </c>
      <c r="F988" s="116">
        <v>4862.55</v>
      </c>
      <c r="G988">
        <v>622</v>
      </c>
      <c r="H988" s="116"/>
      <c r="I988" s="116"/>
      <c r="L988" s="170">
        <v>45728</v>
      </c>
      <c r="M988" s="116">
        <v>4885.05</v>
      </c>
      <c r="N988" s="116">
        <v>4949.6000000000004</v>
      </c>
      <c r="O988" s="116">
        <v>4826</v>
      </c>
      <c r="P988" s="116">
        <v>4919</v>
      </c>
      <c r="Q988" s="116">
        <v>4885.05</v>
      </c>
      <c r="R988">
        <v>13453</v>
      </c>
    </row>
    <row r="989" spans="1:18" x14ac:dyDescent="0.25">
      <c r="A989" s="170">
        <v>45729</v>
      </c>
      <c r="B989" s="116">
        <v>4850.45</v>
      </c>
      <c r="C989" s="116">
        <v>4733.1499999999996</v>
      </c>
      <c r="D989" s="116">
        <v>4700</v>
      </c>
      <c r="E989" s="116">
        <v>4850.45</v>
      </c>
      <c r="F989" s="116">
        <v>4733.1499999999996</v>
      </c>
      <c r="G989">
        <v>705</v>
      </c>
      <c r="H989" s="116"/>
      <c r="I989" s="116"/>
      <c r="L989" s="170">
        <v>45729</v>
      </c>
      <c r="M989" s="116">
        <v>4735.05</v>
      </c>
      <c r="N989" s="116">
        <v>4924</v>
      </c>
      <c r="O989" s="116">
        <v>4701.25</v>
      </c>
      <c r="P989" s="116">
        <v>4924</v>
      </c>
      <c r="Q989" s="116">
        <v>4735.05</v>
      </c>
      <c r="R989">
        <v>11264</v>
      </c>
    </row>
    <row r="990" spans="1:18" x14ac:dyDescent="0.25">
      <c r="A990" s="170">
        <v>45733</v>
      </c>
      <c r="B990" s="116">
        <v>4787.45</v>
      </c>
      <c r="C990" s="116">
        <v>4782.45</v>
      </c>
      <c r="D990" s="116">
        <v>4635</v>
      </c>
      <c r="E990" s="116">
        <v>4637.8500000000004</v>
      </c>
      <c r="F990" s="116">
        <v>4782.45</v>
      </c>
      <c r="G990">
        <v>1380</v>
      </c>
      <c r="H990" s="116"/>
      <c r="I990" s="116"/>
      <c r="L990" s="170">
        <v>45733</v>
      </c>
      <c r="M990" s="116">
        <v>4785.2</v>
      </c>
      <c r="N990" s="116">
        <v>4828</v>
      </c>
      <c r="O990" s="116">
        <v>4602.25</v>
      </c>
      <c r="P990" s="116">
        <v>4681</v>
      </c>
      <c r="Q990" s="116">
        <v>4785.2</v>
      </c>
      <c r="R990">
        <v>31322</v>
      </c>
    </row>
    <row r="991" spans="1:18" x14ac:dyDescent="0.25">
      <c r="A991" s="170">
        <v>45734</v>
      </c>
      <c r="B991" s="116">
        <v>4929.8999999999996</v>
      </c>
      <c r="C991" s="116">
        <v>4915.75</v>
      </c>
      <c r="D991" s="116">
        <v>4814.45</v>
      </c>
      <c r="E991" s="116">
        <v>4861.95</v>
      </c>
      <c r="F991" s="116">
        <v>4915.75</v>
      </c>
      <c r="G991">
        <v>945</v>
      </c>
      <c r="H991" s="116"/>
      <c r="I991" s="116"/>
      <c r="L991" s="170">
        <v>45734</v>
      </c>
      <c r="M991" s="116">
        <v>4911.8999999999996</v>
      </c>
      <c r="N991" s="116">
        <v>4927.8</v>
      </c>
      <c r="O991" s="116">
        <v>4797.2</v>
      </c>
      <c r="P991" s="116">
        <v>4800.05</v>
      </c>
      <c r="Q991" s="116">
        <v>4911.8999999999996</v>
      </c>
      <c r="R991">
        <v>19471</v>
      </c>
    </row>
    <row r="992" spans="1:18" x14ac:dyDescent="0.25">
      <c r="A992" s="170">
        <v>45735</v>
      </c>
      <c r="B992" s="116">
        <v>4906.5</v>
      </c>
      <c r="C992" s="116">
        <v>4739.75</v>
      </c>
      <c r="D992" s="116">
        <v>4719</v>
      </c>
      <c r="E992" s="116">
        <v>4803.1499999999996</v>
      </c>
      <c r="F992" s="116">
        <v>4739.75</v>
      </c>
      <c r="G992">
        <v>1989</v>
      </c>
      <c r="H992" s="116"/>
      <c r="I992" s="116"/>
      <c r="L992" s="170">
        <v>45735</v>
      </c>
      <c r="M992" s="116">
        <v>4733.45</v>
      </c>
      <c r="N992" s="116">
        <v>4949.95</v>
      </c>
      <c r="O992" s="116">
        <v>4712.1499999999996</v>
      </c>
      <c r="P992" s="116">
        <v>4949.95</v>
      </c>
      <c r="Q992" s="116">
        <v>4733.45</v>
      </c>
      <c r="R992">
        <v>34182</v>
      </c>
    </row>
    <row r="993" spans="1:18" x14ac:dyDescent="0.25">
      <c r="A993" s="170">
        <v>45736</v>
      </c>
      <c r="B993" s="116">
        <v>4773.3</v>
      </c>
      <c r="C993" s="116">
        <v>4717.3500000000004</v>
      </c>
      <c r="D993" s="116">
        <v>4685</v>
      </c>
      <c r="E993" s="116">
        <v>4700.05</v>
      </c>
      <c r="F993" s="116">
        <v>4717.3500000000004</v>
      </c>
      <c r="G993">
        <v>1107</v>
      </c>
      <c r="H993" s="116"/>
      <c r="I993" s="116"/>
      <c r="L993" s="170">
        <v>45736</v>
      </c>
      <c r="M993" s="116">
        <v>4729.7</v>
      </c>
      <c r="N993" s="116">
        <v>4806.55</v>
      </c>
      <c r="O993" s="116">
        <v>4683</v>
      </c>
      <c r="P993" s="116">
        <v>4735.8999999999996</v>
      </c>
      <c r="Q993" s="116">
        <v>4729.7</v>
      </c>
      <c r="R993">
        <v>18832</v>
      </c>
    </row>
    <row r="994" spans="1:18" x14ac:dyDescent="0.25">
      <c r="A994" s="170">
        <v>45737</v>
      </c>
      <c r="B994" s="116">
        <v>4848.55</v>
      </c>
      <c r="C994" s="116">
        <v>4818.1000000000004</v>
      </c>
      <c r="D994" s="116">
        <v>4709.3999999999996</v>
      </c>
      <c r="E994" s="116">
        <v>4717.8</v>
      </c>
      <c r="F994" s="116">
        <v>4818.1000000000004</v>
      </c>
      <c r="G994">
        <v>1086</v>
      </c>
      <c r="H994" s="116"/>
      <c r="I994" s="116"/>
      <c r="L994" s="170">
        <v>45737</v>
      </c>
      <c r="M994" s="116">
        <v>4814.45</v>
      </c>
      <c r="N994" s="116">
        <v>4852.45</v>
      </c>
      <c r="O994" s="116">
        <v>4701.05</v>
      </c>
      <c r="P994" s="116">
        <v>4747.55</v>
      </c>
      <c r="Q994" s="116">
        <v>4814.45</v>
      </c>
      <c r="R994">
        <v>44086</v>
      </c>
    </row>
    <row r="995" spans="1:18" x14ac:dyDescent="0.25">
      <c r="A995" s="170">
        <v>45740</v>
      </c>
      <c r="B995" s="116">
        <v>4905.95</v>
      </c>
      <c r="C995" s="116">
        <v>4790.1499999999996</v>
      </c>
      <c r="D995" s="116">
        <v>4760</v>
      </c>
      <c r="E995" s="116">
        <v>4905.95</v>
      </c>
      <c r="F995" s="116">
        <v>4790.1499999999996</v>
      </c>
      <c r="G995">
        <v>2556</v>
      </c>
      <c r="H995" s="116"/>
      <c r="I995" s="116"/>
      <c r="L995" s="170">
        <v>45740</v>
      </c>
      <c r="M995" s="116">
        <v>4795.55</v>
      </c>
      <c r="N995" s="116">
        <v>4861.55</v>
      </c>
      <c r="O995" s="116">
        <v>4750.8500000000004</v>
      </c>
      <c r="P995" s="116">
        <v>4821.55</v>
      </c>
      <c r="Q995" s="116">
        <v>4795.55</v>
      </c>
      <c r="R995">
        <v>63615</v>
      </c>
    </row>
    <row r="996" spans="1:18" x14ac:dyDescent="0.25">
      <c r="A996" s="170">
        <v>45741</v>
      </c>
      <c r="B996" s="116">
        <v>4903.05</v>
      </c>
      <c r="C996" s="116">
        <v>4884.1499999999996</v>
      </c>
      <c r="D996" s="116">
        <v>4760.5</v>
      </c>
      <c r="E996" s="116">
        <v>4790.2</v>
      </c>
      <c r="F996" s="116">
        <v>4884.1499999999996</v>
      </c>
      <c r="G996">
        <v>1011</v>
      </c>
      <c r="H996" s="116"/>
      <c r="I996" s="116"/>
      <c r="L996" s="170">
        <v>45741</v>
      </c>
      <c r="M996" s="116">
        <v>4883</v>
      </c>
      <c r="N996" s="116">
        <v>4893.3</v>
      </c>
      <c r="O996" s="116">
        <v>4754.05</v>
      </c>
      <c r="P996" s="116">
        <v>4850</v>
      </c>
      <c r="Q996" s="116">
        <v>4883</v>
      </c>
      <c r="R996">
        <v>31207</v>
      </c>
    </row>
    <row r="997" spans="1:18" x14ac:dyDescent="0.25">
      <c r="A997" s="170">
        <v>45742</v>
      </c>
      <c r="B997" s="116">
        <v>4964.8</v>
      </c>
      <c r="C997" s="116">
        <v>4881</v>
      </c>
      <c r="D997" s="116">
        <v>4823.6499999999996</v>
      </c>
      <c r="E997" s="116">
        <v>4875</v>
      </c>
      <c r="F997" s="116">
        <v>4881</v>
      </c>
      <c r="G997">
        <v>2915</v>
      </c>
      <c r="H997" s="116"/>
      <c r="I997" s="116"/>
      <c r="L997" s="170">
        <v>45742</v>
      </c>
      <c r="M997" s="116">
        <v>4887.8999999999996</v>
      </c>
      <c r="N997" s="116">
        <v>4964</v>
      </c>
      <c r="O997" s="116">
        <v>4832.5</v>
      </c>
      <c r="P997" s="116">
        <v>4883</v>
      </c>
      <c r="Q997" s="116">
        <v>4887.8999999999996</v>
      </c>
      <c r="R997">
        <v>48852</v>
      </c>
    </row>
    <row r="998" spans="1:18" x14ac:dyDescent="0.25">
      <c r="A998" s="170">
        <v>45743</v>
      </c>
      <c r="B998" s="116">
        <v>4845.8999999999996</v>
      </c>
      <c r="C998" s="116">
        <v>4793.55</v>
      </c>
      <c r="D998" s="116">
        <v>4750</v>
      </c>
      <c r="E998" s="116">
        <v>4843.8999999999996</v>
      </c>
      <c r="F998" s="116">
        <v>4793.55</v>
      </c>
      <c r="G998">
        <v>1384</v>
      </c>
      <c r="H998" s="116"/>
      <c r="I998" s="116"/>
      <c r="L998" s="170">
        <v>45743</v>
      </c>
      <c r="M998" s="116">
        <v>4794.6000000000004</v>
      </c>
      <c r="N998" s="116">
        <v>4851.5</v>
      </c>
      <c r="O998" s="116">
        <v>4735.55</v>
      </c>
      <c r="P998" s="116">
        <v>4850</v>
      </c>
      <c r="Q998" s="116">
        <v>4794.6000000000004</v>
      </c>
      <c r="R998">
        <v>31122</v>
      </c>
    </row>
    <row r="999" spans="1:18" x14ac:dyDescent="0.25">
      <c r="A999" s="170">
        <v>45744</v>
      </c>
      <c r="B999" s="116">
        <v>4928.1499999999996</v>
      </c>
      <c r="C999" s="116">
        <v>4859.5</v>
      </c>
      <c r="D999" s="116">
        <v>4760.2</v>
      </c>
      <c r="E999" s="116">
        <v>4829.8999999999996</v>
      </c>
      <c r="F999" s="116">
        <v>4859.5</v>
      </c>
      <c r="G999">
        <v>719</v>
      </c>
      <c r="H999" s="116"/>
      <c r="I999" s="116"/>
      <c r="L999" s="170">
        <v>45744</v>
      </c>
      <c r="M999" s="116">
        <v>4877.3</v>
      </c>
      <c r="N999" s="116">
        <v>4929.8999999999996</v>
      </c>
      <c r="O999" s="116">
        <v>4752.1000000000004</v>
      </c>
      <c r="P999" s="116">
        <v>4800</v>
      </c>
      <c r="Q999" s="116">
        <v>4877.3</v>
      </c>
      <c r="R999">
        <v>40521</v>
      </c>
    </row>
    <row r="1000" spans="1:18" x14ac:dyDescent="0.25">
      <c r="A1000" s="170">
        <v>45748</v>
      </c>
      <c r="B1000" s="116">
        <v>4850</v>
      </c>
      <c r="C1000" s="116">
        <v>4735.2</v>
      </c>
      <c r="D1000" s="116">
        <v>4684.6499999999996</v>
      </c>
      <c r="E1000" s="116">
        <v>4850</v>
      </c>
      <c r="F1000" s="116">
        <v>4735.2</v>
      </c>
      <c r="G1000">
        <v>986</v>
      </c>
      <c r="H1000" s="116"/>
      <c r="I1000" s="116"/>
      <c r="L1000" s="170">
        <v>45748</v>
      </c>
      <c r="M1000" s="116">
        <v>4755.6499999999996</v>
      </c>
      <c r="N1000" s="116">
        <v>4904.95</v>
      </c>
      <c r="O1000" s="116">
        <v>4678.5</v>
      </c>
      <c r="P1000" s="116">
        <v>4904.95</v>
      </c>
      <c r="Q1000" s="116">
        <v>4755.6499999999996</v>
      </c>
      <c r="R1000">
        <v>21322</v>
      </c>
    </row>
    <row r="1001" spans="1:18" x14ac:dyDescent="0.25">
      <c r="A1001" s="170">
        <v>45749</v>
      </c>
      <c r="B1001" s="116">
        <v>4809.8999999999996</v>
      </c>
      <c r="C1001" s="116">
        <v>4792.25</v>
      </c>
      <c r="D1001" s="116">
        <v>4665</v>
      </c>
      <c r="E1001" s="116">
        <v>4755.6499999999996</v>
      </c>
      <c r="F1001" s="116">
        <v>4792.25</v>
      </c>
      <c r="G1001">
        <v>469</v>
      </c>
      <c r="H1001" s="116"/>
      <c r="I1001" s="116"/>
      <c r="L1001" s="170">
        <v>45749</v>
      </c>
      <c r="M1001" s="116">
        <v>4796.1000000000004</v>
      </c>
      <c r="N1001" s="116">
        <v>4810</v>
      </c>
      <c r="O1001" s="116">
        <v>4669.8999999999996</v>
      </c>
      <c r="P1001" s="116">
        <v>4760.25</v>
      </c>
      <c r="Q1001" s="116">
        <v>4796.1000000000004</v>
      </c>
      <c r="R1001">
        <v>21538</v>
      </c>
    </row>
    <row r="1002" spans="1:18" x14ac:dyDescent="0.25">
      <c r="A1002" s="170">
        <v>45750</v>
      </c>
      <c r="B1002" s="116">
        <v>4788.1499999999996</v>
      </c>
      <c r="C1002" s="116">
        <v>4710.1499999999996</v>
      </c>
      <c r="D1002" s="116">
        <v>4673</v>
      </c>
      <c r="E1002" s="116">
        <v>4766.45</v>
      </c>
      <c r="F1002" s="116">
        <v>4710.1499999999996</v>
      </c>
      <c r="G1002">
        <v>279</v>
      </c>
      <c r="H1002" s="116"/>
      <c r="I1002" s="116"/>
      <c r="L1002" s="170">
        <v>45750</v>
      </c>
      <c r="M1002" s="116">
        <v>4684.1000000000004</v>
      </c>
      <c r="N1002" s="116">
        <v>4790</v>
      </c>
      <c r="O1002" s="116">
        <v>4662.1000000000004</v>
      </c>
      <c r="P1002" s="116">
        <v>4780</v>
      </c>
      <c r="Q1002" s="116">
        <v>4684.1000000000004</v>
      </c>
      <c r="R1002">
        <v>11641</v>
      </c>
    </row>
    <row r="1003" spans="1:18" x14ac:dyDescent="0.25">
      <c r="A1003" s="170">
        <v>45751</v>
      </c>
      <c r="B1003" s="116">
        <v>4684.1499999999996</v>
      </c>
      <c r="C1003" s="116">
        <v>4584.25</v>
      </c>
      <c r="D1003" s="116">
        <v>4524.05</v>
      </c>
      <c r="E1003" s="116">
        <v>4684.1000000000004</v>
      </c>
      <c r="F1003" s="116">
        <v>4584.25</v>
      </c>
      <c r="G1003">
        <v>1622</v>
      </c>
      <c r="H1003" s="116"/>
      <c r="I1003" s="116"/>
      <c r="L1003" s="170">
        <v>45751</v>
      </c>
      <c r="M1003" s="116">
        <v>4589.75</v>
      </c>
      <c r="N1003" s="116">
        <v>4747.45</v>
      </c>
      <c r="O1003" s="116">
        <v>4522.75</v>
      </c>
      <c r="P1003" s="116">
        <v>4684.1000000000004</v>
      </c>
      <c r="Q1003" s="116">
        <v>4589.75</v>
      </c>
      <c r="R1003">
        <v>15340</v>
      </c>
    </row>
    <row r="1004" spans="1:18" x14ac:dyDescent="0.25">
      <c r="A1004" s="170">
        <v>45754</v>
      </c>
      <c r="B1004" s="116">
        <v>4475.3999999999996</v>
      </c>
      <c r="C1004" s="116">
        <v>4443.05</v>
      </c>
      <c r="D1004" s="116">
        <v>3700</v>
      </c>
      <c r="E1004" s="116">
        <v>3700</v>
      </c>
      <c r="F1004" s="116">
        <v>4443.05</v>
      </c>
      <c r="G1004">
        <v>1614</v>
      </c>
      <c r="H1004" s="116"/>
      <c r="I1004" s="116"/>
      <c r="L1004" s="170">
        <v>45754</v>
      </c>
      <c r="M1004" s="116">
        <v>4448.8500000000004</v>
      </c>
      <c r="N1004" s="116">
        <v>4487.1499999999996</v>
      </c>
      <c r="O1004" s="116">
        <v>3700</v>
      </c>
      <c r="P1004" s="116">
        <v>3700</v>
      </c>
      <c r="Q1004" s="116">
        <v>4448.8500000000004</v>
      </c>
      <c r="R1004">
        <v>37582</v>
      </c>
    </row>
    <row r="1005" spans="1:18" x14ac:dyDescent="0.25">
      <c r="A1005" s="170">
        <v>45755</v>
      </c>
      <c r="B1005" s="116">
        <v>4519.95</v>
      </c>
      <c r="C1005" s="116">
        <v>4421.05</v>
      </c>
      <c r="D1005" s="116">
        <v>4370.05</v>
      </c>
      <c r="E1005" s="116">
        <v>4511.8999999999996</v>
      </c>
      <c r="F1005" s="116">
        <v>4421.05</v>
      </c>
      <c r="G1005">
        <v>775</v>
      </c>
      <c r="H1005" s="116"/>
      <c r="I1005" s="116"/>
      <c r="L1005" s="170">
        <v>45755</v>
      </c>
      <c r="M1005" s="116">
        <v>4398.5</v>
      </c>
      <c r="N1005" s="116">
        <v>4574.95</v>
      </c>
      <c r="O1005" s="116">
        <v>4366.5</v>
      </c>
      <c r="P1005" s="116">
        <v>4487</v>
      </c>
      <c r="Q1005" s="116">
        <v>4398.5</v>
      </c>
      <c r="R1005">
        <v>74146</v>
      </c>
    </row>
    <row r="1006" spans="1:18" x14ac:dyDescent="0.25">
      <c r="A1006" s="170">
        <v>45756</v>
      </c>
      <c r="B1006" s="116">
        <v>4421.05</v>
      </c>
      <c r="C1006" s="116">
        <v>4292.75</v>
      </c>
      <c r="D1006" s="116">
        <v>4218</v>
      </c>
      <c r="E1006" s="116">
        <v>4421</v>
      </c>
      <c r="F1006" s="116">
        <v>4292.75</v>
      </c>
      <c r="G1006">
        <v>1246</v>
      </c>
      <c r="H1006" s="116"/>
      <c r="I1006" s="116"/>
      <c r="L1006" s="170">
        <v>45756</v>
      </c>
      <c r="M1006" s="116">
        <v>4290.5</v>
      </c>
      <c r="N1006" s="116">
        <v>4444.8</v>
      </c>
      <c r="O1006" s="116">
        <v>4217.55</v>
      </c>
      <c r="P1006" s="116">
        <v>4399</v>
      </c>
      <c r="Q1006" s="116">
        <v>4290.5</v>
      </c>
      <c r="R1006">
        <v>19157</v>
      </c>
    </row>
    <row r="1007" spans="1:18" x14ac:dyDescent="0.25">
      <c r="A1007" s="170">
        <v>45758</v>
      </c>
      <c r="B1007" s="116">
        <v>4443.95</v>
      </c>
      <c r="C1007" s="116">
        <v>4345.6000000000004</v>
      </c>
      <c r="D1007" s="116">
        <v>4295.05</v>
      </c>
      <c r="E1007" s="116">
        <v>4443.95</v>
      </c>
      <c r="F1007" s="116">
        <v>4345.6000000000004</v>
      </c>
      <c r="G1007">
        <v>962</v>
      </c>
      <c r="H1007" s="116"/>
      <c r="I1007" s="116"/>
      <c r="L1007" s="170">
        <v>45758</v>
      </c>
      <c r="M1007" s="116">
        <v>4364.1499999999996</v>
      </c>
      <c r="N1007" s="116">
        <v>4408.5</v>
      </c>
      <c r="O1007" s="116">
        <v>4292</v>
      </c>
      <c r="P1007" s="116">
        <v>4350</v>
      </c>
      <c r="Q1007" s="116">
        <v>4364.1499999999996</v>
      </c>
      <c r="R1007">
        <v>15350</v>
      </c>
    </row>
    <row r="1008" spans="1:18" x14ac:dyDescent="0.25">
      <c r="A1008" s="170">
        <v>45762</v>
      </c>
      <c r="B1008" s="116">
        <v>4675.3</v>
      </c>
      <c r="C1008" s="116">
        <v>4604.3</v>
      </c>
      <c r="D1008" s="116">
        <v>4345.6000000000004</v>
      </c>
      <c r="E1008" s="116">
        <v>4345.6000000000004</v>
      </c>
      <c r="F1008" s="116">
        <v>4604.3</v>
      </c>
      <c r="G1008">
        <v>1239</v>
      </c>
      <c r="H1008" s="116"/>
      <c r="I1008" s="116"/>
      <c r="L1008" s="170">
        <v>45762</v>
      </c>
      <c r="M1008" s="116">
        <v>4609.1000000000004</v>
      </c>
      <c r="N1008" s="116">
        <v>4680.1000000000004</v>
      </c>
      <c r="O1008" s="116">
        <v>4377</v>
      </c>
      <c r="P1008" s="116">
        <v>4400</v>
      </c>
      <c r="Q1008" s="116">
        <v>4609.1000000000004</v>
      </c>
      <c r="R1008">
        <v>33179</v>
      </c>
    </row>
    <row r="1009" spans="1:18" x14ac:dyDescent="0.25">
      <c r="A1009" s="170">
        <v>45763</v>
      </c>
      <c r="B1009" s="116">
        <v>4655</v>
      </c>
      <c r="C1009" s="116">
        <v>4592.5</v>
      </c>
      <c r="D1009" s="116">
        <v>4571</v>
      </c>
      <c r="E1009" s="116">
        <v>4644.8999999999996</v>
      </c>
      <c r="F1009" s="116">
        <v>4592.5</v>
      </c>
      <c r="G1009">
        <v>384</v>
      </c>
      <c r="H1009" s="116"/>
      <c r="I1009" s="116"/>
      <c r="L1009" s="170">
        <v>45763</v>
      </c>
      <c r="M1009" s="116">
        <v>4588.7</v>
      </c>
      <c r="N1009" s="116">
        <v>4669</v>
      </c>
      <c r="O1009" s="116">
        <v>4571</v>
      </c>
      <c r="P1009" s="116">
        <v>4669</v>
      </c>
      <c r="Q1009" s="116">
        <v>4588.7</v>
      </c>
      <c r="R1009">
        <v>10318</v>
      </c>
    </row>
    <row r="1010" spans="1:18" x14ac:dyDescent="0.25">
      <c r="A1010" s="170">
        <v>45764</v>
      </c>
      <c r="B1010" s="116">
        <v>4813.1499999999996</v>
      </c>
      <c r="C1010" s="116">
        <v>4745.3999999999996</v>
      </c>
      <c r="D1010" s="116">
        <v>4557.2</v>
      </c>
      <c r="E1010" s="116">
        <v>4611.8500000000004</v>
      </c>
      <c r="F1010" s="116">
        <v>4745.3999999999996</v>
      </c>
      <c r="G1010">
        <v>1701</v>
      </c>
      <c r="H1010" s="116"/>
      <c r="I1010" s="116"/>
      <c r="L1010" s="170">
        <v>45764</v>
      </c>
      <c r="M1010" s="116">
        <v>4759.8999999999996</v>
      </c>
      <c r="N1010" s="116">
        <v>4810</v>
      </c>
      <c r="O1010" s="116">
        <v>4556.2</v>
      </c>
      <c r="P1010" s="116">
        <v>4664</v>
      </c>
      <c r="Q1010" s="116">
        <v>4759.8999999999996</v>
      </c>
      <c r="R1010">
        <v>28219</v>
      </c>
    </row>
    <row r="1011" spans="1:18" x14ac:dyDescent="0.25">
      <c r="A1011" s="170">
        <v>45768</v>
      </c>
      <c r="B1011" s="116">
        <v>4811.5</v>
      </c>
      <c r="C1011" s="116">
        <v>4766.3</v>
      </c>
      <c r="D1011" s="116">
        <v>4730</v>
      </c>
      <c r="E1011" s="116">
        <v>4745.3999999999996</v>
      </c>
      <c r="F1011" s="116">
        <v>4766.3</v>
      </c>
      <c r="G1011">
        <v>1225</v>
      </c>
      <c r="H1011" s="116"/>
      <c r="I1011" s="116"/>
      <c r="L1011" s="170">
        <v>45768</v>
      </c>
      <c r="M1011" s="116">
        <v>4772.5</v>
      </c>
      <c r="N1011" s="116">
        <v>4827.3999999999996</v>
      </c>
      <c r="O1011" s="116">
        <v>4716</v>
      </c>
      <c r="P1011" s="116">
        <v>4800</v>
      </c>
      <c r="Q1011" s="116">
        <v>4772.5</v>
      </c>
      <c r="R1011">
        <v>25465</v>
      </c>
    </row>
    <row r="1012" spans="1:18" x14ac:dyDescent="0.25">
      <c r="A1012" s="170">
        <v>45769</v>
      </c>
      <c r="B1012" s="116">
        <v>4788.8500000000004</v>
      </c>
      <c r="C1012" s="116">
        <v>4775.55</v>
      </c>
      <c r="D1012" s="116">
        <v>4735.05</v>
      </c>
      <c r="E1012" s="116">
        <v>4772</v>
      </c>
      <c r="F1012" s="116">
        <v>4775.55</v>
      </c>
      <c r="G1012">
        <v>118</v>
      </c>
      <c r="H1012" s="116"/>
      <c r="I1012" s="116"/>
      <c r="L1012" s="170">
        <v>45769</v>
      </c>
      <c r="M1012" s="116">
        <v>4777.6000000000004</v>
      </c>
      <c r="N1012" s="116">
        <v>4803.7</v>
      </c>
      <c r="O1012" s="116">
        <v>4730</v>
      </c>
      <c r="P1012" s="116">
        <v>4772.5</v>
      </c>
      <c r="Q1012" s="116">
        <v>4777.6000000000004</v>
      </c>
      <c r="R1012">
        <v>10386</v>
      </c>
    </row>
    <row r="1013" spans="1:18" x14ac:dyDescent="0.25">
      <c r="A1013" s="170">
        <v>45770</v>
      </c>
      <c r="B1013" s="116">
        <v>4865</v>
      </c>
      <c r="C1013" s="116">
        <v>4854</v>
      </c>
      <c r="D1013" s="116">
        <v>4809.05</v>
      </c>
      <c r="E1013" s="116">
        <v>4829.3999999999996</v>
      </c>
      <c r="F1013" s="116">
        <v>4854</v>
      </c>
      <c r="G1013">
        <v>408</v>
      </c>
      <c r="H1013" s="116"/>
      <c r="I1013" s="116"/>
      <c r="L1013" s="170">
        <v>45770</v>
      </c>
      <c r="M1013" s="116">
        <v>4846.3</v>
      </c>
      <c r="N1013" s="116">
        <v>4890</v>
      </c>
      <c r="O1013" s="116">
        <v>4773</v>
      </c>
      <c r="P1013" s="116">
        <v>4773</v>
      </c>
      <c r="Q1013" s="116">
        <v>4846.3</v>
      </c>
      <c r="R1013">
        <v>13451</v>
      </c>
    </row>
    <row r="1014" spans="1:18" x14ac:dyDescent="0.25">
      <c r="A1014" s="170">
        <v>45771</v>
      </c>
      <c r="B1014" s="116">
        <v>4946.3999999999996</v>
      </c>
      <c r="C1014" s="116">
        <v>4877.6499999999996</v>
      </c>
      <c r="D1014" s="116">
        <v>4708.7</v>
      </c>
      <c r="E1014" s="116">
        <v>4708.7</v>
      </c>
      <c r="F1014" s="116">
        <v>4877.6499999999996</v>
      </c>
      <c r="G1014">
        <v>1216</v>
      </c>
      <c r="H1014" s="116"/>
      <c r="I1014" s="116"/>
      <c r="L1014" s="170">
        <v>45771</v>
      </c>
      <c r="M1014" s="116">
        <v>4879.5</v>
      </c>
      <c r="N1014" s="116">
        <v>4950.6000000000004</v>
      </c>
      <c r="O1014" s="116">
        <v>4791.5</v>
      </c>
      <c r="P1014" s="116">
        <v>4849.8999999999996</v>
      </c>
      <c r="Q1014" s="116">
        <v>4879.5</v>
      </c>
      <c r="R1014">
        <v>12832</v>
      </c>
    </row>
    <row r="1015" spans="1:18" x14ac:dyDescent="0.25">
      <c r="A1015" s="170">
        <v>45772</v>
      </c>
      <c r="B1015" s="116">
        <v>4881.3999999999996</v>
      </c>
      <c r="C1015" s="116">
        <v>4765.75</v>
      </c>
      <c r="D1015" s="116">
        <v>4674.05</v>
      </c>
      <c r="E1015" s="116">
        <v>4877.6499999999996</v>
      </c>
      <c r="F1015" s="116">
        <v>4765.75</v>
      </c>
      <c r="G1015">
        <v>559</v>
      </c>
      <c r="H1015" s="116"/>
      <c r="I1015" s="116"/>
      <c r="L1015" s="170">
        <v>45772</v>
      </c>
      <c r="M1015" s="116">
        <v>4779.6000000000004</v>
      </c>
      <c r="N1015" s="116">
        <v>4913.8999999999996</v>
      </c>
      <c r="O1015" s="116">
        <v>4668.3</v>
      </c>
      <c r="P1015" s="116">
        <v>4899.8</v>
      </c>
      <c r="Q1015" s="116">
        <v>4779.6000000000004</v>
      </c>
      <c r="R1015">
        <v>17255</v>
      </c>
    </row>
    <row r="1016" spans="1:18" x14ac:dyDescent="0.25">
      <c r="A1016" s="170">
        <v>45775</v>
      </c>
      <c r="B1016" s="116">
        <v>4814.95</v>
      </c>
      <c r="C1016" s="116">
        <v>4745.8</v>
      </c>
      <c r="D1016" s="116">
        <v>4665.05</v>
      </c>
      <c r="E1016" s="116">
        <v>4747.1000000000004</v>
      </c>
      <c r="F1016" s="116">
        <v>4745.8</v>
      </c>
      <c r="G1016">
        <v>371</v>
      </c>
      <c r="H1016" s="116"/>
      <c r="I1016" s="116"/>
      <c r="L1016" s="170">
        <v>45775</v>
      </c>
      <c r="M1016" s="116">
        <v>4748.1000000000004</v>
      </c>
      <c r="N1016" s="116">
        <v>4820</v>
      </c>
      <c r="O1016" s="116">
        <v>4663.3</v>
      </c>
      <c r="P1016" s="116">
        <v>4707.8999999999996</v>
      </c>
      <c r="Q1016" s="116">
        <v>4748.1000000000004</v>
      </c>
      <c r="R1016">
        <v>13678</v>
      </c>
    </row>
    <row r="1017" spans="1:18" x14ac:dyDescent="0.25">
      <c r="A1017" s="170">
        <v>45776</v>
      </c>
      <c r="B1017" s="116">
        <v>4945.25</v>
      </c>
      <c r="C1017" s="116">
        <v>4882.3</v>
      </c>
      <c r="D1017" s="116">
        <v>4748.8999999999996</v>
      </c>
      <c r="E1017" s="116">
        <v>4755.3999999999996</v>
      </c>
      <c r="F1017" s="116">
        <v>4882.3</v>
      </c>
      <c r="G1017">
        <v>961</v>
      </c>
      <c r="H1017" s="116"/>
      <c r="I1017" s="116"/>
      <c r="L1017" s="170">
        <v>45776</v>
      </c>
      <c r="M1017" s="116">
        <v>4881.1000000000004</v>
      </c>
      <c r="N1017" s="116">
        <v>4955</v>
      </c>
      <c r="O1017" s="116">
        <v>4762.8999999999996</v>
      </c>
      <c r="P1017" s="116">
        <v>4800</v>
      </c>
      <c r="Q1017" s="116">
        <v>4881.1000000000004</v>
      </c>
      <c r="R1017">
        <v>44294</v>
      </c>
    </row>
    <row r="1018" spans="1:18" x14ac:dyDescent="0.25">
      <c r="A1018" s="170">
        <v>45777</v>
      </c>
      <c r="B1018" s="116">
        <v>4826.1000000000004</v>
      </c>
      <c r="C1018" s="116">
        <v>4608.3500000000004</v>
      </c>
      <c r="D1018" s="116">
        <v>4590</v>
      </c>
      <c r="E1018" s="116">
        <v>4826.1000000000004</v>
      </c>
      <c r="F1018" s="116">
        <v>4608.3500000000004</v>
      </c>
      <c r="G1018">
        <v>1983</v>
      </c>
      <c r="H1018" s="116"/>
      <c r="I1018" s="116"/>
      <c r="L1018" s="170">
        <v>45777</v>
      </c>
      <c r="M1018" s="116">
        <v>4605.3</v>
      </c>
      <c r="N1018" s="116">
        <v>4861</v>
      </c>
      <c r="O1018" s="116">
        <v>4590.2</v>
      </c>
      <c r="P1018" s="116">
        <v>4861</v>
      </c>
      <c r="Q1018" s="116">
        <v>4605.3</v>
      </c>
      <c r="R1018">
        <v>30167</v>
      </c>
    </row>
    <row r="1019" spans="1:18" x14ac:dyDescent="0.25">
      <c r="A1019" s="170">
        <v>45779</v>
      </c>
      <c r="B1019" s="116">
        <v>4697.8500000000004</v>
      </c>
      <c r="C1019" s="116">
        <v>4646.8</v>
      </c>
      <c r="D1019" s="116">
        <v>4567.45</v>
      </c>
      <c r="E1019" s="116">
        <v>4605.3</v>
      </c>
      <c r="F1019" s="116">
        <v>4646.8</v>
      </c>
      <c r="G1019">
        <v>1330</v>
      </c>
      <c r="H1019" s="116"/>
      <c r="I1019" s="116"/>
      <c r="L1019" s="170">
        <v>45779</v>
      </c>
      <c r="M1019" s="116">
        <v>4654.6000000000004</v>
      </c>
      <c r="N1019" s="116">
        <v>4700</v>
      </c>
      <c r="O1019" s="116">
        <v>4550.1000000000004</v>
      </c>
      <c r="P1019" s="116">
        <v>4550.1000000000004</v>
      </c>
      <c r="Q1019" s="116">
        <v>4654.6000000000004</v>
      </c>
      <c r="R1019">
        <v>20886</v>
      </c>
    </row>
    <row r="1020" spans="1:18" x14ac:dyDescent="0.25">
      <c r="A1020" s="170">
        <v>45782</v>
      </c>
      <c r="B1020" s="116">
        <v>4825.6000000000004</v>
      </c>
      <c r="C1020" s="116">
        <v>4814.3999999999996</v>
      </c>
      <c r="D1020" s="116">
        <v>4590.1499999999996</v>
      </c>
      <c r="E1020" s="116">
        <v>4604.3999999999996</v>
      </c>
      <c r="F1020" s="116">
        <v>4814.3999999999996</v>
      </c>
      <c r="G1020">
        <v>1063</v>
      </c>
      <c r="H1020" s="116"/>
      <c r="I1020" s="116"/>
      <c r="L1020" s="170">
        <v>45782</v>
      </c>
      <c r="M1020" s="116">
        <v>4809</v>
      </c>
      <c r="N1020" s="116">
        <v>4833.3</v>
      </c>
      <c r="O1020" s="116">
        <v>4586</v>
      </c>
      <c r="P1020" s="116">
        <v>4614</v>
      </c>
      <c r="Q1020" s="116">
        <v>4809</v>
      </c>
      <c r="R1020">
        <v>13758</v>
      </c>
    </row>
    <row r="1021" spans="1:18" x14ac:dyDescent="0.25">
      <c r="A1021" s="170">
        <v>45783</v>
      </c>
      <c r="B1021" s="116">
        <v>4814.3999999999996</v>
      </c>
      <c r="C1021" s="116">
        <v>4750.75</v>
      </c>
      <c r="D1021" s="116">
        <v>4699.8999999999996</v>
      </c>
      <c r="E1021" s="116">
        <v>4814.3999999999996</v>
      </c>
      <c r="F1021" s="116">
        <v>4750.75</v>
      </c>
      <c r="G1021">
        <v>1756</v>
      </c>
      <c r="H1021" s="116"/>
      <c r="I1021" s="116"/>
      <c r="L1021" s="170">
        <v>45783</v>
      </c>
      <c r="M1021" s="116">
        <v>4764.1000000000004</v>
      </c>
      <c r="N1021" s="116">
        <v>4823.5</v>
      </c>
      <c r="O1021" s="116">
        <v>4693.3999999999996</v>
      </c>
      <c r="P1021" s="116">
        <v>4821</v>
      </c>
      <c r="Q1021" s="116">
        <v>4764.1000000000004</v>
      </c>
      <c r="R1021">
        <v>13112</v>
      </c>
    </row>
    <row r="1022" spans="1:18" x14ac:dyDescent="0.25">
      <c r="A1022" s="170">
        <v>45784</v>
      </c>
      <c r="B1022" s="116">
        <v>4796.8999999999996</v>
      </c>
      <c r="C1022" s="116">
        <v>4643.6000000000004</v>
      </c>
      <c r="D1022" s="116">
        <v>4511</v>
      </c>
      <c r="E1022" s="116">
        <v>4511</v>
      </c>
      <c r="F1022" s="116">
        <v>4643.6000000000004</v>
      </c>
      <c r="G1022">
        <v>2338</v>
      </c>
      <c r="H1022" s="116"/>
      <c r="I1022" s="116"/>
      <c r="L1022" s="170">
        <v>45784</v>
      </c>
      <c r="M1022" s="116">
        <v>4644.1000000000004</v>
      </c>
      <c r="N1022" s="116">
        <v>4799.5</v>
      </c>
      <c r="O1022" s="116">
        <v>4605</v>
      </c>
      <c r="P1022" s="116">
        <v>4650</v>
      </c>
      <c r="Q1022" s="116">
        <v>4644.1000000000004</v>
      </c>
      <c r="R1022">
        <v>119490</v>
      </c>
    </row>
    <row r="1023" spans="1:18" x14ac:dyDescent="0.25">
      <c r="A1023" s="170">
        <v>45785</v>
      </c>
      <c r="B1023" s="116">
        <v>4899.95</v>
      </c>
      <c r="C1023" s="116">
        <v>4585.6000000000004</v>
      </c>
      <c r="D1023" s="116">
        <v>4523.3500000000004</v>
      </c>
      <c r="E1023" s="116">
        <v>4899.95</v>
      </c>
      <c r="F1023" s="116">
        <v>4585.6000000000004</v>
      </c>
      <c r="G1023">
        <v>446</v>
      </c>
      <c r="H1023" s="116"/>
      <c r="I1023" s="116"/>
      <c r="L1023" s="170">
        <v>45785</v>
      </c>
      <c r="M1023" s="116">
        <v>4577.1000000000004</v>
      </c>
      <c r="N1023" s="116">
        <v>4690</v>
      </c>
      <c r="O1023" s="116">
        <v>4520</v>
      </c>
      <c r="P1023" s="116">
        <v>4681.3</v>
      </c>
      <c r="Q1023" s="116">
        <v>4577.1000000000004</v>
      </c>
      <c r="R1023">
        <v>19734</v>
      </c>
    </row>
    <row r="1024" spans="1:18" x14ac:dyDescent="0.25">
      <c r="A1024" s="170">
        <v>45786</v>
      </c>
      <c r="B1024" s="116">
        <v>4954.95</v>
      </c>
      <c r="C1024" s="116">
        <v>4893.7</v>
      </c>
      <c r="D1024" s="116">
        <v>4425</v>
      </c>
      <c r="E1024" s="116">
        <v>4425</v>
      </c>
      <c r="F1024" s="116">
        <v>4893.7</v>
      </c>
      <c r="G1024">
        <v>9401</v>
      </c>
      <c r="H1024" s="116"/>
      <c r="I1024" s="116"/>
      <c r="L1024" s="170">
        <v>45786</v>
      </c>
      <c r="M1024" s="116">
        <v>4867.5</v>
      </c>
      <c r="N1024" s="116">
        <v>4949</v>
      </c>
      <c r="O1024" s="116">
        <v>4419.8999999999996</v>
      </c>
      <c r="P1024" s="116">
        <v>4420</v>
      </c>
      <c r="Q1024" s="116">
        <v>4867.5</v>
      </c>
      <c r="R1024">
        <v>281307</v>
      </c>
    </row>
    <row r="1025" spans="1:18" x14ac:dyDescent="0.25">
      <c r="A1025" s="170">
        <v>45789</v>
      </c>
      <c r="B1025" s="116">
        <v>5274.1</v>
      </c>
      <c r="C1025" s="116">
        <v>5031</v>
      </c>
      <c r="D1025" s="116">
        <v>4896.45</v>
      </c>
      <c r="E1025" s="116">
        <v>4896.45</v>
      </c>
      <c r="F1025" s="116">
        <v>5031</v>
      </c>
      <c r="G1025">
        <v>6195</v>
      </c>
      <c r="H1025" s="116"/>
      <c r="I1025" s="116"/>
      <c r="L1025" s="170">
        <v>45789</v>
      </c>
      <c r="M1025" s="116">
        <v>5031.3999999999996</v>
      </c>
      <c r="N1025" s="116">
        <v>5279.5</v>
      </c>
      <c r="O1025" s="116">
        <v>4910</v>
      </c>
      <c r="P1025" s="116">
        <v>4920</v>
      </c>
      <c r="Q1025" s="116">
        <v>5031.3999999999996</v>
      </c>
      <c r="R1025">
        <v>141381</v>
      </c>
    </row>
    <row r="1026" spans="1:18" x14ac:dyDescent="0.25">
      <c r="A1026" s="170">
        <v>45790</v>
      </c>
      <c r="B1026" s="116">
        <v>5230.95</v>
      </c>
      <c r="C1026" s="116">
        <v>5155.6000000000004</v>
      </c>
      <c r="D1026" s="116">
        <v>4960.55</v>
      </c>
      <c r="E1026" s="116">
        <v>4960.55</v>
      </c>
      <c r="F1026" s="116">
        <v>5155.6000000000004</v>
      </c>
      <c r="G1026">
        <v>1769</v>
      </c>
      <c r="H1026" s="116"/>
      <c r="I1026" s="116"/>
      <c r="L1026" s="170">
        <v>45790</v>
      </c>
      <c r="M1026" s="116">
        <v>5156.2</v>
      </c>
      <c r="N1026" s="116">
        <v>5238</v>
      </c>
      <c r="O1026" s="116">
        <v>5013.1000000000004</v>
      </c>
      <c r="P1026" s="116">
        <v>5080</v>
      </c>
      <c r="Q1026" s="116">
        <v>5156.2</v>
      </c>
      <c r="R1026">
        <v>75392</v>
      </c>
    </row>
    <row r="1027" spans="1:18" x14ac:dyDescent="0.25">
      <c r="A1027" s="170">
        <v>45791</v>
      </c>
      <c r="B1027" s="116">
        <v>5490</v>
      </c>
      <c r="C1027" s="116">
        <v>5335.4</v>
      </c>
      <c r="D1027" s="116">
        <v>5229.3999999999996</v>
      </c>
      <c r="E1027" s="116">
        <v>5231.45</v>
      </c>
      <c r="F1027" s="116">
        <v>5335.4</v>
      </c>
      <c r="G1027">
        <v>3151</v>
      </c>
      <c r="H1027" s="116"/>
      <c r="I1027" s="116"/>
      <c r="L1027" s="170">
        <v>45791</v>
      </c>
      <c r="M1027" s="116">
        <v>5335.7</v>
      </c>
      <c r="N1027" s="116">
        <v>5490</v>
      </c>
      <c r="O1027" s="116">
        <v>5157</v>
      </c>
      <c r="P1027" s="116">
        <v>5157</v>
      </c>
      <c r="Q1027" s="116">
        <v>5335.7</v>
      </c>
      <c r="R1027">
        <v>150035</v>
      </c>
    </row>
    <row r="1028" spans="1:18" x14ac:dyDescent="0.25">
      <c r="A1028" s="170">
        <v>45792</v>
      </c>
      <c r="B1028" s="116">
        <v>5478.6</v>
      </c>
      <c r="C1028" s="116">
        <v>5350.45</v>
      </c>
      <c r="D1028" s="116">
        <v>5201.6499999999996</v>
      </c>
      <c r="E1028" s="116">
        <v>5201.6499999999996</v>
      </c>
      <c r="F1028" s="116">
        <v>5350.45</v>
      </c>
      <c r="G1028">
        <v>710</v>
      </c>
      <c r="H1028" s="116"/>
      <c r="I1028" s="116"/>
      <c r="L1028" s="170">
        <v>45792</v>
      </c>
      <c r="M1028" s="116">
        <v>5342.1</v>
      </c>
      <c r="N1028" s="116">
        <v>5480</v>
      </c>
      <c r="O1028" s="116">
        <v>5300</v>
      </c>
      <c r="P1028" s="116">
        <v>5356.6</v>
      </c>
      <c r="Q1028" s="116">
        <v>5342.1</v>
      </c>
      <c r="R1028">
        <v>98832</v>
      </c>
    </row>
    <row r="1029" spans="1:18" x14ac:dyDescent="0.25">
      <c r="A1029" s="170">
        <v>45793</v>
      </c>
      <c r="B1029" s="116">
        <v>5406.3</v>
      </c>
      <c r="C1029" s="116">
        <v>5246.6</v>
      </c>
      <c r="D1029" s="116">
        <v>5235.5</v>
      </c>
      <c r="E1029" s="116">
        <v>5312.05</v>
      </c>
      <c r="F1029" s="116">
        <v>5246.6</v>
      </c>
      <c r="G1029">
        <v>1742</v>
      </c>
      <c r="H1029" s="116"/>
      <c r="I1029" s="116"/>
      <c r="L1029" s="170">
        <v>45793</v>
      </c>
      <c r="M1029" s="116">
        <v>5249.6</v>
      </c>
      <c r="N1029" s="116">
        <v>5410</v>
      </c>
      <c r="O1029" s="116">
        <v>5230.1000000000004</v>
      </c>
      <c r="P1029" s="116">
        <v>5300</v>
      </c>
      <c r="Q1029" s="116">
        <v>5249.6</v>
      </c>
      <c r="R1029">
        <v>31927</v>
      </c>
    </row>
    <row r="1030" spans="1:18" x14ac:dyDescent="0.25">
      <c r="A1030" s="170">
        <v>45796</v>
      </c>
      <c r="B1030" s="116">
        <v>5428.05</v>
      </c>
      <c r="C1030" s="116">
        <v>5311</v>
      </c>
      <c r="D1030" s="116">
        <v>5293.15</v>
      </c>
      <c r="E1030" s="116">
        <v>5351.55</v>
      </c>
      <c r="F1030" s="116">
        <v>5311</v>
      </c>
      <c r="G1030">
        <v>1282</v>
      </c>
      <c r="H1030" s="116"/>
      <c r="I1030" s="116"/>
      <c r="L1030" s="170">
        <v>45796</v>
      </c>
      <c r="M1030" s="116">
        <v>5312</v>
      </c>
      <c r="N1030" s="116">
        <v>5438.2</v>
      </c>
      <c r="O1030" s="116">
        <v>5249.6</v>
      </c>
      <c r="P1030" s="116">
        <v>5249.6</v>
      </c>
      <c r="Q1030" s="116">
        <v>5312</v>
      </c>
      <c r="R1030">
        <v>32798</v>
      </c>
    </row>
    <row r="1031" spans="1:18" x14ac:dyDescent="0.25">
      <c r="A1031" s="170">
        <v>45797</v>
      </c>
      <c r="B1031" s="116">
        <v>5417</v>
      </c>
      <c r="C1031" s="116">
        <v>5248.6</v>
      </c>
      <c r="D1031" s="116">
        <v>5235</v>
      </c>
      <c r="E1031" s="116">
        <v>5325.2</v>
      </c>
      <c r="F1031" s="116">
        <v>5248.6</v>
      </c>
      <c r="G1031">
        <v>627</v>
      </c>
      <c r="H1031" s="116"/>
      <c r="I1031" s="116"/>
      <c r="L1031" s="170">
        <v>45797</v>
      </c>
      <c r="M1031" s="116">
        <v>5250.9</v>
      </c>
      <c r="N1031" s="116">
        <v>5429.2</v>
      </c>
      <c r="O1031" s="116">
        <v>5228.1000000000004</v>
      </c>
      <c r="P1031" s="116">
        <v>5313</v>
      </c>
      <c r="Q1031" s="116">
        <v>5250.9</v>
      </c>
      <c r="R1031">
        <v>38441</v>
      </c>
    </row>
    <row r="1032" spans="1:18" x14ac:dyDescent="0.25">
      <c r="A1032" s="170">
        <v>45798</v>
      </c>
      <c r="B1032" s="116">
        <v>5432</v>
      </c>
      <c r="C1032" s="116">
        <v>5308.75</v>
      </c>
      <c r="D1032" s="116">
        <v>5251.75</v>
      </c>
      <c r="E1032" s="116">
        <v>5275.25</v>
      </c>
      <c r="F1032" s="116">
        <v>5308.75</v>
      </c>
      <c r="G1032">
        <v>988</v>
      </c>
      <c r="H1032" s="116"/>
      <c r="I1032" s="116"/>
      <c r="L1032" s="170">
        <v>45798</v>
      </c>
      <c r="M1032" s="116">
        <v>5298.7</v>
      </c>
      <c r="N1032" s="116">
        <v>5439</v>
      </c>
      <c r="O1032" s="116">
        <v>5242.1000000000004</v>
      </c>
      <c r="P1032" s="116">
        <v>5296.6</v>
      </c>
      <c r="Q1032" s="116">
        <v>5298.7</v>
      </c>
      <c r="R1032">
        <v>51479</v>
      </c>
    </row>
    <row r="1033" spans="1:18" x14ac:dyDescent="0.25">
      <c r="A1033" s="170">
        <v>45799</v>
      </c>
      <c r="B1033" s="116">
        <v>5650.85</v>
      </c>
      <c r="C1033" s="116">
        <v>5545.8</v>
      </c>
      <c r="D1033" s="116">
        <v>5300</v>
      </c>
      <c r="E1033" s="116">
        <v>5300</v>
      </c>
      <c r="F1033" s="116">
        <v>5545.8</v>
      </c>
      <c r="G1033">
        <v>6891</v>
      </c>
      <c r="H1033" s="116"/>
      <c r="I1033" s="116"/>
      <c r="L1033" s="170">
        <v>45799</v>
      </c>
      <c r="M1033" s="116">
        <v>5540.5</v>
      </c>
      <c r="N1033" s="116">
        <v>5666</v>
      </c>
      <c r="O1033" s="116">
        <v>5299.2</v>
      </c>
      <c r="P1033" s="116">
        <v>5350</v>
      </c>
      <c r="Q1033" s="116">
        <v>5540.5</v>
      </c>
      <c r="R1033">
        <v>210743</v>
      </c>
    </row>
    <row r="1034" spans="1:18" x14ac:dyDescent="0.25">
      <c r="A1034" s="170">
        <v>45800</v>
      </c>
      <c r="B1034" s="116">
        <v>5680</v>
      </c>
      <c r="C1034" s="116">
        <v>5490.55</v>
      </c>
      <c r="D1034" s="116">
        <v>5451.15</v>
      </c>
      <c r="E1034" s="116">
        <v>5649.2</v>
      </c>
      <c r="F1034" s="116">
        <v>5490.55</v>
      </c>
      <c r="G1034">
        <v>3655</v>
      </c>
      <c r="H1034" s="116"/>
      <c r="I1034" s="116"/>
      <c r="L1034" s="170">
        <v>45800</v>
      </c>
      <c r="M1034" s="116">
        <v>5497.7</v>
      </c>
      <c r="N1034" s="116">
        <v>5690.2</v>
      </c>
      <c r="O1034" s="116">
        <v>5455.6</v>
      </c>
      <c r="P1034" s="116">
        <v>5550</v>
      </c>
      <c r="Q1034" s="116">
        <v>5497.7</v>
      </c>
      <c r="R1034">
        <v>88055</v>
      </c>
    </row>
    <row r="1035" spans="1:18" x14ac:dyDescent="0.25">
      <c r="A1035" s="170">
        <v>45803</v>
      </c>
      <c r="B1035" s="116">
        <v>5552.95</v>
      </c>
      <c r="C1035" s="116">
        <v>5462.45</v>
      </c>
      <c r="D1035" s="116">
        <v>5402.3</v>
      </c>
      <c r="E1035" s="116">
        <v>5477.7</v>
      </c>
      <c r="F1035" s="116">
        <v>5462.45</v>
      </c>
      <c r="G1035">
        <v>924</v>
      </c>
      <c r="H1035" s="116"/>
      <c r="I1035" s="116"/>
      <c r="L1035" s="170">
        <v>45803</v>
      </c>
      <c r="M1035" s="116">
        <v>5472.6</v>
      </c>
      <c r="N1035" s="116">
        <v>5563</v>
      </c>
      <c r="O1035" s="116">
        <v>5407.6</v>
      </c>
      <c r="P1035" s="116">
        <v>5561</v>
      </c>
      <c r="Q1035" s="116">
        <v>5472.6</v>
      </c>
      <c r="R1035">
        <v>25537</v>
      </c>
    </row>
    <row r="1036" spans="1:18" x14ac:dyDescent="0.25">
      <c r="A1036" s="170">
        <v>45804</v>
      </c>
      <c r="B1036" s="116">
        <v>5739.9</v>
      </c>
      <c r="C1036" s="116">
        <v>5721.55</v>
      </c>
      <c r="D1036" s="116">
        <v>5469.15</v>
      </c>
      <c r="E1036" s="116">
        <v>5490.55</v>
      </c>
      <c r="F1036" s="116">
        <v>5721.55</v>
      </c>
      <c r="G1036">
        <v>2721</v>
      </c>
      <c r="H1036" s="116"/>
      <c r="I1036" s="116"/>
      <c r="L1036" s="170">
        <v>45804</v>
      </c>
      <c r="M1036" s="116">
        <v>5712.2</v>
      </c>
      <c r="N1036" s="116">
        <v>5738</v>
      </c>
      <c r="O1036" s="116">
        <v>5464.6</v>
      </c>
      <c r="P1036" s="116">
        <v>5495</v>
      </c>
      <c r="Q1036" s="116">
        <v>5712.2</v>
      </c>
      <c r="R1036">
        <v>94989</v>
      </c>
    </row>
    <row r="1037" spans="1:18" x14ac:dyDescent="0.25">
      <c r="A1037" s="170">
        <v>45805</v>
      </c>
      <c r="B1037" s="116">
        <v>5838.1</v>
      </c>
      <c r="C1037" s="116">
        <v>5684.25</v>
      </c>
      <c r="D1037" s="116">
        <v>5640.45</v>
      </c>
      <c r="E1037" s="116">
        <v>5712.15</v>
      </c>
      <c r="F1037" s="116">
        <v>5684.25</v>
      </c>
      <c r="G1037">
        <v>4152</v>
      </c>
      <c r="H1037" s="116"/>
      <c r="I1037" s="116"/>
      <c r="L1037" s="170">
        <v>45805</v>
      </c>
      <c r="M1037" s="116">
        <v>5689.4</v>
      </c>
      <c r="N1037" s="116">
        <v>5842.3</v>
      </c>
      <c r="O1037" s="116">
        <v>5670</v>
      </c>
      <c r="P1037" s="116">
        <v>5675</v>
      </c>
      <c r="Q1037" s="116">
        <v>5689.4</v>
      </c>
      <c r="R1037">
        <v>95301</v>
      </c>
    </row>
    <row r="1038" spans="1:18" x14ac:dyDescent="0.25">
      <c r="A1038" s="170">
        <v>45806</v>
      </c>
      <c r="B1038" s="116">
        <v>5771.2</v>
      </c>
      <c r="C1038" s="116">
        <v>5610.75</v>
      </c>
      <c r="D1038" s="116">
        <v>5585</v>
      </c>
      <c r="E1038" s="116">
        <v>5680</v>
      </c>
      <c r="F1038" s="116">
        <v>5610.75</v>
      </c>
      <c r="G1038">
        <v>453</v>
      </c>
      <c r="H1038" s="116"/>
      <c r="I1038" s="116"/>
      <c r="L1038" s="170">
        <v>45806</v>
      </c>
      <c r="M1038" s="116">
        <v>5601.1</v>
      </c>
      <c r="N1038" s="116">
        <v>5787.5</v>
      </c>
      <c r="O1038" s="116">
        <v>5582.9</v>
      </c>
      <c r="P1038" s="116">
        <v>5749.9</v>
      </c>
      <c r="Q1038" s="116">
        <v>5601.1</v>
      </c>
      <c r="R1038">
        <v>43811</v>
      </c>
    </row>
    <row r="1039" spans="1:18" x14ac:dyDescent="0.25">
      <c r="A1039" s="170">
        <v>45807</v>
      </c>
      <c r="B1039" s="116">
        <v>5699.95</v>
      </c>
      <c r="C1039" s="116">
        <v>5607</v>
      </c>
      <c r="D1039" s="116">
        <v>5583.6</v>
      </c>
      <c r="E1039" s="116">
        <v>5699.95</v>
      </c>
      <c r="F1039" s="116">
        <v>5607</v>
      </c>
      <c r="G1039">
        <v>1422</v>
      </c>
      <c r="H1039" s="116"/>
      <c r="I1039" s="116"/>
      <c r="L1039" s="170">
        <v>45807</v>
      </c>
      <c r="M1039" s="116">
        <v>5604.4</v>
      </c>
      <c r="N1039" s="116">
        <v>5680</v>
      </c>
      <c r="O1039" s="116">
        <v>5570.1</v>
      </c>
      <c r="P1039" s="116">
        <v>5645.9</v>
      </c>
      <c r="Q1039" s="116">
        <v>5604.4</v>
      </c>
      <c r="R1039">
        <v>20421</v>
      </c>
    </row>
    <row r="1040" spans="1:18" x14ac:dyDescent="0.25">
      <c r="A1040" s="170">
        <v>45810</v>
      </c>
      <c r="B1040" s="116">
        <v>5697.95</v>
      </c>
      <c r="C1040" s="116">
        <v>5592.35</v>
      </c>
      <c r="D1040" s="116">
        <v>5573.25</v>
      </c>
      <c r="E1040" s="116">
        <v>5697.95</v>
      </c>
      <c r="F1040" s="116">
        <v>5592.35</v>
      </c>
      <c r="G1040">
        <v>1431</v>
      </c>
      <c r="H1040" s="116"/>
      <c r="I1040" s="116"/>
      <c r="L1040" s="170">
        <v>45810</v>
      </c>
      <c r="M1040" s="116">
        <v>5587.5</v>
      </c>
      <c r="N1040" s="116">
        <v>5670</v>
      </c>
      <c r="O1040" s="116">
        <v>5565.5</v>
      </c>
      <c r="P1040" s="116">
        <v>5632</v>
      </c>
      <c r="Q1040" s="116">
        <v>5587.5</v>
      </c>
      <c r="R1040">
        <v>27113</v>
      </c>
    </row>
    <row r="1041" spans="1:18" x14ac:dyDescent="0.25">
      <c r="A1041" s="170">
        <v>45811</v>
      </c>
      <c r="B1041" s="116">
        <v>5603</v>
      </c>
      <c r="C1041" s="116">
        <v>5527.3</v>
      </c>
      <c r="D1041" s="116">
        <v>5428.05</v>
      </c>
      <c r="E1041" s="116">
        <v>5557.1</v>
      </c>
      <c r="F1041" s="116">
        <v>5527.3</v>
      </c>
      <c r="G1041">
        <v>2858</v>
      </c>
      <c r="H1041" s="116"/>
      <c r="I1041" s="116"/>
      <c r="L1041" s="170">
        <v>45811</v>
      </c>
      <c r="M1041" s="116">
        <v>5514</v>
      </c>
      <c r="N1041" s="116">
        <v>5608</v>
      </c>
      <c r="O1041" s="116">
        <v>5427.5</v>
      </c>
      <c r="P1041" s="116">
        <v>5569</v>
      </c>
      <c r="Q1041" s="116">
        <v>5514</v>
      </c>
      <c r="R1041">
        <v>77191</v>
      </c>
    </row>
    <row r="1042" spans="1:18" x14ac:dyDescent="0.25">
      <c r="A1042" s="170">
        <v>45812</v>
      </c>
      <c r="B1042" s="116">
        <v>5582</v>
      </c>
      <c r="C1042" s="116">
        <v>5533.75</v>
      </c>
      <c r="D1042" s="116">
        <v>5427.9</v>
      </c>
      <c r="E1042" s="116">
        <v>5427.9</v>
      </c>
      <c r="F1042" s="116">
        <v>5533.75</v>
      </c>
      <c r="G1042">
        <v>1340</v>
      </c>
      <c r="H1042" s="116"/>
      <c r="I1042" s="116"/>
      <c r="L1042" s="170">
        <v>45812</v>
      </c>
      <c r="M1042" s="116">
        <v>5522.5</v>
      </c>
      <c r="N1042" s="116">
        <v>5583</v>
      </c>
      <c r="O1042" s="116">
        <v>5493</v>
      </c>
      <c r="P1042" s="116">
        <v>5520</v>
      </c>
      <c r="Q1042" s="116">
        <v>5522.5</v>
      </c>
      <c r="R1042">
        <v>47287</v>
      </c>
    </row>
    <row r="1043" spans="1:18" x14ac:dyDescent="0.25">
      <c r="A1043" s="170">
        <v>45813</v>
      </c>
      <c r="B1043" s="116">
        <v>5695</v>
      </c>
      <c r="C1043" s="116">
        <v>5507.95</v>
      </c>
      <c r="D1043" s="116">
        <v>5475.95</v>
      </c>
      <c r="E1043" s="116">
        <v>5581</v>
      </c>
      <c r="F1043" s="116">
        <v>5507.95</v>
      </c>
      <c r="G1043">
        <v>3815</v>
      </c>
      <c r="H1043" s="116"/>
      <c r="I1043" s="116"/>
      <c r="L1043" s="170">
        <v>45813</v>
      </c>
      <c r="M1043" s="116">
        <v>5506.5</v>
      </c>
      <c r="N1043" s="116">
        <v>5698</v>
      </c>
      <c r="O1043" s="116">
        <v>5477.5</v>
      </c>
      <c r="P1043" s="116">
        <v>5571.5</v>
      </c>
      <c r="Q1043" s="116">
        <v>5506.5</v>
      </c>
      <c r="R1043">
        <v>98868</v>
      </c>
    </row>
    <row r="1044" spans="1:18" x14ac:dyDescent="0.25">
      <c r="A1044" s="170">
        <v>45814</v>
      </c>
      <c r="B1044" s="116">
        <v>5697.05</v>
      </c>
      <c r="C1044" s="116">
        <v>5605.4</v>
      </c>
      <c r="D1044" s="116">
        <v>5500.05</v>
      </c>
      <c r="E1044" s="116">
        <v>5506.55</v>
      </c>
      <c r="F1044" s="116">
        <v>5605.4</v>
      </c>
      <c r="G1044">
        <v>3582</v>
      </c>
      <c r="H1044" s="116"/>
      <c r="I1044" s="116"/>
      <c r="L1044" s="170">
        <v>45814</v>
      </c>
      <c r="M1044" s="116">
        <v>5604.5</v>
      </c>
      <c r="N1044" s="116">
        <v>5695.5</v>
      </c>
      <c r="O1044" s="116">
        <v>5501.5</v>
      </c>
      <c r="P1044" s="116">
        <v>5533</v>
      </c>
      <c r="Q1044" s="116">
        <v>5604.5</v>
      </c>
      <c r="R1044">
        <v>67420</v>
      </c>
    </row>
    <row r="1045" spans="1:18" x14ac:dyDescent="0.25">
      <c r="A1045" s="170">
        <v>45817</v>
      </c>
      <c r="B1045" s="116">
        <v>5742.45</v>
      </c>
      <c r="C1045" s="116">
        <v>5544.9</v>
      </c>
      <c r="D1045" s="116">
        <v>5532.5</v>
      </c>
      <c r="E1045" s="116">
        <v>5601.05</v>
      </c>
      <c r="F1045" s="116">
        <v>5544.9</v>
      </c>
      <c r="G1045">
        <v>2430</v>
      </c>
      <c r="H1045" s="116"/>
      <c r="I1045" s="116"/>
      <c r="L1045" s="170">
        <v>45817</v>
      </c>
      <c r="M1045" s="116">
        <v>5552.5</v>
      </c>
      <c r="N1045" s="116">
        <v>5749.5</v>
      </c>
      <c r="O1045" s="116">
        <v>5530.5</v>
      </c>
      <c r="P1045" s="116">
        <v>5629.5</v>
      </c>
      <c r="Q1045" s="116">
        <v>5552.5</v>
      </c>
      <c r="R1045">
        <v>27702</v>
      </c>
    </row>
    <row r="1046" spans="1:18" x14ac:dyDescent="0.25">
      <c r="A1046" s="170">
        <v>45818</v>
      </c>
      <c r="B1046" s="116">
        <v>5605.25</v>
      </c>
      <c r="C1046" s="116">
        <v>5470.65</v>
      </c>
      <c r="D1046" s="116">
        <v>5462</v>
      </c>
      <c r="E1046" s="116">
        <v>5523.25</v>
      </c>
      <c r="F1046" s="116">
        <v>5470.65</v>
      </c>
      <c r="G1046">
        <v>690</v>
      </c>
      <c r="H1046" s="116"/>
      <c r="I1046" s="116"/>
      <c r="L1046" s="170">
        <v>45818</v>
      </c>
      <c r="M1046" s="116">
        <v>5472.5</v>
      </c>
      <c r="N1046" s="116">
        <v>5614.5</v>
      </c>
      <c r="O1046" s="116">
        <v>5460</v>
      </c>
      <c r="P1046" s="116">
        <v>5580</v>
      </c>
      <c r="Q1046" s="116">
        <v>5472.5</v>
      </c>
      <c r="R1046">
        <v>22046</v>
      </c>
    </row>
    <row r="1047" spans="1:18" x14ac:dyDescent="0.25">
      <c r="A1047" s="170">
        <v>45819</v>
      </c>
      <c r="B1047" s="116">
        <v>5487.7</v>
      </c>
      <c r="C1047" s="116">
        <v>5384.55</v>
      </c>
      <c r="D1047" s="116">
        <v>5364.6</v>
      </c>
      <c r="E1047" s="116">
        <v>5405.85</v>
      </c>
      <c r="F1047" s="116">
        <v>5384.55</v>
      </c>
      <c r="G1047">
        <v>653</v>
      </c>
      <c r="H1047" s="116"/>
      <c r="I1047" s="116"/>
      <c r="L1047" s="170">
        <v>45819</v>
      </c>
      <c r="M1047" s="116">
        <v>5394</v>
      </c>
      <c r="N1047" s="116">
        <v>5519</v>
      </c>
      <c r="O1047" s="116">
        <v>5363</v>
      </c>
      <c r="P1047" s="116">
        <v>5510</v>
      </c>
      <c r="Q1047" s="116">
        <v>5394</v>
      </c>
      <c r="R1047">
        <v>24576</v>
      </c>
    </row>
    <row r="1048" spans="1:18" x14ac:dyDescent="0.25">
      <c r="A1048" s="170">
        <v>45820</v>
      </c>
      <c r="B1048" s="116">
        <v>5428.1</v>
      </c>
      <c r="C1048" s="116">
        <v>5263.45</v>
      </c>
      <c r="D1048" s="116">
        <v>5250</v>
      </c>
      <c r="E1048" s="116">
        <v>5428.1</v>
      </c>
      <c r="F1048" s="116">
        <v>5263.45</v>
      </c>
      <c r="G1048">
        <v>330</v>
      </c>
      <c r="H1048" s="116"/>
      <c r="I1048" s="116"/>
      <c r="L1048" s="170">
        <v>45820</v>
      </c>
      <c r="M1048" s="116">
        <v>5259</v>
      </c>
      <c r="N1048" s="116">
        <v>5429.5</v>
      </c>
      <c r="O1048" s="116">
        <v>5238</v>
      </c>
      <c r="P1048" s="116">
        <v>5398</v>
      </c>
      <c r="Q1048" s="116">
        <v>5259</v>
      </c>
      <c r="R1048">
        <v>23063</v>
      </c>
    </row>
    <row r="1049" spans="1:18" x14ac:dyDescent="0.25">
      <c r="A1049" s="170">
        <v>45821</v>
      </c>
      <c r="B1049" s="116">
        <v>5309</v>
      </c>
      <c r="C1049" s="116">
        <v>5299.5</v>
      </c>
      <c r="D1049" s="116">
        <v>5151.05</v>
      </c>
      <c r="E1049" s="116">
        <v>5151.05</v>
      </c>
      <c r="F1049" s="116">
        <v>5299.5</v>
      </c>
      <c r="G1049">
        <v>2041</v>
      </c>
      <c r="H1049" s="116"/>
      <c r="I1049" s="116"/>
      <c r="L1049" s="170">
        <v>45821</v>
      </c>
      <c r="M1049" s="116">
        <v>5301.5</v>
      </c>
      <c r="N1049" s="116">
        <v>5319.5</v>
      </c>
      <c r="O1049" s="116">
        <v>5190</v>
      </c>
      <c r="P1049" s="116">
        <v>5259</v>
      </c>
      <c r="Q1049" s="116">
        <v>5301.5</v>
      </c>
      <c r="R1049">
        <v>15290</v>
      </c>
    </row>
    <row r="1050" spans="1:18" x14ac:dyDescent="0.25">
      <c r="A1050" s="170">
        <v>45824</v>
      </c>
      <c r="B1050" s="116">
        <v>5283.85</v>
      </c>
      <c r="C1050" s="116">
        <v>5251.65</v>
      </c>
      <c r="D1050" s="116">
        <v>5168.3</v>
      </c>
      <c r="E1050" s="116">
        <v>5200.05</v>
      </c>
      <c r="F1050" s="116">
        <v>5251.65</v>
      </c>
      <c r="G1050">
        <v>321</v>
      </c>
      <c r="H1050" s="116"/>
      <c r="I1050" s="116"/>
      <c r="L1050" s="170">
        <v>45824</v>
      </c>
      <c r="M1050" s="116">
        <v>5260.5</v>
      </c>
      <c r="N1050" s="116">
        <v>5299</v>
      </c>
      <c r="O1050" s="116">
        <v>5152.5</v>
      </c>
      <c r="P1050" s="116">
        <v>5299</v>
      </c>
      <c r="Q1050" s="116">
        <v>5260.5</v>
      </c>
      <c r="R1050">
        <v>72912</v>
      </c>
    </row>
    <row r="1051" spans="1:18" x14ac:dyDescent="0.25">
      <c r="A1051" s="170">
        <v>45825</v>
      </c>
      <c r="B1051" s="116">
        <v>5408.35</v>
      </c>
      <c r="C1051" s="116">
        <v>5306.65</v>
      </c>
      <c r="D1051" s="116">
        <v>5265</v>
      </c>
      <c r="E1051" s="116">
        <v>5363.95</v>
      </c>
      <c r="F1051" s="116">
        <v>5306.65</v>
      </c>
      <c r="G1051">
        <v>568</v>
      </c>
      <c r="H1051" s="116"/>
      <c r="I1051" s="116"/>
      <c r="L1051" s="170">
        <v>45825</v>
      </c>
      <c r="M1051" s="116">
        <v>5289.5</v>
      </c>
      <c r="N1051" s="116">
        <v>5425</v>
      </c>
      <c r="O1051" s="116">
        <v>5254</v>
      </c>
      <c r="P1051" s="116">
        <v>5269.5</v>
      </c>
      <c r="Q1051" s="116">
        <v>5289.5</v>
      </c>
      <c r="R1051">
        <v>50090</v>
      </c>
    </row>
    <row r="1052" spans="1:18" x14ac:dyDescent="0.25">
      <c r="A1052" s="170">
        <v>45826</v>
      </c>
      <c r="B1052" s="116">
        <v>5285.2</v>
      </c>
      <c r="C1052" s="116">
        <v>5247.8</v>
      </c>
      <c r="D1052" s="116">
        <v>5227</v>
      </c>
      <c r="E1052" s="116">
        <v>5276.35</v>
      </c>
      <c r="F1052" s="116">
        <v>5247.8</v>
      </c>
      <c r="G1052">
        <v>583</v>
      </c>
      <c r="H1052" s="116"/>
      <c r="I1052" s="116"/>
      <c r="L1052" s="170">
        <v>45826</v>
      </c>
      <c r="M1052" s="116">
        <v>5245.5</v>
      </c>
      <c r="N1052" s="116">
        <v>5350</v>
      </c>
      <c r="O1052" s="116">
        <v>5225.5</v>
      </c>
      <c r="P1052" s="116">
        <v>5350</v>
      </c>
      <c r="Q1052" s="116">
        <v>5245.5</v>
      </c>
      <c r="R1052">
        <v>27063</v>
      </c>
    </row>
    <row r="1053" spans="1:18" x14ac:dyDescent="0.25">
      <c r="A1053" s="170">
        <v>45827</v>
      </c>
      <c r="B1053" s="116">
        <v>5280.35</v>
      </c>
      <c r="C1053" s="116">
        <v>5185.05</v>
      </c>
      <c r="D1053" s="116">
        <v>5172.05</v>
      </c>
      <c r="E1053" s="116">
        <v>5252.15</v>
      </c>
      <c r="F1053" s="116">
        <v>5185.05</v>
      </c>
      <c r="G1053">
        <v>1406</v>
      </c>
      <c r="H1053" s="116"/>
      <c r="I1053" s="116"/>
      <c r="L1053" s="170">
        <v>45827</v>
      </c>
      <c r="M1053" s="116">
        <v>5191</v>
      </c>
      <c r="N1053" s="116">
        <v>5287.5</v>
      </c>
      <c r="O1053" s="116">
        <v>5176</v>
      </c>
      <c r="P1053" s="116">
        <v>5279</v>
      </c>
      <c r="Q1053" s="116">
        <v>5191</v>
      </c>
      <c r="R1053">
        <v>19023</v>
      </c>
    </row>
    <row r="1054" spans="1:18" x14ac:dyDescent="0.25">
      <c r="A1054" s="170">
        <v>45828</v>
      </c>
      <c r="B1054" s="116">
        <v>5238</v>
      </c>
      <c r="C1054" s="116">
        <v>5160.8500000000004</v>
      </c>
      <c r="D1054" s="116">
        <v>5120</v>
      </c>
      <c r="E1054" s="116">
        <v>5235.55</v>
      </c>
      <c r="F1054" s="116">
        <v>5160.8500000000004</v>
      </c>
      <c r="G1054">
        <v>1142</v>
      </c>
      <c r="H1054" s="116"/>
      <c r="I1054" s="116"/>
      <c r="L1054" s="170">
        <v>45828</v>
      </c>
      <c r="M1054" s="116">
        <v>5160</v>
      </c>
      <c r="N1054" s="116">
        <v>5249</v>
      </c>
      <c r="O1054" s="116">
        <v>5110</v>
      </c>
      <c r="P1054" s="116">
        <v>5230</v>
      </c>
      <c r="Q1054" s="116">
        <v>5160</v>
      </c>
      <c r="R1054">
        <v>52916</v>
      </c>
    </row>
    <row r="1055" spans="1:18" x14ac:dyDescent="0.25">
      <c r="A1055" s="170">
        <v>45831</v>
      </c>
      <c r="B1055" s="116">
        <v>5288.5</v>
      </c>
      <c r="C1055" s="116">
        <v>5269.9</v>
      </c>
      <c r="D1055" s="116">
        <v>5133.45</v>
      </c>
      <c r="E1055" s="116">
        <v>5160.8500000000004</v>
      </c>
      <c r="F1055" s="116">
        <v>5269.9</v>
      </c>
      <c r="G1055">
        <v>1207</v>
      </c>
      <c r="H1055" s="116"/>
      <c r="I1055" s="116"/>
      <c r="L1055" s="170">
        <v>45831</v>
      </c>
      <c r="M1055" s="116">
        <v>5271</v>
      </c>
      <c r="N1055" s="116">
        <v>5295</v>
      </c>
      <c r="O1055" s="116">
        <v>5100</v>
      </c>
      <c r="P1055" s="116">
        <v>5100</v>
      </c>
      <c r="Q1055" s="116">
        <v>5271</v>
      </c>
      <c r="R1055">
        <v>59961</v>
      </c>
    </row>
    <row r="1056" spans="1:18" x14ac:dyDescent="0.25">
      <c r="A1056" s="170">
        <v>45832</v>
      </c>
      <c r="B1056" s="116">
        <v>5301.85</v>
      </c>
      <c r="C1056" s="116">
        <v>5241.25</v>
      </c>
      <c r="D1056" s="116">
        <v>5201.5</v>
      </c>
      <c r="E1056" s="116">
        <v>5287.75</v>
      </c>
      <c r="F1056" s="116">
        <v>5241.25</v>
      </c>
      <c r="G1056">
        <v>554</v>
      </c>
      <c r="H1056" s="116"/>
      <c r="I1056" s="116"/>
      <c r="L1056" s="170">
        <v>45832</v>
      </c>
      <c r="M1056" s="116">
        <v>5247</v>
      </c>
      <c r="N1056" s="116">
        <v>5319</v>
      </c>
      <c r="O1056" s="116">
        <v>5194</v>
      </c>
      <c r="P1056" s="116">
        <v>5300</v>
      </c>
      <c r="Q1056" s="116">
        <v>5247</v>
      </c>
      <c r="R1056">
        <v>27579</v>
      </c>
    </row>
    <row r="1057" spans="1:18" x14ac:dyDescent="0.25">
      <c r="A1057" s="170">
        <v>45833</v>
      </c>
      <c r="B1057" s="116">
        <v>5498.2</v>
      </c>
      <c r="C1057" s="116">
        <v>5457.3</v>
      </c>
      <c r="D1057" s="116">
        <v>5221</v>
      </c>
      <c r="E1057" s="116">
        <v>5241</v>
      </c>
      <c r="F1057" s="116">
        <v>5457.3</v>
      </c>
      <c r="G1057">
        <v>1314</v>
      </c>
      <c r="H1057" s="116"/>
      <c r="I1057" s="116"/>
      <c r="L1057" s="170">
        <v>45833</v>
      </c>
      <c r="M1057" s="116">
        <v>5465.5</v>
      </c>
      <c r="N1057" s="116">
        <v>5494.5</v>
      </c>
      <c r="O1057" s="116">
        <v>5216.5</v>
      </c>
      <c r="P1057" s="116">
        <v>5247</v>
      </c>
      <c r="Q1057" s="116">
        <v>5465.5</v>
      </c>
      <c r="R1057">
        <v>230437</v>
      </c>
    </row>
    <row r="1058" spans="1:18" x14ac:dyDescent="0.25">
      <c r="A1058" s="170">
        <v>45834</v>
      </c>
      <c r="B1058" s="116">
        <v>5576</v>
      </c>
      <c r="C1058" s="116">
        <v>5473.15</v>
      </c>
      <c r="D1058" s="116">
        <v>5431</v>
      </c>
      <c r="E1058" s="116">
        <v>5499.95</v>
      </c>
      <c r="F1058" s="116">
        <v>5473.15</v>
      </c>
      <c r="G1058">
        <v>1680</v>
      </c>
      <c r="H1058" s="116"/>
      <c r="I1058" s="116"/>
      <c r="L1058" s="170">
        <v>45834</v>
      </c>
      <c r="M1058" s="116">
        <v>5472</v>
      </c>
      <c r="N1058" s="116">
        <v>5580</v>
      </c>
      <c r="O1058" s="116">
        <v>5425</v>
      </c>
      <c r="P1058" s="116">
        <v>5468.5</v>
      </c>
      <c r="Q1058" s="116">
        <v>5472</v>
      </c>
      <c r="R1058">
        <v>50772</v>
      </c>
    </row>
    <row r="1059" spans="1:18" x14ac:dyDescent="0.25">
      <c r="A1059" s="170">
        <v>45835</v>
      </c>
      <c r="B1059" s="116">
        <v>5511</v>
      </c>
      <c r="C1059" s="116">
        <v>5490.3</v>
      </c>
      <c r="D1059" s="116">
        <v>5381.65</v>
      </c>
      <c r="E1059" s="116">
        <v>5480.05</v>
      </c>
      <c r="F1059" s="116">
        <v>5490.3</v>
      </c>
      <c r="G1059">
        <v>1197</v>
      </c>
      <c r="H1059" s="116"/>
      <c r="I1059" s="116"/>
      <c r="L1059" s="170">
        <v>45835</v>
      </c>
      <c r="M1059" s="116">
        <v>5494.5</v>
      </c>
      <c r="N1059" s="116">
        <v>5520</v>
      </c>
      <c r="O1059" s="116">
        <v>5382.5</v>
      </c>
      <c r="P1059" s="116">
        <v>5498.5</v>
      </c>
      <c r="Q1059" s="116">
        <v>5494.5</v>
      </c>
      <c r="R1059">
        <v>27099</v>
      </c>
    </row>
    <row r="1060" spans="1:18" x14ac:dyDescent="0.25">
      <c r="A1060" s="170">
        <v>45838</v>
      </c>
      <c r="B1060" s="116">
        <v>5595.9</v>
      </c>
      <c r="C1060" s="116">
        <v>5559.5</v>
      </c>
      <c r="D1060" s="116">
        <v>5484.1</v>
      </c>
      <c r="E1060" s="116">
        <v>5520</v>
      </c>
      <c r="F1060" s="116">
        <v>5559.5</v>
      </c>
      <c r="G1060">
        <v>988</v>
      </c>
      <c r="H1060" s="116"/>
      <c r="I1060" s="116"/>
      <c r="L1060" s="170">
        <v>45838</v>
      </c>
      <c r="M1060" s="116">
        <v>5570.5</v>
      </c>
      <c r="N1060" s="116">
        <v>5595.5</v>
      </c>
      <c r="O1060" s="116">
        <v>5477</v>
      </c>
      <c r="P1060" s="116">
        <v>5538.5</v>
      </c>
      <c r="Q1060" s="116">
        <v>5570.5</v>
      </c>
      <c r="R1060">
        <v>94452</v>
      </c>
    </row>
    <row r="1061" spans="1:18" x14ac:dyDescent="0.25">
      <c r="A1061" s="170">
        <v>45839</v>
      </c>
      <c r="B1061" s="116">
        <v>5813.85</v>
      </c>
      <c r="C1061" s="116">
        <v>5704.1</v>
      </c>
      <c r="D1061" s="116">
        <v>5533.4</v>
      </c>
      <c r="E1061" s="116">
        <v>5575.15</v>
      </c>
      <c r="F1061" s="116">
        <v>5704.1</v>
      </c>
      <c r="G1061">
        <v>2577</v>
      </c>
      <c r="H1061" s="116"/>
      <c r="I1061" s="116"/>
      <c r="L1061" s="170">
        <v>45839</v>
      </c>
      <c r="M1061" s="116">
        <v>5701</v>
      </c>
      <c r="N1061" s="116">
        <v>5820</v>
      </c>
      <c r="O1061" s="116">
        <v>5523</v>
      </c>
      <c r="P1061" s="116">
        <v>5597</v>
      </c>
      <c r="Q1061" s="116">
        <v>5701</v>
      </c>
      <c r="R1061">
        <v>94421</v>
      </c>
    </row>
    <row r="1062" spans="1:18" x14ac:dyDescent="0.25">
      <c r="A1062" s="170">
        <v>45840</v>
      </c>
      <c r="B1062" s="116">
        <v>5762.95</v>
      </c>
      <c r="C1062" s="116">
        <v>5750.3</v>
      </c>
      <c r="D1062" s="116">
        <v>5663.2</v>
      </c>
      <c r="E1062" s="116">
        <v>5704.1</v>
      </c>
      <c r="F1062" s="116">
        <v>5750.3</v>
      </c>
      <c r="G1062">
        <v>2556</v>
      </c>
      <c r="H1062" s="116"/>
      <c r="I1062" s="116"/>
      <c r="L1062" s="170">
        <v>45840</v>
      </c>
      <c r="M1062" s="116">
        <v>5747.5</v>
      </c>
      <c r="N1062" s="116">
        <v>5779.5</v>
      </c>
      <c r="O1062" s="116">
        <v>5660.5</v>
      </c>
      <c r="P1062" s="116">
        <v>5706.5</v>
      </c>
      <c r="Q1062" s="116">
        <v>5747.5</v>
      </c>
      <c r="R1062">
        <v>35323</v>
      </c>
    </row>
    <row r="1063" spans="1:18" x14ac:dyDescent="0.25">
      <c r="A1063" s="170">
        <v>45841</v>
      </c>
      <c r="B1063" s="116">
        <v>5797.95</v>
      </c>
      <c r="C1063" s="116">
        <v>5750.25</v>
      </c>
      <c r="D1063" s="116">
        <v>5705</v>
      </c>
      <c r="E1063" s="116">
        <v>5705</v>
      </c>
      <c r="F1063" s="116">
        <v>5750.25</v>
      </c>
      <c r="G1063">
        <v>1240</v>
      </c>
      <c r="H1063" s="116"/>
      <c r="I1063" s="116"/>
      <c r="L1063" s="170">
        <v>45841</v>
      </c>
      <c r="M1063" s="116">
        <v>5753</v>
      </c>
      <c r="N1063" s="116">
        <v>5798</v>
      </c>
      <c r="O1063" s="116">
        <v>5729.5</v>
      </c>
      <c r="P1063" s="116">
        <v>5765</v>
      </c>
      <c r="Q1063" s="116">
        <v>5753</v>
      </c>
      <c r="R1063">
        <v>12958</v>
      </c>
    </row>
    <row r="1064" spans="1:18" x14ac:dyDescent="0.25">
      <c r="A1064" s="170">
        <v>45842</v>
      </c>
      <c r="B1064" s="116">
        <v>6365.5</v>
      </c>
      <c r="C1064" s="116">
        <v>5901.7</v>
      </c>
      <c r="D1064" s="116">
        <v>5615.7</v>
      </c>
      <c r="E1064" s="116">
        <v>5615.7</v>
      </c>
      <c r="F1064" s="116">
        <v>5901.7</v>
      </c>
      <c r="G1064">
        <v>12045</v>
      </c>
      <c r="H1064" s="116"/>
      <c r="I1064" s="116"/>
      <c r="L1064" s="170">
        <v>45842</v>
      </c>
      <c r="M1064" s="116">
        <v>5903</v>
      </c>
      <c r="N1064" s="116">
        <v>6368.5</v>
      </c>
      <c r="O1064" s="116">
        <v>5730</v>
      </c>
      <c r="P1064" s="116">
        <v>5730</v>
      </c>
      <c r="Q1064" s="116">
        <v>5903</v>
      </c>
      <c r="R1064">
        <v>342426</v>
      </c>
    </row>
    <row r="1065" spans="1:18" x14ac:dyDescent="0.25">
      <c r="A1065" s="170">
        <v>45845</v>
      </c>
      <c r="B1065" s="116">
        <v>5917</v>
      </c>
      <c r="C1065" s="116">
        <v>5874.3</v>
      </c>
      <c r="D1065" s="116">
        <v>5858</v>
      </c>
      <c r="E1065" s="116">
        <v>5900</v>
      </c>
      <c r="F1065" s="116">
        <v>5874.3</v>
      </c>
      <c r="G1065">
        <v>673</v>
      </c>
      <c r="H1065" s="116"/>
      <c r="I1065" s="116"/>
      <c r="L1065" s="170">
        <v>45845</v>
      </c>
      <c r="M1065" s="116">
        <v>5876</v>
      </c>
      <c r="N1065" s="116">
        <v>5928</v>
      </c>
      <c r="O1065" s="116">
        <v>5855.5</v>
      </c>
      <c r="P1065" s="116">
        <v>5906.5</v>
      </c>
      <c r="Q1065" s="116">
        <v>5876</v>
      </c>
      <c r="R1065">
        <v>42576</v>
      </c>
    </row>
    <row r="1066" spans="1:18" x14ac:dyDescent="0.25">
      <c r="A1066" s="170">
        <v>45846</v>
      </c>
      <c r="B1066" s="116">
        <v>5916.65</v>
      </c>
      <c r="C1066" s="116">
        <v>5839</v>
      </c>
      <c r="D1066" s="116">
        <v>5791.75</v>
      </c>
      <c r="E1066" s="116">
        <v>5906.7</v>
      </c>
      <c r="F1066" s="116">
        <v>5839</v>
      </c>
      <c r="G1066">
        <v>649</v>
      </c>
      <c r="H1066" s="116"/>
      <c r="I1066" s="116"/>
      <c r="L1066" s="170">
        <v>45846</v>
      </c>
      <c r="M1066" s="116">
        <v>5843.5</v>
      </c>
      <c r="N1066" s="116">
        <v>5922.5</v>
      </c>
      <c r="O1066" s="116">
        <v>5785</v>
      </c>
      <c r="P1066" s="116">
        <v>5893</v>
      </c>
      <c r="Q1066" s="116">
        <v>5843.5</v>
      </c>
      <c r="R1066">
        <v>95542</v>
      </c>
    </row>
    <row r="1067" spans="1:18" x14ac:dyDescent="0.25">
      <c r="A1067" s="170">
        <v>45847</v>
      </c>
      <c r="B1067" s="116">
        <v>6025.8</v>
      </c>
      <c r="C1067" s="116">
        <v>5989.55</v>
      </c>
      <c r="D1067" s="116">
        <v>5840</v>
      </c>
      <c r="E1067" s="116">
        <v>5868.15</v>
      </c>
      <c r="F1067" s="116">
        <v>5989.55</v>
      </c>
      <c r="G1067">
        <v>894</v>
      </c>
      <c r="H1067" s="116"/>
      <c r="I1067" s="116"/>
      <c r="L1067" s="170">
        <v>45847</v>
      </c>
      <c r="M1067" s="116">
        <v>5989.5</v>
      </c>
      <c r="N1067" s="116">
        <v>6025.5</v>
      </c>
      <c r="O1067" s="116">
        <v>5831.5</v>
      </c>
      <c r="P1067" s="116">
        <v>5835</v>
      </c>
      <c r="Q1067" s="116">
        <v>5989.5</v>
      </c>
      <c r="R1067">
        <v>66838</v>
      </c>
    </row>
    <row r="1068" spans="1:18" x14ac:dyDescent="0.25">
      <c r="A1068" s="170">
        <v>45848</v>
      </c>
      <c r="B1068" s="116">
        <v>6067.95</v>
      </c>
      <c r="C1068" s="116">
        <v>5950.35</v>
      </c>
      <c r="D1068" s="116">
        <v>5926.1</v>
      </c>
      <c r="E1068" s="116">
        <v>5978.95</v>
      </c>
      <c r="F1068" s="116">
        <v>5950.35</v>
      </c>
      <c r="G1068">
        <v>1134</v>
      </c>
      <c r="H1068" s="116"/>
      <c r="I1068" s="116"/>
      <c r="L1068" s="170">
        <v>45848</v>
      </c>
      <c r="M1068" s="116">
        <v>5952.5</v>
      </c>
      <c r="N1068" s="116">
        <v>6067.5</v>
      </c>
      <c r="O1068" s="116">
        <v>5914</v>
      </c>
      <c r="P1068" s="116">
        <v>5980</v>
      </c>
      <c r="Q1068" s="116">
        <v>5952.5</v>
      </c>
      <c r="R1068">
        <v>17887</v>
      </c>
    </row>
    <row r="1069" spans="1:18" x14ac:dyDescent="0.25">
      <c r="A1069" s="170">
        <v>45849</v>
      </c>
      <c r="B1069" s="116">
        <v>6008.2</v>
      </c>
      <c r="C1069" s="116">
        <v>5935.15</v>
      </c>
      <c r="D1069" s="116">
        <v>5856</v>
      </c>
      <c r="E1069" s="116">
        <v>5856</v>
      </c>
      <c r="F1069" s="116">
        <v>5935.15</v>
      </c>
      <c r="G1069">
        <v>725</v>
      </c>
      <c r="H1069" s="116"/>
      <c r="I1069" s="116"/>
      <c r="L1069" s="170">
        <v>45849</v>
      </c>
      <c r="M1069" s="116">
        <v>5937</v>
      </c>
      <c r="N1069" s="116">
        <v>6021.5</v>
      </c>
      <c r="O1069" s="116">
        <v>5894</v>
      </c>
      <c r="P1069" s="116">
        <v>5940</v>
      </c>
      <c r="Q1069" s="116">
        <v>5937</v>
      </c>
      <c r="R1069">
        <v>10768</v>
      </c>
    </row>
    <row r="1070" spans="1:18" x14ac:dyDescent="0.25">
      <c r="A1070" s="170">
        <v>45852</v>
      </c>
      <c r="B1070" s="116">
        <v>5961.5</v>
      </c>
      <c r="C1070" s="116">
        <v>5948.15</v>
      </c>
      <c r="D1070" s="116">
        <v>5908.45</v>
      </c>
      <c r="E1070" s="116">
        <v>5910</v>
      </c>
      <c r="F1070" s="116">
        <v>5948.15</v>
      </c>
      <c r="G1070">
        <v>243</v>
      </c>
      <c r="H1070" s="116"/>
      <c r="I1070" s="116"/>
      <c r="L1070" s="170">
        <v>45852</v>
      </c>
      <c r="M1070" s="116">
        <v>5955</v>
      </c>
      <c r="N1070" s="116">
        <v>5973</v>
      </c>
      <c r="O1070" s="116">
        <v>5900</v>
      </c>
      <c r="P1070" s="116">
        <v>5948</v>
      </c>
      <c r="Q1070" s="116">
        <v>5955</v>
      </c>
      <c r="R1070">
        <v>7330</v>
      </c>
    </row>
    <row r="1071" spans="1:18" x14ac:dyDescent="0.25">
      <c r="A1071" s="170">
        <v>45853</v>
      </c>
      <c r="B1071" s="116">
        <v>6172.35</v>
      </c>
      <c r="C1071" s="116">
        <v>6127.8</v>
      </c>
      <c r="D1071" s="116">
        <v>6000</v>
      </c>
      <c r="E1071" s="116">
        <v>6000</v>
      </c>
      <c r="F1071" s="116">
        <v>6127.8</v>
      </c>
      <c r="G1071">
        <v>1065</v>
      </c>
      <c r="H1071" s="116"/>
      <c r="I1071" s="116"/>
      <c r="L1071" s="170">
        <v>45853</v>
      </c>
      <c r="M1071" s="116">
        <v>6129</v>
      </c>
      <c r="N1071" s="116">
        <v>6174</v>
      </c>
      <c r="O1071" s="116">
        <v>5963</v>
      </c>
      <c r="P1071" s="116">
        <v>5970</v>
      </c>
      <c r="Q1071" s="116">
        <v>6129</v>
      </c>
      <c r="R1071">
        <v>46875</v>
      </c>
    </row>
    <row r="1072" spans="1:18" x14ac:dyDescent="0.25">
      <c r="A1072" s="170">
        <v>45854</v>
      </c>
      <c r="B1072" s="116">
        <v>6212</v>
      </c>
      <c r="C1072" s="116">
        <v>6195.55</v>
      </c>
      <c r="D1072" s="116">
        <v>6050.05</v>
      </c>
      <c r="E1072" s="116">
        <v>6050.05</v>
      </c>
      <c r="F1072" s="116">
        <v>6195.55</v>
      </c>
      <c r="G1072">
        <v>614</v>
      </c>
      <c r="H1072" s="116"/>
      <c r="I1072" s="116"/>
      <c r="L1072" s="170">
        <v>45854</v>
      </c>
      <c r="M1072" s="116">
        <v>6201</v>
      </c>
      <c r="N1072" s="116">
        <v>6230</v>
      </c>
      <c r="O1072" s="116">
        <v>6100</v>
      </c>
      <c r="P1072" s="116">
        <v>6100</v>
      </c>
      <c r="Q1072" s="116">
        <v>6201</v>
      </c>
      <c r="R1072">
        <v>33371</v>
      </c>
    </row>
    <row r="1073" spans="1:18" x14ac:dyDescent="0.25">
      <c r="A1073" s="170">
        <v>45855</v>
      </c>
      <c r="B1073" s="116">
        <v>6525</v>
      </c>
      <c r="C1073" s="116">
        <v>6489.8</v>
      </c>
      <c r="D1073" s="116">
        <v>6199.95</v>
      </c>
      <c r="E1073" s="116">
        <v>6200</v>
      </c>
      <c r="F1073" s="116">
        <v>6489.8</v>
      </c>
      <c r="G1073">
        <v>4546</v>
      </c>
      <c r="H1073" s="116"/>
      <c r="I1073" s="116"/>
      <c r="L1073" s="170">
        <v>45855</v>
      </c>
      <c r="M1073" s="116">
        <v>6490.5</v>
      </c>
      <c r="N1073" s="116">
        <v>6533.5</v>
      </c>
      <c r="O1073" s="116">
        <v>6201.5</v>
      </c>
      <c r="P1073" s="116">
        <v>6250</v>
      </c>
      <c r="Q1073" s="116">
        <v>6490.5</v>
      </c>
      <c r="R1073">
        <v>195827</v>
      </c>
    </row>
    <row r="1074" spans="1:18" x14ac:dyDescent="0.25">
      <c r="A1074" s="170">
        <v>45856</v>
      </c>
      <c r="B1074" s="116">
        <v>6598.95</v>
      </c>
      <c r="C1074" s="116">
        <v>6401.2</v>
      </c>
      <c r="D1074" s="116">
        <v>6353.45</v>
      </c>
      <c r="E1074" s="116">
        <v>6598.95</v>
      </c>
      <c r="F1074" s="116">
        <v>6401.2</v>
      </c>
      <c r="G1074">
        <v>956</v>
      </c>
      <c r="H1074" s="116"/>
      <c r="I1074" s="116"/>
      <c r="L1074" s="170">
        <v>45856</v>
      </c>
      <c r="M1074" s="116">
        <v>6402.5</v>
      </c>
      <c r="N1074" s="116">
        <v>6510.5</v>
      </c>
      <c r="O1074" s="116">
        <v>6345.5</v>
      </c>
      <c r="P1074" s="116">
        <v>6500</v>
      </c>
      <c r="Q1074" s="116">
        <v>6402.5</v>
      </c>
      <c r="R1074">
        <v>64594</v>
      </c>
    </row>
    <row r="1075" spans="1:18" x14ac:dyDescent="0.25">
      <c r="A1075" s="170">
        <v>45859</v>
      </c>
      <c r="B1075" s="116">
        <v>6549.75</v>
      </c>
      <c r="C1075" s="116">
        <v>6531</v>
      </c>
      <c r="D1075" s="116">
        <v>6402.05</v>
      </c>
      <c r="E1075" s="116">
        <v>6402.05</v>
      </c>
      <c r="F1075" s="116">
        <v>6531</v>
      </c>
      <c r="G1075">
        <v>2243</v>
      </c>
      <c r="H1075" s="116"/>
      <c r="I1075" s="116"/>
      <c r="L1075" s="170">
        <v>45859</v>
      </c>
      <c r="M1075" s="116">
        <v>6532</v>
      </c>
      <c r="N1075" s="116">
        <v>6554</v>
      </c>
      <c r="O1075" s="116">
        <v>6414</v>
      </c>
      <c r="P1075" s="116">
        <v>6435</v>
      </c>
      <c r="Q1075" s="116">
        <v>6532</v>
      </c>
      <c r="R1075">
        <v>77096</v>
      </c>
    </row>
    <row r="1076" spans="1:18" x14ac:dyDescent="0.25">
      <c r="A1076" s="170">
        <v>45860</v>
      </c>
      <c r="B1076" s="116">
        <v>6683</v>
      </c>
      <c r="C1076" s="116">
        <v>6558.35</v>
      </c>
      <c r="D1076" s="116">
        <v>6518.25</v>
      </c>
      <c r="E1076" s="116">
        <v>6569.8</v>
      </c>
      <c r="F1076" s="116">
        <v>6558.35</v>
      </c>
      <c r="G1076">
        <v>1606</v>
      </c>
      <c r="H1076" s="116"/>
      <c r="I1076" s="116"/>
      <c r="L1076" s="170">
        <v>45860</v>
      </c>
      <c r="M1076" s="116">
        <v>6555.5</v>
      </c>
      <c r="N1076" s="116">
        <v>6688</v>
      </c>
      <c r="O1076" s="116">
        <v>6520.5</v>
      </c>
      <c r="P1076" s="116">
        <v>6585</v>
      </c>
      <c r="Q1076" s="116">
        <v>6555.5</v>
      </c>
      <c r="R1076">
        <v>87516</v>
      </c>
    </row>
    <row r="1077" spans="1:18" x14ac:dyDescent="0.25">
      <c r="A1077" s="170">
        <v>45861</v>
      </c>
      <c r="B1077" s="116">
        <v>6590.5</v>
      </c>
      <c r="C1077" s="116">
        <v>6415.65</v>
      </c>
      <c r="D1077" s="116">
        <v>6372.4</v>
      </c>
      <c r="E1077" s="116">
        <v>6586.35</v>
      </c>
      <c r="F1077" s="116">
        <v>6415.65</v>
      </c>
      <c r="G1077">
        <v>2122</v>
      </c>
      <c r="H1077" s="116"/>
      <c r="I1077" s="116"/>
      <c r="L1077" s="170">
        <v>45861</v>
      </c>
      <c r="M1077" s="116">
        <v>6405.5</v>
      </c>
      <c r="N1077" s="116">
        <v>6619.5</v>
      </c>
      <c r="O1077" s="116">
        <v>6370</v>
      </c>
      <c r="P1077" s="116">
        <v>6575</v>
      </c>
      <c r="Q1077" s="116">
        <v>6405.5</v>
      </c>
      <c r="R1077">
        <v>32889</v>
      </c>
    </row>
    <row r="1078" spans="1:18" x14ac:dyDescent="0.25">
      <c r="A1078" s="170">
        <v>45862</v>
      </c>
      <c r="B1078" s="116">
        <v>6442.1</v>
      </c>
      <c r="C1078" s="116">
        <v>6329.9</v>
      </c>
      <c r="D1078" s="116">
        <v>6288.5</v>
      </c>
      <c r="E1078" s="116">
        <v>6415.65</v>
      </c>
      <c r="F1078" s="116">
        <v>6329.9</v>
      </c>
      <c r="G1078">
        <v>2083</v>
      </c>
      <c r="H1078" s="116"/>
      <c r="I1078" s="116"/>
      <c r="L1078" s="170">
        <v>45862</v>
      </c>
      <c r="M1078" s="116">
        <v>6336</v>
      </c>
      <c r="N1078" s="116">
        <v>6456.5</v>
      </c>
      <c r="O1078" s="116">
        <v>6283.5</v>
      </c>
      <c r="P1078" s="116">
        <v>6406.5</v>
      </c>
      <c r="Q1078" s="116">
        <v>6336</v>
      </c>
      <c r="R1078">
        <v>21793</v>
      </c>
    </row>
    <row r="1079" spans="1:18" x14ac:dyDescent="0.25">
      <c r="A1079" s="170">
        <v>45863</v>
      </c>
      <c r="B1079" s="116">
        <v>6325</v>
      </c>
      <c r="C1079" s="116">
        <v>6273.4</v>
      </c>
      <c r="D1079" s="116">
        <v>6198.85</v>
      </c>
      <c r="E1079" s="116">
        <v>6325</v>
      </c>
      <c r="F1079" s="116">
        <v>6273.4</v>
      </c>
      <c r="G1079">
        <v>1528</v>
      </c>
      <c r="H1079" s="116"/>
      <c r="I1079" s="116"/>
      <c r="L1079" s="170">
        <v>45863</v>
      </c>
      <c r="M1079" s="116">
        <v>6276.5</v>
      </c>
      <c r="N1079" s="116">
        <v>6379</v>
      </c>
      <c r="O1079" s="116">
        <v>6190</v>
      </c>
      <c r="P1079" s="116">
        <v>6371.5</v>
      </c>
      <c r="Q1079" s="116">
        <v>6276.5</v>
      </c>
      <c r="R1079">
        <v>23018</v>
      </c>
    </row>
    <row r="1080" spans="1:18" x14ac:dyDescent="0.25">
      <c r="A1080" s="170">
        <v>45866</v>
      </c>
      <c r="B1080" s="116">
        <v>6394</v>
      </c>
      <c r="C1080" s="116">
        <v>6221.95</v>
      </c>
      <c r="D1080" s="116">
        <v>6210</v>
      </c>
      <c r="E1080" s="116">
        <v>6394</v>
      </c>
      <c r="F1080" s="116">
        <v>6221.95</v>
      </c>
      <c r="G1080">
        <v>1087</v>
      </c>
      <c r="H1080" s="116"/>
      <c r="I1080" s="116"/>
      <c r="L1080" s="170">
        <v>45866</v>
      </c>
      <c r="M1080" s="116">
        <v>6236</v>
      </c>
      <c r="N1080" s="116">
        <v>6380</v>
      </c>
      <c r="O1080" s="116">
        <v>6210.5</v>
      </c>
      <c r="P1080" s="116">
        <v>6276.5</v>
      </c>
      <c r="Q1080" s="116">
        <v>6236</v>
      </c>
      <c r="R1080">
        <v>17540</v>
      </c>
    </row>
    <row r="1081" spans="1:18" x14ac:dyDescent="0.25">
      <c r="A1081" s="170">
        <v>45867</v>
      </c>
      <c r="B1081" s="116">
        <v>6495.75</v>
      </c>
      <c r="C1081" s="116">
        <v>6454.35</v>
      </c>
      <c r="D1081" s="116">
        <v>5977.05</v>
      </c>
      <c r="E1081" s="116">
        <v>6221</v>
      </c>
      <c r="F1081" s="116">
        <v>6454.35</v>
      </c>
      <c r="G1081">
        <v>4280</v>
      </c>
      <c r="H1081" s="116"/>
      <c r="I1081" s="116"/>
      <c r="L1081" s="170">
        <v>45867</v>
      </c>
      <c r="M1081" s="116">
        <v>6448</v>
      </c>
      <c r="N1081" s="116">
        <v>6500</v>
      </c>
      <c r="O1081" s="116">
        <v>5954</v>
      </c>
      <c r="P1081" s="116">
        <v>6200.5</v>
      </c>
      <c r="Q1081" s="116">
        <v>6448</v>
      </c>
      <c r="R1081">
        <v>118747</v>
      </c>
    </row>
    <row r="1082" spans="1:18" x14ac:dyDescent="0.25">
      <c r="A1082" s="170">
        <v>45868</v>
      </c>
      <c r="B1082" s="116">
        <v>7057.65</v>
      </c>
      <c r="C1082" s="116">
        <v>6938.95</v>
      </c>
      <c r="D1082" s="116">
        <v>6460.55</v>
      </c>
      <c r="E1082" s="116">
        <v>6460.55</v>
      </c>
      <c r="F1082" s="116">
        <v>6938.95</v>
      </c>
      <c r="G1082">
        <v>19980</v>
      </c>
      <c r="H1082" s="116"/>
      <c r="I1082" s="116"/>
      <c r="L1082" s="170">
        <v>45868</v>
      </c>
      <c r="M1082" s="116">
        <v>6863.5</v>
      </c>
      <c r="N1082" s="116">
        <v>7067</v>
      </c>
      <c r="O1082" s="116">
        <v>6466</v>
      </c>
      <c r="P1082" s="116">
        <v>6494</v>
      </c>
      <c r="Q1082" s="116">
        <v>6863.5</v>
      </c>
      <c r="R1082">
        <v>509760</v>
      </c>
    </row>
    <row r="1083" spans="1:18" x14ac:dyDescent="0.25">
      <c r="A1083" s="170">
        <v>45869</v>
      </c>
      <c r="B1083" s="116">
        <v>6878</v>
      </c>
      <c r="C1083" s="116">
        <v>6709.35</v>
      </c>
      <c r="D1083" s="116">
        <v>6339</v>
      </c>
      <c r="E1083" s="116">
        <v>6339</v>
      </c>
      <c r="F1083" s="116">
        <v>6709.35</v>
      </c>
      <c r="G1083">
        <v>5579</v>
      </c>
      <c r="H1083" s="116"/>
      <c r="I1083" s="116"/>
      <c r="L1083" s="170">
        <v>45869</v>
      </c>
      <c r="M1083" s="116">
        <v>6752</v>
      </c>
      <c r="N1083" s="116">
        <v>6881</v>
      </c>
      <c r="O1083" s="116">
        <v>6606.5</v>
      </c>
      <c r="P1083" s="116">
        <v>6825</v>
      </c>
      <c r="Q1083" s="116">
        <v>6752</v>
      </c>
      <c r="R1083">
        <v>54212</v>
      </c>
    </row>
    <row r="1084" spans="1:18" x14ac:dyDescent="0.25">
      <c r="A1084" s="170">
        <v>45870</v>
      </c>
      <c r="B1084" s="116">
        <v>6814.95</v>
      </c>
      <c r="C1084" s="116">
        <v>6475.05</v>
      </c>
      <c r="D1084" s="116">
        <v>6409.35</v>
      </c>
      <c r="E1084" s="116">
        <v>6814.95</v>
      </c>
      <c r="F1084" s="116">
        <v>6475.05</v>
      </c>
      <c r="G1084">
        <v>1360</v>
      </c>
      <c r="H1084" s="116"/>
      <c r="I1084" s="116"/>
      <c r="L1084" s="170">
        <v>45870</v>
      </c>
      <c r="M1084" s="116">
        <v>6465</v>
      </c>
      <c r="N1084" s="116">
        <v>6675</v>
      </c>
      <c r="O1084" s="116">
        <v>6417</v>
      </c>
      <c r="P1084" s="116">
        <v>6674</v>
      </c>
      <c r="Q1084" s="116">
        <v>6465</v>
      </c>
      <c r="R1084">
        <v>55890</v>
      </c>
    </row>
    <row r="1085" spans="1:18" x14ac:dyDescent="0.25">
      <c r="A1085" s="170">
        <v>45873</v>
      </c>
      <c r="B1085" s="116">
        <v>6644.45</v>
      </c>
      <c r="C1085" s="116">
        <v>6617.8</v>
      </c>
      <c r="D1085" s="116">
        <v>6409.35</v>
      </c>
      <c r="E1085" s="116">
        <v>6464.65</v>
      </c>
      <c r="F1085" s="116">
        <v>6617.8</v>
      </c>
      <c r="G1085">
        <v>1640</v>
      </c>
      <c r="H1085" s="116"/>
      <c r="I1085" s="116"/>
      <c r="L1085" s="170">
        <v>45873</v>
      </c>
      <c r="M1085" s="116">
        <v>6628</v>
      </c>
      <c r="N1085" s="116">
        <v>6650</v>
      </c>
      <c r="O1085" s="116">
        <v>6405.5</v>
      </c>
      <c r="P1085" s="116">
        <v>6433</v>
      </c>
      <c r="Q1085" s="116">
        <v>6628</v>
      </c>
      <c r="R1085">
        <v>38577</v>
      </c>
    </row>
    <row r="1086" spans="1:18" x14ac:dyDescent="0.25">
      <c r="A1086" s="170">
        <v>45874</v>
      </c>
      <c r="B1086" s="116">
        <v>6629.55</v>
      </c>
      <c r="C1086" s="116">
        <v>6453.65</v>
      </c>
      <c r="D1086" s="116">
        <v>6410</v>
      </c>
      <c r="E1086" s="116">
        <v>6600.05</v>
      </c>
      <c r="F1086" s="116">
        <v>6453.65</v>
      </c>
      <c r="G1086">
        <v>868</v>
      </c>
      <c r="H1086" s="116"/>
      <c r="I1086" s="116"/>
      <c r="L1086" s="170">
        <v>45874</v>
      </c>
      <c r="M1086" s="116">
        <v>6457.5</v>
      </c>
      <c r="N1086" s="116">
        <v>6687</v>
      </c>
      <c r="O1086" s="116">
        <v>6401</v>
      </c>
      <c r="P1086" s="116">
        <v>6649</v>
      </c>
      <c r="Q1086" s="116">
        <v>6457.5</v>
      </c>
      <c r="R1086">
        <v>36047</v>
      </c>
    </row>
    <row r="1087" spans="1:18" x14ac:dyDescent="0.25">
      <c r="A1087" s="170">
        <v>45875</v>
      </c>
      <c r="B1087" s="116">
        <v>6680</v>
      </c>
      <c r="C1087" s="116">
        <v>6354</v>
      </c>
      <c r="D1087" s="116">
        <v>6258.3</v>
      </c>
      <c r="E1087" s="116">
        <v>6582.75</v>
      </c>
      <c r="F1087" s="116">
        <v>6354</v>
      </c>
      <c r="G1087">
        <v>1231</v>
      </c>
      <c r="H1087" s="116"/>
      <c r="I1087" s="116"/>
      <c r="L1087" s="170">
        <v>45875</v>
      </c>
      <c r="M1087" s="116">
        <v>6347.5</v>
      </c>
      <c r="N1087" s="116">
        <v>6506.5</v>
      </c>
      <c r="O1087" s="116">
        <v>6255</v>
      </c>
      <c r="P1087" s="116">
        <v>6471</v>
      </c>
      <c r="Q1087" s="116">
        <v>6347.5</v>
      </c>
      <c r="R1087">
        <v>36006</v>
      </c>
    </row>
    <row r="1088" spans="1:18" x14ac:dyDescent="0.25">
      <c r="A1088" s="170">
        <v>45876</v>
      </c>
      <c r="B1088" s="116">
        <v>6460</v>
      </c>
      <c r="C1088" s="116">
        <v>6393.95</v>
      </c>
      <c r="D1088" s="116">
        <v>6297.1</v>
      </c>
      <c r="E1088" s="116">
        <v>6297.1</v>
      </c>
      <c r="F1088" s="116">
        <v>6393.95</v>
      </c>
      <c r="G1088">
        <v>1712</v>
      </c>
      <c r="H1088" s="116"/>
      <c r="I1088" s="116"/>
      <c r="L1088" s="170">
        <v>45876</v>
      </c>
      <c r="M1088" s="116">
        <v>6399</v>
      </c>
      <c r="N1088" s="116">
        <v>6440</v>
      </c>
      <c r="O1088" s="116">
        <v>6277.5</v>
      </c>
      <c r="P1088" s="116">
        <v>6300</v>
      </c>
      <c r="Q1088" s="116">
        <v>6399</v>
      </c>
      <c r="R1088">
        <v>24727</v>
      </c>
    </row>
    <row r="1089" spans="1:18" x14ac:dyDescent="0.25">
      <c r="A1089" s="170">
        <v>45877</v>
      </c>
      <c r="B1089" s="116">
        <v>6580</v>
      </c>
      <c r="C1089" s="116">
        <v>6524.3</v>
      </c>
      <c r="D1089" s="116">
        <v>6385.75</v>
      </c>
      <c r="E1089" s="116">
        <v>6429.2</v>
      </c>
      <c r="F1089" s="116">
        <v>6524.3</v>
      </c>
      <c r="G1089">
        <v>785</v>
      </c>
      <c r="H1089" s="116"/>
      <c r="I1089" s="116"/>
      <c r="L1089" s="170">
        <v>45877</v>
      </c>
      <c r="M1089" s="116">
        <v>6520</v>
      </c>
      <c r="N1089" s="116">
        <v>6598</v>
      </c>
      <c r="O1089" s="116">
        <v>6380.5</v>
      </c>
      <c r="P1089" s="116">
        <v>6460.5</v>
      </c>
      <c r="Q1089" s="116">
        <v>6520</v>
      </c>
      <c r="R1089">
        <v>22558</v>
      </c>
    </row>
    <row r="1090" spans="1:18" x14ac:dyDescent="0.25">
      <c r="A1090" s="170">
        <v>45880</v>
      </c>
      <c r="B1090" s="116">
        <v>7015.1</v>
      </c>
      <c r="C1090" s="116">
        <v>6815.65</v>
      </c>
      <c r="D1090" s="116">
        <v>6510.5</v>
      </c>
      <c r="E1090" s="116">
        <v>6565</v>
      </c>
      <c r="F1090" s="116">
        <v>6815.65</v>
      </c>
      <c r="G1090">
        <v>5178</v>
      </c>
      <c r="H1090" s="116"/>
      <c r="I1090" s="116"/>
      <c r="L1090" s="170">
        <v>45880</v>
      </c>
      <c r="M1090" s="116">
        <v>6859</v>
      </c>
      <c r="N1090" s="116">
        <v>7020</v>
      </c>
      <c r="O1090" s="116">
        <v>6505</v>
      </c>
      <c r="P1090" s="116">
        <v>6611</v>
      </c>
      <c r="Q1090" s="116">
        <v>6859</v>
      </c>
      <c r="R1090">
        <v>95962</v>
      </c>
    </row>
    <row r="1091" spans="1:18" x14ac:dyDescent="0.25">
      <c r="A1091" s="170">
        <v>45881</v>
      </c>
      <c r="B1091" s="116">
        <v>6932.7</v>
      </c>
      <c r="C1091" s="116">
        <v>6882.75</v>
      </c>
      <c r="D1091" s="116">
        <v>6765.05</v>
      </c>
      <c r="E1091" s="116">
        <v>6831.2</v>
      </c>
      <c r="F1091" s="116">
        <v>6882.75</v>
      </c>
      <c r="G1091">
        <v>1269</v>
      </c>
      <c r="H1091" s="116"/>
      <c r="I1091" s="116"/>
      <c r="L1091" s="170">
        <v>45881</v>
      </c>
      <c r="M1091" s="116">
        <v>6881</v>
      </c>
      <c r="N1091" s="116">
        <v>6950</v>
      </c>
      <c r="O1091" s="116">
        <v>6750.5</v>
      </c>
      <c r="P1091" s="116">
        <v>6910</v>
      </c>
      <c r="Q1091" s="116">
        <v>6881</v>
      </c>
      <c r="R1091">
        <v>60841</v>
      </c>
    </row>
    <row r="1092" spans="1:18" x14ac:dyDescent="0.25">
      <c r="A1092" s="170">
        <v>45882</v>
      </c>
      <c r="B1092" s="116">
        <v>7069.95</v>
      </c>
      <c r="C1092" s="116">
        <v>7014.1</v>
      </c>
      <c r="D1092" s="116">
        <v>6879.65</v>
      </c>
      <c r="E1092" s="116">
        <v>7069.95</v>
      </c>
      <c r="F1092" s="116">
        <v>7014.1</v>
      </c>
      <c r="G1092">
        <v>2223</v>
      </c>
      <c r="H1092" s="116"/>
      <c r="I1092" s="116"/>
      <c r="L1092" s="170">
        <v>45882</v>
      </c>
      <c r="M1092" s="116">
        <v>7013.5</v>
      </c>
      <c r="N1092" s="116">
        <v>7066</v>
      </c>
      <c r="O1092" s="116">
        <v>6881</v>
      </c>
      <c r="P1092" s="116">
        <v>6912</v>
      </c>
      <c r="Q1092" s="116">
        <v>7013.5</v>
      </c>
      <c r="R1092">
        <v>32866</v>
      </c>
    </row>
    <row r="1093" spans="1:18" x14ac:dyDescent="0.25">
      <c r="A1093" s="170">
        <v>45883</v>
      </c>
      <c r="B1093" s="116">
        <v>7239.8</v>
      </c>
      <c r="C1093" s="116">
        <v>7094.6</v>
      </c>
      <c r="D1093" s="116">
        <v>6932.05</v>
      </c>
      <c r="E1093" s="116">
        <v>7000</v>
      </c>
      <c r="F1093" s="116">
        <v>7094.6</v>
      </c>
      <c r="G1093">
        <v>2962</v>
      </c>
      <c r="H1093" s="116"/>
      <c r="I1093" s="116"/>
      <c r="L1093" s="170">
        <v>45883</v>
      </c>
      <c r="M1093" s="116">
        <v>7093</v>
      </c>
      <c r="N1093" s="116">
        <v>7248.5</v>
      </c>
      <c r="O1093" s="116">
        <v>6890</v>
      </c>
      <c r="P1093" s="116">
        <v>6995.5</v>
      </c>
      <c r="Q1093" s="116">
        <v>7093</v>
      </c>
      <c r="R1093">
        <v>45640</v>
      </c>
    </row>
    <row r="1094" spans="1:18" x14ac:dyDescent="0.25">
      <c r="A1094" s="170">
        <v>45887</v>
      </c>
      <c r="B1094" s="116">
        <v>7289.95</v>
      </c>
      <c r="C1094" s="116">
        <v>6876.4</v>
      </c>
      <c r="D1094" s="116">
        <v>6719</v>
      </c>
      <c r="E1094" s="116">
        <v>7289.95</v>
      </c>
      <c r="F1094" s="116">
        <v>6876.4</v>
      </c>
      <c r="G1094">
        <v>25643</v>
      </c>
      <c r="H1094" s="116"/>
      <c r="I1094" s="116"/>
      <c r="L1094" s="170">
        <v>45887</v>
      </c>
      <c r="M1094" s="116">
        <v>6882.5</v>
      </c>
      <c r="N1094" s="116">
        <v>7123</v>
      </c>
      <c r="O1094" s="116">
        <v>6710.5</v>
      </c>
      <c r="P1094" s="116">
        <v>7123</v>
      </c>
      <c r="Q1094" s="116">
        <v>6882.5</v>
      </c>
      <c r="R1094">
        <v>54888</v>
      </c>
    </row>
    <row r="1095" spans="1:18" x14ac:dyDescent="0.25">
      <c r="A1095" s="170">
        <v>45888</v>
      </c>
      <c r="B1095" s="116">
        <v>6968.8</v>
      </c>
      <c r="C1095" s="116">
        <v>6884.05</v>
      </c>
      <c r="D1095" s="116">
        <v>6800</v>
      </c>
      <c r="E1095" s="116">
        <v>6910.25</v>
      </c>
      <c r="F1095" s="116">
        <v>6884.05</v>
      </c>
      <c r="G1095">
        <v>1686</v>
      </c>
      <c r="H1095" s="116"/>
      <c r="I1095" s="116"/>
      <c r="L1095" s="170">
        <v>45888</v>
      </c>
      <c r="M1095" s="116">
        <v>6876</v>
      </c>
      <c r="N1095" s="116">
        <v>6971.5</v>
      </c>
      <c r="O1095" s="116">
        <v>6793.5</v>
      </c>
      <c r="P1095" s="116">
        <v>6917</v>
      </c>
      <c r="Q1095" s="116">
        <v>6876</v>
      </c>
      <c r="R1095">
        <v>86965</v>
      </c>
    </row>
    <row r="1096" spans="1:18" x14ac:dyDescent="0.25">
      <c r="A1096" s="170">
        <v>45889</v>
      </c>
      <c r="B1096" s="116">
        <v>6917.15</v>
      </c>
      <c r="C1096" s="116">
        <v>6885.6</v>
      </c>
      <c r="D1096" s="116">
        <v>6783.5</v>
      </c>
      <c r="E1096" s="116">
        <v>6815.3</v>
      </c>
      <c r="F1096" s="116">
        <v>6885.6</v>
      </c>
      <c r="G1096">
        <v>1526</v>
      </c>
      <c r="H1096" s="116"/>
      <c r="I1096" s="116"/>
      <c r="L1096" s="170">
        <v>45889</v>
      </c>
      <c r="M1096" s="116">
        <v>6892</v>
      </c>
      <c r="N1096" s="116">
        <v>6944.5</v>
      </c>
      <c r="O1096" s="116">
        <v>6780.5</v>
      </c>
      <c r="P1096" s="116">
        <v>6857</v>
      </c>
      <c r="Q1096" s="116">
        <v>6892</v>
      </c>
      <c r="R1096">
        <v>19561</v>
      </c>
    </row>
    <row r="1097" spans="1:18" x14ac:dyDescent="0.25">
      <c r="A1097" s="170">
        <v>45890</v>
      </c>
      <c r="B1097" s="116">
        <v>6977.95</v>
      </c>
      <c r="C1097" s="116">
        <v>6890.75</v>
      </c>
      <c r="D1097" s="116">
        <v>6800</v>
      </c>
      <c r="E1097" s="116">
        <v>6977.95</v>
      </c>
      <c r="F1097" s="116">
        <v>6890.75</v>
      </c>
      <c r="G1097">
        <v>549</v>
      </c>
      <c r="H1097" s="116"/>
      <c r="I1097" s="116"/>
      <c r="L1097" s="170">
        <v>45890</v>
      </c>
      <c r="M1097" s="116">
        <v>6898.5</v>
      </c>
      <c r="N1097" s="116">
        <v>6905</v>
      </c>
      <c r="O1097" s="116">
        <v>6784</v>
      </c>
      <c r="P1097" s="116">
        <v>6892</v>
      </c>
      <c r="Q1097" s="116">
        <v>6898.5</v>
      </c>
      <c r="R1097">
        <v>18209</v>
      </c>
    </row>
    <row r="1098" spans="1:18" x14ac:dyDescent="0.25">
      <c r="A1098" s="170">
        <v>45891</v>
      </c>
      <c r="B1098" s="116">
        <v>6918.95</v>
      </c>
      <c r="C1098" s="116">
        <v>6810.6</v>
      </c>
      <c r="D1098" s="116">
        <v>6793.6</v>
      </c>
      <c r="E1098" s="116">
        <v>6895.4</v>
      </c>
      <c r="F1098" s="116">
        <v>6810.6</v>
      </c>
      <c r="G1098">
        <v>346</v>
      </c>
      <c r="H1098" s="116"/>
      <c r="I1098" s="116"/>
      <c r="L1098" s="170">
        <v>45891</v>
      </c>
      <c r="M1098" s="116">
        <v>6823</v>
      </c>
      <c r="N1098" s="116">
        <v>6938</v>
      </c>
      <c r="O1098" s="116">
        <v>6800</v>
      </c>
      <c r="P1098" s="116">
        <v>6938</v>
      </c>
      <c r="Q1098" s="116">
        <v>6823</v>
      </c>
      <c r="R1098">
        <v>11136</v>
      </c>
    </row>
    <row r="1099" spans="1:18" x14ac:dyDescent="0.25">
      <c r="A1099" s="170">
        <v>45894</v>
      </c>
      <c r="B1099" s="116">
        <v>6894.15</v>
      </c>
      <c r="C1099" s="116">
        <v>6836.35</v>
      </c>
      <c r="D1099" s="116">
        <v>6796.8</v>
      </c>
      <c r="E1099" s="116">
        <v>6861.5</v>
      </c>
      <c r="F1099" s="116">
        <v>6836.35</v>
      </c>
      <c r="G1099">
        <v>279</v>
      </c>
      <c r="H1099" s="116"/>
      <c r="I1099" s="116"/>
      <c r="L1099" s="170">
        <v>45894</v>
      </c>
      <c r="M1099" s="116">
        <v>6839</v>
      </c>
      <c r="N1099" s="116">
        <v>6900</v>
      </c>
      <c r="O1099" s="116">
        <v>6803.5</v>
      </c>
      <c r="P1099" s="116">
        <v>6825</v>
      </c>
      <c r="Q1099" s="116">
        <v>6839</v>
      </c>
      <c r="R1099">
        <v>10168</v>
      </c>
    </row>
    <row r="1100" spans="1:18" x14ac:dyDescent="0.25">
      <c r="A1100" s="170">
        <v>45895</v>
      </c>
      <c r="B1100" s="116">
        <v>7262.5</v>
      </c>
      <c r="C1100" s="116">
        <v>7130.2</v>
      </c>
      <c r="D1100" s="116">
        <v>6759.7</v>
      </c>
      <c r="E1100" s="116">
        <v>6932.75</v>
      </c>
      <c r="F1100" s="116">
        <v>7130.2</v>
      </c>
      <c r="G1100">
        <v>2142</v>
      </c>
      <c r="H1100" s="116"/>
      <c r="I1100" s="116"/>
      <c r="L1100" s="170">
        <v>45895</v>
      </c>
      <c r="M1100" s="116">
        <v>7158</v>
      </c>
      <c r="N1100" s="116">
        <v>7254.5</v>
      </c>
      <c r="O1100" s="116">
        <v>6755</v>
      </c>
      <c r="P1100" s="116">
        <v>6839</v>
      </c>
      <c r="Q1100" s="116">
        <v>7158</v>
      </c>
      <c r="R1100">
        <v>193047</v>
      </c>
    </row>
    <row r="1101" spans="1:18" x14ac:dyDescent="0.25">
      <c r="A1101" s="170">
        <v>45897</v>
      </c>
      <c r="B1101" s="116">
        <v>7100</v>
      </c>
      <c r="C1101" s="116">
        <v>6974</v>
      </c>
      <c r="D1101" s="116">
        <v>6860</v>
      </c>
      <c r="E1101" s="116">
        <v>7070.35</v>
      </c>
      <c r="F1101" s="116">
        <v>6974</v>
      </c>
      <c r="G1101">
        <v>1971</v>
      </c>
      <c r="H1101" s="116"/>
      <c r="I1101" s="116"/>
      <c r="L1101" s="170">
        <v>45897</v>
      </c>
      <c r="M1101" s="116">
        <v>6966.5</v>
      </c>
      <c r="N1101" s="116">
        <v>7106</v>
      </c>
      <c r="O1101" s="116">
        <v>6890.5</v>
      </c>
      <c r="P1101" s="116">
        <v>7100</v>
      </c>
      <c r="Q1101" s="116">
        <v>6966.5</v>
      </c>
      <c r="R1101">
        <v>45338</v>
      </c>
    </row>
    <row r="1102" spans="1:18" x14ac:dyDescent="0.25">
      <c r="A1102" s="170">
        <v>45898</v>
      </c>
      <c r="B1102" s="116">
        <v>6972.95</v>
      </c>
      <c r="C1102" s="116">
        <v>6891.6</v>
      </c>
      <c r="D1102" s="116">
        <v>6861</v>
      </c>
      <c r="E1102" s="116">
        <v>6972.95</v>
      </c>
      <c r="F1102" s="116">
        <v>6891.6</v>
      </c>
      <c r="G1102">
        <v>1221</v>
      </c>
      <c r="H1102" s="116"/>
      <c r="I1102" s="116"/>
      <c r="L1102" s="170">
        <v>45898</v>
      </c>
      <c r="M1102" s="116">
        <v>6912.5</v>
      </c>
      <c r="N1102" s="116">
        <v>6956</v>
      </c>
      <c r="O1102" s="116">
        <v>6860</v>
      </c>
      <c r="P1102" s="116">
        <v>6942.5</v>
      </c>
      <c r="Q1102" s="116">
        <v>6912.5</v>
      </c>
      <c r="R1102">
        <v>30750</v>
      </c>
    </row>
    <row r="1103" spans="1:18" x14ac:dyDescent="0.25">
      <c r="A1103" s="170">
        <v>45901</v>
      </c>
      <c r="B1103" s="116">
        <v>7324.95</v>
      </c>
      <c r="C1103" s="116">
        <v>7150.7</v>
      </c>
      <c r="D1103" s="116">
        <v>6850</v>
      </c>
      <c r="E1103" s="116">
        <v>7324.95</v>
      </c>
      <c r="F1103" s="116">
        <v>7150.7</v>
      </c>
      <c r="G1103">
        <v>1374</v>
      </c>
      <c r="H1103" s="116"/>
      <c r="I1103" s="116"/>
      <c r="L1103" s="170">
        <v>45901</v>
      </c>
      <c r="M1103" s="116">
        <v>7159.5</v>
      </c>
      <c r="N1103" s="116">
        <v>7200</v>
      </c>
      <c r="O1103" s="116">
        <v>6852.5</v>
      </c>
      <c r="P1103" s="116">
        <v>6955</v>
      </c>
      <c r="Q1103" s="116">
        <v>7159.5</v>
      </c>
      <c r="R1103">
        <v>25319</v>
      </c>
    </row>
    <row r="1104" spans="1:18" x14ac:dyDescent="0.25">
      <c r="A1104" s="170">
        <v>45902</v>
      </c>
      <c r="B1104" s="116">
        <v>7150.7</v>
      </c>
      <c r="C1104" s="116">
        <v>6955.55</v>
      </c>
      <c r="D1104" s="116">
        <v>6908.55</v>
      </c>
      <c r="E1104" s="116">
        <v>7140</v>
      </c>
      <c r="F1104" s="116">
        <v>6955.55</v>
      </c>
      <c r="G1104">
        <v>1760</v>
      </c>
      <c r="H1104" s="116"/>
      <c r="I1104" s="116"/>
      <c r="L1104" s="170">
        <v>45902</v>
      </c>
      <c r="M1104" s="116">
        <v>6967</v>
      </c>
      <c r="N1104" s="116">
        <v>7195.5</v>
      </c>
      <c r="O1104" s="116">
        <v>6915</v>
      </c>
      <c r="P1104" s="116">
        <v>7195.5</v>
      </c>
      <c r="Q1104" s="116">
        <v>6967</v>
      </c>
      <c r="R1104">
        <v>39185</v>
      </c>
    </row>
    <row r="1105" spans="1:18" x14ac:dyDescent="0.25">
      <c r="A1105" s="170">
        <v>45903</v>
      </c>
      <c r="B1105" s="116">
        <v>6990.35</v>
      </c>
      <c r="C1105" s="116">
        <v>6914.2</v>
      </c>
      <c r="D1105" s="116">
        <v>6851.5</v>
      </c>
      <c r="E1105" s="116">
        <v>6990.35</v>
      </c>
      <c r="F1105" s="116">
        <v>6914.2</v>
      </c>
      <c r="G1105">
        <v>1253</v>
      </c>
      <c r="H1105" s="116"/>
      <c r="I1105" s="116"/>
      <c r="L1105" s="170">
        <v>45903</v>
      </c>
      <c r="M1105" s="116">
        <v>6897.5</v>
      </c>
      <c r="N1105" s="116">
        <v>6960</v>
      </c>
      <c r="O1105" s="116">
        <v>6850</v>
      </c>
      <c r="P1105" s="116">
        <v>6960</v>
      </c>
      <c r="Q1105" s="116">
        <v>6897.5</v>
      </c>
      <c r="R1105">
        <v>21594</v>
      </c>
    </row>
    <row r="1106" spans="1:18" x14ac:dyDescent="0.25">
      <c r="A1106" s="170">
        <v>45904</v>
      </c>
      <c r="B1106" s="116">
        <v>7139.95</v>
      </c>
      <c r="C1106" s="116">
        <v>6824.5</v>
      </c>
      <c r="D1106" s="116">
        <v>6800</v>
      </c>
      <c r="E1106" s="116">
        <v>7139.95</v>
      </c>
      <c r="F1106" s="116">
        <v>6824.5</v>
      </c>
      <c r="G1106">
        <v>864</v>
      </c>
      <c r="H1106" s="116"/>
      <c r="I1106" s="116"/>
      <c r="L1106" s="170">
        <v>45904</v>
      </c>
      <c r="M1106" s="116">
        <v>6835.5</v>
      </c>
      <c r="N1106" s="116">
        <v>7090</v>
      </c>
      <c r="O1106" s="116">
        <v>6790</v>
      </c>
      <c r="P1106" s="116">
        <v>7090</v>
      </c>
      <c r="Q1106" s="116">
        <v>6835.5</v>
      </c>
      <c r="R1106">
        <v>18622</v>
      </c>
    </row>
    <row r="1107" spans="1:18" x14ac:dyDescent="0.25">
      <c r="A1107" s="170">
        <v>45905</v>
      </c>
      <c r="B1107" s="116">
        <v>6921.2</v>
      </c>
      <c r="C1107" s="116">
        <v>6875.55</v>
      </c>
      <c r="D1107" s="116">
        <v>6770</v>
      </c>
      <c r="E1107" s="116">
        <v>6824.55</v>
      </c>
      <c r="F1107" s="116">
        <v>6875.55</v>
      </c>
      <c r="G1107">
        <v>979</v>
      </c>
      <c r="H1107" s="116"/>
      <c r="I1107" s="116"/>
      <c r="L1107" s="170">
        <v>45905</v>
      </c>
      <c r="M1107" s="116">
        <v>6894</v>
      </c>
      <c r="N1107" s="116">
        <v>6934</v>
      </c>
      <c r="O1107" s="116">
        <v>6766.5</v>
      </c>
      <c r="P1107" s="116">
        <v>6847</v>
      </c>
      <c r="Q1107" s="116">
        <v>6894</v>
      </c>
      <c r="R1107">
        <v>17983</v>
      </c>
    </row>
    <row r="1108" spans="1:18" x14ac:dyDescent="0.25">
      <c r="A1108" s="170">
        <v>45908</v>
      </c>
      <c r="B1108" s="116">
        <v>6925.45</v>
      </c>
      <c r="C1108" s="116">
        <v>6839.3</v>
      </c>
      <c r="D1108" s="116">
        <v>6815.8</v>
      </c>
      <c r="E1108" s="116">
        <v>6894</v>
      </c>
      <c r="F1108" s="116">
        <v>6839.3</v>
      </c>
      <c r="G1108">
        <v>1097</v>
      </c>
      <c r="H1108" s="116"/>
      <c r="I1108" s="116"/>
      <c r="L1108" s="170">
        <v>45908</v>
      </c>
      <c r="M1108" s="116">
        <v>6837</v>
      </c>
      <c r="N1108" s="116">
        <v>6930</v>
      </c>
      <c r="O1108" s="116">
        <v>6810.5</v>
      </c>
      <c r="P1108" s="116">
        <v>6892</v>
      </c>
      <c r="Q1108" s="116">
        <v>6837</v>
      </c>
      <c r="R1108">
        <v>15166</v>
      </c>
    </row>
    <row r="1109" spans="1:18" x14ac:dyDescent="0.25">
      <c r="A1109" s="170">
        <v>45909</v>
      </c>
      <c r="B1109" s="116">
        <v>6892.95</v>
      </c>
      <c r="C1109" s="116">
        <v>6773.7</v>
      </c>
      <c r="D1109" s="116">
        <v>6751.5</v>
      </c>
      <c r="E1109" s="116">
        <v>6839.3</v>
      </c>
      <c r="F1109" s="116">
        <v>6773.7</v>
      </c>
      <c r="G1109">
        <v>1236</v>
      </c>
      <c r="H1109" s="116"/>
      <c r="I1109" s="116"/>
      <c r="L1109" s="170">
        <v>45909</v>
      </c>
      <c r="M1109" s="116">
        <v>6773.5</v>
      </c>
      <c r="N1109" s="116">
        <v>6880</v>
      </c>
      <c r="O1109" s="116">
        <v>6750</v>
      </c>
      <c r="P1109" s="116">
        <v>6859.5</v>
      </c>
      <c r="Q1109" s="116">
        <v>6773.5</v>
      </c>
      <c r="R1109">
        <v>7024</v>
      </c>
    </row>
    <row r="1110" spans="1:18" x14ac:dyDescent="0.25">
      <c r="A1110" s="170">
        <v>45910</v>
      </c>
      <c r="B1110" s="116">
        <v>6869.45</v>
      </c>
      <c r="C1110" s="116">
        <v>6647.6</v>
      </c>
      <c r="D1110" s="116">
        <v>6601.8</v>
      </c>
      <c r="E1110" s="116">
        <v>6773</v>
      </c>
      <c r="F1110" s="116">
        <v>6647.6</v>
      </c>
      <c r="G1110">
        <v>1568</v>
      </c>
      <c r="H1110" s="116"/>
      <c r="I1110" s="116"/>
      <c r="L1110" s="170">
        <v>45910</v>
      </c>
      <c r="M1110" s="116">
        <v>6657.5</v>
      </c>
      <c r="N1110" s="116">
        <v>6866</v>
      </c>
      <c r="O1110" s="116">
        <v>6556</v>
      </c>
      <c r="P1110" s="116">
        <v>6800.5</v>
      </c>
      <c r="Q1110" s="116">
        <v>6657.5</v>
      </c>
      <c r="R1110">
        <v>24790</v>
      </c>
    </row>
    <row r="1111" spans="1:18" x14ac:dyDescent="0.25">
      <c r="A1111" s="170">
        <v>45911</v>
      </c>
      <c r="B1111" s="116">
        <v>6865.55</v>
      </c>
      <c r="C1111" s="116">
        <v>6784.55</v>
      </c>
      <c r="D1111" s="116">
        <v>6649.1</v>
      </c>
      <c r="E1111" s="116">
        <v>6859.95</v>
      </c>
      <c r="F1111" s="116">
        <v>6784.55</v>
      </c>
      <c r="G1111">
        <v>889</v>
      </c>
      <c r="H1111" s="116"/>
      <c r="I1111" s="116"/>
      <c r="L1111" s="170">
        <v>45911</v>
      </c>
      <c r="M1111" s="116">
        <v>6777.5</v>
      </c>
      <c r="N1111" s="116">
        <v>6865</v>
      </c>
      <c r="O1111" s="116">
        <v>6657.5</v>
      </c>
      <c r="P1111" s="116">
        <v>6657.5</v>
      </c>
      <c r="Q1111" s="116">
        <v>6777.5</v>
      </c>
      <c r="R1111">
        <v>19456</v>
      </c>
    </row>
    <row r="1112" spans="1:18" x14ac:dyDescent="0.25">
      <c r="A1112" s="170">
        <v>45912</v>
      </c>
      <c r="B1112" s="116">
        <v>6820</v>
      </c>
      <c r="C1112" s="116">
        <v>6696.75</v>
      </c>
      <c r="D1112" s="116">
        <v>6680.3</v>
      </c>
      <c r="E1112" s="116">
        <v>6772.8</v>
      </c>
      <c r="F1112" s="116">
        <v>6696.75</v>
      </c>
      <c r="G1112">
        <v>910</v>
      </c>
      <c r="H1112" s="116"/>
      <c r="I1112" s="116"/>
      <c r="L1112" s="170">
        <v>45912</v>
      </c>
      <c r="M1112" s="116">
        <v>6693.5</v>
      </c>
      <c r="N1112" s="116">
        <v>6825</v>
      </c>
      <c r="O1112" s="116">
        <v>6675.5</v>
      </c>
      <c r="P1112" s="116">
        <v>6825</v>
      </c>
      <c r="Q1112" s="116">
        <v>6693.5</v>
      </c>
      <c r="R1112">
        <v>9297</v>
      </c>
    </row>
    <row r="1113" spans="1:18" x14ac:dyDescent="0.25">
      <c r="A1113" s="170">
        <v>45915</v>
      </c>
      <c r="B1113" s="116">
        <v>6655.6</v>
      </c>
      <c r="C1113" s="116">
        <v>6589.3</v>
      </c>
      <c r="D1113" s="116">
        <v>6525.2</v>
      </c>
      <c r="E1113" s="116">
        <v>6655.55</v>
      </c>
      <c r="F1113" s="116">
        <v>6589.3</v>
      </c>
      <c r="G1113">
        <v>2046</v>
      </c>
      <c r="H1113" s="116"/>
      <c r="I1113" s="116"/>
      <c r="L1113" s="170">
        <v>45915</v>
      </c>
      <c r="M1113" s="116">
        <v>6590</v>
      </c>
      <c r="N1113" s="116">
        <v>6688</v>
      </c>
      <c r="O1113" s="116">
        <v>6525.5</v>
      </c>
      <c r="P1113" s="116">
        <v>6688</v>
      </c>
      <c r="Q1113" s="116">
        <v>6590</v>
      </c>
      <c r="R1113">
        <v>53848</v>
      </c>
    </row>
    <row r="1114" spans="1:18" x14ac:dyDescent="0.25">
      <c r="A1114" s="170">
        <v>45916</v>
      </c>
      <c r="B1114" s="116">
        <v>6760</v>
      </c>
      <c r="C1114" s="116">
        <v>6742.75</v>
      </c>
      <c r="D1114" s="116">
        <v>6604.3</v>
      </c>
      <c r="E1114" s="116">
        <v>6605.35</v>
      </c>
      <c r="F1114" s="116">
        <v>6742.75</v>
      </c>
      <c r="G1114">
        <v>858</v>
      </c>
      <c r="H1114" s="116"/>
      <c r="I1114" s="116"/>
      <c r="L1114" s="170">
        <v>45916</v>
      </c>
      <c r="M1114" s="116">
        <v>6748.5</v>
      </c>
      <c r="N1114" s="116">
        <v>6765</v>
      </c>
      <c r="O1114" s="116">
        <v>6590</v>
      </c>
      <c r="P1114" s="116">
        <v>6590</v>
      </c>
      <c r="Q1114" s="116">
        <v>6748.5</v>
      </c>
      <c r="R1114">
        <v>17260</v>
      </c>
    </row>
    <row r="1115" spans="1:18" x14ac:dyDescent="0.25">
      <c r="A1115" s="170">
        <v>45917</v>
      </c>
      <c r="B1115" s="116">
        <v>6877.95</v>
      </c>
      <c r="C1115" s="116">
        <v>6808.65</v>
      </c>
      <c r="D1115" s="116">
        <v>6768.25</v>
      </c>
      <c r="E1115" s="116">
        <v>6826.8</v>
      </c>
      <c r="F1115" s="116">
        <v>6808.65</v>
      </c>
      <c r="G1115">
        <v>377</v>
      </c>
      <c r="H1115" s="116"/>
      <c r="I1115" s="116"/>
      <c r="L1115" s="170">
        <v>45917</v>
      </c>
      <c r="M1115" s="116">
        <v>6801.5</v>
      </c>
      <c r="N1115" s="116">
        <v>6900</v>
      </c>
      <c r="O1115" s="116">
        <v>6752</v>
      </c>
      <c r="P1115" s="116">
        <v>6769.5</v>
      </c>
      <c r="Q1115" s="116">
        <v>6801.5</v>
      </c>
      <c r="R1115">
        <v>26672</v>
      </c>
    </row>
    <row r="1116" spans="1:18" x14ac:dyDescent="0.25">
      <c r="A1116" s="170">
        <v>45918</v>
      </c>
      <c r="B1116" s="116">
        <v>6807.15</v>
      </c>
      <c r="C1116" s="116">
        <v>6764</v>
      </c>
      <c r="D1116" s="116">
        <v>6749.95</v>
      </c>
      <c r="E1116" s="116">
        <v>6776.1</v>
      </c>
      <c r="F1116" s="116">
        <v>6764</v>
      </c>
      <c r="G1116">
        <v>651</v>
      </c>
      <c r="H1116" s="116"/>
      <c r="I1116" s="116"/>
      <c r="L1116" s="170">
        <v>45918</v>
      </c>
      <c r="M1116" s="116">
        <v>6772.5</v>
      </c>
      <c r="N1116" s="116">
        <v>6825</v>
      </c>
      <c r="O1116" s="116">
        <v>6751.5</v>
      </c>
      <c r="P1116" s="116">
        <v>6825</v>
      </c>
      <c r="Q1116" s="116">
        <v>6772.5</v>
      </c>
      <c r="R1116">
        <v>6215</v>
      </c>
    </row>
    <row r="1117" spans="1:18" x14ac:dyDescent="0.25">
      <c r="A1117" s="170">
        <v>45919</v>
      </c>
      <c r="B1117" s="116">
        <v>6849.75</v>
      </c>
      <c r="C1117" s="116">
        <v>6781.5</v>
      </c>
      <c r="D1117" s="116">
        <v>6715.75</v>
      </c>
      <c r="E1117" s="116">
        <v>6766.6</v>
      </c>
      <c r="F1117" s="116">
        <v>6781.5</v>
      </c>
      <c r="G1117">
        <v>440</v>
      </c>
      <c r="H1117" s="116"/>
      <c r="I1117" s="116"/>
      <c r="L1117" s="170">
        <v>45919</v>
      </c>
      <c r="M1117" s="116">
        <v>6777</v>
      </c>
      <c r="N1117" s="116">
        <v>6850</v>
      </c>
      <c r="O1117" s="116">
        <v>6705</v>
      </c>
      <c r="P1117" s="116">
        <v>6775</v>
      </c>
      <c r="Q1117" s="116">
        <v>6777</v>
      </c>
      <c r="R1117">
        <v>25568</v>
      </c>
    </row>
    <row r="1118" spans="1:18" x14ac:dyDescent="0.25">
      <c r="A1118" s="170">
        <v>45922</v>
      </c>
      <c r="B1118" s="116">
        <v>6802.3</v>
      </c>
      <c r="C1118" s="116">
        <v>6782.75</v>
      </c>
      <c r="D1118" s="116">
        <v>6720.55</v>
      </c>
      <c r="E1118" s="116">
        <v>6720.55</v>
      </c>
      <c r="F1118" s="116">
        <v>6782.75</v>
      </c>
      <c r="G1118">
        <v>508</v>
      </c>
      <c r="H1118" s="116"/>
      <c r="I1118" s="116"/>
      <c r="L1118" s="170">
        <v>45922</v>
      </c>
      <c r="M1118" s="116">
        <v>6776.5</v>
      </c>
      <c r="N1118" s="116">
        <v>6817.5</v>
      </c>
      <c r="O1118" s="116">
        <v>6733</v>
      </c>
      <c r="P1118" s="116">
        <v>6779.5</v>
      </c>
      <c r="Q1118" s="116">
        <v>6776.5</v>
      </c>
      <c r="R1118">
        <v>8949</v>
      </c>
    </row>
    <row r="1119" spans="1:18" x14ac:dyDescent="0.25">
      <c r="A1119" s="170">
        <v>45923</v>
      </c>
      <c r="B1119" s="116">
        <v>6871.25</v>
      </c>
      <c r="C1119" s="116">
        <v>6803.3</v>
      </c>
      <c r="D1119" s="116">
        <v>6730.05</v>
      </c>
      <c r="E1119" s="116">
        <v>6730.05</v>
      </c>
      <c r="F1119" s="116">
        <v>6803.3</v>
      </c>
      <c r="G1119">
        <v>902</v>
      </c>
      <c r="H1119" s="116"/>
      <c r="I1119" s="116"/>
      <c r="L1119" s="170">
        <v>45923</v>
      </c>
      <c r="M1119" s="116">
        <v>6804.5</v>
      </c>
      <c r="N1119" s="116">
        <v>6880</v>
      </c>
      <c r="O1119" s="116">
        <v>6779</v>
      </c>
      <c r="P1119" s="116">
        <v>6800</v>
      </c>
      <c r="Q1119" s="116">
        <v>6804.5</v>
      </c>
      <c r="R1119">
        <v>18221</v>
      </c>
    </row>
    <row r="1120" spans="1:18" x14ac:dyDescent="0.25">
      <c r="A1120" s="170">
        <v>45924</v>
      </c>
      <c r="B1120" s="116">
        <v>6850</v>
      </c>
      <c r="C1120" s="116">
        <v>6841.9</v>
      </c>
      <c r="D1120" s="116">
        <v>6666.15</v>
      </c>
      <c r="E1120" s="116">
        <v>6786.1</v>
      </c>
      <c r="F1120" s="116">
        <v>6841.9</v>
      </c>
      <c r="G1120">
        <v>423</v>
      </c>
      <c r="H1120" s="116"/>
      <c r="I1120" s="116"/>
      <c r="L1120" s="170">
        <v>45924</v>
      </c>
      <c r="M1120" s="116">
        <v>6826</v>
      </c>
      <c r="N1120" s="116">
        <v>6845</v>
      </c>
      <c r="O1120" s="116">
        <v>6660</v>
      </c>
      <c r="P1120" s="116">
        <v>6825</v>
      </c>
      <c r="Q1120" s="116">
        <v>6826</v>
      </c>
      <c r="R1120">
        <v>14930</v>
      </c>
    </row>
    <row r="1121" spans="1:18" x14ac:dyDescent="0.25">
      <c r="A1121" s="170">
        <v>45925</v>
      </c>
      <c r="B1121" s="116">
        <v>6800</v>
      </c>
      <c r="C1121" s="116">
        <v>6757.1</v>
      </c>
      <c r="D1121" s="116">
        <v>6700.25</v>
      </c>
      <c r="E1121" s="116">
        <v>6800</v>
      </c>
      <c r="F1121" s="116">
        <v>6757.1</v>
      </c>
      <c r="G1121">
        <v>685</v>
      </c>
      <c r="H1121" s="116"/>
      <c r="I1121" s="116"/>
      <c r="L1121" s="170">
        <v>45925</v>
      </c>
      <c r="M1121" s="116">
        <v>6762</v>
      </c>
      <c r="N1121" s="116">
        <v>6839</v>
      </c>
      <c r="O1121" s="116">
        <v>6704</v>
      </c>
      <c r="P1121" s="116">
        <v>6839</v>
      </c>
      <c r="Q1121" s="116">
        <v>6762</v>
      </c>
      <c r="R1121">
        <v>8285</v>
      </c>
    </row>
    <row r="1122" spans="1:18" x14ac:dyDescent="0.25">
      <c r="A1122" s="170">
        <v>45926</v>
      </c>
      <c r="B1122" s="116">
        <v>6800</v>
      </c>
      <c r="C1122" s="116">
        <v>6772.95</v>
      </c>
      <c r="D1122" s="116">
        <v>6565.7</v>
      </c>
      <c r="E1122" s="116">
        <v>6666</v>
      </c>
      <c r="F1122" s="116">
        <v>6772.95</v>
      </c>
      <c r="G1122">
        <v>931</v>
      </c>
      <c r="H1122" s="116"/>
      <c r="I1122" s="116"/>
      <c r="L1122" s="170">
        <v>45926</v>
      </c>
      <c r="M1122" s="116">
        <v>6779.5</v>
      </c>
      <c r="N1122" s="116">
        <v>6824.5</v>
      </c>
      <c r="O1122" s="116">
        <v>6555</v>
      </c>
      <c r="P1122" s="116">
        <v>6755</v>
      </c>
      <c r="Q1122" s="116">
        <v>6779.5</v>
      </c>
      <c r="R1122">
        <v>17972</v>
      </c>
    </row>
    <row r="1123" spans="1:18" x14ac:dyDescent="0.25">
      <c r="A1123" s="170">
        <v>45929</v>
      </c>
      <c r="B1123" s="116">
        <v>6824.7</v>
      </c>
      <c r="C1123" s="116">
        <v>6704.25</v>
      </c>
      <c r="D1123" s="116">
        <v>6663.5</v>
      </c>
      <c r="E1123" s="116">
        <v>6737.85</v>
      </c>
      <c r="F1123" s="116">
        <v>6704.25</v>
      </c>
      <c r="G1123">
        <v>284</v>
      </c>
      <c r="H1123" s="116"/>
      <c r="I1123" s="116"/>
      <c r="L1123" s="170">
        <v>45929</v>
      </c>
      <c r="M1123" s="116">
        <v>6719</v>
      </c>
      <c r="N1123" s="116">
        <v>6825</v>
      </c>
      <c r="O1123" s="116">
        <v>6662</v>
      </c>
      <c r="P1123" s="116">
        <v>6779</v>
      </c>
      <c r="Q1123" s="116">
        <v>6719</v>
      </c>
      <c r="R1123">
        <v>21982</v>
      </c>
    </row>
    <row r="1124" spans="1:18" x14ac:dyDescent="0.25">
      <c r="A1124" s="170">
        <v>45930</v>
      </c>
      <c r="B1124" s="116">
        <v>6794.05</v>
      </c>
      <c r="C1124" s="116">
        <v>6785</v>
      </c>
      <c r="D1124" s="116">
        <v>6600</v>
      </c>
      <c r="E1124" s="116">
        <v>6701</v>
      </c>
      <c r="F1124" s="116">
        <v>6785</v>
      </c>
      <c r="G1124">
        <v>842</v>
      </c>
      <c r="H1124" s="116"/>
      <c r="I1124" s="116"/>
      <c r="L1124" s="170">
        <v>45930</v>
      </c>
      <c r="M1124" s="116">
        <v>6793.5</v>
      </c>
      <c r="N1124" s="116">
        <v>6800</v>
      </c>
      <c r="O1124" s="116">
        <v>6598</v>
      </c>
      <c r="P1124" s="116">
        <v>6701</v>
      </c>
      <c r="Q1124" s="116">
        <v>6793.5</v>
      </c>
      <c r="R1124">
        <v>17510</v>
      </c>
    </row>
    <row r="1125" spans="1:18" x14ac:dyDescent="0.25">
      <c r="A1125" s="170">
        <v>45931</v>
      </c>
      <c r="B1125" s="116">
        <v>6773.25</v>
      </c>
      <c r="C1125" s="116">
        <v>6724.95</v>
      </c>
      <c r="D1125" s="116">
        <v>6666</v>
      </c>
      <c r="E1125" s="116">
        <v>6760.1</v>
      </c>
      <c r="F1125" s="116">
        <v>6724.95</v>
      </c>
      <c r="G1125">
        <v>464</v>
      </c>
      <c r="H1125" s="116"/>
      <c r="I1125" s="116"/>
      <c r="L1125" s="170">
        <v>45931</v>
      </c>
      <c r="M1125" s="116">
        <v>6716.5</v>
      </c>
      <c r="N1125" s="116">
        <v>6800</v>
      </c>
      <c r="O1125" s="116">
        <v>6662</v>
      </c>
      <c r="P1125" s="116">
        <v>6795</v>
      </c>
      <c r="Q1125" s="116">
        <v>6716.5</v>
      </c>
      <c r="R1125">
        <v>10964</v>
      </c>
    </row>
    <row r="1126" spans="1:18" x14ac:dyDescent="0.25">
      <c r="A1126" s="170">
        <v>45933</v>
      </c>
      <c r="B1126" s="116">
        <v>6787.05</v>
      </c>
      <c r="C1126" s="116">
        <v>6762.45</v>
      </c>
      <c r="D1126" s="116">
        <v>6650.05</v>
      </c>
      <c r="E1126" s="116">
        <v>6650.05</v>
      </c>
      <c r="F1126" s="116">
        <v>6762.45</v>
      </c>
      <c r="G1126">
        <v>826</v>
      </c>
      <c r="H1126" s="116"/>
      <c r="I1126" s="116"/>
      <c r="L1126" s="170">
        <v>45933</v>
      </c>
      <c r="M1126" s="116">
        <v>6773.5</v>
      </c>
      <c r="N1126" s="116">
        <v>6800</v>
      </c>
      <c r="O1126" s="116">
        <v>6669.5</v>
      </c>
      <c r="P1126" s="116">
        <v>6747</v>
      </c>
      <c r="Q1126" s="116">
        <v>6773.5</v>
      </c>
      <c r="R1126">
        <v>7130</v>
      </c>
    </row>
    <row r="1127" spans="1:18" x14ac:dyDescent="0.25">
      <c r="A1127" s="170">
        <v>45936</v>
      </c>
      <c r="B1127" s="116">
        <v>6859.95</v>
      </c>
      <c r="C1127" s="116">
        <v>6788.1</v>
      </c>
      <c r="D1127" s="116">
        <v>6761.7</v>
      </c>
      <c r="E1127" s="116">
        <v>6795.05</v>
      </c>
      <c r="F1127" s="116">
        <v>6788.1</v>
      </c>
      <c r="G1127">
        <v>564</v>
      </c>
      <c r="H1127" s="116"/>
      <c r="I1127" s="116"/>
      <c r="L1127" s="170">
        <v>45936</v>
      </c>
      <c r="M1127" s="116">
        <v>6788.5</v>
      </c>
      <c r="N1127" s="116">
        <v>6875.5</v>
      </c>
      <c r="O1127" s="116">
        <v>6750</v>
      </c>
      <c r="P1127" s="116">
        <v>6750</v>
      </c>
      <c r="Q1127" s="116">
        <v>6788.5</v>
      </c>
      <c r="R1127">
        <v>11941</v>
      </c>
    </row>
    <row r="1128" spans="1:18" x14ac:dyDescent="0.25">
      <c r="A1128" s="170">
        <v>45937</v>
      </c>
      <c r="B1128" s="116">
        <v>6810.55</v>
      </c>
      <c r="C1128" s="116">
        <v>6683.9</v>
      </c>
      <c r="D1128" s="116">
        <v>6654.75</v>
      </c>
      <c r="E1128" s="116">
        <v>6765.5</v>
      </c>
      <c r="F1128" s="116">
        <v>6683.9</v>
      </c>
      <c r="G1128">
        <v>850</v>
      </c>
      <c r="H1128" s="116"/>
      <c r="I1128" s="116"/>
      <c r="L1128" s="170">
        <v>45937</v>
      </c>
      <c r="M1128" s="116">
        <v>6686.5</v>
      </c>
      <c r="N1128" s="116">
        <v>6807.5</v>
      </c>
      <c r="O1128" s="116">
        <v>6662.5</v>
      </c>
      <c r="P1128" s="116">
        <v>6783</v>
      </c>
      <c r="Q1128" s="116">
        <v>6686.5</v>
      </c>
      <c r="R1128">
        <v>8881</v>
      </c>
    </row>
    <row r="1129" spans="1:18" x14ac:dyDescent="0.25">
      <c r="A1129" s="170">
        <v>45938</v>
      </c>
      <c r="B1129" s="116">
        <v>6676.5</v>
      </c>
      <c r="C1129" s="116">
        <v>6621.5</v>
      </c>
      <c r="D1129" s="116">
        <v>6599.95</v>
      </c>
      <c r="E1129" s="116">
        <v>6665</v>
      </c>
      <c r="F1129" s="116">
        <v>6621.5</v>
      </c>
      <c r="G1129">
        <v>480</v>
      </c>
      <c r="H1129" s="116"/>
      <c r="I1129" s="116"/>
      <c r="L1129" s="170">
        <v>45938</v>
      </c>
      <c r="M1129" s="116">
        <v>6634</v>
      </c>
      <c r="N1129" s="116">
        <v>6735</v>
      </c>
      <c r="O1129" s="116">
        <v>6597.5</v>
      </c>
      <c r="P1129" s="116">
        <v>6675</v>
      </c>
      <c r="Q1129" s="116">
        <v>6634</v>
      </c>
      <c r="R1129">
        <v>8252</v>
      </c>
    </row>
    <row r="1130" spans="1:18" x14ac:dyDescent="0.25">
      <c r="A1130" s="170">
        <v>45939</v>
      </c>
      <c r="B1130" s="116">
        <v>6621.5</v>
      </c>
      <c r="C1130" s="116">
        <v>6586.4</v>
      </c>
      <c r="D1130" s="116">
        <v>6564.15</v>
      </c>
      <c r="E1130" s="116">
        <v>6621.5</v>
      </c>
      <c r="F1130" s="116">
        <v>6586.4</v>
      </c>
      <c r="G1130">
        <v>270</v>
      </c>
      <c r="H1130" s="116"/>
      <c r="I1130" s="116"/>
      <c r="L1130" s="170">
        <v>45939</v>
      </c>
      <c r="M1130" s="116">
        <v>6589.5</v>
      </c>
      <c r="N1130" s="116">
        <v>6642</v>
      </c>
      <c r="O1130" s="116">
        <v>6565</v>
      </c>
      <c r="P1130" s="116">
        <v>6634</v>
      </c>
      <c r="Q1130" s="116">
        <v>6589.5</v>
      </c>
      <c r="R1130">
        <v>23099</v>
      </c>
    </row>
    <row r="1131" spans="1:18" x14ac:dyDescent="0.25">
      <c r="A1131" s="170">
        <v>45940</v>
      </c>
      <c r="B1131" s="116">
        <v>6665.1</v>
      </c>
      <c r="C1131" s="116">
        <v>6543.2</v>
      </c>
      <c r="D1131" s="116">
        <v>6478.1</v>
      </c>
      <c r="E1131" s="116">
        <v>6586.4</v>
      </c>
      <c r="F1131" s="116">
        <v>6543.2</v>
      </c>
      <c r="G1131">
        <v>706</v>
      </c>
      <c r="H1131" s="116"/>
      <c r="I1131" s="116"/>
      <c r="L1131" s="170">
        <v>45940</v>
      </c>
      <c r="M1131" s="116">
        <v>6548</v>
      </c>
      <c r="N1131" s="116">
        <v>6672.5</v>
      </c>
      <c r="O1131" s="116">
        <v>6480</v>
      </c>
      <c r="P1131" s="116">
        <v>6602</v>
      </c>
      <c r="Q1131" s="116">
        <v>6548</v>
      </c>
      <c r="R1131">
        <v>26064</v>
      </c>
    </row>
    <row r="1132" spans="1:18" x14ac:dyDescent="0.25">
      <c r="A1132" s="170">
        <v>45943</v>
      </c>
      <c r="B1132" s="116">
        <v>6528.95</v>
      </c>
      <c r="C1132" s="116">
        <v>6470.2</v>
      </c>
      <c r="D1132" s="116">
        <v>6432.25</v>
      </c>
      <c r="E1132" s="116">
        <v>6500.75</v>
      </c>
      <c r="F1132" s="116">
        <v>6470.2</v>
      </c>
      <c r="G1132">
        <v>641</v>
      </c>
      <c r="H1132" s="116"/>
      <c r="I1132" s="116"/>
      <c r="L1132" s="170">
        <v>45943</v>
      </c>
      <c r="M1132" s="116">
        <v>6484</v>
      </c>
      <c r="N1132" s="116">
        <v>6548</v>
      </c>
      <c r="O1132" s="116">
        <v>6431</v>
      </c>
      <c r="P1132" s="116">
        <v>6470</v>
      </c>
      <c r="Q1132" s="116">
        <v>6484</v>
      </c>
      <c r="R1132">
        <v>22085</v>
      </c>
    </row>
    <row r="1133" spans="1:18" x14ac:dyDescent="0.25">
      <c r="A1133" s="170">
        <v>45944</v>
      </c>
      <c r="B1133" s="116">
        <v>6590.5</v>
      </c>
      <c r="C1133" s="116">
        <v>6490.8</v>
      </c>
      <c r="D1133" s="116">
        <v>6438.45</v>
      </c>
      <c r="E1133" s="116">
        <v>6493.5</v>
      </c>
      <c r="F1133" s="116">
        <v>6490.8</v>
      </c>
      <c r="G1133">
        <v>443</v>
      </c>
      <c r="H1133" s="116"/>
      <c r="I1133" s="116"/>
      <c r="L1133" s="170">
        <v>45944</v>
      </c>
      <c r="M1133" s="116">
        <v>6476</v>
      </c>
      <c r="N1133" s="116">
        <v>6597</v>
      </c>
      <c r="O1133" s="116">
        <v>6433</v>
      </c>
      <c r="P1133" s="116">
        <v>6542</v>
      </c>
      <c r="Q1133" s="116">
        <v>6476</v>
      </c>
      <c r="R1133">
        <v>25667</v>
      </c>
    </row>
    <row r="1134" spans="1:18" x14ac:dyDescent="0.25">
      <c r="A1134" s="170">
        <v>45945</v>
      </c>
      <c r="B1134" s="116">
        <v>6505</v>
      </c>
      <c r="C1134" s="116">
        <v>6422.75</v>
      </c>
      <c r="D1134" s="116">
        <v>6409.05</v>
      </c>
      <c r="E1134" s="116">
        <v>6470.05</v>
      </c>
      <c r="F1134" s="116">
        <v>6422.75</v>
      </c>
      <c r="G1134">
        <v>509</v>
      </c>
      <c r="H1134" s="116"/>
      <c r="I1134" s="116"/>
      <c r="L1134" s="170">
        <v>45945</v>
      </c>
      <c r="M1134" s="116">
        <v>6424</v>
      </c>
      <c r="N1134" s="116">
        <v>6509</v>
      </c>
      <c r="O1134" s="116">
        <v>6401.5</v>
      </c>
      <c r="P1134" s="116">
        <v>6476.5</v>
      </c>
      <c r="Q1134" s="116">
        <v>6424</v>
      </c>
      <c r="R1134">
        <v>55260</v>
      </c>
    </row>
    <row r="1135" spans="1:18" x14ac:dyDescent="0.25">
      <c r="A1135" s="170">
        <v>45946</v>
      </c>
      <c r="B1135" s="116">
        <v>6856.5</v>
      </c>
      <c r="C1135" s="116">
        <v>6816.8</v>
      </c>
      <c r="D1135" s="116">
        <v>6415.4</v>
      </c>
      <c r="E1135" s="116">
        <v>6415.4</v>
      </c>
      <c r="F1135" s="116">
        <v>6816.8</v>
      </c>
      <c r="G1135">
        <v>6102</v>
      </c>
      <c r="H1135" s="116"/>
      <c r="I1135" s="116"/>
      <c r="L1135" s="170">
        <v>45946</v>
      </c>
      <c r="M1135" s="116">
        <v>6800.5</v>
      </c>
      <c r="N1135" s="116">
        <v>6875</v>
      </c>
      <c r="O1135" s="116">
        <v>6423</v>
      </c>
      <c r="P1135" s="116">
        <v>6480</v>
      </c>
      <c r="Q1135" s="116">
        <v>6800.5</v>
      </c>
      <c r="R1135">
        <v>299643</v>
      </c>
    </row>
    <row r="1136" spans="1:18" x14ac:dyDescent="0.25">
      <c r="A1136" s="170">
        <v>45947</v>
      </c>
      <c r="B1136" s="116">
        <v>6765.5</v>
      </c>
      <c r="C1136" s="116">
        <v>6740.6</v>
      </c>
      <c r="D1136" s="116">
        <v>6643.75</v>
      </c>
      <c r="E1136" s="116">
        <v>6731.25</v>
      </c>
      <c r="F1136" s="116">
        <v>6740.6</v>
      </c>
      <c r="G1136">
        <v>1638</v>
      </c>
      <c r="H1136" s="116"/>
      <c r="I1136" s="116"/>
      <c r="L1136" s="170">
        <v>45947</v>
      </c>
      <c r="M1136" s="116">
        <v>6739.5</v>
      </c>
      <c r="N1136" s="116">
        <v>6775</v>
      </c>
      <c r="O1136" s="116">
        <v>6645.5</v>
      </c>
      <c r="P1136" s="116">
        <v>6750.5</v>
      </c>
      <c r="Q1136" s="116">
        <v>6739.5</v>
      </c>
      <c r="R1136">
        <v>29402</v>
      </c>
    </row>
    <row r="1137" spans="1:18" x14ac:dyDescent="0.25">
      <c r="A1137" s="170">
        <v>45950</v>
      </c>
      <c r="B1137" s="116">
        <v>6745</v>
      </c>
      <c r="C1137" s="116">
        <v>6687.5</v>
      </c>
      <c r="D1137" s="116">
        <v>6605.05</v>
      </c>
      <c r="E1137" s="116">
        <v>6605.05</v>
      </c>
      <c r="F1137" s="116">
        <v>6687.5</v>
      </c>
      <c r="G1137">
        <v>812</v>
      </c>
      <c r="H1137" s="116"/>
      <c r="I1137" s="116"/>
      <c r="L1137" s="170">
        <v>45950</v>
      </c>
      <c r="M1137" s="116">
        <v>6693.5</v>
      </c>
      <c r="N1137" s="116">
        <v>6753.5</v>
      </c>
      <c r="O1137" s="116">
        <v>6651</v>
      </c>
      <c r="P1137" s="116">
        <v>6730</v>
      </c>
      <c r="Q1137" s="116">
        <v>6693.5</v>
      </c>
      <c r="R1137">
        <v>12914</v>
      </c>
    </row>
    <row r="1138" spans="1:18" x14ac:dyDescent="0.25">
      <c r="A1138" s="170">
        <v>45951</v>
      </c>
      <c r="B1138" s="116">
        <v>6740</v>
      </c>
      <c r="C1138" s="116">
        <v>6704.7</v>
      </c>
      <c r="D1138" s="116">
        <v>6696.55</v>
      </c>
      <c r="E1138" s="116">
        <v>6720.9</v>
      </c>
      <c r="F1138" s="116">
        <v>6704.7</v>
      </c>
      <c r="G1138">
        <v>175</v>
      </c>
      <c r="H1138" s="116"/>
      <c r="I1138" s="116"/>
      <c r="L1138" s="170">
        <v>45951</v>
      </c>
      <c r="M1138" s="116">
        <v>6726</v>
      </c>
      <c r="N1138" s="116">
        <v>6800</v>
      </c>
      <c r="O1138" s="116">
        <v>6640.5</v>
      </c>
      <c r="P1138" s="116">
        <v>6800</v>
      </c>
      <c r="Q1138" s="116">
        <v>6726</v>
      </c>
      <c r="R1138">
        <v>1799</v>
      </c>
    </row>
    <row r="1139" spans="1:18" x14ac:dyDescent="0.25">
      <c r="A1139" s="170">
        <v>45953</v>
      </c>
      <c r="B1139" s="116">
        <v>6732</v>
      </c>
      <c r="C1139" s="116">
        <v>6644.3</v>
      </c>
      <c r="D1139" s="116">
        <v>6605</v>
      </c>
      <c r="E1139" s="116">
        <v>6726</v>
      </c>
      <c r="F1139" s="116">
        <v>6644.3</v>
      </c>
      <c r="G1139">
        <v>678</v>
      </c>
      <c r="H1139" s="116"/>
      <c r="I1139" s="116"/>
      <c r="L1139" s="170">
        <v>45953</v>
      </c>
      <c r="M1139" s="116">
        <v>6668.5</v>
      </c>
      <c r="N1139" s="116">
        <v>6750</v>
      </c>
      <c r="O1139" s="116">
        <v>6600.5</v>
      </c>
      <c r="P1139" s="116">
        <v>6750</v>
      </c>
      <c r="Q1139" s="116">
        <v>6668.5</v>
      </c>
      <c r="R1139">
        <v>9917</v>
      </c>
    </row>
    <row r="1140" spans="1:18" x14ac:dyDescent="0.25">
      <c r="A1140" s="170">
        <v>45954</v>
      </c>
      <c r="B1140" s="116">
        <v>6683.4</v>
      </c>
      <c r="C1140" s="116">
        <v>6516.05</v>
      </c>
      <c r="D1140" s="116">
        <v>6507.3</v>
      </c>
      <c r="E1140" s="116">
        <v>6637.5</v>
      </c>
      <c r="F1140" s="116">
        <v>6516.05</v>
      </c>
      <c r="G1140">
        <v>586</v>
      </c>
      <c r="H1140" s="116"/>
      <c r="I1140" s="116"/>
      <c r="L1140" s="170">
        <v>45954</v>
      </c>
      <c r="M1140" s="116">
        <v>6519</v>
      </c>
      <c r="N1140" s="116">
        <v>6689.5</v>
      </c>
      <c r="O1140" s="116">
        <v>6499.5</v>
      </c>
      <c r="P1140" s="116">
        <v>6630</v>
      </c>
      <c r="Q1140" s="116">
        <v>6519</v>
      </c>
      <c r="R1140">
        <v>13227</v>
      </c>
    </row>
    <row r="1141" spans="1:18" x14ac:dyDescent="0.25">
      <c r="A1141" s="170">
        <v>45957</v>
      </c>
      <c r="B1141" s="116">
        <v>6545.1</v>
      </c>
      <c r="C1141" s="116">
        <v>6473.6</v>
      </c>
      <c r="D1141" s="116">
        <v>6450.8</v>
      </c>
      <c r="E1141" s="116">
        <v>6508.1</v>
      </c>
      <c r="F1141" s="116">
        <v>6473.6</v>
      </c>
      <c r="G1141">
        <v>434</v>
      </c>
      <c r="H1141" s="116"/>
      <c r="I1141" s="116"/>
      <c r="L1141" s="170">
        <v>45957</v>
      </c>
      <c r="M1141" s="116">
        <v>6480.5</v>
      </c>
      <c r="N1141" s="116">
        <v>6565.5</v>
      </c>
      <c r="O1141" s="116">
        <v>6455</v>
      </c>
      <c r="P1141" s="116">
        <v>6524</v>
      </c>
      <c r="Q1141" s="116">
        <v>6480.5</v>
      </c>
      <c r="R1141">
        <v>9295</v>
      </c>
    </row>
    <row r="1142" spans="1:18" x14ac:dyDescent="0.25">
      <c r="A1142" s="170">
        <v>45958</v>
      </c>
      <c r="B1142" s="116">
        <v>6558.95</v>
      </c>
      <c r="C1142" s="116">
        <v>6440.65</v>
      </c>
      <c r="D1142" s="116">
        <v>6426.8</v>
      </c>
      <c r="E1142" s="116">
        <v>6489.8</v>
      </c>
      <c r="F1142" s="116">
        <v>6440.65</v>
      </c>
      <c r="G1142">
        <v>739</v>
      </c>
      <c r="H1142" s="116"/>
      <c r="I1142" s="116"/>
      <c r="L1142" s="170">
        <v>45958</v>
      </c>
      <c r="M1142" s="116">
        <v>6447</v>
      </c>
      <c r="N1142" s="116">
        <v>6563</v>
      </c>
      <c r="O1142" s="116">
        <v>6425</v>
      </c>
      <c r="P1142" s="116">
        <v>6466</v>
      </c>
      <c r="Q1142" s="116">
        <v>6447</v>
      </c>
      <c r="R1142">
        <v>10741</v>
      </c>
    </row>
    <row r="1143" spans="1:18" x14ac:dyDescent="0.25">
      <c r="A1143" s="170">
        <v>45959</v>
      </c>
      <c r="B1143" s="116">
        <v>6523</v>
      </c>
      <c r="C1143" s="116">
        <v>6480.05</v>
      </c>
      <c r="D1143" s="116">
        <v>6318.1</v>
      </c>
      <c r="E1143" s="116">
        <v>6453.05</v>
      </c>
      <c r="F1143" s="116">
        <v>6480.05</v>
      </c>
      <c r="G1143">
        <v>1142</v>
      </c>
      <c r="H1143" s="116"/>
      <c r="I1143" s="116"/>
      <c r="L1143" s="170">
        <v>45959</v>
      </c>
      <c r="M1143" s="116">
        <v>6471.5</v>
      </c>
      <c r="N1143" s="116">
        <v>6526</v>
      </c>
      <c r="O1143" s="116">
        <v>6324</v>
      </c>
      <c r="P1143" s="116">
        <v>6453</v>
      </c>
      <c r="Q1143" s="116">
        <v>6471.5</v>
      </c>
      <c r="R1143">
        <v>24381</v>
      </c>
    </row>
    <row r="1144" spans="1:18" x14ac:dyDescent="0.25">
      <c r="A1144" s="170">
        <v>45960</v>
      </c>
      <c r="B1144" s="116">
        <v>6700</v>
      </c>
      <c r="C1144" s="116">
        <v>6659.7</v>
      </c>
      <c r="D1144" s="116">
        <v>6410</v>
      </c>
      <c r="E1144" s="116">
        <v>6410.05</v>
      </c>
      <c r="F1144" s="116">
        <v>6659.7</v>
      </c>
      <c r="G1144">
        <v>1597</v>
      </c>
      <c r="H1144" s="116"/>
      <c r="I1144" s="116"/>
      <c r="L1144" s="170">
        <v>45960</v>
      </c>
      <c r="M1144" s="116">
        <v>6654</v>
      </c>
      <c r="N1144" s="116">
        <v>6709</v>
      </c>
      <c r="O1144" s="116">
        <v>6402</v>
      </c>
      <c r="P1144" s="116">
        <v>6499</v>
      </c>
      <c r="Q1144" s="116">
        <v>6654</v>
      </c>
      <c r="R1144">
        <v>31451</v>
      </c>
    </row>
    <row r="1145" spans="1:18" x14ac:dyDescent="0.25">
      <c r="A1145" s="170">
        <v>45961</v>
      </c>
      <c r="B1145" s="116">
        <v>6804</v>
      </c>
      <c r="C1145" s="116">
        <v>6665.85</v>
      </c>
      <c r="D1145" s="116">
        <v>6622.1</v>
      </c>
      <c r="E1145" s="116">
        <v>6659.7</v>
      </c>
      <c r="F1145" s="116">
        <v>6665.85</v>
      </c>
      <c r="G1145">
        <v>2586</v>
      </c>
      <c r="H1145" s="116"/>
      <c r="I1145" s="116"/>
      <c r="L1145" s="170">
        <v>45961</v>
      </c>
      <c r="M1145" s="116">
        <v>6680</v>
      </c>
      <c r="N1145" s="116">
        <v>6800</v>
      </c>
      <c r="O1145" s="116">
        <v>6620</v>
      </c>
      <c r="P1145" s="116">
        <v>6654</v>
      </c>
      <c r="Q1145" s="116">
        <v>6680</v>
      </c>
      <c r="R1145">
        <v>31673</v>
      </c>
    </row>
    <row r="1146" spans="1:18" x14ac:dyDescent="0.25">
      <c r="A1146" s="170">
        <v>45964</v>
      </c>
      <c r="B1146" s="116">
        <v>6885.1</v>
      </c>
      <c r="C1146" s="116">
        <v>6796.4</v>
      </c>
      <c r="D1146" s="116">
        <v>6731.75</v>
      </c>
      <c r="E1146" s="116">
        <v>6741.5</v>
      </c>
      <c r="F1146" s="116">
        <v>6796.4</v>
      </c>
      <c r="G1146">
        <v>2129</v>
      </c>
      <c r="H1146" s="116"/>
      <c r="I1146" s="116"/>
      <c r="L1146" s="170">
        <v>45964</v>
      </c>
      <c r="M1146" s="116">
        <v>6793.5</v>
      </c>
      <c r="N1146" s="116">
        <v>6890</v>
      </c>
      <c r="O1146" s="116">
        <v>6729</v>
      </c>
      <c r="P1146" s="116">
        <v>6780</v>
      </c>
      <c r="Q1146" s="116">
        <v>6793.5</v>
      </c>
      <c r="R1146">
        <v>82286</v>
      </c>
    </row>
    <row r="1147" spans="1:18" x14ac:dyDescent="0.25">
      <c r="A1147" s="170">
        <v>45965</v>
      </c>
      <c r="B1147" s="116">
        <v>6962.5</v>
      </c>
      <c r="C1147" s="116">
        <v>6828.85</v>
      </c>
      <c r="D1147" s="116">
        <v>6709.3</v>
      </c>
      <c r="E1147" s="116">
        <v>6709.3</v>
      </c>
      <c r="F1147" s="116">
        <v>6828.85</v>
      </c>
      <c r="G1147">
        <v>2431</v>
      </c>
      <c r="H1147" s="116"/>
      <c r="I1147" s="116"/>
      <c r="L1147" s="170">
        <v>45965</v>
      </c>
      <c r="M1147" s="116">
        <v>6827.5</v>
      </c>
      <c r="N1147" s="116">
        <v>6960</v>
      </c>
      <c r="O1147" s="116">
        <v>6778.5</v>
      </c>
      <c r="P1147" s="116">
        <v>6800</v>
      </c>
      <c r="Q1147" s="116">
        <v>6827.5</v>
      </c>
      <c r="R1147">
        <v>75136</v>
      </c>
    </row>
    <row r="1148" spans="1:18" x14ac:dyDescent="0.25">
      <c r="A1148" s="170">
        <v>45967</v>
      </c>
      <c r="B1148" s="116">
        <v>6927.85</v>
      </c>
      <c r="C1148" s="116">
        <v>6769.05</v>
      </c>
      <c r="D1148" s="116">
        <v>6717.45</v>
      </c>
      <c r="E1148" s="116">
        <v>6927.85</v>
      </c>
      <c r="F1148" s="116">
        <v>6769.05</v>
      </c>
      <c r="G1148">
        <v>1175</v>
      </c>
      <c r="H1148" s="116"/>
      <c r="I1148" s="116"/>
      <c r="L1148" s="170">
        <v>45967</v>
      </c>
      <c r="M1148" s="116">
        <v>6772.5</v>
      </c>
      <c r="N1148" s="116">
        <v>6850</v>
      </c>
      <c r="O1148" s="116">
        <v>6724</v>
      </c>
      <c r="P1148" s="116">
        <v>6850</v>
      </c>
      <c r="Q1148" s="116">
        <v>6772.5</v>
      </c>
      <c r="R1148">
        <v>26840</v>
      </c>
    </row>
    <row r="1149" spans="1:18" x14ac:dyDescent="0.25">
      <c r="A1149" s="170">
        <v>45968</v>
      </c>
      <c r="B1149" s="116">
        <v>6795.15</v>
      </c>
      <c r="C1149" s="116">
        <v>6771.8</v>
      </c>
      <c r="D1149" s="116">
        <v>6618</v>
      </c>
      <c r="E1149" s="116">
        <v>6750.05</v>
      </c>
      <c r="F1149" s="116">
        <v>6771.8</v>
      </c>
      <c r="G1149">
        <v>1212</v>
      </c>
      <c r="H1149" s="116"/>
      <c r="I1149" s="116"/>
      <c r="L1149" s="170">
        <v>45968</v>
      </c>
      <c r="M1149" s="116">
        <v>6770.5</v>
      </c>
      <c r="N1149" s="116">
        <v>6800</v>
      </c>
      <c r="O1149" s="116">
        <v>6610.5</v>
      </c>
      <c r="P1149" s="116">
        <v>6772.5</v>
      </c>
      <c r="Q1149" s="116">
        <v>6770.5</v>
      </c>
      <c r="R1149">
        <v>28375</v>
      </c>
    </row>
    <row r="1150" spans="1:18" x14ac:dyDescent="0.25">
      <c r="A1150" s="170">
        <v>45971</v>
      </c>
      <c r="B1150" s="116">
        <v>7007.45</v>
      </c>
      <c r="C1150" s="116">
        <v>6792.45</v>
      </c>
      <c r="D1150" s="116">
        <v>6610.55</v>
      </c>
      <c r="E1150" s="116">
        <v>6974.05</v>
      </c>
      <c r="F1150" s="116">
        <v>6792.45</v>
      </c>
      <c r="G1150">
        <v>4633</v>
      </c>
      <c r="H1150" s="116"/>
      <c r="I1150" s="116"/>
      <c r="L1150" s="170">
        <v>45971</v>
      </c>
      <c r="M1150" s="116">
        <v>6789.5</v>
      </c>
      <c r="N1150" s="116">
        <v>7019.5</v>
      </c>
      <c r="O1150" s="116">
        <v>6610</v>
      </c>
      <c r="P1150" s="116">
        <v>7019.5</v>
      </c>
      <c r="Q1150" s="116">
        <v>6789.5</v>
      </c>
      <c r="R1150">
        <v>104344</v>
      </c>
    </row>
    <row r="1151" spans="1:18" x14ac:dyDescent="0.25">
      <c r="A1151" s="170">
        <v>45972</v>
      </c>
      <c r="B1151" s="116">
        <v>7370.5</v>
      </c>
      <c r="C1151" s="116">
        <v>7158.45</v>
      </c>
      <c r="D1151" s="116">
        <v>6843.75</v>
      </c>
      <c r="E1151" s="116">
        <v>6843.75</v>
      </c>
      <c r="F1151" s="116">
        <v>7158.45</v>
      </c>
      <c r="G1151">
        <v>30158</v>
      </c>
      <c r="H1151" s="116"/>
      <c r="I1151" s="116"/>
      <c r="L1151" s="170">
        <v>45972</v>
      </c>
      <c r="M1151" s="116">
        <v>7175.5</v>
      </c>
      <c r="N1151" s="116">
        <v>7378.5</v>
      </c>
      <c r="O1151" s="116">
        <v>6785</v>
      </c>
      <c r="P1151" s="116">
        <v>6785</v>
      </c>
      <c r="Q1151" s="116">
        <v>7175.5</v>
      </c>
      <c r="R1151">
        <v>450473</v>
      </c>
    </row>
    <row r="1152" spans="1:18" x14ac:dyDescent="0.25">
      <c r="A1152" s="170">
        <v>45973</v>
      </c>
      <c r="B1152" s="116">
        <v>7172.95</v>
      </c>
      <c r="C1152" s="116">
        <v>7072.3</v>
      </c>
      <c r="D1152" s="116">
        <v>6978.4</v>
      </c>
      <c r="E1152" s="116">
        <v>7125.1</v>
      </c>
      <c r="F1152" s="116">
        <v>7072.3</v>
      </c>
      <c r="G1152">
        <v>1448</v>
      </c>
      <c r="H1152" s="116"/>
      <c r="I1152" s="116"/>
      <c r="L1152" s="170">
        <v>45973</v>
      </c>
      <c r="M1152" s="116">
        <v>7072</v>
      </c>
      <c r="N1152" s="116">
        <v>7175.5</v>
      </c>
      <c r="O1152" s="116">
        <v>6978</v>
      </c>
      <c r="P1152" s="116">
        <v>7175.5</v>
      </c>
      <c r="Q1152" s="116">
        <v>7072</v>
      </c>
      <c r="R1152">
        <v>63020</v>
      </c>
    </row>
    <row r="1153" spans="1:18" x14ac:dyDescent="0.25">
      <c r="A1153" s="170">
        <v>45974</v>
      </c>
      <c r="B1153" s="116">
        <v>7078.2</v>
      </c>
      <c r="C1153" s="116">
        <v>6828.25</v>
      </c>
      <c r="D1153" s="116">
        <v>6793.65</v>
      </c>
      <c r="E1153" s="116">
        <v>7068.65</v>
      </c>
      <c r="F1153" s="116">
        <v>6828.25</v>
      </c>
      <c r="G1153">
        <v>3950</v>
      </c>
      <c r="H1153" s="116"/>
      <c r="I1153" s="116"/>
      <c r="L1153" s="170">
        <v>45974</v>
      </c>
      <c r="M1153" s="116">
        <v>6830.5</v>
      </c>
      <c r="N1153" s="116">
        <v>7090.5</v>
      </c>
      <c r="O1153" s="116">
        <v>6790</v>
      </c>
      <c r="P1153" s="116">
        <v>7090</v>
      </c>
      <c r="Q1153" s="116">
        <v>6830.5</v>
      </c>
      <c r="R1153">
        <v>75163</v>
      </c>
    </row>
    <row r="1154" spans="1:18" x14ac:dyDescent="0.25">
      <c r="A1154" s="170">
        <v>45975</v>
      </c>
      <c r="B1154" s="116">
        <v>6949.95</v>
      </c>
      <c r="C1154" s="116">
        <v>6739.8</v>
      </c>
      <c r="D1154" s="116">
        <v>6690.3</v>
      </c>
      <c r="E1154" s="116">
        <v>6949.95</v>
      </c>
      <c r="F1154" s="116">
        <v>6739.8</v>
      </c>
      <c r="G1154">
        <v>1499</v>
      </c>
      <c r="H1154" s="116"/>
      <c r="I1154" s="116"/>
      <c r="L1154" s="170">
        <v>45975</v>
      </c>
      <c r="M1154" s="116">
        <v>6746</v>
      </c>
      <c r="N1154" s="116">
        <v>6840</v>
      </c>
      <c r="O1154" s="116">
        <v>6688.5</v>
      </c>
      <c r="P1154" s="116">
        <v>6825.5</v>
      </c>
      <c r="Q1154" s="116">
        <v>6746</v>
      </c>
      <c r="R1154">
        <v>26197</v>
      </c>
    </row>
    <row r="1155" spans="1:18" x14ac:dyDescent="0.25">
      <c r="A1155" s="170">
        <v>45978</v>
      </c>
      <c r="B1155" s="116">
        <v>6810</v>
      </c>
      <c r="C1155" s="116">
        <v>6783.05</v>
      </c>
      <c r="D1155" s="116">
        <v>6754.05</v>
      </c>
      <c r="E1155" s="116">
        <v>6772.1</v>
      </c>
      <c r="F1155" s="116">
        <v>6783.05</v>
      </c>
      <c r="G1155">
        <v>148132</v>
      </c>
      <c r="H1155" s="116"/>
      <c r="I1155" s="116"/>
      <c r="L1155" s="170">
        <v>45978</v>
      </c>
      <c r="M1155" s="116">
        <v>6784</v>
      </c>
      <c r="N1155" s="116">
        <v>6820</v>
      </c>
      <c r="O1155" s="116">
        <v>6750</v>
      </c>
      <c r="P1155" s="116">
        <v>6760</v>
      </c>
      <c r="Q1155" s="116">
        <v>6784</v>
      </c>
      <c r="R1155">
        <v>20613</v>
      </c>
    </row>
    <row r="1156" spans="1:18" x14ac:dyDescent="0.25">
      <c r="A1156" s="170">
        <v>45979</v>
      </c>
      <c r="B1156" s="116">
        <v>6780.75</v>
      </c>
      <c r="C1156" s="116">
        <v>6715.25</v>
      </c>
      <c r="D1156" s="116">
        <v>6661.3</v>
      </c>
      <c r="E1156" s="116">
        <v>6779.2</v>
      </c>
      <c r="F1156" s="116">
        <v>6715.25</v>
      </c>
      <c r="G1156">
        <v>1222</v>
      </c>
      <c r="H1156" s="116"/>
      <c r="I1156" s="116"/>
      <c r="L1156" s="170">
        <v>45979</v>
      </c>
      <c r="M1156" s="116">
        <v>6707</v>
      </c>
      <c r="N1156" s="116">
        <v>6834</v>
      </c>
      <c r="O1156" s="116">
        <v>6660</v>
      </c>
      <c r="P1156" s="116">
        <v>6834</v>
      </c>
      <c r="Q1156" s="116">
        <v>6707</v>
      </c>
      <c r="R1156">
        <v>13994</v>
      </c>
    </row>
    <row r="1157" spans="1:18" x14ac:dyDescent="0.25">
      <c r="A1157" s="170">
        <v>45980</v>
      </c>
      <c r="B1157" s="116">
        <v>6800.05</v>
      </c>
      <c r="C1157" s="116">
        <v>6773.15</v>
      </c>
      <c r="D1157" s="116">
        <v>6708.5</v>
      </c>
      <c r="E1157" s="116">
        <v>6724.05</v>
      </c>
      <c r="F1157" s="116">
        <v>6773.15</v>
      </c>
      <c r="G1157">
        <v>940</v>
      </c>
      <c r="H1157" s="116"/>
      <c r="I1157" s="116"/>
      <c r="L1157" s="170">
        <v>45980</v>
      </c>
      <c r="M1157" s="116">
        <v>6776.5</v>
      </c>
      <c r="N1157" s="116">
        <v>6805</v>
      </c>
      <c r="O1157" s="116">
        <v>6704</v>
      </c>
      <c r="P1157" s="116">
        <v>6747.5</v>
      </c>
      <c r="Q1157" s="116">
        <v>6776.5</v>
      </c>
      <c r="R1157">
        <v>16599</v>
      </c>
    </row>
    <row r="1158" spans="1:18" x14ac:dyDescent="0.25">
      <c r="A1158" s="170">
        <v>45981</v>
      </c>
      <c r="B1158" s="116">
        <v>6800.05</v>
      </c>
      <c r="C1158" s="116">
        <v>6774.45</v>
      </c>
      <c r="D1158" s="116">
        <v>6700</v>
      </c>
      <c r="E1158" s="116">
        <v>6746</v>
      </c>
      <c r="F1158" s="116">
        <v>6774.45</v>
      </c>
      <c r="G1158">
        <v>709</v>
      </c>
      <c r="H1158" s="116"/>
      <c r="I1158" s="116"/>
      <c r="L1158" s="170">
        <v>45981</v>
      </c>
      <c r="M1158" s="116">
        <v>6770</v>
      </c>
      <c r="N1158" s="116">
        <v>6805</v>
      </c>
      <c r="O1158" s="116">
        <v>6700</v>
      </c>
      <c r="P1158" s="116">
        <v>6776.5</v>
      </c>
      <c r="Q1158" s="116">
        <v>6770</v>
      </c>
      <c r="R1158">
        <v>11914</v>
      </c>
    </row>
    <row r="1159" spans="1:18" x14ac:dyDescent="0.25">
      <c r="A1159" s="170">
        <v>45982</v>
      </c>
      <c r="B1159" s="116">
        <v>6785</v>
      </c>
      <c r="C1159" s="116">
        <v>6737.8</v>
      </c>
      <c r="D1159" s="116">
        <v>6634.65</v>
      </c>
      <c r="E1159" s="116">
        <v>6690</v>
      </c>
      <c r="F1159" s="116">
        <v>6737.8</v>
      </c>
      <c r="G1159">
        <v>1255</v>
      </c>
      <c r="H1159" s="116"/>
      <c r="I1159" s="116"/>
      <c r="L1159" s="170">
        <v>45982</v>
      </c>
      <c r="M1159" s="116">
        <v>6744</v>
      </c>
      <c r="N1159" s="116">
        <v>6790.5</v>
      </c>
      <c r="O1159" s="116">
        <v>6632</v>
      </c>
      <c r="P1159" s="116">
        <v>6737.5</v>
      </c>
      <c r="Q1159" s="116">
        <v>6744</v>
      </c>
      <c r="R1159">
        <v>25265</v>
      </c>
    </row>
    <row r="1160" spans="1:18" x14ac:dyDescent="0.25">
      <c r="A1160" s="170">
        <v>45985</v>
      </c>
      <c r="B1160" s="116">
        <v>6724</v>
      </c>
      <c r="C1160" s="116">
        <v>6662.05</v>
      </c>
      <c r="D1160" s="116">
        <v>6530.5</v>
      </c>
      <c r="E1160" s="116">
        <v>6723.05</v>
      </c>
      <c r="F1160" s="116">
        <v>6662.05</v>
      </c>
      <c r="G1160">
        <v>688</v>
      </c>
      <c r="H1160" s="116"/>
      <c r="I1160" s="116"/>
      <c r="L1160" s="170">
        <v>45985</v>
      </c>
      <c r="M1160" s="116">
        <v>6660</v>
      </c>
      <c r="N1160" s="116">
        <v>6759</v>
      </c>
      <c r="O1160" s="116">
        <v>6530</v>
      </c>
      <c r="P1160" s="116">
        <v>6744</v>
      </c>
      <c r="Q1160" s="116">
        <v>6660</v>
      </c>
      <c r="R1160">
        <v>44563</v>
      </c>
    </row>
    <row r="1161" spans="1:18" x14ac:dyDescent="0.25">
      <c r="A1161" s="170">
        <v>45986</v>
      </c>
      <c r="B1161" s="116">
        <v>7171</v>
      </c>
      <c r="C1161" s="116">
        <v>7026.1</v>
      </c>
      <c r="D1161" s="116">
        <v>6627.1</v>
      </c>
      <c r="E1161" s="116">
        <v>6804.75</v>
      </c>
      <c r="F1161" s="116">
        <v>7026.1</v>
      </c>
      <c r="G1161">
        <v>13110</v>
      </c>
      <c r="H1161" s="116"/>
      <c r="I1161" s="116"/>
      <c r="L1161" s="170">
        <v>45986</v>
      </c>
      <c r="M1161" s="116">
        <v>7021</v>
      </c>
      <c r="N1161" s="116">
        <v>7179.5</v>
      </c>
      <c r="O1161" s="116">
        <v>6630</v>
      </c>
      <c r="P1161" s="116">
        <v>6630</v>
      </c>
      <c r="Q1161" s="116">
        <v>7021</v>
      </c>
      <c r="R1161">
        <v>440301</v>
      </c>
    </row>
    <row r="1162" spans="1:18" x14ac:dyDescent="0.25">
      <c r="A1162" s="170">
        <v>45987</v>
      </c>
      <c r="B1162" s="116">
        <v>7127.05</v>
      </c>
      <c r="C1162" s="116">
        <v>7100.8</v>
      </c>
      <c r="D1162" s="116">
        <v>6968</v>
      </c>
      <c r="E1162" s="116">
        <v>7098.65</v>
      </c>
      <c r="F1162" s="116">
        <v>7100.8</v>
      </c>
      <c r="G1162">
        <v>2606</v>
      </c>
      <c r="H1162" s="116"/>
      <c r="I1162" s="116"/>
      <c r="L1162" s="170">
        <v>45987</v>
      </c>
      <c r="M1162" s="116">
        <v>7101</v>
      </c>
      <c r="N1162" s="116">
        <v>7135</v>
      </c>
      <c r="O1162" s="116">
        <v>6945.5</v>
      </c>
      <c r="P1162" s="116">
        <v>7000</v>
      </c>
      <c r="Q1162" s="116">
        <v>7101</v>
      </c>
      <c r="R1162">
        <v>90347</v>
      </c>
    </row>
    <row r="1163" spans="1:18" x14ac:dyDescent="0.25">
      <c r="A1163" s="170">
        <v>45988</v>
      </c>
      <c r="B1163" s="116">
        <v>7070</v>
      </c>
      <c r="C1163" s="116">
        <v>7048.1</v>
      </c>
      <c r="D1163" s="116">
        <v>6957.55</v>
      </c>
      <c r="E1163" s="116">
        <v>7070</v>
      </c>
      <c r="F1163" s="116">
        <v>7048.1</v>
      </c>
      <c r="G1163">
        <v>786</v>
      </c>
      <c r="H1163" s="116"/>
      <c r="I1163" s="116"/>
      <c r="L1163" s="170">
        <v>45988</v>
      </c>
      <c r="M1163" s="116">
        <v>7050</v>
      </c>
      <c r="N1163" s="116">
        <v>7105</v>
      </c>
      <c r="O1163" s="116">
        <v>6962</v>
      </c>
      <c r="P1163" s="116">
        <v>7101</v>
      </c>
      <c r="Q1163" s="116">
        <v>7050</v>
      </c>
      <c r="R1163">
        <v>19658</v>
      </c>
    </row>
    <row r="1164" spans="1:18" x14ac:dyDescent="0.25">
      <c r="A1164" s="170">
        <v>45989</v>
      </c>
      <c r="B1164" s="116">
        <v>7117.85</v>
      </c>
      <c r="C1164" s="116">
        <v>7029</v>
      </c>
      <c r="D1164" s="116">
        <v>6934.45</v>
      </c>
      <c r="E1164" s="116">
        <v>7107.75</v>
      </c>
      <c r="F1164" s="116">
        <v>7029</v>
      </c>
      <c r="G1164">
        <v>6645</v>
      </c>
      <c r="H1164" s="116"/>
      <c r="I1164" s="116"/>
      <c r="L1164" s="170">
        <v>45989</v>
      </c>
      <c r="M1164" s="116">
        <v>7024.5</v>
      </c>
      <c r="N1164" s="116">
        <v>7125</v>
      </c>
      <c r="O1164" s="116">
        <v>6937.5</v>
      </c>
      <c r="P1164" s="116">
        <v>7085</v>
      </c>
      <c r="Q1164" s="116">
        <v>7024.5</v>
      </c>
      <c r="R1164">
        <v>49323</v>
      </c>
    </row>
    <row r="1165" spans="1:18" x14ac:dyDescent="0.25">
      <c r="A1165" s="170">
        <v>45992</v>
      </c>
      <c r="B1165" s="116">
        <v>7102.2</v>
      </c>
      <c r="C1165" s="116">
        <v>7049.5</v>
      </c>
      <c r="D1165" s="116">
        <v>6977.65</v>
      </c>
      <c r="E1165" s="116">
        <v>7026.05</v>
      </c>
      <c r="F1165" s="116">
        <v>7049.5</v>
      </c>
      <c r="G1165">
        <v>5951</v>
      </c>
      <c r="H1165" s="116"/>
      <c r="I1165" s="116"/>
      <c r="L1165" s="170">
        <v>45992</v>
      </c>
      <c r="M1165" s="116">
        <v>7044</v>
      </c>
      <c r="N1165" s="116">
        <v>7100</v>
      </c>
      <c r="O1165" s="116">
        <v>6966.5</v>
      </c>
      <c r="P1165" s="116">
        <v>7053</v>
      </c>
      <c r="Q1165" s="116">
        <v>7044</v>
      </c>
      <c r="R1165">
        <v>21648</v>
      </c>
    </row>
    <row r="1166" spans="1:18" x14ac:dyDescent="0.25">
      <c r="A1166" s="170">
        <v>45993</v>
      </c>
      <c r="B1166" s="116">
        <v>7205</v>
      </c>
      <c r="C1166" s="116">
        <v>6949.25</v>
      </c>
      <c r="D1166" s="116">
        <v>6882.8</v>
      </c>
      <c r="E1166" s="116">
        <v>7057</v>
      </c>
      <c r="F1166" s="116">
        <v>6949.25</v>
      </c>
      <c r="G1166">
        <v>1074</v>
      </c>
      <c r="H1166" s="116"/>
      <c r="I1166" s="116"/>
      <c r="L1166" s="170">
        <v>45993</v>
      </c>
      <c r="M1166" s="116">
        <v>6955</v>
      </c>
      <c r="N1166" s="116">
        <v>7088.5</v>
      </c>
      <c r="O1166" s="116">
        <v>6882</v>
      </c>
      <c r="P1166" s="116">
        <v>7071.5</v>
      </c>
      <c r="Q1166" s="116">
        <v>6955</v>
      </c>
      <c r="R1166">
        <v>24311</v>
      </c>
    </row>
    <row r="1167" spans="1:18" x14ac:dyDescent="0.25">
      <c r="A1167" s="170">
        <v>45994</v>
      </c>
      <c r="B1167" s="116">
        <v>7107.85</v>
      </c>
      <c r="C1167" s="116">
        <v>7042.65</v>
      </c>
      <c r="D1167" s="116">
        <v>6840</v>
      </c>
      <c r="E1167" s="116">
        <v>6950.5</v>
      </c>
      <c r="F1167" s="116">
        <v>7042.65</v>
      </c>
      <c r="G1167">
        <v>1076</v>
      </c>
      <c r="H1167" s="116"/>
      <c r="I1167" s="116"/>
      <c r="L1167" s="170">
        <v>45994</v>
      </c>
      <c r="M1167" s="116">
        <v>7053.5</v>
      </c>
      <c r="N1167" s="116">
        <v>7159.5</v>
      </c>
      <c r="O1167" s="116">
        <v>6830.5</v>
      </c>
      <c r="P1167" s="116">
        <v>6960</v>
      </c>
      <c r="Q1167" s="116">
        <v>7053.5</v>
      </c>
      <c r="R1167">
        <v>49146</v>
      </c>
    </row>
    <row r="1168" spans="1:18" x14ac:dyDescent="0.25">
      <c r="A1168" s="170">
        <v>45995</v>
      </c>
      <c r="B1168" s="116">
        <v>7192.2</v>
      </c>
      <c r="C1168" s="116">
        <v>7039.45</v>
      </c>
      <c r="D1168" s="116">
        <v>6989.1</v>
      </c>
      <c r="E1168" s="116">
        <v>7192.2</v>
      </c>
      <c r="F1168" s="116">
        <v>7039.45</v>
      </c>
      <c r="G1168">
        <v>615</v>
      </c>
      <c r="H1168" s="116"/>
      <c r="I1168" s="116"/>
      <c r="L1168" s="170">
        <v>45995</v>
      </c>
      <c r="M1168" s="116">
        <v>7038.5</v>
      </c>
      <c r="N1168" s="116">
        <v>7100</v>
      </c>
      <c r="O1168" s="116">
        <v>6985</v>
      </c>
      <c r="P1168" s="116">
        <v>7053.5</v>
      </c>
      <c r="Q1168" s="116">
        <v>7038.5</v>
      </c>
      <c r="R1168">
        <v>23366</v>
      </c>
    </row>
    <row r="1169" spans="1:18" x14ac:dyDescent="0.25">
      <c r="A1169" s="170">
        <v>45996</v>
      </c>
      <c r="B1169" s="116">
        <v>7105.2</v>
      </c>
      <c r="C1169" s="116">
        <v>7095.25</v>
      </c>
      <c r="D1169" s="116">
        <v>6967.05</v>
      </c>
      <c r="E1169" s="116">
        <v>6967.05</v>
      </c>
      <c r="F1169" s="116">
        <v>7095.25</v>
      </c>
      <c r="G1169">
        <v>1576</v>
      </c>
      <c r="H1169" s="116"/>
      <c r="I1169" s="116"/>
      <c r="L1169" s="170">
        <v>45996</v>
      </c>
      <c r="M1169" s="116">
        <v>7102.5</v>
      </c>
      <c r="N1169" s="116">
        <v>7110.5</v>
      </c>
      <c r="O1169" s="116">
        <v>7025.5</v>
      </c>
      <c r="P1169" s="116">
        <v>7035</v>
      </c>
      <c r="Q1169" s="116">
        <v>7102.5</v>
      </c>
      <c r="R1169">
        <v>35753</v>
      </c>
    </row>
    <row r="1170" spans="1:18" x14ac:dyDescent="0.25">
      <c r="A1170" s="170">
        <v>45999</v>
      </c>
      <c r="B1170" s="116">
        <v>7145</v>
      </c>
      <c r="C1170" s="116">
        <v>6901.5</v>
      </c>
      <c r="D1170" s="116">
        <v>6870</v>
      </c>
      <c r="E1170" s="116">
        <v>7145</v>
      </c>
      <c r="F1170" s="116">
        <v>6901.5</v>
      </c>
      <c r="G1170">
        <v>1043</v>
      </c>
      <c r="H1170" s="116"/>
      <c r="I1170" s="116"/>
      <c r="L1170" s="170">
        <v>45999</v>
      </c>
      <c r="M1170" s="116">
        <v>6909</v>
      </c>
      <c r="N1170" s="116">
        <v>7150</v>
      </c>
      <c r="O1170" s="116">
        <v>6876.5</v>
      </c>
      <c r="P1170" s="116">
        <v>7150</v>
      </c>
      <c r="Q1170" s="116">
        <v>6909</v>
      </c>
      <c r="R1170">
        <v>33936</v>
      </c>
    </row>
    <row r="1171" spans="1:18" x14ac:dyDescent="0.25">
      <c r="A1171" s="170">
        <v>46000</v>
      </c>
      <c r="B1171" s="116">
        <v>7105.5</v>
      </c>
      <c r="C1171" s="116">
        <v>7062.55</v>
      </c>
      <c r="D1171" s="116">
        <v>6751</v>
      </c>
      <c r="E1171" s="116">
        <v>6870</v>
      </c>
      <c r="F1171" s="116">
        <v>7062.55</v>
      </c>
      <c r="G1171">
        <v>8008</v>
      </c>
      <c r="H1171" s="116"/>
      <c r="I1171" s="116"/>
      <c r="L1171" s="170">
        <v>46000</v>
      </c>
      <c r="M1171" s="116">
        <v>7076</v>
      </c>
      <c r="N1171" s="116">
        <v>7100</v>
      </c>
      <c r="O1171" s="116">
        <v>6723</v>
      </c>
      <c r="P1171" s="116">
        <v>6865</v>
      </c>
      <c r="Q1171" s="116">
        <v>7076</v>
      </c>
      <c r="R1171">
        <v>25464</v>
      </c>
    </row>
    <row r="1172" spans="1:18" x14ac:dyDescent="0.25">
      <c r="A1172" s="170">
        <v>46001</v>
      </c>
      <c r="B1172" s="116">
        <v>7105.45</v>
      </c>
      <c r="C1172" s="116">
        <v>6971.55</v>
      </c>
      <c r="D1172" s="116">
        <v>6932.5</v>
      </c>
      <c r="E1172" s="116">
        <v>7105.45</v>
      </c>
      <c r="F1172" s="116">
        <v>6971.55</v>
      </c>
      <c r="G1172">
        <v>628</v>
      </c>
      <c r="H1172" s="116"/>
      <c r="I1172" s="116"/>
      <c r="L1172" s="170">
        <v>46001</v>
      </c>
      <c r="M1172" s="116">
        <v>6972</v>
      </c>
      <c r="N1172" s="116">
        <v>7086</v>
      </c>
      <c r="O1172" s="116">
        <v>6925</v>
      </c>
      <c r="P1172" s="116">
        <v>7076</v>
      </c>
      <c r="Q1172" s="116">
        <v>6972</v>
      </c>
      <c r="R1172">
        <v>14380</v>
      </c>
    </row>
    <row r="1173" spans="1:18" x14ac:dyDescent="0.25">
      <c r="A1173" s="170">
        <v>46002</v>
      </c>
      <c r="B1173" s="116">
        <v>7098.05</v>
      </c>
      <c r="C1173" s="116">
        <v>7029.55</v>
      </c>
      <c r="D1173" s="116">
        <v>6913.25</v>
      </c>
      <c r="E1173" s="116">
        <v>6937.6</v>
      </c>
      <c r="F1173" s="116">
        <v>7029.55</v>
      </c>
      <c r="G1173">
        <v>949</v>
      </c>
      <c r="H1173" s="116"/>
      <c r="I1173" s="116"/>
      <c r="L1173" s="170">
        <v>46002</v>
      </c>
      <c r="M1173" s="116">
        <v>7031</v>
      </c>
      <c r="N1173" s="116">
        <v>7109</v>
      </c>
      <c r="O1173" s="116">
        <v>6911</v>
      </c>
      <c r="P1173" s="116">
        <v>6968</v>
      </c>
      <c r="Q1173" s="116">
        <v>7031</v>
      </c>
      <c r="R1173">
        <v>21548</v>
      </c>
    </row>
    <row r="1174" spans="1:18" x14ac:dyDescent="0.25">
      <c r="A1174" s="170">
        <v>46003</v>
      </c>
      <c r="B1174" s="116">
        <v>7100</v>
      </c>
      <c r="C1174" s="116">
        <v>7022.7</v>
      </c>
      <c r="D1174" s="116">
        <v>6987</v>
      </c>
      <c r="E1174" s="116">
        <v>7002.5</v>
      </c>
      <c r="F1174" s="116">
        <v>7022.7</v>
      </c>
      <c r="G1174">
        <v>7793</v>
      </c>
      <c r="H1174" s="116"/>
      <c r="I1174" s="116"/>
      <c r="L1174" s="170">
        <v>46003</v>
      </c>
      <c r="M1174" s="116">
        <v>7016</v>
      </c>
      <c r="N1174" s="116">
        <v>7105</v>
      </c>
      <c r="O1174" s="116">
        <v>6982</v>
      </c>
      <c r="P1174" s="116">
        <v>7051</v>
      </c>
      <c r="Q1174" s="116">
        <v>7016</v>
      </c>
      <c r="R1174">
        <v>21045</v>
      </c>
    </row>
    <row r="1175" spans="1:18" x14ac:dyDescent="0.25">
      <c r="A1175" s="170">
        <v>46006</v>
      </c>
      <c r="B1175" s="116">
        <v>7120.05</v>
      </c>
      <c r="C1175" s="116">
        <v>7095.7</v>
      </c>
      <c r="D1175" s="116">
        <v>7033.05</v>
      </c>
      <c r="E1175" s="116">
        <v>7099.95</v>
      </c>
      <c r="F1175" s="116">
        <v>7095.7</v>
      </c>
      <c r="G1175">
        <v>1888</v>
      </c>
      <c r="H1175" s="116"/>
      <c r="I1175" s="116"/>
      <c r="L1175" s="170">
        <v>46006</v>
      </c>
      <c r="M1175" s="116">
        <v>7090.5</v>
      </c>
      <c r="N1175" s="116">
        <v>7140.5</v>
      </c>
      <c r="O1175" s="116">
        <v>7029.5</v>
      </c>
      <c r="P1175" s="116">
        <v>7068</v>
      </c>
      <c r="Q1175" s="116">
        <v>7090.5</v>
      </c>
      <c r="R1175">
        <v>41417</v>
      </c>
    </row>
    <row r="1176" spans="1:18" x14ac:dyDescent="0.25">
      <c r="A1176" s="170">
        <v>46007</v>
      </c>
      <c r="B1176" s="116">
        <v>7096.7</v>
      </c>
      <c r="C1176" s="116">
        <v>7032</v>
      </c>
      <c r="D1176" s="116">
        <v>6977.25</v>
      </c>
      <c r="E1176" s="116">
        <v>7095.7</v>
      </c>
      <c r="F1176" s="116">
        <v>7032</v>
      </c>
      <c r="G1176">
        <v>1938</v>
      </c>
      <c r="H1176" s="116"/>
      <c r="I1176" s="116"/>
      <c r="L1176" s="170">
        <v>46007</v>
      </c>
      <c r="M1176" s="116">
        <v>7039</v>
      </c>
      <c r="N1176" s="116">
        <v>7100</v>
      </c>
      <c r="O1176" s="116">
        <v>7010</v>
      </c>
      <c r="P1176" s="116">
        <v>7085</v>
      </c>
      <c r="Q1176" s="116">
        <v>7039</v>
      </c>
      <c r="R1176">
        <v>20479</v>
      </c>
    </row>
    <row r="1177" spans="1:18" x14ac:dyDescent="0.25">
      <c r="A1177" s="170">
        <v>46008</v>
      </c>
      <c r="B1177" s="116">
        <v>7124.95</v>
      </c>
      <c r="C1177" s="116">
        <v>7001.3</v>
      </c>
      <c r="D1177" s="116">
        <v>6948.95</v>
      </c>
      <c r="E1177" s="116">
        <v>7124.95</v>
      </c>
      <c r="F1177" s="116">
        <v>7001.3</v>
      </c>
      <c r="G1177">
        <v>445</v>
      </c>
      <c r="H1177" s="116"/>
      <c r="I1177" s="116"/>
      <c r="L1177" s="170">
        <v>46008</v>
      </c>
      <c r="M1177" s="116">
        <v>7014.5</v>
      </c>
      <c r="N1177" s="116">
        <v>7065</v>
      </c>
      <c r="O1177" s="116">
        <v>6936.5</v>
      </c>
      <c r="P1177" s="116">
        <v>7050.5</v>
      </c>
      <c r="Q1177" s="116">
        <v>7014.5</v>
      </c>
      <c r="R1177">
        <v>14534</v>
      </c>
    </row>
    <row r="1178" spans="1:18" x14ac:dyDescent="0.25">
      <c r="A1178" s="170">
        <v>46009</v>
      </c>
      <c r="B1178" s="116">
        <v>7093.85</v>
      </c>
      <c r="C1178" s="116">
        <v>7064.15</v>
      </c>
      <c r="D1178" s="116">
        <v>6880</v>
      </c>
      <c r="E1178" s="116">
        <v>7007.5</v>
      </c>
      <c r="F1178" s="116">
        <v>7064.15</v>
      </c>
      <c r="G1178">
        <v>972</v>
      </c>
      <c r="H1178" s="116"/>
      <c r="I1178" s="116"/>
      <c r="L1178" s="170">
        <v>46009</v>
      </c>
      <c r="M1178" s="116">
        <v>7071.5</v>
      </c>
      <c r="N1178" s="116">
        <v>7100</v>
      </c>
      <c r="O1178" s="116">
        <v>6878</v>
      </c>
      <c r="P1178" s="116">
        <v>7050</v>
      </c>
      <c r="Q1178" s="116">
        <v>7071.5</v>
      </c>
      <c r="R1178">
        <v>18576</v>
      </c>
    </row>
    <row r="1179" spans="1:18" x14ac:dyDescent="0.25">
      <c r="A1179" s="170">
        <v>46010</v>
      </c>
      <c r="B1179" s="116">
        <v>7108</v>
      </c>
      <c r="C1179" s="116">
        <v>7040.6</v>
      </c>
      <c r="D1179" s="116">
        <v>7006</v>
      </c>
      <c r="E1179" s="116">
        <v>7093.8</v>
      </c>
      <c r="F1179" s="116">
        <v>7040.6</v>
      </c>
      <c r="G1179">
        <v>1396</v>
      </c>
      <c r="H1179" s="116"/>
      <c r="I1179" s="116"/>
      <c r="L1179" s="170">
        <v>46010</v>
      </c>
      <c r="M1179" s="116">
        <v>7042.5</v>
      </c>
      <c r="N1179" s="116">
        <v>7105</v>
      </c>
      <c r="O1179" s="116">
        <v>7002</v>
      </c>
      <c r="P1179" s="116">
        <v>7076</v>
      </c>
      <c r="Q1179" s="116">
        <v>7042.5</v>
      </c>
      <c r="R1179">
        <v>23667</v>
      </c>
    </row>
    <row r="1180" spans="1:18" x14ac:dyDescent="0.25">
      <c r="A1180" s="170">
        <v>46013</v>
      </c>
      <c r="B1180" s="116">
        <v>7217.4</v>
      </c>
      <c r="C1180" s="116">
        <v>7059.3</v>
      </c>
      <c r="D1180" s="116">
        <v>7024.5</v>
      </c>
      <c r="E1180" s="116">
        <v>7092.95</v>
      </c>
      <c r="F1180" s="116">
        <v>7059.3</v>
      </c>
      <c r="G1180">
        <v>1042</v>
      </c>
      <c r="H1180" s="116"/>
      <c r="I1180" s="116"/>
      <c r="L1180" s="170">
        <v>46013</v>
      </c>
      <c r="M1180" s="116">
        <v>7051</v>
      </c>
      <c r="N1180" s="116">
        <v>7230</v>
      </c>
      <c r="O1180" s="116">
        <v>7011</v>
      </c>
      <c r="P1180" s="116">
        <v>7100</v>
      </c>
      <c r="Q1180" s="116">
        <v>7051</v>
      </c>
      <c r="R1180">
        <v>52702</v>
      </c>
    </row>
    <row r="1181" spans="1:18" x14ac:dyDescent="0.25">
      <c r="A1181" s="170">
        <v>46014</v>
      </c>
      <c r="B1181" s="116">
        <v>7122.9</v>
      </c>
      <c r="C1181" s="116">
        <v>7081.4</v>
      </c>
      <c r="D1181" s="116">
        <v>7027</v>
      </c>
      <c r="E1181" s="116">
        <v>7070.3</v>
      </c>
      <c r="F1181" s="116">
        <v>7081.4</v>
      </c>
      <c r="G1181">
        <v>11719</v>
      </c>
      <c r="H1181" s="116"/>
      <c r="I1181" s="116"/>
      <c r="L1181" s="170">
        <v>46014</v>
      </c>
      <c r="M1181" s="116">
        <v>7089</v>
      </c>
      <c r="N1181" s="116">
        <v>7125</v>
      </c>
      <c r="O1181" s="116">
        <v>7020</v>
      </c>
      <c r="P1181" s="116">
        <v>7078.5</v>
      </c>
      <c r="Q1181" s="116">
        <v>7089</v>
      </c>
      <c r="R1181">
        <v>30809</v>
      </c>
    </row>
    <row r="1182" spans="1:18" x14ac:dyDescent="0.25">
      <c r="A1182" s="170">
        <v>46015</v>
      </c>
      <c r="B1182" s="116">
        <v>7164.6</v>
      </c>
      <c r="C1182" s="116">
        <v>7058.1</v>
      </c>
      <c r="D1182" s="116">
        <v>6990.6</v>
      </c>
      <c r="E1182" s="116">
        <v>7050</v>
      </c>
      <c r="F1182" s="116">
        <v>7058.1</v>
      </c>
      <c r="G1182">
        <v>22832</v>
      </c>
      <c r="H1182" s="116"/>
      <c r="I1182" s="116"/>
      <c r="L1182" s="170">
        <v>46015</v>
      </c>
      <c r="M1182" s="116">
        <v>7056</v>
      </c>
      <c r="N1182" s="116">
        <v>7165</v>
      </c>
      <c r="O1182" s="116">
        <v>7002.5</v>
      </c>
      <c r="P1182" s="116">
        <v>7032</v>
      </c>
      <c r="Q1182" s="116">
        <v>7056</v>
      </c>
      <c r="R1182">
        <v>74883</v>
      </c>
    </row>
    <row r="1183" spans="1:18" x14ac:dyDescent="0.25">
      <c r="A1183" s="170">
        <v>46017</v>
      </c>
      <c r="B1183" s="116">
        <v>7446.95</v>
      </c>
      <c r="C1183" s="116">
        <v>7378.6</v>
      </c>
      <c r="D1183" s="116">
        <v>6940</v>
      </c>
      <c r="E1183" s="116">
        <v>6970.05</v>
      </c>
      <c r="F1183" s="116">
        <v>7378.6</v>
      </c>
      <c r="G1183">
        <v>85734</v>
      </c>
      <c r="H1183" s="116"/>
      <c r="I1183" s="116"/>
      <c r="L1183" s="170">
        <v>46017</v>
      </c>
      <c r="M1183" s="116">
        <v>7379.5</v>
      </c>
      <c r="N1183" s="116">
        <v>7444</v>
      </c>
      <c r="O1183" s="116">
        <v>6941.5</v>
      </c>
      <c r="P1183" s="116">
        <v>7000.5</v>
      </c>
      <c r="Q1183" s="116">
        <v>7379.5</v>
      </c>
      <c r="R1183">
        <v>115817</v>
      </c>
    </row>
    <row r="1184" spans="1:18" x14ac:dyDescent="0.25">
      <c r="A1184" s="170">
        <v>46020</v>
      </c>
      <c r="B1184" s="116">
        <v>7519</v>
      </c>
      <c r="C1184" s="116">
        <v>7039</v>
      </c>
      <c r="D1184" s="116">
        <v>6980</v>
      </c>
      <c r="E1184" s="116">
        <v>7400.55</v>
      </c>
      <c r="F1184" s="116">
        <v>7039</v>
      </c>
      <c r="G1184">
        <v>3912</v>
      </c>
      <c r="H1184" s="116"/>
      <c r="I1184" s="116"/>
      <c r="L1184" s="170">
        <v>46020</v>
      </c>
      <c r="M1184" s="116">
        <v>7031.5</v>
      </c>
      <c r="N1184" s="116">
        <v>7537</v>
      </c>
      <c r="O1184" s="116">
        <v>6970</v>
      </c>
      <c r="P1184" s="116">
        <v>7537</v>
      </c>
      <c r="Q1184" s="116">
        <v>7031.5</v>
      </c>
      <c r="R1184">
        <v>84257</v>
      </c>
    </row>
    <row r="1185" spans="1:18" x14ac:dyDescent="0.25">
      <c r="A1185" s="170">
        <v>46021</v>
      </c>
      <c r="B1185" s="116">
        <v>7230</v>
      </c>
      <c r="C1185" s="116">
        <v>7152.9</v>
      </c>
      <c r="D1185" s="116">
        <v>6890.25</v>
      </c>
      <c r="E1185" s="116">
        <v>7000.6</v>
      </c>
      <c r="F1185" s="116">
        <v>7152.9</v>
      </c>
      <c r="G1185">
        <v>14367</v>
      </c>
      <c r="H1185" s="116"/>
      <c r="I1185" s="116"/>
      <c r="L1185" s="170">
        <v>46021</v>
      </c>
      <c r="M1185" s="116">
        <v>7156</v>
      </c>
      <c r="N1185" s="116">
        <v>7234</v>
      </c>
      <c r="O1185" s="116">
        <v>6855</v>
      </c>
      <c r="P1185" s="116">
        <v>6979.5</v>
      </c>
      <c r="Q1185" s="116">
        <v>7156</v>
      </c>
      <c r="R1185">
        <v>73181</v>
      </c>
    </row>
    <row r="1186" spans="1:18" x14ac:dyDescent="0.25">
      <c r="A1186" s="170">
        <v>46022</v>
      </c>
      <c r="B1186" s="116">
        <v>7829.3</v>
      </c>
      <c r="C1186" s="116">
        <v>7655.35</v>
      </c>
      <c r="D1186" s="116">
        <v>7168.9</v>
      </c>
      <c r="E1186" s="116">
        <v>7369.8</v>
      </c>
      <c r="F1186" s="116">
        <v>7655.35</v>
      </c>
      <c r="G1186">
        <v>80584</v>
      </c>
      <c r="H1186" s="116"/>
      <c r="I1186" s="116"/>
      <c r="L1186" s="170">
        <v>46022</v>
      </c>
      <c r="M1186" s="116">
        <v>7689.5</v>
      </c>
      <c r="N1186" s="116">
        <v>7837</v>
      </c>
      <c r="O1186" s="116">
        <v>7167</v>
      </c>
      <c r="P1186" s="116">
        <v>7200</v>
      </c>
      <c r="Q1186" s="116">
        <v>7689.5</v>
      </c>
      <c r="R1186">
        <v>433578</v>
      </c>
    </row>
    <row r="1187" spans="1:18" x14ac:dyDescent="0.25">
      <c r="A1187" s="170">
        <v>46023</v>
      </c>
      <c r="B1187" s="116">
        <v>7755</v>
      </c>
      <c r="C1187" s="116">
        <v>7730</v>
      </c>
      <c r="D1187" s="116">
        <v>7457.4</v>
      </c>
      <c r="E1187" s="116">
        <v>7605</v>
      </c>
      <c r="F1187" s="116">
        <v>7730</v>
      </c>
      <c r="G1187">
        <v>4693</v>
      </c>
      <c r="H1187" s="116"/>
      <c r="I1187" s="116"/>
      <c r="L1187" s="170">
        <v>46023</v>
      </c>
      <c r="M1187" s="116">
        <v>7722.5</v>
      </c>
      <c r="N1187" s="116">
        <v>7761.5</v>
      </c>
      <c r="O1187" s="116">
        <v>7459</v>
      </c>
      <c r="P1187" s="116">
        <v>7600</v>
      </c>
      <c r="Q1187" s="116">
        <v>7722.5</v>
      </c>
      <c r="R1187">
        <v>108494</v>
      </c>
    </row>
    <row r="1188" spans="1:18" x14ac:dyDescent="0.25">
      <c r="A1188" s="170">
        <v>46024</v>
      </c>
      <c r="B1188" s="116">
        <v>8040</v>
      </c>
      <c r="C1188" s="116">
        <v>8010</v>
      </c>
      <c r="D1188" s="116">
        <v>7650</v>
      </c>
      <c r="E1188" s="116">
        <v>7747.8</v>
      </c>
      <c r="F1188" s="116">
        <v>8010</v>
      </c>
      <c r="G1188">
        <v>36131</v>
      </c>
      <c r="H1188" s="116"/>
      <c r="I1188" s="116"/>
      <c r="L1188" s="170">
        <v>46024</v>
      </c>
      <c r="M1188" s="116">
        <v>8013.5</v>
      </c>
      <c r="N1188" s="116">
        <v>8050</v>
      </c>
      <c r="O1188" s="116">
        <v>7617</v>
      </c>
      <c r="P1188" s="116">
        <v>7701</v>
      </c>
      <c r="Q1188" s="116">
        <v>8013.5</v>
      </c>
      <c r="R1188">
        <v>88550</v>
      </c>
    </row>
    <row r="1189" spans="1:18" x14ac:dyDescent="0.25">
      <c r="A1189" s="170">
        <v>46027</v>
      </c>
      <c r="B1189" s="116">
        <v>8040.9</v>
      </c>
      <c r="C1189" s="116">
        <v>8002.15</v>
      </c>
      <c r="D1189" s="116">
        <v>7917.8</v>
      </c>
      <c r="E1189" s="116">
        <v>8010</v>
      </c>
      <c r="F1189" s="116">
        <v>8002.15</v>
      </c>
      <c r="G1189">
        <v>1944</v>
      </c>
      <c r="H1189" s="116"/>
      <c r="I1189" s="116"/>
      <c r="L1189" s="170">
        <v>46027</v>
      </c>
      <c r="M1189" s="116">
        <v>8002</v>
      </c>
      <c r="N1189" s="116">
        <v>8035.5</v>
      </c>
      <c r="O1189" s="116">
        <v>7904.5</v>
      </c>
      <c r="P1189" s="116">
        <v>8013</v>
      </c>
      <c r="Q1189" s="116">
        <v>8002</v>
      </c>
      <c r="R1189">
        <v>50086</v>
      </c>
    </row>
    <row r="1190" spans="1:18" x14ac:dyDescent="0.25">
      <c r="A1190" s="170">
        <v>46028</v>
      </c>
      <c r="B1190" s="116">
        <v>8068.75</v>
      </c>
      <c r="C1190" s="116">
        <v>8014.05</v>
      </c>
      <c r="D1190" s="116">
        <v>7926</v>
      </c>
      <c r="E1190" s="116">
        <v>8031.95</v>
      </c>
      <c r="F1190" s="116">
        <v>8014.05</v>
      </c>
      <c r="G1190">
        <v>2807</v>
      </c>
      <c r="H1190" s="116"/>
      <c r="I1190" s="116"/>
      <c r="L1190" s="170">
        <v>46028</v>
      </c>
      <c r="M1190" s="116">
        <v>8021.5</v>
      </c>
      <c r="N1190" s="116">
        <v>8069</v>
      </c>
      <c r="O1190" s="116">
        <v>7914</v>
      </c>
      <c r="P1190" s="116">
        <v>7990</v>
      </c>
      <c r="Q1190" s="116">
        <v>8021.5</v>
      </c>
      <c r="R1190">
        <v>47112</v>
      </c>
    </row>
    <row r="1191" spans="1:18" x14ac:dyDescent="0.25">
      <c r="A1191" s="170">
        <v>46029</v>
      </c>
      <c r="B1191" s="116">
        <v>8006.3</v>
      </c>
      <c r="C1191" s="116">
        <v>7812.6</v>
      </c>
      <c r="D1191" s="116">
        <v>7780.85</v>
      </c>
      <c r="E1191" s="116">
        <v>7975</v>
      </c>
      <c r="F1191" s="116">
        <v>7812.6</v>
      </c>
      <c r="G1191">
        <v>1226</v>
      </c>
      <c r="H1191" s="116"/>
      <c r="I1191" s="116"/>
      <c r="L1191" s="170">
        <v>46029</v>
      </c>
      <c r="M1191" s="116">
        <v>7806</v>
      </c>
      <c r="N1191" s="116">
        <v>8001</v>
      </c>
      <c r="O1191" s="116">
        <v>7770</v>
      </c>
      <c r="P1191" s="116">
        <v>7978</v>
      </c>
      <c r="Q1191" s="116">
        <v>7806</v>
      </c>
      <c r="R1191">
        <v>30622</v>
      </c>
    </row>
    <row r="1192" spans="1:18" x14ac:dyDescent="0.25">
      <c r="A1192" s="170">
        <v>46030</v>
      </c>
      <c r="B1192" s="116">
        <v>7885.2</v>
      </c>
      <c r="C1192" s="116">
        <v>7659.35</v>
      </c>
      <c r="D1192" s="116">
        <v>7617.05</v>
      </c>
      <c r="E1192" s="116">
        <v>7799.75</v>
      </c>
      <c r="F1192" s="116">
        <v>7659.35</v>
      </c>
      <c r="G1192">
        <v>4369</v>
      </c>
      <c r="H1192" s="116"/>
      <c r="I1192" s="116"/>
      <c r="L1192" s="170">
        <v>46030</v>
      </c>
      <c r="M1192" s="116">
        <v>7667</v>
      </c>
      <c r="N1192" s="116">
        <v>7889</v>
      </c>
      <c r="O1192" s="116">
        <v>7632</v>
      </c>
      <c r="P1192" s="116">
        <v>7780.5</v>
      </c>
      <c r="Q1192" s="116">
        <v>7667</v>
      </c>
      <c r="R1192">
        <v>22679</v>
      </c>
    </row>
    <row r="1193" spans="1:18" x14ac:dyDescent="0.25">
      <c r="A1193" s="170">
        <v>46031</v>
      </c>
      <c r="B1193" s="116">
        <v>7849.8</v>
      </c>
      <c r="C1193" s="116">
        <v>7634.4</v>
      </c>
      <c r="D1193" s="116">
        <v>7543</v>
      </c>
      <c r="E1193" s="116">
        <v>7849.8</v>
      </c>
      <c r="F1193" s="116">
        <v>7634.4</v>
      </c>
      <c r="G1193">
        <v>2391</v>
      </c>
      <c r="H1193" s="116"/>
      <c r="I1193" s="116"/>
      <c r="L1193" s="170">
        <v>46031</v>
      </c>
      <c r="M1193" s="116">
        <v>7621</v>
      </c>
      <c r="N1193" s="116">
        <v>7839</v>
      </c>
      <c r="O1193" s="116">
        <v>7540</v>
      </c>
      <c r="P1193" s="116">
        <v>7667</v>
      </c>
      <c r="Q1193" s="116">
        <v>7621</v>
      </c>
      <c r="R1193">
        <v>33844</v>
      </c>
    </row>
    <row r="1194" spans="1:18" x14ac:dyDescent="0.25">
      <c r="A1194" s="170">
        <v>46034</v>
      </c>
      <c r="B1194" s="116">
        <v>7571.75</v>
      </c>
      <c r="C1194" s="116">
        <v>7495.1</v>
      </c>
      <c r="D1194" s="116">
        <v>7335.15</v>
      </c>
      <c r="E1194" s="116">
        <v>7558.05</v>
      </c>
      <c r="F1194" s="116">
        <v>7495.1</v>
      </c>
      <c r="G1194">
        <v>3844</v>
      </c>
      <c r="H1194" s="116"/>
      <c r="I1194" s="116"/>
      <c r="L1194" s="170">
        <v>46034</v>
      </c>
      <c r="M1194" s="116">
        <v>7495.5</v>
      </c>
      <c r="N1194" s="116">
        <v>7589</v>
      </c>
      <c r="O1194" s="116">
        <v>7334</v>
      </c>
      <c r="P1194" s="116">
        <v>7589</v>
      </c>
      <c r="Q1194" s="116">
        <v>7495.5</v>
      </c>
      <c r="R1194">
        <v>33837</v>
      </c>
    </row>
    <row r="1195" spans="1:18" x14ac:dyDescent="0.25">
      <c r="A1195" s="170">
        <v>46035</v>
      </c>
      <c r="B1195" s="116">
        <v>7720.45</v>
      </c>
      <c r="C1195" s="116">
        <v>7691.4</v>
      </c>
      <c r="D1195" s="116">
        <v>7449.15</v>
      </c>
      <c r="E1195" s="116">
        <v>7495.15</v>
      </c>
      <c r="F1195" s="116">
        <v>7691.4</v>
      </c>
      <c r="G1195">
        <v>1612</v>
      </c>
      <c r="H1195" s="116"/>
      <c r="I1195" s="116"/>
      <c r="L1195" s="170">
        <v>46035</v>
      </c>
      <c r="M1195" s="116">
        <v>7686.5</v>
      </c>
      <c r="N1195" s="116">
        <v>7733.5</v>
      </c>
      <c r="O1195" s="116">
        <v>7439</v>
      </c>
      <c r="P1195" s="116">
        <v>7522</v>
      </c>
      <c r="Q1195" s="116">
        <v>7686.5</v>
      </c>
      <c r="R1195">
        <v>25796</v>
      </c>
    </row>
    <row r="1196" spans="1:18" x14ac:dyDescent="0.25">
      <c r="A1196" s="170">
        <v>46036</v>
      </c>
      <c r="B1196" s="116">
        <v>7857.3</v>
      </c>
      <c r="C1196" s="116">
        <v>7850.15</v>
      </c>
      <c r="D1196" s="116">
        <v>7626.45</v>
      </c>
      <c r="E1196" s="116">
        <v>7626.45</v>
      </c>
      <c r="F1196" s="116">
        <v>7850.15</v>
      </c>
      <c r="G1196">
        <v>48167</v>
      </c>
      <c r="H1196" s="116"/>
      <c r="I1196" s="116"/>
      <c r="L1196" s="170">
        <v>46036</v>
      </c>
      <c r="M1196" s="116">
        <v>7850</v>
      </c>
      <c r="N1196" s="116">
        <v>7867</v>
      </c>
      <c r="O1196" s="116">
        <v>7610</v>
      </c>
      <c r="P1196" s="116">
        <v>7660</v>
      </c>
      <c r="Q1196" s="116">
        <v>7850</v>
      </c>
      <c r="R1196">
        <v>87690</v>
      </c>
    </row>
    <row r="1197" spans="1:18" x14ac:dyDescent="0.25">
      <c r="A1197" s="170">
        <v>46038</v>
      </c>
      <c r="B1197" s="116">
        <v>7874.95</v>
      </c>
      <c r="C1197" s="116">
        <v>7759.5</v>
      </c>
      <c r="D1197" s="116">
        <v>7736</v>
      </c>
      <c r="E1197" s="116">
        <v>7874.95</v>
      </c>
      <c r="F1197" s="116">
        <v>7759.5</v>
      </c>
      <c r="G1197">
        <v>942</v>
      </c>
      <c r="H1197" s="116"/>
      <c r="I1197" s="116"/>
      <c r="L1197" s="170">
        <v>46038</v>
      </c>
      <c r="M1197" s="116">
        <v>7768</v>
      </c>
      <c r="N1197" s="116">
        <v>7870</v>
      </c>
      <c r="O1197" s="116">
        <v>7733.5</v>
      </c>
      <c r="P1197" s="116">
        <v>7850</v>
      </c>
      <c r="Q1197" s="116">
        <v>7768</v>
      </c>
      <c r="R1197">
        <v>15481</v>
      </c>
    </row>
    <row r="1198" spans="1:18" x14ac:dyDescent="0.25">
      <c r="A1198" s="170">
        <v>46041</v>
      </c>
      <c r="B1198" s="116">
        <v>7768</v>
      </c>
      <c r="C1198" s="116">
        <v>7604.8</v>
      </c>
      <c r="D1198" s="116">
        <v>7574.3</v>
      </c>
      <c r="E1198" s="116">
        <v>7768</v>
      </c>
      <c r="F1198" s="116">
        <v>7604.8</v>
      </c>
      <c r="G1198">
        <v>637</v>
      </c>
      <c r="H1198" s="116"/>
      <c r="I1198" s="116"/>
      <c r="L1198" s="170">
        <v>46041</v>
      </c>
      <c r="M1198" s="116">
        <v>7604</v>
      </c>
      <c r="N1198" s="116">
        <v>7777</v>
      </c>
      <c r="O1198" s="116">
        <v>7576</v>
      </c>
      <c r="P1198" s="116">
        <v>7750</v>
      </c>
      <c r="Q1198" s="116">
        <v>7604</v>
      </c>
      <c r="R1198">
        <v>17858</v>
      </c>
    </row>
    <row r="1199" spans="1:18" x14ac:dyDescent="0.25">
      <c r="A1199" s="170">
        <v>46042</v>
      </c>
      <c r="B1199" s="116">
        <v>7606.65</v>
      </c>
      <c r="C1199" s="116">
        <v>7399.25</v>
      </c>
      <c r="D1199" s="116">
        <v>7357.65</v>
      </c>
      <c r="E1199" s="116">
        <v>7604.05</v>
      </c>
      <c r="F1199" s="116">
        <v>7399.25</v>
      </c>
      <c r="G1199">
        <v>2350</v>
      </c>
      <c r="H1199" s="116"/>
      <c r="I1199" s="116"/>
      <c r="L1199" s="170">
        <v>46042</v>
      </c>
      <c r="M1199" s="116">
        <v>7410</v>
      </c>
      <c r="N1199" s="116">
        <v>7607</v>
      </c>
      <c r="O1199" s="116">
        <v>7340</v>
      </c>
      <c r="P1199" s="116">
        <v>7550</v>
      </c>
      <c r="Q1199" s="116">
        <v>7410</v>
      </c>
      <c r="R1199">
        <v>19406</v>
      </c>
    </row>
    <row r="1200" spans="1:18" x14ac:dyDescent="0.25">
      <c r="A1200" s="170">
        <v>46043</v>
      </c>
      <c r="B1200" s="116">
        <v>7475.95</v>
      </c>
      <c r="C1200" s="116">
        <v>7389.5</v>
      </c>
      <c r="D1200" s="116">
        <v>7207.55</v>
      </c>
      <c r="E1200" s="116">
        <v>7362.6</v>
      </c>
      <c r="F1200" s="116">
        <v>7389.5</v>
      </c>
      <c r="G1200">
        <v>2146</v>
      </c>
      <c r="H1200" s="116"/>
      <c r="I1200" s="116"/>
      <c r="L1200" s="170">
        <v>46043</v>
      </c>
      <c r="M1200" s="116">
        <v>7392.5</v>
      </c>
      <c r="N1200" s="116">
        <v>7485.5</v>
      </c>
      <c r="O1200" s="116">
        <v>7210</v>
      </c>
      <c r="P1200" s="116">
        <v>7327.5</v>
      </c>
      <c r="Q1200" s="116">
        <v>7392.5</v>
      </c>
      <c r="R1200">
        <v>27159</v>
      </c>
    </row>
    <row r="1201" spans="1:18" x14ac:dyDescent="0.25">
      <c r="A1201" s="170">
        <v>46044</v>
      </c>
      <c r="B1201" s="116">
        <v>7656.95</v>
      </c>
      <c r="C1201" s="116">
        <v>7606.9</v>
      </c>
      <c r="D1201" s="116">
        <v>7380</v>
      </c>
      <c r="E1201" s="116">
        <v>7380</v>
      </c>
      <c r="F1201" s="116">
        <v>7606.9</v>
      </c>
      <c r="G1201">
        <v>671</v>
      </c>
      <c r="H1201" s="116"/>
      <c r="I1201" s="116"/>
      <c r="L1201" s="170">
        <v>46044</v>
      </c>
      <c r="M1201" s="116">
        <v>7623.5</v>
      </c>
      <c r="N1201" s="116">
        <v>7654.5</v>
      </c>
      <c r="O1201" s="116">
        <v>7445</v>
      </c>
      <c r="P1201" s="116">
        <v>7445</v>
      </c>
      <c r="Q1201" s="116">
        <v>7623.5</v>
      </c>
      <c r="R1201">
        <v>17335</v>
      </c>
    </row>
    <row r="1202" spans="1:18" x14ac:dyDescent="0.25">
      <c r="A1202" s="170">
        <v>46045</v>
      </c>
      <c r="B1202" s="116">
        <v>7590.95</v>
      </c>
      <c r="C1202" s="116">
        <v>7206.4</v>
      </c>
      <c r="D1202" s="116">
        <v>7128.75</v>
      </c>
      <c r="E1202" s="116">
        <v>7590.95</v>
      </c>
      <c r="F1202" s="116">
        <v>7206.4</v>
      </c>
      <c r="G1202">
        <v>912</v>
      </c>
      <c r="H1202" s="116"/>
      <c r="I1202" s="116"/>
      <c r="L1202" s="170">
        <v>46045</v>
      </c>
      <c r="M1202" s="116">
        <v>7198.5</v>
      </c>
      <c r="N1202" s="116">
        <v>7654.5</v>
      </c>
      <c r="O1202" s="116">
        <v>7123.5</v>
      </c>
      <c r="P1202" s="116">
        <v>7650</v>
      </c>
      <c r="Q1202" s="116">
        <v>7198.5</v>
      </c>
      <c r="R1202">
        <v>20339</v>
      </c>
    </row>
    <row r="1203" spans="1:18" x14ac:dyDescent="0.25">
      <c r="A1203" s="170">
        <v>46049</v>
      </c>
      <c r="B1203" s="116">
        <v>7645.1</v>
      </c>
      <c r="C1203" s="116">
        <v>7579.05</v>
      </c>
      <c r="D1203" s="116">
        <v>7201</v>
      </c>
      <c r="E1203" s="116">
        <v>7212.75</v>
      </c>
      <c r="F1203" s="116">
        <v>7579.05</v>
      </c>
      <c r="G1203">
        <v>7179</v>
      </c>
      <c r="H1203" s="116"/>
      <c r="I1203" s="116"/>
      <c r="L1203" s="170">
        <v>46049</v>
      </c>
      <c r="M1203" s="116">
        <v>7570.5</v>
      </c>
      <c r="N1203" s="116">
        <v>7639.5</v>
      </c>
      <c r="O1203" s="116">
        <v>7196</v>
      </c>
      <c r="P1203" s="116">
        <v>7243</v>
      </c>
      <c r="Q1203" s="116">
        <v>7570.5</v>
      </c>
      <c r="R1203">
        <v>67316</v>
      </c>
    </row>
    <row r="1204" spans="1:18" x14ac:dyDescent="0.25">
      <c r="A1204" s="170">
        <v>46050</v>
      </c>
      <c r="B1204" s="116">
        <v>7928.85</v>
      </c>
      <c r="C1204" s="116">
        <v>7769.7</v>
      </c>
      <c r="D1204" s="116">
        <v>7550</v>
      </c>
      <c r="E1204" s="116">
        <v>7609.95</v>
      </c>
      <c r="F1204" s="116">
        <v>7769.7</v>
      </c>
      <c r="G1204">
        <v>4000</v>
      </c>
      <c r="H1204" s="116"/>
      <c r="I1204" s="116"/>
      <c r="L1204" s="170">
        <v>46050</v>
      </c>
      <c r="M1204" s="116">
        <v>7780</v>
      </c>
      <c r="N1204" s="116">
        <v>7930</v>
      </c>
      <c r="O1204" s="116">
        <v>7491.5</v>
      </c>
      <c r="P1204" s="116">
        <v>7580</v>
      </c>
      <c r="Q1204" s="116">
        <v>7780</v>
      </c>
      <c r="R1204">
        <v>129004</v>
      </c>
    </row>
    <row r="1205" spans="1:18" x14ac:dyDescent="0.25">
      <c r="A1205" s="170">
        <v>46051</v>
      </c>
      <c r="B1205" s="116">
        <v>7680.1</v>
      </c>
      <c r="C1205" s="116">
        <v>7307.95</v>
      </c>
      <c r="D1205" s="116">
        <v>7249.55</v>
      </c>
      <c r="E1205" s="116">
        <v>7600.35</v>
      </c>
      <c r="F1205" s="116">
        <v>7307.95</v>
      </c>
      <c r="G1205">
        <v>2893</v>
      </c>
      <c r="H1205" s="116"/>
      <c r="I1205" s="116"/>
      <c r="L1205" s="170">
        <v>46051</v>
      </c>
      <c r="M1205" s="116">
        <v>7317</v>
      </c>
      <c r="N1205" s="116">
        <v>7780.5</v>
      </c>
      <c r="O1205" s="116">
        <v>7244.5</v>
      </c>
      <c r="P1205" s="116">
        <v>7780</v>
      </c>
      <c r="Q1205" s="116">
        <v>7317</v>
      </c>
      <c r="R1205">
        <v>103585</v>
      </c>
    </row>
    <row r="1206" spans="1:18" x14ac:dyDescent="0.25">
      <c r="A1206" s="170">
        <v>46052</v>
      </c>
      <c r="B1206" s="116">
        <v>7501</v>
      </c>
      <c r="C1206" s="116">
        <v>7312.7</v>
      </c>
      <c r="D1206" s="116">
        <v>7241</v>
      </c>
      <c r="E1206" s="116">
        <v>7374.1</v>
      </c>
      <c r="F1206" s="116">
        <v>7312.7</v>
      </c>
      <c r="G1206">
        <v>21835</v>
      </c>
      <c r="H1206" s="116"/>
      <c r="I1206" s="116"/>
      <c r="L1206" s="170">
        <v>46052</v>
      </c>
      <c r="M1206" s="116">
        <v>7317</v>
      </c>
      <c r="N1206" s="116">
        <v>7429</v>
      </c>
      <c r="O1206" s="116">
        <v>7236</v>
      </c>
      <c r="P1206" s="116">
        <v>7427</v>
      </c>
      <c r="Q1206" s="116">
        <v>7317</v>
      </c>
      <c r="R1206">
        <v>51191</v>
      </c>
    </row>
    <row r="1207" spans="1:18" x14ac:dyDescent="0.25">
      <c r="A1207" s="170">
        <v>46054</v>
      </c>
      <c r="B1207" s="116">
        <v>7469.5</v>
      </c>
      <c r="C1207" s="116">
        <v>7428.55</v>
      </c>
      <c r="D1207" s="116">
        <v>7154.35</v>
      </c>
      <c r="E1207" s="116">
        <v>7348.55</v>
      </c>
      <c r="F1207" s="116">
        <v>7428.55</v>
      </c>
      <c r="G1207">
        <v>3493</v>
      </c>
      <c r="H1207" s="116"/>
      <c r="I1207" s="116"/>
      <c r="L1207" s="170">
        <v>46054</v>
      </c>
      <c r="M1207" s="116">
        <v>7397.5</v>
      </c>
      <c r="N1207" s="116">
        <v>7485</v>
      </c>
      <c r="O1207" s="116">
        <v>7150</v>
      </c>
      <c r="P1207" s="116">
        <v>7338.5</v>
      </c>
      <c r="Q1207" s="116">
        <v>7397.5</v>
      </c>
      <c r="R1207">
        <v>16048</v>
      </c>
    </row>
    <row r="1208" spans="1:18" x14ac:dyDescent="0.25">
      <c r="A1208" s="170">
        <v>46055</v>
      </c>
      <c r="B1208" s="116">
        <v>7514.35</v>
      </c>
      <c r="C1208" s="116">
        <v>7488.55</v>
      </c>
      <c r="D1208" s="116">
        <v>7102.2</v>
      </c>
      <c r="E1208" s="116">
        <v>7203.05</v>
      </c>
      <c r="F1208" s="116">
        <v>7488.55</v>
      </c>
      <c r="G1208">
        <v>24023</v>
      </c>
      <c r="H1208" s="116"/>
      <c r="I1208" s="116"/>
      <c r="L1208" s="170">
        <v>46055</v>
      </c>
      <c r="M1208" s="116">
        <v>7491.5</v>
      </c>
      <c r="N1208" s="116">
        <v>7519</v>
      </c>
      <c r="O1208" s="116">
        <v>7080</v>
      </c>
      <c r="P1208" s="116">
        <v>7250</v>
      </c>
      <c r="Q1208" s="116">
        <v>7491.5</v>
      </c>
      <c r="R1208">
        <v>71401</v>
      </c>
    </row>
    <row r="1209" spans="1:18" x14ac:dyDescent="0.25">
      <c r="A1209" s="170">
        <v>46056</v>
      </c>
      <c r="B1209" s="116">
        <v>8100</v>
      </c>
      <c r="C1209" s="116">
        <v>7716.55</v>
      </c>
      <c r="D1209" s="116">
        <v>7530.05</v>
      </c>
      <c r="E1209" s="116">
        <v>7750</v>
      </c>
      <c r="F1209" s="116">
        <v>7716.55</v>
      </c>
      <c r="G1209">
        <v>2287</v>
      </c>
      <c r="H1209" s="116"/>
      <c r="I1209" s="116"/>
      <c r="L1209" s="170">
        <v>46056</v>
      </c>
      <c r="M1209" s="116">
        <v>7712.5</v>
      </c>
      <c r="N1209" s="116">
        <v>8220</v>
      </c>
      <c r="O1209" s="116">
        <v>7526</v>
      </c>
      <c r="P1209" s="116">
        <v>7699</v>
      </c>
      <c r="Q1209" s="116">
        <v>7712.5</v>
      </c>
      <c r="R1209">
        <v>47638</v>
      </c>
    </row>
    <row r="1210" spans="1:18" x14ac:dyDescent="0.25">
      <c r="A1210" s="170">
        <v>46057</v>
      </c>
      <c r="B1210" s="116">
        <v>7880</v>
      </c>
      <c r="C1210" s="116">
        <v>7845.25</v>
      </c>
      <c r="D1210" s="116">
        <v>7628.05</v>
      </c>
      <c r="E1210" s="116">
        <v>7675.15</v>
      </c>
      <c r="F1210" s="116">
        <v>7845.25</v>
      </c>
      <c r="G1210">
        <v>3940</v>
      </c>
      <c r="H1210" s="116"/>
      <c r="I1210" s="116"/>
      <c r="L1210" s="170">
        <v>46057</v>
      </c>
      <c r="M1210" s="116">
        <v>7848.5</v>
      </c>
      <c r="N1210" s="116">
        <v>7875.5</v>
      </c>
      <c r="O1210" s="116">
        <v>7612</v>
      </c>
      <c r="P1210" s="116">
        <v>7699</v>
      </c>
      <c r="Q1210" s="116">
        <v>7848.5</v>
      </c>
      <c r="R1210">
        <v>63663</v>
      </c>
    </row>
    <row r="1211" spans="1:18" x14ac:dyDescent="0.25">
      <c r="A1211" s="170">
        <v>46058</v>
      </c>
      <c r="B1211" s="116">
        <v>7856.95</v>
      </c>
      <c r="C1211" s="116">
        <v>7831.55</v>
      </c>
      <c r="D1211" s="116">
        <v>7710</v>
      </c>
      <c r="E1211" s="116">
        <v>7810.75</v>
      </c>
      <c r="F1211" s="116">
        <v>7831.55</v>
      </c>
      <c r="G1211">
        <v>720</v>
      </c>
      <c r="H1211" s="116"/>
      <c r="I1211" s="116"/>
      <c r="L1211" s="170">
        <v>46058</v>
      </c>
      <c r="M1211" s="116">
        <v>7836</v>
      </c>
      <c r="N1211" s="116">
        <v>7859</v>
      </c>
      <c r="O1211" s="116">
        <v>7701.5</v>
      </c>
      <c r="P1211" s="116">
        <v>7819</v>
      </c>
      <c r="Q1211" s="116">
        <v>7836</v>
      </c>
      <c r="R1211">
        <v>18038</v>
      </c>
    </row>
    <row r="1212" spans="1:18" x14ac:dyDescent="0.25">
      <c r="A1212" s="170">
        <v>46059</v>
      </c>
      <c r="B1212" s="116">
        <v>7850.75</v>
      </c>
      <c r="C1212" s="116">
        <v>7825.95</v>
      </c>
      <c r="D1212" s="116">
        <v>7706.45</v>
      </c>
      <c r="E1212" s="116">
        <v>7831.55</v>
      </c>
      <c r="F1212" s="116">
        <v>7825.95</v>
      </c>
      <c r="G1212">
        <v>711</v>
      </c>
      <c r="H1212" s="116"/>
      <c r="I1212" s="116"/>
      <c r="L1212" s="170">
        <v>46059</v>
      </c>
      <c r="M1212" s="116">
        <v>7834</v>
      </c>
      <c r="N1212" s="116">
        <v>7850</v>
      </c>
      <c r="O1212" s="116">
        <v>7700.5</v>
      </c>
      <c r="P1212" s="116">
        <v>7821</v>
      </c>
      <c r="Q1212" s="116">
        <v>7834</v>
      </c>
      <c r="R1212">
        <v>26464</v>
      </c>
    </row>
    <row r="1213" spans="1:18" x14ac:dyDescent="0.25">
      <c r="A1213" s="170">
        <v>46062</v>
      </c>
      <c r="B1213" s="116">
        <v>7865.45</v>
      </c>
      <c r="C1213" s="116">
        <v>7831.5</v>
      </c>
      <c r="D1213" s="116">
        <v>7764.25</v>
      </c>
      <c r="E1213" s="116">
        <v>7850</v>
      </c>
      <c r="F1213" s="116">
        <v>7831.5</v>
      </c>
      <c r="G1213">
        <v>804</v>
      </c>
      <c r="H1213" s="116"/>
      <c r="I1213" s="116"/>
      <c r="L1213" s="170">
        <v>46062</v>
      </c>
      <c r="M1213" s="116">
        <v>7838</v>
      </c>
      <c r="N1213" s="116">
        <v>7909.5</v>
      </c>
      <c r="O1213" s="116">
        <v>7750</v>
      </c>
      <c r="P1213" s="116">
        <v>7909.5</v>
      </c>
      <c r="Q1213" s="116">
        <v>7838</v>
      </c>
      <c r="R1213">
        <v>28446</v>
      </c>
    </row>
    <row r="1214" spans="1:18" x14ac:dyDescent="0.25">
      <c r="A1214" s="170">
        <v>46063</v>
      </c>
      <c r="B1214" s="116">
        <v>7886.5</v>
      </c>
      <c r="C1214" s="116">
        <v>7846.45</v>
      </c>
      <c r="D1214" s="116">
        <v>7791.15</v>
      </c>
      <c r="E1214" s="116">
        <v>7886.5</v>
      </c>
      <c r="F1214" s="116">
        <v>7846.45</v>
      </c>
      <c r="G1214">
        <v>500</v>
      </c>
      <c r="H1214" s="116"/>
      <c r="I1214" s="116"/>
      <c r="L1214" s="170">
        <v>46063</v>
      </c>
      <c r="M1214" s="116">
        <v>7851</v>
      </c>
      <c r="N1214" s="116">
        <v>7900</v>
      </c>
      <c r="O1214" s="116">
        <v>7793.5</v>
      </c>
      <c r="P1214" s="116">
        <v>7900</v>
      </c>
      <c r="Q1214" s="116">
        <v>7851</v>
      </c>
      <c r="R1214">
        <v>18557</v>
      </c>
    </row>
    <row r="1215" spans="1:18" x14ac:dyDescent="0.25">
      <c r="A1215" s="170">
        <v>46064</v>
      </c>
      <c r="B1215" s="116">
        <v>8170</v>
      </c>
      <c r="C1215" s="116">
        <v>8119.25</v>
      </c>
      <c r="D1215" s="116">
        <v>7860</v>
      </c>
      <c r="E1215" s="116">
        <v>7860.5</v>
      </c>
      <c r="F1215" s="116">
        <v>8119.25</v>
      </c>
      <c r="G1215">
        <v>53179</v>
      </c>
      <c r="H1215" s="116"/>
      <c r="I1215" s="116"/>
      <c r="L1215" s="170">
        <v>46064</v>
      </c>
      <c r="M1215" s="116">
        <v>8119</v>
      </c>
      <c r="N1215" s="116">
        <v>8167</v>
      </c>
      <c r="O1215" s="116">
        <v>7810.5</v>
      </c>
      <c r="P1215" s="116">
        <v>7850</v>
      </c>
      <c r="Q1215" s="116">
        <v>8119</v>
      </c>
      <c r="R1215">
        <v>119344</v>
      </c>
    </row>
    <row r="1216" spans="1:18" x14ac:dyDescent="0.25">
      <c r="A1216" s="170">
        <v>46065</v>
      </c>
      <c r="B1216" s="116">
        <v>8189.4</v>
      </c>
      <c r="C1216" s="116">
        <v>7975.1</v>
      </c>
      <c r="D1216" s="116">
        <v>7921.45</v>
      </c>
      <c r="E1216" s="116">
        <v>8189.4</v>
      </c>
      <c r="F1216" s="116">
        <v>7975.1</v>
      </c>
      <c r="G1216">
        <v>2095</v>
      </c>
      <c r="H1216" s="116"/>
      <c r="I1216" s="116"/>
      <c r="L1216" s="170">
        <v>46065</v>
      </c>
      <c r="M1216" s="116">
        <v>7973.5</v>
      </c>
      <c r="N1216" s="116">
        <v>8150</v>
      </c>
      <c r="O1216" s="116">
        <v>7925</v>
      </c>
      <c r="P1216" s="116">
        <v>8140.5</v>
      </c>
      <c r="Q1216" s="116">
        <v>7973.5</v>
      </c>
      <c r="R1216">
        <v>58477</v>
      </c>
    </row>
    <row r="1217" spans="1:18" x14ac:dyDescent="0.25">
      <c r="A1217" s="170">
        <v>46066</v>
      </c>
      <c r="B1217" s="116">
        <v>7975.05</v>
      </c>
      <c r="C1217" s="116">
        <v>7707.3</v>
      </c>
      <c r="D1217" s="116">
        <v>7662.65</v>
      </c>
      <c r="E1217" s="116">
        <v>7975.05</v>
      </c>
      <c r="F1217" s="116">
        <v>7707.3</v>
      </c>
      <c r="G1217">
        <v>4616</v>
      </c>
      <c r="H1217" s="116"/>
      <c r="I1217" s="116"/>
      <c r="L1217" s="170">
        <v>46066</v>
      </c>
      <c r="M1217" s="116">
        <v>7729</v>
      </c>
      <c r="N1217" s="116">
        <v>7950</v>
      </c>
      <c r="O1217" s="116">
        <v>7661.5</v>
      </c>
      <c r="P1217" s="116">
        <v>7950</v>
      </c>
      <c r="Q1217" s="116">
        <v>7729</v>
      </c>
      <c r="R1217">
        <v>58670</v>
      </c>
    </row>
    <row r="1218" spans="1:18" x14ac:dyDescent="0.25">
      <c r="A1218" s="170">
        <v>46069</v>
      </c>
      <c r="B1218" s="116">
        <v>7856.85</v>
      </c>
      <c r="C1218" s="116">
        <v>7739.8</v>
      </c>
      <c r="D1218" s="116">
        <v>7672</v>
      </c>
      <c r="E1218" s="116">
        <v>7731.15</v>
      </c>
      <c r="F1218" s="116">
        <v>7739.8</v>
      </c>
      <c r="G1218">
        <v>1834</v>
      </c>
      <c r="H1218" s="116"/>
      <c r="I1218" s="116"/>
      <c r="L1218" s="170">
        <v>46069</v>
      </c>
      <c r="M1218" s="116">
        <v>7737</v>
      </c>
      <c r="N1218" s="116">
        <v>7867</v>
      </c>
      <c r="O1218" s="116">
        <v>7653</v>
      </c>
      <c r="P1218" s="116">
        <v>7700</v>
      </c>
      <c r="Q1218" s="116">
        <v>7737</v>
      </c>
      <c r="R1218">
        <v>20373</v>
      </c>
    </row>
    <row r="1219" spans="1:18" x14ac:dyDescent="0.25">
      <c r="A1219" s="170">
        <v>46070</v>
      </c>
      <c r="B1219" s="116">
        <v>7832</v>
      </c>
      <c r="C1219" s="116">
        <v>7736.4</v>
      </c>
      <c r="D1219" s="116">
        <v>7708.85</v>
      </c>
      <c r="E1219" s="116">
        <v>7735.5</v>
      </c>
      <c r="F1219" s="116">
        <v>7736.4</v>
      </c>
      <c r="G1219">
        <v>1532</v>
      </c>
      <c r="H1219" s="116"/>
      <c r="I1219" s="116"/>
      <c r="L1219" s="170">
        <v>46070</v>
      </c>
      <c r="M1219" s="116">
        <v>7742</v>
      </c>
      <c r="N1219" s="116">
        <v>7844.5</v>
      </c>
      <c r="O1219" s="116">
        <v>7701</v>
      </c>
      <c r="P1219" s="116">
        <v>7721</v>
      </c>
      <c r="Q1219" s="116">
        <v>7742</v>
      </c>
      <c r="R1219">
        <v>12144</v>
      </c>
    </row>
    <row r="1220" spans="1:18" x14ac:dyDescent="0.25">
      <c r="A1220" s="170">
        <v>46071</v>
      </c>
      <c r="B1220" s="116">
        <v>8009.95</v>
      </c>
      <c r="C1220" s="116">
        <v>7974.8</v>
      </c>
      <c r="D1220" s="116">
        <v>7737.9</v>
      </c>
      <c r="E1220" s="116">
        <v>7743.8</v>
      </c>
      <c r="F1220" s="116">
        <v>7974.8</v>
      </c>
      <c r="G1220">
        <v>1946</v>
      </c>
      <c r="H1220" s="116"/>
      <c r="I1220" s="116"/>
      <c r="L1220" s="170">
        <v>46071</v>
      </c>
      <c r="M1220" s="116">
        <v>7994.5</v>
      </c>
      <c r="N1220" s="116">
        <v>8012.5</v>
      </c>
      <c r="O1220" s="116">
        <v>7730.5</v>
      </c>
      <c r="P1220" s="116">
        <v>7765.5</v>
      </c>
      <c r="Q1220" s="116">
        <v>7994.5</v>
      </c>
      <c r="R1220">
        <v>50996</v>
      </c>
    </row>
    <row r="1221" spans="1:18" x14ac:dyDescent="0.25">
      <c r="A1221" s="170">
        <v>46072</v>
      </c>
      <c r="B1221" s="116">
        <v>8198.9500000000007</v>
      </c>
      <c r="C1221" s="116">
        <v>8046.7</v>
      </c>
      <c r="D1221" s="116">
        <v>7912.45</v>
      </c>
      <c r="E1221" s="116">
        <v>8198.9500000000007</v>
      </c>
      <c r="F1221" s="116">
        <v>8046.7</v>
      </c>
      <c r="G1221">
        <v>758</v>
      </c>
      <c r="H1221" s="116"/>
      <c r="I1221" s="116"/>
      <c r="L1221" s="170">
        <v>46072</v>
      </c>
      <c r="M1221" s="116">
        <v>8050.5</v>
      </c>
      <c r="N1221" s="116">
        <v>8129.5</v>
      </c>
      <c r="O1221" s="116">
        <v>7912.5</v>
      </c>
      <c r="P1221" s="116">
        <v>7990</v>
      </c>
      <c r="Q1221" s="116">
        <v>8050.5</v>
      </c>
      <c r="R1221">
        <v>73324</v>
      </c>
    </row>
    <row r="1222" spans="1:18" x14ac:dyDescent="0.25">
      <c r="A1222" s="170">
        <v>46073</v>
      </c>
      <c r="B1222" s="116">
        <v>8100</v>
      </c>
      <c r="C1222" s="116">
        <v>8028.2</v>
      </c>
      <c r="D1222" s="116">
        <v>7911</v>
      </c>
      <c r="E1222" s="116">
        <v>7988.85</v>
      </c>
      <c r="F1222" s="116">
        <v>8028.2</v>
      </c>
      <c r="G1222">
        <v>751</v>
      </c>
      <c r="H1222" s="116"/>
      <c r="I1222" s="116"/>
      <c r="L1222" s="170">
        <v>46073</v>
      </c>
      <c r="M1222" s="116">
        <v>8038</v>
      </c>
      <c r="N1222" s="116">
        <v>8105</v>
      </c>
      <c r="O1222" s="116">
        <v>7928.5</v>
      </c>
      <c r="P1222" s="116">
        <v>8030.5</v>
      </c>
      <c r="Q1222" s="116">
        <v>8038</v>
      </c>
      <c r="R1222">
        <v>22689</v>
      </c>
    </row>
    <row r="1223" spans="1:18" x14ac:dyDescent="0.25">
      <c r="A1223" s="170">
        <v>46076</v>
      </c>
      <c r="B1223" s="116">
        <v>8113</v>
      </c>
      <c r="C1223" s="116">
        <v>8004.2</v>
      </c>
      <c r="D1223" s="116">
        <v>7965.5</v>
      </c>
      <c r="E1223" s="116">
        <v>8045.4</v>
      </c>
      <c r="F1223" s="116">
        <v>8004.2</v>
      </c>
      <c r="G1223">
        <v>1246</v>
      </c>
      <c r="H1223" s="116"/>
      <c r="I1223" s="116"/>
      <c r="L1223" s="170">
        <v>46076</v>
      </c>
      <c r="M1223" s="116">
        <v>8009</v>
      </c>
      <c r="N1223" s="116">
        <v>8115</v>
      </c>
      <c r="O1223" s="116">
        <v>7965</v>
      </c>
      <c r="P1223" s="116">
        <v>8070</v>
      </c>
      <c r="Q1223" s="116">
        <v>8009</v>
      </c>
      <c r="R1223">
        <v>27952</v>
      </c>
    </row>
    <row r="1224" spans="1:18" x14ac:dyDescent="0.25">
      <c r="A1224" s="170">
        <v>46077</v>
      </c>
      <c r="B1224" s="116">
        <v>7998.7</v>
      </c>
      <c r="C1224" s="116">
        <v>7869</v>
      </c>
      <c r="D1224" s="116">
        <v>7849.95</v>
      </c>
      <c r="E1224" s="116">
        <v>7998.7</v>
      </c>
      <c r="F1224" s="116">
        <v>7869</v>
      </c>
      <c r="G1224">
        <v>1213</v>
      </c>
      <c r="H1224" s="116"/>
      <c r="I1224" s="116"/>
      <c r="L1224" s="170">
        <v>46077</v>
      </c>
      <c r="M1224" s="116">
        <v>7876.5</v>
      </c>
      <c r="N1224" s="116">
        <v>7984</v>
      </c>
      <c r="O1224" s="116">
        <v>7842</v>
      </c>
      <c r="P1224" s="116">
        <v>7959</v>
      </c>
      <c r="Q1224" s="116">
        <v>7876.5</v>
      </c>
      <c r="R1224">
        <v>18752</v>
      </c>
    </row>
    <row r="1225" spans="1:18" x14ac:dyDescent="0.25">
      <c r="A1225" s="170">
        <v>46078</v>
      </c>
      <c r="B1225" s="116">
        <v>7884.05</v>
      </c>
      <c r="C1225" s="116">
        <v>7793.35</v>
      </c>
      <c r="D1225" s="116">
        <v>7607.05</v>
      </c>
      <c r="E1225" s="116">
        <v>7884.05</v>
      </c>
      <c r="F1225" s="116">
        <v>7793.35</v>
      </c>
      <c r="G1225">
        <v>3019</v>
      </c>
      <c r="H1225" s="116"/>
      <c r="I1225" s="116"/>
      <c r="L1225" s="170">
        <v>46078</v>
      </c>
      <c r="M1225" s="116">
        <v>7795</v>
      </c>
      <c r="N1225" s="116">
        <v>7960</v>
      </c>
      <c r="O1225" s="116">
        <v>7600</v>
      </c>
      <c r="P1225" s="116">
        <v>7960</v>
      </c>
      <c r="Q1225" s="116">
        <v>7795</v>
      </c>
      <c r="R1225">
        <v>66792</v>
      </c>
    </row>
    <row r="1226" spans="1:18" x14ac:dyDescent="0.25">
      <c r="A1226" s="170">
        <v>46079</v>
      </c>
      <c r="B1226" s="116">
        <v>7864.55</v>
      </c>
      <c r="C1226" s="116">
        <v>7743.35</v>
      </c>
      <c r="D1226" s="116">
        <v>7633.75</v>
      </c>
      <c r="E1226" s="116">
        <v>7753.95</v>
      </c>
      <c r="F1226" s="116">
        <v>7743.35</v>
      </c>
      <c r="G1226">
        <v>1310</v>
      </c>
      <c r="H1226" s="116"/>
      <c r="I1226" s="116"/>
      <c r="L1226" s="170">
        <v>46079</v>
      </c>
      <c r="M1226" s="116">
        <v>7754.5</v>
      </c>
      <c r="N1226" s="116">
        <v>7870</v>
      </c>
      <c r="O1226" s="116">
        <v>7622.5</v>
      </c>
      <c r="P1226" s="116">
        <v>7795</v>
      </c>
      <c r="Q1226" s="116">
        <v>7754.5</v>
      </c>
      <c r="R1226">
        <v>37520</v>
      </c>
    </row>
    <row r="1227" spans="1:18" x14ac:dyDescent="0.25">
      <c r="A1227" s="170">
        <v>46080</v>
      </c>
      <c r="B1227" s="116">
        <v>7725.05</v>
      </c>
      <c r="C1227" s="116">
        <v>7525.4</v>
      </c>
      <c r="D1227" s="116">
        <v>7474</v>
      </c>
      <c r="E1227" s="116">
        <v>7725.05</v>
      </c>
      <c r="F1227" s="116">
        <v>7525.4</v>
      </c>
      <c r="G1227">
        <v>2028</v>
      </c>
      <c r="H1227" s="116"/>
      <c r="I1227" s="116"/>
      <c r="L1227" s="170">
        <v>46080</v>
      </c>
      <c r="M1227" s="116">
        <v>7526</v>
      </c>
      <c r="N1227" s="116">
        <v>7750</v>
      </c>
      <c r="O1227" s="116">
        <v>7467</v>
      </c>
      <c r="P1227" s="116">
        <v>7740</v>
      </c>
      <c r="Q1227" s="116">
        <v>7526</v>
      </c>
      <c r="R1227">
        <v>44754</v>
      </c>
    </row>
    <row r="1228" spans="1:18" x14ac:dyDescent="0.25">
      <c r="A1228" s="170">
        <v>46083</v>
      </c>
      <c r="B1228" s="116">
        <v>7700</v>
      </c>
      <c r="C1228" s="116">
        <v>7672.9</v>
      </c>
      <c r="D1228" s="116">
        <v>7151.65</v>
      </c>
      <c r="E1228" s="116">
        <v>7151.65</v>
      </c>
      <c r="F1228" s="116">
        <v>7672.9</v>
      </c>
      <c r="G1228">
        <v>1574</v>
      </c>
      <c r="H1228" s="116"/>
      <c r="I1228" s="116"/>
      <c r="L1228" s="170">
        <v>46083</v>
      </c>
      <c r="M1228" s="116">
        <v>7667.5</v>
      </c>
      <c r="N1228" s="116">
        <v>7700</v>
      </c>
      <c r="O1228" s="116">
        <v>7189</v>
      </c>
      <c r="P1228" s="116">
        <v>7250</v>
      </c>
      <c r="Q1228" s="116">
        <v>7667.5</v>
      </c>
      <c r="R1228">
        <v>67491</v>
      </c>
    </row>
    <row r="1229" spans="1:18" x14ac:dyDescent="0.25">
      <c r="A1229" s="170">
        <v>46085</v>
      </c>
      <c r="B1229" s="116">
        <v>7599.95</v>
      </c>
      <c r="C1229" s="116">
        <v>7416.1</v>
      </c>
      <c r="D1229" s="116">
        <v>7360</v>
      </c>
      <c r="E1229" s="116">
        <v>7599.95</v>
      </c>
      <c r="F1229" s="116">
        <v>7416.1</v>
      </c>
      <c r="G1229">
        <v>2574</v>
      </c>
      <c r="H1229" s="116"/>
      <c r="I1229" s="116"/>
      <c r="L1229" s="170">
        <v>46085</v>
      </c>
      <c r="M1229" s="116">
        <v>7421.5</v>
      </c>
      <c r="N1229" s="116">
        <v>7599</v>
      </c>
      <c r="O1229" s="116">
        <v>7322.5</v>
      </c>
      <c r="P1229" s="116">
        <v>7577.5</v>
      </c>
      <c r="Q1229" s="116">
        <v>7421.5</v>
      </c>
      <c r="R1229">
        <v>33561</v>
      </c>
    </row>
    <row r="1230" spans="1:18" x14ac:dyDescent="0.25">
      <c r="A1230" s="170">
        <v>46086</v>
      </c>
      <c r="B1230" s="116">
        <v>7615.75</v>
      </c>
      <c r="C1230" s="116">
        <v>7579.8</v>
      </c>
      <c r="D1230" s="116">
        <v>7338.75</v>
      </c>
      <c r="E1230" s="116">
        <v>7489.95</v>
      </c>
      <c r="F1230" s="116">
        <v>7579.8</v>
      </c>
      <c r="G1230">
        <v>1574</v>
      </c>
      <c r="H1230" s="116"/>
      <c r="I1230" s="116"/>
      <c r="L1230" s="170">
        <v>46086</v>
      </c>
      <c r="M1230" s="116">
        <v>7594.5</v>
      </c>
      <c r="N1230" s="116">
        <v>7630</v>
      </c>
      <c r="O1230" s="116">
        <v>7323.5</v>
      </c>
      <c r="P1230" s="116">
        <v>7421.5</v>
      </c>
      <c r="Q1230" s="116">
        <v>7594.5</v>
      </c>
      <c r="R1230">
        <v>32978</v>
      </c>
    </row>
    <row r="1231" spans="1:18" x14ac:dyDescent="0.25">
      <c r="A1231" s="170">
        <v>46087</v>
      </c>
      <c r="B1231" s="116">
        <v>7618.4</v>
      </c>
      <c r="C1231" s="116">
        <v>7462.5</v>
      </c>
      <c r="D1231" s="116">
        <v>7445.45</v>
      </c>
      <c r="E1231" s="116">
        <v>7454.4</v>
      </c>
      <c r="F1231" s="116">
        <v>7462.5</v>
      </c>
      <c r="G1231">
        <v>490</v>
      </c>
      <c r="H1231" s="116"/>
      <c r="I1231" s="116"/>
      <c r="L1231" s="170">
        <v>46087</v>
      </c>
      <c r="M1231" s="116">
        <v>7458</v>
      </c>
      <c r="N1231" s="116">
        <v>7629.5</v>
      </c>
      <c r="O1231" s="116">
        <v>7450</v>
      </c>
      <c r="P1231" s="116">
        <v>7590</v>
      </c>
      <c r="Q1231" s="116">
        <v>7458</v>
      </c>
      <c r="R1231">
        <v>10095</v>
      </c>
    </row>
    <row r="1232" spans="1:18" x14ac:dyDescent="0.25">
      <c r="A1232" s="170">
        <v>46090</v>
      </c>
      <c r="B1232" s="116">
        <v>7350</v>
      </c>
      <c r="C1232" s="116">
        <v>7277.2</v>
      </c>
      <c r="D1232" s="116">
        <v>7168.55</v>
      </c>
      <c r="E1232" s="116">
        <v>7299.65</v>
      </c>
      <c r="F1232" s="116">
        <v>7277.2</v>
      </c>
      <c r="G1232">
        <v>2511</v>
      </c>
      <c r="H1232" s="116"/>
      <c r="I1232" s="116"/>
      <c r="L1232" s="170">
        <v>46090</v>
      </c>
      <c r="M1232" s="116">
        <v>7287.5</v>
      </c>
      <c r="N1232" s="116">
        <v>7353</v>
      </c>
      <c r="O1232" s="116">
        <v>7171.5</v>
      </c>
      <c r="P1232" s="116">
        <v>7201</v>
      </c>
      <c r="Q1232" s="116">
        <v>7287.5</v>
      </c>
      <c r="R1232">
        <v>15524</v>
      </c>
    </row>
    <row r="1233" spans="1:18" x14ac:dyDescent="0.25">
      <c r="A1233" s="170">
        <v>46091</v>
      </c>
      <c r="B1233" s="116">
        <v>7452</v>
      </c>
      <c r="C1233" s="116">
        <v>7432.65</v>
      </c>
      <c r="D1233" s="116">
        <v>7252.85</v>
      </c>
      <c r="E1233" s="116">
        <v>7252.85</v>
      </c>
      <c r="F1233" s="116">
        <v>7432.65</v>
      </c>
      <c r="G1233">
        <v>676</v>
      </c>
      <c r="H1233" s="116"/>
      <c r="I1233" s="116"/>
      <c r="L1233" s="170">
        <v>46091</v>
      </c>
      <c r="M1233" s="116">
        <v>7421</v>
      </c>
      <c r="N1233" s="116">
        <v>7469.5</v>
      </c>
      <c r="O1233" s="116">
        <v>7274.5</v>
      </c>
      <c r="P1233" s="116">
        <v>7350</v>
      </c>
      <c r="Q1233" s="116">
        <v>7421</v>
      </c>
      <c r="R1233">
        <v>20324</v>
      </c>
    </row>
    <row r="1234" spans="1:18" x14ac:dyDescent="0.25">
      <c r="A1234" s="170">
        <v>46092</v>
      </c>
      <c r="B1234" s="116">
        <v>7411.05</v>
      </c>
      <c r="C1234" s="116">
        <v>7333.75</v>
      </c>
      <c r="D1234" s="116">
        <v>7243.5</v>
      </c>
      <c r="E1234" s="116">
        <v>7385</v>
      </c>
      <c r="F1234" s="116">
        <v>7333.75</v>
      </c>
      <c r="G1234">
        <v>2398</v>
      </c>
      <c r="H1234" s="116"/>
      <c r="I1234" s="116"/>
      <c r="L1234" s="170">
        <v>46092</v>
      </c>
      <c r="M1234" s="116">
        <v>7325.5</v>
      </c>
      <c r="N1234" s="116">
        <v>7425</v>
      </c>
      <c r="O1234" s="116">
        <v>7240.5</v>
      </c>
      <c r="P1234" s="116">
        <v>7415</v>
      </c>
      <c r="Q1234" s="116">
        <v>7325.5</v>
      </c>
      <c r="R1234">
        <v>28254</v>
      </c>
    </row>
    <row r="1235" spans="1:18" x14ac:dyDescent="0.25">
      <c r="A1235" s="170">
        <v>46093</v>
      </c>
      <c r="B1235" s="116">
        <v>7487.5</v>
      </c>
      <c r="C1235" s="116">
        <v>7340.5</v>
      </c>
      <c r="D1235" s="116">
        <v>7234.45</v>
      </c>
      <c r="E1235" s="116">
        <v>7333</v>
      </c>
      <c r="F1235" s="116">
        <v>7340.5</v>
      </c>
      <c r="G1235">
        <v>2490</v>
      </c>
      <c r="H1235" s="116"/>
      <c r="I1235" s="116"/>
      <c r="L1235" s="170">
        <v>46093</v>
      </c>
      <c r="M1235" s="116">
        <v>7354</v>
      </c>
      <c r="N1235" s="116">
        <v>7491</v>
      </c>
      <c r="O1235" s="116">
        <v>7238.5</v>
      </c>
      <c r="P1235" s="116">
        <v>7290</v>
      </c>
      <c r="Q1235" s="116">
        <v>7354</v>
      </c>
      <c r="R1235">
        <v>60004</v>
      </c>
    </row>
    <row r="1236" spans="1:18" x14ac:dyDescent="0.25">
      <c r="A1236" s="170">
        <v>46094</v>
      </c>
      <c r="B1236" s="116">
        <v>7261</v>
      </c>
      <c r="C1236" s="116">
        <v>6679.25</v>
      </c>
      <c r="D1236" s="116">
        <v>6640.55</v>
      </c>
      <c r="E1236" s="116">
        <v>7256.05</v>
      </c>
      <c r="F1236" s="116">
        <v>6679.25</v>
      </c>
      <c r="G1236">
        <v>4525</v>
      </c>
      <c r="H1236" s="116"/>
      <c r="I1236" s="116"/>
      <c r="L1236" s="170">
        <v>46094</v>
      </c>
      <c r="M1236" s="116">
        <v>6674</v>
      </c>
      <c r="N1236" s="116">
        <v>7307</v>
      </c>
      <c r="O1236" s="116">
        <v>6632.5</v>
      </c>
      <c r="P1236" s="116">
        <v>7307</v>
      </c>
      <c r="Q1236" s="116">
        <v>6674</v>
      </c>
      <c r="R1236">
        <v>123452</v>
      </c>
    </row>
    <row r="1237" spans="1:18" x14ac:dyDescent="0.25">
      <c r="A1237" s="170">
        <v>46097</v>
      </c>
      <c r="B1237" s="116">
        <v>6908.4</v>
      </c>
      <c r="C1237" s="116">
        <v>6796.1</v>
      </c>
      <c r="D1237" s="116">
        <v>6251.65</v>
      </c>
      <c r="E1237" s="116">
        <v>6251.65</v>
      </c>
      <c r="F1237" s="116">
        <v>6796.1</v>
      </c>
      <c r="G1237">
        <v>5189</v>
      </c>
      <c r="H1237" s="116"/>
      <c r="I1237" s="116"/>
      <c r="L1237" s="170">
        <v>46097</v>
      </c>
      <c r="M1237" s="116">
        <v>6792.5</v>
      </c>
      <c r="N1237" s="116">
        <v>6911.5</v>
      </c>
      <c r="O1237" s="116">
        <v>6521.5</v>
      </c>
      <c r="P1237" s="116">
        <v>6612.5</v>
      </c>
      <c r="Q1237" s="116">
        <v>6792.5</v>
      </c>
      <c r="R1237">
        <v>92509</v>
      </c>
    </row>
    <row r="1238" spans="1:18" x14ac:dyDescent="0.25">
      <c r="A1238" s="170">
        <v>46098</v>
      </c>
      <c r="B1238" s="116">
        <v>6967.3</v>
      </c>
      <c r="C1238" s="116">
        <v>6915.05</v>
      </c>
      <c r="D1238" s="116">
        <v>6741.55</v>
      </c>
      <c r="E1238" s="116">
        <v>6826.65</v>
      </c>
      <c r="F1238" s="116">
        <v>6915.05</v>
      </c>
      <c r="G1238">
        <v>2706</v>
      </c>
      <c r="H1238" s="116"/>
      <c r="I1238" s="116"/>
      <c r="L1238" s="170">
        <v>46098</v>
      </c>
      <c r="M1238" s="116">
        <v>6917</v>
      </c>
      <c r="N1238" s="116">
        <v>6969</v>
      </c>
      <c r="O1238" s="116">
        <v>6741</v>
      </c>
      <c r="P1238" s="116">
        <v>6850</v>
      </c>
      <c r="Q1238" s="116">
        <v>6917</v>
      </c>
      <c r="R1238">
        <v>49154</v>
      </c>
    </row>
    <row r="1239" spans="1:18" x14ac:dyDescent="0.25">
      <c r="A1239" s="170">
        <v>46099</v>
      </c>
      <c r="B1239" s="116">
        <v>7016.45</v>
      </c>
      <c r="C1239" s="116">
        <v>6893.7</v>
      </c>
      <c r="D1239" s="116">
        <v>6830.5</v>
      </c>
      <c r="E1239" s="116">
        <v>6984.25</v>
      </c>
      <c r="F1239" s="116">
        <v>6893.7</v>
      </c>
      <c r="G1239">
        <v>3303</v>
      </c>
      <c r="H1239" s="116"/>
      <c r="I1239" s="116"/>
      <c r="L1239" s="170">
        <v>46099</v>
      </c>
      <c r="M1239" s="116">
        <v>6887.5</v>
      </c>
      <c r="N1239" s="116">
        <v>7016</v>
      </c>
      <c r="O1239" s="116">
        <v>6825</v>
      </c>
      <c r="P1239" s="116">
        <v>6965</v>
      </c>
      <c r="Q1239" s="116">
        <v>6887.5</v>
      </c>
      <c r="R1239">
        <v>75324</v>
      </c>
    </row>
    <row r="1240" spans="1:18" x14ac:dyDescent="0.25">
      <c r="A1240" s="170">
        <v>46100</v>
      </c>
      <c r="B1240" s="116">
        <v>6951.45</v>
      </c>
      <c r="C1240" s="116">
        <v>6849.55</v>
      </c>
      <c r="D1240" s="116">
        <v>6779.75</v>
      </c>
      <c r="E1240" s="116">
        <v>6790.4</v>
      </c>
      <c r="F1240" s="116">
        <v>6849.55</v>
      </c>
      <c r="G1240">
        <v>1363</v>
      </c>
      <c r="H1240" s="116"/>
      <c r="I1240" s="116"/>
      <c r="L1240" s="170">
        <v>46100</v>
      </c>
      <c r="M1240" s="116">
        <v>6855</v>
      </c>
      <c r="N1240" s="116">
        <v>6955</v>
      </c>
      <c r="O1240" s="116">
        <v>6777.5</v>
      </c>
      <c r="P1240" s="116">
        <v>6804</v>
      </c>
      <c r="Q1240" s="116">
        <v>6855</v>
      </c>
      <c r="R1240">
        <v>24171</v>
      </c>
    </row>
    <row r="1241" spans="1:18" x14ac:dyDescent="0.25">
      <c r="A1241" s="170">
        <v>46101</v>
      </c>
      <c r="B1241" s="116">
        <v>6960.35</v>
      </c>
      <c r="C1241" s="116">
        <v>6887.2</v>
      </c>
      <c r="D1241" s="116">
        <v>6723.4</v>
      </c>
      <c r="E1241" s="116">
        <v>6851.05</v>
      </c>
      <c r="F1241" s="116">
        <v>6887.2</v>
      </c>
      <c r="G1241">
        <v>1262</v>
      </c>
      <c r="H1241" s="116"/>
      <c r="I1241" s="116"/>
      <c r="L1241" s="170">
        <v>46101</v>
      </c>
      <c r="M1241" s="116">
        <v>6912</v>
      </c>
      <c r="N1241" s="116">
        <v>6968</v>
      </c>
      <c r="O1241" s="116">
        <v>6726</v>
      </c>
      <c r="P1241" s="116">
        <v>6950</v>
      </c>
      <c r="Q1241" s="116">
        <v>6912</v>
      </c>
      <c r="R1241">
        <v>27734</v>
      </c>
    </row>
    <row r="1242" spans="1:18" x14ac:dyDescent="0.25">
      <c r="A1242" s="170">
        <v>46104</v>
      </c>
      <c r="B1242" s="116">
        <v>6814.65</v>
      </c>
      <c r="C1242" s="116">
        <v>6523.9</v>
      </c>
      <c r="D1242" s="116">
        <v>6452</v>
      </c>
      <c r="E1242" s="116">
        <v>6790</v>
      </c>
      <c r="F1242" s="116">
        <v>6523.9</v>
      </c>
      <c r="G1242">
        <v>1669</v>
      </c>
      <c r="H1242" s="116"/>
      <c r="I1242" s="116"/>
      <c r="L1242" s="170">
        <v>46104</v>
      </c>
      <c r="M1242" s="116">
        <v>6546.5</v>
      </c>
      <c r="N1242" s="116">
        <v>6828.5</v>
      </c>
      <c r="O1242" s="116">
        <v>6451.5</v>
      </c>
      <c r="P1242" s="116">
        <v>6822</v>
      </c>
      <c r="Q1242" s="116">
        <v>6546.5</v>
      </c>
      <c r="R1242">
        <v>33079</v>
      </c>
    </row>
    <row r="1243" spans="1:18" x14ac:dyDescent="0.25">
      <c r="A1243" s="170">
        <v>46105</v>
      </c>
      <c r="B1243" s="116">
        <v>6909</v>
      </c>
      <c r="C1243" s="116">
        <v>6840.6</v>
      </c>
      <c r="D1243" s="116">
        <v>6635</v>
      </c>
      <c r="E1243" s="116">
        <v>6828.1</v>
      </c>
      <c r="F1243" s="116">
        <v>6840.6</v>
      </c>
      <c r="G1243">
        <v>1332</v>
      </c>
      <c r="H1243" s="116"/>
      <c r="I1243" s="116"/>
      <c r="L1243" s="170">
        <v>46105</v>
      </c>
      <c r="M1243" s="116">
        <v>6843</v>
      </c>
      <c r="N1243" s="116">
        <v>6909</v>
      </c>
      <c r="O1243" s="116">
        <v>6623.5</v>
      </c>
      <c r="P1243" s="116">
        <v>6796</v>
      </c>
      <c r="Q1243" s="116">
        <v>6843</v>
      </c>
      <c r="R1243">
        <v>35118</v>
      </c>
    </row>
    <row r="1244" spans="1:18" x14ac:dyDescent="0.25">
      <c r="A1244" s="170">
        <v>46106</v>
      </c>
      <c r="B1244" s="116">
        <v>7099.2</v>
      </c>
      <c r="C1244" s="116">
        <v>7044.85</v>
      </c>
      <c r="D1244" s="116">
        <v>6895.9</v>
      </c>
      <c r="E1244" s="116">
        <v>6919.15</v>
      </c>
      <c r="F1244" s="116">
        <v>7044.85</v>
      </c>
      <c r="G1244">
        <v>910</v>
      </c>
      <c r="H1244" s="116"/>
      <c r="I1244" s="116"/>
      <c r="L1244" s="170">
        <v>46106</v>
      </c>
      <c r="M1244" s="116">
        <v>7049</v>
      </c>
      <c r="N1244" s="116">
        <v>7101</v>
      </c>
      <c r="O1244" s="116">
        <v>6888</v>
      </c>
      <c r="P1244" s="116">
        <v>6968</v>
      </c>
      <c r="Q1244" s="116">
        <v>7049</v>
      </c>
      <c r="R1244">
        <v>16025</v>
      </c>
    </row>
    <row r="1245" spans="1:18" x14ac:dyDescent="0.25">
      <c r="A1245" s="170">
        <v>46108</v>
      </c>
      <c r="B1245" s="116">
        <v>6995</v>
      </c>
      <c r="C1245" s="116">
        <v>6921.8</v>
      </c>
      <c r="D1245" s="116">
        <v>6887.5</v>
      </c>
      <c r="E1245" s="116">
        <v>6995</v>
      </c>
      <c r="F1245" s="116">
        <v>6921.8</v>
      </c>
      <c r="G1245">
        <v>774</v>
      </c>
      <c r="H1245" s="116"/>
      <c r="I1245" s="116"/>
      <c r="L1245" s="170">
        <v>46108</v>
      </c>
      <c r="M1245" s="116">
        <v>6924</v>
      </c>
      <c r="N1245" s="116">
        <v>6988.5</v>
      </c>
      <c r="O1245" s="116">
        <v>6884</v>
      </c>
      <c r="P1245" s="116">
        <v>6988.5</v>
      </c>
      <c r="Q1245" s="116">
        <v>6924</v>
      </c>
      <c r="R1245">
        <v>14928</v>
      </c>
    </row>
    <row r="1246" spans="1:18" x14ac:dyDescent="0.25">
      <c r="A1246" s="170">
        <v>46111</v>
      </c>
      <c r="B1246" s="116">
        <v>7130.2</v>
      </c>
      <c r="C1246" s="116">
        <v>6989.15</v>
      </c>
      <c r="D1246" s="116">
        <v>6728.3</v>
      </c>
      <c r="E1246" s="116">
        <v>6974.4</v>
      </c>
      <c r="F1246" s="116">
        <v>6989.15</v>
      </c>
      <c r="G1246">
        <v>1216</v>
      </c>
      <c r="H1246" s="116"/>
      <c r="I1246" s="116"/>
      <c r="L1246" s="170">
        <v>46111</v>
      </c>
      <c r="M1246" s="116">
        <v>6977</v>
      </c>
      <c r="N1246" s="116">
        <v>7148.5</v>
      </c>
      <c r="O1246" s="116">
        <v>6717</v>
      </c>
      <c r="P1246" s="116">
        <v>6892</v>
      </c>
      <c r="Q1246" s="116">
        <v>6977</v>
      </c>
      <c r="R1246">
        <v>42421</v>
      </c>
    </row>
    <row r="1247" spans="1:18" x14ac:dyDescent="0.25">
      <c r="A1247" s="170">
        <v>46113</v>
      </c>
      <c r="B1247" s="116">
        <v>7153.4</v>
      </c>
      <c r="C1247" s="116">
        <v>6825.8</v>
      </c>
      <c r="D1247" s="116">
        <v>6796.9</v>
      </c>
      <c r="E1247" s="116">
        <v>7100.25</v>
      </c>
      <c r="F1247" s="116">
        <v>6825.8</v>
      </c>
      <c r="G1247">
        <v>1826</v>
      </c>
      <c r="H1247" s="116"/>
      <c r="I1247" s="116"/>
      <c r="L1247" s="170">
        <v>46113</v>
      </c>
      <c r="M1247" s="116">
        <v>6838</v>
      </c>
      <c r="N1247" s="116">
        <v>7173.5</v>
      </c>
      <c r="O1247" s="116">
        <v>6786</v>
      </c>
      <c r="P1247" s="116">
        <v>7140.5</v>
      </c>
      <c r="Q1247" s="116">
        <v>6838</v>
      </c>
      <c r="R1247">
        <v>57919</v>
      </c>
    </row>
    <row r="1248" spans="1:18" x14ac:dyDescent="0.25">
      <c r="A1248" s="170">
        <v>46114</v>
      </c>
      <c r="B1248" s="116">
        <v>6896.5</v>
      </c>
      <c r="C1248" s="116">
        <v>6796.85</v>
      </c>
      <c r="D1248" s="116">
        <v>6690.85</v>
      </c>
      <c r="E1248" s="116">
        <v>6896.5</v>
      </c>
      <c r="F1248" s="116">
        <v>6796.85</v>
      </c>
      <c r="G1248">
        <v>355</v>
      </c>
      <c r="H1248" s="116"/>
      <c r="I1248" s="116"/>
      <c r="L1248" s="170">
        <v>46114</v>
      </c>
      <c r="M1248" s="116">
        <v>6789</v>
      </c>
      <c r="N1248" s="116">
        <v>6810</v>
      </c>
      <c r="O1248" s="116">
        <v>6683</v>
      </c>
      <c r="P1248" s="116">
        <v>6800</v>
      </c>
      <c r="Q1248" s="116">
        <v>6789</v>
      </c>
      <c r="R1248">
        <v>13204</v>
      </c>
    </row>
    <row r="1249" spans="1:18" x14ac:dyDescent="0.25">
      <c r="A1249" s="170">
        <v>46118</v>
      </c>
      <c r="B1249" s="116">
        <v>6800.4</v>
      </c>
      <c r="C1249" s="116">
        <v>6785.1</v>
      </c>
      <c r="D1249" s="116">
        <v>6666.35</v>
      </c>
      <c r="E1249" s="116">
        <v>6770.4</v>
      </c>
      <c r="F1249" s="116">
        <v>6785.1</v>
      </c>
      <c r="G1249">
        <v>1332</v>
      </c>
      <c r="H1249" s="116"/>
      <c r="I1249" s="116"/>
      <c r="L1249" s="170">
        <v>46118</v>
      </c>
      <c r="M1249" s="116">
        <v>6781.5</v>
      </c>
      <c r="N1249" s="116">
        <v>6803</v>
      </c>
      <c r="O1249" s="116">
        <v>6665</v>
      </c>
      <c r="P1249" s="116">
        <v>6789.5</v>
      </c>
      <c r="Q1249" s="116">
        <v>6781.5</v>
      </c>
      <c r="R1249">
        <v>28718</v>
      </c>
    </row>
    <row r="1250" spans="1:18" x14ac:dyDescent="0.25">
      <c r="A1250" s="170">
        <v>46119</v>
      </c>
      <c r="B1250" s="116">
        <v>6792.95</v>
      </c>
      <c r="C1250" s="116">
        <v>6737.8</v>
      </c>
      <c r="D1250" s="116">
        <v>6690</v>
      </c>
      <c r="E1250" s="116">
        <v>6756</v>
      </c>
      <c r="F1250" s="116">
        <v>6737.8</v>
      </c>
      <c r="G1250">
        <v>539</v>
      </c>
      <c r="H1250" s="116"/>
      <c r="I1250" s="116"/>
      <c r="L1250" s="170">
        <v>46119</v>
      </c>
      <c r="M1250" s="116">
        <v>6744.5</v>
      </c>
      <c r="N1250" s="116">
        <v>6848</v>
      </c>
      <c r="O1250" s="116">
        <v>6690</v>
      </c>
      <c r="P1250" s="116">
        <v>6848</v>
      </c>
      <c r="Q1250" s="116">
        <v>6744.5</v>
      </c>
      <c r="R1250">
        <v>15096</v>
      </c>
    </row>
    <row r="1251" spans="1:18" x14ac:dyDescent="0.25">
      <c r="A1251" s="170">
        <v>46120</v>
      </c>
      <c r="B1251" s="116">
        <v>7556.4</v>
      </c>
      <c r="C1251" s="116">
        <v>7337.05</v>
      </c>
      <c r="D1251" s="116">
        <v>6800</v>
      </c>
      <c r="E1251" s="116">
        <v>6857.65</v>
      </c>
      <c r="F1251" s="116">
        <v>7337.05</v>
      </c>
      <c r="G1251">
        <v>5364</v>
      </c>
      <c r="H1251" s="116"/>
      <c r="I1251" s="116"/>
      <c r="L1251" s="170">
        <v>46120</v>
      </c>
      <c r="M1251" s="116">
        <v>7351.5</v>
      </c>
      <c r="N1251" s="116">
        <v>7550</v>
      </c>
      <c r="O1251" s="116">
        <v>6800</v>
      </c>
      <c r="P1251" s="116">
        <v>6852</v>
      </c>
      <c r="Q1251" s="116">
        <v>7351.5</v>
      </c>
      <c r="R1251">
        <v>167271</v>
      </c>
    </row>
    <row r="1252" spans="1:18" x14ac:dyDescent="0.25">
      <c r="A1252" s="170">
        <v>46121</v>
      </c>
      <c r="B1252" s="116">
        <v>7477.4</v>
      </c>
      <c r="C1252" s="116">
        <v>7409.25</v>
      </c>
      <c r="D1252" s="116">
        <v>7247.1</v>
      </c>
      <c r="E1252" s="116">
        <v>7272.05</v>
      </c>
      <c r="F1252" s="116">
        <v>7409.25</v>
      </c>
      <c r="G1252">
        <v>894</v>
      </c>
      <c r="H1252" s="116"/>
      <c r="I1252" s="116"/>
      <c r="L1252" s="170">
        <v>46121</v>
      </c>
      <c r="M1252" s="116">
        <v>7408.5</v>
      </c>
      <c r="N1252" s="116">
        <v>7489</v>
      </c>
      <c r="O1252" s="116">
        <v>7257.5</v>
      </c>
      <c r="P1252" s="116">
        <v>7321.5</v>
      </c>
      <c r="Q1252" s="116">
        <v>7408.5</v>
      </c>
      <c r="R1252">
        <v>21635</v>
      </c>
    </row>
    <row r="1253" spans="1:18" x14ac:dyDescent="0.25">
      <c r="A1253" s="170">
        <v>46122</v>
      </c>
      <c r="B1253" s="116">
        <v>7564.5</v>
      </c>
      <c r="C1253" s="116">
        <v>7426.75</v>
      </c>
      <c r="D1253" s="116">
        <v>7407.2</v>
      </c>
      <c r="E1253" s="116">
        <v>7548.6</v>
      </c>
      <c r="F1253" s="116">
        <v>7426.75</v>
      </c>
      <c r="G1253">
        <v>1124</v>
      </c>
      <c r="H1253" s="116"/>
      <c r="I1253" s="116"/>
      <c r="L1253" s="170">
        <v>46122</v>
      </c>
      <c r="M1253" s="116">
        <v>7430</v>
      </c>
      <c r="N1253" s="116">
        <v>7566</v>
      </c>
      <c r="O1253" s="116">
        <v>7408</v>
      </c>
      <c r="P1253" s="116">
        <v>7500</v>
      </c>
      <c r="Q1253" s="116">
        <v>7430</v>
      </c>
      <c r="R1253">
        <v>32418</v>
      </c>
    </row>
    <row r="1254" spans="1:18" x14ac:dyDescent="0.25">
      <c r="A1254" s="170">
        <v>46125</v>
      </c>
      <c r="B1254" s="116">
        <v>7479.2</v>
      </c>
      <c r="C1254" s="116">
        <v>7395.3</v>
      </c>
      <c r="D1254" s="116">
        <v>7222.7</v>
      </c>
      <c r="E1254" s="116">
        <v>7479.2</v>
      </c>
      <c r="F1254" s="116">
        <v>7395.3</v>
      </c>
      <c r="G1254">
        <v>699</v>
      </c>
      <c r="H1254" s="116"/>
      <c r="I1254" s="116"/>
      <c r="L1254" s="170">
        <v>46125</v>
      </c>
      <c r="M1254" s="116">
        <v>7398.5</v>
      </c>
      <c r="N1254" s="116">
        <v>7463.5</v>
      </c>
      <c r="O1254" s="116">
        <v>7210.5</v>
      </c>
      <c r="P1254" s="116">
        <v>7300</v>
      </c>
      <c r="Q1254" s="116">
        <v>7398.5</v>
      </c>
      <c r="R1254">
        <v>15226</v>
      </c>
    </row>
    <row r="1255" spans="1:18" x14ac:dyDescent="0.25">
      <c r="A1255" s="170">
        <v>46127</v>
      </c>
      <c r="B1255" s="116">
        <v>7693.95</v>
      </c>
      <c r="C1255" s="116">
        <v>7428.4</v>
      </c>
      <c r="D1255" s="116">
        <v>7375.6</v>
      </c>
      <c r="E1255" s="116">
        <v>7693.95</v>
      </c>
      <c r="F1255" s="116">
        <v>7428.4</v>
      </c>
      <c r="G1255">
        <v>826</v>
      </c>
      <c r="H1255" s="116"/>
      <c r="I1255" s="116"/>
      <c r="L1255" s="170">
        <v>46127</v>
      </c>
      <c r="M1255" s="116">
        <v>7433.5</v>
      </c>
      <c r="N1255" s="116">
        <v>7600</v>
      </c>
      <c r="O1255" s="116">
        <v>7375</v>
      </c>
      <c r="P1255" s="116">
        <v>7600</v>
      </c>
      <c r="Q1255" s="116">
        <v>7433.5</v>
      </c>
      <c r="R1255">
        <v>25050</v>
      </c>
    </row>
    <row r="1256" spans="1:18" x14ac:dyDescent="0.25">
      <c r="A1256" s="170">
        <v>46128</v>
      </c>
      <c r="B1256" s="116">
        <v>7534.1</v>
      </c>
      <c r="C1256" s="116">
        <v>7510.9</v>
      </c>
      <c r="D1256" s="116">
        <v>7447.7</v>
      </c>
      <c r="E1256" s="116">
        <v>7462.45</v>
      </c>
      <c r="F1256" s="116">
        <v>7510.9</v>
      </c>
      <c r="G1256">
        <v>526</v>
      </c>
      <c r="H1256" s="116"/>
      <c r="I1256" s="116"/>
      <c r="L1256" s="170">
        <v>46128</v>
      </c>
      <c r="M1256" s="116">
        <v>7512.5</v>
      </c>
      <c r="N1256" s="116">
        <v>7548</v>
      </c>
      <c r="O1256" s="116">
        <v>7443</v>
      </c>
      <c r="P1256" s="116">
        <v>7548</v>
      </c>
      <c r="Q1256" s="116">
        <v>7512.5</v>
      </c>
      <c r="R1256">
        <v>24671</v>
      </c>
    </row>
    <row r="1257" spans="1:18" x14ac:dyDescent="0.25">
      <c r="A1257" s="170">
        <v>46129</v>
      </c>
      <c r="B1257" s="116">
        <v>7709.6</v>
      </c>
      <c r="C1257" s="116">
        <v>7688.35</v>
      </c>
      <c r="D1257" s="116">
        <v>7490.8</v>
      </c>
      <c r="E1257" s="116">
        <v>7510.9</v>
      </c>
      <c r="F1257" s="116">
        <v>7688.35</v>
      </c>
      <c r="G1257">
        <v>60601</v>
      </c>
      <c r="H1257" s="116"/>
      <c r="I1257" s="116"/>
      <c r="L1257" s="170">
        <v>46129</v>
      </c>
      <c r="M1257" s="116">
        <v>7691</v>
      </c>
      <c r="N1257" s="116">
        <v>7710.5</v>
      </c>
      <c r="O1257" s="116">
        <v>7488.5</v>
      </c>
      <c r="P1257" s="116">
        <v>7510</v>
      </c>
      <c r="Q1257" s="116">
        <v>7691</v>
      </c>
      <c r="R1257">
        <v>24998</v>
      </c>
    </row>
    <row r="1258" spans="1:18" x14ac:dyDescent="0.25">
      <c r="A1258" s="170">
        <v>46132</v>
      </c>
      <c r="B1258" s="116">
        <v>7931.35</v>
      </c>
      <c r="C1258" s="116">
        <v>7715.1</v>
      </c>
      <c r="D1258" s="116">
        <v>7678.5</v>
      </c>
      <c r="E1258" s="116">
        <v>7793</v>
      </c>
      <c r="F1258" s="116">
        <v>7715.1</v>
      </c>
      <c r="G1258">
        <v>1335</v>
      </c>
      <c r="H1258" s="116"/>
      <c r="I1258" s="116"/>
      <c r="L1258" s="170">
        <v>46132</v>
      </c>
      <c r="M1258" s="116">
        <v>7721.5</v>
      </c>
      <c r="N1258" s="116">
        <v>7933</v>
      </c>
      <c r="O1258" s="116">
        <v>7665</v>
      </c>
      <c r="P1258" s="116">
        <v>7698</v>
      </c>
      <c r="Q1258" s="116">
        <v>7721.5</v>
      </c>
      <c r="R1258">
        <v>24486</v>
      </c>
    </row>
    <row r="1259" spans="1:18" x14ac:dyDescent="0.25">
      <c r="A1259" s="170">
        <v>46133</v>
      </c>
      <c r="B1259" s="116">
        <v>7784.5</v>
      </c>
      <c r="C1259" s="116">
        <v>7646.2</v>
      </c>
      <c r="D1259" s="116">
        <v>7631.1</v>
      </c>
      <c r="E1259" s="116">
        <v>7750.55</v>
      </c>
      <c r="F1259" s="116">
        <v>7646.2</v>
      </c>
      <c r="G1259">
        <v>456</v>
      </c>
      <c r="H1259" s="116"/>
      <c r="I1259" s="116"/>
      <c r="L1259" s="170">
        <v>46133</v>
      </c>
      <c r="M1259" s="116">
        <v>7653</v>
      </c>
      <c r="N1259" s="116">
        <v>7789.5</v>
      </c>
      <c r="O1259" s="116">
        <v>7637</v>
      </c>
      <c r="P1259" s="116">
        <v>7730</v>
      </c>
      <c r="Q1259" s="116">
        <v>7653</v>
      </c>
      <c r="R1259">
        <v>9436</v>
      </c>
    </row>
    <row r="1260" spans="1:18" x14ac:dyDescent="0.25">
      <c r="A1260" s="170">
        <v>46134</v>
      </c>
      <c r="B1260" s="116">
        <v>7754.8</v>
      </c>
      <c r="C1260" s="116">
        <v>7687.95</v>
      </c>
      <c r="D1260" s="116">
        <v>7619.35</v>
      </c>
      <c r="E1260" s="116">
        <v>7619.35</v>
      </c>
      <c r="F1260" s="116">
        <v>7687.95</v>
      </c>
      <c r="G1260">
        <v>11077</v>
      </c>
      <c r="H1260" s="116"/>
      <c r="I1260" s="116"/>
      <c r="L1260" s="170">
        <v>46134</v>
      </c>
      <c r="M1260" s="116">
        <v>7684.5</v>
      </c>
      <c r="N1260" s="116">
        <v>7763.5</v>
      </c>
      <c r="O1260" s="116">
        <v>7640</v>
      </c>
      <c r="P1260" s="116">
        <v>7653</v>
      </c>
      <c r="Q1260" s="116">
        <v>7684.5</v>
      </c>
      <c r="R1260">
        <v>13407</v>
      </c>
    </row>
    <row r="1261" spans="1:18" x14ac:dyDescent="0.25">
      <c r="A1261" s="170">
        <v>46135</v>
      </c>
      <c r="B1261" s="116">
        <v>7793.95</v>
      </c>
      <c r="C1261" s="116">
        <v>7756.7</v>
      </c>
      <c r="D1261" s="116">
        <v>7628.5</v>
      </c>
      <c r="E1261" s="116">
        <v>7686</v>
      </c>
      <c r="F1261" s="116">
        <v>7756.7</v>
      </c>
      <c r="G1261">
        <v>11677</v>
      </c>
      <c r="H1261" s="116"/>
      <c r="I1261" s="116"/>
      <c r="L1261" s="170">
        <v>46135</v>
      </c>
      <c r="M1261" s="116">
        <v>7750.5</v>
      </c>
      <c r="N1261" s="116">
        <v>7798</v>
      </c>
      <c r="O1261" s="116">
        <v>7633</v>
      </c>
      <c r="P1261" s="116">
        <v>7695</v>
      </c>
      <c r="Q1261" s="116">
        <v>7750.5</v>
      </c>
      <c r="R1261">
        <v>14204</v>
      </c>
    </row>
    <row r="1262" spans="1:18" x14ac:dyDescent="0.25">
      <c r="A1262" s="170">
        <v>46136</v>
      </c>
      <c r="B1262" s="116">
        <v>7751</v>
      </c>
      <c r="C1262" s="116">
        <v>7561.5</v>
      </c>
      <c r="D1262" s="116">
        <v>7487.2</v>
      </c>
      <c r="E1262" s="116">
        <v>7750.95</v>
      </c>
      <c r="F1262" s="116">
        <v>7561.5</v>
      </c>
      <c r="G1262">
        <v>1346</v>
      </c>
      <c r="H1262" s="116"/>
      <c r="I1262" s="116"/>
      <c r="L1262" s="170">
        <v>46136</v>
      </c>
      <c r="M1262" s="116">
        <v>7570</v>
      </c>
      <c r="N1262" s="116">
        <v>7766</v>
      </c>
      <c r="O1262" s="116">
        <v>7494.5</v>
      </c>
      <c r="P1262" s="116">
        <v>7751</v>
      </c>
      <c r="Q1262" s="116">
        <v>7570</v>
      </c>
      <c r="R1262">
        <v>18061</v>
      </c>
    </row>
    <row r="1263" spans="1:18" x14ac:dyDescent="0.25">
      <c r="A1263" s="170">
        <v>46139</v>
      </c>
      <c r="B1263" s="116">
        <v>7799.95</v>
      </c>
      <c r="C1263" s="116">
        <v>7633.2</v>
      </c>
      <c r="D1263" s="116">
        <v>7564</v>
      </c>
      <c r="E1263" s="116">
        <v>7581.05</v>
      </c>
      <c r="F1263" s="116">
        <v>7633.2</v>
      </c>
      <c r="G1263">
        <v>1195</v>
      </c>
      <c r="H1263" s="116"/>
      <c r="I1263" s="116"/>
      <c r="L1263" s="170">
        <v>46139</v>
      </c>
      <c r="M1263" s="116">
        <v>7633</v>
      </c>
      <c r="N1263" s="116">
        <v>7800</v>
      </c>
      <c r="O1263" s="116">
        <v>7531</v>
      </c>
      <c r="P1263" s="116">
        <v>7535</v>
      </c>
      <c r="Q1263" s="116">
        <v>7633</v>
      </c>
      <c r="R1263">
        <v>21818</v>
      </c>
    </row>
    <row r="1264" spans="1:18" x14ac:dyDescent="0.25">
      <c r="A1264" s="170">
        <v>46140</v>
      </c>
      <c r="B1264" s="116">
        <v>7638.65</v>
      </c>
      <c r="C1264" s="116">
        <v>7572.4</v>
      </c>
      <c r="D1264" s="116">
        <v>7521.85</v>
      </c>
      <c r="E1264" s="116">
        <v>7633.2</v>
      </c>
      <c r="F1264" s="116">
        <v>7572.4</v>
      </c>
      <c r="G1264">
        <v>614</v>
      </c>
      <c r="H1264" s="116"/>
      <c r="I1264" s="116"/>
      <c r="L1264" s="170">
        <v>46140</v>
      </c>
      <c r="M1264" s="116">
        <v>7572</v>
      </c>
      <c r="N1264" s="116">
        <v>7649</v>
      </c>
      <c r="O1264" s="116">
        <v>7520</v>
      </c>
      <c r="P1264" s="116">
        <v>7615</v>
      </c>
      <c r="Q1264" s="116">
        <v>7572</v>
      </c>
      <c r="R1264">
        <v>14741</v>
      </c>
    </row>
    <row r="1265" spans="1:18" x14ac:dyDescent="0.25">
      <c r="A1265" s="170">
        <v>46141</v>
      </c>
      <c r="B1265" s="116">
        <v>7800</v>
      </c>
      <c r="C1265" s="116">
        <v>7744.15</v>
      </c>
      <c r="D1265" s="116">
        <v>7530.85</v>
      </c>
      <c r="E1265" s="116">
        <v>7616.05</v>
      </c>
      <c r="F1265" s="116">
        <v>7744.15</v>
      </c>
      <c r="G1265">
        <v>1837</v>
      </c>
      <c r="H1265" s="116"/>
      <c r="I1265" s="116"/>
      <c r="L1265" s="170">
        <v>46141</v>
      </c>
      <c r="M1265" s="116">
        <v>7750.5</v>
      </c>
      <c r="N1265" s="116">
        <v>7799.5</v>
      </c>
      <c r="O1265" s="116">
        <v>7530.5</v>
      </c>
      <c r="P1265" s="116">
        <v>7635</v>
      </c>
      <c r="Q1265" s="116">
        <v>7750.5</v>
      </c>
      <c r="R1265">
        <v>33814</v>
      </c>
    </row>
    <row r="1266" spans="1:18" x14ac:dyDescent="0.25">
      <c r="A1266" s="170">
        <v>46142</v>
      </c>
      <c r="B1266" s="116">
        <v>7784.95</v>
      </c>
      <c r="C1266" s="116">
        <v>7690.3</v>
      </c>
      <c r="D1266" s="116">
        <v>7631.3</v>
      </c>
      <c r="E1266" s="116">
        <v>7692.25</v>
      </c>
      <c r="F1266" s="116">
        <v>7690.3</v>
      </c>
      <c r="G1266">
        <v>10205</v>
      </c>
      <c r="H1266" s="116"/>
      <c r="I1266" s="116"/>
      <c r="L1266" s="170">
        <v>46142</v>
      </c>
      <c r="M1266" s="116">
        <v>7688</v>
      </c>
      <c r="N1266" s="116">
        <v>7795</v>
      </c>
      <c r="O1266" s="116">
        <v>7611</v>
      </c>
      <c r="P1266" s="116">
        <v>7770</v>
      </c>
      <c r="Q1266" s="116">
        <v>7688</v>
      </c>
      <c r="R1266">
        <v>44655</v>
      </c>
    </row>
    <row r="1267" spans="1:18" x14ac:dyDescent="0.25">
      <c r="A1267" s="170">
        <v>46146</v>
      </c>
      <c r="B1267" s="116">
        <v>7880</v>
      </c>
      <c r="C1267" s="116">
        <v>7679.3</v>
      </c>
      <c r="D1267" s="116">
        <v>7631.7</v>
      </c>
      <c r="E1267" s="116">
        <v>7703.05</v>
      </c>
      <c r="F1267" s="116">
        <v>7679.3</v>
      </c>
      <c r="G1267">
        <v>1222</v>
      </c>
      <c r="H1267" s="116"/>
      <c r="I1267" s="116"/>
      <c r="L1267" s="170">
        <v>46146</v>
      </c>
      <c r="M1267" s="116">
        <v>7679</v>
      </c>
      <c r="N1267" s="116">
        <v>7880</v>
      </c>
      <c r="O1267" s="116">
        <v>7616</v>
      </c>
      <c r="P1267" s="116">
        <v>7795</v>
      </c>
      <c r="Q1267" s="116">
        <v>7679</v>
      </c>
      <c r="R1267">
        <v>26936</v>
      </c>
    </row>
    <row r="1268" spans="1:18" x14ac:dyDescent="0.25">
      <c r="A1268" s="170">
        <v>46147</v>
      </c>
      <c r="B1268" s="116">
        <v>7751</v>
      </c>
      <c r="C1268" s="116">
        <v>7733.45</v>
      </c>
      <c r="D1268" s="116">
        <v>7607.65</v>
      </c>
      <c r="E1268" s="116">
        <v>7737.9</v>
      </c>
      <c r="F1268" s="116">
        <v>7733.45</v>
      </c>
      <c r="G1268">
        <v>523</v>
      </c>
      <c r="H1268" s="116"/>
      <c r="I1268" s="116"/>
      <c r="L1268" s="170">
        <v>46147</v>
      </c>
      <c r="M1268" s="116">
        <v>7741.5</v>
      </c>
      <c r="N1268" s="116">
        <v>7753</v>
      </c>
      <c r="O1268" s="116">
        <v>7612.5</v>
      </c>
      <c r="P1268" s="116">
        <v>7679</v>
      </c>
      <c r="Q1268" s="116">
        <v>7741.5</v>
      </c>
      <c r="R1268">
        <v>12497</v>
      </c>
    </row>
    <row r="1269" spans="1:18" x14ac:dyDescent="0.25">
      <c r="A1269" s="170">
        <v>46148</v>
      </c>
      <c r="B1269" s="116">
        <v>7840.6</v>
      </c>
      <c r="C1269" s="116">
        <v>7778.25</v>
      </c>
      <c r="D1269" s="116">
        <v>7703.7</v>
      </c>
      <c r="E1269" s="116">
        <v>7805.65</v>
      </c>
      <c r="F1269" s="116">
        <v>7778.25</v>
      </c>
      <c r="G1269">
        <v>9607</v>
      </c>
      <c r="H1269" s="116"/>
      <c r="I1269" s="116"/>
      <c r="L1269" s="170">
        <v>46148</v>
      </c>
      <c r="M1269" s="116">
        <v>7774.5</v>
      </c>
      <c r="N1269" s="116">
        <v>7843.5</v>
      </c>
      <c r="O1269" s="116">
        <v>7691</v>
      </c>
      <c r="P1269" s="116">
        <v>7800</v>
      </c>
      <c r="Q1269" s="116">
        <v>7774.5</v>
      </c>
      <c r="R1269">
        <v>13035</v>
      </c>
    </row>
    <row r="1270" spans="1:18" x14ac:dyDescent="0.25">
      <c r="A1270" s="170">
        <v>46149</v>
      </c>
      <c r="B1270" s="116">
        <v>8775.15</v>
      </c>
      <c r="C1270" s="116">
        <v>8630.7000000000007</v>
      </c>
      <c r="D1270" s="116">
        <v>7704.35</v>
      </c>
      <c r="E1270" s="116">
        <v>7780.05</v>
      </c>
      <c r="F1270" s="116">
        <v>8630.7000000000007</v>
      </c>
      <c r="G1270">
        <v>99512</v>
      </c>
      <c r="H1270" s="116"/>
      <c r="I1270" s="116"/>
      <c r="L1270" s="170">
        <v>46149</v>
      </c>
      <c r="M1270" s="116">
        <v>8637</v>
      </c>
      <c r="N1270" s="116">
        <v>8780</v>
      </c>
      <c r="O1270" s="116">
        <v>7704.5</v>
      </c>
      <c r="P1270" s="116">
        <v>7825</v>
      </c>
      <c r="Q1270" s="116">
        <v>8637</v>
      </c>
      <c r="R1270">
        <v>1672385</v>
      </c>
    </row>
    <row r="1271" spans="1:18" x14ac:dyDescent="0.25">
      <c r="A1271" s="170">
        <v>46150</v>
      </c>
      <c r="B1271" s="116">
        <v>9750.0499999999993</v>
      </c>
      <c r="C1271" s="116">
        <v>9001.5</v>
      </c>
      <c r="D1271" s="116">
        <v>8674.6</v>
      </c>
      <c r="E1271" s="116">
        <v>8799.15</v>
      </c>
      <c r="F1271" s="116">
        <v>9001.5</v>
      </c>
      <c r="G1271">
        <v>226527</v>
      </c>
      <c r="H1271" s="116"/>
      <c r="I1271" s="116"/>
      <c r="L1271" s="170">
        <v>46150</v>
      </c>
      <c r="M1271" s="116">
        <v>8981.5</v>
      </c>
      <c r="N1271" s="116">
        <v>9738</v>
      </c>
      <c r="O1271" s="116">
        <v>8657.5</v>
      </c>
      <c r="P1271" s="116">
        <v>8657.5</v>
      </c>
      <c r="Q1271" s="116">
        <v>8981.5</v>
      </c>
      <c r="R1271">
        <v>2259509</v>
      </c>
    </row>
    <row r="1272" spans="1:18" x14ac:dyDescent="0.25">
      <c r="A1272" s="170">
        <v>46153</v>
      </c>
      <c r="B1272" s="116">
        <v>9275</v>
      </c>
      <c r="C1272" s="116">
        <v>8804.7999999999993</v>
      </c>
      <c r="D1272" s="116">
        <v>8750</v>
      </c>
      <c r="E1272" s="116">
        <v>9011.0499999999993</v>
      </c>
      <c r="F1272" s="116">
        <v>8804.7999999999993</v>
      </c>
      <c r="G1272">
        <v>60602</v>
      </c>
      <c r="H1272" s="116"/>
      <c r="I1272" s="116"/>
      <c r="L1272" s="170">
        <v>46153</v>
      </c>
      <c r="M1272" s="116">
        <v>8806</v>
      </c>
      <c r="N1272" s="116">
        <v>9275</v>
      </c>
      <c r="O1272" s="116">
        <v>8736.5</v>
      </c>
      <c r="P1272" s="116">
        <v>9039.5</v>
      </c>
      <c r="Q1272" s="116">
        <v>8806</v>
      </c>
      <c r="R1272">
        <v>651559</v>
      </c>
    </row>
    <row r="1273" spans="1:18" x14ac:dyDescent="0.25">
      <c r="A1273" s="170">
        <v>46154</v>
      </c>
      <c r="B1273" s="116">
        <v>9047.2999999999993</v>
      </c>
      <c r="C1273" s="116">
        <v>8685.5</v>
      </c>
      <c r="D1273" s="116">
        <v>8620</v>
      </c>
      <c r="E1273" s="116">
        <v>8980.9</v>
      </c>
      <c r="F1273" s="116">
        <v>8685.5</v>
      </c>
      <c r="G1273">
        <v>14925</v>
      </c>
      <c r="H1273" s="116"/>
      <c r="I1273" s="116"/>
      <c r="L1273" s="170">
        <v>46154</v>
      </c>
      <c r="M1273" s="116">
        <v>8688</v>
      </c>
      <c r="N1273" s="116">
        <v>9054</v>
      </c>
      <c r="O1273" s="116">
        <v>8601</v>
      </c>
      <c r="P1273" s="116">
        <v>8868</v>
      </c>
      <c r="Q1273" s="116">
        <v>8688</v>
      </c>
      <c r="R1273">
        <v>200188</v>
      </c>
    </row>
    <row r="1274" spans="1:18" x14ac:dyDescent="0.25">
      <c r="A1274" s="170">
        <v>46155</v>
      </c>
      <c r="B1274" s="116">
        <v>8835.75</v>
      </c>
      <c r="C1274" s="116">
        <v>8599.7999999999993</v>
      </c>
      <c r="D1274" s="116">
        <v>8525.2999999999993</v>
      </c>
      <c r="E1274" s="116">
        <v>8687.4500000000007</v>
      </c>
      <c r="F1274" s="116">
        <v>8599.7999999999993</v>
      </c>
      <c r="G1274">
        <v>6460</v>
      </c>
      <c r="H1274" s="116"/>
      <c r="I1274" s="116"/>
      <c r="L1274" s="170">
        <v>46155</v>
      </c>
      <c r="M1274" s="116">
        <v>8584.5</v>
      </c>
      <c r="N1274" s="116">
        <v>8845</v>
      </c>
      <c r="O1274" s="116">
        <v>8512.5</v>
      </c>
      <c r="P1274" s="116">
        <v>8632.5</v>
      </c>
      <c r="Q1274" s="116">
        <v>8584.5</v>
      </c>
      <c r="R1274">
        <v>65958</v>
      </c>
    </row>
    <row r="1275" spans="1:18" x14ac:dyDescent="0.25">
      <c r="A1275" s="170">
        <v>46156</v>
      </c>
      <c r="B1275" s="116">
        <v>8756.35</v>
      </c>
      <c r="C1275" s="116">
        <v>8566.75</v>
      </c>
      <c r="D1275" s="116">
        <v>8515</v>
      </c>
      <c r="E1275" s="116">
        <v>8700.0499999999993</v>
      </c>
      <c r="F1275" s="116">
        <v>8566.75</v>
      </c>
      <c r="G1275">
        <v>5046</v>
      </c>
      <c r="H1275" s="116"/>
      <c r="I1275" s="116"/>
      <c r="L1275" s="170">
        <v>46156</v>
      </c>
      <c r="M1275" s="116">
        <v>8567</v>
      </c>
      <c r="N1275" s="116">
        <v>8761</v>
      </c>
      <c r="O1275" s="116">
        <v>8513.5</v>
      </c>
      <c r="P1275" s="116">
        <v>8695</v>
      </c>
      <c r="Q1275" s="116">
        <v>8567</v>
      </c>
      <c r="R1275">
        <v>61274</v>
      </c>
    </row>
    <row r="1276" spans="1:18" x14ac:dyDescent="0.25">
      <c r="A1276" s="170">
        <v>46157</v>
      </c>
      <c r="B1276" s="116">
        <v>8763.85</v>
      </c>
      <c r="C1276" s="116">
        <v>8462.9</v>
      </c>
      <c r="D1276" s="116">
        <v>8326.4</v>
      </c>
      <c r="E1276" s="116">
        <v>8763.85</v>
      </c>
      <c r="F1276" s="116">
        <v>8462.9</v>
      </c>
      <c r="G1276">
        <v>5384</v>
      </c>
      <c r="H1276" s="116"/>
      <c r="I1276" s="116"/>
      <c r="L1276" s="170">
        <v>46157</v>
      </c>
      <c r="M1276" s="116">
        <v>8462.5</v>
      </c>
      <c r="N1276" s="116">
        <v>8760</v>
      </c>
      <c r="O1276" s="116">
        <v>8320</v>
      </c>
      <c r="P1276" s="116">
        <v>8566.5</v>
      </c>
      <c r="Q1276" s="116">
        <v>8462.5</v>
      </c>
      <c r="R1276">
        <v>70403</v>
      </c>
    </row>
    <row r="1277" spans="1:18" x14ac:dyDescent="0.25">
      <c r="A1277" s="170">
        <v>46160</v>
      </c>
      <c r="B1277" s="116">
        <v>8499.9500000000007</v>
      </c>
      <c r="C1277" s="116">
        <v>8424.9500000000007</v>
      </c>
      <c r="D1277" s="116">
        <v>8250</v>
      </c>
      <c r="E1277" s="116">
        <v>8411.5499999999993</v>
      </c>
      <c r="F1277" s="116">
        <v>8424.9500000000007</v>
      </c>
      <c r="G1277">
        <v>28798</v>
      </c>
      <c r="H1277" s="116"/>
      <c r="I1277" s="116"/>
      <c r="L1277" s="170">
        <v>46160</v>
      </c>
      <c r="M1277" s="116">
        <v>8428.5</v>
      </c>
      <c r="N1277" s="116">
        <v>8499</v>
      </c>
      <c r="O1277" s="116">
        <v>8242.5</v>
      </c>
      <c r="P1277" s="116">
        <v>8472.5</v>
      </c>
      <c r="Q1277" s="116">
        <v>8428.5</v>
      </c>
      <c r="R1277">
        <v>38689</v>
      </c>
    </row>
    <row r="1278" spans="1:18" x14ac:dyDescent="0.25">
      <c r="A1278" s="170">
        <v>46161</v>
      </c>
      <c r="B1278" s="116">
        <v>8559</v>
      </c>
      <c r="C1278" s="116">
        <v>8529.9500000000007</v>
      </c>
      <c r="D1278" s="116">
        <v>8355.15</v>
      </c>
      <c r="E1278" s="116">
        <v>8433.5</v>
      </c>
      <c r="F1278" s="116">
        <v>8529.9500000000007</v>
      </c>
      <c r="G1278">
        <v>12224</v>
      </c>
      <c r="H1278" s="116"/>
      <c r="I1278" s="116"/>
      <c r="L1278" s="170">
        <v>46161</v>
      </c>
      <c r="M1278" s="116">
        <v>8536</v>
      </c>
      <c r="N1278" s="116">
        <v>8564</v>
      </c>
      <c r="O1278" s="116">
        <v>8351.5</v>
      </c>
      <c r="P1278" s="116">
        <v>8400</v>
      </c>
      <c r="Q1278" s="116">
        <v>8536</v>
      </c>
      <c r="R1278">
        <v>30925</v>
      </c>
    </row>
    <row r="1279" spans="1:18" x14ac:dyDescent="0.25">
      <c r="A1279" s="170">
        <v>46162</v>
      </c>
      <c r="B1279" s="116">
        <v>8608.4</v>
      </c>
      <c r="C1279" s="116">
        <v>8566.5499999999993</v>
      </c>
      <c r="D1279" s="116">
        <v>8406</v>
      </c>
      <c r="E1279" s="116">
        <v>8528.2999999999993</v>
      </c>
      <c r="F1279" s="116">
        <v>8566.5499999999993</v>
      </c>
      <c r="G1279">
        <v>2155</v>
      </c>
      <c r="H1279" s="116"/>
      <c r="I1279" s="116"/>
      <c r="L1279" s="170">
        <v>46162</v>
      </c>
      <c r="M1279" s="116">
        <v>8575</v>
      </c>
      <c r="N1279" s="116">
        <v>8619</v>
      </c>
      <c r="O1279" s="116">
        <v>8401</v>
      </c>
      <c r="P1279" s="116">
        <v>8496.5</v>
      </c>
      <c r="Q1279" s="116">
        <v>8575</v>
      </c>
      <c r="R1279">
        <v>38814</v>
      </c>
    </row>
    <row r="1280" spans="1:18" x14ac:dyDescent="0.25">
      <c r="A1280" s="170">
        <v>46163</v>
      </c>
      <c r="B1280" s="116">
        <v>8662.2000000000007</v>
      </c>
      <c r="C1280" s="116">
        <v>8547.85</v>
      </c>
      <c r="D1280" s="116">
        <v>8505.0499999999993</v>
      </c>
      <c r="E1280" s="116">
        <v>8505.0499999999993</v>
      </c>
      <c r="F1280" s="116">
        <v>8547.85</v>
      </c>
      <c r="G1280">
        <v>1489</v>
      </c>
      <c r="H1280" s="116"/>
      <c r="I1280" s="116"/>
      <c r="L1280" s="170">
        <v>46163</v>
      </c>
      <c r="M1280" s="116">
        <v>8543</v>
      </c>
      <c r="N1280" s="116">
        <v>8650</v>
      </c>
      <c r="O1280" s="116">
        <v>8520</v>
      </c>
      <c r="P1280" s="116">
        <v>8620</v>
      </c>
      <c r="Q1280" s="116">
        <v>8543</v>
      </c>
      <c r="R1280">
        <v>35973</v>
      </c>
    </row>
    <row r="1281" spans="1:18" x14ac:dyDescent="0.25">
      <c r="A1281" s="170">
        <v>46164</v>
      </c>
      <c r="B1281" s="116">
        <v>8774.75</v>
      </c>
      <c r="C1281" s="116">
        <v>8696.85</v>
      </c>
      <c r="D1281" s="116">
        <v>8443.5</v>
      </c>
      <c r="E1281" s="116">
        <v>8500.0499999999993</v>
      </c>
      <c r="F1281" s="116">
        <v>8696.85</v>
      </c>
      <c r="G1281">
        <v>17669</v>
      </c>
      <c r="H1281" s="116"/>
      <c r="I1281" s="116"/>
      <c r="L1281" s="170">
        <v>46164</v>
      </c>
      <c r="M1281" s="116">
        <v>8702</v>
      </c>
      <c r="N1281" s="116">
        <v>8774</v>
      </c>
      <c r="O1281" s="116">
        <v>8425</v>
      </c>
      <c r="P1281" s="116">
        <v>8543</v>
      </c>
      <c r="Q1281" s="116">
        <v>8702</v>
      </c>
      <c r="R1281">
        <v>45785</v>
      </c>
    </row>
    <row r="1282" spans="1:18" x14ac:dyDescent="0.25">
      <c r="A1282" s="170">
        <v>46167</v>
      </c>
      <c r="B1282" s="116">
        <v>8903.75</v>
      </c>
      <c r="C1282" s="116">
        <v>8676.25</v>
      </c>
      <c r="D1282" s="116">
        <v>8630.0499999999993</v>
      </c>
      <c r="E1282" s="116">
        <v>8870.85</v>
      </c>
      <c r="F1282" s="116">
        <v>8676.25</v>
      </c>
      <c r="G1282">
        <v>8244</v>
      </c>
      <c r="H1282" s="116"/>
      <c r="I1282" s="116"/>
      <c r="L1282" s="170">
        <v>46167</v>
      </c>
      <c r="M1282" s="116">
        <v>8692.5</v>
      </c>
      <c r="N1282" s="116">
        <v>8919</v>
      </c>
      <c r="O1282" s="116">
        <v>8625.5</v>
      </c>
      <c r="P1282" s="116">
        <v>8850</v>
      </c>
      <c r="Q1282" s="116">
        <v>8692.5</v>
      </c>
      <c r="R1282">
        <v>33663</v>
      </c>
    </row>
    <row r="1283" spans="1:18" x14ac:dyDescent="0.25">
      <c r="A1283" s="170">
        <v>46168</v>
      </c>
      <c r="B1283" s="116">
        <v>8830.0499999999993</v>
      </c>
      <c r="C1283" s="116">
        <v>8661.2000000000007</v>
      </c>
      <c r="D1283" s="116">
        <v>8639.7000000000007</v>
      </c>
      <c r="E1283" s="116">
        <v>8678</v>
      </c>
      <c r="F1283" s="116">
        <v>8661.2000000000007</v>
      </c>
      <c r="G1283">
        <v>6007</v>
      </c>
      <c r="H1283" s="116"/>
      <c r="I1283" s="116"/>
      <c r="L1283" s="170">
        <v>46168</v>
      </c>
      <c r="M1283" s="116">
        <v>8667.5</v>
      </c>
      <c r="N1283" s="116">
        <v>8843</v>
      </c>
      <c r="O1283" s="116">
        <v>8622</v>
      </c>
      <c r="P1283" s="116">
        <v>8666.5</v>
      </c>
      <c r="Q1283" s="116">
        <v>8667.5</v>
      </c>
      <c r="R1283">
        <v>24446</v>
      </c>
    </row>
    <row r="1284" spans="1:18" x14ac:dyDescent="0.25">
      <c r="A1284" s="170">
        <v>46169</v>
      </c>
      <c r="B1284" s="116">
        <v>8778.4</v>
      </c>
      <c r="C1284" s="116">
        <v>8686.4</v>
      </c>
      <c r="D1284" s="116">
        <v>8576.85</v>
      </c>
      <c r="E1284" s="116">
        <v>8670</v>
      </c>
      <c r="F1284" s="116">
        <v>8686.4</v>
      </c>
      <c r="G1284">
        <v>15068</v>
      </c>
      <c r="H1284" s="116"/>
      <c r="I1284" s="116"/>
      <c r="L1284" s="170">
        <v>46169</v>
      </c>
      <c r="M1284" s="116">
        <v>8688.5</v>
      </c>
      <c r="N1284" s="116">
        <v>8787.5</v>
      </c>
      <c r="O1284" s="116">
        <v>8570.5</v>
      </c>
      <c r="P1284" s="116">
        <v>8660</v>
      </c>
      <c r="Q1284" s="116">
        <v>8688.5</v>
      </c>
      <c r="R1284">
        <v>31339</v>
      </c>
    </row>
    <row r="1285" spans="1:18" x14ac:dyDescent="0.25">
      <c r="A1285" s="170">
        <v>46171</v>
      </c>
      <c r="B1285" s="116">
        <v>9250</v>
      </c>
      <c r="C1285" s="116">
        <v>9084.0499999999993</v>
      </c>
      <c r="D1285" s="116">
        <v>8751.0499999999993</v>
      </c>
      <c r="E1285" s="116">
        <v>8862.85</v>
      </c>
      <c r="F1285" s="116">
        <v>9084.0499999999993</v>
      </c>
      <c r="G1285">
        <v>5899</v>
      </c>
      <c r="H1285" s="116"/>
      <c r="I1285" s="116"/>
      <c r="L1285" s="170">
        <v>46171</v>
      </c>
      <c r="M1285" s="116">
        <v>9074</v>
      </c>
      <c r="N1285" s="116">
        <v>9259</v>
      </c>
      <c r="O1285" s="116">
        <v>8748.5</v>
      </c>
      <c r="P1285" s="116">
        <v>8830</v>
      </c>
      <c r="Q1285" s="116">
        <v>9074</v>
      </c>
      <c r="R1285">
        <v>135231</v>
      </c>
    </row>
    <row r="1286" spans="1:18" x14ac:dyDescent="0.25">
      <c r="A1286" s="170">
        <v>46174</v>
      </c>
      <c r="B1286" s="116">
        <v>9243.9500000000007</v>
      </c>
      <c r="C1286" s="116">
        <v>8746.35</v>
      </c>
      <c r="D1286" s="116">
        <v>8606.0499999999993</v>
      </c>
      <c r="E1286" s="116">
        <v>9050.9500000000007</v>
      </c>
      <c r="F1286" s="116">
        <v>8746.35</v>
      </c>
      <c r="G1286">
        <v>5730</v>
      </c>
      <c r="H1286" s="116"/>
      <c r="I1286" s="116"/>
      <c r="L1286" s="170">
        <v>46174</v>
      </c>
      <c r="M1286" s="116">
        <v>8771.5</v>
      </c>
      <c r="N1286" s="116">
        <v>9232</v>
      </c>
      <c r="O1286" s="116">
        <v>8589</v>
      </c>
      <c r="P1286" s="116">
        <v>9178</v>
      </c>
      <c r="Q1286" s="116">
        <v>8771.5</v>
      </c>
      <c r="R1286">
        <v>205545</v>
      </c>
    </row>
    <row r="1287" spans="1:18" x14ac:dyDescent="0.25">
      <c r="A1287" s="170">
        <v>46175</v>
      </c>
      <c r="B1287" s="116">
        <v>9003.25</v>
      </c>
      <c r="C1287" s="116">
        <v>8969.4</v>
      </c>
      <c r="D1287" s="116">
        <v>8660</v>
      </c>
      <c r="E1287" s="116">
        <v>8744.4500000000007</v>
      </c>
      <c r="F1287" s="116">
        <v>8969.4</v>
      </c>
      <c r="G1287">
        <v>2409</v>
      </c>
      <c r="H1287" s="116"/>
      <c r="I1287" s="116"/>
      <c r="L1287" s="170">
        <v>46175</v>
      </c>
      <c r="M1287" s="116">
        <v>8979</v>
      </c>
      <c r="N1287" s="116">
        <v>9000</v>
      </c>
      <c r="O1287" s="116">
        <v>8675</v>
      </c>
      <c r="P1287" s="116">
        <v>8687.5</v>
      </c>
      <c r="Q1287" s="116">
        <v>8979</v>
      </c>
      <c r="R1287">
        <v>42669</v>
      </c>
    </row>
    <row r="1288" spans="1:18" x14ac:dyDescent="0.25">
      <c r="A1288" s="170">
        <v>46176</v>
      </c>
      <c r="B1288" s="116">
        <v>8999</v>
      </c>
      <c r="C1288" s="116">
        <v>8876.7999999999993</v>
      </c>
      <c r="D1288" s="116">
        <v>8620.4</v>
      </c>
      <c r="E1288" s="116">
        <v>8927.85</v>
      </c>
      <c r="F1288" s="116">
        <v>8876.7999999999993</v>
      </c>
      <c r="G1288">
        <v>7614</v>
      </c>
      <c r="H1288" s="116"/>
      <c r="I1288" s="116"/>
      <c r="L1288" s="170">
        <v>46176</v>
      </c>
      <c r="M1288" s="116">
        <v>8898.5</v>
      </c>
      <c r="N1288" s="116">
        <v>9001</v>
      </c>
      <c r="O1288" s="116">
        <v>8613.5</v>
      </c>
      <c r="P1288" s="116">
        <v>8978</v>
      </c>
      <c r="Q1288" s="116">
        <v>8898.5</v>
      </c>
      <c r="R1288">
        <v>95289</v>
      </c>
    </row>
    <row r="1289" spans="1:18" x14ac:dyDescent="0.25">
      <c r="A1289" s="170">
        <v>46177</v>
      </c>
      <c r="B1289" s="116">
        <v>9300.1</v>
      </c>
      <c r="C1289" s="116">
        <v>9187.2000000000007</v>
      </c>
      <c r="D1289" s="116">
        <v>8849.9</v>
      </c>
      <c r="E1289" s="116">
        <v>8849.9</v>
      </c>
      <c r="F1289" s="116">
        <v>9187.2000000000007</v>
      </c>
      <c r="G1289">
        <v>3985</v>
      </c>
      <c r="H1289" s="116"/>
      <c r="I1289" s="116"/>
      <c r="L1289" s="170">
        <v>46177</v>
      </c>
      <c r="M1289" s="116">
        <v>9174</v>
      </c>
      <c r="N1289" s="116">
        <v>9300</v>
      </c>
      <c r="O1289" s="116">
        <v>8843.5</v>
      </c>
      <c r="P1289" s="116">
        <v>8878</v>
      </c>
      <c r="Q1289" s="116">
        <v>9174</v>
      </c>
      <c r="R1289">
        <v>86273</v>
      </c>
    </row>
    <row r="1290" spans="1:18" x14ac:dyDescent="0.25">
      <c r="A1290" s="170">
        <v>46178</v>
      </c>
      <c r="B1290" s="116">
        <v>9286</v>
      </c>
      <c r="C1290" s="116">
        <v>9040.7000000000007</v>
      </c>
      <c r="D1290" s="116">
        <v>9024.5</v>
      </c>
      <c r="E1290" s="116">
        <v>9191.7999999999993</v>
      </c>
      <c r="F1290" s="116">
        <v>9040.7000000000007</v>
      </c>
      <c r="G1290">
        <v>2228</v>
      </c>
      <c r="H1290" s="116"/>
      <c r="I1290" s="116"/>
      <c r="L1290" s="170">
        <v>46178</v>
      </c>
      <c r="M1290" s="116">
        <v>9065</v>
      </c>
      <c r="N1290" s="116">
        <v>9289</v>
      </c>
      <c r="O1290" s="116">
        <v>9033.5</v>
      </c>
      <c r="P1290" s="116">
        <v>9200.5</v>
      </c>
      <c r="Q1290" s="116">
        <v>9065</v>
      </c>
      <c r="R1290">
        <v>37933</v>
      </c>
    </row>
    <row r="1291" spans="1:18" x14ac:dyDescent="0.25">
      <c r="A1291" s="170">
        <v>46181</v>
      </c>
      <c r="B1291" s="116">
        <v>9183.6</v>
      </c>
      <c r="C1291" s="116">
        <v>8963.25</v>
      </c>
      <c r="D1291" s="116">
        <v>8890</v>
      </c>
      <c r="E1291" s="116">
        <v>9075.9500000000007</v>
      </c>
      <c r="F1291" s="116">
        <v>8963.25</v>
      </c>
      <c r="G1291">
        <v>2473</v>
      </c>
      <c r="H1291" s="116"/>
      <c r="I1291" s="116"/>
      <c r="L1291" s="170">
        <v>46181</v>
      </c>
      <c r="M1291" s="116">
        <v>8976</v>
      </c>
      <c r="N1291" s="116">
        <v>9178</v>
      </c>
      <c r="O1291" s="116">
        <v>8871.5</v>
      </c>
      <c r="P1291" s="116">
        <v>9031</v>
      </c>
      <c r="Q1291" s="116">
        <v>8976</v>
      </c>
      <c r="R1291">
        <v>44832</v>
      </c>
    </row>
    <row r="1292" spans="1:18" x14ac:dyDescent="0.25">
      <c r="A1292" s="170">
        <v>46182</v>
      </c>
      <c r="B1292" s="116">
        <v>9197</v>
      </c>
      <c r="C1292" s="116">
        <v>9128.6</v>
      </c>
      <c r="D1292" s="116">
        <v>8898.6</v>
      </c>
      <c r="E1292" s="116">
        <v>9093.65</v>
      </c>
      <c r="F1292" s="116">
        <v>9128.6</v>
      </c>
      <c r="G1292">
        <v>6695</v>
      </c>
      <c r="H1292" s="116"/>
      <c r="I1292" s="116"/>
      <c r="L1292" s="170">
        <v>46182</v>
      </c>
      <c r="M1292" s="116">
        <v>9126.5</v>
      </c>
      <c r="N1292" s="116">
        <v>9200.5</v>
      </c>
      <c r="O1292" s="116">
        <v>8900</v>
      </c>
      <c r="P1292" s="116">
        <v>8976</v>
      </c>
      <c r="Q1292" s="116">
        <v>9126.5</v>
      </c>
      <c r="R1292">
        <v>66943</v>
      </c>
    </row>
    <row r="1293" spans="1:18" x14ac:dyDescent="0.25">
      <c r="A1293" s="170">
        <v>46183</v>
      </c>
      <c r="B1293" s="116">
        <v>9199.25</v>
      </c>
      <c r="C1293" s="116">
        <v>8986.2000000000007</v>
      </c>
      <c r="D1293" s="116">
        <v>8925.4</v>
      </c>
      <c r="E1293" s="116">
        <v>9199.25</v>
      </c>
      <c r="F1293" s="116">
        <v>8986.2000000000007</v>
      </c>
      <c r="G1293">
        <v>1923</v>
      </c>
      <c r="H1293" s="116"/>
      <c r="I1293" s="116"/>
      <c r="L1293" s="170">
        <v>46183</v>
      </c>
      <c r="M1293" s="116">
        <v>8986.5</v>
      </c>
      <c r="N1293" s="116">
        <v>9154</v>
      </c>
      <c r="O1293" s="116">
        <v>8934</v>
      </c>
      <c r="P1293" s="116">
        <v>9154</v>
      </c>
      <c r="Q1293" s="116">
        <v>8986.5</v>
      </c>
      <c r="R1293">
        <v>63168</v>
      </c>
    </row>
    <row r="1294" spans="1:18" x14ac:dyDescent="0.25">
      <c r="A1294" s="170">
        <v>46184</v>
      </c>
      <c r="B1294" s="116">
        <v>9030.9</v>
      </c>
      <c r="C1294" s="116">
        <v>8803.35</v>
      </c>
      <c r="D1294" s="116">
        <v>8693</v>
      </c>
      <c r="E1294" s="116">
        <v>9030.9</v>
      </c>
      <c r="F1294" s="116">
        <v>8803.35</v>
      </c>
      <c r="G1294">
        <v>7957</v>
      </c>
      <c r="H1294" s="116"/>
      <c r="I1294" s="116"/>
      <c r="L1294" s="170">
        <v>46184</v>
      </c>
      <c r="M1294" s="116">
        <v>8792.5</v>
      </c>
      <c r="N1294" s="116">
        <v>8948</v>
      </c>
      <c r="O1294" s="116">
        <v>8683.5</v>
      </c>
      <c r="P1294" s="116">
        <v>8922</v>
      </c>
      <c r="Q1294" s="116">
        <v>8792.5</v>
      </c>
      <c r="R1294">
        <v>85657</v>
      </c>
    </row>
    <row r="1295" spans="1:18" x14ac:dyDescent="0.25">
      <c r="A1295" s="170">
        <v>46185</v>
      </c>
      <c r="B1295" s="116">
        <v>9006.1</v>
      </c>
      <c r="C1295" s="116">
        <v>8887.35</v>
      </c>
      <c r="D1295" s="116">
        <v>8750.5</v>
      </c>
      <c r="E1295" s="116">
        <v>8900.25</v>
      </c>
      <c r="F1295" s="116">
        <v>8887.35</v>
      </c>
      <c r="G1295">
        <v>23827</v>
      </c>
      <c r="H1295" s="116"/>
      <c r="I1295" s="116"/>
      <c r="L1295" s="170">
        <v>46185</v>
      </c>
      <c r="M1295" s="116">
        <v>8917.5</v>
      </c>
      <c r="N1295" s="116">
        <v>9017</v>
      </c>
      <c r="O1295" s="116">
        <v>8755.5</v>
      </c>
      <c r="P1295" s="116">
        <v>8909</v>
      </c>
      <c r="Q1295" s="116">
        <v>8917.5</v>
      </c>
      <c r="R1295">
        <v>62301</v>
      </c>
    </row>
    <row r="1296" spans="1:18" x14ac:dyDescent="0.25">
      <c r="A1296" s="170">
        <v>46188</v>
      </c>
      <c r="B1296" s="116">
        <v>9391.2000000000007</v>
      </c>
      <c r="C1296" s="116">
        <v>9338.65</v>
      </c>
      <c r="D1296" s="116">
        <v>8990</v>
      </c>
      <c r="E1296" s="116">
        <v>9139.0499999999993</v>
      </c>
      <c r="F1296" s="116">
        <v>9338.65</v>
      </c>
      <c r="G1296">
        <v>29131</v>
      </c>
      <c r="H1296" s="116"/>
      <c r="I1296" s="116"/>
      <c r="L1296" s="170">
        <v>46188</v>
      </c>
      <c r="M1296" s="116">
        <v>9337</v>
      </c>
      <c r="N1296" s="116">
        <v>9396</v>
      </c>
      <c r="O1296" s="116">
        <v>8990</v>
      </c>
      <c r="P1296" s="116">
        <v>9100</v>
      </c>
      <c r="Q1296" s="116">
        <v>9337</v>
      </c>
      <c r="R1296">
        <v>109175</v>
      </c>
    </row>
    <row r="1297" spans="1:18" x14ac:dyDescent="0.25">
      <c r="A1297" s="170">
        <v>46189</v>
      </c>
      <c r="B1297" s="116">
        <v>9483.9500000000007</v>
      </c>
      <c r="C1297" s="116">
        <v>9324.25</v>
      </c>
      <c r="D1297" s="116">
        <v>9214.5</v>
      </c>
      <c r="E1297" s="116">
        <v>9422.7000000000007</v>
      </c>
      <c r="F1297" s="116">
        <v>9324.25</v>
      </c>
      <c r="G1297">
        <v>3809</v>
      </c>
      <c r="H1297" s="116"/>
      <c r="I1297" s="116"/>
      <c r="L1297" s="170">
        <v>46189</v>
      </c>
      <c r="M1297" s="116">
        <v>9326</v>
      </c>
      <c r="N1297" s="116">
        <v>9490</v>
      </c>
      <c r="O1297" s="116">
        <v>9213</v>
      </c>
      <c r="P1297" s="116">
        <v>9433.5</v>
      </c>
      <c r="Q1297" s="116">
        <v>9326</v>
      </c>
      <c r="R1297">
        <v>86572</v>
      </c>
    </row>
    <row r="1298" spans="1:18" x14ac:dyDescent="0.25">
      <c r="A1298" s="170">
        <v>46190</v>
      </c>
      <c r="B1298" s="116">
        <v>9640</v>
      </c>
      <c r="C1298" s="116">
        <v>9496.2999999999993</v>
      </c>
      <c r="D1298" s="116">
        <v>9334.9</v>
      </c>
      <c r="E1298" s="116">
        <v>9393.2999999999993</v>
      </c>
      <c r="F1298" s="116">
        <v>9496.2999999999993</v>
      </c>
      <c r="G1298">
        <v>5470</v>
      </c>
      <c r="H1298" s="116"/>
      <c r="I1298" s="116"/>
      <c r="L1298" s="170">
        <v>46190</v>
      </c>
      <c r="M1298" s="116">
        <v>9498.5</v>
      </c>
      <c r="N1298" s="116">
        <v>9656</v>
      </c>
      <c r="O1298" s="116">
        <v>9336.5</v>
      </c>
      <c r="P1298" s="116">
        <v>9400</v>
      </c>
      <c r="Q1298" s="116">
        <v>9498.5</v>
      </c>
      <c r="R1298">
        <v>140241</v>
      </c>
    </row>
    <row r="1299" spans="1:18" x14ac:dyDescent="0.25">
      <c r="A1299" s="170"/>
      <c r="B1299" s="116"/>
      <c r="C1299" s="116"/>
      <c r="D1299" s="116"/>
      <c r="E1299" s="116"/>
      <c r="F1299" s="116"/>
      <c r="H1299" s="116"/>
      <c r="I1299" s="116"/>
      <c r="L1299" s="170"/>
    </row>
    <row r="1300" spans="1:18" x14ac:dyDescent="0.25">
      <c r="A1300" s="170"/>
      <c r="B1300" s="116"/>
      <c r="C1300" s="116"/>
      <c r="D1300" s="116"/>
      <c r="E1300" s="116"/>
      <c r="F1300" s="116"/>
      <c r="H1300" s="116"/>
      <c r="I1300" s="116"/>
      <c r="L1300" s="170"/>
    </row>
    <row r="1301" spans="1:18" x14ac:dyDescent="0.25">
      <c r="A1301" s="170"/>
      <c r="B1301" s="116"/>
      <c r="C1301" s="116"/>
      <c r="D1301" s="116"/>
      <c r="E1301" s="116"/>
      <c r="F1301" s="116"/>
      <c r="H1301" s="116"/>
      <c r="I1301" s="116"/>
      <c r="L1301" s="170"/>
    </row>
    <row r="1302" spans="1:18" x14ac:dyDescent="0.25">
      <c r="A1302" s="170"/>
      <c r="B1302" s="116"/>
      <c r="C1302" s="116"/>
      <c r="D1302" s="116"/>
      <c r="E1302" s="116"/>
      <c r="F1302" s="116"/>
      <c r="H1302" s="116"/>
      <c r="I1302" s="116"/>
      <c r="L1302" s="170"/>
    </row>
    <row r="1303" spans="1:18" x14ac:dyDescent="0.25">
      <c r="A1303" s="170"/>
      <c r="B1303" s="116"/>
      <c r="C1303" s="116"/>
      <c r="D1303" s="116"/>
      <c r="E1303" s="116"/>
      <c r="F1303" s="116"/>
      <c r="H1303" s="116"/>
      <c r="I1303" s="116"/>
      <c r="L1303" s="170"/>
    </row>
    <row r="1304" spans="1:18" x14ac:dyDescent="0.25">
      <c r="A1304" s="170"/>
      <c r="B1304" s="116"/>
      <c r="C1304" s="116"/>
      <c r="D1304" s="116"/>
      <c r="E1304" s="116"/>
      <c r="F1304" s="116"/>
      <c r="H1304" s="116"/>
      <c r="I1304" s="116"/>
      <c r="L1304" s="170"/>
    </row>
    <row r="1305" spans="1:18" x14ac:dyDescent="0.25">
      <c r="A1305" s="170"/>
      <c r="B1305" s="116"/>
      <c r="C1305" s="116"/>
      <c r="D1305" s="116"/>
      <c r="E1305" s="116"/>
      <c r="F1305" s="116"/>
      <c r="H1305" s="116"/>
      <c r="I1305" s="116"/>
      <c r="L1305" s="170"/>
    </row>
    <row r="1306" spans="1:18" x14ac:dyDescent="0.25">
      <c r="A1306" s="170"/>
      <c r="B1306" s="116"/>
      <c r="C1306" s="116"/>
      <c r="D1306" s="116"/>
      <c r="E1306" s="116"/>
      <c r="F1306" s="116"/>
      <c r="H1306" s="116"/>
      <c r="I1306" s="116"/>
      <c r="L1306" s="170"/>
    </row>
    <row r="1307" spans="1:18" x14ac:dyDescent="0.25">
      <c r="A1307" s="170"/>
      <c r="B1307" s="116"/>
      <c r="C1307" s="116"/>
      <c r="D1307" s="116"/>
      <c r="E1307" s="116"/>
      <c r="F1307" s="116"/>
      <c r="H1307" s="116"/>
      <c r="I1307" s="116"/>
      <c r="L1307" s="170"/>
    </row>
    <row r="1308" spans="1:18" x14ac:dyDescent="0.25">
      <c r="A1308" s="170"/>
      <c r="B1308" s="116"/>
      <c r="C1308" s="116"/>
      <c r="D1308" s="116"/>
      <c r="E1308" s="116"/>
      <c r="F1308" s="116"/>
      <c r="H1308" s="116"/>
      <c r="I1308" s="116"/>
      <c r="L1308" s="170"/>
    </row>
    <row r="1309" spans="1:18" x14ac:dyDescent="0.25">
      <c r="A1309" s="170"/>
      <c r="B1309" s="116"/>
      <c r="C1309" s="116"/>
      <c r="D1309" s="116"/>
      <c r="E1309" s="116"/>
      <c r="F1309" s="116"/>
      <c r="H1309" s="116"/>
      <c r="I1309" s="116"/>
      <c r="L1309" s="170"/>
    </row>
    <row r="1310" spans="1:18" x14ac:dyDescent="0.25">
      <c r="A1310" s="170"/>
      <c r="B1310" s="116"/>
      <c r="C1310" s="116"/>
      <c r="D1310" s="116"/>
      <c r="E1310" s="116"/>
      <c r="F1310" s="116"/>
      <c r="H1310" s="116"/>
      <c r="I1310" s="116"/>
      <c r="L1310" s="170"/>
    </row>
    <row r="1311" spans="1:18" x14ac:dyDescent="0.25">
      <c r="A1311" s="170"/>
      <c r="B1311" s="116"/>
      <c r="C1311" s="116"/>
      <c r="D1311" s="116"/>
      <c r="E1311" s="116"/>
      <c r="F1311" s="116"/>
      <c r="H1311" s="116"/>
      <c r="I1311" s="116"/>
      <c r="L1311" s="170"/>
    </row>
    <row r="1312" spans="1:18" x14ac:dyDescent="0.25">
      <c r="A1312" s="170"/>
      <c r="B1312" s="116"/>
      <c r="C1312" s="116"/>
      <c r="D1312" s="116"/>
      <c r="E1312" s="116"/>
      <c r="F1312" s="116"/>
      <c r="H1312" s="116"/>
      <c r="I1312" s="116"/>
      <c r="L1312" s="170"/>
    </row>
    <row r="1313" spans="1:12" x14ac:dyDescent="0.25">
      <c r="A1313" s="170"/>
      <c r="B1313" s="116"/>
      <c r="C1313" s="116"/>
      <c r="D1313" s="116"/>
      <c r="E1313" s="116"/>
      <c r="F1313" s="116"/>
      <c r="H1313" s="116"/>
      <c r="I1313" s="116"/>
      <c r="L1313" s="170"/>
    </row>
    <row r="1314" spans="1:12" x14ac:dyDescent="0.25">
      <c r="A1314" s="170"/>
      <c r="B1314" s="116"/>
      <c r="C1314" s="116"/>
      <c r="D1314" s="116"/>
      <c r="E1314" s="116"/>
      <c r="F1314" s="116"/>
      <c r="H1314" s="116"/>
      <c r="I1314" s="116"/>
      <c r="L1314" s="170"/>
    </row>
    <row r="1315" spans="1:12" x14ac:dyDescent="0.25">
      <c r="A1315" s="170"/>
      <c r="B1315" s="116"/>
      <c r="C1315" s="116"/>
      <c r="D1315" s="116"/>
      <c r="E1315" s="116"/>
      <c r="F1315" s="116"/>
      <c r="H1315" s="116"/>
      <c r="I1315" s="116"/>
      <c r="L1315" s="170"/>
    </row>
    <row r="1316" spans="1:12" x14ac:dyDescent="0.25">
      <c r="A1316" s="170"/>
      <c r="B1316" s="116"/>
      <c r="C1316" s="116"/>
      <c r="D1316" s="116"/>
      <c r="E1316" s="116"/>
      <c r="F1316" s="116"/>
      <c r="H1316" s="116"/>
      <c r="I1316" s="116"/>
      <c r="L1316" s="170"/>
    </row>
    <row r="1317" spans="1:12" x14ac:dyDescent="0.25">
      <c r="A1317" s="170"/>
      <c r="B1317" s="116"/>
      <c r="C1317" s="116"/>
      <c r="D1317" s="116"/>
      <c r="E1317" s="116"/>
      <c r="F1317" s="116"/>
      <c r="H1317" s="116"/>
      <c r="I1317" s="116"/>
      <c r="L1317" s="170"/>
    </row>
    <row r="1318" spans="1:12" x14ac:dyDescent="0.25">
      <c r="A1318" s="170"/>
      <c r="B1318" s="116"/>
      <c r="C1318" s="116"/>
      <c r="D1318" s="116"/>
      <c r="E1318" s="116"/>
      <c r="F1318" s="116"/>
      <c r="H1318" s="116"/>
      <c r="I1318" s="116"/>
      <c r="L1318" s="170"/>
    </row>
    <row r="1319" spans="1:12" x14ac:dyDescent="0.25">
      <c r="A1319" s="170"/>
      <c r="B1319" s="116"/>
      <c r="C1319" s="116"/>
      <c r="D1319" s="116"/>
      <c r="E1319" s="116"/>
      <c r="F1319" s="116"/>
      <c r="H1319" s="116"/>
      <c r="I1319" s="116"/>
      <c r="L1319" s="170"/>
    </row>
    <row r="1320" spans="1:12" x14ac:dyDescent="0.25">
      <c r="A1320" s="170"/>
      <c r="B1320" s="116"/>
      <c r="C1320" s="116"/>
      <c r="D1320" s="116"/>
      <c r="E1320" s="116"/>
      <c r="F1320" s="116"/>
      <c r="H1320" s="116"/>
      <c r="I1320" s="116"/>
      <c r="L1320" s="170"/>
    </row>
    <row r="1321" spans="1:12" x14ac:dyDescent="0.25">
      <c r="A1321" s="170"/>
      <c r="B1321" s="116"/>
      <c r="C1321" s="116"/>
      <c r="D1321" s="116"/>
      <c r="E1321" s="116"/>
      <c r="F1321" s="116"/>
      <c r="H1321" s="116"/>
      <c r="I1321" s="116"/>
      <c r="L1321" s="170"/>
    </row>
    <row r="1322" spans="1:12" x14ac:dyDescent="0.25">
      <c r="A1322" s="170"/>
      <c r="B1322" s="116"/>
      <c r="C1322" s="116"/>
      <c r="D1322" s="116"/>
      <c r="E1322" s="116"/>
      <c r="F1322" s="116"/>
      <c r="H1322" s="116"/>
      <c r="I1322" s="116"/>
      <c r="L1322" s="170"/>
    </row>
    <row r="1323" spans="1:12" x14ac:dyDescent="0.25">
      <c r="A1323" s="170"/>
      <c r="B1323" s="116"/>
      <c r="C1323" s="116"/>
      <c r="D1323" s="116"/>
      <c r="E1323" s="116"/>
      <c r="F1323" s="116"/>
      <c r="H1323" s="116"/>
      <c r="I1323" s="116"/>
      <c r="L1323" s="170"/>
    </row>
    <row r="1324" spans="1:12" x14ac:dyDescent="0.25">
      <c r="A1324" s="170"/>
      <c r="B1324" s="116"/>
      <c r="C1324" s="116"/>
      <c r="D1324" s="116"/>
      <c r="E1324" s="116"/>
      <c r="F1324" s="116"/>
      <c r="H1324" s="116"/>
      <c r="I1324" s="116"/>
      <c r="L1324" s="170"/>
    </row>
    <row r="1325" spans="1:12" x14ac:dyDescent="0.25">
      <c r="A1325" s="170"/>
      <c r="B1325" s="116"/>
      <c r="C1325" s="116"/>
      <c r="D1325" s="116"/>
      <c r="E1325" s="116"/>
      <c r="F1325" s="116"/>
      <c r="H1325" s="116"/>
      <c r="I1325" s="116"/>
      <c r="L1325" s="170"/>
    </row>
    <row r="1326" spans="1:12" x14ac:dyDescent="0.25">
      <c r="A1326" s="170"/>
      <c r="B1326" s="116"/>
      <c r="C1326" s="116"/>
      <c r="D1326" s="116"/>
      <c r="E1326" s="116"/>
      <c r="F1326" s="116"/>
      <c r="H1326" s="116"/>
      <c r="I1326" s="116"/>
      <c r="L1326" s="170"/>
    </row>
    <row r="1327" spans="1:12" x14ac:dyDescent="0.25">
      <c r="A1327" s="170"/>
      <c r="B1327" s="116"/>
      <c r="C1327" s="116"/>
      <c r="D1327" s="116"/>
      <c r="E1327" s="116"/>
      <c r="F1327" s="116"/>
      <c r="H1327" s="116"/>
      <c r="I1327" s="116"/>
      <c r="L1327" s="170"/>
    </row>
    <row r="1328" spans="1:12" x14ac:dyDescent="0.25">
      <c r="A1328" s="170"/>
      <c r="B1328" s="116"/>
      <c r="C1328" s="116"/>
      <c r="D1328" s="116"/>
      <c r="E1328" s="116"/>
      <c r="F1328" s="116"/>
      <c r="H1328" s="116"/>
      <c r="I1328" s="116"/>
      <c r="L1328" s="170"/>
    </row>
    <row r="1329" spans="1:12" x14ac:dyDescent="0.25">
      <c r="A1329" s="170"/>
      <c r="B1329" s="116"/>
      <c r="C1329" s="116"/>
      <c r="D1329" s="116"/>
      <c r="E1329" s="116"/>
      <c r="F1329" s="116"/>
      <c r="H1329" s="116"/>
      <c r="I1329" s="116"/>
      <c r="L1329" s="170"/>
    </row>
    <row r="1330" spans="1:12" x14ac:dyDescent="0.25">
      <c r="A1330" s="170"/>
      <c r="B1330" s="116"/>
      <c r="C1330" s="116"/>
      <c r="D1330" s="116"/>
      <c r="E1330" s="116"/>
      <c r="F1330" s="116"/>
      <c r="H1330" s="116"/>
      <c r="I1330" s="116"/>
      <c r="L1330" s="170"/>
    </row>
    <row r="1331" spans="1:12" x14ac:dyDescent="0.25">
      <c r="A1331" s="170"/>
      <c r="B1331" s="116"/>
      <c r="C1331" s="116"/>
      <c r="D1331" s="116"/>
      <c r="E1331" s="116"/>
      <c r="F1331" s="116"/>
      <c r="H1331" s="116"/>
      <c r="I1331" s="116"/>
      <c r="L1331" s="170"/>
    </row>
    <row r="1332" spans="1:12" x14ac:dyDescent="0.25">
      <c r="A1332" s="170"/>
      <c r="B1332" s="116"/>
      <c r="C1332" s="116"/>
      <c r="D1332" s="116"/>
      <c r="E1332" s="116"/>
      <c r="F1332" s="116"/>
      <c r="H1332" s="116"/>
      <c r="I1332" s="116"/>
      <c r="L1332" s="170"/>
    </row>
    <row r="1333" spans="1:12" x14ac:dyDescent="0.25">
      <c r="A1333" s="170"/>
      <c r="B1333" s="116"/>
      <c r="C1333" s="116"/>
      <c r="D1333" s="116"/>
      <c r="E1333" s="116"/>
      <c r="F1333" s="116"/>
      <c r="H1333" s="116"/>
      <c r="I1333" s="116"/>
      <c r="L1333" s="170"/>
    </row>
    <row r="1334" spans="1:12" x14ac:dyDescent="0.25">
      <c r="A1334" s="170"/>
      <c r="B1334" s="116"/>
      <c r="C1334" s="116"/>
      <c r="D1334" s="116"/>
      <c r="E1334" s="116"/>
      <c r="F1334" s="116"/>
      <c r="H1334" s="116"/>
      <c r="I1334" s="116"/>
      <c r="L1334" s="170"/>
    </row>
    <row r="1335" spans="1:12" x14ac:dyDescent="0.25">
      <c r="A1335" s="170"/>
      <c r="B1335" s="116"/>
      <c r="C1335" s="116"/>
      <c r="D1335" s="116"/>
      <c r="E1335" s="116"/>
      <c r="F1335" s="116"/>
      <c r="H1335" s="116"/>
      <c r="I1335" s="116"/>
      <c r="L1335" s="170"/>
    </row>
    <row r="1336" spans="1:12" x14ac:dyDescent="0.25">
      <c r="A1336" s="170"/>
      <c r="B1336" s="116"/>
      <c r="C1336" s="116"/>
      <c r="D1336" s="116"/>
      <c r="E1336" s="116"/>
      <c r="F1336" s="116"/>
      <c r="H1336" s="116"/>
      <c r="I1336" s="116"/>
      <c r="L1336" s="170"/>
    </row>
    <row r="1337" spans="1:12" x14ac:dyDescent="0.25">
      <c r="A1337" s="170"/>
      <c r="B1337" s="116"/>
      <c r="C1337" s="116"/>
      <c r="D1337" s="116"/>
      <c r="E1337" s="116"/>
      <c r="F1337" s="116"/>
      <c r="H1337" s="116"/>
      <c r="I1337" s="116"/>
      <c r="L1337" s="170"/>
    </row>
    <row r="1338" spans="1:12" x14ac:dyDescent="0.25">
      <c r="A1338" s="170"/>
      <c r="B1338" s="116"/>
      <c r="C1338" s="116"/>
      <c r="D1338" s="116"/>
      <c r="E1338" s="116"/>
      <c r="F1338" s="116"/>
      <c r="H1338" s="116"/>
      <c r="I1338" s="116"/>
      <c r="L1338" s="170"/>
    </row>
    <row r="1339" spans="1:12" x14ac:dyDescent="0.25">
      <c r="A1339" s="170"/>
      <c r="B1339" s="116"/>
      <c r="C1339" s="116"/>
      <c r="D1339" s="116"/>
      <c r="E1339" s="116"/>
      <c r="F1339" s="116"/>
      <c r="H1339" s="116"/>
      <c r="I1339" s="116"/>
      <c r="L1339" s="170"/>
    </row>
    <row r="1340" spans="1:12" x14ac:dyDescent="0.25">
      <c r="A1340" s="170"/>
      <c r="B1340" s="116"/>
      <c r="C1340" s="116"/>
      <c r="D1340" s="116"/>
      <c r="E1340" s="116"/>
      <c r="F1340" s="116"/>
      <c r="H1340" s="116"/>
      <c r="I1340" s="116"/>
      <c r="L1340" s="170"/>
    </row>
    <row r="1341" spans="1:12" x14ac:dyDescent="0.25">
      <c r="A1341" s="170"/>
      <c r="B1341" s="116"/>
      <c r="C1341" s="116"/>
      <c r="D1341" s="116"/>
      <c r="E1341" s="116"/>
      <c r="F1341" s="116"/>
      <c r="H1341" s="116"/>
      <c r="I1341" s="116"/>
      <c r="L1341" s="170"/>
    </row>
    <row r="1342" spans="1:12" x14ac:dyDescent="0.25">
      <c r="A1342" s="170"/>
      <c r="B1342" s="116"/>
      <c r="C1342" s="116"/>
      <c r="D1342" s="116"/>
      <c r="E1342" s="116"/>
      <c r="F1342" s="116"/>
      <c r="H1342" s="116"/>
      <c r="I1342" s="116"/>
      <c r="L1342" s="170"/>
    </row>
    <row r="1343" spans="1:12" x14ac:dyDescent="0.25">
      <c r="A1343" s="170"/>
      <c r="B1343" s="116"/>
      <c r="C1343" s="116"/>
      <c r="D1343" s="116"/>
      <c r="E1343" s="116"/>
      <c r="F1343" s="116"/>
      <c r="H1343" s="116"/>
      <c r="I1343" s="116"/>
      <c r="L1343" s="170"/>
    </row>
    <row r="1344" spans="1:12" x14ac:dyDescent="0.25">
      <c r="A1344" s="170"/>
      <c r="B1344" s="116"/>
      <c r="C1344" s="116"/>
      <c r="D1344" s="116"/>
      <c r="E1344" s="116"/>
      <c r="F1344" s="116"/>
      <c r="H1344" s="116"/>
      <c r="I1344" s="116"/>
      <c r="L1344" s="170"/>
    </row>
    <row r="1345" spans="1:12" x14ac:dyDescent="0.25">
      <c r="A1345" s="170"/>
      <c r="B1345" s="116"/>
      <c r="C1345" s="116"/>
      <c r="D1345" s="116"/>
      <c r="E1345" s="116"/>
      <c r="F1345" s="116"/>
      <c r="H1345" s="116"/>
      <c r="I1345" s="116"/>
      <c r="L1345" s="170"/>
    </row>
    <row r="1346" spans="1:12" x14ac:dyDescent="0.25">
      <c r="A1346" s="170"/>
      <c r="B1346" s="116"/>
      <c r="C1346" s="116"/>
      <c r="D1346" s="116"/>
      <c r="E1346" s="116"/>
      <c r="F1346" s="116"/>
      <c r="H1346" s="116"/>
      <c r="I1346" s="116"/>
      <c r="L1346" s="170"/>
    </row>
    <row r="1347" spans="1:12" x14ac:dyDescent="0.25">
      <c r="A1347" s="170"/>
      <c r="B1347" s="116"/>
      <c r="C1347" s="116"/>
      <c r="D1347" s="116"/>
      <c r="E1347" s="116"/>
      <c r="F1347" s="116"/>
      <c r="H1347" s="116"/>
      <c r="I1347" s="116"/>
      <c r="L1347" s="170"/>
    </row>
    <row r="1348" spans="1:12" x14ac:dyDescent="0.25">
      <c r="A1348" s="170"/>
      <c r="B1348" s="116"/>
      <c r="C1348" s="116"/>
      <c r="D1348" s="116"/>
      <c r="E1348" s="116"/>
      <c r="F1348" s="116"/>
      <c r="H1348" s="116"/>
      <c r="I1348" s="116"/>
      <c r="L1348" s="170"/>
    </row>
    <row r="1349" spans="1:12" x14ac:dyDescent="0.25">
      <c r="A1349" s="170"/>
      <c r="B1349" s="116"/>
      <c r="C1349" s="116"/>
      <c r="D1349" s="116"/>
      <c r="E1349" s="116"/>
      <c r="F1349" s="116"/>
      <c r="H1349" s="116"/>
      <c r="I1349" s="116"/>
      <c r="L1349" s="170"/>
    </row>
    <row r="1350" spans="1:12" x14ac:dyDescent="0.25">
      <c r="A1350" s="170"/>
      <c r="B1350" s="116"/>
      <c r="C1350" s="116"/>
      <c r="D1350" s="116"/>
      <c r="E1350" s="116"/>
      <c r="F1350" s="116"/>
      <c r="H1350" s="116"/>
      <c r="I1350" s="116"/>
      <c r="L1350" s="170"/>
    </row>
    <row r="1351" spans="1:12" x14ac:dyDescent="0.25">
      <c r="A1351" s="170"/>
      <c r="B1351" s="116"/>
      <c r="C1351" s="116"/>
      <c r="D1351" s="116"/>
      <c r="E1351" s="116"/>
      <c r="F1351" s="116"/>
      <c r="H1351" s="116"/>
      <c r="I1351" s="116"/>
      <c r="L1351" s="170"/>
    </row>
    <row r="1352" spans="1:12" x14ac:dyDescent="0.25">
      <c r="A1352" s="170"/>
      <c r="B1352" s="116"/>
      <c r="C1352" s="116"/>
      <c r="D1352" s="116"/>
      <c r="E1352" s="116"/>
      <c r="F1352" s="116"/>
      <c r="H1352" s="116"/>
      <c r="I1352" s="116"/>
      <c r="L1352" s="170"/>
    </row>
    <row r="1353" spans="1:12" x14ac:dyDescent="0.25">
      <c r="A1353" s="170"/>
      <c r="B1353" s="116"/>
      <c r="C1353" s="116"/>
      <c r="D1353" s="116"/>
      <c r="E1353" s="116"/>
      <c r="F1353" s="116"/>
      <c r="H1353" s="116"/>
      <c r="I1353" s="116"/>
      <c r="L1353" s="170"/>
    </row>
    <row r="1354" spans="1:12" x14ac:dyDescent="0.25">
      <c r="A1354" s="170"/>
      <c r="B1354" s="116"/>
      <c r="C1354" s="116"/>
      <c r="D1354" s="116"/>
      <c r="E1354" s="116"/>
      <c r="F1354" s="116"/>
      <c r="H1354" s="116"/>
      <c r="I1354" s="116"/>
      <c r="L1354" s="170"/>
    </row>
    <row r="1355" spans="1:12" x14ac:dyDescent="0.25">
      <c r="A1355" s="170"/>
      <c r="B1355" s="116"/>
      <c r="C1355" s="116"/>
      <c r="D1355" s="116"/>
      <c r="E1355" s="116"/>
      <c r="F1355" s="116"/>
      <c r="H1355" s="116"/>
      <c r="I1355" s="116"/>
      <c r="L1355" s="170"/>
    </row>
    <row r="1356" spans="1:12" x14ac:dyDescent="0.25">
      <c r="A1356" s="170"/>
      <c r="B1356" s="116"/>
      <c r="C1356" s="116"/>
      <c r="D1356" s="116"/>
      <c r="E1356" s="116"/>
      <c r="F1356" s="116"/>
      <c r="H1356" s="116"/>
      <c r="I1356" s="116"/>
      <c r="L1356" s="170"/>
    </row>
    <row r="1357" spans="1:12" x14ac:dyDescent="0.25">
      <c r="A1357" s="170"/>
      <c r="B1357" s="116"/>
      <c r="C1357" s="116"/>
      <c r="D1357" s="116"/>
      <c r="E1357" s="116"/>
      <c r="F1357" s="116"/>
      <c r="H1357" s="116"/>
      <c r="I1357" s="116"/>
      <c r="L1357" s="170"/>
    </row>
    <row r="1358" spans="1:12" x14ac:dyDescent="0.25">
      <c r="A1358" s="170"/>
      <c r="B1358" s="116"/>
      <c r="C1358" s="116"/>
      <c r="D1358" s="116"/>
      <c r="E1358" s="116"/>
      <c r="F1358" s="116"/>
      <c r="H1358" s="116"/>
      <c r="I1358" s="116"/>
      <c r="L1358" s="170"/>
    </row>
    <row r="1359" spans="1:12" x14ac:dyDescent="0.25">
      <c r="A1359" s="170"/>
      <c r="B1359" s="116"/>
      <c r="C1359" s="116"/>
      <c r="D1359" s="116"/>
      <c r="E1359" s="116"/>
      <c r="F1359" s="116"/>
      <c r="H1359" s="116"/>
      <c r="I1359" s="116"/>
      <c r="L1359" s="170"/>
    </row>
    <row r="1360" spans="1:12" x14ac:dyDescent="0.25">
      <c r="A1360" s="170"/>
      <c r="B1360" s="116"/>
      <c r="C1360" s="116"/>
      <c r="D1360" s="116"/>
      <c r="E1360" s="116"/>
      <c r="F1360" s="116"/>
      <c r="H1360" s="116"/>
      <c r="I1360" s="116"/>
      <c r="L1360" s="170"/>
    </row>
    <row r="1361" spans="1:12" x14ac:dyDescent="0.25">
      <c r="A1361" s="170"/>
      <c r="B1361" s="116"/>
      <c r="C1361" s="116"/>
      <c r="D1361" s="116"/>
      <c r="E1361" s="116"/>
      <c r="F1361" s="116"/>
      <c r="H1361" s="116"/>
      <c r="I1361" s="116"/>
      <c r="L1361" s="170"/>
    </row>
    <row r="1362" spans="1:12" x14ac:dyDescent="0.25">
      <c r="A1362" s="170"/>
      <c r="B1362" s="116"/>
      <c r="C1362" s="116"/>
      <c r="D1362" s="116"/>
      <c r="E1362" s="116"/>
      <c r="F1362" s="116"/>
      <c r="H1362" s="116"/>
      <c r="I1362" s="116"/>
      <c r="L1362" s="170"/>
    </row>
    <row r="1363" spans="1:12" x14ac:dyDescent="0.25">
      <c r="A1363" s="170"/>
      <c r="B1363" s="116"/>
      <c r="C1363" s="116"/>
      <c r="D1363" s="116"/>
      <c r="E1363" s="116"/>
      <c r="F1363" s="116"/>
      <c r="H1363" s="116"/>
      <c r="I1363" s="116"/>
      <c r="L1363" s="170"/>
    </row>
    <row r="1364" spans="1:12" x14ac:dyDescent="0.25">
      <c r="A1364" s="170"/>
      <c r="B1364" s="116"/>
      <c r="C1364" s="116"/>
      <c r="D1364" s="116"/>
      <c r="E1364" s="116"/>
      <c r="F1364" s="116"/>
      <c r="H1364" s="116"/>
      <c r="I1364" s="116"/>
      <c r="L1364" s="170"/>
    </row>
    <row r="1365" spans="1:12" x14ac:dyDescent="0.25">
      <c r="A1365" s="170"/>
      <c r="B1365" s="116"/>
      <c r="C1365" s="116"/>
      <c r="D1365" s="116"/>
      <c r="E1365" s="116"/>
      <c r="F1365" s="116"/>
      <c r="H1365" s="116"/>
      <c r="I1365" s="116"/>
      <c r="L1365" s="170"/>
    </row>
    <row r="1366" spans="1:12" x14ac:dyDescent="0.25">
      <c r="A1366" s="170"/>
      <c r="B1366" s="116"/>
      <c r="C1366" s="116"/>
      <c r="D1366" s="116"/>
      <c r="E1366" s="116"/>
      <c r="F1366" s="116"/>
      <c r="H1366" s="116"/>
      <c r="I1366" s="116"/>
      <c r="L1366" s="170"/>
    </row>
    <row r="1367" spans="1:12" x14ac:dyDescent="0.25">
      <c r="A1367" s="170"/>
      <c r="B1367" s="116"/>
      <c r="C1367" s="116"/>
      <c r="D1367" s="116"/>
      <c r="E1367" s="116"/>
      <c r="F1367" s="116"/>
      <c r="H1367" s="116"/>
      <c r="I1367" s="116"/>
      <c r="L1367" s="170"/>
    </row>
    <row r="1368" spans="1:12" x14ac:dyDescent="0.25">
      <c r="A1368" s="170"/>
      <c r="B1368" s="116"/>
      <c r="C1368" s="116"/>
      <c r="D1368" s="116"/>
      <c r="E1368" s="116"/>
      <c r="F1368" s="116"/>
      <c r="H1368" s="116"/>
      <c r="I1368" s="116"/>
      <c r="L1368" s="170"/>
    </row>
    <row r="1369" spans="1:12" x14ac:dyDescent="0.25">
      <c r="A1369" s="170"/>
      <c r="B1369" s="116"/>
      <c r="C1369" s="116"/>
      <c r="D1369" s="116"/>
      <c r="E1369" s="116"/>
      <c r="F1369" s="116"/>
      <c r="H1369" s="116"/>
      <c r="I1369" s="116"/>
      <c r="L1369" s="170"/>
    </row>
    <row r="1370" spans="1:12" x14ac:dyDescent="0.25">
      <c r="A1370" s="170"/>
      <c r="B1370" s="116"/>
      <c r="C1370" s="116"/>
      <c r="D1370" s="116"/>
      <c r="E1370" s="116"/>
      <c r="F1370" s="116"/>
      <c r="H1370" s="116"/>
      <c r="I1370" s="116"/>
      <c r="L1370" s="170"/>
    </row>
    <row r="1371" spans="1:12" x14ac:dyDescent="0.25">
      <c r="A1371" s="170"/>
      <c r="B1371" s="116"/>
      <c r="C1371" s="116"/>
      <c r="D1371" s="116"/>
      <c r="E1371" s="116"/>
      <c r="F1371" s="116"/>
      <c r="H1371" s="116"/>
      <c r="I1371" s="116"/>
      <c r="L1371" s="170"/>
    </row>
    <row r="1372" spans="1:12" x14ac:dyDescent="0.25">
      <c r="A1372" s="170"/>
      <c r="B1372" s="116"/>
      <c r="C1372" s="116"/>
      <c r="D1372" s="116"/>
      <c r="E1372" s="116"/>
      <c r="F1372" s="116"/>
      <c r="H1372" s="116"/>
      <c r="I1372" s="116"/>
      <c r="L1372" s="170"/>
    </row>
    <row r="1373" spans="1:12" x14ac:dyDescent="0.25">
      <c r="A1373" s="170"/>
      <c r="B1373" s="116"/>
      <c r="C1373" s="116"/>
      <c r="D1373" s="116"/>
      <c r="E1373" s="116"/>
      <c r="F1373" s="116"/>
      <c r="H1373" s="116"/>
      <c r="I1373" s="116"/>
      <c r="L1373" s="170"/>
    </row>
    <row r="1374" spans="1:12" x14ac:dyDescent="0.25">
      <c r="A1374" s="170"/>
      <c r="B1374" s="116"/>
      <c r="C1374" s="116"/>
      <c r="D1374" s="116"/>
      <c r="E1374" s="116"/>
      <c r="F1374" s="116"/>
      <c r="H1374" s="116"/>
      <c r="I1374" s="116"/>
      <c r="L1374" s="170"/>
    </row>
    <row r="1375" spans="1:12" x14ac:dyDescent="0.25">
      <c r="A1375" s="170"/>
      <c r="B1375" s="116"/>
      <c r="C1375" s="116"/>
      <c r="D1375" s="116"/>
      <c r="E1375" s="116"/>
      <c r="F1375" s="116"/>
      <c r="H1375" s="116"/>
      <c r="I1375" s="116"/>
      <c r="L1375" s="170"/>
    </row>
    <row r="1376" spans="1:12" x14ac:dyDescent="0.25">
      <c r="A1376" s="170"/>
      <c r="B1376" s="116"/>
      <c r="C1376" s="116"/>
      <c r="D1376" s="116"/>
      <c r="E1376" s="116"/>
      <c r="F1376" s="116"/>
      <c r="H1376" s="116"/>
      <c r="I1376" s="116"/>
      <c r="L1376" s="170"/>
    </row>
    <row r="1377" spans="1:12" x14ac:dyDescent="0.25">
      <c r="A1377" s="170"/>
      <c r="B1377" s="116"/>
      <c r="C1377" s="116"/>
      <c r="D1377" s="116"/>
      <c r="E1377" s="116"/>
      <c r="F1377" s="116"/>
      <c r="H1377" s="116"/>
      <c r="I1377" s="116"/>
      <c r="L1377" s="170"/>
    </row>
    <row r="1378" spans="1:12" x14ac:dyDescent="0.25">
      <c r="A1378" s="170"/>
      <c r="B1378" s="116"/>
      <c r="C1378" s="116"/>
      <c r="D1378" s="116"/>
      <c r="E1378" s="116"/>
      <c r="F1378" s="116"/>
      <c r="H1378" s="116"/>
      <c r="I1378" s="116"/>
      <c r="L1378" s="170"/>
    </row>
    <row r="1379" spans="1:12" x14ac:dyDescent="0.25">
      <c r="A1379" s="170"/>
      <c r="B1379" s="116"/>
      <c r="C1379" s="116"/>
      <c r="D1379" s="116"/>
      <c r="E1379" s="116"/>
      <c r="F1379" s="116"/>
      <c r="H1379" s="116"/>
      <c r="I1379" s="116"/>
      <c r="L1379" s="170"/>
    </row>
    <row r="1380" spans="1:12" x14ac:dyDescent="0.25">
      <c r="A1380" s="170"/>
      <c r="B1380" s="116"/>
      <c r="C1380" s="116"/>
      <c r="D1380" s="116"/>
      <c r="E1380" s="116"/>
      <c r="F1380" s="116"/>
      <c r="H1380" s="116"/>
      <c r="I1380" s="116"/>
      <c r="L1380" s="170"/>
    </row>
    <row r="1381" spans="1:12" x14ac:dyDescent="0.25">
      <c r="A1381" s="170"/>
      <c r="B1381" s="116"/>
      <c r="C1381" s="116"/>
      <c r="D1381" s="116"/>
      <c r="E1381" s="116"/>
      <c r="F1381" s="116"/>
      <c r="H1381" s="116"/>
      <c r="I1381" s="116"/>
      <c r="L1381" s="170"/>
    </row>
    <row r="1382" spans="1:12" x14ac:dyDescent="0.25">
      <c r="A1382" s="170"/>
      <c r="B1382" s="116"/>
      <c r="C1382" s="116"/>
      <c r="D1382" s="116"/>
      <c r="E1382" s="116"/>
      <c r="F1382" s="116"/>
      <c r="H1382" s="116"/>
      <c r="I1382" s="116"/>
      <c r="L1382" s="170"/>
    </row>
    <row r="1383" spans="1:12" x14ac:dyDescent="0.25">
      <c r="A1383" s="170"/>
      <c r="B1383" s="116"/>
      <c r="C1383" s="116"/>
      <c r="D1383" s="116"/>
      <c r="E1383" s="116"/>
      <c r="F1383" s="116"/>
      <c r="H1383" s="116"/>
      <c r="I1383" s="116"/>
      <c r="L1383" s="170"/>
    </row>
    <row r="1384" spans="1:12" x14ac:dyDescent="0.25">
      <c r="A1384" s="170"/>
      <c r="B1384" s="116"/>
      <c r="C1384" s="116"/>
      <c r="D1384" s="116"/>
      <c r="E1384" s="116"/>
      <c r="F1384" s="116"/>
      <c r="H1384" s="116"/>
      <c r="I1384" s="116"/>
      <c r="L1384" s="170"/>
    </row>
    <row r="1385" spans="1:12" x14ac:dyDescent="0.25">
      <c r="A1385" s="170"/>
      <c r="B1385" s="116"/>
      <c r="C1385" s="116"/>
      <c r="D1385" s="116"/>
      <c r="E1385" s="116"/>
      <c r="F1385" s="116"/>
      <c r="H1385" s="116"/>
      <c r="I1385" s="116"/>
      <c r="L1385" s="170"/>
    </row>
    <row r="1386" spans="1:12" x14ac:dyDescent="0.25">
      <c r="A1386" s="170"/>
      <c r="B1386" s="116"/>
      <c r="C1386" s="116"/>
      <c r="D1386" s="116"/>
      <c r="E1386" s="116"/>
      <c r="F1386" s="116"/>
      <c r="H1386" s="116"/>
      <c r="I1386" s="116"/>
      <c r="L1386" s="170"/>
    </row>
    <row r="1387" spans="1:12" x14ac:dyDescent="0.25">
      <c r="A1387" s="170"/>
      <c r="B1387" s="116"/>
      <c r="C1387" s="116"/>
      <c r="D1387" s="116"/>
      <c r="E1387" s="116"/>
      <c r="F1387" s="116"/>
      <c r="H1387" s="116"/>
      <c r="I1387" s="116"/>
      <c r="L1387" s="170"/>
    </row>
    <row r="1388" spans="1:12" x14ac:dyDescent="0.25">
      <c r="A1388" s="170"/>
      <c r="B1388" s="116"/>
      <c r="C1388" s="116"/>
      <c r="D1388" s="116"/>
      <c r="E1388" s="116"/>
      <c r="F1388" s="116"/>
      <c r="H1388" s="116"/>
      <c r="I1388" s="116"/>
      <c r="L1388" s="170"/>
    </row>
    <row r="1389" spans="1:12" x14ac:dyDescent="0.25">
      <c r="A1389" s="170"/>
      <c r="B1389" s="116"/>
      <c r="C1389" s="116"/>
      <c r="D1389" s="116"/>
      <c r="E1389" s="116"/>
      <c r="F1389" s="116"/>
      <c r="H1389" s="116"/>
      <c r="I1389" s="116"/>
      <c r="L1389" s="170"/>
    </row>
    <row r="1390" spans="1:12" x14ac:dyDescent="0.25">
      <c r="A1390" s="170"/>
      <c r="B1390" s="116"/>
      <c r="C1390" s="116"/>
      <c r="D1390" s="116"/>
      <c r="E1390" s="116"/>
      <c r="F1390" s="116"/>
      <c r="H1390" s="116"/>
      <c r="I1390" s="116"/>
      <c r="L1390" s="170"/>
    </row>
    <row r="1391" spans="1:12" x14ac:dyDescent="0.25">
      <c r="A1391" s="170"/>
      <c r="B1391" s="116"/>
      <c r="C1391" s="116"/>
      <c r="D1391" s="116"/>
      <c r="E1391" s="116"/>
      <c r="F1391" s="116"/>
      <c r="H1391" s="116"/>
      <c r="I1391" s="116"/>
      <c r="L1391" s="170"/>
    </row>
    <row r="1392" spans="1:12" x14ac:dyDescent="0.25">
      <c r="A1392" s="170"/>
      <c r="B1392" s="116"/>
      <c r="C1392" s="116"/>
      <c r="D1392" s="116"/>
      <c r="E1392" s="116"/>
      <c r="F1392" s="116"/>
      <c r="H1392" s="116"/>
      <c r="I1392" s="116"/>
      <c r="L1392" s="170"/>
    </row>
    <row r="1393" spans="1:12" x14ac:dyDescent="0.25">
      <c r="A1393" s="170"/>
      <c r="B1393" s="116"/>
      <c r="C1393" s="116"/>
      <c r="D1393" s="116"/>
      <c r="E1393" s="116"/>
      <c r="F1393" s="116"/>
      <c r="H1393" s="116"/>
      <c r="I1393" s="116"/>
      <c r="L1393" s="170"/>
    </row>
    <row r="1394" spans="1:12" x14ac:dyDescent="0.25">
      <c r="A1394" s="170"/>
      <c r="B1394" s="116"/>
      <c r="C1394" s="116"/>
      <c r="D1394" s="116"/>
      <c r="E1394" s="116"/>
      <c r="F1394" s="116"/>
      <c r="H1394" s="116"/>
      <c r="I1394" s="116"/>
      <c r="L1394" s="170"/>
    </row>
    <row r="1395" spans="1:12" x14ac:dyDescent="0.25">
      <c r="A1395" s="170"/>
      <c r="B1395" s="116"/>
      <c r="C1395" s="116"/>
      <c r="D1395" s="116"/>
      <c r="E1395" s="116"/>
      <c r="F1395" s="116"/>
      <c r="H1395" s="116"/>
      <c r="I1395" s="116"/>
      <c r="L1395" s="170"/>
    </row>
    <row r="1396" spans="1:12" x14ac:dyDescent="0.25">
      <c r="A1396" s="170"/>
      <c r="B1396" s="116"/>
      <c r="C1396" s="116"/>
      <c r="D1396" s="116"/>
      <c r="E1396" s="116"/>
      <c r="F1396" s="116"/>
      <c r="H1396" s="116"/>
      <c r="I1396" s="116"/>
      <c r="L1396" s="170"/>
    </row>
    <row r="1397" spans="1:12" x14ac:dyDescent="0.25">
      <c r="A1397" s="170"/>
      <c r="B1397" s="116"/>
      <c r="C1397" s="116"/>
      <c r="D1397" s="116"/>
      <c r="E1397" s="116"/>
      <c r="F1397" s="116"/>
      <c r="H1397" s="116"/>
      <c r="I1397" s="116"/>
      <c r="L1397" s="170"/>
    </row>
    <row r="1398" spans="1:12" x14ac:dyDescent="0.25">
      <c r="A1398" s="170"/>
      <c r="B1398" s="116"/>
      <c r="C1398" s="116"/>
      <c r="D1398" s="116"/>
      <c r="E1398" s="116"/>
      <c r="F1398" s="116"/>
      <c r="H1398" s="116"/>
      <c r="I1398" s="116"/>
      <c r="L1398" s="170"/>
    </row>
    <row r="1399" spans="1:12" x14ac:dyDescent="0.25">
      <c r="A1399" s="170"/>
      <c r="B1399" s="116"/>
      <c r="C1399" s="116"/>
      <c r="D1399" s="116"/>
      <c r="E1399" s="116"/>
      <c r="F1399" s="116"/>
      <c r="H1399" s="116"/>
      <c r="I1399" s="116"/>
      <c r="L1399" s="170"/>
    </row>
    <row r="1400" spans="1:12" x14ac:dyDescent="0.25">
      <c r="A1400" s="170"/>
      <c r="B1400" s="116"/>
      <c r="C1400" s="116"/>
      <c r="D1400" s="116"/>
      <c r="E1400" s="116"/>
      <c r="F1400" s="116"/>
      <c r="H1400" s="116"/>
      <c r="I1400" s="116"/>
      <c r="L1400" s="170"/>
    </row>
    <row r="1401" spans="1:12" x14ac:dyDescent="0.25">
      <c r="A1401" s="170"/>
      <c r="B1401" s="116"/>
      <c r="C1401" s="116"/>
      <c r="D1401" s="116"/>
      <c r="E1401" s="116"/>
      <c r="F1401" s="116"/>
      <c r="H1401" s="116"/>
      <c r="I1401" s="116"/>
      <c r="L1401" s="170"/>
    </row>
    <row r="1402" spans="1:12" x14ac:dyDescent="0.25">
      <c r="A1402" s="170"/>
      <c r="B1402" s="116"/>
      <c r="C1402" s="116"/>
      <c r="D1402" s="116"/>
      <c r="E1402" s="116"/>
      <c r="F1402" s="116"/>
      <c r="H1402" s="116"/>
      <c r="I1402" s="116"/>
      <c r="L1402" s="170"/>
    </row>
    <row r="1403" spans="1:12" x14ac:dyDescent="0.25">
      <c r="A1403" s="170"/>
      <c r="B1403" s="116"/>
      <c r="C1403" s="116"/>
      <c r="D1403" s="116"/>
      <c r="E1403" s="116"/>
      <c r="F1403" s="116"/>
      <c r="H1403" s="116"/>
      <c r="I1403" s="116"/>
      <c r="L1403" s="170"/>
    </row>
    <row r="1404" spans="1:12" x14ac:dyDescent="0.25">
      <c r="A1404" s="170"/>
      <c r="B1404" s="116"/>
      <c r="C1404" s="116"/>
      <c r="D1404" s="116"/>
      <c r="E1404" s="116"/>
      <c r="F1404" s="116"/>
      <c r="H1404" s="116"/>
      <c r="I1404" s="116"/>
      <c r="L1404" s="170"/>
    </row>
    <row r="1405" spans="1:12" x14ac:dyDescent="0.25">
      <c r="A1405" s="170"/>
      <c r="B1405" s="116"/>
      <c r="C1405" s="116"/>
      <c r="D1405" s="116"/>
      <c r="E1405" s="116"/>
      <c r="F1405" s="116"/>
      <c r="H1405" s="116"/>
      <c r="I1405" s="116"/>
      <c r="L1405" s="170"/>
    </row>
    <row r="1406" spans="1:12" x14ac:dyDescent="0.25">
      <c r="A1406" s="170"/>
      <c r="B1406" s="116"/>
      <c r="C1406" s="116"/>
      <c r="D1406" s="116"/>
      <c r="E1406" s="116"/>
      <c r="F1406" s="116"/>
      <c r="H1406" s="116"/>
      <c r="I1406" s="116"/>
      <c r="L1406" s="170"/>
    </row>
    <row r="1407" spans="1:12" x14ac:dyDescent="0.25">
      <c r="A1407" s="170"/>
      <c r="B1407" s="116"/>
      <c r="C1407" s="116"/>
      <c r="D1407" s="116"/>
      <c r="E1407" s="116"/>
      <c r="F1407" s="116"/>
      <c r="H1407" s="116"/>
      <c r="I1407" s="116"/>
      <c r="L1407" s="170"/>
    </row>
    <row r="1408" spans="1:12" x14ac:dyDescent="0.25">
      <c r="A1408" s="170"/>
      <c r="B1408" s="116"/>
      <c r="C1408" s="116"/>
      <c r="D1408" s="116"/>
      <c r="E1408" s="116"/>
      <c r="F1408" s="116"/>
      <c r="H1408" s="116"/>
      <c r="I1408" s="116"/>
      <c r="L1408" s="170"/>
    </row>
    <row r="1409" spans="1:12" x14ac:dyDescent="0.25">
      <c r="A1409" s="170"/>
      <c r="B1409" s="116"/>
      <c r="C1409" s="116"/>
      <c r="D1409" s="116"/>
      <c r="E1409" s="116"/>
      <c r="F1409" s="116"/>
      <c r="H1409" s="116"/>
      <c r="I1409" s="116"/>
      <c r="L1409" s="170"/>
    </row>
    <row r="1410" spans="1:12" x14ac:dyDescent="0.25">
      <c r="A1410" s="170"/>
      <c r="B1410" s="116"/>
      <c r="C1410" s="116"/>
      <c r="D1410" s="116"/>
      <c r="E1410" s="116"/>
      <c r="F1410" s="116"/>
      <c r="H1410" s="116"/>
      <c r="I1410" s="116"/>
      <c r="L1410" s="170"/>
    </row>
    <row r="1411" spans="1:12" x14ac:dyDescent="0.25">
      <c r="A1411" s="170"/>
      <c r="B1411" s="116"/>
      <c r="C1411" s="116"/>
      <c r="D1411" s="116"/>
      <c r="E1411" s="116"/>
      <c r="F1411" s="116"/>
      <c r="H1411" s="116"/>
      <c r="I1411" s="116"/>
      <c r="L1411" s="170"/>
    </row>
    <row r="1412" spans="1:12" x14ac:dyDescent="0.25">
      <c r="A1412" s="170"/>
      <c r="B1412" s="116"/>
      <c r="C1412" s="116"/>
      <c r="D1412" s="116"/>
      <c r="E1412" s="116"/>
      <c r="F1412" s="116"/>
      <c r="H1412" s="116"/>
      <c r="I1412" s="116"/>
      <c r="L1412" s="170"/>
    </row>
    <row r="1413" spans="1:12" x14ac:dyDescent="0.25">
      <c r="A1413" s="170"/>
      <c r="B1413" s="116"/>
      <c r="C1413" s="116"/>
      <c r="D1413" s="116"/>
      <c r="E1413" s="116"/>
      <c r="F1413" s="116"/>
      <c r="H1413" s="116"/>
      <c r="I1413" s="116"/>
      <c r="L1413" s="170"/>
    </row>
    <row r="1414" spans="1:12" x14ac:dyDescent="0.25">
      <c r="A1414" s="170"/>
      <c r="B1414" s="116"/>
      <c r="C1414" s="116"/>
      <c r="D1414" s="116"/>
      <c r="E1414" s="116"/>
      <c r="F1414" s="116"/>
      <c r="H1414" s="116"/>
      <c r="I1414" s="116"/>
      <c r="L1414" s="170"/>
    </row>
    <row r="1415" spans="1:12" x14ac:dyDescent="0.25">
      <c r="A1415" s="170"/>
      <c r="B1415" s="116"/>
      <c r="C1415" s="116"/>
      <c r="D1415" s="116"/>
      <c r="E1415" s="116"/>
      <c r="F1415" s="116"/>
      <c r="H1415" s="116"/>
      <c r="I1415" s="116"/>
      <c r="L1415" s="170"/>
    </row>
    <row r="1416" spans="1:12" x14ac:dyDescent="0.25">
      <c r="A1416" s="170"/>
      <c r="B1416" s="116"/>
      <c r="C1416" s="116"/>
      <c r="D1416" s="116"/>
      <c r="E1416" s="116"/>
      <c r="F1416" s="116"/>
      <c r="H1416" s="116"/>
      <c r="I1416" s="116"/>
      <c r="L1416" s="170"/>
    </row>
    <row r="1417" spans="1:12" x14ac:dyDescent="0.25">
      <c r="A1417" s="170"/>
      <c r="B1417" s="116"/>
      <c r="C1417" s="116"/>
      <c r="D1417" s="116"/>
      <c r="E1417" s="116"/>
      <c r="F1417" s="116"/>
      <c r="H1417" s="116"/>
      <c r="I1417" s="116"/>
      <c r="L1417" s="170"/>
    </row>
    <row r="1418" spans="1:12" x14ac:dyDescent="0.25">
      <c r="A1418" s="170"/>
      <c r="B1418" s="116"/>
      <c r="C1418" s="116"/>
      <c r="D1418" s="116"/>
      <c r="E1418" s="116"/>
      <c r="F1418" s="116"/>
      <c r="H1418" s="116"/>
      <c r="I1418" s="116"/>
      <c r="L1418" s="170"/>
    </row>
    <row r="1419" spans="1:12" x14ac:dyDescent="0.25">
      <c r="A1419" s="170"/>
      <c r="B1419" s="116"/>
      <c r="C1419" s="116"/>
      <c r="D1419" s="116"/>
      <c r="E1419" s="116"/>
      <c r="F1419" s="116"/>
      <c r="H1419" s="116"/>
      <c r="I1419" s="116"/>
      <c r="L1419" s="170"/>
    </row>
    <row r="1420" spans="1:12" x14ac:dyDescent="0.25">
      <c r="A1420" s="170"/>
      <c r="B1420" s="116"/>
      <c r="C1420" s="116"/>
      <c r="D1420" s="116"/>
      <c r="E1420" s="116"/>
      <c r="F1420" s="116"/>
      <c r="H1420" s="116"/>
      <c r="I1420" s="116"/>
      <c r="L1420" s="170"/>
    </row>
    <row r="1421" spans="1:12" x14ac:dyDescent="0.25">
      <c r="A1421" s="170"/>
      <c r="B1421" s="116"/>
      <c r="C1421" s="116"/>
      <c r="D1421" s="116"/>
      <c r="E1421" s="116"/>
      <c r="F1421" s="116"/>
      <c r="H1421" s="116"/>
      <c r="I1421" s="116"/>
      <c r="L1421" s="170"/>
    </row>
    <row r="1422" spans="1:12" x14ac:dyDescent="0.25">
      <c r="A1422" s="170"/>
      <c r="B1422" s="116"/>
      <c r="C1422" s="116"/>
      <c r="D1422" s="116"/>
      <c r="E1422" s="116"/>
      <c r="F1422" s="116"/>
      <c r="H1422" s="116"/>
      <c r="I1422" s="116"/>
      <c r="L1422" s="170"/>
    </row>
    <row r="1423" spans="1:12" x14ac:dyDescent="0.25">
      <c r="A1423" s="170"/>
      <c r="B1423" s="116"/>
      <c r="C1423" s="116"/>
      <c r="D1423" s="116"/>
      <c r="E1423" s="116"/>
      <c r="F1423" s="116"/>
      <c r="H1423" s="116"/>
      <c r="I1423" s="116"/>
      <c r="L1423" s="170"/>
    </row>
    <row r="1424" spans="1:12" x14ac:dyDescent="0.25">
      <c r="A1424" s="170"/>
      <c r="B1424" s="116"/>
      <c r="C1424" s="116"/>
      <c r="D1424" s="116"/>
      <c r="E1424" s="116"/>
      <c r="F1424" s="116"/>
      <c r="H1424" s="116"/>
      <c r="I1424" s="116"/>
      <c r="L1424" s="170"/>
    </row>
    <row r="1425" spans="1:12" x14ac:dyDescent="0.25">
      <c r="A1425" s="170"/>
      <c r="B1425" s="116"/>
      <c r="C1425" s="116"/>
      <c r="D1425" s="116"/>
      <c r="E1425" s="116"/>
      <c r="F1425" s="116"/>
      <c r="H1425" s="116"/>
      <c r="I1425" s="116"/>
      <c r="L1425" s="170"/>
    </row>
    <row r="1426" spans="1:12" x14ac:dyDescent="0.25">
      <c r="A1426" s="170"/>
      <c r="B1426" s="116"/>
      <c r="C1426" s="116"/>
      <c r="D1426" s="116"/>
      <c r="E1426" s="116"/>
      <c r="F1426" s="116"/>
      <c r="H1426" s="116"/>
      <c r="I1426" s="116"/>
      <c r="L1426" s="170"/>
    </row>
    <row r="1427" spans="1:12" x14ac:dyDescent="0.25">
      <c r="A1427" s="170"/>
      <c r="B1427" s="116"/>
      <c r="C1427" s="116"/>
      <c r="D1427" s="116"/>
      <c r="E1427" s="116"/>
      <c r="F1427" s="116"/>
      <c r="H1427" s="116"/>
      <c r="I1427" s="116"/>
      <c r="L1427" s="170"/>
    </row>
    <row r="1428" spans="1:12" x14ac:dyDescent="0.25">
      <c r="A1428" s="170"/>
      <c r="B1428" s="116"/>
      <c r="C1428" s="116"/>
      <c r="D1428" s="116"/>
      <c r="E1428" s="116"/>
      <c r="F1428" s="116"/>
      <c r="H1428" s="116"/>
      <c r="I1428" s="116"/>
      <c r="L1428" s="170"/>
    </row>
    <row r="1429" spans="1:12" x14ac:dyDescent="0.25">
      <c r="A1429" s="170"/>
      <c r="B1429" s="116"/>
      <c r="C1429" s="116"/>
      <c r="D1429" s="116"/>
      <c r="E1429" s="116"/>
      <c r="F1429" s="116"/>
      <c r="H1429" s="116"/>
      <c r="I1429" s="116"/>
      <c r="L1429" s="170"/>
    </row>
    <row r="1430" spans="1:12" x14ac:dyDescent="0.25">
      <c r="A1430" s="170"/>
      <c r="B1430" s="116"/>
      <c r="C1430" s="116"/>
      <c r="D1430" s="116"/>
      <c r="E1430" s="116"/>
      <c r="F1430" s="116"/>
      <c r="H1430" s="116"/>
      <c r="I1430" s="116"/>
      <c r="L1430" s="170"/>
    </row>
    <row r="1431" spans="1:12" x14ac:dyDescent="0.25">
      <c r="A1431" s="170"/>
      <c r="B1431" s="116"/>
      <c r="C1431" s="116"/>
      <c r="D1431" s="116"/>
      <c r="E1431" s="116"/>
      <c r="F1431" s="116"/>
      <c r="H1431" s="116"/>
      <c r="I1431" s="116"/>
      <c r="L1431" s="170"/>
    </row>
    <row r="1432" spans="1:12" x14ac:dyDescent="0.25">
      <c r="A1432" s="170"/>
      <c r="B1432" s="116"/>
      <c r="C1432" s="116"/>
      <c r="D1432" s="116"/>
      <c r="E1432" s="116"/>
      <c r="F1432" s="116"/>
      <c r="H1432" s="116"/>
      <c r="I1432" s="116"/>
      <c r="L1432" s="170"/>
    </row>
    <row r="1433" spans="1:12" x14ac:dyDescent="0.25">
      <c r="A1433" s="170"/>
      <c r="B1433" s="116"/>
      <c r="C1433" s="116"/>
      <c r="D1433" s="116"/>
      <c r="E1433" s="116"/>
      <c r="F1433" s="116"/>
      <c r="H1433" s="116"/>
      <c r="I1433" s="116"/>
      <c r="L1433" s="170"/>
    </row>
    <row r="1434" spans="1:12" x14ac:dyDescent="0.25">
      <c r="A1434" s="170"/>
      <c r="B1434" s="116"/>
      <c r="C1434" s="116"/>
      <c r="D1434" s="116"/>
      <c r="E1434" s="116"/>
      <c r="F1434" s="116"/>
      <c r="H1434" s="116"/>
      <c r="I1434" s="116"/>
      <c r="L1434" s="170"/>
    </row>
    <row r="1435" spans="1:12" x14ac:dyDescent="0.25">
      <c r="A1435" s="170"/>
      <c r="B1435" s="116"/>
      <c r="C1435" s="116"/>
      <c r="D1435" s="116"/>
      <c r="E1435" s="116"/>
      <c r="F1435" s="116"/>
      <c r="H1435" s="116"/>
      <c r="I1435" s="116"/>
      <c r="L1435" s="170"/>
    </row>
    <row r="1436" spans="1:12" x14ac:dyDescent="0.25">
      <c r="A1436" s="170"/>
      <c r="B1436" s="116"/>
      <c r="C1436" s="116"/>
      <c r="D1436" s="116"/>
      <c r="E1436" s="116"/>
      <c r="F1436" s="116"/>
      <c r="H1436" s="116"/>
      <c r="I1436" s="116"/>
      <c r="L1436" s="170"/>
    </row>
    <row r="1437" spans="1:12" x14ac:dyDescent="0.25">
      <c r="A1437" s="170"/>
      <c r="B1437" s="116"/>
      <c r="C1437" s="116"/>
      <c r="D1437" s="116"/>
      <c r="E1437" s="116"/>
      <c r="F1437" s="116"/>
      <c r="H1437" s="116"/>
      <c r="I1437" s="116"/>
      <c r="L1437" s="170"/>
    </row>
    <row r="1438" spans="1:12" x14ac:dyDescent="0.25">
      <c r="A1438" s="170"/>
      <c r="B1438" s="116"/>
      <c r="C1438" s="116"/>
      <c r="D1438" s="116"/>
      <c r="E1438" s="116"/>
      <c r="F1438" s="116"/>
      <c r="H1438" s="116"/>
      <c r="I1438" s="116"/>
      <c r="L1438" s="170"/>
    </row>
    <row r="1439" spans="1:12" x14ac:dyDescent="0.25">
      <c r="A1439" s="170"/>
      <c r="B1439" s="116"/>
      <c r="C1439" s="116"/>
      <c r="D1439" s="116"/>
      <c r="E1439" s="116"/>
      <c r="F1439" s="116"/>
      <c r="H1439" s="116"/>
      <c r="I1439" s="116"/>
      <c r="L1439" s="170"/>
    </row>
    <row r="1440" spans="1:12" x14ac:dyDescent="0.25">
      <c r="A1440" s="170"/>
      <c r="B1440" s="116"/>
      <c r="C1440" s="116"/>
      <c r="D1440" s="116"/>
      <c r="E1440" s="116"/>
      <c r="F1440" s="116"/>
      <c r="H1440" s="116"/>
      <c r="I1440" s="116"/>
      <c r="L1440" s="170"/>
    </row>
    <row r="1441" spans="1:18" x14ac:dyDescent="0.25">
      <c r="A1441" s="170"/>
      <c r="B1441" s="116"/>
      <c r="C1441" s="116"/>
      <c r="D1441" s="116"/>
      <c r="E1441" s="116"/>
      <c r="F1441" s="116"/>
      <c r="H1441" s="116"/>
      <c r="I1441" s="116"/>
      <c r="L1441" s="170"/>
    </row>
    <row r="1442" spans="1:18" x14ac:dyDescent="0.25">
      <c r="A1442" s="170"/>
      <c r="B1442" s="116"/>
      <c r="C1442" s="116"/>
      <c r="D1442" s="116"/>
      <c r="E1442" s="116"/>
      <c r="F1442" s="116"/>
      <c r="H1442" s="116"/>
      <c r="I1442" s="116"/>
      <c r="L1442" s="170"/>
    </row>
    <row r="1443" spans="1:18" x14ac:dyDescent="0.25">
      <c r="A1443" s="170"/>
      <c r="B1443" s="116"/>
      <c r="C1443" s="116"/>
      <c r="D1443" s="116"/>
      <c r="E1443" s="116"/>
      <c r="F1443" s="116"/>
      <c r="H1443" s="116"/>
      <c r="I1443" s="116"/>
      <c r="L1443" s="170"/>
    </row>
    <row r="1444" spans="1:18" x14ac:dyDescent="0.25">
      <c r="A1444" s="170"/>
      <c r="B1444" s="116"/>
      <c r="C1444" s="116"/>
      <c r="D1444" s="116"/>
      <c r="E1444" s="116"/>
      <c r="F1444" s="116"/>
      <c r="H1444" s="116"/>
      <c r="I1444" s="116"/>
      <c r="L1444" s="170"/>
    </row>
    <row r="1445" spans="1:18" x14ac:dyDescent="0.25">
      <c r="A1445" s="170"/>
      <c r="B1445" s="116"/>
      <c r="C1445" s="116"/>
      <c r="D1445" s="116"/>
      <c r="E1445" s="116"/>
      <c r="F1445" s="116"/>
      <c r="H1445" s="116"/>
      <c r="I1445" s="116"/>
      <c r="L1445" s="170"/>
    </row>
    <row r="1446" spans="1:18" x14ac:dyDescent="0.25">
      <c r="A1446" s="170"/>
      <c r="B1446" s="116"/>
      <c r="C1446" s="116"/>
      <c r="D1446" s="116"/>
      <c r="E1446" s="116"/>
      <c r="F1446" s="116"/>
      <c r="H1446" s="116"/>
      <c r="I1446" s="116"/>
      <c r="L1446" s="170"/>
    </row>
    <row r="1447" spans="1:18" x14ac:dyDescent="0.25">
      <c r="A1447" s="170"/>
      <c r="B1447" s="116"/>
      <c r="C1447" s="116"/>
      <c r="D1447" s="116"/>
      <c r="E1447" s="116"/>
      <c r="F1447" s="116"/>
      <c r="H1447" s="116"/>
      <c r="I1447" s="116"/>
      <c r="L1447" s="170"/>
    </row>
    <row r="1448" spans="1:18" x14ac:dyDescent="0.25">
      <c r="A1448" s="170"/>
      <c r="B1448" s="116"/>
      <c r="C1448" s="116"/>
      <c r="D1448" s="116"/>
      <c r="E1448" s="116"/>
      <c r="F1448" s="116"/>
      <c r="H1448" s="116"/>
      <c r="I1448" s="116"/>
      <c r="L1448" s="170"/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2026-06-17T12:38:06Z</dcterms:modified>
  <cp:category/>
  <cp:contentStatus/>
</cp:coreProperties>
</file>